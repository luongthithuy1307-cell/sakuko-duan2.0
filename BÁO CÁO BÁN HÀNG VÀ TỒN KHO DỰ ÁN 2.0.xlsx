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ylt\Desktop\DỰ ÁN 2.0 TRAO QUYỀN CỬA HÀNG TRƯỞNG\"/>
    </mc:Choice>
  </mc:AlternateContent>
  <xr:revisionPtr revIDLastSave="0" documentId="13_ncr:1_{20F41236-DF53-4763-9845-D30F97632C90}" xr6:coauthVersionLast="47" xr6:coauthVersionMax="47" xr10:uidLastSave="{00000000-0000-0000-0000-000000000000}"/>
  <bookViews>
    <workbookView xWindow="-108" yWindow="-108" windowWidth="23256" windowHeight="12576" activeTab="2" xr2:uid="{B2C1B2D2-E6F7-40A9-AAF0-4621F2886F2B}"/>
  </bookViews>
  <sheets>
    <sheet name="Danh sách mã hàng mới khai tác" sheetId="1" r:id="rId1"/>
    <sheet name="Tồn kho đến ngày 17.07.26" sheetId="2" r:id="rId2"/>
    <sheet name="Báo cáo bán hàng" sheetId="6" r:id="rId3"/>
  </sheets>
  <externalReferences>
    <externalReference r:id="rId4"/>
  </externalReferences>
  <definedNames>
    <definedName name="_xlnm._FilterDatabase" localSheetId="1" hidden="1">'Tồn kho đến ngày 17.07.26'!$A$1:$AC$1</definedName>
    <definedName name="_xlcn.WorksheetConnection_Sheet2A1W17771" hidden="1">[1]Sheet2!$A$1:$W$1777</definedName>
  </definedNames>
  <calcPr calcId="181029"/>
  <pivotCaches>
    <pivotCache cacheId="2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4cc01a21-0969-4679-be2e-a0afa32345fc" name="Range1" connection="WorksheetConnection_Sheet2!$A$1:$W$1777"/>
        </x15:modelTables>
      </x15:dataModel>
    </ext>
  </extLst>
</workbook>
</file>

<file path=xl/calcChain.xml><?xml version="1.0" encoding="utf-8"?>
<calcChain xmlns="http://schemas.openxmlformats.org/spreadsheetml/2006/main">
  <c r="I75" i="1" l="1"/>
  <c r="I74" i="1"/>
  <c r="I73" i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3" i="2"/>
  <c r="AA72" i="2"/>
  <c r="AB72" i="2" s="1"/>
  <c r="Z72" i="2"/>
  <c r="X72" i="2"/>
  <c r="V72" i="2"/>
  <c r="T72" i="2"/>
  <c r="R72" i="2"/>
  <c r="P72" i="2"/>
  <c r="N72" i="2"/>
  <c r="L72" i="2"/>
  <c r="AA71" i="2"/>
  <c r="AB71" i="2" s="1"/>
  <c r="Z71" i="2"/>
  <c r="X71" i="2"/>
  <c r="V71" i="2"/>
  <c r="T71" i="2"/>
  <c r="R71" i="2"/>
  <c r="P71" i="2"/>
  <c r="N71" i="2"/>
  <c r="L71" i="2"/>
  <c r="AA70" i="2"/>
  <c r="AB70" i="2" s="1"/>
  <c r="Z70" i="2"/>
  <c r="X70" i="2"/>
  <c r="V70" i="2"/>
  <c r="T70" i="2"/>
  <c r="R70" i="2"/>
  <c r="P70" i="2"/>
  <c r="N70" i="2"/>
  <c r="L70" i="2"/>
  <c r="AA69" i="2"/>
  <c r="AB69" i="2" s="1"/>
  <c r="Z69" i="2"/>
  <c r="X69" i="2"/>
  <c r="V69" i="2"/>
  <c r="T69" i="2"/>
  <c r="R69" i="2"/>
  <c r="P69" i="2"/>
  <c r="N69" i="2"/>
  <c r="L69" i="2"/>
  <c r="AA68" i="2"/>
  <c r="AB68" i="2" s="1"/>
  <c r="Z68" i="2"/>
  <c r="X68" i="2"/>
  <c r="V68" i="2"/>
  <c r="T68" i="2"/>
  <c r="R68" i="2"/>
  <c r="P68" i="2"/>
  <c r="N68" i="2"/>
  <c r="L68" i="2"/>
  <c r="AA67" i="2"/>
  <c r="AB67" i="2" s="1"/>
  <c r="Z67" i="2"/>
  <c r="X67" i="2"/>
  <c r="V67" i="2"/>
  <c r="T67" i="2"/>
  <c r="R67" i="2"/>
  <c r="P67" i="2"/>
  <c r="N67" i="2"/>
  <c r="L67" i="2"/>
  <c r="AA66" i="2"/>
  <c r="AB66" i="2" s="1"/>
  <c r="Z66" i="2"/>
  <c r="X66" i="2"/>
  <c r="V66" i="2"/>
  <c r="T66" i="2"/>
  <c r="R66" i="2"/>
  <c r="P66" i="2"/>
  <c r="N66" i="2"/>
  <c r="L66" i="2"/>
  <c r="AA65" i="2"/>
  <c r="AB65" i="2" s="1"/>
  <c r="Z65" i="2"/>
  <c r="X65" i="2"/>
  <c r="V65" i="2"/>
  <c r="T65" i="2"/>
  <c r="R65" i="2"/>
  <c r="P65" i="2"/>
  <c r="N65" i="2"/>
  <c r="L65" i="2"/>
  <c r="AA64" i="2"/>
  <c r="AB64" i="2" s="1"/>
  <c r="Z64" i="2"/>
  <c r="X64" i="2"/>
  <c r="V64" i="2"/>
  <c r="T64" i="2"/>
  <c r="R64" i="2"/>
  <c r="P64" i="2"/>
  <c r="N64" i="2"/>
  <c r="L64" i="2"/>
  <c r="AA63" i="2"/>
  <c r="AB63" i="2" s="1"/>
  <c r="Z63" i="2"/>
  <c r="X63" i="2"/>
  <c r="V63" i="2"/>
  <c r="T63" i="2"/>
  <c r="R63" i="2"/>
  <c r="P63" i="2"/>
  <c r="N63" i="2"/>
  <c r="L63" i="2"/>
  <c r="AA62" i="2"/>
  <c r="AB62" i="2" s="1"/>
  <c r="Z62" i="2"/>
  <c r="X62" i="2"/>
  <c r="V62" i="2"/>
  <c r="T62" i="2"/>
  <c r="R62" i="2"/>
  <c r="P62" i="2"/>
  <c r="N62" i="2"/>
  <c r="L62" i="2"/>
  <c r="AA61" i="2"/>
  <c r="AB61" i="2" s="1"/>
  <c r="Z61" i="2"/>
  <c r="X61" i="2"/>
  <c r="V61" i="2"/>
  <c r="T61" i="2"/>
  <c r="R61" i="2"/>
  <c r="P61" i="2"/>
  <c r="N61" i="2"/>
  <c r="L61" i="2"/>
  <c r="AA60" i="2"/>
  <c r="AB60" i="2" s="1"/>
  <c r="Z60" i="2"/>
  <c r="X60" i="2"/>
  <c r="V60" i="2"/>
  <c r="T60" i="2"/>
  <c r="R60" i="2"/>
  <c r="P60" i="2"/>
  <c r="N60" i="2"/>
  <c r="L60" i="2"/>
  <c r="AA59" i="2"/>
  <c r="AB59" i="2" s="1"/>
  <c r="Z59" i="2"/>
  <c r="X59" i="2"/>
  <c r="V59" i="2"/>
  <c r="T59" i="2"/>
  <c r="R59" i="2"/>
  <c r="P59" i="2"/>
  <c r="N59" i="2"/>
  <c r="L59" i="2"/>
  <c r="AA58" i="2"/>
  <c r="AB58" i="2" s="1"/>
  <c r="Z58" i="2"/>
  <c r="X58" i="2"/>
  <c r="V58" i="2"/>
  <c r="T58" i="2"/>
  <c r="R58" i="2"/>
  <c r="P58" i="2"/>
  <c r="N58" i="2"/>
  <c r="L58" i="2"/>
  <c r="AA57" i="2"/>
  <c r="AB57" i="2" s="1"/>
  <c r="Z57" i="2"/>
  <c r="X57" i="2"/>
  <c r="V57" i="2"/>
  <c r="T57" i="2"/>
  <c r="R57" i="2"/>
  <c r="P57" i="2"/>
  <c r="N57" i="2"/>
  <c r="L57" i="2"/>
  <c r="AA56" i="2"/>
  <c r="AB56" i="2" s="1"/>
  <c r="Z56" i="2"/>
  <c r="X56" i="2"/>
  <c r="V56" i="2"/>
  <c r="T56" i="2"/>
  <c r="R56" i="2"/>
  <c r="P56" i="2"/>
  <c r="N56" i="2"/>
  <c r="L56" i="2"/>
  <c r="AA55" i="2"/>
  <c r="AB55" i="2" s="1"/>
  <c r="Z55" i="2"/>
  <c r="X55" i="2"/>
  <c r="V55" i="2"/>
  <c r="T55" i="2"/>
  <c r="R55" i="2"/>
  <c r="P55" i="2"/>
  <c r="N55" i="2"/>
  <c r="L55" i="2"/>
  <c r="AA54" i="2"/>
  <c r="AB54" i="2" s="1"/>
  <c r="Z54" i="2"/>
  <c r="X54" i="2"/>
  <c r="V54" i="2"/>
  <c r="T54" i="2"/>
  <c r="R54" i="2"/>
  <c r="P54" i="2"/>
  <c r="N54" i="2"/>
  <c r="L54" i="2"/>
  <c r="AA53" i="2"/>
  <c r="AB53" i="2" s="1"/>
  <c r="Z53" i="2"/>
  <c r="X53" i="2"/>
  <c r="V53" i="2"/>
  <c r="T53" i="2"/>
  <c r="R53" i="2"/>
  <c r="P53" i="2"/>
  <c r="N53" i="2"/>
  <c r="L53" i="2"/>
  <c r="AA52" i="2"/>
  <c r="AB52" i="2" s="1"/>
  <c r="Z52" i="2"/>
  <c r="X52" i="2"/>
  <c r="V52" i="2"/>
  <c r="T52" i="2"/>
  <c r="R52" i="2"/>
  <c r="P52" i="2"/>
  <c r="N52" i="2"/>
  <c r="L52" i="2"/>
  <c r="AA51" i="2"/>
  <c r="AB51" i="2" s="1"/>
  <c r="Z51" i="2"/>
  <c r="X51" i="2"/>
  <c r="V51" i="2"/>
  <c r="T51" i="2"/>
  <c r="R51" i="2"/>
  <c r="P51" i="2"/>
  <c r="N51" i="2"/>
  <c r="L51" i="2"/>
  <c r="AA50" i="2"/>
  <c r="AB50" i="2" s="1"/>
  <c r="Z50" i="2"/>
  <c r="X50" i="2"/>
  <c r="V50" i="2"/>
  <c r="T50" i="2"/>
  <c r="R50" i="2"/>
  <c r="P50" i="2"/>
  <c r="N50" i="2"/>
  <c r="L50" i="2"/>
  <c r="AA49" i="2"/>
  <c r="AB49" i="2" s="1"/>
  <c r="Z49" i="2"/>
  <c r="X49" i="2"/>
  <c r="V49" i="2"/>
  <c r="T49" i="2"/>
  <c r="R49" i="2"/>
  <c r="P49" i="2"/>
  <c r="N49" i="2"/>
  <c r="L49" i="2"/>
  <c r="AA48" i="2"/>
  <c r="AB48" i="2" s="1"/>
  <c r="Z48" i="2"/>
  <c r="X48" i="2"/>
  <c r="V48" i="2"/>
  <c r="T48" i="2"/>
  <c r="R48" i="2"/>
  <c r="P48" i="2"/>
  <c r="N48" i="2"/>
  <c r="L48" i="2"/>
  <c r="AA47" i="2"/>
  <c r="AB47" i="2" s="1"/>
  <c r="Z47" i="2"/>
  <c r="X47" i="2"/>
  <c r="V47" i="2"/>
  <c r="T47" i="2"/>
  <c r="R47" i="2"/>
  <c r="P47" i="2"/>
  <c r="N47" i="2"/>
  <c r="L47" i="2"/>
  <c r="AA46" i="2"/>
  <c r="AB46" i="2" s="1"/>
  <c r="Z46" i="2"/>
  <c r="X46" i="2"/>
  <c r="V46" i="2"/>
  <c r="T46" i="2"/>
  <c r="R46" i="2"/>
  <c r="P46" i="2"/>
  <c r="N46" i="2"/>
  <c r="L46" i="2"/>
  <c r="AA45" i="2"/>
  <c r="AB45" i="2" s="1"/>
  <c r="Z45" i="2"/>
  <c r="X45" i="2"/>
  <c r="V45" i="2"/>
  <c r="T45" i="2"/>
  <c r="R45" i="2"/>
  <c r="P45" i="2"/>
  <c r="N45" i="2"/>
  <c r="L45" i="2"/>
  <c r="AA44" i="2"/>
  <c r="AB44" i="2" s="1"/>
  <c r="Z44" i="2"/>
  <c r="X44" i="2"/>
  <c r="V44" i="2"/>
  <c r="T44" i="2"/>
  <c r="R44" i="2"/>
  <c r="P44" i="2"/>
  <c r="N44" i="2"/>
  <c r="L44" i="2"/>
  <c r="AA43" i="2"/>
  <c r="AB43" i="2" s="1"/>
  <c r="Z43" i="2"/>
  <c r="X43" i="2"/>
  <c r="V43" i="2"/>
  <c r="T43" i="2"/>
  <c r="R43" i="2"/>
  <c r="P43" i="2"/>
  <c r="N43" i="2"/>
  <c r="L43" i="2"/>
  <c r="AA42" i="2"/>
  <c r="AB42" i="2" s="1"/>
  <c r="Z42" i="2"/>
  <c r="X42" i="2"/>
  <c r="V42" i="2"/>
  <c r="T42" i="2"/>
  <c r="R42" i="2"/>
  <c r="P42" i="2"/>
  <c r="N42" i="2"/>
  <c r="L42" i="2"/>
  <c r="AA41" i="2"/>
  <c r="AB41" i="2" s="1"/>
  <c r="Z41" i="2"/>
  <c r="X41" i="2"/>
  <c r="V41" i="2"/>
  <c r="T41" i="2"/>
  <c r="R41" i="2"/>
  <c r="P41" i="2"/>
  <c r="N41" i="2"/>
  <c r="L41" i="2"/>
  <c r="AA40" i="2"/>
  <c r="AB40" i="2" s="1"/>
  <c r="Z40" i="2"/>
  <c r="X40" i="2"/>
  <c r="V40" i="2"/>
  <c r="T40" i="2"/>
  <c r="R40" i="2"/>
  <c r="P40" i="2"/>
  <c r="N40" i="2"/>
  <c r="L40" i="2"/>
  <c r="AA39" i="2"/>
  <c r="AB39" i="2" s="1"/>
  <c r="Z39" i="2"/>
  <c r="X39" i="2"/>
  <c r="V39" i="2"/>
  <c r="T39" i="2"/>
  <c r="R39" i="2"/>
  <c r="P39" i="2"/>
  <c r="N39" i="2"/>
  <c r="L39" i="2"/>
  <c r="AA38" i="2"/>
  <c r="AB38" i="2" s="1"/>
  <c r="Z38" i="2"/>
  <c r="X38" i="2"/>
  <c r="V38" i="2"/>
  <c r="T38" i="2"/>
  <c r="R38" i="2"/>
  <c r="P38" i="2"/>
  <c r="N38" i="2"/>
  <c r="L38" i="2"/>
  <c r="AA37" i="2"/>
  <c r="AB37" i="2" s="1"/>
  <c r="Z37" i="2"/>
  <c r="X37" i="2"/>
  <c r="V37" i="2"/>
  <c r="T37" i="2"/>
  <c r="R37" i="2"/>
  <c r="P37" i="2"/>
  <c r="N37" i="2"/>
  <c r="L37" i="2"/>
  <c r="AA36" i="2"/>
  <c r="AB36" i="2" s="1"/>
  <c r="Z36" i="2"/>
  <c r="X36" i="2"/>
  <c r="V36" i="2"/>
  <c r="T36" i="2"/>
  <c r="R36" i="2"/>
  <c r="P36" i="2"/>
  <c r="N36" i="2"/>
  <c r="L36" i="2"/>
  <c r="AA35" i="2"/>
  <c r="AB35" i="2" s="1"/>
  <c r="Z35" i="2"/>
  <c r="X35" i="2"/>
  <c r="V35" i="2"/>
  <c r="T35" i="2"/>
  <c r="R35" i="2"/>
  <c r="P35" i="2"/>
  <c r="N35" i="2"/>
  <c r="L35" i="2"/>
  <c r="AA34" i="2"/>
  <c r="AB34" i="2" s="1"/>
  <c r="Z34" i="2"/>
  <c r="X34" i="2"/>
  <c r="V34" i="2"/>
  <c r="T34" i="2"/>
  <c r="R34" i="2"/>
  <c r="P34" i="2"/>
  <c r="N34" i="2"/>
  <c r="L34" i="2"/>
  <c r="AA33" i="2"/>
  <c r="AB33" i="2" s="1"/>
  <c r="Z33" i="2"/>
  <c r="X33" i="2"/>
  <c r="V33" i="2"/>
  <c r="T33" i="2"/>
  <c r="R33" i="2"/>
  <c r="P33" i="2"/>
  <c r="N33" i="2"/>
  <c r="L33" i="2"/>
  <c r="AA32" i="2"/>
  <c r="AB32" i="2" s="1"/>
  <c r="Z32" i="2"/>
  <c r="X32" i="2"/>
  <c r="V32" i="2"/>
  <c r="T32" i="2"/>
  <c r="R32" i="2"/>
  <c r="P32" i="2"/>
  <c r="N32" i="2"/>
  <c r="L32" i="2"/>
  <c r="AA31" i="2"/>
  <c r="AB31" i="2" s="1"/>
  <c r="Z31" i="2"/>
  <c r="X31" i="2"/>
  <c r="V31" i="2"/>
  <c r="T31" i="2"/>
  <c r="R31" i="2"/>
  <c r="P31" i="2"/>
  <c r="N31" i="2"/>
  <c r="L31" i="2"/>
  <c r="AA30" i="2"/>
  <c r="AB30" i="2" s="1"/>
  <c r="Z30" i="2"/>
  <c r="X30" i="2"/>
  <c r="V30" i="2"/>
  <c r="T30" i="2"/>
  <c r="R30" i="2"/>
  <c r="P30" i="2"/>
  <c r="N30" i="2"/>
  <c r="L30" i="2"/>
  <c r="AA29" i="2"/>
  <c r="AB29" i="2" s="1"/>
  <c r="Z29" i="2"/>
  <c r="X29" i="2"/>
  <c r="V29" i="2"/>
  <c r="T29" i="2"/>
  <c r="R29" i="2"/>
  <c r="P29" i="2"/>
  <c r="N29" i="2"/>
  <c r="L29" i="2"/>
  <c r="AA28" i="2"/>
  <c r="AB28" i="2" s="1"/>
  <c r="Z28" i="2"/>
  <c r="X28" i="2"/>
  <c r="V28" i="2"/>
  <c r="T28" i="2"/>
  <c r="R28" i="2"/>
  <c r="P28" i="2"/>
  <c r="N28" i="2"/>
  <c r="L28" i="2"/>
  <c r="AA27" i="2"/>
  <c r="AB27" i="2" s="1"/>
  <c r="Z27" i="2"/>
  <c r="X27" i="2"/>
  <c r="V27" i="2"/>
  <c r="T27" i="2"/>
  <c r="R27" i="2"/>
  <c r="P27" i="2"/>
  <c r="N27" i="2"/>
  <c r="L27" i="2"/>
  <c r="AA26" i="2"/>
  <c r="AB26" i="2" s="1"/>
  <c r="Z26" i="2"/>
  <c r="X26" i="2"/>
  <c r="V26" i="2"/>
  <c r="T26" i="2"/>
  <c r="R26" i="2"/>
  <c r="P26" i="2"/>
  <c r="N26" i="2"/>
  <c r="L26" i="2"/>
  <c r="AA25" i="2"/>
  <c r="AB25" i="2" s="1"/>
  <c r="Z25" i="2"/>
  <c r="X25" i="2"/>
  <c r="V25" i="2"/>
  <c r="T25" i="2"/>
  <c r="R25" i="2"/>
  <c r="P25" i="2"/>
  <c r="N25" i="2"/>
  <c r="L25" i="2"/>
  <c r="AA24" i="2"/>
  <c r="AB24" i="2" s="1"/>
  <c r="Z24" i="2"/>
  <c r="X24" i="2"/>
  <c r="V24" i="2"/>
  <c r="T24" i="2"/>
  <c r="R24" i="2"/>
  <c r="P24" i="2"/>
  <c r="N24" i="2"/>
  <c r="L24" i="2"/>
  <c r="AA23" i="2"/>
  <c r="AB23" i="2" s="1"/>
  <c r="Z23" i="2"/>
  <c r="X23" i="2"/>
  <c r="V23" i="2"/>
  <c r="T23" i="2"/>
  <c r="R23" i="2"/>
  <c r="P23" i="2"/>
  <c r="N23" i="2"/>
  <c r="L23" i="2"/>
  <c r="AA22" i="2"/>
  <c r="AB22" i="2" s="1"/>
  <c r="Z22" i="2"/>
  <c r="X22" i="2"/>
  <c r="V22" i="2"/>
  <c r="T22" i="2"/>
  <c r="R22" i="2"/>
  <c r="P22" i="2"/>
  <c r="N22" i="2"/>
  <c r="L22" i="2"/>
  <c r="AA21" i="2"/>
  <c r="AB21" i="2" s="1"/>
  <c r="Z21" i="2"/>
  <c r="X21" i="2"/>
  <c r="V21" i="2"/>
  <c r="T21" i="2"/>
  <c r="R21" i="2"/>
  <c r="P21" i="2"/>
  <c r="N21" i="2"/>
  <c r="L21" i="2"/>
  <c r="AA20" i="2"/>
  <c r="AB20" i="2" s="1"/>
  <c r="Z20" i="2"/>
  <c r="X20" i="2"/>
  <c r="V20" i="2"/>
  <c r="T20" i="2"/>
  <c r="R20" i="2"/>
  <c r="P20" i="2"/>
  <c r="N20" i="2"/>
  <c r="L20" i="2"/>
  <c r="AA19" i="2"/>
  <c r="AB19" i="2" s="1"/>
  <c r="Z19" i="2"/>
  <c r="X19" i="2"/>
  <c r="V19" i="2"/>
  <c r="T19" i="2"/>
  <c r="R19" i="2"/>
  <c r="P19" i="2"/>
  <c r="N19" i="2"/>
  <c r="L19" i="2"/>
  <c r="AA18" i="2"/>
  <c r="AB18" i="2" s="1"/>
  <c r="Z18" i="2"/>
  <c r="X18" i="2"/>
  <c r="V18" i="2"/>
  <c r="T18" i="2"/>
  <c r="R18" i="2"/>
  <c r="P18" i="2"/>
  <c r="N18" i="2"/>
  <c r="L18" i="2"/>
  <c r="AA17" i="2"/>
  <c r="AB17" i="2" s="1"/>
  <c r="Z17" i="2"/>
  <c r="X17" i="2"/>
  <c r="V17" i="2"/>
  <c r="T17" i="2"/>
  <c r="R17" i="2"/>
  <c r="P17" i="2"/>
  <c r="N17" i="2"/>
  <c r="L17" i="2"/>
  <c r="AA16" i="2"/>
  <c r="AB16" i="2" s="1"/>
  <c r="Z16" i="2"/>
  <c r="X16" i="2"/>
  <c r="V16" i="2"/>
  <c r="T16" i="2"/>
  <c r="R16" i="2"/>
  <c r="P16" i="2"/>
  <c r="N16" i="2"/>
  <c r="L16" i="2"/>
  <c r="AA15" i="2"/>
  <c r="AB15" i="2" s="1"/>
  <c r="Z15" i="2"/>
  <c r="X15" i="2"/>
  <c r="V15" i="2"/>
  <c r="T15" i="2"/>
  <c r="R15" i="2"/>
  <c r="P15" i="2"/>
  <c r="N15" i="2"/>
  <c r="L15" i="2"/>
  <c r="AA14" i="2"/>
  <c r="AB14" i="2" s="1"/>
  <c r="Z14" i="2"/>
  <c r="X14" i="2"/>
  <c r="V14" i="2"/>
  <c r="T14" i="2"/>
  <c r="R14" i="2"/>
  <c r="P14" i="2"/>
  <c r="N14" i="2"/>
  <c r="L14" i="2"/>
  <c r="AA13" i="2"/>
  <c r="AB13" i="2" s="1"/>
  <c r="Z13" i="2"/>
  <c r="X13" i="2"/>
  <c r="V13" i="2"/>
  <c r="T13" i="2"/>
  <c r="R13" i="2"/>
  <c r="P13" i="2"/>
  <c r="N13" i="2"/>
  <c r="L13" i="2"/>
  <c r="AA12" i="2"/>
  <c r="AB12" i="2" s="1"/>
  <c r="Z12" i="2"/>
  <c r="X12" i="2"/>
  <c r="V12" i="2"/>
  <c r="T12" i="2"/>
  <c r="R12" i="2"/>
  <c r="P12" i="2"/>
  <c r="N12" i="2"/>
  <c r="L12" i="2"/>
  <c r="AA11" i="2"/>
  <c r="AB11" i="2" s="1"/>
  <c r="Z11" i="2"/>
  <c r="X11" i="2"/>
  <c r="V11" i="2"/>
  <c r="T11" i="2"/>
  <c r="R11" i="2"/>
  <c r="P11" i="2"/>
  <c r="N11" i="2"/>
  <c r="L11" i="2"/>
  <c r="AA10" i="2"/>
  <c r="AB10" i="2" s="1"/>
  <c r="Z10" i="2"/>
  <c r="X10" i="2"/>
  <c r="V10" i="2"/>
  <c r="T10" i="2"/>
  <c r="R10" i="2"/>
  <c r="P10" i="2"/>
  <c r="N10" i="2"/>
  <c r="L10" i="2"/>
  <c r="AA9" i="2"/>
  <c r="AB9" i="2" s="1"/>
  <c r="Z9" i="2"/>
  <c r="X9" i="2"/>
  <c r="V9" i="2"/>
  <c r="T9" i="2"/>
  <c r="R9" i="2"/>
  <c r="P9" i="2"/>
  <c r="N9" i="2"/>
  <c r="L9" i="2"/>
  <c r="AA8" i="2"/>
  <c r="AB8" i="2" s="1"/>
  <c r="Z8" i="2"/>
  <c r="X8" i="2"/>
  <c r="V8" i="2"/>
  <c r="T8" i="2"/>
  <c r="R8" i="2"/>
  <c r="P8" i="2"/>
  <c r="N8" i="2"/>
  <c r="L8" i="2"/>
  <c r="AA7" i="2"/>
  <c r="AB7" i="2" s="1"/>
  <c r="Z7" i="2"/>
  <c r="X7" i="2"/>
  <c r="V7" i="2"/>
  <c r="T7" i="2"/>
  <c r="R7" i="2"/>
  <c r="P7" i="2"/>
  <c r="N7" i="2"/>
  <c r="L7" i="2"/>
  <c r="AA6" i="2"/>
  <c r="AB6" i="2" s="1"/>
  <c r="Z6" i="2"/>
  <c r="X6" i="2"/>
  <c r="V6" i="2"/>
  <c r="T6" i="2"/>
  <c r="R6" i="2"/>
  <c r="P6" i="2"/>
  <c r="N6" i="2"/>
  <c r="L6" i="2"/>
  <c r="AA5" i="2"/>
  <c r="AB5" i="2" s="1"/>
  <c r="Z5" i="2"/>
  <c r="X5" i="2"/>
  <c r="V5" i="2"/>
  <c r="T5" i="2"/>
  <c r="R5" i="2"/>
  <c r="P5" i="2"/>
  <c r="N5" i="2"/>
  <c r="L5" i="2"/>
  <c r="AA4" i="2"/>
  <c r="AB4" i="2" s="1"/>
  <c r="Z4" i="2"/>
  <c r="X4" i="2"/>
  <c r="V4" i="2"/>
  <c r="T4" i="2"/>
  <c r="R4" i="2"/>
  <c r="P4" i="2"/>
  <c r="N4" i="2"/>
  <c r="L4" i="2"/>
  <c r="AA3" i="2"/>
  <c r="AB3" i="2" s="1"/>
  <c r="Z3" i="2"/>
  <c r="X3" i="2"/>
  <c r="V3" i="2"/>
  <c r="V1" i="2" s="1"/>
  <c r="T3" i="2"/>
  <c r="R3" i="2"/>
  <c r="P3" i="2"/>
  <c r="N3" i="2"/>
  <c r="L3" i="2"/>
  <c r="AC1" i="2"/>
  <c r="Y1" i="2"/>
  <c r="W1" i="2"/>
  <c r="U1" i="2"/>
  <c r="S1" i="2"/>
  <c r="Q1" i="2"/>
  <c r="O1" i="2"/>
  <c r="M1" i="2"/>
  <c r="K1" i="2"/>
  <c r="T1" i="2" l="1"/>
  <c r="R1" i="2"/>
  <c r="L1" i="2"/>
  <c r="N1" i="2"/>
  <c r="P1" i="2"/>
  <c r="Z1" i="2"/>
  <c r="X1" i="2"/>
  <c r="AB1" i="2"/>
  <c r="AA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CB551-AF98-4F78-886F-252F57F344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356AC15-9772-4F65-A110-535794B32D16}" name="WorksheetConnection_Sheet2!$A$1:$W$1777" type="102" refreshedVersion="8" minRefreshableVersion="5">
    <extLst>
      <ext xmlns:x15="http://schemas.microsoft.com/office/spreadsheetml/2010/11/main" uri="{DE250136-89BD-433C-8126-D09CA5730AF9}">
        <x15:connection id="Range-4cc01a21-0969-4679-be2e-a0afa32345fc" autoDelete="1">
          <x15:rangePr sourceName="_xlcn.WorksheetConnection_Sheet2A1W17771"/>
        </x15:connection>
      </ext>
    </extLst>
  </connection>
</connections>
</file>

<file path=xl/sharedStrings.xml><?xml version="1.0" encoding="utf-8"?>
<sst xmlns="http://schemas.openxmlformats.org/spreadsheetml/2006/main" count="27877" uniqueCount="4128">
  <si>
    <t>Mã SP2</t>
  </si>
  <si>
    <t>Tên SP</t>
  </si>
  <si>
    <t>Mã SP</t>
  </si>
  <si>
    <t>4902468297045</t>
  </si>
  <si>
    <t>MEISHOKU- Kem chống nắng cho da nhạy cảm 40g</t>
  </si>
  <si>
    <t>102419</t>
  </si>
  <si>
    <t>4902468297151</t>
  </si>
  <si>
    <t>MEISHOU- KCN tone hồng cho da nhạy cảm 40g</t>
  </si>
  <si>
    <t>102422</t>
  </si>
  <si>
    <t>8935006542907</t>
  </si>
  <si>
    <t>HADA LABO- Bộ sản phẩm dưỡng ẩm (travel kit)47g</t>
  </si>
  <si>
    <t>102387</t>
  </si>
  <si>
    <t>8935006542914</t>
  </si>
  <si>
    <t>HADA LABO- Bộ sản phẩm dưỡng trắng (travel kit)47g</t>
  </si>
  <si>
    <t>102388</t>
  </si>
  <si>
    <t>4902468297021</t>
  </si>
  <si>
    <t>MEISHOKU- Kem dưỡng da dịu nhẹ 45g</t>
  </si>
  <si>
    <t>102418</t>
  </si>
  <si>
    <t>4902468816017</t>
  </si>
  <si>
    <t>MEISHOKU- Kem dưỡng trắng mịn Cvita 45g</t>
  </si>
  <si>
    <t>102416</t>
  </si>
  <si>
    <t>4902468816024</t>
  </si>
  <si>
    <t>MEISHOKU- Tinh chất dưỡng Cvita 30g</t>
  </si>
  <si>
    <t>102415</t>
  </si>
  <si>
    <t>4902468820007</t>
  </si>
  <si>
    <t>MEISHOKU- Tinh chất dưỡng ẩm chuyên sâu 30ml</t>
  </si>
  <si>
    <t>102420</t>
  </si>
  <si>
    <t>4902468820014</t>
  </si>
  <si>
    <t>MEISHOKU- Kem gel dưỡng ẩm phục hồi chuyên sâu 50g</t>
  </si>
  <si>
    <t>102384</t>
  </si>
  <si>
    <t>4902468816000</t>
  </si>
  <si>
    <t>MEISHOKU- Nước hoa hồng dưỡng trắng Cvita 150ml</t>
  </si>
  <si>
    <t>102414</t>
  </si>
  <si>
    <t>4902468802126</t>
  </si>
  <si>
    <t>MEISHOKU- SRM ngăn ngừa mụn Bigan 80g</t>
  </si>
  <si>
    <t>102412</t>
  </si>
  <si>
    <t>4902468816062</t>
  </si>
  <si>
    <t>MEISHOKU- Sữa rửa mặt sáng da Cvita 100g</t>
  </si>
  <si>
    <t>102386</t>
  </si>
  <si>
    <t>4902468819032</t>
  </si>
  <si>
    <t>MEISHOU- Sữa rửa mặt làm sạch thuần chay 100g</t>
  </si>
  <si>
    <t>102421</t>
  </si>
  <si>
    <t>4987241173242</t>
  </si>
  <si>
    <t>ROHTO- SRM Melano CC mờ thâm nám (130g)</t>
  </si>
  <si>
    <t>230269</t>
  </si>
  <si>
    <t>4906327905980</t>
  </si>
  <si>
    <t>KOMODA - Khăn mặt khô dùng 1 lần 46m 20x20cm</t>
  </si>
  <si>
    <t>102390</t>
  </si>
  <si>
    <t>4969757110652</t>
  </si>
  <si>
    <t>KYOWA- Gói bông tẩy trang 130 miếng</t>
  </si>
  <si>
    <t>102389</t>
  </si>
  <si>
    <t>4991203205759</t>
  </si>
  <si>
    <t>ECHO - Khăn mặt dạng nén 20v size 26x16cm</t>
  </si>
  <si>
    <t>102391</t>
  </si>
  <si>
    <t>3830056330328</t>
  </si>
  <si>
    <t>LINEABON- TPBVSK Vitamin K2 + D3 Drop 10ml</t>
  </si>
  <si>
    <t>121673</t>
  </si>
  <si>
    <t>3830056330953</t>
  </si>
  <si>
    <t>LINEABON- TPBVSK K2+D3 Spray 10ml</t>
  </si>
  <si>
    <t>121674</t>
  </si>
  <si>
    <t>8058301520170</t>
  </si>
  <si>
    <t>BREVICILLIN- TPBVSK men vi sinh 20 gói</t>
  </si>
  <si>
    <t>121675</t>
  </si>
  <si>
    <t>8436036590635</t>
  </si>
  <si>
    <t>NEO KIDS-TPBVSK Gummies K2ALCIUM+150g</t>
  </si>
  <si>
    <t>121667</t>
  </si>
  <si>
    <t>8436036591441</t>
  </si>
  <si>
    <t>NEO KIDS-TPBVSK Gummies Omega 3 DHA 150g</t>
  </si>
  <si>
    <t>121666</t>
  </si>
  <si>
    <t>8436036591915</t>
  </si>
  <si>
    <t>NEO KIDS-TPBVSK Omega 3 DHA 150ml</t>
  </si>
  <si>
    <t>121669</t>
  </si>
  <si>
    <t>3830056330939</t>
  </si>
  <si>
    <t>BESTIFER- TPBVSK sắt viên cho mẹ bầu và sau sinh</t>
  </si>
  <si>
    <t>121676</t>
  </si>
  <si>
    <t>8801260608836</t>
  </si>
  <si>
    <t>KLEANNARA- Khăn ướt 5 tinh chất (có nắp) 100 tờ</t>
  </si>
  <si>
    <t>121677</t>
  </si>
  <si>
    <t>8934755035036</t>
  </si>
  <si>
    <t>FRESSI- Khăn ướt Care For All 20 miếng</t>
  </si>
  <si>
    <t>121662</t>
  </si>
  <si>
    <t>8934755035074</t>
  </si>
  <si>
    <t>BOBBY- Khăn ướt em bé có hương 100 miếng</t>
  </si>
  <si>
    <t>121664</t>
  </si>
  <si>
    <t>8934755035197</t>
  </si>
  <si>
    <t>FRESSI- Khăn ướt Care For All 100 miếng</t>
  </si>
  <si>
    <t>121663</t>
  </si>
  <si>
    <t>8934755035289</t>
  </si>
  <si>
    <t>BOBBY- Khăn ướt em bé không mùi 100 miếng</t>
  </si>
  <si>
    <t>121665</t>
  </si>
  <si>
    <t>4968988074993</t>
  </si>
  <si>
    <t>OMAICHI- Set 2 lọ chiết mỹ phẩm 40ml kèm hộp đựng</t>
  </si>
  <si>
    <t>135039</t>
  </si>
  <si>
    <t>4987115545885</t>
  </si>
  <si>
    <t>KINCHO-DD làm thơm phòng và đuổi muỗi (trái cây)</t>
  </si>
  <si>
    <t>134480</t>
  </si>
  <si>
    <t>4987115545892</t>
  </si>
  <si>
    <t>KINCHO-DD làm thơm phòng và đuổi muỗi Hoa SIBERIAN</t>
  </si>
  <si>
    <t>134479</t>
  </si>
  <si>
    <t>4987115545939</t>
  </si>
  <si>
    <t>KINCHO-DD làm thơm phòng đuổi muỗi (không mùi)</t>
  </si>
  <si>
    <t>134478</t>
  </si>
  <si>
    <t>4547894156315</t>
  </si>
  <si>
    <t>CLORETS-Kẹo cao su hương vị 4 mùa 140g</t>
  </si>
  <si>
    <t>231374</t>
  </si>
  <si>
    <t>4903333200375</t>
  </si>
  <si>
    <t>LOTTE-Kẹo cao su tổng hợp dạng lọ 114g</t>
  </si>
  <si>
    <t>231377</t>
  </si>
  <si>
    <t>4903333228577</t>
  </si>
  <si>
    <t>LOTTE-Kẹo cao su tổng hợp 7 loại dạng lọ 133g</t>
  </si>
  <si>
    <t>231376</t>
  </si>
  <si>
    <t>4547894156612</t>
  </si>
  <si>
    <t>MONDELEZ JAPAN - Kẹo cao su 112g</t>
  </si>
  <si>
    <t>154105</t>
  </si>
  <si>
    <t>4547894156650</t>
  </si>
  <si>
    <t>MONDELEZ JAPAN - Kẹo cao su vị bưởi hồng 130g</t>
  </si>
  <si>
    <t>154653</t>
  </si>
  <si>
    <t>4903333241651</t>
  </si>
  <si>
    <t>LOTTE - Kẹo cao su black black ít đường 133g</t>
  </si>
  <si>
    <t>153932</t>
  </si>
  <si>
    <t>6972507562159</t>
  </si>
  <si>
    <t>AMORTALS- Bông tẩy trang đa năng 240 miếng</t>
  </si>
  <si>
    <t>30124</t>
  </si>
  <si>
    <t>6972507566652</t>
  </si>
  <si>
    <t>AMORTALS- Khăn giấy rút đa năng 70 miếng</t>
  </si>
  <si>
    <t>30126</t>
  </si>
  <si>
    <t>6972507567529</t>
  </si>
  <si>
    <t>AMORTALS- Khăn rửa mặt tẩy trang dạng cuộn</t>
  </si>
  <si>
    <t>30125</t>
  </si>
  <si>
    <t>4902468816093</t>
  </si>
  <si>
    <t>MEISHOKU- Kem chống nắng C Vita 100g</t>
  </si>
  <si>
    <t>102417</t>
  </si>
  <si>
    <t>4902468802171</t>
  </si>
  <si>
    <t>MEISHOKU- Toner pad ngừa mụn Bigan (60m)</t>
  </si>
  <si>
    <t>102413</t>
  </si>
  <si>
    <t>4902806470642</t>
  </si>
  <si>
    <t>GATSBY- SRM sạch bụi &amp; dầu nhờn 130g</t>
  </si>
  <si>
    <t>102448</t>
  </si>
  <si>
    <t>4902806102048</t>
  </si>
  <si>
    <t>GATSBY- SRM than hoạt tính sạch sâu 130g</t>
  </si>
  <si>
    <t>230849</t>
  </si>
  <si>
    <t>45131639</t>
  </si>
  <si>
    <t>GATSBY- Sáp vuốt tóc tạo kiểu vuốt đứng 80g</t>
  </si>
  <si>
    <t>101904</t>
  </si>
  <si>
    <t>45131677</t>
  </si>
  <si>
    <t>GATSBY- Sáp vuốt tóc giữ nếp 80g</t>
  </si>
  <si>
    <t>100160</t>
  </si>
  <si>
    <t>4902806108781</t>
  </si>
  <si>
    <t>GATSBY-  Sáp vuốt tóc tạo độ phồng 80g</t>
  </si>
  <si>
    <t>101906</t>
  </si>
  <si>
    <t>4987115545946</t>
  </si>
  <si>
    <t xml:space="preserve">KINCHO-Dung dịch khử mùi đuổi côn trùng hương hoa </t>
  </si>
  <si>
    <t>133079</t>
  </si>
  <si>
    <t>4987115105874</t>
  </si>
  <si>
    <t>KINCHO- XỊT DIỆT MUỖI HƯƠNG HOA HỒNG 45ML</t>
  </si>
  <si>
    <t>230476</t>
  </si>
  <si>
    <t>Ngành</t>
  </si>
  <si>
    <t>Nhóm</t>
  </si>
  <si>
    <t>Loại</t>
  </si>
  <si>
    <t>Tình trạng hàng hóa</t>
  </si>
  <si>
    <t>Trạng thái kinh doanh</t>
  </si>
  <si>
    <t>Giá bán lẻ</t>
  </si>
  <si>
    <t>CHĂM SÓC HÀNG NGÀY</t>
  </si>
  <si>
    <t>VẬT DỤNG HÀNG NGÀY</t>
  </si>
  <si>
    <t>BÔNG TẢY TRANG</t>
  </si>
  <si>
    <t>Chính ngạch</t>
  </si>
  <si>
    <t>HÀNG NEW</t>
  </si>
  <si>
    <t>KHĂN KHÔ</t>
  </si>
  <si>
    <t>CHĂM SÓC SẮC ĐẸP</t>
  </si>
  <si>
    <t>CHĂM SÓC CƠ THỂ</t>
  </si>
  <si>
    <t>CHỐNG NẮNG</t>
  </si>
  <si>
    <t>CHĂM SÓC DA</t>
  </si>
  <si>
    <t>CHĂM SÓC DA KHÁC</t>
  </si>
  <si>
    <t>KEM DƯỠNG</t>
  </si>
  <si>
    <t>NƯỚC HOA HỒNG</t>
  </si>
  <si>
    <t>RỬA MẶT</t>
  </si>
  <si>
    <t>Không chính ngạch</t>
  </si>
  <si>
    <t>DUY TRÌ THƯỜNG XUYÊN</t>
  </si>
  <si>
    <t>NGỪNG NHẬP</t>
  </si>
  <si>
    <t>CHĂM SÓC TÓC</t>
  </si>
  <si>
    <t>TẠO KIỂU TÓC</t>
  </si>
  <si>
    <t>Mỹ phẩm khác</t>
  </si>
  <si>
    <t>PHỤ KIỆN LÀM ĐẸP</t>
  </si>
  <si>
    <t>NHÀ CỬA ĐỜI SỐNG</t>
  </si>
  <si>
    <t>KHĂN</t>
  </si>
  <si>
    <t>KHĂN MẶT</t>
  </si>
  <si>
    <t>PHÒNG CHỐNG CÔN TRÙNG</t>
  </si>
  <si>
    <t>CHỐNG CÔN TRÙNG</t>
  </si>
  <si>
    <t>DIỆT CÔN TRÙNG</t>
  </si>
  <si>
    <t>ĐỒ DÙNG SINH HOẠT GIA ĐÌNH</t>
  </si>
  <si>
    <t>VẬT DỤNG SINH HOẠT KHÁC</t>
  </si>
  <si>
    <t>THỰC PHẨM</t>
  </si>
  <si>
    <t>BÁNH KẸO, ĐỒ ĂN VẶT</t>
  </si>
  <si>
    <t>KẸO CAO SU</t>
  </si>
  <si>
    <t>ĐỒ CHO MẸ BÉ</t>
  </si>
  <si>
    <t>CHĂM SÓC CƠ THỂ BÉ</t>
  </si>
  <si>
    <t>THỰC PHẨM CHỨC NĂNG CHO BÉ</t>
  </si>
  <si>
    <t>ĐÓNG MÃ</t>
  </si>
  <si>
    <t>CHĂM SÓC MẸ BẦU</t>
  </si>
  <si>
    <t>THỰC PHẨM CHỨC NĂNG MẸ BẦU</t>
  </si>
  <si>
    <t>GIẤY ƯỚT</t>
  </si>
  <si>
    <t>GIẤY ƯỚT CHO BÉ</t>
  </si>
  <si>
    <t>Tổng tồn kho</t>
  </si>
  <si>
    <t>Mandarin C1</t>
  </si>
  <si>
    <t>Thái Hà</t>
  </si>
  <si>
    <t>Trần Đăng Ninh</t>
  </si>
  <si>
    <t>Nguyễn Du</t>
  </si>
  <si>
    <t>Hàng Bông</t>
  </si>
  <si>
    <t>Hàm Nghi</t>
  </si>
  <si>
    <t>Nguyễn Tuân</t>
  </si>
  <si>
    <t>T6 Time City</t>
  </si>
  <si>
    <t>GT tồn kho Mandarin C1</t>
  </si>
  <si>
    <t>GT tồn kho Thái Hà</t>
  </si>
  <si>
    <t>GT tồn kho Trần Đăng Ninh</t>
  </si>
  <si>
    <t>GT tồn kho Nguyễn Du</t>
  </si>
  <si>
    <t>GT tồn kho Hàng Bông</t>
  </si>
  <si>
    <t>GT tồn kho Hàm Nghi</t>
  </si>
  <si>
    <t>GT tồn kho Nguyễn Tuân</t>
  </si>
  <si>
    <t>GT tồn kho T6 Time City</t>
  </si>
  <si>
    <t>Tổng GT tồn kho</t>
  </si>
  <si>
    <t>Năm</t>
  </si>
  <si>
    <t>Tháng</t>
  </si>
  <si>
    <t>Ngày</t>
  </si>
  <si>
    <t>Kênh KD</t>
  </si>
  <si>
    <t>Mã ST</t>
  </si>
  <si>
    <t>Tên ST</t>
  </si>
  <si>
    <t>SĐT</t>
  </si>
  <si>
    <t>Tên khách</t>
  </si>
  <si>
    <t>Nhóm khách</t>
  </si>
  <si>
    <t>Loại đơn</t>
  </si>
  <si>
    <t>Mã chứng từ</t>
  </si>
  <si>
    <t>Item no</t>
  </si>
  <si>
    <t>Barcode</t>
  </si>
  <si>
    <t>Giá BL</t>
  </si>
  <si>
    <t>SLSP</t>
  </si>
  <si>
    <t>Thành tiền BL</t>
  </si>
  <si>
    <t>Tiền KM</t>
  </si>
  <si>
    <t>Thực thu</t>
  </si>
  <si>
    <t>1. SKK store</t>
  </si>
  <si>
    <t>S1004</t>
  </si>
  <si>
    <t>SKK  Mandarin C1</t>
  </si>
  <si>
    <t>02466810404</t>
  </si>
  <si>
    <t>KLHMG</t>
  </si>
  <si>
    <t>Khách vãng lai</t>
  </si>
  <si>
    <t>Đơn bán</t>
  </si>
  <si>
    <t>Cô Hoa</t>
  </si>
  <si>
    <t>Khách cũ</t>
  </si>
  <si>
    <t>0344996956</t>
  </si>
  <si>
    <t>Mai Thuý Hà</t>
  </si>
  <si>
    <t>Khách mới</t>
  </si>
  <si>
    <t>chị hương</t>
  </si>
  <si>
    <t>0839115658</t>
  </si>
  <si>
    <t>0903211661</t>
  </si>
  <si>
    <t>Nguyễn Lộc</t>
  </si>
  <si>
    <t>0912610758</t>
  </si>
  <si>
    <t>Chú Trần Hoàng Khánh</t>
  </si>
  <si>
    <t>0913220222</t>
  </si>
  <si>
    <t>Dao Ton toàn</t>
  </si>
  <si>
    <t>chi dung</t>
  </si>
  <si>
    <t>Chị Hạnh</t>
  </si>
  <si>
    <t>Chị Ngọc</t>
  </si>
  <si>
    <t>0946584879</t>
  </si>
  <si>
    <t>SAKUKO794100</t>
  </si>
  <si>
    <t>0965496666</t>
  </si>
  <si>
    <t>Anh Tuấn</t>
  </si>
  <si>
    <t>0965628628</t>
  </si>
  <si>
    <t>SAKUKO794440</t>
  </si>
  <si>
    <t>chị dung</t>
  </si>
  <si>
    <t>c linh</t>
  </si>
  <si>
    <t>0982511365</t>
  </si>
  <si>
    <t>cô Phương</t>
  </si>
  <si>
    <t>SAKUKO795294</t>
  </si>
  <si>
    <t>0983221786</t>
  </si>
  <si>
    <t>Bac Huệ</t>
  </si>
  <si>
    <t>0983841138</t>
  </si>
  <si>
    <t>Cô Hoàng Phương Liên</t>
  </si>
  <si>
    <t>cô hạnh</t>
  </si>
  <si>
    <t>0987100888</t>
  </si>
  <si>
    <t>chi hong</t>
  </si>
  <si>
    <t>S1005</t>
  </si>
  <si>
    <t>SKK  Thái Hà</t>
  </si>
  <si>
    <t>02466810505</t>
  </si>
  <si>
    <t>klth</t>
  </si>
  <si>
    <t>KẸO</t>
  </si>
  <si>
    <t>chị my</t>
  </si>
  <si>
    <t>anh thắng</t>
  </si>
  <si>
    <t>Đơn trả</t>
  </si>
  <si>
    <t>Cô Hương</t>
  </si>
  <si>
    <t>c phuong</t>
  </si>
  <si>
    <t>CHỊ TRANG</t>
  </si>
  <si>
    <t>0904813102</t>
  </si>
  <si>
    <t>Doãn Thị Mây</t>
  </si>
  <si>
    <t>SAKUKO795169</t>
  </si>
  <si>
    <t>Chị Yến</t>
  </si>
  <si>
    <t>Anh Hùng</t>
  </si>
  <si>
    <t>chi yen</t>
  </si>
  <si>
    <t>chị hiền</t>
  </si>
  <si>
    <t>Anh Dũng</t>
  </si>
  <si>
    <t>Chị Hòa</t>
  </si>
  <si>
    <t>C Hồng</t>
  </si>
  <si>
    <t>Chị Thảo</t>
  </si>
  <si>
    <t>anh đức</t>
  </si>
  <si>
    <t>Anh Phương</t>
  </si>
  <si>
    <t>S1006</t>
  </si>
  <si>
    <t>SKK Trần Đăng Ninh</t>
  </si>
  <si>
    <t>0862954688</t>
  </si>
  <si>
    <t>KLTDN</t>
  </si>
  <si>
    <t>A Sơn</t>
  </si>
  <si>
    <t>chị Huyền</t>
  </si>
  <si>
    <t>0904873107</t>
  </si>
  <si>
    <t>SAKUKO795233</t>
  </si>
  <si>
    <t>Chị Thúy</t>
  </si>
  <si>
    <t>C Chi</t>
  </si>
  <si>
    <t>Anh Huy</t>
  </si>
  <si>
    <t>0912103103</t>
  </si>
  <si>
    <t>Le Ngoc Anh</t>
  </si>
  <si>
    <t>Chi Mai</t>
  </si>
  <si>
    <t>chị Hà</t>
  </si>
  <si>
    <t>Chị Lê</t>
  </si>
  <si>
    <t>cô hà</t>
  </si>
  <si>
    <t>Chị Mai</t>
  </si>
  <si>
    <t>Chị Hường</t>
  </si>
  <si>
    <t>0962895999</t>
  </si>
  <si>
    <t>Chị Nguyệt</t>
  </si>
  <si>
    <t>cô thủy</t>
  </si>
  <si>
    <t>0974542161</t>
  </si>
  <si>
    <t>Phạm Thị Diễm</t>
  </si>
  <si>
    <t>chị Giang</t>
  </si>
  <si>
    <t>chị nguyễn thị hoa</t>
  </si>
  <si>
    <t>Cô Tâm</t>
  </si>
  <si>
    <t>c ánh</t>
  </si>
  <si>
    <t>chị Phương</t>
  </si>
  <si>
    <t>0984559550</t>
  </si>
  <si>
    <t>Chị Xuân</t>
  </si>
  <si>
    <t>SAKUKO794414</t>
  </si>
  <si>
    <t>MỲ, MIẾN</t>
  </si>
  <si>
    <t>MỲ ĂN LIỀN</t>
  </si>
  <si>
    <t>MỲ CHẾ BIẾN</t>
  </si>
  <si>
    <t>0986219669</t>
  </si>
  <si>
    <t>c vân anh</t>
  </si>
  <si>
    <t>SAKUKO794935</t>
  </si>
  <si>
    <t>Chị Quế</t>
  </si>
  <si>
    <t>0988707077</t>
  </si>
  <si>
    <t>Chị Nga</t>
  </si>
  <si>
    <t>0988778269</t>
  </si>
  <si>
    <t>chị liễu</t>
  </si>
  <si>
    <t>0989769483</t>
  </si>
  <si>
    <t>SAKUKO794379</t>
  </si>
  <si>
    <t>175435</t>
  </si>
  <si>
    <t>4901726014752</t>
  </si>
  <si>
    <t>ITSUKI FOODS- Mì soumen rau củ ngũ sắc320g</t>
  </si>
  <si>
    <t>S1007</t>
  </si>
  <si>
    <t>SKK  Nguyễn Du</t>
  </si>
  <si>
    <t>Anh</t>
  </si>
  <si>
    <t>Cô Hợp</t>
  </si>
  <si>
    <t>Chị Trâm</t>
  </si>
  <si>
    <t>0862954339</t>
  </si>
  <si>
    <t>Klnd</t>
  </si>
  <si>
    <t>0904144664</t>
  </si>
  <si>
    <t>Chị</t>
  </si>
  <si>
    <t>SAKUKO795028</t>
  </si>
  <si>
    <t>cô vân</t>
  </si>
  <si>
    <t>CHI HA</t>
  </si>
  <si>
    <t>chi duyen</t>
  </si>
  <si>
    <t>Chị Phượng</t>
  </si>
  <si>
    <t>0917996789</t>
  </si>
  <si>
    <t>chị trần thị ngọc liên</t>
  </si>
  <si>
    <t>SAKUKO794825</t>
  </si>
  <si>
    <t>chị vân</t>
  </si>
  <si>
    <t>Chị Dương</t>
  </si>
  <si>
    <t>c Hương</t>
  </si>
  <si>
    <t>Chị Nhung</t>
  </si>
  <si>
    <t>0988938239</t>
  </si>
  <si>
    <t>Cô Thư</t>
  </si>
  <si>
    <t>S1008</t>
  </si>
  <si>
    <t>SKK  Hàng Bông</t>
  </si>
  <si>
    <t>02466810202</t>
  </si>
  <si>
    <t>KH Tây</t>
  </si>
  <si>
    <t>0389929366</t>
  </si>
  <si>
    <t>Cô Huế</t>
  </si>
  <si>
    <t>cô yến</t>
  </si>
  <si>
    <t>c Hằng</t>
  </si>
  <si>
    <t>0862947989</t>
  </si>
  <si>
    <t>KLHB</t>
  </si>
  <si>
    <t>anh Hiệp</t>
  </si>
  <si>
    <t>Anh Sơn</t>
  </si>
  <si>
    <t>cô mai</t>
  </si>
  <si>
    <t>co ha</t>
  </si>
  <si>
    <t>0913559381</t>
  </si>
  <si>
    <t>SAKUKO794085</t>
  </si>
  <si>
    <t>CHỊ THỦY</t>
  </si>
  <si>
    <t>Chị Ngọc Mai</t>
  </si>
  <si>
    <t>0977488899</t>
  </si>
  <si>
    <t>Cô Thu Hà</t>
  </si>
  <si>
    <t>SAKUKO794390</t>
  </si>
  <si>
    <t>c trang</t>
  </si>
  <si>
    <t>S1015</t>
  </si>
  <si>
    <t>SKK Hàm Nghi</t>
  </si>
  <si>
    <t>02422409595</t>
  </si>
  <si>
    <t>klhn</t>
  </si>
  <si>
    <t>0843221111</t>
  </si>
  <si>
    <t>0902891979</t>
  </si>
  <si>
    <t>SAKUKO794110</t>
  </si>
  <si>
    <t>0912180168</t>
  </si>
  <si>
    <t>0968652345</t>
  </si>
  <si>
    <t>anh lương anh tuấn</t>
  </si>
  <si>
    <t>chị Hồng</t>
  </si>
  <si>
    <t>0982161822</t>
  </si>
  <si>
    <t>c.ngân</t>
  </si>
  <si>
    <t>SAKUKO795177</t>
  </si>
  <si>
    <t>0986369556</t>
  </si>
  <si>
    <t>cHỊ LIỄU</t>
  </si>
  <si>
    <t>SAKUKO795275</t>
  </si>
  <si>
    <t>cô tuyết</t>
  </si>
  <si>
    <t>0989116633</t>
  </si>
  <si>
    <t>S1018</t>
  </si>
  <si>
    <t>SKK Nguyễn Tuân</t>
  </si>
  <si>
    <t>02422174499</t>
  </si>
  <si>
    <t>klnt</t>
  </si>
  <si>
    <t>Chị Hải</t>
  </si>
  <si>
    <t>0392968888</t>
  </si>
  <si>
    <t>SAKUKO794999</t>
  </si>
  <si>
    <t>Chị Minh</t>
  </si>
  <si>
    <t>Chị Nguyễn Hải Yến</t>
  </si>
  <si>
    <t>0988563569</t>
  </si>
  <si>
    <t>S1025</t>
  </si>
  <si>
    <t>SKK T6 Time City</t>
  </si>
  <si>
    <t>c yến</t>
  </si>
  <si>
    <t>0827072595</t>
  </si>
  <si>
    <t>Mr. Iwata</t>
  </si>
  <si>
    <t>chị huế</t>
  </si>
  <si>
    <t>0967569658</t>
  </si>
  <si>
    <t>KLT6</t>
  </si>
  <si>
    <t>0983059659</t>
  </si>
  <si>
    <t>0983309666</t>
  </si>
  <si>
    <t>0379944092</t>
  </si>
  <si>
    <t>Nghiêm Thị Bảo Yến</t>
  </si>
  <si>
    <t>c lan</t>
  </si>
  <si>
    <t>anh Nam</t>
  </si>
  <si>
    <t>0983272377</t>
  </si>
  <si>
    <t>Chị Cẩm Vân</t>
  </si>
  <si>
    <t>0989205144</t>
  </si>
  <si>
    <t>SAKUKO793429</t>
  </si>
  <si>
    <t>Chị Ánh</t>
  </si>
  <si>
    <t>0919188017</t>
  </si>
  <si>
    <t>nguyễn thị ngân</t>
  </si>
  <si>
    <t>0969857546</t>
  </si>
  <si>
    <t>Vân</t>
  </si>
  <si>
    <t>SAKUKO793693</t>
  </si>
  <si>
    <t>Anh Việt</t>
  </si>
  <si>
    <t>C HANH</t>
  </si>
  <si>
    <t>Chị HÀ</t>
  </si>
  <si>
    <t>Dương</t>
  </si>
  <si>
    <t>0374882527</t>
  </si>
  <si>
    <t>Chị Mai Phương Thu</t>
  </si>
  <si>
    <t>0903210096</t>
  </si>
  <si>
    <t>cô oanh</t>
  </si>
  <si>
    <t>SAKUKO793797</t>
  </si>
  <si>
    <t>0903220344</t>
  </si>
  <si>
    <t>Nguyễn Thị Lan Hương</t>
  </si>
  <si>
    <t>chị bình</t>
  </si>
  <si>
    <t>Chị Ngân</t>
  </si>
  <si>
    <t>0912442692</t>
  </si>
  <si>
    <t>chị Duyên</t>
  </si>
  <si>
    <t>Chị Thủy</t>
  </si>
  <si>
    <t>0932275568</t>
  </si>
  <si>
    <t>Anh Nghĩa</t>
  </si>
  <si>
    <t>SAKUKO793064</t>
  </si>
  <si>
    <t>Chị Nguyên</t>
  </si>
  <si>
    <t>0976376844</t>
  </si>
  <si>
    <t>Lê Thanh Vân</t>
  </si>
  <si>
    <t>SAKUKO793286</t>
  </si>
  <si>
    <t>Loan</t>
  </si>
  <si>
    <t>0979845282</t>
  </si>
  <si>
    <t>SAKUKO793424</t>
  </si>
  <si>
    <t>0982091492</t>
  </si>
  <si>
    <t>CHỊ QUỲNH</t>
  </si>
  <si>
    <t>SAKUKO793914</t>
  </si>
  <si>
    <t>c phương</t>
  </si>
  <si>
    <t>CHỊ LY</t>
  </si>
  <si>
    <t>0904307076</t>
  </si>
  <si>
    <t>chị ...</t>
  </si>
  <si>
    <t>0919215619</t>
  </si>
  <si>
    <t>Hồ Thị Thu Trang</t>
  </si>
  <si>
    <t>0903292942</t>
  </si>
  <si>
    <t>0913201130</t>
  </si>
  <si>
    <t>nguyễn thành minh</t>
  </si>
  <si>
    <t>0913666999</t>
  </si>
  <si>
    <t>0916671400</t>
  </si>
  <si>
    <t>SAKUKO793863</t>
  </si>
  <si>
    <t>chi vy</t>
  </si>
  <si>
    <t>0982298899</t>
  </si>
  <si>
    <t>Chú Cường</t>
  </si>
  <si>
    <t>SAKUKO792982</t>
  </si>
  <si>
    <t>c huyền</t>
  </si>
  <si>
    <t>Chị Việt Anh</t>
  </si>
  <si>
    <t>C Dung</t>
  </si>
  <si>
    <t>chị lý</t>
  </si>
  <si>
    <t>0982996542</t>
  </si>
  <si>
    <t>0983512986</t>
  </si>
  <si>
    <t>Le Huyen Trang</t>
  </si>
  <si>
    <t>c hà</t>
  </si>
  <si>
    <t>Chị Ngọc Anh</t>
  </si>
  <si>
    <t>0961727069</t>
  </si>
  <si>
    <t>C Lê Thị Hằng Nga</t>
  </si>
  <si>
    <t>0963244635</t>
  </si>
  <si>
    <t>Cô Liên</t>
  </si>
  <si>
    <t>c hạnh</t>
  </si>
  <si>
    <t>Chị Diễm</t>
  </si>
  <si>
    <t>0822921300</t>
  </si>
  <si>
    <t>NGUYỄN GIA BÁO</t>
  </si>
  <si>
    <t>c mai anh</t>
  </si>
  <si>
    <t>0903438889</t>
  </si>
  <si>
    <t>Chị Phạm Thị Lan Phương</t>
  </si>
  <si>
    <t>SAKUKO793296</t>
  </si>
  <si>
    <t>0904872003</t>
  </si>
  <si>
    <t>0912956768</t>
  </si>
  <si>
    <t>Anh Ngô Thanh Hùng</t>
  </si>
  <si>
    <t>SAKUKO793565</t>
  </si>
  <si>
    <t>0382871688</t>
  </si>
  <si>
    <t>Cô Luyện</t>
  </si>
  <si>
    <t>SAKUKO792119</t>
  </si>
  <si>
    <t>Chị Nguyễn Thị thu Hòa</t>
  </si>
  <si>
    <t>chị lan anh</t>
  </si>
  <si>
    <t>0966254999</t>
  </si>
  <si>
    <t>Nguyen Thi Thùy</t>
  </si>
  <si>
    <t>SAKUKO792766</t>
  </si>
  <si>
    <t>0966628999</t>
  </si>
  <si>
    <t>0975585998</t>
  </si>
  <si>
    <t>Chị Trương Thị Thu Hương 1613c1</t>
  </si>
  <si>
    <t>Chị Thoa</t>
  </si>
  <si>
    <t>c phượng</t>
  </si>
  <si>
    <t>0902215900</t>
  </si>
  <si>
    <t>Chị Đoàn LAn Huê</t>
  </si>
  <si>
    <t>0914770888</t>
  </si>
  <si>
    <t>0944953577</t>
  </si>
  <si>
    <t>Chị Dương Minh Nguyệt</t>
  </si>
  <si>
    <t>SAKUKO791746</t>
  </si>
  <si>
    <t>0967450622</t>
  </si>
  <si>
    <t>Anh Giang</t>
  </si>
  <si>
    <t>SAKUKO792673</t>
  </si>
  <si>
    <t>154249</t>
  </si>
  <si>
    <t>4517244004627</t>
  </si>
  <si>
    <t>ASAHI_Mì udon khô 400g</t>
  </si>
  <si>
    <t>chi thao</t>
  </si>
  <si>
    <t>0983051277</t>
  </si>
  <si>
    <t>Chị Nguyễn Thái Quỳnh Chi</t>
  </si>
  <si>
    <t/>
  </si>
  <si>
    <t>CHỊ XUÂN</t>
  </si>
  <si>
    <t>0912899339</t>
  </si>
  <si>
    <t>SAKUKO792058</t>
  </si>
  <si>
    <t>0913008718</t>
  </si>
  <si>
    <t>Anh Mai Quốc Long</t>
  </si>
  <si>
    <t>SAKUKO791760</t>
  </si>
  <si>
    <t>0913570928</t>
  </si>
  <si>
    <t>Chị Nguyễn Thị Thanh Thủy</t>
  </si>
  <si>
    <t>SAKUKO791785</t>
  </si>
  <si>
    <t>0932200805</t>
  </si>
  <si>
    <t>ANH HOÀNG AN</t>
  </si>
  <si>
    <t>SAKUKO792797</t>
  </si>
  <si>
    <t>0962631611</t>
  </si>
  <si>
    <t>SAKUKO792136</t>
  </si>
  <si>
    <t>Anh Mạnh</t>
  </si>
  <si>
    <t>0972822888</t>
  </si>
  <si>
    <t>SAKUKO792284</t>
  </si>
  <si>
    <t>0982220897</t>
  </si>
  <si>
    <t>SAKUKO791965</t>
  </si>
  <si>
    <t>0982770896</t>
  </si>
  <si>
    <t>A chị Ánh Hồng</t>
  </si>
  <si>
    <t>c ha</t>
  </si>
  <si>
    <t>0988366509</t>
  </si>
  <si>
    <t>Chị Hải Liên</t>
  </si>
  <si>
    <t>a hiếu</t>
  </si>
  <si>
    <t>0989342509</t>
  </si>
  <si>
    <t>Chị Ngô Hường</t>
  </si>
  <si>
    <t>SAKUKO792230</t>
  </si>
  <si>
    <t>Cô Xoan</t>
  </si>
  <si>
    <t>Chú Sơn</t>
  </si>
  <si>
    <t>0931775286</t>
  </si>
  <si>
    <t>0934462289</t>
  </si>
  <si>
    <t>Chị Phan Huyền Trang</t>
  </si>
  <si>
    <t>SAKUKO792065</t>
  </si>
  <si>
    <t>0934622455</t>
  </si>
  <si>
    <t>SAKUKO792617</t>
  </si>
  <si>
    <t>0936358897</t>
  </si>
  <si>
    <t>0944523038</t>
  </si>
  <si>
    <t>0969553332</t>
  </si>
  <si>
    <t>C Minh Chi</t>
  </si>
  <si>
    <t>0976661867</t>
  </si>
  <si>
    <t>cô phượng</t>
  </si>
  <si>
    <t>Chị Tú</t>
  </si>
  <si>
    <t>SAKUKO791947</t>
  </si>
  <si>
    <t>0949211291</t>
  </si>
  <si>
    <t>Chị Lê Hoài Phương</t>
  </si>
  <si>
    <t>0988999688</t>
  </si>
  <si>
    <t>Bác Ngà ngõ Hội Vũ</t>
  </si>
  <si>
    <t>0989150699</t>
  </si>
  <si>
    <t>chị đoàn thị hằng</t>
  </si>
  <si>
    <t>SAKUKO791816</t>
  </si>
  <si>
    <t>0358068741</t>
  </si>
  <si>
    <t>chị Quỳnh Anh</t>
  </si>
  <si>
    <t>CHỊ LINH</t>
  </si>
  <si>
    <t>0945386677</t>
  </si>
  <si>
    <t>chị khương quỳnh anh</t>
  </si>
  <si>
    <t>0975412596</t>
  </si>
  <si>
    <t>SAKUKO792377</t>
  </si>
  <si>
    <t>153693</t>
  </si>
  <si>
    <t>4902881066440</t>
  </si>
  <si>
    <t>MYOJO- Mỳ ramen vị miso 5 gói</t>
  </si>
  <si>
    <t>SAKUKO792140</t>
  </si>
  <si>
    <t>0983452568</t>
  </si>
  <si>
    <t>chị thịnh</t>
  </si>
  <si>
    <t>Chị Thơ</t>
  </si>
  <si>
    <t>0987556633</t>
  </si>
  <si>
    <t>0988744265</t>
  </si>
  <si>
    <t>Trang</t>
  </si>
  <si>
    <t>c huong</t>
  </si>
  <si>
    <t>0983854864</t>
  </si>
  <si>
    <t>0986336220</t>
  </si>
  <si>
    <t>SAKUKO792429</t>
  </si>
  <si>
    <t>0762171111</t>
  </si>
  <si>
    <t>Trương</t>
  </si>
  <si>
    <t>0843578889</t>
  </si>
  <si>
    <t>0912653366</t>
  </si>
  <si>
    <t>CHỊ HÀ</t>
  </si>
  <si>
    <t>0913236260</t>
  </si>
  <si>
    <t>Anh Huề</t>
  </si>
  <si>
    <t>0941285666</t>
  </si>
  <si>
    <t>chị chika</t>
  </si>
  <si>
    <t>Chị Tuyết</t>
  </si>
  <si>
    <t>0975582968</t>
  </si>
  <si>
    <t>Đào Ngọc Oanh</t>
  </si>
  <si>
    <t>SAKUKO791637</t>
  </si>
  <si>
    <t>0912619565</t>
  </si>
  <si>
    <t>SAKUKO791446</t>
  </si>
  <si>
    <t>0359589999</t>
  </si>
  <si>
    <t>0912711532</t>
  </si>
  <si>
    <t>anh Nhật</t>
  </si>
  <si>
    <t>SAKUKO790857</t>
  </si>
  <si>
    <t>0904133907</t>
  </si>
  <si>
    <t>0912691818</t>
  </si>
  <si>
    <t>Cô Nguyễn Thị Phương Lâm</t>
  </si>
  <si>
    <t>0913212086</t>
  </si>
  <si>
    <t>Bác Nga</t>
  </si>
  <si>
    <t>0913533343</t>
  </si>
  <si>
    <t>Chú Dũng</t>
  </si>
  <si>
    <t>chú minh</t>
  </si>
  <si>
    <t>0913583890</t>
  </si>
  <si>
    <t>cô Kim Duyên</t>
  </si>
  <si>
    <t>0916982509</t>
  </si>
  <si>
    <t>0948348668</t>
  </si>
  <si>
    <t>SAKUKO790888</t>
  </si>
  <si>
    <t>0968759738</t>
  </si>
  <si>
    <t>Khách nước ngoài NGĐ</t>
  </si>
  <si>
    <t>0988082916</t>
  </si>
  <si>
    <t>SAKUKO791496</t>
  </si>
  <si>
    <t>174948</t>
  </si>
  <si>
    <t>4582114354119</t>
  </si>
  <si>
    <t>SANUKISHISEI- Mì soumen 300g</t>
  </si>
  <si>
    <t>0988900482</t>
  </si>
  <si>
    <t>C Cúc</t>
  </si>
  <si>
    <t>SAKUKO791034</t>
  </si>
  <si>
    <t>0912345808</t>
  </si>
  <si>
    <t>SAKUKO791393</t>
  </si>
  <si>
    <t>0915464408</t>
  </si>
  <si>
    <t>0934459906</t>
  </si>
  <si>
    <t>chị mai vân anh</t>
  </si>
  <si>
    <t>0944191080</t>
  </si>
  <si>
    <t>anh bình</t>
  </si>
  <si>
    <t>0982868785</t>
  </si>
  <si>
    <t>Chị Nguyễn Diệp Hương</t>
  </si>
  <si>
    <t>Anh Quân</t>
  </si>
  <si>
    <t>0912666445</t>
  </si>
  <si>
    <t>ANH ĐỨC</t>
  </si>
  <si>
    <t>0868912389</t>
  </si>
  <si>
    <t>SAKUKO790749</t>
  </si>
  <si>
    <t>anh Tùng</t>
  </si>
  <si>
    <t>Anh Hải</t>
  </si>
  <si>
    <t>0964472087</t>
  </si>
  <si>
    <t>CHỊ TUYẾT</t>
  </si>
  <si>
    <t>SAKUKO791428</t>
  </si>
  <si>
    <t>chị uyên</t>
  </si>
  <si>
    <t>0796838045</t>
  </si>
  <si>
    <t>SAKUKO791179</t>
  </si>
  <si>
    <t>0985536645</t>
  </si>
  <si>
    <t>SAKUKO790873</t>
  </si>
  <si>
    <t>0934692638</t>
  </si>
  <si>
    <t>Chị Nguyễn Thị Kim Huyền</t>
  </si>
  <si>
    <t>SAKUKO791580</t>
  </si>
  <si>
    <t>0912313037</t>
  </si>
  <si>
    <t>0935906123</t>
  </si>
  <si>
    <t>0938566876</t>
  </si>
  <si>
    <t>chị tuệ vân</t>
  </si>
  <si>
    <t>0966688788</t>
  </si>
  <si>
    <t>0983409599</t>
  </si>
  <si>
    <t>0987604036</t>
  </si>
  <si>
    <t>Cô Nguyễn Thị Khuyên</t>
  </si>
  <si>
    <t>SAKUKO790012</t>
  </si>
  <si>
    <t>0816499313</t>
  </si>
  <si>
    <t>0969961538</t>
  </si>
  <si>
    <t>SAKUKO790344</t>
  </si>
  <si>
    <t>0983264604</t>
  </si>
  <si>
    <t>SAKUKO789947</t>
  </si>
  <si>
    <t>cô an</t>
  </si>
  <si>
    <t>0989390277</t>
  </si>
  <si>
    <t>Chị Trần Phương Anh</t>
  </si>
  <si>
    <t>Chị Nguyễn Thu Hương</t>
  </si>
  <si>
    <t>0912473223</t>
  </si>
  <si>
    <t>SAKUKO790453</t>
  </si>
  <si>
    <t>0915111616</t>
  </si>
  <si>
    <t>0942986885</t>
  </si>
  <si>
    <t>Lê Nguyễn Gíang</t>
  </si>
  <si>
    <t>SAKUKO790197</t>
  </si>
  <si>
    <t>0974278366</t>
  </si>
  <si>
    <t>chị sinh</t>
  </si>
  <si>
    <t>chị ánh</t>
  </si>
  <si>
    <t>Nguyễn hồng hạnh</t>
  </si>
  <si>
    <t>chị Hải Yến</t>
  </si>
  <si>
    <t>SAKUKO789395</t>
  </si>
  <si>
    <t>154251</t>
  </si>
  <si>
    <t>4560159440776</t>
  </si>
  <si>
    <t>SATO_Mì soba khô 800g</t>
  </si>
  <si>
    <t>0369686868</t>
  </si>
  <si>
    <t>Chị Phan Diễm Hằng</t>
  </si>
  <si>
    <t>0906041187</t>
  </si>
  <si>
    <t>0912428707</t>
  </si>
  <si>
    <t>0966206789</t>
  </si>
  <si>
    <t>Chị Thìn</t>
  </si>
  <si>
    <t>0983024223</t>
  </si>
  <si>
    <t>SAKUKO789312</t>
  </si>
  <si>
    <t>0983551829</t>
  </si>
  <si>
    <t>SAKUKO789743</t>
  </si>
  <si>
    <t>0986161634</t>
  </si>
  <si>
    <t>0989550937</t>
  </si>
  <si>
    <t>Thoa</t>
  </si>
  <si>
    <t>0913236211</t>
  </si>
  <si>
    <t>CO NGOC</t>
  </si>
  <si>
    <t>0915481357</t>
  </si>
  <si>
    <t>SAKUKO789189</t>
  </si>
  <si>
    <t>0985893086</t>
  </si>
  <si>
    <t>anh hạnh</t>
  </si>
  <si>
    <t>0325524222</t>
  </si>
  <si>
    <t>c oanh</t>
  </si>
  <si>
    <t>0913593379</t>
  </si>
  <si>
    <t>Cô Võ Thị Huệ</t>
  </si>
  <si>
    <t>0948377567</t>
  </si>
  <si>
    <t>chị tần</t>
  </si>
  <si>
    <t>0963752877</t>
  </si>
  <si>
    <t>0983855468</t>
  </si>
  <si>
    <t>Cô Phạm Kim Liên</t>
  </si>
  <si>
    <t>SAKUKO789581</t>
  </si>
  <si>
    <t>0985388459</t>
  </si>
  <si>
    <t>Nguyễn Thị Thu Hiền</t>
  </si>
  <si>
    <t>SAKUKO788970</t>
  </si>
  <si>
    <t>0989091536</t>
  </si>
  <si>
    <t>Nguyễn Hồng Nga</t>
  </si>
  <si>
    <t>SAKUKO789097</t>
  </si>
  <si>
    <t>SAKUKO788985</t>
  </si>
  <si>
    <t>0913838061</t>
  </si>
  <si>
    <t>Vũ Quỳnh Trang</t>
  </si>
  <si>
    <t>0942832411</t>
  </si>
  <si>
    <t>SAKUKO789107</t>
  </si>
  <si>
    <t>chi linh</t>
  </si>
  <si>
    <t>0975669914</t>
  </si>
  <si>
    <t>Chị Đinh Thị Hoa Hậu</t>
  </si>
  <si>
    <t>cô hường</t>
  </si>
  <si>
    <t>0986711691</t>
  </si>
  <si>
    <t>CHỊ MAI ANH</t>
  </si>
  <si>
    <t>SAKUKO789649</t>
  </si>
  <si>
    <t>0988752119</t>
  </si>
  <si>
    <t>SAKUKO789439</t>
  </si>
  <si>
    <t>0912024785</t>
  </si>
  <si>
    <t>Chị Quý</t>
  </si>
  <si>
    <t>0988000257</t>
  </si>
  <si>
    <t>0913321937</t>
  </si>
  <si>
    <t>0982502963</t>
  </si>
  <si>
    <t>Tseng Wen Jan</t>
  </si>
  <si>
    <t>0338832231</t>
  </si>
  <si>
    <t>SAKUKO789104</t>
  </si>
  <si>
    <t>0359111862</t>
  </si>
  <si>
    <t>0382071305</t>
  </si>
  <si>
    <t>SAKUKO789549</t>
  </si>
  <si>
    <t>0386392222</t>
  </si>
  <si>
    <t>0902207783</t>
  </si>
  <si>
    <t>chị cao thanh phương</t>
  </si>
  <si>
    <t>Chú Hà</t>
  </si>
  <si>
    <t>0961568666</t>
  </si>
  <si>
    <t>0972188889</t>
  </si>
  <si>
    <t>Chị Vũ Thị Thu Vân</t>
  </si>
  <si>
    <t>0366683430</t>
  </si>
  <si>
    <t>0905508082</t>
  </si>
  <si>
    <t>Chị Ngô Quỳnh Nga</t>
  </si>
  <si>
    <t>SAKUKO788466</t>
  </si>
  <si>
    <t>0966769426</t>
  </si>
  <si>
    <t>SAKUKO788621</t>
  </si>
  <si>
    <t>SAKUKO788463</t>
  </si>
  <si>
    <t>0933210386</t>
  </si>
  <si>
    <t>Chị Tình</t>
  </si>
  <si>
    <t>0888562299</t>
  </si>
  <si>
    <t>Nguyễn Bích HẠnh</t>
  </si>
  <si>
    <t>SAKUKO788133</t>
  </si>
  <si>
    <t>0913778960</t>
  </si>
  <si>
    <t>0936264044</t>
  </si>
  <si>
    <t>0936651985</t>
  </si>
  <si>
    <t>C THỦY</t>
  </si>
  <si>
    <t>0814525868</t>
  </si>
  <si>
    <t>cô Síu</t>
  </si>
  <si>
    <t>0903696611</t>
  </si>
  <si>
    <t>SAKUKO788144</t>
  </si>
  <si>
    <t>0904326965</t>
  </si>
  <si>
    <t>NGUYEN HOANG HUY</t>
  </si>
  <si>
    <t>chị minh anh</t>
  </si>
  <si>
    <t>0949003618</t>
  </si>
  <si>
    <t>Chị Nguyễn Quỳnh ANh</t>
  </si>
  <si>
    <t>0393651768</t>
  </si>
  <si>
    <t>0917879996</t>
  </si>
  <si>
    <t>SAKUKO788789</t>
  </si>
  <si>
    <t>0936145818</t>
  </si>
  <si>
    <t>0945758662</t>
  </si>
  <si>
    <t>chị sang</t>
  </si>
  <si>
    <t>0982666613</t>
  </si>
  <si>
    <t>0867685239</t>
  </si>
  <si>
    <t>0912185590</t>
  </si>
  <si>
    <t>Cô Canh</t>
  </si>
  <si>
    <t>SAKUKO788307</t>
  </si>
  <si>
    <t>0988301005</t>
  </si>
  <si>
    <t>0359549531</t>
  </si>
  <si>
    <t>anh Khổng Minh Hoàng</t>
  </si>
  <si>
    <t>SAKUKO788036</t>
  </si>
  <si>
    <t>0904555580</t>
  </si>
  <si>
    <t>Cô Minh</t>
  </si>
  <si>
    <t>Chi Hanh</t>
  </si>
  <si>
    <t>0905389489</t>
  </si>
  <si>
    <t>0983655627</t>
  </si>
  <si>
    <t>Lê Thị Hồng Hạnh</t>
  </si>
  <si>
    <t>SAKUKO787795</t>
  </si>
  <si>
    <t>0984663768</t>
  </si>
  <si>
    <t>0986869668</t>
  </si>
  <si>
    <t>C Liên 1807d2</t>
  </si>
  <si>
    <t>SAKUKO788003</t>
  </si>
  <si>
    <t>0988969462</t>
  </si>
  <si>
    <t>CHI CUC</t>
  </si>
  <si>
    <t>0986088133</t>
  </si>
  <si>
    <t>0904111345</t>
  </si>
  <si>
    <t>SAKUKO787291</t>
  </si>
  <si>
    <t>0904313316</t>
  </si>
  <si>
    <t>aNH CHÍNH</t>
  </si>
  <si>
    <t>0906822345</t>
  </si>
  <si>
    <t>0912154047</t>
  </si>
  <si>
    <t>SAKUKO786924</t>
  </si>
  <si>
    <t>0912377482</t>
  </si>
  <si>
    <t>chi hien</t>
  </si>
  <si>
    <t>0976999778</t>
  </si>
  <si>
    <t>0983197872</t>
  </si>
  <si>
    <t>SAKUKO787547</t>
  </si>
  <si>
    <t>0983420284</t>
  </si>
  <si>
    <t>Nhung</t>
  </si>
  <si>
    <t>0988918277</t>
  </si>
  <si>
    <t>Tân Hường</t>
  </si>
  <si>
    <t>C Hân</t>
  </si>
  <si>
    <t>0903211268</t>
  </si>
  <si>
    <t>SAKUKO787309</t>
  </si>
  <si>
    <t>0913351666</t>
  </si>
  <si>
    <t>SAKUKO786896</t>
  </si>
  <si>
    <t>154247</t>
  </si>
  <si>
    <t>4902902105004</t>
  </si>
  <si>
    <t>MALONY_Miến khoai tây 500g</t>
  </si>
  <si>
    <t>Nguyễn Phương Thảo</t>
  </si>
  <si>
    <t>0945975177</t>
  </si>
  <si>
    <t>SAKUKO787292</t>
  </si>
  <si>
    <t>0904380655</t>
  </si>
  <si>
    <t>C Thoa</t>
  </si>
  <si>
    <t>0916851799</t>
  </si>
  <si>
    <t>Trần Thị Thanh Thủy</t>
  </si>
  <si>
    <t>0366642222</t>
  </si>
  <si>
    <t>0395661996</t>
  </si>
  <si>
    <t>SAKUKO786955</t>
  </si>
  <si>
    <t>0985762299</t>
  </si>
  <si>
    <t>0832090412</t>
  </si>
  <si>
    <t>Bạn Hà An</t>
  </si>
  <si>
    <t>SAKUKO786917</t>
  </si>
  <si>
    <t>0912050588</t>
  </si>
  <si>
    <t>SAKUKO787326</t>
  </si>
  <si>
    <t>0936097247</t>
  </si>
  <si>
    <t>0976234266</t>
  </si>
  <si>
    <t>0986829797</t>
  </si>
  <si>
    <t>SAKUKO787380</t>
  </si>
  <si>
    <t>0793354245</t>
  </si>
  <si>
    <t>SAKUKO787195</t>
  </si>
  <si>
    <t>0906125577</t>
  </si>
  <si>
    <t>Chị Tạ Thuỳ An</t>
  </si>
  <si>
    <t>SAKUKO787123</t>
  </si>
  <si>
    <t>0911217992</t>
  </si>
  <si>
    <t>chị KIM HOÀN CHÂU</t>
  </si>
  <si>
    <t>SAKUKO787957</t>
  </si>
  <si>
    <t>Chị Lê Lan Phương</t>
  </si>
  <si>
    <t>0981881399</t>
  </si>
  <si>
    <t>0982302803</t>
  </si>
  <si>
    <t>Chị Trần thị hải Hậu</t>
  </si>
  <si>
    <t>SAKUKO787828</t>
  </si>
  <si>
    <t>SAKUKO785773</t>
  </si>
  <si>
    <t>Cô Huệ</t>
  </si>
  <si>
    <t>0966567222</t>
  </si>
  <si>
    <t>0978723988</t>
  </si>
  <si>
    <t>Chị Trang</t>
  </si>
  <si>
    <t>0981214866</t>
  </si>
  <si>
    <t>SAKUKO786167</t>
  </si>
  <si>
    <t>0989017458</t>
  </si>
  <si>
    <t>SAKUKO786684</t>
  </si>
  <si>
    <t>0389940839</t>
  </si>
  <si>
    <t>SAKUKO785950</t>
  </si>
  <si>
    <t>0913411869</t>
  </si>
  <si>
    <t>c Ut</t>
  </si>
  <si>
    <t>0932396999</t>
  </si>
  <si>
    <t>0934646486</t>
  </si>
  <si>
    <t>Chị Phúc</t>
  </si>
  <si>
    <t>0962336989</t>
  </si>
  <si>
    <t>chị hƯƠNG</t>
  </si>
  <si>
    <t>0968626788</t>
  </si>
  <si>
    <t>Nguyễn Ngọc Huyền</t>
  </si>
  <si>
    <t>SAKUKO786248</t>
  </si>
  <si>
    <t>0969998916</t>
  </si>
  <si>
    <t>0976150099</t>
  </si>
  <si>
    <t>0982220731</t>
  </si>
  <si>
    <t>SAKUKO786289</t>
  </si>
  <si>
    <t>0982701786</t>
  </si>
  <si>
    <t>Bà Na</t>
  </si>
  <si>
    <t>0983536044</t>
  </si>
  <si>
    <t>CHỊ LAN</t>
  </si>
  <si>
    <t>0378762183</t>
  </si>
  <si>
    <t>SAKUKO786758</t>
  </si>
  <si>
    <t>0902588490</t>
  </si>
  <si>
    <t>SAKUKO786851</t>
  </si>
  <si>
    <t>0912250575</t>
  </si>
  <si>
    <t>Chị Lê Thị Thu</t>
  </si>
  <si>
    <t>SAKUKO786050</t>
  </si>
  <si>
    <t>Chú Thanh</t>
  </si>
  <si>
    <t>0933668300</t>
  </si>
  <si>
    <t>SAKUKO786763</t>
  </si>
  <si>
    <t>Sơn</t>
  </si>
  <si>
    <t>0918355868</t>
  </si>
  <si>
    <t>chị Cao Thị Kim Anh</t>
  </si>
  <si>
    <t>SAKUKO785909</t>
  </si>
  <si>
    <t>0976863866</t>
  </si>
  <si>
    <t>0978185546</t>
  </si>
  <si>
    <t>Chị Trương Liên Hương</t>
  </si>
  <si>
    <t>0902282998</t>
  </si>
  <si>
    <t>0904326701</t>
  </si>
  <si>
    <t>Chị Trần Thị Hà</t>
  </si>
  <si>
    <t>SAKUKO785869</t>
  </si>
  <si>
    <t>SAKUKO784797</t>
  </si>
  <si>
    <t>0903424642</t>
  </si>
  <si>
    <t>Le Thanh Diep</t>
  </si>
  <si>
    <t>0913211212</t>
  </si>
  <si>
    <t>SAKUKO784692</t>
  </si>
  <si>
    <t>0915048586</t>
  </si>
  <si>
    <t>SAKUKO784752</t>
  </si>
  <si>
    <t>C Thư</t>
  </si>
  <si>
    <t>0989653939</t>
  </si>
  <si>
    <t>SAKUKO785571</t>
  </si>
  <si>
    <t>0366977936</t>
  </si>
  <si>
    <t>SAKUKO784912</t>
  </si>
  <si>
    <t>0912548166</t>
  </si>
  <si>
    <t>a định</t>
  </si>
  <si>
    <t>SAKUKO784663</t>
  </si>
  <si>
    <t>Chị Phan Hải Vân</t>
  </si>
  <si>
    <t>0972870714</t>
  </si>
  <si>
    <t>bác trần thị hồng tâm</t>
  </si>
  <si>
    <t>SAKUKO784551</t>
  </si>
  <si>
    <t>0983325590</t>
  </si>
  <si>
    <t>SAKUKO785086</t>
  </si>
  <si>
    <t>0987715186</t>
  </si>
  <si>
    <t>SAKUKO784838</t>
  </si>
  <si>
    <t>0988560088</t>
  </si>
  <si>
    <t>Anh Nguyễn Xuân Lâm</t>
  </si>
  <si>
    <t>SAKUKO784677</t>
  </si>
  <si>
    <t>SAKUKO784920</t>
  </si>
  <si>
    <t>SAKUKO784956</t>
  </si>
  <si>
    <t>0903774978</t>
  </si>
  <si>
    <t>Lê Thị Bích Hiền</t>
  </si>
  <si>
    <t>SAKUKO785347</t>
  </si>
  <si>
    <t>0913999165</t>
  </si>
  <si>
    <t>Phạm Trúc Quỳnh</t>
  </si>
  <si>
    <t>0915439229</t>
  </si>
  <si>
    <t>0943875159</t>
  </si>
  <si>
    <t>SAKUKO785569</t>
  </si>
  <si>
    <t>0975670089</t>
  </si>
  <si>
    <t>SAKUKO784801</t>
  </si>
  <si>
    <t>SAKUKO785303</t>
  </si>
  <si>
    <t>0886863163</t>
  </si>
  <si>
    <t>0904519003</t>
  </si>
  <si>
    <t>0912043407</t>
  </si>
  <si>
    <t>0917294943</t>
  </si>
  <si>
    <t>C Hoàng Anh</t>
  </si>
  <si>
    <t>0973087623</t>
  </si>
  <si>
    <t>chị Trần thị nguyệt hương</t>
  </si>
  <si>
    <t>SAKUKO784563</t>
  </si>
  <si>
    <t>0936291636</t>
  </si>
  <si>
    <t>Chị Nhàn</t>
  </si>
  <si>
    <t>Hải Anh</t>
  </si>
  <si>
    <t>0905666627</t>
  </si>
  <si>
    <t>Trần Vân</t>
  </si>
  <si>
    <t>SAKUKO785180</t>
  </si>
  <si>
    <t>0968608163</t>
  </si>
  <si>
    <t>Chị Hương Giang</t>
  </si>
  <si>
    <t>0899450363</t>
  </si>
  <si>
    <t>A Zai</t>
  </si>
  <si>
    <t>0943161987</t>
  </si>
  <si>
    <t>C TRẦN THÚY QUỲNH</t>
  </si>
  <si>
    <t>Chú Phong</t>
  </si>
  <si>
    <t>0889305103</t>
  </si>
  <si>
    <t>SAKUKO784185</t>
  </si>
  <si>
    <t>0931586868</t>
  </si>
  <si>
    <t>0936678887</t>
  </si>
  <si>
    <t>SAKUKO784224</t>
  </si>
  <si>
    <t>0963310789</t>
  </si>
  <si>
    <t>Chị Vượng</t>
  </si>
  <si>
    <t>0972360988</t>
  </si>
  <si>
    <t>SAKUKO784335</t>
  </si>
  <si>
    <t>0972777676</t>
  </si>
  <si>
    <t>0982373799</t>
  </si>
  <si>
    <t>chị Nguyễn Anh Tú</t>
  </si>
  <si>
    <t>SAKUKO784323</t>
  </si>
  <si>
    <t>0915442619</t>
  </si>
  <si>
    <t>SAKUKO780660</t>
  </si>
  <si>
    <t>SAKUKO783779</t>
  </si>
  <si>
    <t>0852345667</t>
  </si>
  <si>
    <t>A CƯỜNG</t>
  </si>
  <si>
    <t>SAKUKO784332</t>
  </si>
  <si>
    <t>0913253987</t>
  </si>
  <si>
    <t>Cô Nguyễn Thị Kim Liên</t>
  </si>
  <si>
    <t>0934681242</t>
  </si>
  <si>
    <t>0948741886</t>
  </si>
  <si>
    <t>0976554690</t>
  </si>
  <si>
    <t>SAKUKO783789</t>
  </si>
  <si>
    <t>0866213666</t>
  </si>
  <si>
    <t>Cô Lương</t>
  </si>
  <si>
    <t>0975028998</t>
  </si>
  <si>
    <t>SAKUKO783782</t>
  </si>
  <si>
    <t>0986268073</t>
  </si>
  <si>
    <t>0912357370</t>
  </si>
  <si>
    <t>SAKUKO784236</t>
  </si>
  <si>
    <t>0913231715</t>
  </si>
  <si>
    <t>nguyễn thị mến</t>
  </si>
  <si>
    <t>0914814499</t>
  </si>
  <si>
    <t>nguyễn thị hồng thúy</t>
  </si>
  <si>
    <t>Anh Trường</t>
  </si>
  <si>
    <t>0985156877</t>
  </si>
  <si>
    <t>chị các</t>
  </si>
  <si>
    <t>SAKUKO783699</t>
  </si>
  <si>
    <t>SAKUKO784383</t>
  </si>
  <si>
    <t>0988103589</t>
  </si>
  <si>
    <t>chị suben</t>
  </si>
  <si>
    <t>SAKUKO784359</t>
  </si>
  <si>
    <t>0989242222</t>
  </si>
  <si>
    <t>Chị Điệp</t>
  </si>
  <si>
    <t>0365508885</t>
  </si>
  <si>
    <t>0912570300</t>
  </si>
  <si>
    <t>NGUYỄN THỊ UYÊN</t>
  </si>
  <si>
    <t>SAKUKO784439</t>
  </si>
  <si>
    <t>0962188626</t>
  </si>
  <si>
    <t>0963336457</t>
  </si>
  <si>
    <t>SAKUKO784363</t>
  </si>
  <si>
    <t>0968848350</t>
  </si>
  <si>
    <t>C Hải</t>
  </si>
  <si>
    <t>SAKUKO784204</t>
  </si>
  <si>
    <t>0903408897</t>
  </si>
  <si>
    <t>SAKUKO782831</t>
  </si>
  <si>
    <t>0904265886</t>
  </si>
  <si>
    <t>le thi Phuong Lan</t>
  </si>
  <si>
    <t>SAKUKO783047</t>
  </si>
  <si>
    <t>0914684567</t>
  </si>
  <si>
    <t>chị vinh</t>
  </si>
  <si>
    <t>SAKUKO783172</t>
  </si>
  <si>
    <t>0913021571</t>
  </si>
  <si>
    <t>0913045745</t>
  </si>
  <si>
    <t>0906139386</t>
  </si>
  <si>
    <t>Vũ Thị Anh Thơ</t>
  </si>
  <si>
    <t>0912311663</t>
  </si>
  <si>
    <t>SAKUKO783122</t>
  </si>
  <si>
    <t>0914508218</t>
  </si>
  <si>
    <t>0915119219</t>
  </si>
  <si>
    <t>SAKUKO783216</t>
  </si>
  <si>
    <t>0976964992</t>
  </si>
  <si>
    <t>SAKUKO782744</t>
  </si>
  <si>
    <t>0977471111</t>
  </si>
  <si>
    <t>Nguyễn Thị Thương</t>
  </si>
  <si>
    <t>SAKUKO783010</t>
  </si>
  <si>
    <t>0917323966</t>
  </si>
  <si>
    <t>SAKUKO782998</t>
  </si>
  <si>
    <t>Chị Nguyễn Thu Trang</t>
  </si>
  <si>
    <t>0964336393</t>
  </si>
  <si>
    <t>Chú Nguyễn Văn Hưng</t>
  </si>
  <si>
    <t>0969393126</t>
  </si>
  <si>
    <t>SAKUKO782951</t>
  </si>
  <si>
    <t>CHỊ HẢI</t>
  </si>
  <si>
    <t>0989532199</t>
  </si>
  <si>
    <t>0868226223</t>
  </si>
  <si>
    <t>0983071070</t>
  </si>
  <si>
    <t>SAKUKO782954</t>
  </si>
  <si>
    <t>CÔ LIÊN</t>
  </si>
  <si>
    <t>0988971852</t>
  </si>
  <si>
    <t>SAKUKO782710</t>
  </si>
  <si>
    <t>0902399968</t>
  </si>
  <si>
    <t>Anh Phạm Ngọc Dũng</t>
  </si>
  <si>
    <t>0975968529</t>
  </si>
  <si>
    <t>0979576747</t>
  </si>
  <si>
    <t>0905937738</t>
  </si>
  <si>
    <t>SAKUKO783409</t>
  </si>
  <si>
    <t>0981238873</t>
  </si>
  <si>
    <t>Chị Lê Thị Linh</t>
  </si>
  <si>
    <t>SAKUKO783278</t>
  </si>
  <si>
    <t>0986327668</t>
  </si>
  <si>
    <t>Chị Lê Tố Như</t>
  </si>
  <si>
    <t>0987224848</t>
  </si>
  <si>
    <t>SAKUKO783117</t>
  </si>
  <si>
    <t>0903440890</t>
  </si>
  <si>
    <t>Nguyen Tue Khanh</t>
  </si>
  <si>
    <t>0915156666</t>
  </si>
  <si>
    <t>Chị Phạm Mỹ Anh</t>
  </si>
  <si>
    <t>SAKUKO782435</t>
  </si>
  <si>
    <t>0918860662</t>
  </si>
  <si>
    <t>Cô Hiển</t>
  </si>
  <si>
    <t>0963191111</t>
  </si>
  <si>
    <t>Ngọc Lan</t>
  </si>
  <si>
    <t>SAKUKO782124</t>
  </si>
  <si>
    <t>SAKUKO781968</t>
  </si>
  <si>
    <t>0565876955</t>
  </si>
  <si>
    <t>0902237306</t>
  </si>
  <si>
    <t>C. LINH</t>
  </si>
  <si>
    <t>SAKUKO781918</t>
  </si>
  <si>
    <t>SAKUKO782429</t>
  </si>
  <si>
    <t>0914331465</t>
  </si>
  <si>
    <t>0328380012</t>
  </si>
  <si>
    <t>SAKUKO782003</t>
  </si>
  <si>
    <t>0903453289</t>
  </si>
  <si>
    <t>0365444284</t>
  </si>
  <si>
    <t>Vũ Ngọc MAi</t>
  </si>
  <si>
    <t>SAKUKO781868</t>
  </si>
  <si>
    <t>0917682881</t>
  </si>
  <si>
    <t>0933051288</t>
  </si>
  <si>
    <t>SAKUKO781826</t>
  </si>
  <si>
    <t>0983733175</t>
  </si>
  <si>
    <t>Chị Nguyễn Thị Kim Anh</t>
  </si>
  <si>
    <t>0989644158</t>
  </si>
  <si>
    <t>SAKUKO781703</t>
  </si>
  <si>
    <t>154359</t>
  </si>
  <si>
    <t>4979397000138</t>
  </si>
  <si>
    <t>YAMAMOTO- Mì ramen ăn liền hải sản thịt heo 88g*5</t>
  </si>
  <si>
    <t>0986030436</t>
  </si>
  <si>
    <t>0906172525</t>
  </si>
  <si>
    <t>Mr. Masaoka</t>
  </si>
  <si>
    <t>0908240376</t>
  </si>
  <si>
    <t>Chị Nguyễn Thị Bích Thúy</t>
  </si>
  <si>
    <t>SAKUKO781339</t>
  </si>
  <si>
    <t>0346212113</t>
  </si>
  <si>
    <t>SAKUKO781356</t>
  </si>
  <si>
    <t>0903472389</t>
  </si>
  <si>
    <t>SAKUKO781069</t>
  </si>
  <si>
    <t>ANH HƯNG</t>
  </si>
  <si>
    <t>0912120246</t>
  </si>
  <si>
    <t>Anh Bút</t>
  </si>
  <si>
    <t>0867681354</t>
  </si>
  <si>
    <t>0904988377</t>
  </si>
  <si>
    <t>0975291368</t>
  </si>
  <si>
    <t>0983312781</t>
  </si>
  <si>
    <t>SAKUKO780617</t>
  </si>
  <si>
    <t>0983890066</t>
  </si>
  <si>
    <t>Chị Trần Thị Kim Cúc</t>
  </si>
  <si>
    <t>0987576714</t>
  </si>
  <si>
    <t>0349602006</t>
  </si>
  <si>
    <t>SAKUKO780322</t>
  </si>
  <si>
    <t>SAKUKO780977</t>
  </si>
  <si>
    <t>0904276977</t>
  </si>
  <si>
    <t>Nguyễn Hồng Hoa</t>
  </si>
  <si>
    <t>0963864168</t>
  </si>
  <si>
    <t>MAI THI BICH THAO</t>
  </si>
  <si>
    <t>0904005539</t>
  </si>
  <si>
    <t>chị Thu Hòa</t>
  </si>
  <si>
    <t>0913010311</t>
  </si>
  <si>
    <t>Chị Nguyễn Thị Nội</t>
  </si>
  <si>
    <t>0915949539</t>
  </si>
  <si>
    <t>0967678998</t>
  </si>
  <si>
    <t>SAKUKO780512</t>
  </si>
  <si>
    <t>0982335664</t>
  </si>
  <si>
    <t>Chị Vương Hảo Linh</t>
  </si>
  <si>
    <t>SAKUKO780435</t>
  </si>
  <si>
    <t>SAKUKO780844</t>
  </si>
  <si>
    <t>0902345699</t>
  </si>
  <si>
    <t>0906150268</t>
  </si>
  <si>
    <t>SAKUKO781143</t>
  </si>
  <si>
    <t>0912648483</t>
  </si>
  <si>
    <t>0972731888</t>
  </si>
  <si>
    <t>0983851689</t>
  </si>
  <si>
    <t>SAKUKO780760</t>
  </si>
  <si>
    <t>SAKUKO780996</t>
  </si>
  <si>
    <t>0983293464</t>
  </si>
  <si>
    <t>0912201094</t>
  </si>
  <si>
    <t>SAKUKO781245</t>
  </si>
  <si>
    <t>0919622539</t>
  </si>
  <si>
    <t>Chị PHƯƠNG MAI</t>
  </si>
  <si>
    <t>0989081067</t>
  </si>
  <si>
    <t>0913323364</t>
  </si>
  <si>
    <t>Niem Hong Hai</t>
  </si>
  <si>
    <t>SAKUKO779498</t>
  </si>
  <si>
    <t>0972588116</t>
  </si>
  <si>
    <t>SAKUKO780167</t>
  </si>
  <si>
    <t>0982169094</t>
  </si>
  <si>
    <t>nguyễn tuyết thu</t>
  </si>
  <si>
    <t>SAKUKO779258</t>
  </si>
  <si>
    <t>0983660927</t>
  </si>
  <si>
    <t>0773252652</t>
  </si>
  <si>
    <t>c Cẩm Ly</t>
  </si>
  <si>
    <t>SAKUKO779221</t>
  </si>
  <si>
    <t>0903210919</t>
  </si>
  <si>
    <t>bác Phạm Hữu thanh</t>
  </si>
  <si>
    <t>0913293365</t>
  </si>
  <si>
    <t>SAKUKO779497</t>
  </si>
  <si>
    <t>SAKUKO779602</t>
  </si>
  <si>
    <t>0913521125</t>
  </si>
  <si>
    <t>0914629886</t>
  </si>
  <si>
    <t>Chị Nguyễn Thị Thơm</t>
  </si>
  <si>
    <t>SAKUKO779676</t>
  </si>
  <si>
    <t>0916062248</t>
  </si>
  <si>
    <t>Trần thị hồng gấm</t>
  </si>
  <si>
    <t>SAKUKO779699</t>
  </si>
  <si>
    <t>0972765534</t>
  </si>
  <si>
    <t>0987008666</t>
  </si>
  <si>
    <t>Cô Vinh</t>
  </si>
  <si>
    <t>0913360006</t>
  </si>
  <si>
    <t>SAKUKO779829</t>
  </si>
  <si>
    <t>SAKUKO779443</t>
  </si>
  <si>
    <t>0983757548</t>
  </si>
  <si>
    <t>0912523887</t>
  </si>
  <si>
    <t>CHị Chu Ngân Hà</t>
  </si>
  <si>
    <t>SAKUKO780271</t>
  </si>
  <si>
    <t>0915629889</t>
  </si>
  <si>
    <t>SAKUKO779106</t>
  </si>
  <si>
    <t>0944951368</t>
  </si>
  <si>
    <t>SAKUKO780131</t>
  </si>
  <si>
    <t>SAKUKO779729</t>
  </si>
  <si>
    <t>0913033811</t>
  </si>
  <si>
    <t>SAKUKO779193</t>
  </si>
  <si>
    <t>0915725060</t>
  </si>
  <si>
    <t>Chị Kim Ngọc</t>
  </si>
  <si>
    <t>0983280880</t>
  </si>
  <si>
    <t>SAKUKO779557</t>
  </si>
  <si>
    <t>0986593288</t>
  </si>
  <si>
    <t>SAKUKO779955</t>
  </si>
  <si>
    <t>0912265158</t>
  </si>
  <si>
    <t>0903262212</t>
  </si>
  <si>
    <t>SAKUKO778725</t>
  </si>
  <si>
    <t>0934525618</t>
  </si>
  <si>
    <t>Chị Bùi Ngọc Linh</t>
  </si>
  <si>
    <t>SAKUKO778525</t>
  </si>
  <si>
    <t>0989119666</t>
  </si>
  <si>
    <t>0906255958</t>
  </si>
  <si>
    <t>SAKUKO778987</t>
  </si>
  <si>
    <t>SAKUKO778521</t>
  </si>
  <si>
    <t>0902064599</t>
  </si>
  <si>
    <t>Chị Lê Thị Bích Lan</t>
  </si>
  <si>
    <t>0913058189</t>
  </si>
  <si>
    <t>C THU TRANG</t>
  </si>
  <si>
    <t>0948609911</t>
  </si>
  <si>
    <t>Cúc</t>
  </si>
  <si>
    <t>0969791881</t>
  </si>
  <si>
    <t>CHỊ PHƯƠNG THỊ XUYÊN</t>
  </si>
  <si>
    <t>SAKUKO778021</t>
  </si>
  <si>
    <t>0983264454</t>
  </si>
  <si>
    <t>Chị Phan Thị Ngọc Dung</t>
  </si>
  <si>
    <t>0985137186</t>
  </si>
  <si>
    <t>Hoàng Xuân Ngọc</t>
  </si>
  <si>
    <t>0989475354</t>
  </si>
  <si>
    <t>SAKUKO778864</t>
  </si>
  <si>
    <t>SAKUKO778368</t>
  </si>
  <si>
    <t>SAKUKO778399</t>
  </si>
  <si>
    <t>SAKUKO778531</t>
  </si>
  <si>
    <t>SAKUKO778653</t>
  </si>
  <si>
    <t>0836361080</t>
  </si>
  <si>
    <t>0931498685</t>
  </si>
  <si>
    <t>0975521180</t>
  </si>
  <si>
    <t>0982242643</t>
  </si>
  <si>
    <t>chị ng nhật</t>
  </si>
  <si>
    <t>SAKUKO778799</t>
  </si>
  <si>
    <t>154198</t>
  </si>
  <si>
    <t>4979397000145</t>
  </si>
  <si>
    <t>YAMAMOTO_Mì ramen ăn liền vị miso 90g*5</t>
  </si>
  <si>
    <t>0986324504</t>
  </si>
  <si>
    <t>SAKUKO778444</t>
  </si>
  <si>
    <t>0905661978</t>
  </si>
  <si>
    <t>SAKUKO778759</t>
  </si>
  <si>
    <t>0858682124</t>
  </si>
  <si>
    <t>SAKUKO778046</t>
  </si>
  <si>
    <t>0948342587</t>
  </si>
  <si>
    <t>SAKUKO778396</t>
  </si>
  <si>
    <t>0971906460</t>
  </si>
  <si>
    <t>SAKUKO779061</t>
  </si>
  <si>
    <t>0904202629</t>
  </si>
  <si>
    <t>C. Thuý</t>
  </si>
  <si>
    <t>SAKUKO777096</t>
  </si>
  <si>
    <t>0942936789</t>
  </si>
  <si>
    <t>0961552246</t>
  </si>
  <si>
    <t>SAKUKO776894</t>
  </si>
  <si>
    <t>0989998586</t>
  </si>
  <si>
    <t>SAKUKO777023</t>
  </si>
  <si>
    <t>0366259645</t>
  </si>
  <si>
    <t>SAKUKO777521</t>
  </si>
  <si>
    <t>0949223888</t>
  </si>
  <si>
    <t>SAKUKO777125</t>
  </si>
  <si>
    <t>0965532899</t>
  </si>
  <si>
    <t>SAKUKO776934</t>
  </si>
  <si>
    <t>0988091948</t>
  </si>
  <si>
    <t>CHỊ LÊ LAN HƯƠNG</t>
  </si>
  <si>
    <t>SAKUKO777452</t>
  </si>
  <si>
    <t>SAKUKO777770</t>
  </si>
  <si>
    <t>0908200187</t>
  </si>
  <si>
    <t>CHI PHUONG HANH</t>
  </si>
  <si>
    <t>SAKUKO776906</t>
  </si>
  <si>
    <t>0982340287</t>
  </si>
  <si>
    <t>SAKUKO777514</t>
  </si>
  <si>
    <t>SAKUKO777277</t>
  </si>
  <si>
    <t>0389938971</t>
  </si>
  <si>
    <t>0906706688</t>
  </si>
  <si>
    <t>C TU</t>
  </si>
  <si>
    <t>SAKUKO776997</t>
  </si>
  <si>
    <t>0989099708</t>
  </si>
  <si>
    <t>SAKUKO777167</t>
  </si>
  <si>
    <t>SAKUKO777518</t>
  </si>
  <si>
    <t>0904161122</t>
  </si>
  <si>
    <t>SAKUKO777583</t>
  </si>
  <si>
    <t>0983995399</t>
  </si>
  <si>
    <t>SAKUKO777724</t>
  </si>
  <si>
    <t>0984382057</t>
  </si>
  <si>
    <t>Lê Quang Hưng</t>
  </si>
  <si>
    <t>SAKUKO777888</t>
  </si>
  <si>
    <t>0985738740</t>
  </si>
  <si>
    <t>0915303811</t>
  </si>
  <si>
    <t>0942004949</t>
  </si>
  <si>
    <t>Chị Nguyễn Thị Ngọc Lan</t>
  </si>
  <si>
    <t>SAKUKO775861</t>
  </si>
  <si>
    <t>0974482042</t>
  </si>
  <si>
    <t>SAKUKO776065</t>
  </si>
  <si>
    <t>0983471878</t>
  </si>
  <si>
    <t>Chị An Thu Hà</t>
  </si>
  <si>
    <t>SAKUKO776795</t>
  </si>
  <si>
    <t>0988880916</t>
  </si>
  <si>
    <t>0876339832</t>
  </si>
  <si>
    <t>Anh HÀo</t>
  </si>
  <si>
    <t>SAKUKO775767</t>
  </si>
  <si>
    <t>0912234545</t>
  </si>
  <si>
    <t>Chị Nguyễn Bảo Phương</t>
  </si>
  <si>
    <t>0985885816</t>
  </si>
  <si>
    <t>SAKUKO775931</t>
  </si>
  <si>
    <t>0989382497</t>
  </si>
  <si>
    <t>SAKUKO776298</t>
  </si>
  <si>
    <t>0912191279</t>
  </si>
  <si>
    <t>0973671423</t>
  </si>
  <si>
    <t>SAKUKO776799</t>
  </si>
  <si>
    <t>0903275982</t>
  </si>
  <si>
    <t>0989556633</t>
  </si>
  <si>
    <t>SAKUKO776139</t>
  </si>
  <si>
    <t>0904518552</t>
  </si>
  <si>
    <t>Cô Huỳnh Thị Hồng</t>
  </si>
  <si>
    <t>0947396168</t>
  </si>
  <si>
    <t>Cô San</t>
  </si>
  <si>
    <t>SAKUKO775740</t>
  </si>
  <si>
    <t>Cô Thắm</t>
  </si>
  <si>
    <t>0912322056</t>
  </si>
  <si>
    <t>SAKUKO774969</t>
  </si>
  <si>
    <t>anh LÂM</t>
  </si>
  <si>
    <t>0989537370</t>
  </si>
  <si>
    <t>SAKUKO774959</t>
  </si>
  <si>
    <t>0903443666</t>
  </si>
  <si>
    <t>Chị Đoàn Thu Nga</t>
  </si>
  <si>
    <t>0989640519</t>
  </si>
  <si>
    <t>SAKUKO775066</t>
  </si>
  <si>
    <t>Chú Trần Mạnh Thắng</t>
  </si>
  <si>
    <t>0947191838</t>
  </si>
  <si>
    <t>CO QUYNH</t>
  </si>
  <si>
    <t>CHỊ DIỆP</t>
  </si>
  <si>
    <t>0983268287</t>
  </si>
  <si>
    <t>SAKUKO775438</t>
  </si>
  <si>
    <t>KINCHO-Dung dịch khử mùi đuổi côn trùng hương hoa</t>
  </si>
  <si>
    <t>0985552846</t>
  </si>
  <si>
    <t>SAKUKO774815</t>
  </si>
  <si>
    <t>0913559591</t>
  </si>
  <si>
    <t>SAKUKO773591</t>
  </si>
  <si>
    <t>0936218028</t>
  </si>
  <si>
    <t>0979363783</t>
  </si>
  <si>
    <t>chị tấm</t>
  </si>
  <si>
    <t>SAKUKO774547</t>
  </si>
  <si>
    <t>Chị Nguyễn Thu Hiền</t>
  </si>
  <si>
    <t>0986287048</t>
  </si>
  <si>
    <t>SAKUKO774299</t>
  </si>
  <si>
    <t>0834696867</t>
  </si>
  <si>
    <t>0903296135</t>
  </si>
  <si>
    <t>Cô Nguyễn Thị Nhã</t>
  </si>
  <si>
    <t>SAKUKO773742</t>
  </si>
  <si>
    <t>0976827353</t>
  </si>
  <si>
    <t>SAKUKO774071</t>
  </si>
  <si>
    <t>0983257688</t>
  </si>
  <si>
    <t>SAKUKO773669</t>
  </si>
  <si>
    <t>0988085061</t>
  </si>
  <si>
    <t>0989089468</t>
  </si>
  <si>
    <t>0356102590</t>
  </si>
  <si>
    <t>SAKUKO774410</t>
  </si>
  <si>
    <t>0948401900</t>
  </si>
  <si>
    <t>0987952486</t>
  </si>
  <si>
    <t>SAKUKO773962</t>
  </si>
  <si>
    <t>0912260922</t>
  </si>
  <si>
    <t>SAKUKO774416</t>
  </si>
  <si>
    <t>Chị Nguyễn Thị Liên</t>
  </si>
  <si>
    <t>0359322581</t>
  </si>
  <si>
    <t>0912345532</t>
  </si>
  <si>
    <t>Cô Linh</t>
  </si>
  <si>
    <t>0913366363</t>
  </si>
  <si>
    <t>cô Huấn</t>
  </si>
  <si>
    <t>SAKUKO774419</t>
  </si>
  <si>
    <t>0986558555</t>
  </si>
  <si>
    <t>cô Phạm Thị Sáu</t>
  </si>
  <si>
    <t>SAKUKO774577</t>
  </si>
  <si>
    <t>0989122692</t>
  </si>
  <si>
    <t>SAKUKO774104</t>
  </si>
  <si>
    <t>0913234472</t>
  </si>
  <si>
    <t>Anh Hoàng Tùng</t>
  </si>
  <si>
    <t>SAKUKO774613</t>
  </si>
  <si>
    <t>0963655133</t>
  </si>
  <si>
    <t>0903040489</t>
  </si>
  <si>
    <t>SAKUKO774572</t>
  </si>
  <si>
    <t>SAKUKO774503</t>
  </si>
  <si>
    <t>0936743366</t>
  </si>
  <si>
    <t>SAKUKO773800</t>
  </si>
  <si>
    <t>0983200299</t>
  </si>
  <si>
    <t>anh Lã Duy Quang</t>
  </si>
  <si>
    <t>0337418383</t>
  </si>
  <si>
    <t>C LÀNH</t>
  </si>
  <si>
    <t>0569868866</t>
  </si>
  <si>
    <t>SAKUKO772803</t>
  </si>
  <si>
    <t>0898888897</t>
  </si>
  <si>
    <t>SAKUKO772805</t>
  </si>
  <si>
    <t>0904862852</t>
  </si>
  <si>
    <t>Chị Hoàng Ngọc Quỳnh</t>
  </si>
  <si>
    <t>SAKUKO772856</t>
  </si>
  <si>
    <t>0963010566</t>
  </si>
  <si>
    <t>SAKUKO772478</t>
  </si>
  <si>
    <t>0973069456</t>
  </si>
  <si>
    <t>Chị Đỗ Thị Hương</t>
  </si>
  <si>
    <t>0902187999</t>
  </si>
  <si>
    <t>SAKUKO772626</t>
  </si>
  <si>
    <t>0904141048</t>
  </si>
  <si>
    <t>Chị Nguyễn Thị Hồng Thu</t>
  </si>
  <si>
    <t>SAKUKO772983</t>
  </si>
  <si>
    <t>0964622888</t>
  </si>
  <si>
    <t>SAKUKO773167</t>
  </si>
  <si>
    <t>0965114888</t>
  </si>
  <si>
    <t>0968141492</t>
  </si>
  <si>
    <t>0981911399</t>
  </si>
  <si>
    <t>0986529168</t>
  </si>
  <si>
    <t>SAKUKO773277</t>
  </si>
  <si>
    <t>0989290448</t>
  </si>
  <si>
    <t>0989601085</t>
  </si>
  <si>
    <t>0974689382</t>
  </si>
  <si>
    <t>Chú Lộc</t>
  </si>
  <si>
    <t>0912020312</t>
  </si>
  <si>
    <t>Cô Quỳnh Hương</t>
  </si>
  <si>
    <t>SAKUKO773119</t>
  </si>
  <si>
    <t>SAKUKO772981</t>
  </si>
  <si>
    <t>0913935962</t>
  </si>
  <si>
    <t>Cô Nguyễn Thị Tư</t>
  </si>
  <si>
    <t>0916120391</t>
  </si>
  <si>
    <t>SAKUKO773419</t>
  </si>
  <si>
    <t>SAKUKO773431</t>
  </si>
  <si>
    <t>0974917794</t>
  </si>
  <si>
    <t>0975997818</t>
  </si>
  <si>
    <t>SAKUKO772961</t>
  </si>
  <si>
    <t>0983170304</t>
  </si>
  <si>
    <t>Chị Hoàng Thu Thủy</t>
  </si>
  <si>
    <t>SAKUKO772608</t>
  </si>
  <si>
    <t>0836363693</t>
  </si>
  <si>
    <t>0948180822</t>
  </si>
  <si>
    <t>Chi Sen</t>
  </si>
  <si>
    <t>0966482882</t>
  </si>
  <si>
    <t>0982108118</t>
  </si>
  <si>
    <t>SAKUKO771318</t>
  </si>
  <si>
    <t>SAKUKO771745</t>
  </si>
  <si>
    <t>0365028393</t>
  </si>
  <si>
    <t>0857723330</t>
  </si>
  <si>
    <t>chị thi từ</t>
  </si>
  <si>
    <t>0942436699</t>
  </si>
  <si>
    <t>Trần Phương Thảo</t>
  </si>
  <si>
    <t>SAKUKO771182</t>
  </si>
  <si>
    <t>Liên</t>
  </si>
  <si>
    <t>0989325982</t>
  </si>
  <si>
    <t>0965653886</t>
  </si>
  <si>
    <t>SAKUKO771328</t>
  </si>
  <si>
    <t>SAKUKO772047</t>
  </si>
  <si>
    <t>SAKUKO771463</t>
  </si>
  <si>
    <t>0904114867</t>
  </si>
  <si>
    <t>SAKUKO771202</t>
  </si>
  <si>
    <t>0386506306</t>
  </si>
  <si>
    <t>SAKUKO771249</t>
  </si>
  <si>
    <t>SAKUKO771410</t>
  </si>
  <si>
    <t>0904306624</t>
  </si>
  <si>
    <t>SAKUKO771250</t>
  </si>
  <si>
    <t>0912346664</t>
  </si>
  <si>
    <t>SAKUKO771230</t>
  </si>
  <si>
    <t>0916110330</t>
  </si>
  <si>
    <t>SAKUKO771771</t>
  </si>
  <si>
    <t>Cô Khanh</t>
  </si>
  <si>
    <t>0905006262</t>
  </si>
  <si>
    <t>SAKUKO772131</t>
  </si>
  <si>
    <t>SAKUKO771824</t>
  </si>
  <si>
    <t>0989686886</t>
  </si>
  <si>
    <t>chị khuyến</t>
  </si>
  <si>
    <t>SAKUKO771568</t>
  </si>
  <si>
    <t>SAKUKO771261</t>
  </si>
  <si>
    <t>0975711111</t>
  </si>
  <si>
    <t>SAKUKO772369</t>
  </si>
  <si>
    <t>154196</t>
  </si>
  <si>
    <t>4979397000152</t>
  </si>
  <si>
    <t>YAMAMOTO_Mì xào kiểu Nhật 89g*5</t>
  </si>
  <si>
    <t>0977851299</t>
  </si>
  <si>
    <t>SAKUKO771014</t>
  </si>
  <si>
    <t>SAKUKO769569</t>
  </si>
  <si>
    <t>0389870844</t>
  </si>
  <si>
    <t>chị Bích Thu</t>
  </si>
  <si>
    <t>0983681283</t>
  </si>
  <si>
    <t>CHI PHUONG ANH</t>
  </si>
  <si>
    <t>0395733957</t>
  </si>
  <si>
    <t>0913368489</t>
  </si>
  <si>
    <t>nguyen hong nhung</t>
  </si>
  <si>
    <t>0915109816</t>
  </si>
  <si>
    <t>Cô Ứng T Phương Anh</t>
  </si>
  <si>
    <t>0915471099</t>
  </si>
  <si>
    <t>SAKUKO769896</t>
  </si>
  <si>
    <t>0918335574</t>
  </si>
  <si>
    <t>Cô .Nga</t>
  </si>
  <si>
    <t>0982927876</t>
  </si>
  <si>
    <t>chị nguyen kim dung</t>
  </si>
  <si>
    <t>0985093503</t>
  </si>
  <si>
    <t>Chị Nguyễn Lê</t>
  </si>
  <si>
    <t>0986112612</t>
  </si>
  <si>
    <t>SAKUKO769639</t>
  </si>
  <si>
    <t>0986984043</t>
  </si>
  <si>
    <t>SAKUKO770606</t>
  </si>
  <si>
    <t>0989567251</t>
  </si>
  <si>
    <t>SAKUKO770059</t>
  </si>
  <si>
    <t>0365277668</t>
  </si>
  <si>
    <t>Chị Lưu Thanh Mai Lan</t>
  </si>
  <si>
    <t>0913082744</t>
  </si>
  <si>
    <t>0936022668</t>
  </si>
  <si>
    <t>SAKUKO769468</t>
  </si>
  <si>
    <t>0981606844</t>
  </si>
  <si>
    <t>0982098058</t>
  </si>
  <si>
    <t>chị ĐIỆP</t>
  </si>
  <si>
    <t>SAKUKO770307</t>
  </si>
  <si>
    <t>0983312606</t>
  </si>
  <si>
    <t>Chị Trương Thị Mỹ Hà</t>
  </si>
  <si>
    <t>SAKUKO770382</t>
  </si>
  <si>
    <t>0986211919</t>
  </si>
  <si>
    <t>0988515815</t>
  </si>
  <si>
    <t>SAKUKO770322</t>
  </si>
  <si>
    <t>anh tuân</t>
  </si>
  <si>
    <t>0984053279</t>
  </si>
  <si>
    <t>0984180395</t>
  </si>
  <si>
    <t>SAKUKO769987</t>
  </si>
  <si>
    <t>Chú Hoàng</t>
  </si>
  <si>
    <t>SAKUKO770813</t>
  </si>
  <si>
    <t>SAKUKO770903</t>
  </si>
  <si>
    <t>0903421386</t>
  </si>
  <si>
    <t>SAKUKO769601</t>
  </si>
  <si>
    <t>SAKUKO770664</t>
  </si>
  <si>
    <t>SAKUKO769608</t>
  </si>
  <si>
    <t>0988240909</t>
  </si>
  <si>
    <t>Chị Nguyễn Kim Thoa</t>
  </si>
  <si>
    <t>SAKUKO770842</t>
  </si>
  <si>
    <t>153999</t>
  </si>
  <si>
    <t>4906871010246</t>
  </si>
  <si>
    <t>HATO - Mỳ Udon Tokyo 20g</t>
  </si>
  <si>
    <t>0983011818</t>
  </si>
  <si>
    <t>SAKUKO769701</t>
  </si>
  <si>
    <t>0989209808</t>
  </si>
  <si>
    <t>0966169681</t>
  </si>
  <si>
    <t>David Bond</t>
  </si>
  <si>
    <t>SAKUKO770932</t>
  </si>
  <si>
    <t>0359425194</t>
  </si>
  <si>
    <t>SAKUKO770191</t>
  </si>
  <si>
    <t>0832998982</t>
  </si>
  <si>
    <t>Chị Nguyễn Quỳnh Trang</t>
  </si>
  <si>
    <t>0904065965</t>
  </si>
  <si>
    <t>0943663303</t>
  </si>
  <si>
    <t>0912711199</t>
  </si>
  <si>
    <t>Hoang Thi Quynh loan</t>
  </si>
  <si>
    <t>SAKUKO768796</t>
  </si>
  <si>
    <t>SAKUKO769338</t>
  </si>
  <si>
    <t>SAKUKO769314</t>
  </si>
  <si>
    <t>SAKUKO768559</t>
  </si>
  <si>
    <t>0912653569</t>
  </si>
  <si>
    <t>SAKUKO768589</t>
  </si>
  <si>
    <t>0904333668</t>
  </si>
  <si>
    <t>SAKUKO768798</t>
  </si>
  <si>
    <t>SAKUKO768395</t>
  </si>
  <si>
    <t>0936273809</t>
  </si>
  <si>
    <t>Chị Nguyễn Minh Phương</t>
  </si>
  <si>
    <t>0983456979</t>
  </si>
  <si>
    <t>0904344341</t>
  </si>
  <si>
    <t>0972035868</t>
  </si>
  <si>
    <t>SAKUKO769027</t>
  </si>
  <si>
    <t>Co Xuan</t>
  </si>
  <si>
    <t>SAKUKO768648</t>
  </si>
  <si>
    <t>0936890550</t>
  </si>
  <si>
    <t>0378672162</t>
  </si>
  <si>
    <t>0972238404</t>
  </si>
  <si>
    <t>SAKUKO768689</t>
  </si>
  <si>
    <t>SAKUKO769329</t>
  </si>
  <si>
    <t>0948456689</t>
  </si>
  <si>
    <t>0963123734</t>
  </si>
  <si>
    <t>SAKUKO769411</t>
  </si>
  <si>
    <t>A Binh</t>
  </si>
  <si>
    <t>0914325566</t>
  </si>
  <si>
    <t>Dương Thị Kiều Chinh</t>
  </si>
  <si>
    <t>SAKUKO767916</t>
  </si>
  <si>
    <t>0914772822</t>
  </si>
  <si>
    <t>SAKUKO767906</t>
  </si>
  <si>
    <t>0976636630</t>
  </si>
  <si>
    <t>SAKUKO768208</t>
  </si>
  <si>
    <t>0985501238</t>
  </si>
  <si>
    <t>Chị Đoàn Vân Hằng</t>
  </si>
  <si>
    <t>0903466619</t>
  </si>
  <si>
    <t>0967175999</t>
  </si>
  <si>
    <t>CHI TRANG ANH</t>
  </si>
  <si>
    <t>0982541592</t>
  </si>
  <si>
    <t>SAKUKO768102</t>
  </si>
  <si>
    <t>SAKUKO767367</t>
  </si>
  <si>
    <t>0904842396</t>
  </si>
  <si>
    <t>SAKUKO767807</t>
  </si>
  <si>
    <t>0915114818</t>
  </si>
  <si>
    <t>SAKUKO767686</t>
  </si>
  <si>
    <t>0832973661</t>
  </si>
  <si>
    <t>SAKUKO767682</t>
  </si>
  <si>
    <t>SAKUKO767678</t>
  </si>
  <si>
    <t>0915344144</t>
  </si>
  <si>
    <t>SAKUKO767467</t>
  </si>
  <si>
    <t>SAKUKO767283</t>
  </si>
  <si>
    <t>C MÂY</t>
  </si>
  <si>
    <t>0904925936</t>
  </si>
  <si>
    <t>Chị Mai Thị Bình</t>
  </si>
  <si>
    <t>SAKUKO767759</t>
  </si>
  <si>
    <t>SAKUKO766835</t>
  </si>
  <si>
    <t>0932165599</t>
  </si>
  <si>
    <t>chi Mỹ</t>
  </si>
  <si>
    <t>SAKUKO766633</t>
  </si>
  <si>
    <t>0967819919</t>
  </si>
  <si>
    <t>SAKUKO766089</t>
  </si>
  <si>
    <t>0974290954</t>
  </si>
  <si>
    <t>Cô nguyễn thị thúy nga</t>
  </si>
  <si>
    <t>SAKUKO766265</t>
  </si>
  <si>
    <t>0978488766</t>
  </si>
  <si>
    <t>SAKUKO767002</t>
  </si>
  <si>
    <t>SAKUKO766983</t>
  </si>
  <si>
    <t>SAKUKO767065</t>
  </si>
  <si>
    <t>0986926768</t>
  </si>
  <si>
    <t>SAKUKO766110</t>
  </si>
  <si>
    <t>0988084259</t>
  </si>
  <si>
    <t>Chú Khuê</t>
  </si>
  <si>
    <t>0379908156</t>
  </si>
  <si>
    <t>SAKUKO766112</t>
  </si>
  <si>
    <t>0384438655</t>
  </si>
  <si>
    <t>chị song haiyan</t>
  </si>
  <si>
    <t>0913258328</t>
  </si>
  <si>
    <t>C LIÊN</t>
  </si>
  <si>
    <t>SAKUKO767063</t>
  </si>
  <si>
    <t>0934238822</t>
  </si>
  <si>
    <t>SAKUKO766800</t>
  </si>
  <si>
    <t>0912726182</t>
  </si>
  <si>
    <t>0372296789</t>
  </si>
  <si>
    <t>SAKUKO766351</t>
  </si>
  <si>
    <t>0913253530</t>
  </si>
  <si>
    <t>SAKUKO766356</t>
  </si>
  <si>
    <t>Chị Nguyễn Thị Thúy</t>
  </si>
  <si>
    <t>0942462609</t>
  </si>
  <si>
    <t>SAKUKO766317</t>
  </si>
  <si>
    <t>SAKUKO765010</t>
  </si>
  <si>
    <t>0906523919</t>
  </si>
  <si>
    <t>c Tuyền</t>
  </si>
  <si>
    <t>0912524275</t>
  </si>
  <si>
    <t>chú hồng lương</t>
  </si>
  <si>
    <t>SAKUKO765819</t>
  </si>
  <si>
    <t>C Nhẫn</t>
  </si>
  <si>
    <t>0936962767</t>
  </si>
  <si>
    <t>Cô Dương Thị Oanh</t>
  </si>
  <si>
    <t>0981365309</t>
  </si>
  <si>
    <t>SAKUKO765920</t>
  </si>
  <si>
    <t>0388984111</t>
  </si>
  <si>
    <t>0902017986</t>
  </si>
  <si>
    <t>0912494262</t>
  </si>
  <si>
    <t>Chị Nguyễn Thị Thu Hoa</t>
  </si>
  <si>
    <t>SAKUKO765325</t>
  </si>
  <si>
    <t>0973071997</t>
  </si>
  <si>
    <t>0984876456</t>
  </si>
  <si>
    <t>Chị Trần thị Phương</t>
  </si>
  <si>
    <t>SAKUKO765380</t>
  </si>
  <si>
    <t>0987729329</t>
  </si>
  <si>
    <t>chij van</t>
  </si>
  <si>
    <t>0988882467</t>
  </si>
  <si>
    <t>bac Các</t>
  </si>
  <si>
    <t>0902233486</t>
  </si>
  <si>
    <t>SAKUKO765684</t>
  </si>
  <si>
    <t>0904477377</t>
  </si>
  <si>
    <t>Chị Nguyễn Thị Phi Nga</t>
  </si>
  <si>
    <t>SAKUKO765379</t>
  </si>
  <si>
    <t>0904551866</t>
  </si>
  <si>
    <t>0911858668</t>
  </si>
  <si>
    <t>0912003567</t>
  </si>
  <si>
    <t>SAKUKO765699</t>
  </si>
  <si>
    <t>0394648065</t>
  </si>
  <si>
    <t>SAKUKO765717</t>
  </si>
  <si>
    <t>0944292007</t>
  </si>
  <si>
    <t>SAKUKO765612</t>
  </si>
  <si>
    <t>0353579990</t>
  </si>
  <si>
    <t>SAKUKO764280</t>
  </si>
  <si>
    <t>SAKUKO763904</t>
  </si>
  <si>
    <t>SAKUKO764099</t>
  </si>
  <si>
    <t>0901735358</t>
  </si>
  <si>
    <t>0903443098</t>
  </si>
  <si>
    <t>SAKUKO764079</t>
  </si>
  <si>
    <t>0346083568</t>
  </si>
  <si>
    <t>SAKUKO764210</t>
  </si>
  <si>
    <t>0913570393</t>
  </si>
  <si>
    <t>Chị Ngọc</t>
  </si>
  <si>
    <t>0937122696</t>
  </si>
  <si>
    <t>c điệp</t>
  </si>
  <si>
    <t>SAKUKO764360</t>
  </si>
  <si>
    <t>0961163939</t>
  </si>
  <si>
    <t>0975645692</t>
  </si>
  <si>
    <t>Chị Lê Thị Thanh Nga</t>
  </si>
  <si>
    <t>0986567899</t>
  </si>
  <si>
    <t>Đào Thị Hiền</t>
  </si>
  <si>
    <t>cô Trinh</t>
  </si>
  <si>
    <t>0933100778</t>
  </si>
  <si>
    <t>SAKUKO764562</t>
  </si>
  <si>
    <t>SAKUKO763922</t>
  </si>
  <si>
    <t>0827498465</t>
  </si>
  <si>
    <t>SAKUKO764323</t>
  </si>
  <si>
    <t>0912464768</t>
  </si>
  <si>
    <t>chị vũ ngọc anh</t>
  </si>
  <si>
    <t>0983681083</t>
  </si>
  <si>
    <t>Chị Thúy Ngân</t>
  </si>
  <si>
    <t>0988258742</t>
  </si>
  <si>
    <t>Lê Minh Hảo</t>
  </si>
  <si>
    <t>0988839359</t>
  </si>
  <si>
    <t>Chị Nguyễn Xuân Mai</t>
  </si>
  <si>
    <t>0364083783</t>
  </si>
  <si>
    <t>Chị Lịch</t>
  </si>
  <si>
    <t>SAKUKO763058</t>
  </si>
  <si>
    <t>SAKUKO763846</t>
  </si>
  <si>
    <t>0969507306</t>
  </si>
  <si>
    <t>nguyễn thi thu hà</t>
  </si>
  <si>
    <t>SAKUKO762931</t>
  </si>
  <si>
    <t>0965596789</t>
  </si>
  <si>
    <t>Anh Tăng Thế Cường</t>
  </si>
  <si>
    <t>SAKUKO762844</t>
  </si>
  <si>
    <t>SAKUKO763584</t>
  </si>
  <si>
    <t>0982181183</t>
  </si>
  <si>
    <t>SAKUKO762857</t>
  </si>
  <si>
    <t>SAKUKO763632</t>
  </si>
  <si>
    <t>0356156666</t>
  </si>
  <si>
    <t>SAKUKO763238</t>
  </si>
  <si>
    <t>0906273594</t>
  </si>
  <si>
    <t>bạn giang</t>
  </si>
  <si>
    <t>SAKUKO763331</t>
  </si>
  <si>
    <t>0913236119</t>
  </si>
  <si>
    <t>NGUYEN MINH CHI</t>
  </si>
  <si>
    <t>SAKUKO763370</t>
  </si>
  <si>
    <t>SAKUKO763820</t>
  </si>
  <si>
    <t>0923666616</t>
  </si>
  <si>
    <t>SAKUKO763096</t>
  </si>
  <si>
    <t>SAKUKO763595</t>
  </si>
  <si>
    <t>0988601683</t>
  </si>
  <si>
    <t>SAKUKO763688</t>
  </si>
  <si>
    <t>SAKUKO763011</t>
  </si>
  <si>
    <t>SAKUKO762800</t>
  </si>
  <si>
    <t>0912817667</t>
  </si>
  <si>
    <t>SAKUKO763735</t>
  </si>
  <si>
    <t>0963039488</t>
  </si>
  <si>
    <t>SAKUKO763342</t>
  </si>
  <si>
    <t>0986218824</t>
  </si>
  <si>
    <t>Nguyệt</t>
  </si>
  <si>
    <t>SAKUKO762724</t>
  </si>
  <si>
    <t>SAKUKO763365</t>
  </si>
  <si>
    <t>0904149588</t>
  </si>
  <si>
    <t>SAKUKO762131</t>
  </si>
  <si>
    <t>SAKUKO762296</t>
  </si>
  <si>
    <t>0389333398</t>
  </si>
  <si>
    <t>SAKUKO762586</t>
  </si>
  <si>
    <t>0915105558</t>
  </si>
  <si>
    <t>0328196295</t>
  </si>
  <si>
    <t>Lâm Anh</t>
  </si>
  <si>
    <t>SAKUKO761794</t>
  </si>
  <si>
    <t>0836776888</t>
  </si>
  <si>
    <t>chị tuyết minh</t>
  </si>
  <si>
    <t>chị Nguyễn Phương Thúy</t>
  </si>
  <si>
    <t>0944272768</t>
  </si>
  <si>
    <t>SAKUKO762144</t>
  </si>
  <si>
    <t>SAKUKO761834</t>
  </si>
  <si>
    <t>0972936229</t>
  </si>
  <si>
    <t>SAKUKO761823</t>
  </si>
  <si>
    <t>0978256969</t>
  </si>
  <si>
    <t>SAKUKO761849</t>
  </si>
  <si>
    <t>SAKUKO761946</t>
  </si>
  <si>
    <t>0914953586</t>
  </si>
  <si>
    <t>SAKUKO761950</t>
  </si>
  <si>
    <t>0945676889</t>
  </si>
  <si>
    <t>SAKUKO762262</t>
  </si>
  <si>
    <t>0989197921</t>
  </si>
  <si>
    <t>0839639536</t>
  </si>
  <si>
    <t>0986245542</t>
  </si>
  <si>
    <t>SAKUKO762599</t>
  </si>
  <si>
    <t>0912833223</t>
  </si>
  <si>
    <t>Đặng Nga</t>
  </si>
  <si>
    <t>SAKUKO761986</t>
  </si>
  <si>
    <t>0969879844</t>
  </si>
  <si>
    <t>Ngô Phương Ly</t>
  </si>
  <si>
    <t>SAKUKO762442</t>
  </si>
  <si>
    <t>SAKUKO762173</t>
  </si>
  <si>
    <t>SAKUKO762690</t>
  </si>
  <si>
    <t>0386912462</t>
  </si>
  <si>
    <t>Bác Thi</t>
  </si>
  <si>
    <t>0919618323</t>
  </si>
  <si>
    <t>SAKUKO760797</t>
  </si>
  <si>
    <t>0936143636</t>
  </si>
  <si>
    <t>SAKUKO761669</t>
  </si>
  <si>
    <t>0936292691</t>
  </si>
  <si>
    <t>0914418692</t>
  </si>
  <si>
    <t>Chi Ý</t>
  </si>
  <si>
    <t>SAKUKO761003</t>
  </si>
  <si>
    <t>0989792626</t>
  </si>
  <si>
    <t>Chị Hoàng Thị Lan Nhung</t>
  </si>
  <si>
    <t>SAKUKO761723</t>
  </si>
  <si>
    <t>0913563928</t>
  </si>
  <si>
    <t>SAKUKO761726</t>
  </si>
  <si>
    <t>SAKUKO761654</t>
  </si>
  <si>
    <t>SAKUKO760856</t>
  </si>
  <si>
    <t>0902290101</t>
  </si>
  <si>
    <t>C Bùi Phương Anh</t>
  </si>
  <si>
    <t>SAKUKO761343</t>
  </si>
  <si>
    <t>0913233946</t>
  </si>
  <si>
    <t>SAKUKO761395</t>
  </si>
  <si>
    <t>SAKUKO760768</t>
  </si>
  <si>
    <t>0386378222</t>
  </si>
  <si>
    <t>Cô Lê Kim Tân</t>
  </si>
  <si>
    <t>0936877386</t>
  </si>
  <si>
    <t>SAKUKO761483</t>
  </si>
  <si>
    <t>Hùng</t>
  </si>
  <si>
    <t>SAKUKO761123</t>
  </si>
  <si>
    <t>0969560808</t>
  </si>
  <si>
    <t>SAKUKO760984</t>
  </si>
  <si>
    <t>0907406688</t>
  </si>
  <si>
    <t>SAKUKO760201</t>
  </si>
  <si>
    <t>0977995999</t>
  </si>
  <si>
    <t>SAKUKO759569</t>
  </si>
  <si>
    <t>SAKUKO760166</t>
  </si>
  <si>
    <t>anh Luận</t>
  </si>
  <si>
    <t>SAKUKO759651</t>
  </si>
  <si>
    <t>0919645629</t>
  </si>
  <si>
    <t>Anh Bùi Hữu Thắng</t>
  </si>
  <si>
    <t>0973900805</t>
  </si>
  <si>
    <t>chị Vũ Minh Thảo</t>
  </si>
  <si>
    <t>SAKUKO760040</t>
  </si>
  <si>
    <t>SAKUKO759905</t>
  </si>
  <si>
    <t>SAKUKO759698</t>
  </si>
  <si>
    <t>0914339160</t>
  </si>
  <si>
    <t>chị nguyễn ly linh</t>
  </si>
  <si>
    <t>SAKUKO760652</t>
  </si>
  <si>
    <t>0977511906</t>
  </si>
  <si>
    <t>SAKUKO759638</t>
  </si>
  <si>
    <t>0981613523</t>
  </si>
  <si>
    <t>SAKUKO759444</t>
  </si>
  <si>
    <t>SAKUKO760254</t>
  </si>
  <si>
    <t>SAKUKO760041</t>
  </si>
  <si>
    <t>0913827036</t>
  </si>
  <si>
    <t>SAKUKO759589</t>
  </si>
  <si>
    <t>0985992999</t>
  </si>
  <si>
    <t>Chị Mộc Lan</t>
  </si>
  <si>
    <t>SAKUKO759791</t>
  </si>
  <si>
    <t>0969666869</t>
  </si>
  <si>
    <t>SAKUKO759906</t>
  </si>
  <si>
    <t>0982220293</t>
  </si>
  <si>
    <t>0989328689</t>
  </si>
  <si>
    <t>SAKUKO760562</t>
  </si>
  <si>
    <t>SAKUKO758737</t>
  </si>
  <si>
    <t>0904357984</t>
  </si>
  <si>
    <t>Chị Ngân 201 29t2</t>
  </si>
  <si>
    <t>SAKUKO759131</t>
  </si>
  <si>
    <t>0969200769</t>
  </si>
  <si>
    <t>SAKUKO758773</t>
  </si>
  <si>
    <t>0976652055</t>
  </si>
  <si>
    <t>SAKUKO758583</t>
  </si>
  <si>
    <t>SAKUKO758941</t>
  </si>
  <si>
    <t>0962380119</t>
  </si>
  <si>
    <t>SAKUKO758297</t>
  </si>
  <si>
    <t>C Thiện</t>
  </si>
  <si>
    <t>0972273232</t>
  </si>
  <si>
    <t>0973588865</t>
  </si>
  <si>
    <t>Chị Đinh Thị Phương Lâm</t>
  </si>
  <si>
    <t>SAKUKO758112</t>
  </si>
  <si>
    <t>0986271278</t>
  </si>
  <si>
    <t>chi huệ</t>
  </si>
  <si>
    <t>SAKUKO758218</t>
  </si>
  <si>
    <t>SAKUKO758789</t>
  </si>
  <si>
    <t>SAKUKO758411</t>
  </si>
  <si>
    <t>SAKUKO758704</t>
  </si>
  <si>
    <t>0983227891</t>
  </si>
  <si>
    <t>SAKUKO758540</t>
  </si>
  <si>
    <t>SAKUKO758268</t>
  </si>
  <si>
    <t>SAKUKO759109</t>
  </si>
  <si>
    <t>0936499666</t>
  </si>
  <si>
    <t>Cô Đặng Thị Cúc</t>
  </si>
  <si>
    <t>SAKUKO758782</t>
  </si>
  <si>
    <t>SAKUKO758287</t>
  </si>
  <si>
    <t>0916710458</t>
  </si>
  <si>
    <t>SAKUKO758588</t>
  </si>
  <si>
    <t>0936159679</t>
  </si>
  <si>
    <t>chị lê thúy hòa</t>
  </si>
  <si>
    <t>0846417886</t>
  </si>
  <si>
    <t>0985020886</t>
  </si>
  <si>
    <t>C. Thu Giang</t>
  </si>
  <si>
    <t>SAKUKO757725</t>
  </si>
  <si>
    <t>0906246123</t>
  </si>
  <si>
    <t>SAKUKO757751</t>
  </si>
  <si>
    <t>0913579768</t>
  </si>
  <si>
    <t>0972920999</t>
  </si>
  <si>
    <t>SAKUKO757098</t>
  </si>
  <si>
    <t>0901736855</t>
  </si>
  <si>
    <t>0934456547</t>
  </si>
  <si>
    <t>chị trần thị hòa</t>
  </si>
  <si>
    <t>SAKUKO757583</t>
  </si>
  <si>
    <t>0978858898</t>
  </si>
  <si>
    <t>SAKUKO757115</t>
  </si>
  <si>
    <t>0989325758</t>
  </si>
  <si>
    <t>0978698312</t>
  </si>
  <si>
    <t>SAKUKO757037</t>
  </si>
  <si>
    <t>SAKUKO757621</t>
  </si>
  <si>
    <t>SAKUKO756862</t>
  </si>
  <si>
    <t>SAKUKO757403</t>
  </si>
  <si>
    <t>SAKUKO757758</t>
  </si>
  <si>
    <t>0904949198</t>
  </si>
  <si>
    <t>co tuyết</t>
  </si>
  <si>
    <t>SAKUKO756290</t>
  </si>
  <si>
    <t>SAKUKO756048</t>
  </si>
  <si>
    <t>SAKUKO755783</t>
  </si>
  <si>
    <t>SAKUKO756430</t>
  </si>
  <si>
    <t>0904348889</t>
  </si>
  <si>
    <t>SAKUKO755615</t>
  </si>
  <si>
    <t>0906286878</t>
  </si>
  <si>
    <t>Chị Cầm</t>
  </si>
  <si>
    <t>0973999956</t>
  </si>
  <si>
    <t>Chị Chu Thị Thanh NHàn</t>
  </si>
  <si>
    <t>0979544588</t>
  </si>
  <si>
    <t>CHI LE THU HANG</t>
  </si>
  <si>
    <t>SAKUKO755764</t>
  </si>
  <si>
    <t>Nguyễn Thị Bình</t>
  </si>
  <si>
    <t>0912502987</t>
  </si>
  <si>
    <t>SAKUKO756348</t>
  </si>
  <si>
    <t>0915060636</t>
  </si>
  <si>
    <t>SAKUKO756239</t>
  </si>
  <si>
    <t>0983370566</t>
  </si>
  <si>
    <t>SAKUKO756491</t>
  </si>
  <si>
    <t>0936150639</t>
  </si>
  <si>
    <t>SAKUKO755898</t>
  </si>
  <si>
    <t>SAKUKO755735</t>
  </si>
  <si>
    <t>0912260460</t>
  </si>
  <si>
    <t>SAKUKO756265</t>
  </si>
  <si>
    <t>SAKUKO756270</t>
  </si>
  <si>
    <t>0913037170</t>
  </si>
  <si>
    <t>SAKUKO756558</t>
  </si>
  <si>
    <t>0972625688</t>
  </si>
  <si>
    <t>SAKUKO756496</t>
  </si>
  <si>
    <t>SAKUKO755671</t>
  </si>
  <si>
    <t>SAKUKO756500</t>
  </si>
  <si>
    <t>SAKUKO755626</t>
  </si>
  <si>
    <t>c Kim DUNG</t>
  </si>
  <si>
    <t>0923226373</t>
  </si>
  <si>
    <t>SAKUKO755880</t>
  </si>
  <si>
    <t>0934298288</t>
  </si>
  <si>
    <t>SAKUKO755980</t>
  </si>
  <si>
    <t>SAKUKO754838</t>
  </si>
  <si>
    <t>SAKUKO755526</t>
  </si>
  <si>
    <t>0989012048</t>
  </si>
  <si>
    <t>SAKUKO754942</t>
  </si>
  <si>
    <t>SAKUKO754779</t>
  </si>
  <si>
    <t>SAKUKO755509</t>
  </si>
  <si>
    <t>SAKUKO755542</t>
  </si>
  <si>
    <t>0904969839</t>
  </si>
  <si>
    <t>SAKUKO754928</t>
  </si>
  <si>
    <t>0946281919</t>
  </si>
  <si>
    <t>SAKUKO754945</t>
  </si>
  <si>
    <t>0912343234</t>
  </si>
  <si>
    <t>Cô thanh thuý</t>
  </si>
  <si>
    <t>SAKUKO754686</t>
  </si>
  <si>
    <t>0919105743</t>
  </si>
  <si>
    <t>Cô Vũ Thị Thanh Nga</t>
  </si>
  <si>
    <t>0978187961</t>
  </si>
  <si>
    <t>SAKUKO754608</t>
  </si>
  <si>
    <t>SAKUKO754823</t>
  </si>
  <si>
    <t>0702345555</t>
  </si>
  <si>
    <t>SAKUKO754856</t>
  </si>
  <si>
    <t>0906295966</t>
  </si>
  <si>
    <t>TRẦN THỊ NGA</t>
  </si>
  <si>
    <t>0933398292</t>
  </si>
  <si>
    <t>SAKUKO754936</t>
  </si>
  <si>
    <t>0975574586</t>
  </si>
  <si>
    <t>0986661963</t>
  </si>
  <si>
    <t>0931392828</t>
  </si>
  <si>
    <t>SAKUKO755061</t>
  </si>
  <si>
    <t>0976916762</t>
  </si>
  <si>
    <t>SAKUKO755349</t>
  </si>
  <si>
    <t>0904659935</t>
  </si>
  <si>
    <t>0983203655</t>
  </si>
  <si>
    <t>Chị Lê Thị Thu Hường</t>
  </si>
  <si>
    <t>SAKUKO755351</t>
  </si>
  <si>
    <t>0967873222</t>
  </si>
  <si>
    <t>SAKUKO754574</t>
  </si>
  <si>
    <t>0934466090</t>
  </si>
  <si>
    <t>Chị Liên Phương</t>
  </si>
  <si>
    <t>SAKUKO754211</t>
  </si>
  <si>
    <t>0967313999</t>
  </si>
  <si>
    <t>SAKUKO754201</t>
  </si>
  <si>
    <t>SAKUKO754314</t>
  </si>
  <si>
    <t>SAKUKO753599</t>
  </si>
  <si>
    <t>SAKUKO753910</t>
  </si>
  <si>
    <t>SAKUKO753799</t>
  </si>
  <si>
    <t>0902123367</t>
  </si>
  <si>
    <t>Chị Tạ Thị Hương Mai</t>
  </si>
  <si>
    <t>SAKUKO753387</t>
  </si>
  <si>
    <t>0963650061</t>
  </si>
  <si>
    <t>SAKUKO754096</t>
  </si>
  <si>
    <t>SAKUKO754219</t>
  </si>
  <si>
    <t>0979580510</t>
  </si>
  <si>
    <t>phạm thị huệ</t>
  </si>
  <si>
    <t>SAKUKO754470</t>
  </si>
  <si>
    <t>0982398686</t>
  </si>
  <si>
    <t>Chi Nguyễn Thị Hải</t>
  </si>
  <si>
    <t>SAKUKO753615</t>
  </si>
  <si>
    <t>0982612761</t>
  </si>
  <si>
    <t>SAKUKO753243</t>
  </si>
  <si>
    <t>SAKUKO754471</t>
  </si>
  <si>
    <t>SAKUKO753110</t>
  </si>
  <si>
    <t>0986505067</t>
  </si>
  <si>
    <t>Chị Doanh</t>
  </si>
  <si>
    <t>0988843855</t>
  </si>
  <si>
    <t>SAKUKO753536</t>
  </si>
  <si>
    <t>0989954922</t>
  </si>
  <si>
    <t>SAKUKO753725</t>
  </si>
  <si>
    <t>SAKUKO753289</t>
  </si>
  <si>
    <t>0936066268</t>
  </si>
  <si>
    <t>SAKUKO753636</t>
  </si>
  <si>
    <t>SAKUKO754140</t>
  </si>
  <si>
    <t>0983019782</t>
  </si>
  <si>
    <t>SAKUKO753135</t>
  </si>
  <si>
    <t>SAKUKO753655</t>
  </si>
  <si>
    <t>0913000300</t>
  </si>
  <si>
    <t>BAC LUONG MINH XUAN</t>
  </si>
  <si>
    <t>SAKUKO753329</t>
  </si>
  <si>
    <t>0916111617</t>
  </si>
  <si>
    <t>Chương</t>
  </si>
  <si>
    <t>0983259666</t>
  </si>
  <si>
    <t>SAKUKO754087</t>
  </si>
  <si>
    <t>SAKUKO753682</t>
  </si>
  <si>
    <t>SAKUKO752841</t>
  </si>
  <si>
    <t>SAKUKO752259</t>
  </si>
  <si>
    <t>SAKUKO752292</t>
  </si>
  <si>
    <t>0865385816</t>
  </si>
  <si>
    <t>SAKUKO752759</t>
  </si>
  <si>
    <t>0912968283</t>
  </si>
  <si>
    <t>C Hồ Thị Lan Hương</t>
  </si>
  <si>
    <t>0966650999</t>
  </si>
  <si>
    <t>SAKUKO752668</t>
  </si>
  <si>
    <t>0904550273</t>
  </si>
  <si>
    <t>SAKUKO752718</t>
  </si>
  <si>
    <t>0906603399</t>
  </si>
  <si>
    <t>SAKUKO752519</t>
  </si>
  <si>
    <t>0912024004</t>
  </si>
  <si>
    <t>0912041070</t>
  </si>
  <si>
    <t>chị đặng thu hằng</t>
  </si>
  <si>
    <t>SAKUKO752114</t>
  </si>
  <si>
    <t>0948415518</t>
  </si>
  <si>
    <t>SAKUKO752556</t>
  </si>
  <si>
    <t>0984507881</t>
  </si>
  <si>
    <t>SAKUKO752785</t>
  </si>
  <si>
    <t>0976876888</t>
  </si>
  <si>
    <t>SAKUKO752229</t>
  </si>
  <si>
    <t>SAKUKO752884</t>
  </si>
  <si>
    <t>0905373383</t>
  </si>
  <si>
    <t>0987012089</t>
  </si>
  <si>
    <t>Chu Thị Vân Anh</t>
  </si>
  <si>
    <t>SAKUKO752221</t>
  </si>
  <si>
    <t>0966013669</t>
  </si>
  <si>
    <t>0906263133</t>
  </si>
  <si>
    <t>SAKUKO752836</t>
  </si>
  <si>
    <t>0912272626</t>
  </si>
  <si>
    <t>Chị Tạ Ánh Hồng</t>
  </si>
  <si>
    <t>SAKUKO752698</t>
  </si>
  <si>
    <t>0912440851</t>
  </si>
  <si>
    <t>SAKUKO752424</t>
  </si>
  <si>
    <t>0977546180</t>
  </si>
  <si>
    <t>SAKUKO752084</t>
  </si>
  <si>
    <t>0989838485</t>
  </si>
  <si>
    <t>SAKUKO752889</t>
  </si>
  <si>
    <t>0369215688</t>
  </si>
  <si>
    <t>SAKUKO751041</t>
  </si>
  <si>
    <t>SAKUKO751339</t>
  </si>
  <si>
    <t>SAKUKO750745</t>
  </si>
  <si>
    <t>0911287239</t>
  </si>
  <si>
    <t>Chị Trần Thị Kim Chi</t>
  </si>
  <si>
    <t>chị Nụ</t>
  </si>
  <si>
    <t>SAKUKO751315</t>
  </si>
  <si>
    <t>SAKUKO751131</t>
  </si>
  <si>
    <t>SAKUKO750826</t>
  </si>
  <si>
    <t>0914994361</t>
  </si>
  <si>
    <t>SAKUKO751717</t>
  </si>
  <si>
    <t>SAKUKO750687</t>
  </si>
  <si>
    <t>0326680519</t>
  </si>
  <si>
    <t>A Tuấn</t>
  </si>
  <si>
    <t>SAKUKO750671</t>
  </si>
  <si>
    <t>SAKUKO751051</t>
  </si>
  <si>
    <t>0984429889</t>
  </si>
  <si>
    <t>SAKUKO750864</t>
  </si>
  <si>
    <t>SAKUKO751645</t>
  </si>
  <si>
    <t>0906214688</t>
  </si>
  <si>
    <t>Chị Đặng Thu Phương</t>
  </si>
  <si>
    <t>SAKUKO751768</t>
  </si>
  <si>
    <t>SAKUKO751553</t>
  </si>
  <si>
    <t>SAKUKO751559</t>
  </si>
  <si>
    <t>0912748677</t>
  </si>
  <si>
    <t>SAKUKO749601</t>
  </si>
  <si>
    <t>SAKUKO750015</t>
  </si>
  <si>
    <t>0988246888</t>
  </si>
  <si>
    <t>Chị Kiều Thị hương</t>
  </si>
  <si>
    <t>SAKUKO749855</t>
  </si>
  <si>
    <t>0963569840</t>
  </si>
  <si>
    <t>SAKUKO749842</t>
  </si>
  <si>
    <t>SAKUKO750374</t>
  </si>
  <si>
    <t>0982290696</t>
  </si>
  <si>
    <t>SAKUKO750473</t>
  </si>
  <si>
    <t>0985142386</t>
  </si>
  <si>
    <t>SAKUKO750479</t>
  </si>
  <si>
    <t>0394076744</t>
  </si>
  <si>
    <t>SAKUKO750257</t>
  </si>
  <si>
    <t>0936199988</t>
  </si>
  <si>
    <t>SAKUKO749797</t>
  </si>
  <si>
    <t>SAKUKO750381</t>
  </si>
  <si>
    <t>SAKUKO750385</t>
  </si>
  <si>
    <t>SAKUKO749999</t>
  </si>
  <si>
    <t>0362067065</t>
  </si>
  <si>
    <t>chị ngọc liên</t>
  </si>
  <si>
    <t>SAKUKO749712</t>
  </si>
  <si>
    <t>SAKUKO750019</t>
  </si>
  <si>
    <t>0904656807</t>
  </si>
  <si>
    <t>C Ngô Thị Luân</t>
  </si>
  <si>
    <t>SAKUKO749754</t>
  </si>
  <si>
    <t>0912326720</t>
  </si>
  <si>
    <t>Cô Thu Anh</t>
  </si>
  <si>
    <t>0916596030</t>
  </si>
  <si>
    <t>SAKUKO749759</t>
  </si>
  <si>
    <t>SAKUKO750410</t>
  </si>
  <si>
    <t>0975756369</t>
  </si>
  <si>
    <t>SAKUKO749703</t>
  </si>
  <si>
    <t>0984506861</t>
  </si>
  <si>
    <t>SAKUKO749833</t>
  </si>
  <si>
    <t>SAKUKO749943</t>
  </si>
  <si>
    <t>0986981188</t>
  </si>
  <si>
    <t>SAKUKO750224</t>
  </si>
  <si>
    <t>0375952098</t>
  </si>
  <si>
    <t>bác luyện</t>
  </si>
  <si>
    <t>SAKUKO749714</t>
  </si>
  <si>
    <t>SAKUKO750149</t>
  </si>
  <si>
    <t>0904853499</t>
  </si>
  <si>
    <t>SAKUKO749799</t>
  </si>
  <si>
    <t>0948279919</t>
  </si>
  <si>
    <t>Chị Lê Thị Minh Nguyệt</t>
  </si>
  <si>
    <t>SAKUKO749203</t>
  </si>
  <si>
    <t>SAKUKO749231</t>
  </si>
  <si>
    <t>0934036688</t>
  </si>
  <si>
    <t>SAKUKO748937</t>
  </si>
  <si>
    <t>0941131355</t>
  </si>
  <si>
    <t>Dang ngoc lan</t>
  </si>
  <si>
    <t>SAKUKO749335</t>
  </si>
  <si>
    <t>0988084107</t>
  </si>
  <si>
    <t>SAKUKO749102</t>
  </si>
  <si>
    <t>0988737062</t>
  </si>
  <si>
    <t>chu Vo</t>
  </si>
  <si>
    <t>SAKUKO748837</t>
  </si>
  <si>
    <t>SAKUKO748844</t>
  </si>
  <si>
    <t>0904841699</t>
  </si>
  <si>
    <t>SAKUKO749120</t>
  </si>
  <si>
    <t>0913308595</t>
  </si>
  <si>
    <t>SAKUKO749147</t>
  </si>
  <si>
    <t>0918107887</t>
  </si>
  <si>
    <t>Chị Lương Hạnh Nguyên</t>
  </si>
  <si>
    <t>SAKUKO748587</t>
  </si>
  <si>
    <t>SAKUKO749263</t>
  </si>
  <si>
    <t>SAKUKO748771</t>
  </si>
  <si>
    <t>SAKUKO748918</t>
  </si>
  <si>
    <t>0934198888</t>
  </si>
  <si>
    <t>SAKUKO748439</t>
  </si>
  <si>
    <t>0964229999</t>
  </si>
  <si>
    <t>SAKUKO748689</t>
  </si>
  <si>
    <t>0981287000</t>
  </si>
  <si>
    <t>SAKUKO749270</t>
  </si>
  <si>
    <t>c khách</t>
  </si>
  <si>
    <t>0912538589</t>
  </si>
  <si>
    <t>Anh Mai Xuân Hà</t>
  </si>
  <si>
    <t>0978561437</t>
  </si>
  <si>
    <t>Chú Đinh Mạnh Hiển</t>
  </si>
  <si>
    <t>SAKUKO748933</t>
  </si>
  <si>
    <t>SAKUKO748461</t>
  </si>
  <si>
    <t>SAKUKO748703</t>
  </si>
  <si>
    <t>0912467477</t>
  </si>
  <si>
    <t>cô Hoàng Việt Hoa</t>
  </si>
  <si>
    <t>SAKUKO748684</t>
  </si>
  <si>
    <t>SAKUKO748618</t>
  </si>
  <si>
    <t>C Sen</t>
  </si>
  <si>
    <t>0912107805</t>
  </si>
  <si>
    <t>chú hanh</t>
  </si>
  <si>
    <t>SAKUKO748492</t>
  </si>
  <si>
    <t>SAKUKO749481</t>
  </si>
  <si>
    <t>SAKUKO749158</t>
  </si>
  <si>
    <t>0983718888</t>
  </si>
  <si>
    <t>SAKUKO749151</t>
  </si>
  <si>
    <t>SAKUKO747762</t>
  </si>
  <si>
    <t>SAKUKO747945</t>
  </si>
  <si>
    <t>0983627627</t>
  </si>
  <si>
    <t>SAKUKO748304</t>
  </si>
  <si>
    <t>0898553969</t>
  </si>
  <si>
    <t>SAKUKO747468</t>
  </si>
  <si>
    <t>0904246008</t>
  </si>
  <si>
    <t>SAKUKO747429</t>
  </si>
  <si>
    <t>0919605533</t>
  </si>
  <si>
    <t>anh dong</t>
  </si>
  <si>
    <t>0936764456</t>
  </si>
  <si>
    <t>SAKUKO747757</t>
  </si>
  <si>
    <t>0973061622</t>
  </si>
  <si>
    <t>SAKUKO748064</t>
  </si>
  <si>
    <t>0976157795</t>
  </si>
  <si>
    <t>0978262555</t>
  </si>
  <si>
    <t>0983670319</t>
  </si>
  <si>
    <t>SAKUKO747658</t>
  </si>
  <si>
    <t>SAKUKO748284</t>
  </si>
  <si>
    <t>0822502468</t>
  </si>
  <si>
    <t>Chị Quỳnh xinh gái</t>
  </si>
  <si>
    <t>SAKUKO747595</t>
  </si>
  <si>
    <t>0903473509</t>
  </si>
  <si>
    <t>Chị Đông</t>
  </si>
  <si>
    <t>SAKUKO748357</t>
  </si>
  <si>
    <t>0986513086</t>
  </si>
  <si>
    <t>SAKUKO747876</t>
  </si>
  <si>
    <t>SAKUKO748071</t>
  </si>
  <si>
    <t>0904811581</t>
  </si>
  <si>
    <t>SAKUKO747656</t>
  </si>
  <si>
    <t>SAKUKO748252</t>
  </si>
  <si>
    <t>0397470568</t>
  </si>
  <si>
    <t>SAKUKO747359</t>
  </si>
  <si>
    <t>SAKUKO747852</t>
  </si>
  <si>
    <t>SAKUKO748228</t>
  </si>
  <si>
    <t>0913236832</t>
  </si>
  <si>
    <t>0988880078</t>
  </si>
  <si>
    <t>SAKUKO746792</t>
  </si>
  <si>
    <t>0945838377</t>
  </si>
  <si>
    <t>SAKUKO746521</t>
  </si>
  <si>
    <t>SAKUKO746334</t>
  </si>
  <si>
    <t>SAKUKO746125</t>
  </si>
  <si>
    <t>0913230573</t>
  </si>
  <si>
    <t>SAKUKO746412</t>
  </si>
  <si>
    <t>0948366855</t>
  </si>
  <si>
    <t>0975827978</t>
  </si>
  <si>
    <t>chị Phạm Thị Phương Dung</t>
  </si>
  <si>
    <t>SAKUKO746595</t>
  </si>
  <si>
    <t>0989829868</t>
  </si>
  <si>
    <t>SAKUKO747042</t>
  </si>
  <si>
    <t>SAKUKO746593</t>
  </si>
  <si>
    <t>0966155030</t>
  </si>
  <si>
    <t>Chị Nguyễn Minh Khuê</t>
  </si>
  <si>
    <t>SAKUKO747066</t>
  </si>
  <si>
    <t>SAKUKO747074</t>
  </si>
  <si>
    <t>0904804585</t>
  </si>
  <si>
    <t>CÔ NGUYỄN NGỌC BÍCH</t>
  </si>
  <si>
    <t>0912188027</t>
  </si>
  <si>
    <t>SAKUKO745958</t>
  </si>
  <si>
    <t>SAKUKO746895</t>
  </si>
  <si>
    <t>SAKUKO747194</t>
  </si>
  <si>
    <t>0905434241</t>
  </si>
  <si>
    <t>SAKUKO746154</t>
  </si>
  <si>
    <t>SAKUKO746571</t>
  </si>
  <si>
    <t>0985567059</t>
  </si>
  <si>
    <t>SAKUKO746013</t>
  </si>
  <si>
    <t>SAKUKO745475</t>
  </si>
  <si>
    <t>SAKUKO744877</t>
  </si>
  <si>
    <t>0976989986</t>
  </si>
  <si>
    <t>SAKUKO745319</t>
  </si>
  <si>
    <t>0913239857</t>
  </si>
  <si>
    <t>0935336868</t>
  </si>
  <si>
    <t>anh nguyễn lê anh</t>
  </si>
  <si>
    <t>SAKUKO744847</t>
  </si>
  <si>
    <t>SAKUKO745490</t>
  </si>
  <si>
    <t>0983926798</t>
  </si>
  <si>
    <t>Chị Dương Thị Thủy</t>
  </si>
  <si>
    <t>SAKUKO744994</t>
  </si>
  <si>
    <t>SAKUKO745122</t>
  </si>
  <si>
    <t>SAKUKO745565</t>
  </si>
  <si>
    <t>SAKUKO745006</t>
  </si>
  <si>
    <t>SAKUKO745040</t>
  </si>
  <si>
    <t>0916614646</t>
  </si>
  <si>
    <t>TRAN HOANG LAN</t>
  </si>
  <si>
    <t>0962346498</t>
  </si>
  <si>
    <t>chị Phong Lan</t>
  </si>
  <si>
    <t>SAKUKO745613</t>
  </si>
  <si>
    <t>0983536321</t>
  </si>
  <si>
    <t>SAKUKO745388</t>
  </si>
  <si>
    <t>0327714267</t>
  </si>
  <si>
    <t>SAKUKO745523</t>
  </si>
  <si>
    <t>SAKUKO745661</t>
  </si>
  <si>
    <t>0988773247</t>
  </si>
  <si>
    <t>Phan Tiến dũng</t>
  </si>
  <si>
    <t>SAKUKO745159</t>
  </si>
  <si>
    <t>SAKUKO744976</t>
  </si>
  <si>
    <t>SAKUKO743814</t>
  </si>
  <si>
    <t>SAKUKO744014</t>
  </si>
  <si>
    <t>SAKUKO744504</t>
  </si>
  <si>
    <t>0812479496</t>
  </si>
  <si>
    <t>em minh chi</t>
  </si>
  <si>
    <t>SAKUKO743700</t>
  </si>
  <si>
    <t>0989004895</t>
  </si>
  <si>
    <t>0913221838</t>
  </si>
  <si>
    <t>SAKUKO744282</t>
  </si>
  <si>
    <t>SAKUKO743834</t>
  </si>
  <si>
    <t>SAKUKO744532</t>
  </si>
  <si>
    <t>0904353568</t>
  </si>
  <si>
    <t>0983695375</t>
  </si>
  <si>
    <t>SAKUKO744074</t>
  </si>
  <si>
    <t>0917291070</t>
  </si>
  <si>
    <t>Cô Vũ Thị Thanh An</t>
  </si>
  <si>
    <t>SAKUKO742605</t>
  </si>
  <si>
    <t>0934489998</t>
  </si>
  <si>
    <t>SAKUKO742441</t>
  </si>
  <si>
    <t>0971694804</t>
  </si>
  <si>
    <t>0355347689</t>
  </si>
  <si>
    <t>SAKUKO743132</t>
  </si>
  <si>
    <t>SAKUKO742885</t>
  </si>
  <si>
    <t>0903255378</t>
  </si>
  <si>
    <t>SAKUKO743274</t>
  </si>
  <si>
    <t>SAKUKO742526</t>
  </si>
  <si>
    <t>SAKUKO743417</t>
  </si>
  <si>
    <t>0916008858</t>
  </si>
  <si>
    <t>SAKUKO743415</t>
  </si>
  <si>
    <t>SAKUKO742780</t>
  </si>
  <si>
    <t>SAKUKO742633</t>
  </si>
  <si>
    <t>SAKUKO742942</t>
  </si>
  <si>
    <t>0982290575</t>
  </si>
  <si>
    <t>0987260741</t>
  </si>
  <si>
    <t>SAKUKO742989</t>
  </si>
  <si>
    <t>0915709929</t>
  </si>
  <si>
    <t>Cô Lê Bích Hạnh</t>
  </si>
  <si>
    <t>SAKUKO742702</t>
  </si>
  <si>
    <t>0947017898</t>
  </si>
  <si>
    <t>SAKUKO742208</t>
  </si>
  <si>
    <t>0965638888</t>
  </si>
  <si>
    <t>0975699332</t>
  </si>
  <si>
    <t>chú phạm nga</t>
  </si>
  <si>
    <t>0388195983</t>
  </si>
  <si>
    <t>SAKUKO741976</t>
  </si>
  <si>
    <t>SAKUKO741883</t>
  </si>
  <si>
    <t>0988465889</t>
  </si>
  <si>
    <t>0913349679</t>
  </si>
  <si>
    <t>Hoàng đình tuấn</t>
  </si>
  <si>
    <t>SAKUKO741528</t>
  </si>
  <si>
    <t>SAKUKO741791</t>
  </si>
  <si>
    <t>SAKUKO741580</t>
  </si>
  <si>
    <t>0913441004</t>
  </si>
  <si>
    <t>0968911192</t>
  </si>
  <si>
    <t>SAKUKO742222</t>
  </si>
  <si>
    <t>SAKUKO741913</t>
  </si>
  <si>
    <t>SAKUKO740574</t>
  </si>
  <si>
    <t>0913360966</t>
  </si>
  <si>
    <t>0963499969</t>
  </si>
  <si>
    <t>SAKUKO740173</t>
  </si>
  <si>
    <t>SAKUKO740964</t>
  </si>
  <si>
    <t>0919506969</t>
  </si>
  <si>
    <t>SAKUKO741104</t>
  </si>
  <si>
    <t>SAKUKO740894</t>
  </si>
  <si>
    <t>0963938556</t>
  </si>
  <si>
    <t>0904262728</t>
  </si>
  <si>
    <t>đào thị hoà vũ</t>
  </si>
  <si>
    <t>SAKUKO740888</t>
  </si>
  <si>
    <t>0917291675</t>
  </si>
  <si>
    <t>SAKUKO740351</t>
  </si>
  <si>
    <t>SAKUKO740629</t>
  </si>
  <si>
    <t>0912396560</t>
  </si>
  <si>
    <t>Cô lê Thị dung</t>
  </si>
  <si>
    <t>0328008011</t>
  </si>
  <si>
    <t>0948288679</t>
  </si>
  <si>
    <t>0977938989</t>
  </si>
  <si>
    <t>SAKUKO738969</t>
  </si>
  <si>
    <t>0982980580</t>
  </si>
  <si>
    <t>Ha Thi Hanh</t>
  </si>
  <si>
    <t>0983805583</t>
  </si>
  <si>
    <t>SAKUKO739812</t>
  </si>
  <si>
    <t>0915091977</t>
  </si>
  <si>
    <t>SAKUKO739301</t>
  </si>
  <si>
    <t>SAKUKO739150</t>
  </si>
  <si>
    <t>0903407596</t>
  </si>
  <si>
    <t>Chị Trần Thu Uyên</t>
  </si>
  <si>
    <t>0913211159</t>
  </si>
  <si>
    <t>SAKUKO737673</t>
  </si>
  <si>
    <t>SAKUKO738750</t>
  </si>
  <si>
    <t>0982280760</t>
  </si>
  <si>
    <t>0911544259</t>
  </si>
  <si>
    <t>Chị người nhậty</t>
  </si>
  <si>
    <t>SAKUKO738052</t>
  </si>
  <si>
    <t>0942090509</t>
  </si>
  <si>
    <t>dương nga</t>
  </si>
  <si>
    <t>0982206696</t>
  </si>
  <si>
    <t>Chị Hoàng Mai Hồng</t>
  </si>
  <si>
    <t>SAKUKO738747</t>
  </si>
  <si>
    <t>0903233311</t>
  </si>
  <si>
    <t>SAKUKO738060</t>
  </si>
  <si>
    <t>SAKUKO737714</t>
  </si>
  <si>
    <t>0373755085</t>
  </si>
  <si>
    <t>lanlan</t>
  </si>
  <si>
    <t>0903205225</t>
  </si>
  <si>
    <t>0976036549</t>
  </si>
  <si>
    <t>SAKUKO736105</t>
  </si>
  <si>
    <t>0936453817</t>
  </si>
  <si>
    <t>SAKUKO735954</t>
  </si>
  <si>
    <t>SAKUKO736723</t>
  </si>
  <si>
    <t>SAKUKO736593</t>
  </si>
  <si>
    <t>0981632187</t>
  </si>
  <si>
    <t>chú tuyến</t>
  </si>
  <si>
    <t>SAKUKO736688</t>
  </si>
  <si>
    <t>SAKUKO737058</t>
  </si>
  <si>
    <t>0917906640</t>
  </si>
  <si>
    <t>0936085086</t>
  </si>
  <si>
    <t>SAKUKO735459</t>
  </si>
  <si>
    <t>0968893139</t>
  </si>
  <si>
    <t>SAKUKO734904</t>
  </si>
  <si>
    <t>0984961994</t>
  </si>
  <si>
    <t>SAKUKO735567</t>
  </si>
  <si>
    <t>0983220091</t>
  </si>
  <si>
    <t>SAKUKO735322</t>
  </si>
  <si>
    <t>0912428266</t>
  </si>
  <si>
    <t>SAKUKO734930</t>
  </si>
  <si>
    <t>0369148979</t>
  </si>
  <si>
    <t>CO Thu hiền</t>
  </si>
  <si>
    <t>0904866362</t>
  </si>
  <si>
    <t>0904148393</t>
  </si>
  <si>
    <t>SAKUKO735780</t>
  </si>
  <si>
    <t>0912464248</t>
  </si>
  <si>
    <t>0903479808</t>
  </si>
  <si>
    <t>Lê Hồng Điệp</t>
  </si>
  <si>
    <t>0973783648</t>
  </si>
  <si>
    <t>SAKUKO734604</t>
  </si>
  <si>
    <t>SAKUKO734388</t>
  </si>
  <si>
    <t>0913536991</t>
  </si>
  <si>
    <t>0396793286</t>
  </si>
  <si>
    <t>SAKUKO733980</t>
  </si>
  <si>
    <t>0967066888</t>
  </si>
  <si>
    <t>0949888268</t>
  </si>
  <si>
    <t>SAKUKO732786</t>
  </si>
  <si>
    <t>0979798688</t>
  </si>
  <si>
    <t>SAKUKO733028</t>
  </si>
  <si>
    <t>SAKUKO733385</t>
  </si>
  <si>
    <t>0902187707</t>
  </si>
  <si>
    <t>E Phương Loan</t>
  </si>
  <si>
    <t>0915341180</t>
  </si>
  <si>
    <t>Trần Phương Linh</t>
  </si>
  <si>
    <t>SAKUKO731889</t>
  </si>
  <si>
    <t>0936357099</t>
  </si>
  <si>
    <t>SAKUKO732220</t>
  </si>
  <si>
    <t>0989771666</t>
  </si>
  <si>
    <t>SAKUKO731634</t>
  </si>
  <si>
    <t>SAKUKO731846</t>
  </si>
  <si>
    <t>0355040464</t>
  </si>
  <si>
    <t>SAKUKO730809</t>
  </si>
  <si>
    <t>0943306830</t>
  </si>
  <si>
    <t>SAKUKO730856</t>
  </si>
  <si>
    <t>SAKUKO731033</t>
  </si>
  <si>
    <t>0377244693</t>
  </si>
  <si>
    <t>SAKUKO729928</t>
  </si>
  <si>
    <t>0388373809</t>
  </si>
  <si>
    <t>Phạm Quỳnh Giang</t>
  </si>
  <si>
    <t>SAKUKO728874</t>
  </si>
  <si>
    <t>0904299089</t>
  </si>
  <si>
    <t>Anh Đặng Chung</t>
  </si>
  <si>
    <t>0948653181</t>
  </si>
  <si>
    <t>C Phuong Lan</t>
  </si>
  <si>
    <t>SAKUKO729976</t>
  </si>
  <si>
    <t>0971518888</t>
  </si>
  <si>
    <t>Anh Nguyễn Hồng Nhật</t>
  </si>
  <si>
    <t>SAKUKO728889</t>
  </si>
  <si>
    <t>0988922275</t>
  </si>
  <si>
    <t>0966425966</t>
  </si>
  <si>
    <t>SAKUKO728000</t>
  </si>
  <si>
    <t>SAKUKO727673</t>
  </si>
  <si>
    <t>0983370509</t>
  </si>
  <si>
    <t>0912044362</t>
  </si>
  <si>
    <t>chị Dương Bảo Ngọc</t>
  </si>
  <si>
    <t>SAKUKO727444</t>
  </si>
  <si>
    <t>SAKUKO728337</t>
  </si>
  <si>
    <t>0984447959</t>
  </si>
  <si>
    <t>SAKUKO725118</t>
  </si>
  <si>
    <t>0965898688</t>
  </si>
  <si>
    <t>SAKUKO726663</t>
  </si>
  <si>
    <t>SAKUKO727218</t>
  </si>
  <si>
    <t>SAKUKO726760</t>
  </si>
  <si>
    <t>SAKUKO726415</t>
  </si>
  <si>
    <t>0705085836</t>
  </si>
  <si>
    <t>SAKUKO727129</t>
  </si>
  <si>
    <t>0962446866</t>
  </si>
  <si>
    <t>SAKUKO727206</t>
  </si>
  <si>
    <t>0979751768</t>
  </si>
  <si>
    <t>Chị Nhất</t>
  </si>
  <si>
    <t>0983681539</t>
  </si>
  <si>
    <t>Chị Trần Thị Huyền Tâm</t>
  </si>
  <si>
    <t>SAKUKO725374</t>
  </si>
  <si>
    <t>0904403457</t>
  </si>
  <si>
    <t>C THIN</t>
  </si>
  <si>
    <t>0983073443</t>
  </si>
  <si>
    <t>0978394845</t>
  </si>
  <si>
    <t>SAKUKO725869</t>
  </si>
  <si>
    <t>0983069055</t>
  </si>
  <si>
    <t>Cô Nguyễn Thúy Nga</t>
  </si>
  <si>
    <t>SAKUKO725653</t>
  </si>
  <si>
    <t>SAKUKO725094</t>
  </si>
  <si>
    <t>SAKUKO725567</t>
  </si>
  <si>
    <t>SAKUKO725411</t>
  </si>
  <si>
    <t>0904255931</t>
  </si>
  <si>
    <t>0942922993</t>
  </si>
  <si>
    <t>0983031102</t>
  </si>
  <si>
    <t>Chị Nguyễn Bích Thủy</t>
  </si>
  <si>
    <t>SAKUKO724380</t>
  </si>
  <si>
    <t>0985791959</t>
  </si>
  <si>
    <t>0988081061</t>
  </si>
  <si>
    <t>0819171083</t>
  </si>
  <si>
    <t>SAKUKO724421</t>
  </si>
  <si>
    <t>0974053998</t>
  </si>
  <si>
    <t>0983800068</t>
  </si>
  <si>
    <t>SAKUKO841984</t>
  </si>
  <si>
    <t>SAKUKO840785</t>
  </si>
  <si>
    <t>SAKUKO840850</t>
  </si>
  <si>
    <t>0902230715</t>
  </si>
  <si>
    <t>SAKUKO841222</t>
  </si>
  <si>
    <t>154827</t>
  </si>
  <si>
    <t>8936049051647</t>
  </si>
  <si>
    <t>OTOKI- Mì tô Jin cay 110g</t>
  </si>
  <si>
    <t>0939436666</t>
  </si>
  <si>
    <t>SAKUKO840818</t>
  </si>
  <si>
    <t>SAKUKO841874</t>
  </si>
  <si>
    <t>154831</t>
  </si>
  <si>
    <t>8936049051715</t>
  </si>
  <si>
    <t>OTOKI- Mì tô Jin sốt tương đen 115g</t>
  </si>
  <si>
    <t>0903409191</t>
  </si>
  <si>
    <t>SAKUKO840994</t>
  </si>
  <si>
    <t>0915254018</t>
  </si>
  <si>
    <t>SAKUKO841640</t>
  </si>
  <si>
    <t>SAKUKO841067</t>
  </si>
  <si>
    <t>SAKUKO841755</t>
  </si>
  <si>
    <t>154828</t>
  </si>
  <si>
    <t>8936049051616</t>
  </si>
  <si>
    <t>OTOKI- Mì ly Yeul cay 62g</t>
  </si>
  <si>
    <t>154829</t>
  </si>
  <si>
    <t>8936049051654</t>
  </si>
  <si>
    <t>OTOKI- Mì tô Yeul cay 105g</t>
  </si>
  <si>
    <t>155159</t>
  </si>
  <si>
    <t>8936049051623</t>
  </si>
  <si>
    <t>OTOKI- Mì kimchi ly 62g</t>
  </si>
  <si>
    <t>155160</t>
  </si>
  <si>
    <t>8936049051630</t>
  </si>
  <si>
    <t>OTOKI- Mì bò hầm vị cay ly 62g</t>
  </si>
  <si>
    <t>154830</t>
  </si>
  <si>
    <t>8936049051609</t>
  </si>
  <si>
    <t>OTOKI- Mì ly Jin sốt tương đen 70g</t>
  </si>
  <si>
    <t>SAKUKO841537</t>
  </si>
  <si>
    <t>155161</t>
  </si>
  <si>
    <t>8936049052378</t>
  </si>
  <si>
    <t>OTOKI- Mì Jin tương đen vị bò ly 65g</t>
  </si>
  <si>
    <t>0916087967</t>
  </si>
  <si>
    <t>SAKUKO841725</t>
  </si>
  <si>
    <t>155155</t>
  </si>
  <si>
    <t>8936049051708</t>
  </si>
  <si>
    <t>OTOKI- Mì Jin không cay tô 110g</t>
  </si>
  <si>
    <t>SAKUKO840919</t>
  </si>
  <si>
    <t>0966358688</t>
  </si>
  <si>
    <t>SAKUKO841200</t>
  </si>
  <si>
    <t>SAKUKO841350</t>
  </si>
  <si>
    <t>0972061366</t>
  </si>
  <si>
    <t>SAKUKO840959</t>
  </si>
  <si>
    <t>0913378381</t>
  </si>
  <si>
    <t>SAKUKO841107</t>
  </si>
  <si>
    <t>0918085967</t>
  </si>
  <si>
    <t>INARA</t>
  </si>
  <si>
    <t>SAKUKO841680</t>
  </si>
  <si>
    <t>SAKUKO841858</t>
  </si>
  <si>
    <t>0904327777</t>
  </si>
  <si>
    <t>SAKUKO841695</t>
  </si>
  <si>
    <t>SAKUKO840287</t>
  </si>
  <si>
    <t>0352257606</t>
  </si>
  <si>
    <t>0904170111</t>
  </si>
  <si>
    <t>SAKUKO839962</t>
  </si>
  <si>
    <t>SAKUKO840609</t>
  </si>
  <si>
    <t>0986546064</t>
  </si>
  <si>
    <t>SAKUKO840003</t>
  </si>
  <si>
    <t>SAKUKO839796</t>
  </si>
  <si>
    <t>155158</t>
  </si>
  <si>
    <t>8936049051593</t>
  </si>
  <si>
    <t>OTOKI- Mì Jin không cay ly 65g</t>
  </si>
  <si>
    <t>SAKUKO839695</t>
  </si>
  <si>
    <t>SAKUKO840033</t>
  </si>
  <si>
    <t>SAKUKO840768</t>
  </si>
  <si>
    <t>SAKUKO839672</t>
  </si>
  <si>
    <t>SAKUKO839747</t>
  </si>
  <si>
    <t>SAKUKO840009</t>
  </si>
  <si>
    <t>SAKUKO839692</t>
  </si>
  <si>
    <t>SAKUKO839554</t>
  </si>
  <si>
    <t>SAKUKO839668</t>
  </si>
  <si>
    <t>SAKUKO840728</t>
  </si>
  <si>
    <t>0936151386</t>
  </si>
  <si>
    <t>Cô Nguyễn Thị Hải</t>
  </si>
  <si>
    <t>SAKUKO839902</t>
  </si>
  <si>
    <t>0975819098</t>
  </si>
  <si>
    <t>SAKUKO840121</t>
  </si>
  <si>
    <t>SAKUKO840196</t>
  </si>
  <si>
    <t>SAKUKO840504</t>
  </si>
  <si>
    <t>SAKUKO840265</t>
  </si>
  <si>
    <t>SAKUKO840148</t>
  </si>
  <si>
    <t>0986946288</t>
  </si>
  <si>
    <t>0966743103</t>
  </si>
  <si>
    <t>SAKUKO838427</t>
  </si>
  <si>
    <t>0983303138</t>
  </si>
  <si>
    <t>SAKUKO839257</t>
  </si>
  <si>
    <t>SAKUKO839270</t>
  </si>
  <si>
    <t>SAKUKO838968</t>
  </si>
  <si>
    <t>0975543984</t>
  </si>
  <si>
    <t>Chị Phan Thị Minh Hằng</t>
  </si>
  <si>
    <t>SAKUKO838674</t>
  </si>
  <si>
    <t>0977216968</t>
  </si>
  <si>
    <t>SAKUKO838684</t>
  </si>
  <si>
    <t>SAKUKO838572</t>
  </si>
  <si>
    <t>SAKUKO839066</t>
  </si>
  <si>
    <t>SAKUKO838464</t>
  </si>
  <si>
    <t>SAKUKO839280</t>
  </si>
  <si>
    <t>0975261168</t>
  </si>
  <si>
    <t>SAKUKO839095</t>
  </si>
  <si>
    <t>SAKUKO839458</t>
  </si>
  <si>
    <t>SAKUKO838617</t>
  </si>
  <si>
    <t>SAKUKO838863</t>
  </si>
  <si>
    <t>SAKUKO838586</t>
  </si>
  <si>
    <t>0985866691</t>
  </si>
  <si>
    <t>SAKUKO839264</t>
  </si>
  <si>
    <t>SAKUKO837615</t>
  </si>
  <si>
    <t>SAKUKO837829</t>
  </si>
  <si>
    <t>0913235092</t>
  </si>
  <si>
    <t>Cô Nguyễn Ngọc Lan</t>
  </si>
  <si>
    <t>SAKUKO837311</t>
  </si>
  <si>
    <t>0916918686</t>
  </si>
  <si>
    <t>0945047979</t>
  </si>
  <si>
    <t>SAKUKO838249</t>
  </si>
  <si>
    <t>0976940728</t>
  </si>
  <si>
    <t>0903261884</t>
  </si>
  <si>
    <t>co Thom</t>
  </si>
  <si>
    <t>SAKUKO838143</t>
  </si>
  <si>
    <t>SAKUKO838208</t>
  </si>
  <si>
    <t>0972357012</t>
  </si>
  <si>
    <t>SAKUKO837626</t>
  </si>
  <si>
    <t>0982994488</t>
  </si>
  <si>
    <t>SAKUKO837371</t>
  </si>
  <si>
    <t>SAKUKO837599</t>
  </si>
  <si>
    <t>SAKUKO837752</t>
  </si>
  <si>
    <t>0942375098</t>
  </si>
  <si>
    <t>SAKUKO837817</t>
  </si>
  <si>
    <t>SAKUKO837800</t>
  </si>
  <si>
    <t>0988794000</t>
  </si>
  <si>
    <t>SAKUKO838185</t>
  </si>
  <si>
    <t>0986664294</t>
  </si>
  <si>
    <t>SAKUKO837462</t>
  </si>
  <si>
    <t>0968873196</t>
  </si>
  <si>
    <t>SAKUKO837831</t>
  </si>
  <si>
    <t>0912009466</t>
  </si>
  <si>
    <t>SAKUKO835742</t>
  </si>
  <si>
    <t>SAKUKO836484</t>
  </si>
  <si>
    <t>0976843969</t>
  </si>
  <si>
    <t>SAKUKO835825</t>
  </si>
  <si>
    <t>SAKUKO836524</t>
  </si>
  <si>
    <t>SAKUKO835647</t>
  </si>
  <si>
    <t>0984202028</t>
  </si>
  <si>
    <t>SAKUKO836758</t>
  </si>
  <si>
    <t>SAKUKO836080</t>
  </si>
  <si>
    <t>0386087996</t>
  </si>
  <si>
    <t>SAKUKO835818</t>
  </si>
  <si>
    <t>SAKUKO835754</t>
  </si>
  <si>
    <t>SAKUKO835728</t>
  </si>
  <si>
    <t>SAKUKO836120</t>
  </si>
  <si>
    <t>0983301285</t>
  </si>
  <si>
    <t>c Đặng Phương Mai</t>
  </si>
  <si>
    <t>SAKUKO836446</t>
  </si>
  <si>
    <t>SAKUKO834924</t>
  </si>
  <si>
    <t>SAKUKO835486</t>
  </si>
  <si>
    <t>SAKUKO835087</t>
  </si>
  <si>
    <t>SAKUKO834380</t>
  </si>
  <si>
    <t>0332694645</t>
  </si>
  <si>
    <t>0972780489</t>
  </si>
  <si>
    <t>SAKUKO834777</t>
  </si>
  <si>
    <t>0988111068</t>
  </si>
  <si>
    <t>0398150524</t>
  </si>
  <si>
    <t>SAKUKO834757</t>
  </si>
  <si>
    <t>SAKUKO834727</t>
  </si>
  <si>
    <t>0981661011</t>
  </si>
  <si>
    <t>SAKUKO834918</t>
  </si>
  <si>
    <t>0983206784</t>
  </si>
  <si>
    <t>SAKUKO835197</t>
  </si>
  <si>
    <t>SAKUKO834865</t>
  </si>
  <si>
    <t>SAKUKO835383</t>
  </si>
  <si>
    <t>0936900788</t>
  </si>
  <si>
    <t>SAKUKO835029</t>
  </si>
  <si>
    <t>0976070091</t>
  </si>
  <si>
    <t>anh lê Ngọc lâm</t>
  </si>
  <si>
    <t>SAKUKO835536</t>
  </si>
  <si>
    <t>SAKUKO835460</t>
  </si>
  <si>
    <t>SAKUKO833755</t>
  </si>
  <si>
    <t>0983851962</t>
  </si>
  <si>
    <t>SAKUKO833126</t>
  </si>
  <si>
    <t>SAKUKO833559</t>
  </si>
  <si>
    <t>SAKUKO833478</t>
  </si>
  <si>
    <t>SAKUKO833470</t>
  </si>
  <si>
    <t>SAKUKO834056</t>
  </si>
  <si>
    <t>SAKUKO834299</t>
  </si>
  <si>
    <t>0936093306</t>
  </si>
  <si>
    <t>SAKUKO833973</t>
  </si>
  <si>
    <t>SAKUKO834093</t>
  </si>
  <si>
    <t>SAKUKO833373</t>
  </si>
  <si>
    <t>SAKUKO833387</t>
  </si>
  <si>
    <t>SAKUKO833071</t>
  </si>
  <si>
    <t>0984777861</t>
  </si>
  <si>
    <t>SAKUKO833429</t>
  </si>
  <si>
    <t>0986679454</t>
  </si>
  <si>
    <t>SAKUKO834134</t>
  </si>
  <si>
    <t>0982161655</t>
  </si>
  <si>
    <t>Nguyễn Thị Ngọc Giao</t>
  </si>
  <si>
    <t>SAKUKO833110</t>
  </si>
  <si>
    <t>SAKUKO833881</t>
  </si>
  <si>
    <t>0912403495</t>
  </si>
  <si>
    <t>SAKUKO833717</t>
  </si>
  <si>
    <t>SAKUKO834033</t>
  </si>
  <si>
    <t>0585839333</t>
  </si>
  <si>
    <t>SAKUKO833070</t>
  </si>
  <si>
    <t>0888686571</t>
  </si>
  <si>
    <t>SAKUKO833443</t>
  </si>
  <si>
    <t>0917224489</t>
  </si>
  <si>
    <t>SAKUKO833146</t>
  </si>
  <si>
    <t>0983370597</t>
  </si>
  <si>
    <t>SAKUKO833168</t>
  </si>
  <si>
    <t>0982227827</t>
  </si>
  <si>
    <t>chị thuỳ vân</t>
  </si>
  <si>
    <t>SAKUKO832912</t>
  </si>
  <si>
    <t>SAKUKO831852</t>
  </si>
  <si>
    <t>0962644566</t>
  </si>
  <si>
    <t>SAKUKO832685</t>
  </si>
  <si>
    <t>SAKUKO832140</t>
  </si>
  <si>
    <t>0913057305</t>
  </si>
  <si>
    <t>CôKim Anh</t>
  </si>
  <si>
    <t>SAKUKO832016</t>
  </si>
  <si>
    <t>SAKUKO831925</t>
  </si>
  <si>
    <t>SAKUKO831961</t>
  </si>
  <si>
    <t>0342431045</t>
  </si>
  <si>
    <t>cô Đặng Thị Phúc</t>
  </si>
  <si>
    <t>SAKUKO832629</t>
  </si>
  <si>
    <t>SAKUKO832572</t>
  </si>
  <si>
    <t>SAKUKO832712</t>
  </si>
  <si>
    <t>SAKUKO831933</t>
  </si>
  <si>
    <t>0977625981</t>
  </si>
  <si>
    <t>SAKUKO832813</t>
  </si>
  <si>
    <t>0913209446</t>
  </si>
  <si>
    <t>SAKUKO832367</t>
  </si>
  <si>
    <t>0982240936</t>
  </si>
  <si>
    <t>SAKUKO832062</t>
  </si>
  <si>
    <t>0904080844</t>
  </si>
  <si>
    <t>Cô Phan Thi Minh Chương</t>
  </si>
  <si>
    <t>SAKUKO832603</t>
  </si>
  <si>
    <t>SAKUKO832389</t>
  </si>
  <si>
    <t>SAKUKO830795</t>
  </si>
  <si>
    <t>SAKUKO830487</t>
  </si>
  <si>
    <t>SAKUKO830530</t>
  </si>
  <si>
    <t>c Thu Hằng</t>
  </si>
  <si>
    <t>SAKUKO830853</t>
  </si>
  <si>
    <t>SAKUKO831642</t>
  </si>
  <si>
    <t>SAKUKO831185</t>
  </si>
  <si>
    <t>SAKUKO831272</t>
  </si>
  <si>
    <t>0964186098</t>
  </si>
  <si>
    <t>Anh TuấnAnh</t>
  </si>
  <si>
    <t>SAKUKO830378</t>
  </si>
  <si>
    <t>SAKUKO831758</t>
  </si>
  <si>
    <t>SAKUKO830601</t>
  </si>
  <si>
    <t>0357077133</t>
  </si>
  <si>
    <t>0359979949</t>
  </si>
  <si>
    <t>SAKUKO831738</t>
  </si>
  <si>
    <t>SAKUKO830991</t>
  </si>
  <si>
    <t>0983564091</t>
  </si>
  <si>
    <t>SAKUKO829896</t>
  </si>
  <si>
    <t>SAKUKO829933</t>
  </si>
  <si>
    <t>SAKUKO830223</t>
  </si>
  <si>
    <t>0988969466</t>
  </si>
  <si>
    <t>Bùi Thị Hạnh</t>
  </si>
  <si>
    <t>SAKUKO830242</t>
  </si>
  <si>
    <t>SAKUKO829504</t>
  </si>
  <si>
    <t>SAKUKO829795</t>
  </si>
  <si>
    <t>SAKUKO829649</t>
  </si>
  <si>
    <t>SAKUKO829181</t>
  </si>
  <si>
    <t>0936348586</t>
  </si>
  <si>
    <t>SAKUKO829868</t>
  </si>
  <si>
    <t>SAKUKO828280</t>
  </si>
  <si>
    <t>0983500018</t>
  </si>
  <si>
    <t>chị Bình Lam</t>
  </si>
  <si>
    <t>SAKUKO828370</t>
  </si>
  <si>
    <t>0349101974</t>
  </si>
  <si>
    <t>0941986556</t>
  </si>
  <si>
    <t>SAKUKO828616</t>
  </si>
  <si>
    <t>0982738105</t>
  </si>
  <si>
    <t>SAKUKO828374</t>
  </si>
  <si>
    <t>SAKUKO828485</t>
  </si>
  <si>
    <t>SAKUKO828496</t>
  </si>
  <si>
    <t>SAKUKO828432</t>
  </si>
  <si>
    <t>0983672366</t>
  </si>
  <si>
    <t>c nguyễn thị quỳnh anh</t>
  </si>
  <si>
    <t>SAKUKO828624</t>
  </si>
  <si>
    <t>SAKUKO828003</t>
  </si>
  <si>
    <t>0989836310</t>
  </si>
  <si>
    <t>Chị Vũ Hải Yến</t>
  </si>
  <si>
    <t>SAKUKO828721</t>
  </si>
  <si>
    <t>0868870058</t>
  </si>
  <si>
    <t>SAKUKO828939</t>
  </si>
  <si>
    <t>0903245666</t>
  </si>
  <si>
    <t>Chị Nhóc</t>
  </si>
  <si>
    <t>SAKUKO828471</t>
  </si>
  <si>
    <t>SAKUKO828340</t>
  </si>
  <si>
    <t>SAKUKO827886</t>
  </si>
  <si>
    <t>SAKUKO828172</t>
  </si>
  <si>
    <t>SAKUKO828965</t>
  </si>
  <si>
    <t>SAKUKO828818</t>
  </si>
  <si>
    <t>0969748138</t>
  </si>
  <si>
    <t>SAKUKO828456</t>
  </si>
  <si>
    <t>SAKUKO829088</t>
  </si>
  <si>
    <t>SAKUKO828823</t>
  </si>
  <si>
    <t>0904264562</t>
  </si>
  <si>
    <t>SAKUKO828867</t>
  </si>
  <si>
    <t>0947742828</t>
  </si>
  <si>
    <t>SAKUKO828652</t>
  </si>
  <si>
    <t>0967620898</t>
  </si>
  <si>
    <t>SAKUKO828833</t>
  </si>
  <si>
    <t>SAKUKO828209</t>
  </si>
  <si>
    <t>0982310125</t>
  </si>
  <si>
    <t>0988756692</t>
  </si>
  <si>
    <t>SAKUKO828040</t>
  </si>
  <si>
    <t>0343911991</t>
  </si>
  <si>
    <t>0354002820</t>
  </si>
  <si>
    <t>cô Minh An</t>
  </si>
  <si>
    <t>SAKUKO827177</t>
  </si>
  <si>
    <t>SAKUKO826637</t>
  </si>
  <si>
    <t>SAKUKO826968</t>
  </si>
  <si>
    <t>0904369909</t>
  </si>
  <si>
    <t>SAKUKO827680</t>
  </si>
  <si>
    <t>0904993323</t>
  </si>
  <si>
    <t>c mai sinh</t>
  </si>
  <si>
    <t>SAKUKO827753</t>
  </si>
  <si>
    <t>0913225840</t>
  </si>
  <si>
    <t>chus đông</t>
  </si>
  <si>
    <t>SAKUKO826857</t>
  </si>
  <si>
    <t>SAKUKO827695</t>
  </si>
  <si>
    <t>SAKUKO827330</t>
  </si>
  <si>
    <t>0912364622</t>
  </si>
  <si>
    <t>SAKUKO826996</t>
  </si>
  <si>
    <t>SAKUKO826708</t>
  </si>
  <si>
    <t>0979829177</t>
  </si>
  <si>
    <t>Chị Nguyễn Thị Minh Châu</t>
  </si>
  <si>
    <t>SAKUKO826809</t>
  </si>
  <si>
    <t>0988122473</t>
  </si>
  <si>
    <t>SAKUKO826744</t>
  </si>
  <si>
    <t>SAKUKO826462</t>
  </si>
  <si>
    <t>SAKUKO826511</t>
  </si>
  <si>
    <t>0912823383</t>
  </si>
  <si>
    <t>SAKUKO827376</t>
  </si>
  <si>
    <t>SAKUKO827160</t>
  </si>
  <si>
    <t>SAKUKO826571</t>
  </si>
  <si>
    <t>SAKUKO826725</t>
  </si>
  <si>
    <t>SAKUKO827536</t>
  </si>
  <si>
    <t>0902249166</t>
  </si>
  <si>
    <t>SAKUKO827591</t>
  </si>
  <si>
    <t>SAKUKO827702</t>
  </si>
  <si>
    <t>SAKUKO826387</t>
  </si>
  <si>
    <t>0962221951</t>
  </si>
  <si>
    <t>SAKUKO825619</t>
  </si>
  <si>
    <t>SAKUKO825563</t>
  </si>
  <si>
    <t>SAKUKO825749</t>
  </si>
  <si>
    <t>SAKUKO825661</t>
  </si>
  <si>
    <t>SAKUKO825586</t>
  </si>
  <si>
    <t>0982688288</t>
  </si>
  <si>
    <t>SAKUKO825343</t>
  </si>
  <si>
    <t>SAKUKO825486</t>
  </si>
  <si>
    <t>SAKUKO825921</t>
  </si>
  <si>
    <t>SAKUKO825666</t>
  </si>
  <si>
    <t>0963018718</t>
  </si>
  <si>
    <t>SAKUKO826016</t>
  </si>
  <si>
    <t>SAKUKO826010</t>
  </si>
  <si>
    <t>SAKUKO824813</t>
  </si>
  <si>
    <t>SAKUKO823827</t>
  </si>
  <si>
    <t>0904884496</t>
  </si>
  <si>
    <t>SAKUKO824096</t>
  </si>
  <si>
    <t>SAKUKO824990</t>
  </si>
  <si>
    <t>SAKUKO824016</t>
  </si>
  <si>
    <t>SAKUKO824771</t>
  </si>
  <si>
    <t>0989207365</t>
  </si>
  <si>
    <t>0983777303</t>
  </si>
  <si>
    <t>SAKUKO824015</t>
  </si>
  <si>
    <t>SAKUKO824409</t>
  </si>
  <si>
    <t>SAKUKO824690</t>
  </si>
  <si>
    <t>SAKUKO823935</t>
  </si>
  <si>
    <t>SAKUKO824394</t>
  </si>
  <si>
    <t>154333</t>
  </si>
  <si>
    <t>4901990325547</t>
  </si>
  <si>
    <t>MARUCHAN-Mì hộp ramen hoành thánh nước tương 117g</t>
  </si>
  <si>
    <t>SAKUKO824904</t>
  </si>
  <si>
    <t>0983093058</t>
  </si>
  <si>
    <t>SAKUKO824540</t>
  </si>
  <si>
    <t>SAKUKO824302</t>
  </si>
  <si>
    <t>SAKUKO824986</t>
  </si>
  <si>
    <t>0366396315</t>
  </si>
  <si>
    <t>SAKUKO824806</t>
  </si>
  <si>
    <t>SAKUKO824728</t>
  </si>
  <si>
    <t>SAKUKO822931</t>
  </si>
  <si>
    <t>SAKUKO823457</t>
  </si>
  <si>
    <t>SAKUKO823763</t>
  </si>
  <si>
    <t>SAKUKO822854</t>
  </si>
  <si>
    <t>0354928796</t>
  </si>
  <si>
    <t>Hoàn Nguyễn</t>
  </si>
  <si>
    <t>SAKUKO823543</t>
  </si>
  <si>
    <t>SAKUKO823657</t>
  </si>
  <si>
    <t>0967428273</t>
  </si>
  <si>
    <t>SAKUKO822913</t>
  </si>
  <si>
    <t>0913876688</t>
  </si>
  <si>
    <t>SAKUKO823590</t>
  </si>
  <si>
    <t>SAKUKO822813</t>
  </si>
  <si>
    <t>SAKUKO822784</t>
  </si>
  <si>
    <t>0903418987</t>
  </si>
  <si>
    <t>SAKUKO823691</t>
  </si>
  <si>
    <t>0977879362</t>
  </si>
  <si>
    <t>SAKUKO823383</t>
  </si>
  <si>
    <t>SAKUKO823300</t>
  </si>
  <si>
    <t>SAKUKO823642</t>
  </si>
  <si>
    <t>0966825669</t>
  </si>
  <si>
    <t>chi trần thị loan</t>
  </si>
  <si>
    <t>0913034500</t>
  </si>
  <si>
    <t>SAKUKO823387</t>
  </si>
  <si>
    <t>SAKUKO823479</t>
  </si>
  <si>
    <t>0965681877</t>
  </si>
  <si>
    <t>SAKUKO822727</t>
  </si>
  <si>
    <t>SAKUKO822438</t>
  </si>
  <si>
    <t>0328752772</t>
  </si>
  <si>
    <t>SAKUKO822256</t>
  </si>
  <si>
    <t>0916326928</t>
  </si>
  <si>
    <t>SAKUKO822200</t>
  </si>
  <si>
    <t>0986528658</t>
  </si>
  <si>
    <t>0913307168</t>
  </si>
  <si>
    <t>Cô Nguyễn Thị Hồng Mai</t>
  </si>
  <si>
    <t>SAKUKO821610</t>
  </si>
  <si>
    <t>SAKUKO821986</t>
  </si>
  <si>
    <t>0918006886</t>
  </si>
  <si>
    <t>SAKUKO821835</t>
  </si>
  <si>
    <t>0399554682</t>
  </si>
  <si>
    <t>SAKUKO821618</t>
  </si>
  <si>
    <t>SAKUKO821525</t>
  </si>
  <si>
    <t>SAKUKO822457</t>
  </si>
  <si>
    <t>SAKUKO821582</t>
  </si>
  <si>
    <t>0906885293</t>
  </si>
  <si>
    <t>SAKUKO821432</t>
  </si>
  <si>
    <t>SAKUKO820402</t>
  </si>
  <si>
    <t>SAKUKO821138</t>
  </si>
  <si>
    <t>SAKUKO820379</t>
  </si>
  <si>
    <t>SAKUKO821450</t>
  </si>
  <si>
    <t>SAKUKO820341</t>
  </si>
  <si>
    <t>0944808113</t>
  </si>
  <si>
    <t>SAKUKO820759</t>
  </si>
  <si>
    <t>0989418984</t>
  </si>
  <si>
    <t>SAKUKO821468</t>
  </si>
  <si>
    <t>SAKUKO821213</t>
  </si>
  <si>
    <t>0912345842</t>
  </si>
  <si>
    <t>Bùi Thu Hoà</t>
  </si>
  <si>
    <t>SAKUKO820388</t>
  </si>
  <si>
    <t>SAKUKO821077</t>
  </si>
  <si>
    <t>SAKUKO820629</t>
  </si>
  <si>
    <t>SAKUKO820749</t>
  </si>
  <si>
    <t>SAKUKO820818</t>
  </si>
  <si>
    <t>SAKUKO820531</t>
  </si>
  <si>
    <t>SAKUKO820819</t>
  </si>
  <si>
    <t>0977217962</t>
  </si>
  <si>
    <t>SAKUKO820643</t>
  </si>
  <si>
    <t>0975562835</t>
  </si>
  <si>
    <t>SAKUKO820376</t>
  </si>
  <si>
    <t>SAKUKO821440</t>
  </si>
  <si>
    <t>SAKUKO819752</t>
  </si>
  <si>
    <t>SAKUKO819576</t>
  </si>
  <si>
    <t>SAKUKO819189</t>
  </si>
  <si>
    <t>SAKUKO819348</t>
  </si>
  <si>
    <t>0975597077</t>
  </si>
  <si>
    <t>hoàng tuấn vũ</t>
  </si>
  <si>
    <t>SAKUKO819638</t>
  </si>
  <si>
    <t>SAKUKO819137</t>
  </si>
  <si>
    <t>0977502727</t>
  </si>
  <si>
    <t>SAKUKO819241</t>
  </si>
  <si>
    <t>SAKUKO819347</t>
  </si>
  <si>
    <t>SAKUKO819307</t>
  </si>
  <si>
    <t>SAKUKO820099</t>
  </si>
  <si>
    <t>0906223491</t>
  </si>
  <si>
    <t>Nguyễn Linh Hiếu</t>
  </si>
  <si>
    <t>SAKUKO820171</t>
  </si>
  <si>
    <t>0972182819</t>
  </si>
  <si>
    <t>SAKUKO820104</t>
  </si>
  <si>
    <t>0964111134</t>
  </si>
  <si>
    <t>chị mỹ bình</t>
  </si>
  <si>
    <t>SAKUKO820005</t>
  </si>
  <si>
    <t>SAKUKO819150</t>
  </si>
  <si>
    <t>SAKUKO819270</t>
  </si>
  <si>
    <t>SAKUKO819378</t>
  </si>
  <si>
    <t>SAKUKO819533</t>
  </si>
  <si>
    <t>SAKUKO820087</t>
  </si>
  <si>
    <t>SAKUKO819956</t>
  </si>
  <si>
    <t>SAKUKO819523</t>
  </si>
  <si>
    <t>0904967633</t>
  </si>
  <si>
    <t>Chị Nguyễn Hải Vân</t>
  </si>
  <si>
    <t>SAKUKO817957</t>
  </si>
  <si>
    <t>0392538093</t>
  </si>
  <si>
    <t>c q. anh</t>
  </si>
  <si>
    <t>SAKUKO818558</t>
  </si>
  <si>
    <t>SAKUKO818148</t>
  </si>
  <si>
    <t>SAKUKO817889</t>
  </si>
  <si>
    <t>SAKUKO817935</t>
  </si>
  <si>
    <t>0944798398</t>
  </si>
  <si>
    <t>SAKUKO818258</t>
  </si>
  <si>
    <t>0988993382</t>
  </si>
  <si>
    <t>SAKUKO818024</t>
  </si>
  <si>
    <t>SAKUKO817679</t>
  </si>
  <si>
    <t>SAKUKO818801</t>
  </si>
  <si>
    <t>SAKUKO818318</t>
  </si>
  <si>
    <t>SAKUKO818130</t>
  </si>
  <si>
    <t>SAKUKO818429</t>
  </si>
  <si>
    <t>SAKUKO818367</t>
  </si>
  <si>
    <t>0982003142</t>
  </si>
  <si>
    <t>SAKUKO818176</t>
  </si>
  <si>
    <t>SAKUKO818147</t>
  </si>
  <si>
    <t>0943929908</t>
  </si>
  <si>
    <t>SAKUKO818612</t>
  </si>
  <si>
    <t>SAKUKO817875</t>
  </si>
  <si>
    <t>0914380462</t>
  </si>
  <si>
    <t>SAKUKO818543</t>
  </si>
  <si>
    <t>SAKUKO817551</t>
  </si>
  <si>
    <t>SAKUKO817149</t>
  </si>
  <si>
    <t>SAKUKO817334</t>
  </si>
  <si>
    <t>SAKUKO816778</t>
  </si>
  <si>
    <t>SAKUKO816712</t>
  </si>
  <si>
    <t>0982442828</t>
  </si>
  <si>
    <t>SAKUKO816852</t>
  </si>
  <si>
    <t>0904220715</t>
  </si>
  <si>
    <t>SAKUKO817547</t>
  </si>
  <si>
    <t>SAKUKO816550</t>
  </si>
  <si>
    <t>SAKUKO817466</t>
  </si>
  <si>
    <t>0904226899</t>
  </si>
  <si>
    <t>SAKUKO816863</t>
  </si>
  <si>
    <t>SAKUKO817343</t>
  </si>
  <si>
    <t>0932233468</t>
  </si>
  <si>
    <t>0973037999</t>
  </si>
  <si>
    <t>SAKUKO816979</t>
  </si>
  <si>
    <t>SAKUKO816444</t>
  </si>
  <si>
    <t>0989665357</t>
  </si>
  <si>
    <t>SAKUKO817163</t>
  </si>
  <si>
    <t>0862984587</t>
  </si>
  <si>
    <t>SAKUKO816504</t>
  </si>
  <si>
    <t>0962605665</t>
  </si>
  <si>
    <t>SAKUKO817436</t>
  </si>
  <si>
    <t>SAKUKO816062</t>
  </si>
  <si>
    <t>SAKUKO816105</t>
  </si>
  <si>
    <t>SAKUKO815712</t>
  </si>
  <si>
    <t>0886382899</t>
  </si>
  <si>
    <t>0911256685</t>
  </si>
  <si>
    <t>SAKUKO815720</t>
  </si>
  <si>
    <t>SAKUKO815284</t>
  </si>
  <si>
    <t>SAKUKO816102</t>
  </si>
  <si>
    <t>0979132017</t>
  </si>
  <si>
    <t>SAKUKO815089</t>
  </si>
  <si>
    <t>0983169999</t>
  </si>
  <si>
    <t>SAKUKO815812</t>
  </si>
  <si>
    <t>SAKUKO815008</t>
  </si>
  <si>
    <t>SAKUKO815267</t>
  </si>
  <si>
    <t>0976020396</t>
  </si>
  <si>
    <t>SAKUKO815180</t>
  </si>
  <si>
    <t>0978333351</t>
  </si>
  <si>
    <t>C LÂM</t>
  </si>
  <si>
    <t>SAKUKO815885</t>
  </si>
  <si>
    <t>SAKUKO816114</t>
  </si>
  <si>
    <t>SAKUKO815280</t>
  </si>
  <si>
    <t>0981212919</t>
  </si>
  <si>
    <t>SAKUKO815778</t>
  </si>
  <si>
    <t>0901022025</t>
  </si>
  <si>
    <t>0963030171</t>
  </si>
  <si>
    <t>SAKUKO816215</t>
  </si>
  <si>
    <t>0963254714</t>
  </si>
  <si>
    <t>Bạn Tùng</t>
  </si>
  <si>
    <t>SAKUKO815495</t>
  </si>
  <si>
    <t>SAKUKO814469</t>
  </si>
  <si>
    <t>0932279877</t>
  </si>
  <si>
    <t>SAKUKO814176</t>
  </si>
  <si>
    <t>SAKUKO813715</t>
  </si>
  <si>
    <t>0398166122</t>
  </si>
  <si>
    <t>c giag</t>
  </si>
  <si>
    <t>SAKUKO814246</t>
  </si>
  <si>
    <t>SAKUKO813955</t>
  </si>
  <si>
    <t>0933883385</t>
  </si>
  <si>
    <t>SAKUKO814618</t>
  </si>
  <si>
    <t>SAKUKO813849</t>
  </si>
  <si>
    <t>SAKUKO814603</t>
  </si>
  <si>
    <t>SAKUKO814684</t>
  </si>
  <si>
    <t>SAKUKO814560</t>
  </si>
  <si>
    <t>SAKUKO814055</t>
  </si>
  <si>
    <t>SAKUKO814155</t>
  </si>
  <si>
    <t>0913523202</t>
  </si>
  <si>
    <t>co diep</t>
  </si>
  <si>
    <t>SAKUKO814413</t>
  </si>
  <si>
    <t>SAKUKO813978</t>
  </si>
  <si>
    <t>0366652910</t>
  </si>
  <si>
    <t>SAKUKO813282</t>
  </si>
  <si>
    <t>SAKUKO812832</t>
  </si>
  <si>
    <t>SAKUKO813308</t>
  </si>
  <si>
    <t>SAKUKO812939</t>
  </si>
  <si>
    <t>SAKUKO809658</t>
  </si>
  <si>
    <t>SAKUKO812681</t>
  </si>
  <si>
    <t>SAKUKO813462</t>
  </si>
  <si>
    <t>SAKUKO812524</t>
  </si>
  <si>
    <t>SAKUKO813609</t>
  </si>
  <si>
    <t>0984877226</t>
  </si>
  <si>
    <t>Chị Nhuỵ</t>
  </si>
  <si>
    <t>SAKUKO813620</t>
  </si>
  <si>
    <t>0987607630</t>
  </si>
  <si>
    <t>SAKUKO812619</t>
  </si>
  <si>
    <t>SAKUKO813175</t>
  </si>
  <si>
    <t>0912750396</t>
  </si>
  <si>
    <t>chị trần thị ngọc anh</t>
  </si>
  <si>
    <t>SAKUKO812356</t>
  </si>
  <si>
    <t>0933993935</t>
  </si>
  <si>
    <t>SAKUKO812695</t>
  </si>
  <si>
    <t>SAKUKO813131</t>
  </si>
  <si>
    <t>SAKUKO813159</t>
  </si>
  <si>
    <t>SAKUKO812876</t>
  </si>
  <si>
    <t>SAKUKO812920</t>
  </si>
  <si>
    <t>0983045042</t>
  </si>
  <si>
    <t>SAKUKO812537</t>
  </si>
  <si>
    <t>SAKUKO813687</t>
  </si>
  <si>
    <t>SAKUKO812145</t>
  </si>
  <si>
    <t>0912696898</t>
  </si>
  <si>
    <t>SAKUKO811547</t>
  </si>
  <si>
    <t>SAKUKO811892</t>
  </si>
  <si>
    <t>SAKUKO811364</t>
  </si>
  <si>
    <t>0949787273</t>
  </si>
  <si>
    <t>SAKUKO811530</t>
  </si>
  <si>
    <t>SAKUKO812320</t>
  </si>
  <si>
    <t>0375872633</t>
  </si>
  <si>
    <t>SAKUKO811851</t>
  </si>
  <si>
    <t>SAKUKO811605</t>
  </si>
  <si>
    <t>SAKUKO811594</t>
  </si>
  <si>
    <t>SAKUKO811624</t>
  </si>
  <si>
    <t>SAKUKO811552</t>
  </si>
  <si>
    <t>0963736536</t>
  </si>
  <si>
    <t>SAKUKO811473</t>
  </si>
  <si>
    <t>SAKUKO811468</t>
  </si>
  <si>
    <t>SAKUKO812049</t>
  </si>
  <si>
    <t>SAKUKO811211</t>
  </si>
  <si>
    <t>SAKUKO810811</t>
  </si>
  <si>
    <t>SAKUKO810909</t>
  </si>
  <si>
    <t>SAKUKO810828</t>
  </si>
  <si>
    <t>SAKUKO810848</t>
  </si>
  <si>
    <t>SAKUKO810665</t>
  </si>
  <si>
    <t>0904950164</t>
  </si>
  <si>
    <t>SAKUKO810267</t>
  </si>
  <si>
    <t>SAKUKO810183</t>
  </si>
  <si>
    <t>SAKUKO811036</t>
  </si>
  <si>
    <t>0915384447</t>
  </si>
  <si>
    <t>CHI THƠ</t>
  </si>
  <si>
    <t>SAKUKO810536</t>
  </si>
  <si>
    <t>SAKUKO811056</t>
  </si>
  <si>
    <t>SAKUKO810638</t>
  </si>
  <si>
    <t>SAKUKO810789</t>
  </si>
  <si>
    <t>SAKUKO810473</t>
  </si>
  <si>
    <t>SAKUKO810015</t>
  </si>
  <si>
    <t>SAKUKO811299</t>
  </si>
  <si>
    <t>0983552192</t>
  </si>
  <si>
    <t>SAKUKO810471</t>
  </si>
  <si>
    <t>0972652190</t>
  </si>
  <si>
    <t>SAKUKO810167</t>
  </si>
  <si>
    <t>0986866466</t>
  </si>
  <si>
    <t>Chị Nguyễn Thị Mai Hạnh</t>
  </si>
  <si>
    <t>SAKUKO810196</t>
  </si>
  <si>
    <t>SAKUKO810599</t>
  </si>
  <si>
    <t>0339933555</t>
  </si>
  <si>
    <t>Trần Mỹ Anh</t>
  </si>
  <si>
    <t>0941082255</t>
  </si>
  <si>
    <t>SAKUKO811295</t>
  </si>
  <si>
    <t>SAKUKO809179</t>
  </si>
  <si>
    <t>SAKUKO809226</t>
  </si>
  <si>
    <t>0363776787</t>
  </si>
  <si>
    <t>SAKUKO809444</t>
  </si>
  <si>
    <t>SAKUKO808910</t>
  </si>
  <si>
    <t>0917138221</t>
  </si>
  <si>
    <t>chú Ono</t>
  </si>
  <si>
    <t>SAKUKO808828</t>
  </si>
  <si>
    <t>0977951941</t>
  </si>
  <si>
    <t>SAKUKO809706</t>
  </si>
  <si>
    <t>SAKUKO808642</t>
  </si>
  <si>
    <t>SAKUKO809864</t>
  </si>
  <si>
    <t>SAKUKO808581</t>
  </si>
  <si>
    <t>SAKUKO808811</t>
  </si>
  <si>
    <t>SAKUKO809310</t>
  </si>
  <si>
    <t>SAKUKO809221</t>
  </si>
  <si>
    <t>0966612276</t>
  </si>
  <si>
    <t>SAKUKO809230</t>
  </si>
  <si>
    <t>SAKUKO809816</t>
  </si>
  <si>
    <t>SAKUKO809539</t>
  </si>
  <si>
    <t>.</t>
  </si>
  <si>
    <t>SAKUKO809355</t>
  </si>
  <si>
    <t>SAKUKO808787</t>
  </si>
  <si>
    <t>SAKUKO808814</t>
  </si>
  <si>
    <t>0973465555</t>
  </si>
  <si>
    <t>SAKUKO807531</t>
  </si>
  <si>
    <t>SAKUKO808086</t>
  </si>
  <si>
    <t>0934497426</t>
  </si>
  <si>
    <t>e uyeen</t>
  </si>
  <si>
    <t>SAKUKO807930</t>
  </si>
  <si>
    <t>SAKUKO808346</t>
  </si>
  <si>
    <t>SAKUKO807729</t>
  </si>
  <si>
    <t>0915147968</t>
  </si>
  <si>
    <t>SAKUKO808349</t>
  </si>
  <si>
    <t>0936327294</t>
  </si>
  <si>
    <t>SAKUKO807927</t>
  </si>
  <si>
    <t>SAKUKO808018</t>
  </si>
  <si>
    <t>SAKUKO807689</t>
  </si>
  <si>
    <t>0932412082</t>
  </si>
  <si>
    <t>SAKUKO807883</t>
  </si>
  <si>
    <t>0779637729</t>
  </si>
  <si>
    <t>C NHẬT</t>
  </si>
  <si>
    <t>SAKUKO807807</t>
  </si>
  <si>
    <t>SAKUKO808409</t>
  </si>
  <si>
    <t>SAKUKO807595</t>
  </si>
  <si>
    <t>0914627497</t>
  </si>
  <si>
    <t>SAKUKO806668</t>
  </si>
  <si>
    <t>SAKUKO807501</t>
  </si>
  <si>
    <t>SAKUKO806572</t>
  </si>
  <si>
    <t>SAKUKO807016</t>
  </si>
  <si>
    <t>SAKUKO806863</t>
  </si>
  <si>
    <t>0913573271</t>
  </si>
  <si>
    <t>SAKUKO806330</t>
  </si>
  <si>
    <t>0939902222</t>
  </si>
  <si>
    <t>SAKUKO806500</t>
  </si>
  <si>
    <t>0978885770</t>
  </si>
  <si>
    <t>chị Mỵ</t>
  </si>
  <si>
    <t>SAKUKO807102</t>
  </si>
  <si>
    <t>0364781991</t>
  </si>
  <si>
    <t>SAKUKO807229</t>
  </si>
  <si>
    <t>0917291694</t>
  </si>
  <si>
    <t>Doãn Thị Chín</t>
  </si>
  <si>
    <t>SAKUKO806790</t>
  </si>
  <si>
    <t>SAKUKO807239</t>
  </si>
  <si>
    <t>0972199967</t>
  </si>
  <si>
    <t>CHị TRần TUyết TRinh</t>
  </si>
  <si>
    <t>SAKUKO806588</t>
  </si>
  <si>
    <t>0987628248</t>
  </si>
  <si>
    <t>Chị Nguyễn Thị Phương Thanh</t>
  </si>
  <si>
    <t>SAKUKO806999</t>
  </si>
  <si>
    <t>SAKUKO806422</t>
  </si>
  <si>
    <t>0915560999</t>
  </si>
  <si>
    <t>SAKUKO806518</t>
  </si>
  <si>
    <t>SAKUKO806341</t>
  </si>
  <si>
    <t>SAKUKO807083</t>
  </si>
  <si>
    <t>0817239303</t>
  </si>
  <si>
    <t>SAKUKO806768</t>
  </si>
  <si>
    <t>SAKUKO806286</t>
  </si>
  <si>
    <t>SAKUKO806567</t>
  </si>
  <si>
    <t>SAKUKO806349</t>
  </si>
  <si>
    <t>0904272288</t>
  </si>
  <si>
    <t>SAKUKO806932</t>
  </si>
  <si>
    <t>0911263539</t>
  </si>
  <si>
    <t>SAKUKO806981</t>
  </si>
  <si>
    <t>SAKUKO807416</t>
  </si>
  <si>
    <t>SAKUKO805949</t>
  </si>
  <si>
    <t>SAKUKO806152</t>
  </si>
  <si>
    <t>0979090599</t>
  </si>
  <si>
    <t>Trần Vân Hạnh</t>
  </si>
  <si>
    <t>SAKUKO806165</t>
  </si>
  <si>
    <t>0979248559</t>
  </si>
  <si>
    <t>SAKUKO805550</t>
  </si>
  <si>
    <t>SAKUKO806051</t>
  </si>
  <si>
    <t>SAKUKO806151</t>
  </si>
  <si>
    <t>0981041985</t>
  </si>
  <si>
    <t>SAKUKO805975</t>
  </si>
  <si>
    <t>SAKUKO805206</t>
  </si>
  <si>
    <t>SAKUKO806046</t>
  </si>
  <si>
    <t>SAKUKO805757</t>
  </si>
  <si>
    <t>0904792926</t>
  </si>
  <si>
    <t>SAKUKO806004</t>
  </si>
  <si>
    <t>SAKUKO805481</t>
  </si>
  <si>
    <t>SAKUKO805950</t>
  </si>
  <si>
    <t>0903498368</t>
  </si>
  <si>
    <t>SAKUKO806024</t>
  </si>
  <si>
    <t>SAKUKO806007</t>
  </si>
  <si>
    <t>0989791718</t>
  </si>
  <si>
    <t>SAKUKO806170</t>
  </si>
  <si>
    <t>0376314720</t>
  </si>
  <si>
    <t>SAKUKO805181</t>
  </si>
  <si>
    <t>SAKUKO805291</t>
  </si>
  <si>
    <t>SAKUKO806098</t>
  </si>
  <si>
    <t>0988123269</t>
  </si>
  <si>
    <t>chị Hải 170519</t>
  </si>
  <si>
    <t>SAKUKO805833</t>
  </si>
  <si>
    <t>SAKUKO804382</t>
  </si>
  <si>
    <t>0986877895</t>
  </si>
  <si>
    <t>SAKUKO804235</t>
  </si>
  <si>
    <t>SAKUKO804136</t>
  </si>
  <si>
    <t>SAKUKO804165</t>
  </si>
  <si>
    <t>0971532525</t>
  </si>
  <si>
    <t>SAKUKO804576</t>
  </si>
  <si>
    <t>SAKUKO804147</t>
  </si>
  <si>
    <t>SAKUKO804460</t>
  </si>
  <si>
    <t>SAKUKO804921</t>
  </si>
  <si>
    <t>SAKUKO804336</t>
  </si>
  <si>
    <t>SAKUKO804862</t>
  </si>
  <si>
    <t>0369289865</t>
  </si>
  <si>
    <t>SAKUKO804086</t>
  </si>
  <si>
    <t>SAKUKO804870</t>
  </si>
  <si>
    <t>SAKUKO804627</t>
  </si>
  <si>
    <t>SAKUKO804742</t>
  </si>
  <si>
    <t>0982508581</t>
  </si>
  <si>
    <t>SAKUKO804681</t>
  </si>
  <si>
    <t>0983231276</t>
  </si>
  <si>
    <t>SAKUKO805062</t>
  </si>
  <si>
    <t>SAKUKO804327</t>
  </si>
  <si>
    <t>0367130780</t>
  </si>
  <si>
    <t>SAKUKO804715</t>
  </si>
  <si>
    <t>SAKUKO803972</t>
  </si>
  <si>
    <t>SAKUKO804259</t>
  </si>
  <si>
    <t>SAKUKO803838</t>
  </si>
  <si>
    <t>SAKUKO803367</t>
  </si>
  <si>
    <t>SAKUKO803353</t>
  </si>
  <si>
    <t>0917608078</t>
  </si>
  <si>
    <t>SAKUKO803695</t>
  </si>
  <si>
    <t>SAKUKO803266</t>
  </si>
  <si>
    <t>0982243372</t>
  </si>
  <si>
    <t>SAKUKO803784</t>
  </si>
  <si>
    <t>0987932828</t>
  </si>
  <si>
    <t>SAKUKO803800</t>
  </si>
  <si>
    <t>SAKUKO803808</t>
  </si>
  <si>
    <t>SAKUKO803539</t>
  </si>
  <si>
    <t>SAKUKO803545</t>
  </si>
  <si>
    <t>SAKUKO803509</t>
  </si>
  <si>
    <t>SAKUKO802189</t>
  </si>
  <si>
    <t>SAKUKO802096</t>
  </si>
  <si>
    <t>SAKUKO802371</t>
  </si>
  <si>
    <t>SAKUKO802587</t>
  </si>
  <si>
    <t>0987868964</t>
  </si>
  <si>
    <t>Chị Đỗ Thị Huyên</t>
  </si>
  <si>
    <t>SAKUKO802680</t>
  </si>
  <si>
    <t>0588882768</t>
  </si>
  <si>
    <t>ANH TOÀN</t>
  </si>
  <si>
    <t>SAKUKO802434</t>
  </si>
  <si>
    <t>SAKUKO802350</t>
  </si>
  <si>
    <t>0916526290</t>
  </si>
  <si>
    <t>SAKUKO803045</t>
  </si>
  <si>
    <t>SAKUKO802891</t>
  </si>
  <si>
    <t>SAKUKO802793</t>
  </si>
  <si>
    <t>SAKUKO803124</t>
  </si>
  <si>
    <t>0914627979</t>
  </si>
  <si>
    <t>CÔ LY</t>
  </si>
  <si>
    <t>SAKUKO802165</t>
  </si>
  <si>
    <t>0966436666</t>
  </si>
  <si>
    <t>SAKUKO802823</t>
  </si>
  <si>
    <t>0968564588</t>
  </si>
  <si>
    <t>SAKUKO802616</t>
  </si>
  <si>
    <t>SAKUKO802939</t>
  </si>
  <si>
    <t>0914325309</t>
  </si>
  <si>
    <t>SAKUKO801096</t>
  </si>
  <si>
    <t>0389910975</t>
  </si>
  <si>
    <t>Kim Thị Phương Oanh</t>
  </si>
  <si>
    <t>SAKUKO801305</t>
  </si>
  <si>
    <t>0976100999</t>
  </si>
  <si>
    <t>SAKUKO801589</t>
  </si>
  <si>
    <t>SAKUKO800990</t>
  </si>
  <si>
    <t>SAKUKO801707</t>
  </si>
  <si>
    <t>SAKUKO800991</t>
  </si>
  <si>
    <t>0914272889</t>
  </si>
  <si>
    <t>Chị Đinh Thị Hồng Tâm</t>
  </si>
  <si>
    <t>SAKUKO801021</t>
  </si>
  <si>
    <t>SAKUKO801956</t>
  </si>
  <si>
    <t>SAKUKO801498</t>
  </si>
  <si>
    <t>SAKUKO801898</t>
  </si>
  <si>
    <t>0912134287</t>
  </si>
  <si>
    <t>A ĐỖ ĐỨC HẢI</t>
  </si>
  <si>
    <t>SAKUKO801464</t>
  </si>
  <si>
    <t>SAKUKO801831</t>
  </si>
  <si>
    <t>SAKUKO801306</t>
  </si>
  <si>
    <t>SAKUKO801752</t>
  </si>
  <si>
    <t>SAKUKO801945</t>
  </si>
  <si>
    <t>0971514065</t>
  </si>
  <si>
    <t>SAKUKO801208</t>
  </si>
  <si>
    <t>0934985858</t>
  </si>
  <si>
    <t>SAKUKO801343</t>
  </si>
  <si>
    <t>SAKUKO801396</t>
  </si>
  <si>
    <t>SAKUKO799785</t>
  </si>
  <si>
    <t>0366789689</t>
  </si>
  <si>
    <t>SAKUKO799644</t>
  </si>
  <si>
    <t>SAKUKO799610</t>
  </si>
  <si>
    <t>SAKUKO799865</t>
  </si>
  <si>
    <t>SAKUKO800466</t>
  </si>
  <si>
    <t>SAKUKO800746</t>
  </si>
  <si>
    <t>SAKUKO799828</t>
  </si>
  <si>
    <t>0981216464</t>
  </si>
  <si>
    <t>Anh Ohnishi Naoki</t>
  </si>
  <si>
    <t>SAKUKO799993</t>
  </si>
  <si>
    <t>0914325555</t>
  </si>
  <si>
    <t>SAKUKO799938</t>
  </si>
  <si>
    <t>0966398996</t>
  </si>
  <si>
    <t>SAKUKO799957</t>
  </si>
  <si>
    <t>SAKUKO800407</t>
  </si>
  <si>
    <t>SAKUKO799803</t>
  </si>
  <si>
    <t>SAKUKO799839</t>
  </si>
  <si>
    <t>0982890518</t>
  </si>
  <si>
    <t>SAKUKO800219</t>
  </si>
  <si>
    <t>0785439194</t>
  </si>
  <si>
    <t>SAKUKO800018</t>
  </si>
  <si>
    <t>SAKUKO800049</t>
  </si>
  <si>
    <t>0963435986</t>
  </si>
  <si>
    <t>SAKUKO800452</t>
  </si>
  <si>
    <t>0368876789</t>
  </si>
  <si>
    <t>SAKUKO800483</t>
  </si>
  <si>
    <t>0912229327</t>
  </si>
  <si>
    <t>SAKUKO799792</t>
  </si>
  <si>
    <t>SAKUKO800685</t>
  </si>
  <si>
    <t>0915484789</t>
  </si>
  <si>
    <t>SAKUKO799296</t>
  </si>
  <si>
    <t>0904466712</t>
  </si>
  <si>
    <t>SAKUKO799009</t>
  </si>
  <si>
    <t>SAKUKO798430</t>
  </si>
  <si>
    <t>0915805895</t>
  </si>
  <si>
    <t>SAKUKO798442</t>
  </si>
  <si>
    <t>SAKUKO798415</t>
  </si>
  <si>
    <t>SAKUKO799103</t>
  </si>
  <si>
    <t>SAKUKO799143</t>
  </si>
  <si>
    <t>SAKUKO798480</t>
  </si>
  <si>
    <t>SAKUKO798843</t>
  </si>
  <si>
    <t>SAKUKO799473</t>
  </si>
  <si>
    <t>SAKUKO797676</t>
  </si>
  <si>
    <t>0936322169</t>
  </si>
  <si>
    <t>Chị Trần Thị Tuyết Mai</t>
  </si>
  <si>
    <t>SAKUKO797667</t>
  </si>
  <si>
    <t>0986410760</t>
  </si>
  <si>
    <t>SAKUKO797510</t>
  </si>
  <si>
    <t>SAKUKO797526</t>
  </si>
  <si>
    <t>SAKUKO797877</t>
  </si>
  <si>
    <t>SAKUKO798246</t>
  </si>
  <si>
    <t>SAKUKO798333</t>
  </si>
  <si>
    <t>0915222126</t>
  </si>
  <si>
    <t>SAKUKO798250</t>
  </si>
  <si>
    <t>0918386689</t>
  </si>
  <si>
    <t>SAKUKO797823</t>
  </si>
  <si>
    <t>0985789745</t>
  </si>
  <si>
    <t>SAKUKO798274</t>
  </si>
  <si>
    <t>SAKUKO798184</t>
  </si>
  <si>
    <t>0347237982</t>
  </si>
  <si>
    <t>SAKUKO797809</t>
  </si>
  <si>
    <t>SAKUKO798193</t>
  </si>
  <si>
    <t>SAKUKO797848</t>
  </si>
  <si>
    <t>SAKUKO798239</t>
  </si>
  <si>
    <t>SAKUKO797562</t>
  </si>
  <si>
    <t>0931661879</t>
  </si>
  <si>
    <t>SAKUKO797804</t>
  </si>
  <si>
    <t>SAKUKO796940</t>
  </si>
  <si>
    <t>SAKUKO797209</t>
  </si>
  <si>
    <t>SAKUKO796825</t>
  </si>
  <si>
    <t>SAKUKO796826</t>
  </si>
  <si>
    <t>SAKUKO797045</t>
  </si>
  <si>
    <t>0913367797</t>
  </si>
  <si>
    <t>chú quyết</t>
  </si>
  <si>
    <t>SAKUKO796869</t>
  </si>
  <si>
    <t>SAKUKO796900</t>
  </si>
  <si>
    <t>SAKUKO796639</t>
  </si>
  <si>
    <t>SAKUKO797390</t>
  </si>
  <si>
    <t>SAKUKO796644</t>
  </si>
  <si>
    <t>SAKUKO796728</t>
  </si>
  <si>
    <t>0941074479</t>
  </si>
  <si>
    <t>SAKUKO796571</t>
  </si>
  <si>
    <t>SAKUKO797020</t>
  </si>
  <si>
    <t>SAKUKO796978</t>
  </si>
  <si>
    <t>SAKUKO796564</t>
  </si>
  <si>
    <t>SAKUKO796678</t>
  </si>
  <si>
    <t>SAKUKO795607</t>
  </si>
  <si>
    <t>SAKUKO795642</t>
  </si>
  <si>
    <t>SAKUKO795961</t>
  </si>
  <si>
    <t>SAKUKO795950</t>
  </si>
  <si>
    <t>0989156150</t>
  </si>
  <si>
    <t>chị mị</t>
  </si>
  <si>
    <t>SAKUKO795567</t>
  </si>
  <si>
    <t>0989379639</t>
  </si>
  <si>
    <t>Bác Nguyễn Thị HƯỜNG</t>
  </si>
  <si>
    <t>SAKUKO795477</t>
  </si>
  <si>
    <t>SAKUKO796376</t>
  </si>
  <si>
    <t>SAKUKO795929</t>
  </si>
  <si>
    <t>SAKUKO795381</t>
  </si>
  <si>
    <t>SAKUKO795554</t>
  </si>
  <si>
    <t>SAKUKO795320</t>
  </si>
  <si>
    <t>0399640668</t>
  </si>
  <si>
    <t>SAKUKO796317</t>
  </si>
  <si>
    <t>SAKUKO796039</t>
  </si>
  <si>
    <t>SAKUKO796046</t>
  </si>
  <si>
    <t>SAKUKO796362</t>
  </si>
  <si>
    <t>Row Labels</t>
  </si>
  <si>
    <t>Grand Total</t>
  </si>
  <si>
    <t>Sum of SLSP</t>
  </si>
  <si>
    <t>Sum of Thực thu</t>
  </si>
  <si>
    <t>Column Labels</t>
  </si>
  <si>
    <t>Total Sum of SLSP</t>
  </si>
  <si>
    <t>Total Sum of Thực thu</t>
  </si>
  <si>
    <t>8936049051586</t>
  </si>
  <si>
    <t>OTOKI- Mì Jin cay ly 65g</t>
  </si>
  <si>
    <t>155157</t>
  </si>
  <si>
    <t>Mới</t>
  </si>
  <si>
    <t>SAKUKO850902</t>
  </si>
  <si>
    <t>SAKUKO851881</t>
  </si>
  <si>
    <t>0915151842</t>
  </si>
  <si>
    <t>Chị Loan</t>
  </si>
  <si>
    <t>SAKUKO851340</t>
  </si>
  <si>
    <t>0963273889</t>
  </si>
  <si>
    <t>SAKUKO850996</t>
  </si>
  <si>
    <t>chị nga</t>
  </si>
  <si>
    <t>SAKUKO851405</t>
  </si>
  <si>
    <t>SAKUKO850946</t>
  </si>
  <si>
    <t>C Hà</t>
  </si>
  <si>
    <t>SAKUKO851528</t>
  </si>
  <si>
    <t>SAKUKO851840</t>
  </si>
  <si>
    <t>SAKUKO851660</t>
  </si>
  <si>
    <t>SAKUKO851249</t>
  </si>
  <si>
    <t>Chị Uyên</t>
  </si>
  <si>
    <t>SAKUKO851089</t>
  </si>
  <si>
    <t>SAKUKO851818</t>
  </si>
  <si>
    <t>c VÂN</t>
  </si>
  <si>
    <t>SAKUKO851822</t>
  </si>
  <si>
    <t>SAKUKO851898</t>
  </si>
  <si>
    <t>chị HÀ</t>
  </si>
  <si>
    <t>SAKUKO852043</t>
  </si>
  <si>
    <t>0373054860</t>
  </si>
  <si>
    <t>SAKUKO851967</t>
  </si>
  <si>
    <t>anh Phương</t>
  </si>
  <si>
    <t>SAKUKO851506</t>
  </si>
  <si>
    <t>SAKUKO850128</t>
  </si>
  <si>
    <t>SAKUKO850642</t>
  </si>
  <si>
    <t>SAKUKO849612</t>
  </si>
  <si>
    <t>SAKUKO850736</t>
  </si>
  <si>
    <t>SAKUKO849860</t>
  </si>
  <si>
    <t>SAKUKO850649</t>
  </si>
  <si>
    <t>0906090901</t>
  </si>
  <si>
    <t>chị Hiền</t>
  </si>
  <si>
    <t>SAKUKO849924</t>
  </si>
  <si>
    <t>0969395503</t>
  </si>
  <si>
    <t>Chị Lan Anh</t>
  </si>
  <si>
    <t>SAKUKO850342</t>
  </si>
  <si>
    <t>SAKUKO849619</t>
  </si>
  <si>
    <t>0919274107</t>
  </si>
  <si>
    <t>chị Phương Thúy</t>
  </si>
  <si>
    <t>SAKUKO850440</t>
  </si>
  <si>
    <t>0799093486</t>
  </si>
  <si>
    <t>Chi Vu thi Tuyet</t>
  </si>
  <si>
    <t>SAKUKO850103</t>
  </si>
  <si>
    <t>0912062234</t>
  </si>
  <si>
    <t>DƯƠNG THỊ PHƯỢNG</t>
  </si>
  <si>
    <t>SAKUKO850584</t>
  </si>
  <si>
    <t>SAKUKO850507</t>
  </si>
  <si>
    <t>chị giang</t>
  </si>
  <si>
    <t>SAKUKO850255</t>
  </si>
  <si>
    <t>SAKUKO850721</t>
  </si>
  <si>
    <t>SAKUKO850722</t>
  </si>
  <si>
    <t>SAKUKO850786</t>
  </si>
  <si>
    <t>0914341155</t>
  </si>
  <si>
    <t>SAKUKO850218</t>
  </si>
  <si>
    <t>0926886606</t>
  </si>
  <si>
    <t>nguyen phuong anh</t>
  </si>
  <si>
    <t>SAKUKO850767</t>
  </si>
  <si>
    <t>0965345666</t>
  </si>
  <si>
    <t>SAKUKO850787</t>
  </si>
  <si>
    <t>SAKUKO850436</t>
  </si>
  <si>
    <t>SAKUKO849675</t>
  </si>
  <si>
    <t>0944399303</t>
  </si>
  <si>
    <t>C Đoàn Thúy Hòa</t>
  </si>
  <si>
    <t>SAKUKO850531</t>
  </si>
  <si>
    <t>0963382323</t>
  </si>
  <si>
    <t>anh Sơn</t>
  </si>
  <si>
    <t>SAKUKO850261</t>
  </si>
  <si>
    <t>0912188668</t>
  </si>
  <si>
    <t>SAKUKO850720</t>
  </si>
  <si>
    <t>0904485888</t>
  </si>
  <si>
    <t>SAKUKO849402</t>
  </si>
  <si>
    <t>co nam</t>
  </si>
  <si>
    <t>SAKUKO848741</t>
  </si>
  <si>
    <t>chị Minh Tú</t>
  </si>
  <si>
    <t>SAKUKO849108</t>
  </si>
  <si>
    <t>0369476222</t>
  </si>
  <si>
    <t>chị linh</t>
  </si>
  <si>
    <t>SAKUKO848772</t>
  </si>
  <si>
    <t>0839191960</t>
  </si>
  <si>
    <t>CO LOAN</t>
  </si>
  <si>
    <t>SAKUKO848697</t>
  </si>
  <si>
    <t>SAKUKO848896</t>
  </si>
  <si>
    <t>0976697000</t>
  </si>
  <si>
    <t>Anh Nam</t>
  </si>
  <si>
    <t>SAKUKO848431</t>
  </si>
  <si>
    <t>0868901888</t>
  </si>
  <si>
    <t>SAKUKO849293</t>
  </si>
  <si>
    <t>SAKUKO849401</t>
  </si>
  <si>
    <t>0967761235</t>
  </si>
  <si>
    <t>CHI DUNG</t>
  </si>
  <si>
    <t>SAKUKO849183</t>
  </si>
  <si>
    <t>0827027532</t>
  </si>
  <si>
    <t>chị</t>
  </si>
  <si>
    <t>SAKUKO848840</t>
  </si>
  <si>
    <t>0902103066</t>
  </si>
  <si>
    <t>a thanh</t>
  </si>
  <si>
    <t>SAKUKO848564</t>
  </si>
  <si>
    <t>0934542629</t>
  </si>
  <si>
    <t>SAKUKO848698</t>
  </si>
  <si>
    <t>chị ngọc</t>
  </si>
  <si>
    <t>SAKUKO848969</t>
  </si>
  <si>
    <t>SAKUKO848700</t>
  </si>
  <si>
    <t>SAKUKO849466</t>
  </si>
  <si>
    <t>chị Hoa</t>
  </si>
  <si>
    <t>SAKUKO849042</t>
  </si>
  <si>
    <t>0913382020</t>
  </si>
  <si>
    <t>CHU TAM</t>
  </si>
  <si>
    <t>SAKUKO848975</t>
  </si>
  <si>
    <t>0987221295</t>
  </si>
  <si>
    <t>chị Mạn</t>
  </si>
  <si>
    <t>SAKUKO849098</t>
  </si>
  <si>
    <t>0906268571</t>
  </si>
  <si>
    <t>Chị Trần Thị Lệ</t>
  </si>
  <si>
    <t>SAKUKO848640</t>
  </si>
  <si>
    <t>0969017119</t>
  </si>
  <si>
    <t>SAKUKO848400</t>
  </si>
  <si>
    <t>klhmg</t>
  </si>
  <si>
    <t>SAKUKO848263</t>
  </si>
  <si>
    <t>C Hoa</t>
  </si>
  <si>
    <t>SAKUKO848111</t>
  </si>
  <si>
    <t>SAKUKO847328</t>
  </si>
  <si>
    <t>0938388584</t>
  </si>
  <si>
    <t>Chị Hồng</t>
  </si>
  <si>
    <t>SAKUKO847284</t>
  </si>
  <si>
    <t>0965866423</t>
  </si>
  <si>
    <t>SAKUKO847485</t>
  </si>
  <si>
    <t>SAKUKO847794</t>
  </si>
  <si>
    <t>chị Hương</t>
  </si>
  <si>
    <t>SAKUKO847931</t>
  </si>
  <si>
    <t>SAKUKO847240</t>
  </si>
  <si>
    <t>SAKUKO848230</t>
  </si>
  <si>
    <t>SAKUKO847218</t>
  </si>
  <si>
    <t>SAKUKO847304</t>
  </si>
  <si>
    <t>a mạnh</t>
  </si>
  <si>
    <t>SAKUKO848210</t>
  </si>
  <si>
    <t>SAKUKO848088</t>
  </si>
  <si>
    <t>0976276792</t>
  </si>
  <si>
    <t>SAKUKO848315</t>
  </si>
  <si>
    <t>Chú Hùng</t>
  </si>
  <si>
    <t>SAKUKO847668</t>
  </si>
  <si>
    <t>0944931989</t>
  </si>
  <si>
    <t>Trần Tú Anh</t>
  </si>
  <si>
    <t>SAKUKO847841</t>
  </si>
  <si>
    <t>0967573266</t>
  </si>
  <si>
    <t>MINH</t>
  </si>
  <si>
    <t>SAKUKO848177</t>
  </si>
  <si>
    <t>chị ly</t>
  </si>
  <si>
    <t>SAKUKO848140</t>
  </si>
  <si>
    <t>SAKUKO847669</t>
  </si>
  <si>
    <t>SAKUKO847868</t>
  </si>
  <si>
    <t>SAKUKO845709</t>
  </si>
  <si>
    <t>SAKUKO845958</t>
  </si>
  <si>
    <t>SAKUKO846752</t>
  </si>
  <si>
    <t>0904496955</t>
  </si>
  <si>
    <t>SAKUKO845834</t>
  </si>
  <si>
    <t>C Chung</t>
  </si>
  <si>
    <t>SAKUKO846814</t>
  </si>
  <si>
    <t>SAKUKO846849</t>
  </si>
  <si>
    <t>0986899886</t>
  </si>
  <si>
    <t>C.HA</t>
  </si>
  <si>
    <t>SAKUKO845949</t>
  </si>
  <si>
    <t>SAKUKO846339</t>
  </si>
  <si>
    <t>0904969939</t>
  </si>
  <si>
    <t>vũ thùy linh</t>
  </si>
  <si>
    <t>SAKUKO846038</t>
  </si>
  <si>
    <t>SAKUKO846554</t>
  </si>
  <si>
    <t>0982014909</t>
  </si>
  <si>
    <t>CÔ LUÂN</t>
  </si>
  <si>
    <t>SAKUKO846196</t>
  </si>
  <si>
    <t>0982088989</t>
  </si>
  <si>
    <t>SAKUKO846499</t>
  </si>
  <si>
    <t>SAKUKO846454</t>
  </si>
  <si>
    <t>SAKUKO846506</t>
  </si>
  <si>
    <t>0916602336</t>
  </si>
  <si>
    <t>SAKUKO847075</t>
  </si>
  <si>
    <t>0934300007</t>
  </si>
  <si>
    <t>Chị Duyên</t>
  </si>
  <si>
    <t>SAKUKO846501</t>
  </si>
  <si>
    <t>SAKUKO846043</t>
  </si>
  <si>
    <t>SAKUKO846480</t>
  </si>
  <si>
    <t>Chị Trúc</t>
  </si>
  <si>
    <t>SAKUKO846386</t>
  </si>
  <si>
    <t>SAKUKO846129</t>
  </si>
  <si>
    <t>SAKUKO846350</t>
  </si>
  <si>
    <t>SAKUKO846361</t>
  </si>
  <si>
    <t>0383858789</t>
  </si>
  <si>
    <t>SAKUKO846772</t>
  </si>
  <si>
    <t>0904595050</t>
  </si>
  <si>
    <t>SAKUKO845702</t>
  </si>
  <si>
    <t>0976816691</t>
  </si>
  <si>
    <t>chị Hồng Anh</t>
  </si>
  <si>
    <t>SAKUKO846830</t>
  </si>
  <si>
    <t>SAKUKO844857</t>
  </si>
  <si>
    <t>0368879639</t>
  </si>
  <si>
    <t>SAKUKO845368</t>
  </si>
  <si>
    <t>SAKUKO844855</t>
  </si>
  <si>
    <t>cô tâm</t>
  </si>
  <si>
    <t>SAKUKO845261</t>
  </si>
  <si>
    <t>chị Hải Vân</t>
  </si>
  <si>
    <t>SAKUKO844551</t>
  </si>
  <si>
    <t>SAKUKO844702</t>
  </si>
  <si>
    <t>C linh</t>
  </si>
  <si>
    <t>SAKUKO845176</t>
  </si>
  <si>
    <t>SAKUKO845004</t>
  </si>
  <si>
    <t>0977818668</t>
  </si>
  <si>
    <t>anh khachgs</t>
  </si>
  <si>
    <t>SAKUKO844393</t>
  </si>
  <si>
    <t>0988656358</t>
  </si>
  <si>
    <t>c bích</t>
  </si>
  <si>
    <t>SAKUKO845517</t>
  </si>
  <si>
    <t>SAKUKO845454</t>
  </si>
  <si>
    <t>SAKUKO844884</t>
  </si>
  <si>
    <t>SAKUKO845064</t>
  </si>
  <si>
    <t>SAKUKO844550</t>
  </si>
  <si>
    <t>SAKUKO844695</t>
  </si>
  <si>
    <t>0889859999</t>
  </si>
  <si>
    <t>SAKUKO845546</t>
  </si>
  <si>
    <t>0903258998</t>
  </si>
  <si>
    <t>SAKUKO845317</t>
  </si>
  <si>
    <t>0914569669</t>
  </si>
  <si>
    <t>SAKUKO844657</t>
  </si>
  <si>
    <t>SAKUKO845234</t>
  </si>
  <si>
    <t>0977885631</t>
  </si>
  <si>
    <t>Bạn Nam Anh</t>
  </si>
  <si>
    <t>SAKUKO845080</t>
  </si>
  <si>
    <t>0984538275</t>
  </si>
  <si>
    <t>SAKUKO845643</t>
  </si>
  <si>
    <t>Anh Bình</t>
  </si>
  <si>
    <t>SAKUKO844488</t>
  </si>
  <si>
    <t>SAKUKO844996</t>
  </si>
  <si>
    <t>SAKUKO845058</t>
  </si>
  <si>
    <t>0915060767</t>
  </si>
  <si>
    <t>Phạm Anh Thư</t>
  </si>
  <si>
    <t>SAKUKO844493</t>
  </si>
  <si>
    <t>0969562132</t>
  </si>
  <si>
    <t>SAKUKO845575</t>
  </si>
  <si>
    <t>SAKUKO844735</t>
  </si>
  <si>
    <t>SAKUKO845274</t>
  </si>
  <si>
    <t>SAKUKO845362</t>
  </si>
  <si>
    <t>SAKUKO845367</t>
  </si>
  <si>
    <t>0396509999</t>
  </si>
  <si>
    <t>anh Thiện</t>
  </si>
  <si>
    <t>SAKUKO845443</t>
  </si>
  <si>
    <t>SAKUKO845103</t>
  </si>
  <si>
    <t>SAKUKO845521</t>
  </si>
  <si>
    <t>SAKUKO843266</t>
  </si>
  <si>
    <t>01688998168</t>
  </si>
  <si>
    <t>SAKUKO843211</t>
  </si>
  <si>
    <t>SAKUKO843032</t>
  </si>
  <si>
    <t>0379740093</t>
  </si>
  <si>
    <t>SAKUKO843339</t>
  </si>
  <si>
    <t>0904307130</t>
  </si>
  <si>
    <t>Chị Triệu Bích Ngọc</t>
  </si>
  <si>
    <t>SAKUKO844094</t>
  </si>
  <si>
    <t>0904556207</t>
  </si>
  <si>
    <t>cô Hương</t>
  </si>
  <si>
    <t>SAKUKO843426</t>
  </si>
  <si>
    <t>SAKUKO843207</t>
  </si>
  <si>
    <t>chú sơn</t>
  </si>
  <si>
    <t>SAKUKO843608</t>
  </si>
  <si>
    <t>SAKUKO843285</t>
  </si>
  <si>
    <t>cô DUNG</t>
  </si>
  <si>
    <t>SAKUKO843268</t>
  </si>
  <si>
    <t>CHI MAI</t>
  </si>
  <si>
    <t>SAKUKO843113</t>
  </si>
  <si>
    <t>cô huệ</t>
  </si>
  <si>
    <t>SAKUKO843262</t>
  </si>
  <si>
    <t>SAKUKO843713</t>
  </si>
  <si>
    <t>0904622229</t>
  </si>
  <si>
    <t>SAKUKO843424</t>
  </si>
  <si>
    <t>SAKUKO843692</t>
  </si>
  <si>
    <t>SAKUKO844138</t>
  </si>
  <si>
    <t>chị hoài</t>
  </si>
  <si>
    <t>SAKUKO843617</t>
  </si>
  <si>
    <t>SAKUKO843401</t>
  </si>
  <si>
    <t>SAKUKO843132</t>
  </si>
  <si>
    <t>0372364762</t>
  </si>
  <si>
    <t>SAKUKO843982</t>
  </si>
  <si>
    <t>0964797104</t>
  </si>
  <si>
    <t>tuyết</t>
  </si>
  <si>
    <t>SAKUKO843224</t>
  </si>
  <si>
    <t>0947089691</t>
  </si>
  <si>
    <t>Thúy Hà</t>
  </si>
  <si>
    <t>SAKUKO843591</t>
  </si>
  <si>
    <t>0983839009</t>
  </si>
  <si>
    <t>SAKUKO843567</t>
  </si>
  <si>
    <t>SAKUKO843365</t>
  </si>
  <si>
    <t>SAKUKO842765</t>
  </si>
  <si>
    <t>0903283959</t>
  </si>
  <si>
    <t>Anh Nguyễn Ngọc Đông</t>
  </si>
  <si>
    <t>SAKUKO842209</t>
  </si>
  <si>
    <t>Chị Luyến</t>
  </si>
  <si>
    <t>SAKUKO842067</t>
  </si>
  <si>
    <t>SAKUKO842912</t>
  </si>
  <si>
    <t>SAKUKO842246</t>
  </si>
  <si>
    <t>SAKUKO842185</t>
  </si>
  <si>
    <t>0906082668</t>
  </si>
  <si>
    <t>SAKUKO842586</t>
  </si>
  <si>
    <t>SAKUKO842434</t>
  </si>
  <si>
    <t>SAKUKO842559</t>
  </si>
  <si>
    <t>SAKUKO842922</t>
  </si>
  <si>
    <t>0948685696</t>
  </si>
  <si>
    <t>SAKUKO842978</t>
  </si>
  <si>
    <t>0977446468</t>
  </si>
  <si>
    <t>chị tâm</t>
  </si>
  <si>
    <t>SAKUKO842319</t>
  </si>
  <si>
    <t>SAKUKO842994</t>
  </si>
  <si>
    <t>0387359400</t>
  </si>
  <si>
    <t>chị jun</t>
  </si>
  <si>
    <t>SAKUKO842064</t>
  </si>
  <si>
    <t>0978804390</t>
  </si>
  <si>
    <t>SAKUKO842030</t>
  </si>
  <si>
    <t>CO VAN</t>
  </si>
  <si>
    <t>CHI THAO</t>
  </si>
  <si>
    <t>chị Ân</t>
  </si>
  <si>
    <t>chị hằng</t>
  </si>
  <si>
    <t>C Thủy</t>
  </si>
  <si>
    <t>Anh Cường</t>
  </si>
  <si>
    <t>cô hoa</t>
  </si>
  <si>
    <t>c Hoàng Anh</t>
  </si>
  <si>
    <t>cô trần thị thanh</t>
  </si>
  <si>
    <t>a Cường</t>
  </si>
  <si>
    <t>Anh Hạnh</t>
  </si>
  <si>
    <t>Cô Thúy</t>
  </si>
  <si>
    <t>Chị Phạm Thu Hà</t>
  </si>
  <si>
    <t>cô nga</t>
  </si>
  <si>
    <t>Anh Hòa</t>
  </si>
  <si>
    <t>Chị Trang</t>
  </si>
  <si>
    <t>chị mai</t>
  </si>
  <si>
    <t>cô Vân</t>
  </si>
  <si>
    <t>cô san</t>
  </si>
  <si>
    <t>C Phuong</t>
  </si>
  <si>
    <t>anh lâm</t>
  </si>
  <si>
    <t>chị trinh</t>
  </si>
  <si>
    <t>cô thịnh</t>
  </si>
  <si>
    <t>C Hương</t>
  </si>
  <si>
    <t>chị quỳnh</t>
  </si>
  <si>
    <t>chi Lê</t>
  </si>
  <si>
    <t>C LOAN</t>
  </si>
  <si>
    <t>anh Huy</t>
  </si>
  <si>
    <t>Cô quyên</t>
  </si>
  <si>
    <t>cô Loan</t>
  </si>
  <si>
    <t>chú Bình</t>
  </si>
  <si>
    <t>cô sinh</t>
  </si>
  <si>
    <t>c lien</t>
  </si>
  <si>
    <t>c ngân</t>
  </si>
  <si>
    <t>chị phượng</t>
  </si>
  <si>
    <t>chị phương</t>
  </si>
  <si>
    <t>Chị Hiền</t>
  </si>
  <si>
    <t>c thảo</t>
  </si>
  <si>
    <t>chị Hằng</t>
  </si>
  <si>
    <t>Anh Trung</t>
  </si>
  <si>
    <t>Cô thoa</t>
  </si>
  <si>
    <t>anh minh</t>
  </si>
  <si>
    <t>chị Lan</t>
  </si>
  <si>
    <t>Cô Nhung</t>
  </si>
  <si>
    <t>chị Mơ</t>
  </si>
  <si>
    <t>anh linh</t>
  </si>
  <si>
    <t>Chị Xuân Anh</t>
  </si>
  <si>
    <t>Chị Hà</t>
  </si>
  <si>
    <t>chị Đoàn Thị Loan</t>
  </si>
  <si>
    <t>chị Lan Anh</t>
  </si>
  <si>
    <t>anh Nghĩa</t>
  </si>
  <si>
    <t>chị liên</t>
  </si>
  <si>
    <t>chị Kim Anh</t>
  </si>
  <si>
    <t>c minh</t>
  </si>
  <si>
    <t>Chị oanh</t>
  </si>
  <si>
    <t>chị thu</t>
  </si>
  <si>
    <t>a Hùng</t>
  </si>
  <si>
    <t>chú bình</t>
  </si>
  <si>
    <t>anh dương</t>
  </si>
  <si>
    <t>cô bảo</t>
  </si>
  <si>
    <t>Cô oanh</t>
  </si>
  <si>
    <t>Chị Yên</t>
  </si>
  <si>
    <t>C Mai</t>
  </si>
  <si>
    <t>chú Quân</t>
  </si>
  <si>
    <t>c hiền</t>
  </si>
  <si>
    <t>chị Thanh</t>
  </si>
  <si>
    <t>chú chất</t>
  </si>
  <si>
    <t>C.TRANG</t>
  </si>
  <si>
    <t>anh quân</t>
  </si>
  <si>
    <t>cô Sâm</t>
  </si>
  <si>
    <t>Cô Mai</t>
  </si>
  <si>
    <t>Chị Lộc</t>
  </si>
  <si>
    <t>cô huyền</t>
  </si>
  <si>
    <t>c Thuy</t>
  </si>
  <si>
    <t>chị thủy</t>
  </si>
  <si>
    <t>Vân Anh</t>
  </si>
  <si>
    <t>cô Dung</t>
  </si>
  <si>
    <t>chị quynh</t>
  </si>
  <si>
    <t>chị huyền</t>
  </si>
  <si>
    <t>Le Thi Phuong Lan</t>
  </si>
  <si>
    <t>anh Kiên</t>
  </si>
  <si>
    <t>Chi Hang</t>
  </si>
  <si>
    <t>CHI VAN ANH</t>
  </si>
  <si>
    <t>Anh Long</t>
  </si>
  <si>
    <t>a Hiền</t>
  </si>
  <si>
    <t>c Liên</t>
  </si>
  <si>
    <t>Cô Thảo</t>
  </si>
  <si>
    <t>C HANG</t>
  </si>
  <si>
    <t>Cô Tuyết</t>
  </si>
  <si>
    <t>C Ngoc</t>
  </si>
  <si>
    <t>cô Hòa</t>
  </si>
  <si>
    <t>chị hồng anh</t>
  </si>
  <si>
    <t>a Tuyển</t>
  </si>
  <si>
    <t>Cô Hiền</t>
  </si>
  <si>
    <t>Chị Vân</t>
  </si>
  <si>
    <t>a bình</t>
  </si>
  <si>
    <t>CHI XUAN</t>
  </si>
  <si>
    <t>c ngọc</t>
  </si>
  <si>
    <t>Chị Tiên</t>
  </si>
  <si>
    <t>anh dũng</t>
  </si>
  <si>
    <t>chị Hải</t>
  </si>
  <si>
    <t>chi ngoc</t>
  </si>
  <si>
    <t>anh Thuyên</t>
  </si>
  <si>
    <t>C TRAM</t>
  </si>
  <si>
    <t>c lan anh</t>
  </si>
  <si>
    <t>c thu</t>
  </si>
  <si>
    <t>ANh Vinh</t>
  </si>
  <si>
    <t>Chi Thư</t>
  </si>
  <si>
    <t>c Giang</t>
  </si>
  <si>
    <t>c Quỳnh Anh</t>
  </si>
  <si>
    <t>Chị tâm</t>
  </si>
  <si>
    <t>anh Bảo</t>
  </si>
  <si>
    <t>cHỊ TÂM</t>
  </si>
  <si>
    <t>chi Hà</t>
  </si>
  <si>
    <t>aNH vIỆT</t>
  </si>
  <si>
    <t>chú vũ</t>
  </si>
  <si>
    <t>Chị Chinh</t>
  </si>
  <si>
    <t>C THANH</t>
  </si>
  <si>
    <t>Anh Thành</t>
  </si>
  <si>
    <t>Chị Thu Hòa</t>
  </si>
  <si>
    <t>chị Thành</t>
  </si>
  <si>
    <t>Cô Nga</t>
  </si>
  <si>
    <t>Chú</t>
  </si>
  <si>
    <t>Hang</t>
  </si>
  <si>
    <t>Chị Quyên</t>
  </si>
  <si>
    <t>Nguyễn Anh Tuấn</t>
  </si>
  <si>
    <t>Trinh</t>
  </si>
  <si>
    <t>hằng</t>
  </si>
  <si>
    <t>Bác Bình</t>
  </si>
  <si>
    <t>CHI THủy</t>
  </si>
  <si>
    <t>Chi Lan Anh</t>
  </si>
  <si>
    <t>Cô Phương</t>
  </si>
  <si>
    <t>A Huy</t>
  </si>
  <si>
    <t>C Vân Anh</t>
  </si>
  <si>
    <t>Chị Hợp</t>
  </si>
  <si>
    <t>cô Oanh</t>
  </si>
  <si>
    <t>C Linh</t>
  </si>
  <si>
    <t>chị thái</t>
  </si>
  <si>
    <t>Chị hường</t>
  </si>
  <si>
    <t>chị Hạnh</t>
  </si>
  <si>
    <t>C Nga</t>
  </si>
  <si>
    <t>c Cúc</t>
  </si>
  <si>
    <t>Mỹ Linh</t>
  </si>
  <si>
    <t>chị Xuyên</t>
  </si>
  <si>
    <t>Chị THùy Linh</t>
  </si>
  <si>
    <t>Chị Huyền</t>
  </si>
  <si>
    <t>Anh Lâm</t>
  </si>
  <si>
    <t>c tình</t>
  </si>
  <si>
    <t>cô lan</t>
  </si>
  <si>
    <t>Chị Chúc</t>
  </si>
  <si>
    <t>C Liên</t>
  </si>
  <si>
    <t>Chị Quỳnh</t>
  </si>
  <si>
    <t>Chị Hoa</t>
  </si>
  <si>
    <t>Anh Chung</t>
  </si>
  <si>
    <t>c sinh</t>
  </si>
  <si>
    <t>C Thúy</t>
  </si>
  <si>
    <t>c hương</t>
  </si>
  <si>
    <t>Chị Phương</t>
  </si>
  <si>
    <t>c ly</t>
  </si>
  <si>
    <t>chị Nam</t>
  </si>
  <si>
    <t>c thanh</t>
  </si>
  <si>
    <t>C Nhung</t>
  </si>
  <si>
    <t>c hải</t>
  </si>
  <si>
    <t>anh Thiệm</t>
  </si>
  <si>
    <t>chị hà</t>
  </si>
  <si>
    <t>Anh Tâm</t>
  </si>
  <si>
    <t>ChỊ pHƯƠNG</t>
  </si>
  <si>
    <t>Cô hương</t>
  </si>
  <si>
    <t>Chị Bình</t>
  </si>
  <si>
    <t>Chị Thương</t>
  </si>
  <si>
    <t>Chị Hằng</t>
  </si>
  <si>
    <t>Chị Nguyễn Thị Giang</t>
  </si>
  <si>
    <t>anh Thao</t>
  </si>
  <si>
    <t>Chị Thanh</t>
  </si>
  <si>
    <t>Anh Hung</t>
  </si>
  <si>
    <t>CHị Lý</t>
  </si>
  <si>
    <t>chị vân anh</t>
  </si>
  <si>
    <t>chị kim anh</t>
  </si>
  <si>
    <t>C Giang</t>
  </si>
  <si>
    <t>anh Son</t>
  </si>
  <si>
    <t>Chị Nguyễn Thị Thu hiền</t>
  </si>
  <si>
    <t>cô nhạn</t>
  </si>
  <si>
    <t>chị Ngọc Anh</t>
  </si>
  <si>
    <t>C VAN ANH</t>
  </si>
  <si>
    <t>Chị Như</t>
  </si>
  <si>
    <t>cô hồng vân</t>
  </si>
  <si>
    <t>A Chí</t>
  </si>
  <si>
    <t>Chị AN</t>
  </si>
  <si>
    <t>Chi Hiền</t>
  </si>
  <si>
    <t>anh Minh</t>
  </si>
  <si>
    <t>Hải hà</t>
  </si>
  <si>
    <t>chị lan</t>
  </si>
  <si>
    <t>chị Diệp</t>
  </si>
  <si>
    <t>Chị duyên</t>
  </si>
  <si>
    <t>Anh Khải</t>
  </si>
  <si>
    <t>Cô Hà</t>
  </si>
  <si>
    <t>ANH KIEN</t>
  </si>
  <si>
    <t>C yến</t>
  </si>
  <si>
    <t>chị nguyễn thị minh nguyệt</t>
  </si>
  <si>
    <t>chị Cẩm Tú</t>
  </si>
  <si>
    <t>Kh</t>
  </si>
  <si>
    <t>CHI YEN</t>
  </si>
  <si>
    <t>Cô phượng</t>
  </si>
  <si>
    <t>C Quỳnh</t>
  </si>
  <si>
    <t>chị Ngọc</t>
  </si>
  <si>
    <t>anh Thắng</t>
  </si>
  <si>
    <t>ANH ĐẠT</t>
  </si>
  <si>
    <t>anh Tân</t>
  </si>
  <si>
    <t>chị nhi</t>
  </si>
  <si>
    <t>c Lý</t>
  </si>
  <si>
    <t>Chị Nguyễn Thị Ngọc Bích</t>
  </si>
  <si>
    <t>Chị Phạm hồng Hạnh</t>
  </si>
  <si>
    <t>Chị Linh</t>
  </si>
  <si>
    <t>C THU HUONG</t>
  </si>
  <si>
    <t>c chi</t>
  </si>
  <si>
    <t>Chi Lan</t>
  </si>
  <si>
    <t>c trinh</t>
  </si>
  <si>
    <t>cô vinh</t>
  </si>
  <si>
    <t>Chi Huong</t>
  </si>
  <si>
    <t>a Tuấn</t>
  </si>
  <si>
    <t>Chị Hương</t>
  </si>
  <si>
    <t>Anh Lương</t>
  </si>
  <si>
    <t>cô Hiền</t>
  </si>
  <si>
    <t>anh tiến</t>
  </si>
  <si>
    <t>CO HA</t>
  </si>
  <si>
    <t>Lan</t>
  </si>
  <si>
    <t>Chị lê</t>
  </si>
  <si>
    <t>CHI HANG</t>
  </si>
  <si>
    <t>co phuong</t>
  </si>
  <si>
    <t>cô linh</t>
  </si>
  <si>
    <t>Chi Thu Ha</t>
  </si>
  <si>
    <t>Cô Thủy</t>
  </si>
  <si>
    <t>cô giang</t>
  </si>
  <si>
    <t>chị phạm thu trang</t>
  </si>
  <si>
    <t>cô Hà</t>
  </si>
  <si>
    <t>C HUYỀN</t>
  </si>
  <si>
    <t>a tho</t>
  </si>
  <si>
    <t>C. Lan</t>
  </si>
  <si>
    <t>CÔ loan</t>
  </si>
  <si>
    <t>c Hảo</t>
  </si>
  <si>
    <t>chị LY</t>
  </si>
  <si>
    <t>Anh Tư</t>
  </si>
  <si>
    <t>chi thuy</t>
  </si>
  <si>
    <t>chị THƯƠNG</t>
  </si>
  <si>
    <t>c Quỳnh</t>
  </si>
  <si>
    <t>Chị Nhi</t>
  </si>
  <si>
    <t>Cô Chín</t>
  </si>
  <si>
    <t>Cô Kim Anh</t>
  </si>
  <si>
    <t>cô Tình</t>
  </si>
  <si>
    <t>chị Thu Hương</t>
  </si>
  <si>
    <t>CHI TRANG</t>
  </si>
  <si>
    <t>c.linh</t>
  </si>
  <si>
    <t>cô liễu</t>
  </si>
  <si>
    <t>Anh Dương</t>
  </si>
  <si>
    <t>Cô Phượng</t>
  </si>
  <si>
    <t>Cô Yên</t>
  </si>
  <si>
    <t>C Diệu Anh</t>
  </si>
  <si>
    <t>chị thư</t>
  </si>
  <si>
    <t>chị Bình</t>
  </si>
  <si>
    <t>cô bình</t>
  </si>
  <si>
    <t>cô ngọc</t>
  </si>
  <si>
    <t>c.hương</t>
  </si>
  <si>
    <t>CO HANH</t>
  </si>
  <si>
    <t>Chị Hân</t>
  </si>
  <si>
    <t>cô Thoa</t>
  </si>
  <si>
    <t>Anh Khánh</t>
  </si>
  <si>
    <t>chị ngọc anh</t>
  </si>
  <si>
    <t>chị Dung</t>
  </si>
  <si>
    <t>c Điệp</t>
  </si>
  <si>
    <t>cô nguyễn thị Khuyên</t>
  </si>
  <si>
    <t>Chị Huệ</t>
  </si>
  <si>
    <t>C Tuyet</t>
  </si>
  <si>
    <t>c Vân</t>
  </si>
  <si>
    <t>CHỊ hiền</t>
  </si>
  <si>
    <t>côthủy</t>
  </si>
  <si>
    <t>c cHI</t>
  </si>
  <si>
    <t>ANH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</si>
</sst>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164" fontId="4" fillId="0" borderId="0" xfId="1" applyNumberFormat="1" applyFont="1"/>
    <xf numFmtId="164" fontId="5" fillId="0" borderId="4" xfId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7" xfId="0" applyFont="1" applyBorder="1" applyAlignment="1">
      <alignment vertical="center" wrapText="1"/>
    </xf>
    <xf numFmtId="164" fontId="6" fillId="0" borderId="7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64" fontId="2" fillId="0" borderId="0" xfId="1" applyNumberFormat="1" applyFont="1"/>
    <xf numFmtId="0" fontId="0" fillId="0" borderId="6" xfId="0" applyBorder="1"/>
    <xf numFmtId="164" fontId="0" fillId="0" borderId="6" xfId="1" applyNumberFormat="1" applyFont="1" applyBorder="1"/>
    <xf numFmtId="164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uylt\Desktop\D&#7920;%20&#193;N%202.0%20TRAO%20QUY&#7872;N%20C&#7916;A%20H&#192;NG%20TR&#431;&#7902;NG\B&#193;O%20C&#193;O%20CHI%20TI&#7870;T%20%20B&#193;N%20H&#192;NG%204.26-16.07.26.xlsx" TargetMode="External"/><Relationship Id="rId1" Type="http://schemas.openxmlformats.org/officeDocument/2006/relationships/externalLinkPath" Target="B&#193;O%20C&#193;O%20CHI%20TI&#7870;T%20%20B&#193;N%20H&#192;NG%204.26-16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Sheet3"/>
      <sheetName val="Sheet2"/>
    </sheetNames>
    <sheetDataSet>
      <sheetData sheetId="0"/>
      <sheetData sheetId="1"/>
      <sheetData sheetId="2">
        <row r="1">
          <cell r="A1" t="str">
            <v>Năm</v>
          </cell>
          <cell r="B1" t="str">
            <v>Tháng</v>
          </cell>
          <cell r="C1" t="str">
            <v>Ngày</v>
          </cell>
          <cell r="D1" t="str">
            <v>Kênh KD</v>
          </cell>
          <cell r="E1" t="str">
            <v>Mã ST</v>
          </cell>
          <cell r="F1" t="str">
            <v>Tên ST</v>
          </cell>
          <cell r="G1" t="str">
            <v>SĐT</v>
          </cell>
          <cell r="H1" t="str">
            <v>Tên khách</v>
          </cell>
          <cell r="I1" t="str">
            <v>Nhóm khách</v>
          </cell>
          <cell r="J1" t="str">
            <v>Loại đơn</v>
          </cell>
          <cell r="K1" t="str">
            <v>Mã chứng từ</v>
          </cell>
          <cell r="L1" t="str">
            <v>Ngành</v>
          </cell>
          <cell r="M1" t="str">
            <v>Nhóm</v>
          </cell>
          <cell r="N1" t="str">
            <v>Loại</v>
          </cell>
          <cell r="O1" t="str">
            <v>Item no</v>
          </cell>
          <cell r="P1" t="str">
            <v>Barcode</v>
          </cell>
          <cell r="Q1" t="str">
            <v>Tên SP</v>
          </cell>
          <cell r="R1" t="str">
            <v>Giá BL</v>
          </cell>
          <cell r="S1" t="str">
            <v>SLSP</v>
          </cell>
          <cell r="T1" t="str">
            <v>Thành tiền BL</v>
          </cell>
          <cell r="U1" t="str">
            <v>Tiền KM</v>
          </cell>
          <cell r="V1" t="str">
            <v>Thực thu</v>
          </cell>
          <cell r="W1" t="str">
            <v>Mới</v>
          </cell>
        </row>
        <row r="2">
          <cell r="A2">
            <v>2026</v>
          </cell>
          <cell r="B2">
            <v>7</v>
          </cell>
          <cell r="C2">
            <v>46219</v>
          </cell>
          <cell r="D2" t="str">
            <v>1. SKK store</v>
          </cell>
          <cell r="E2" t="str">
            <v>S1004</v>
          </cell>
          <cell r="F2" t="str">
            <v>SKK  Mandarin C1</v>
          </cell>
          <cell r="G2" t="str">
            <v>0328008011</v>
          </cell>
          <cell r="H2" t="str">
            <v>Trang</v>
          </cell>
          <cell r="I2" t="str">
            <v>Khách cũ</v>
          </cell>
          <cell r="J2" t="str">
            <v>Đơn bán</v>
          </cell>
          <cell r="K2" t="str">
            <v>SAKUKO850902</v>
          </cell>
          <cell r="L2" t="str">
            <v>ĐỒ CHO MẸ BÉ</v>
          </cell>
          <cell r="M2" t="str">
            <v>CHĂM SÓC MẸ BẦU</v>
          </cell>
          <cell r="N2" t="str">
            <v>THỰC PHẨM CHỨC NĂNG MẸ BẦU</v>
          </cell>
          <cell r="O2" t="str">
            <v>121676</v>
          </cell>
          <cell r="P2" t="str">
            <v>3830056330939</v>
          </cell>
          <cell r="Q2" t="str">
            <v>BESTIFER- TPBVSK sắt viên cho mẹ bầu và sau sinh</v>
          </cell>
          <cell r="R2">
            <v>220000</v>
          </cell>
          <cell r="S2">
            <v>1</v>
          </cell>
          <cell r="T2">
            <v>220000</v>
          </cell>
          <cell r="U2">
            <v>0</v>
          </cell>
          <cell r="V2">
            <v>220000</v>
          </cell>
          <cell r="W2" t="str">
            <v>3830056330939</v>
          </cell>
        </row>
        <row r="3">
          <cell r="A3">
            <v>2026</v>
          </cell>
          <cell r="B3">
            <v>7</v>
          </cell>
          <cell r="C3">
            <v>46219</v>
          </cell>
          <cell r="D3" t="str">
            <v>1. SKK store</v>
          </cell>
          <cell r="E3" t="str">
            <v>S1005</v>
          </cell>
          <cell r="F3" t="str">
            <v>SKK  Thái Hà</v>
          </cell>
          <cell r="G3" t="str">
            <v>0904967633</v>
          </cell>
          <cell r="H3" t="str">
            <v>Chị Nguyễn Hải Vân</v>
          </cell>
          <cell r="I3" t="str">
            <v>Khách cũ</v>
          </cell>
          <cell r="J3" t="str">
            <v>Đơn bán</v>
          </cell>
          <cell r="K3" t="str">
            <v>SAKUKO851881</v>
          </cell>
          <cell r="L3" t="str">
            <v>THỰC PHẨM</v>
          </cell>
          <cell r="M3" t="str">
            <v>MỲ, MIẾN</v>
          </cell>
          <cell r="N3" t="str">
            <v>MỲ ĂN LIỀN</v>
          </cell>
          <cell r="O3" t="str">
            <v>154196</v>
          </cell>
          <cell r="P3" t="str">
            <v>4979397000152</v>
          </cell>
          <cell r="Q3" t="str">
            <v>YAMAMOTO_Mì xào kiểu Nhật 89g*5</v>
          </cell>
          <cell r="R3">
            <v>99000</v>
          </cell>
          <cell r="S3">
            <v>1</v>
          </cell>
          <cell r="T3">
            <v>99000</v>
          </cell>
          <cell r="U3">
            <v>0</v>
          </cell>
          <cell r="V3">
            <v>99000</v>
          </cell>
          <cell r="W3" t="str">
            <v>4979397000152</v>
          </cell>
        </row>
        <row r="4">
          <cell r="A4">
            <v>2026</v>
          </cell>
          <cell r="B4">
            <v>7</v>
          </cell>
          <cell r="C4">
            <v>46219</v>
          </cell>
          <cell r="D4" t="str">
            <v>1. SKK store</v>
          </cell>
          <cell r="E4" t="str">
            <v>S1005</v>
          </cell>
          <cell r="F4" t="str">
            <v>SKK  Thái Hà</v>
          </cell>
          <cell r="G4" t="str">
            <v>0904967633</v>
          </cell>
          <cell r="H4" t="str">
            <v>Chị Nguyễn Hải Vân</v>
          </cell>
          <cell r="I4" t="str">
            <v>Khách cũ</v>
          </cell>
          <cell r="J4" t="str">
            <v>Đơn bán</v>
          </cell>
          <cell r="K4" t="str">
            <v>SAKUKO851881</v>
          </cell>
          <cell r="L4" t="str">
            <v>THỰC PHẨM</v>
          </cell>
          <cell r="M4" t="str">
            <v>MỲ, MIẾN</v>
          </cell>
          <cell r="N4" t="str">
            <v>MỲ ĂN LIỀN</v>
          </cell>
          <cell r="O4" t="str">
            <v>155158</v>
          </cell>
          <cell r="P4" t="str">
            <v>8936049051593</v>
          </cell>
          <cell r="Q4" t="str">
            <v>OTOKI- Mì Jin không cay ly 65g</v>
          </cell>
          <cell r="R4">
            <v>18000</v>
          </cell>
          <cell r="S4">
            <v>1</v>
          </cell>
          <cell r="T4">
            <v>18000</v>
          </cell>
          <cell r="U4">
            <v>0</v>
          </cell>
          <cell r="V4">
            <v>18000</v>
          </cell>
          <cell r="W4" t="str">
            <v>8936049051593</v>
          </cell>
        </row>
        <row r="5">
          <cell r="A5">
            <v>2026</v>
          </cell>
          <cell r="B5">
            <v>7</v>
          </cell>
          <cell r="C5">
            <v>46219</v>
          </cell>
          <cell r="D5" t="str">
            <v>1. SKK store</v>
          </cell>
          <cell r="E5" t="str">
            <v>S1005</v>
          </cell>
          <cell r="F5" t="str">
            <v>SKK  Thái Hà</v>
          </cell>
          <cell r="G5" t="str">
            <v>0915151842</v>
          </cell>
          <cell r="H5" t="str">
            <v>Chị Loan</v>
          </cell>
          <cell r="I5" t="str">
            <v>Khách mới</v>
          </cell>
          <cell r="J5" t="str">
            <v>Đơn bán</v>
          </cell>
          <cell r="K5" t="str">
            <v>SAKUKO851340</v>
          </cell>
          <cell r="L5" t="str">
            <v>THỰC PHẨM</v>
          </cell>
          <cell r="M5" t="str">
            <v>BÁNH KẸO, ĐỒ ĂN VẶT</v>
          </cell>
          <cell r="N5" t="str">
            <v>KẸO CAO SU</v>
          </cell>
          <cell r="O5" t="str">
            <v>154105</v>
          </cell>
          <cell r="P5" t="str">
            <v>4547894156612</v>
          </cell>
          <cell r="Q5" t="str">
            <v>MONDELEZ JAPAN - Kẹo cao su 112g</v>
          </cell>
          <cell r="R5">
            <v>235000</v>
          </cell>
          <cell r="S5">
            <v>1</v>
          </cell>
          <cell r="T5">
            <v>235000</v>
          </cell>
          <cell r="U5">
            <v>0</v>
          </cell>
          <cell r="V5">
            <v>235000</v>
          </cell>
          <cell r="W5" t="str">
            <v>4547894156612</v>
          </cell>
        </row>
        <row r="6">
          <cell r="A6">
            <v>2026</v>
          </cell>
          <cell r="B6">
            <v>7</v>
          </cell>
          <cell r="C6">
            <v>46219</v>
          </cell>
          <cell r="D6" t="str">
            <v>1. SKK store</v>
          </cell>
          <cell r="E6" t="str">
            <v>S1005</v>
          </cell>
          <cell r="F6" t="str">
            <v>SKK  Thái Hà</v>
          </cell>
          <cell r="G6" t="str">
            <v>0963273889</v>
          </cell>
          <cell r="H6" t="str">
            <v>cô mai</v>
          </cell>
          <cell r="I6" t="str">
            <v>Khách mới</v>
          </cell>
          <cell r="J6" t="str">
            <v>Đơn bán</v>
          </cell>
          <cell r="K6" t="str">
            <v>SAKUKO850996</v>
          </cell>
          <cell r="L6" t="str">
            <v>THỰC PHẨM</v>
          </cell>
          <cell r="M6" t="str">
            <v>MỲ, MIẾN</v>
          </cell>
          <cell r="N6" t="str">
            <v>MỲ ĂN LIỀN</v>
          </cell>
          <cell r="O6" t="str">
            <v>155157</v>
          </cell>
          <cell r="P6" t="str">
            <v>8936049051586</v>
          </cell>
          <cell r="Q6" t="str">
            <v>OTOKI- Mì Jin cay ly 65g</v>
          </cell>
          <cell r="R6">
            <v>18000</v>
          </cell>
          <cell r="S6">
            <v>5</v>
          </cell>
          <cell r="T6">
            <v>90000</v>
          </cell>
          <cell r="U6">
            <v>0</v>
          </cell>
          <cell r="V6">
            <v>90000</v>
          </cell>
          <cell r="W6" t="str">
            <v>8936049051586</v>
          </cell>
        </row>
        <row r="7">
          <cell r="A7">
            <v>2026</v>
          </cell>
          <cell r="B7">
            <v>7</v>
          </cell>
          <cell r="C7">
            <v>46219</v>
          </cell>
          <cell r="D7" t="str">
            <v>1. SKK store</v>
          </cell>
          <cell r="E7" t="str">
            <v>S1005</v>
          </cell>
          <cell r="F7" t="str">
            <v>SKK  Thái Hà</v>
          </cell>
          <cell r="G7" t="str">
            <v>0963273889</v>
          </cell>
          <cell r="H7" t="str">
            <v>cô mai</v>
          </cell>
          <cell r="I7" t="str">
            <v>Khách mới</v>
          </cell>
          <cell r="J7" t="str">
            <v>Đơn bán</v>
          </cell>
          <cell r="K7" t="str">
            <v>SAKUKO850996</v>
          </cell>
          <cell r="L7" t="str">
            <v>THỰC PHẨM</v>
          </cell>
          <cell r="M7" t="str">
            <v>MỲ, MIẾN</v>
          </cell>
          <cell r="N7" t="str">
            <v>MỲ ĂN LIỀN</v>
          </cell>
          <cell r="O7" t="str">
            <v>155158</v>
          </cell>
          <cell r="P7" t="str">
            <v>8936049051593</v>
          </cell>
          <cell r="Q7" t="str">
            <v>OTOKI- Mì Jin không cay ly 65g</v>
          </cell>
          <cell r="R7">
            <v>18000</v>
          </cell>
          <cell r="S7">
            <v>5</v>
          </cell>
          <cell r="T7">
            <v>90000</v>
          </cell>
          <cell r="U7">
            <v>0</v>
          </cell>
          <cell r="V7">
            <v>90000</v>
          </cell>
          <cell r="W7" t="str">
            <v>8936049051593</v>
          </cell>
        </row>
        <row r="8">
          <cell r="A8">
            <v>2026</v>
          </cell>
          <cell r="B8">
            <v>7</v>
          </cell>
          <cell r="C8">
            <v>46219</v>
          </cell>
          <cell r="D8" t="str">
            <v>1. SKK store</v>
          </cell>
          <cell r="E8" t="str">
            <v>S1005</v>
          </cell>
          <cell r="F8" t="str">
            <v>SKK  Thái Hà</v>
          </cell>
          <cell r="G8" t="str">
            <v>0963273889</v>
          </cell>
          <cell r="H8" t="str">
            <v>cô mai</v>
          </cell>
          <cell r="I8" t="str">
            <v>Khách mới</v>
          </cell>
          <cell r="J8" t="str">
            <v>Đơn bán</v>
          </cell>
          <cell r="K8" t="str">
            <v>SAKUKO850996</v>
          </cell>
          <cell r="L8" t="str">
            <v>THỰC PHẨM</v>
          </cell>
          <cell r="M8" t="str">
            <v>MỲ, MIẾN</v>
          </cell>
          <cell r="N8" t="str">
            <v>MỲ ĂN LIỀN</v>
          </cell>
          <cell r="O8" t="str">
            <v>155160</v>
          </cell>
          <cell r="P8" t="str">
            <v>8936049051630</v>
          </cell>
          <cell r="Q8" t="str">
            <v>OTOKI- Mì bò hầm vị cay ly 62g</v>
          </cell>
          <cell r="R8">
            <v>16000</v>
          </cell>
          <cell r="S8">
            <v>5</v>
          </cell>
          <cell r="T8">
            <v>80000</v>
          </cell>
          <cell r="U8">
            <v>0</v>
          </cell>
          <cell r="V8">
            <v>80000</v>
          </cell>
          <cell r="W8" t="str">
            <v>8936049051630</v>
          </cell>
        </row>
        <row r="9">
          <cell r="A9">
            <v>2026</v>
          </cell>
          <cell r="B9">
            <v>7</v>
          </cell>
          <cell r="C9">
            <v>46219</v>
          </cell>
          <cell r="D9" t="str">
            <v>1. SKK store</v>
          </cell>
          <cell r="E9" t="str">
            <v>S1005</v>
          </cell>
          <cell r="F9" t="str">
            <v>SKK  Thái Hà</v>
          </cell>
          <cell r="G9" t="str">
            <v>0983073443</v>
          </cell>
          <cell r="H9" t="str">
            <v>chị nga</v>
          </cell>
          <cell r="I9" t="str">
            <v>Khách cũ</v>
          </cell>
          <cell r="J9" t="str">
            <v>Đơn bán</v>
          </cell>
          <cell r="K9" t="str">
            <v>SAKUKO851405</v>
          </cell>
          <cell r="L9" t="str">
            <v>CHĂM SÓC SẮC ĐẸP</v>
          </cell>
          <cell r="M9" t="str">
            <v>CHĂM SÓC DA</v>
          </cell>
          <cell r="N9" t="str">
            <v>RỬA MẶT</v>
          </cell>
          <cell r="O9" t="str">
            <v>230849</v>
          </cell>
          <cell r="P9" t="str">
            <v>4902806102048</v>
          </cell>
          <cell r="Q9" t="str">
            <v>GATSBY- SRM than hoạt tính sạch sâu 130g</v>
          </cell>
          <cell r="R9">
            <v>125000</v>
          </cell>
          <cell r="S9">
            <v>1</v>
          </cell>
          <cell r="T9">
            <v>125000</v>
          </cell>
          <cell r="U9">
            <v>12500</v>
          </cell>
          <cell r="V9">
            <v>112500</v>
          </cell>
          <cell r="W9" t="str">
            <v>4902806102048</v>
          </cell>
        </row>
        <row r="10">
          <cell r="A10">
            <v>2026</v>
          </cell>
          <cell r="B10">
            <v>7</v>
          </cell>
          <cell r="C10">
            <v>46219</v>
          </cell>
          <cell r="D10" t="str">
            <v>1. SKK store</v>
          </cell>
          <cell r="E10" t="str">
            <v>S1006</v>
          </cell>
          <cell r="F10" t="str">
            <v>SKK Trần Đăng Ninh</v>
          </cell>
          <cell r="G10" t="str">
            <v>0862954688</v>
          </cell>
          <cell r="H10" t="str">
            <v>KLTDN</v>
          </cell>
          <cell r="I10" t="str">
            <v>Khách vãng lai</v>
          </cell>
          <cell r="J10" t="str">
            <v>Đơn bán</v>
          </cell>
          <cell r="K10" t="str">
            <v>SAKUKO850946</v>
          </cell>
          <cell r="L10" t="str">
            <v>THỰC PHẨM</v>
          </cell>
          <cell r="M10" t="str">
            <v>MỲ, MIẾN</v>
          </cell>
          <cell r="N10" t="str">
            <v>MỲ ĂN LIỀN</v>
          </cell>
          <cell r="O10" t="str">
            <v>155158</v>
          </cell>
          <cell r="P10" t="str">
            <v>8936049051593</v>
          </cell>
          <cell r="Q10" t="str">
            <v>OTOKI- Mì Jin không cay ly 65g</v>
          </cell>
          <cell r="R10">
            <v>18000</v>
          </cell>
          <cell r="S10">
            <v>1</v>
          </cell>
          <cell r="T10">
            <v>18000</v>
          </cell>
          <cell r="U10">
            <v>0</v>
          </cell>
          <cell r="V10">
            <v>18000</v>
          </cell>
          <cell r="W10" t="str">
            <v>8936049051593</v>
          </cell>
        </row>
        <row r="11">
          <cell r="A11">
            <v>2026</v>
          </cell>
          <cell r="B11">
            <v>7</v>
          </cell>
          <cell r="C11">
            <v>46219</v>
          </cell>
          <cell r="D11" t="str">
            <v>1. SKK store</v>
          </cell>
          <cell r="E11" t="str">
            <v>S1006</v>
          </cell>
          <cell r="F11" t="str">
            <v>SKK Trần Đăng Ninh</v>
          </cell>
          <cell r="G11" t="str">
            <v>0981911399</v>
          </cell>
          <cell r="H11" t="str">
            <v>C Hà</v>
          </cell>
          <cell r="I11" t="str">
            <v>Khách cũ</v>
          </cell>
          <cell r="J11" t="str">
            <v>Đơn bán</v>
          </cell>
          <cell r="K11" t="str">
            <v>SAKUKO851528</v>
          </cell>
          <cell r="L11" t="str">
            <v>NHÀ CỬA ĐỜI SỐNG</v>
          </cell>
          <cell r="M11" t="str">
            <v>KHĂN</v>
          </cell>
          <cell r="N11" t="str">
            <v>KHĂN MẶT</v>
          </cell>
          <cell r="O11" t="str">
            <v>102390</v>
          </cell>
          <cell r="P11" t="str">
            <v>4906327905980</v>
          </cell>
          <cell r="Q11" t="str">
            <v>KOMODA - Khăn mặt khô dùng 1 lần 46m 20x20cm</v>
          </cell>
          <cell r="R11">
            <v>52000</v>
          </cell>
          <cell r="S11">
            <v>1</v>
          </cell>
          <cell r="T11">
            <v>52000</v>
          </cell>
          <cell r="U11">
            <v>0</v>
          </cell>
          <cell r="V11">
            <v>52000</v>
          </cell>
          <cell r="W11" t="str">
            <v>4906327905980</v>
          </cell>
        </row>
        <row r="12">
          <cell r="A12">
            <v>2026</v>
          </cell>
          <cell r="B12">
            <v>7</v>
          </cell>
          <cell r="C12">
            <v>46219</v>
          </cell>
          <cell r="D12" t="str">
            <v>1. SKK store</v>
          </cell>
          <cell r="E12" t="str">
            <v>S1007</v>
          </cell>
          <cell r="F12" t="str">
            <v>SKK  Nguyễn Du</v>
          </cell>
          <cell r="G12" t="str">
            <v>0862954339</v>
          </cell>
          <cell r="H12" t="str">
            <v>Klnd</v>
          </cell>
          <cell r="I12" t="str">
            <v>Khách vãng lai</v>
          </cell>
          <cell r="J12" t="str">
            <v>Đơn bán</v>
          </cell>
          <cell r="K12" t="str">
            <v>SAKUKO851840</v>
          </cell>
          <cell r="L12" t="str">
            <v>CHĂM SÓC SẮC ĐẸP</v>
          </cell>
          <cell r="M12" t="str">
            <v>CHĂM SÓC DA</v>
          </cell>
          <cell r="N12" t="str">
            <v>RỬA MẶT</v>
          </cell>
          <cell r="O12" t="str">
            <v>102421</v>
          </cell>
          <cell r="P12" t="str">
            <v>4902468819032</v>
          </cell>
          <cell r="Q12" t="str">
            <v>MEISHOU- Sữa rửa mặt làm sạch thuần chay 100g</v>
          </cell>
          <cell r="R12">
            <v>295000</v>
          </cell>
          <cell r="S12">
            <v>1</v>
          </cell>
          <cell r="T12">
            <v>295000</v>
          </cell>
          <cell r="U12">
            <v>0</v>
          </cell>
          <cell r="V12">
            <v>295000</v>
          </cell>
          <cell r="W12" t="str">
            <v>4902468819032</v>
          </cell>
        </row>
        <row r="13">
          <cell r="A13">
            <v>2026</v>
          </cell>
          <cell r="B13">
            <v>7</v>
          </cell>
          <cell r="C13">
            <v>46219</v>
          </cell>
          <cell r="D13" t="str">
            <v>1. SKK store</v>
          </cell>
          <cell r="E13" t="str">
            <v>S1007</v>
          </cell>
          <cell r="F13" t="str">
            <v>SKK  Nguyễn Du</v>
          </cell>
          <cell r="G13" t="str">
            <v>0983805583</v>
          </cell>
          <cell r="H13" t="str">
            <v>chi hien</v>
          </cell>
          <cell r="I13" t="str">
            <v>Khách cũ</v>
          </cell>
          <cell r="J13" t="str">
            <v>Đơn bán</v>
          </cell>
          <cell r="K13" t="str">
            <v>SAKUKO851660</v>
          </cell>
          <cell r="L13" t="str">
            <v>CHĂM SÓC SẮC ĐẸP</v>
          </cell>
          <cell r="M13" t="str">
            <v>Mỹ phẩm khác</v>
          </cell>
          <cell r="N13" t="str">
            <v>PHỤ KIỆN LÀM ĐẸP</v>
          </cell>
          <cell r="O13" t="str">
            <v>102389</v>
          </cell>
          <cell r="P13" t="str">
            <v>4969757110652</v>
          </cell>
          <cell r="Q13" t="str">
            <v>KYOWA- Gói bông tẩy trang 130 miếng</v>
          </cell>
          <cell r="R13">
            <v>49000</v>
          </cell>
          <cell r="S13">
            <v>1</v>
          </cell>
          <cell r="T13">
            <v>49000</v>
          </cell>
          <cell r="U13">
            <v>0</v>
          </cell>
          <cell r="V13">
            <v>49000</v>
          </cell>
          <cell r="W13" t="str">
            <v>4969757110652</v>
          </cell>
        </row>
        <row r="14">
          <cell r="A14">
            <v>2026</v>
          </cell>
          <cell r="B14">
            <v>7</v>
          </cell>
          <cell r="C14">
            <v>46219</v>
          </cell>
          <cell r="D14" t="str">
            <v>1. SKK store</v>
          </cell>
          <cell r="E14" t="str">
            <v>S1007</v>
          </cell>
          <cell r="F14" t="str">
            <v>SKK  Nguyễn Du</v>
          </cell>
          <cell r="G14" t="str">
            <v>0989390277</v>
          </cell>
          <cell r="H14" t="str">
            <v>Chị Trần Phương Anh</v>
          </cell>
          <cell r="I14" t="str">
            <v>Khách cũ</v>
          </cell>
          <cell r="J14" t="str">
            <v>Đơn bán</v>
          </cell>
          <cell r="K14" t="str">
            <v>SAKUKO851249</v>
          </cell>
          <cell r="L14" t="str">
            <v>ĐỒ CHO MẸ BÉ</v>
          </cell>
          <cell r="M14" t="str">
            <v>GIẤY ƯỚT</v>
          </cell>
          <cell r="N14" t="str">
            <v>GIẤY ƯỚT CHO BÉ</v>
          </cell>
          <cell r="O14" t="str">
            <v>121665</v>
          </cell>
          <cell r="P14" t="str">
            <v>8934755035289</v>
          </cell>
          <cell r="Q14" t="str">
            <v>BOBBY- Khăn ướt em bé không mùi 100 miếng</v>
          </cell>
          <cell r="R14">
            <v>46000</v>
          </cell>
          <cell r="S14">
            <v>1</v>
          </cell>
          <cell r="T14">
            <v>46000</v>
          </cell>
          <cell r="U14">
            <v>0</v>
          </cell>
          <cell r="V14">
            <v>46000</v>
          </cell>
          <cell r="W14" t="str">
            <v>8934755035289</v>
          </cell>
        </row>
        <row r="15">
          <cell r="A15">
            <v>2026</v>
          </cell>
          <cell r="B15">
            <v>7</v>
          </cell>
          <cell r="C15">
            <v>46219</v>
          </cell>
          <cell r="D15" t="str">
            <v>1. SKK store</v>
          </cell>
          <cell r="E15" t="str">
            <v>S1008</v>
          </cell>
          <cell r="F15" t="str">
            <v>SKK  Hàng Bông</v>
          </cell>
          <cell r="G15" t="str">
            <v>0932233468</v>
          </cell>
          <cell r="H15" t="str">
            <v>Chị Uyên</v>
          </cell>
          <cell r="I15" t="str">
            <v>Khách cũ</v>
          </cell>
          <cell r="J15" t="str">
            <v>Đơn bán</v>
          </cell>
          <cell r="K15" t="str">
            <v>SAKUKO851089</v>
          </cell>
          <cell r="L15" t="str">
            <v>CHĂM SÓC SẮC ĐẸP</v>
          </cell>
          <cell r="M15" t="str">
            <v>CHĂM SÓC DA</v>
          </cell>
          <cell r="N15" t="str">
            <v>RỬA MẶT</v>
          </cell>
          <cell r="O15" t="str">
            <v>102412</v>
          </cell>
          <cell r="P15" t="str">
            <v>4902468802126</v>
          </cell>
          <cell r="Q15" t="str">
            <v>MEISHOKU- SRM ngăn ngừa mụn Bigan 80g</v>
          </cell>
          <cell r="R15">
            <v>255000</v>
          </cell>
          <cell r="S15">
            <v>1</v>
          </cell>
          <cell r="T15">
            <v>255000</v>
          </cell>
          <cell r="U15">
            <v>0</v>
          </cell>
          <cell r="V15">
            <v>255000</v>
          </cell>
          <cell r="W15" t="str">
            <v>4902468802126</v>
          </cell>
        </row>
        <row r="16">
          <cell r="A16">
            <v>2026</v>
          </cell>
          <cell r="B16">
            <v>7</v>
          </cell>
          <cell r="C16">
            <v>46219</v>
          </cell>
          <cell r="D16" t="str">
            <v>1. SKK store</v>
          </cell>
          <cell r="E16" t="str">
            <v>S1008</v>
          </cell>
          <cell r="F16" t="str">
            <v>SKK  Hàng Bông</v>
          </cell>
          <cell r="G16" t="str">
            <v>0986711691</v>
          </cell>
          <cell r="H16" t="str">
            <v>CHỊ MAI ANH</v>
          </cell>
          <cell r="I16" t="str">
            <v>Khách cũ</v>
          </cell>
          <cell r="J16" t="str">
            <v>Đơn bán</v>
          </cell>
          <cell r="K16" t="str">
            <v>SAKUKO851818</v>
          </cell>
          <cell r="L16" t="str">
            <v>CHĂM SÓC SẮC ĐẸP</v>
          </cell>
          <cell r="M16" t="str">
            <v>CHĂM SÓC DA</v>
          </cell>
          <cell r="N16" t="str">
            <v>KEM DƯỠNG</v>
          </cell>
          <cell r="O16" t="str">
            <v>102384</v>
          </cell>
          <cell r="P16" t="str">
            <v>4902468820014</v>
          </cell>
          <cell r="Q16" t="str">
            <v>MEISHOKU- Kem gel dưỡng ẩm phục hồi chuyên sâu 50g</v>
          </cell>
          <cell r="R16">
            <v>575000</v>
          </cell>
          <cell r="S16">
            <v>1</v>
          </cell>
          <cell r="T16">
            <v>575000</v>
          </cell>
          <cell r="U16">
            <v>0</v>
          </cell>
          <cell r="V16">
            <v>575000</v>
          </cell>
          <cell r="W16" t="str">
            <v>4902468820014</v>
          </cell>
        </row>
        <row r="17">
          <cell r="A17">
            <v>2026</v>
          </cell>
          <cell r="B17">
            <v>7</v>
          </cell>
          <cell r="C17">
            <v>46219</v>
          </cell>
          <cell r="D17" t="str">
            <v>1. SKK store</v>
          </cell>
          <cell r="E17" t="str">
            <v>S1015</v>
          </cell>
          <cell r="F17" t="str">
            <v>SKK Hàm Nghi</v>
          </cell>
          <cell r="G17" t="str">
            <v>0974917794</v>
          </cell>
          <cell r="H17" t="str">
            <v>c VÂN</v>
          </cell>
          <cell r="I17" t="str">
            <v>Khách cũ</v>
          </cell>
          <cell r="J17" t="str">
            <v>Đơn bán</v>
          </cell>
          <cell r="K17" t="str">
            <v>SAKUKO851822</v>
          </cell>
          <cell r="L17" t="str">
            <v>THỰC PHẨM</v>
          </cell>
          <cell r="M17" t="str">
            <v>BÁNH KẸO, ĐỒ ĂN VẶT</v>
          </cell>
          <cell r="N17" t="str">
            <v>KẸO CAO SU</v>
          </cell>
          <cell r="O17" t="str">
            <v>154105</v>
          </cell>
          <cell r="P17" t="str">
            <v>4547894156612</v>
          </cell>
          <cell r="Q17" t="str">
            <v>MONDELEZ JAPAN - Kẹo cao su 112g</v>
          </cell>
          <cell r="R17">
            <v>235000</v>
          </cell>
          <cell r="S17">
            <v>1</v>
          </cell>
          <cell r="T17">
            <v>235000</v>
          </cell>
          <cell r="U17">
            <v>0</v>
          </cell>
          <cell r="V17">
            <v>235000</v>
          </cell>
          <cell r="W17" t="str">
            <v>4547894156612</v>
          </cell>
        </row>
        <row r="18">
          <cell r="A18">
            <v>2026</v>
          </cell>
          <cell r="B18">
            <v>7</v>
          </cell>
          <cell r="C18">
            <v>46219</v>
          </cell>
          <cell r="D18" t="str">
            <v>1. SKK store</v>
          </cell>
          <cell r="E18" t="str">
            <v>S1015</v>
          </cell>
          <cell r="F18" t="str">
            <v>SKK Hàm Nghi</v>
          </cell>
          <cell r="G18" t="str">
            <v>0989209808</v>
          </cell>
          <cell r="H18" t="str">
            <v>CHỊ HẢI</v>
          </cell>
          <cell r="I18" t="str">
            <v>Khách cũ</v>
          </cell>
          <cell r="J18" t="str">
            <v>Đơn bán</v>
          </cell>
          <cell r="K18" t="str">
            <v>SAKUKO851898</v>
          </cell>
          <cell r="L18" t="str">
            <v>CHĂM SÓC SẮC ĐẸP</v>
          </cell>
          <cell r="M18" t="str">
            <v>CHĂM SÓC DA</v>
          </cell>
          <cell r="N18" t="str">
            <v>CHĂM SÓC DA KHÁC</v>
          </cell>
          <cell r="O18" t="str">
            <v>102387</v>
          </cell>
          <cell r="P18" t="str">
            <v>8935006542907</v>
          </cell>
          <cell r="Q18" t="str">
            <v>HADA LABO- Bộ sản phẩm dưỡng ẩm (travel kit)47g</v>
          </cell>
          <cell r="R18">
            <v>129000</v>
          </cell>
          <cell r="S18">
            <v>1</v>
          </cell>
          <cell r="T18">
            <v>129000</v>
          </cell>
          <cell r="U18">
            <v>0</v>
          </cell>
          <cell r="V18">
            <v>129000</v>
          </cell>
          <cell r="W18" t="str">
            <v>8935006542907</v>
          </cell>
        </row>
        <row r="19">
          <cell r="A19">
            <v>2026</v>
          </cell>
          <cell r="B19">
            <v>7</v>
          </cell>
          <cell r="C19">
            <v>46219</v>
          </cell>
          <cell r="D19" t="str">
            <v>1. SKK store</v>
          </cell>
          <cell r="E19" t="str">
            <v>S1018</v>
          </cell>
          <cell r="F19" t="str">
            <v>SKK Nguyễn Tuân</v>
          </cell>
          <cell r="G19" t="str">
            <v>0983293464</v>
          </cell>
          <cell r="H19" t="str">
            <v>chị HÀ</v>
          </cell>
          <cell r="I19" t="str">
            <v>Khách cũ</v>
          </cell>
          <cell r="J19" t="str">
            <v>Đơn bán</v>
          </cell>
          <cell r="K19" t="str">
            <v>SAKUKO852043</v>
          </cell>
          <cell r="L19" t="str">
            <v>THỰC PHẨM</v>
          </cell>
          <cell r="M19" t="str">
            <v>MỲ, MIẾN</v>
          </cell>
          <cell r="N19" t="str">
            <v>MỲ ĂN LIỀN</v>
          </cell>
          <cell r="O19" t="str">
            <v>154198</v>
          </cell>
          <cell r="P19" t="str">
            <v>4979397000145</v>
          </cell>
          <cell r="Q19" t="str">
            <v>YAMAMOTO_Mì ramen ăn liền vị miso 90g*5</v>
          </cell>
          <cell r="R19">
            <v>99000</v>
          </cell>
          <cell r="S19">
            <v>1</v>
          </cell>
          <cell r="T19">
            <v>99000</v>
          </cell>
          <cell r="U19">
            <v>0</v>
          </cell>
          <cell r="V19">
            <v>99000</v>
          </cell>
          <cell r="W19" t="str">
            <v>4979397000145</v>
          </cell>
        </row>
        <row r="20">
          <cell r="A20">
            <v>2026</v>
          </cell>
          <cell r="B20">
            <v>7</v>
          </cell>
          <cell r="C20">
            <v>46219</v>
          </cell>
          <cell r="D20" t="str">
            <v>1. SKK store</v>
          </cell>
          <cell r="E20" t="str">
            <v>S1025</v>
          </cell>
          <cell r="F20" t="str">
            <v>SKK T6 Time City</v>
          </cell>
          <cell r="G20" t="str">
            <v>0373054860</v>
          </cell>
          <cell r="H20" t="str">
            <v>Chị Tuyết</v>
          </cell>
          <cell r="I20" t="str">
            <v>Khách cũ</v>
          </cell>
          <cell r="J20" t="str">
            <v>Đơn bán</v>
          </cell>
          <cell r="K20" t="str">
            <v>SAKUKO851967</v>
          </cell>
          <cell r="L20" t="str">
            <v>THỰC PHẨM</v>
          </cell>
          <cell r="M20" t="str">
            <v>BÁNH KẸO, ĐỒ ĂN VẶT</v>
          </cell>
          <cell r="N20" t="str">
            <v>KẸO CAO SU</v>
          </cell>
          <cell r="O20" t="str">
            <v>154105</v>
          </cell>
          <cell r="P20" t="str">
            <v>4547894156612</v>
          </cell>
          <cell r="Q20" t="str">
            <v>MONDELEZ JAPAN - Kẹo cao su 112g</v>
          </cell>
          <cell r="R20">
            <v>235000</v>
          </cell>
          <cell r="S20">
            <v>1</v>
          </cell>
          <cell r="T20">
            <v>235000</v>
          </cell>
          <cell r="U20">
            <v>0</v>
          </cell>
          <cell r="V20">
            <v>235000</v>
          </cell>
          <cell r="W20" t="str">
            <v>4547894156612</v>
          </cell>
        </row>
        <row r="21">
          <cell r="A21">
            <v>2026</v>
          </cell>
          <cell r="B21">
            <v>7</v>
          </cell>
          <cell r="C21">
            <v>46219</v>
          </cell>
          <cell r="D21" t="str">
            <v>1. SKK store</v>
          </cell>
          <cell r="E21" t="str">
            <v>S1025</v>
          </cell>
          <cell r="F21" t="str">
            <v>SKK T6 Time City</v>
          </cell>
          <cell r="G21" t="str">
            <v>0373054860</v>
          </cell>
          <cell r="H21" t="str">
            <v>Chị Tuyết</v>
          </cell>
          <cell r="I21" t="str">
            <v>Khách cũ</v>
          </cell>
          <cell r="J21" t="str">
            <v>Đơn trả</v>
          </cell>
          <cell r="K21" t="str">
            <v>SAKUKO851967</v>
          </cell>
          <cell r="L21" t="str">
            <v>THỰC PHẨM</v>
          </cell>
          <cell r="M21" t="str">
            <v>BÁNH KẸO, ĐỒ ĂN VẶT</v>
          </cell>
          <cell r="N21" t="str">
            <v>KẸO CAO SU</v>
          </cell>
          <cell r="O21" t="str">
            <v>154105</v>
          </cell>
          <cell r="P21" t="str">
            <v>4547894156612</v>
          </cell>
          <cell r="Q21" t="str">
            <v>MONDELEZ JAPAN - Kẹo cao su 112g</v>
          </cell>
          <cell r="R21">
            <v>235000</v>
          </cell>
          <cell r="S21">
            <v>-1</v>
          </cell>
          <cell r="T21">
            <v>-235000</v>
          </cell>
          <cell r="U21">
            <v>0</v>
          </cell>
          <cell r="V21">
            <v>-235000</v>
          </cell>
          <cell r="W21" t="str">
            <v>4547894156612</v>
          </cell>
        </row>
        <row r="22">
          <cell r="A22">
            <v>2026</v>
          </cell>
          <cell r="B22">
            <v>7</v>
          </cell>
          <cell r="C22">
            <v>46219</v>
          </cell>
          <cell r="D22" t="str">
            <v>1. SKK store</v>
          </cell>
          <cell r="E22" t="str">
            <v>S1025</v>
          </cell>
          <cell r="F22" t="str">
            <v>SKK T6 Time City</v>
          </cell>
          <cell r="G22" t="str">
            <v>0912265158</v>
          </cell>
          <cell r="H22" t="str">
            <v>anh Phương</v>
          </cell>
          <cell r="I22" t="str">
            <v>Khách cũ</v>
          </cell>
          <cell r="J22" t="str">
            <v>Đơn bán</v>
          </cell>
          <cell r="K22" t="str">
            <v>SAKUKO851506</v>
          </cell>
          <cell r="L22" t="str">
            <v>THỰC PHẨM</v>
          </cell>
          <cell r="M22" t="str">
            <v>MỲ, MIẾN</v>
          </cell>
          <cell r="N22" t="str">
            <v>MỲ ĂN LIỀN</v>
          </cell>
          <cell r="O22" t="str">
            <v>155160</v>
          </cell>
          <cell r="P22" t="str">
            <v>8936049051630</v>
          </cell>
          <cell r="Q22" t="str">
            <v>OTOKI- Mì bò hầm vị cay ly 62g</v>
          </cell>
          <cell r="R22">
            <v>16000</v>
          </cell>
          <cell r="S22">
            <v>1</v>
          </cell>
          <cell r="T22">
            <v>16000</v>
          </cell>
          <cell r="U22">
            <v>0</v>
          </cell>
          <cell r="V22">
            <v>16000</v>
          </cell>
          <cell r="W22" t="str">
            <v>8936049051630</v>
          </cell>
        </row>
        <row r="23">
          <cell r="A23">
            <v>2026</v>
          </cell>
          <cell r="B23">
            <v>7</v>
          </cell>
          <cell r="C23">
            <v>46218</v>
          </cell>
          <cell r="D23" t="str">
            <v>1. SKK store</v>
          </cell>
          <cell r="E23" t="str">
            <v>S1004</v>
          </cell>
          <cell r="F23" t="str">
            <v>SKK  Mandarin C1</v>
          </cell>
          <cell r="G23" t="str">
            <v>0386912462</v>
          </cell>
          <cell r="H23" t="str">
            <v>Bác Thi</v>
          </cell>
          <cell r="I23" t="str">
            <v>Khách cũ</v>
          </cell>
          <cell r="J23" t="str">
            <v>Đơn bán</v>
          </cell>
          <cell r="K23" t="str">
            <v>SAKUKO850128</v>
          </cell>
          <cell r="L23" t="str">
            <v>THỰC PHẨM</v>
          </cell>
          <cell r="M23" t="str">
            <v>MỲ, MIẾN</v>
          </cell>
          <cell r="N23" t="str">
            <v>MỲ ĂN LIỀN</v>
          </cell>
          <cell r="O23" t="str">
            <v>154359</v>
          </cell>
          <cell r="P23" t="str">
            <v>4979397000138</v>
          </cell>
          <cell r="Q23" t="str">
            <v>YAMAMOTO- Mì ramen ăn liền hải sản thịt heo 88g*5</v>
          </cell>
          <cell r="R23">
            <v>99000</v>
          </cell>
          <cell r="S23">
            <v>2</v>
          </cell>
          <cell r="T23">
            <v>198000</v>
          </cell>
          <cell r="U23">
            <v>0</v>
          </cell>
          <cell r="V23">
            <v>198000</v>
          </cell>
          <cell r="W23" t="str">
            <v>4979397000138</v>
          </cell>
        </row>
        <row r="24">
          <cell r="A24">
            <v>2026</v>
          </cell>
          <cell r="B24">
            <v>7</v>
          </cell>
          <cell r="C24">
            <v>46218</v>
          </cell>
          <cell r="D24" t="str">
            <v>1. SKK store</v>
          </cell>
          <cell r="E24" t="str">
            <v>S1004</v>
          </cell>
          <cell r="F24" t="str">
            <v>SKK  Mandarin C1</v>
          </cell>
          <cell r="G24" t="str">
            <v>0904862852</v>
          </cell>
          <cell r="H24" t="str">
            <v>Chị Hoàng Ngọc Quỳnh</v>
          </cell>
          <cell r="I24" t="str">
            <v>Khách cũ</v>
          </cell>
          <cell r="J24" t="str">
            <v>Đơn bán</v>
          </cell>
          <cell r="K24" t="str">
            <v>SAKUKO850642</v>
          </cell>
          <cell r="L24" t="str">
            <v>ĐỒ CHO MẸ BÉ</v>
          </cell>
          <cell r="M24" t="str">
            <v>GIẤY ƯỚT</v>
          </cell>
          <cell r="N24" t="str">
            <v>GIẤY ƯỚT CHO BÉ</v>
          </cell>
          <cell r="O24" t="str">
            <v>121662</v>
          </cell>
          <cell r="P24" t="str">
            <v>8934755035036</v>
          </cell>
          <cell r="Q24" t="str">
            <v>FRESSI- Khăn ướt Care For All 20 miếng</v>
          </cell>
          <cell r="R24">
            <v>14000</v>
          </cell>
          <cell r="S24">
            <v>1</v>
          </cell>
          <cell r="T24">
            <v>14000</v>
          </cell>
          <cell r="U24">
            <v>0</v>
          </cell>
          <cell r="V24">
            <v>14000</v>
          </cell>
          <cell r="W24" t="str">
            <v>8934755035036</v>
          </cell>
        </row>
        <row r="25">
          <cell r="A25">
            <v>2026</v>
          </cell>
          <cell r="B25">
            <v>7</v>
          </cell>
          <cell r="C25">
            <v>46218</v>
          </cell>
          <cell r="D25" t="str">
            <v>1. SKK store</v>
          </cell>
          <cell r="E25" t="str">
            <v>S1004</v>
          </cell>
          <cell r="F25" t="str">
            <v>SKK  Mandarin C1</v>
          </cell>
          <cell r="G25" t="str">
            <v>0942004949</v>
          </cell>
          <cell r="H25" t="str">
            <v>Chị Nguyễn Thị Ngọc Lan</v>
          </cell>
          <cell r="I25" t="str">
            <v>Khách cũ</v>
          </cell>
          <cell r="J25" t="str">
            <v>Đơn bán</v>
          </cell>
          <cell r="K25" t="str">
            <v>SAKUKO849612</v>
          </cell>
          <cell r="L25" t="str">
            <v>THỰC PHẨM</v>
          </cell>
          <cell r="M25" t="str">
            <v>MỲ, MIẾN</v>
          </cell>
          <cell r="N25" t="str">
            <v>MỲ CHẾ BIẾN</v>
          </cell>
          <cell r="O25" t="str">
            <v>174948</v>
          </cell>
          <cell r="P25" t="str">
            <v>4582114354119</v>
          </cell>
          <cell r="Q25" t="str">
            <v>SANUKISHISEI- Mì soumen 300g</v>
          </cell>
          <cell r="R25">
            <v>35000</v>
          </cell>
          <cell r="S25">
            <v>1</v>
          </cell>
          <cell r="T25">
            <v>35000</v>
          </cell>
          <cell r="U25">
            <v>0</v>
          </cell>
          <cell r="V25">
            <v>35000</v>
          </cell>
          <cell r="W25" t="str">
            <v>4582114354119</v>
          </cell>
        </row>
        <row r="26">
          <cell r="A26">
            <v>2026</v>
          </cell>
          <cell r="B26">
            <v>7</v>
          </cell>
          <cell r="C26">
            <v>46218</v>
          </cell>
          <cell r="D26" t="str">
            <v>1. SKK store</v>
          </cell>
          <cell r="E26" t="str">
            <v>S1004</v>
          </cell>
          <cell r="F26" t="str">
            <v>SKK  Mandarin C1</v>
          </cell>
          <cell r="G26" t="str">
            <v>0963310789</v>
          </cell>
          <cell r="H26" t="str">
            <v>Chị Vượng</v>
          </cell>
          <cell r="I26" t="str">
            <v>Khách cũ</v>
          </cell>
          <cell r="J26" t="str">
            <v>Đơn bán</v>
          </cell>
          <cell r="K26" t="str">
            <v>SAKUKO850736</v>
          </cell>
          <cell r="L26" t="str">
            <v>THỰC PHẨM</v>
          </cell>
          <cell r="M26" t="str">
            <v>MỲ, MIẾN</v>
          </cell>
          <cell r="N26" t="str">
            <v>MỲ CHẾ BIẾN</v>
          </cell>
          <cell r="O26" t="str">
            <v>154249</v>
          </cell>
          <cell r="P26" t="str">
            <v>4517244004627</v>
          </cell>
          <cell r="Q26" t="str">
            <v>ASAHI_Mì udon khô 400g</v>
          </cell>
          <cell r="R26">
            <v>69000</v>
          </cell>
          <cell r="S26">
            <v>1</v>
          </cell>
          <cell r="T26">
            <v>69000</v>
          </cell>
          <cell r="U26">
            <v>0</v>
          </cell>
          <cell r="V26">
            <v>69000</v>
          </cell>
          <cell r="W26" t="str">
            <v>4517244004627</v>
          </cell>
        </row>
        <row r="27">
          <cell r="A27">
            <v>2026</v>
          </cell>
          <cell r="B27">
            <v>7</v>
          </cell>
          <cell r="C27">
            <v>46218</v>
          </cell>
          <cell r="D27" t="str">
            <v>1. SKK store</v>
          </cell>
          <cell r="E27" t="str">
            <v>S1005</v>
          </cell>
          <cell r="F27" t="str">
            <v>SKK  Thái Hà</v>
          </cell>
          <cell r="G27" t="str">
            <v>02466810505</v>
          </cell>
          <cell r="H27" t="str">
            <v>klth</v>
          </cell>
          <cell r="I27" t="str">
            <v>Khách vãng lai</v>
          </cell>
          <cell r="J27" t="str">
            <v>Đơn bán</v>
          </cell>
          <cell r="K27" t="str">
            <v>SAKUKO849860</v>
          </cell>
          <cell r="L27" t="str">
            <v>NHÀ CỬA ĐỜI SỐNG</v>
          </cell>
          <cell r="M27" t="str">
            <v>KHĂN</v>
          </cell>
          <cell r="N27" t="str">
            <v>KHĂN MẶT</v>
          </cell>
          <cell r="O27" t="str">
            <v>102390</v>
          </cell>
          <cell r="P27" t="str">
            <v>4906327905980</v>
          </cell>
          <cell r="Q27" t="str">
            <v>KOMODA - Khăn mặt khô dùng 1 lần 46m 20x20cm</v>
          </cell>
          <cell r="R27">
            <v>52000</v>
          </cell>
          <cell r="S27">
            <v>2</v>
          </cell>
          <cell r="T27">
            <v>104000</v>
          </cell>
          <cell r="U27">
            <v>0</v>
          </cell>
          <cell r="V27">
            <v>104000</v>
          </cell>
          <cell r="W27" t="str">
            <v>4906327905980</v>
          </cell>
        </row>
        <row r="28">
          <cell r="A28">
            <v>2026</v>
          </cell>
          <cell r="B28">
            <v>7</v>
          </cell>
          <cell r="C28">
            <v>46218</v>
          </cell>
          <cell r="D28" t="str">
            <v>1. SKK store</v>
          </cell>
          <cell r="E28" t="str">
            <v>S1005</v>
          </cell>
          <cell r="F28" t="str">
            <v>SKK  Thái Hà</v>
          </cell>
          <cell r="G28" t="str">
            <v>02466810505</v>
          </cell>
          <cell r="H28" t="str">
            <v>klth</v>
          </cell>
          <cell r="I28" t="str">
            <v>Khách vãng lai</v>
          </cell>
          <cell r="J28" t="str">
            <v>Đơn bán</v>
          </cell>
          <cell r="K28" t="str">
            <v>SAKUKO850649</v>
          </cell>
          <cell r="L28" t="str">
            <v>THỰC PHẨM</v>
          </cell>
          <cell r="M28" t="str">
            <v>MỲ, MIẾN</v>
          </cell>
          <cell r="N28" t="str">
            <v>MỲ ĂN LIỀN</v>
          </cell>
          <cell r="O28" t="str">
            <v>154828</v>
          </cell>
          <cell r="P28" t="str">
            <v>8936049051616</v>
          </cell>
          <cell r="Q28" t="str">
            <v>OTOKI- Mì ly Yeul cay 62g</v>
          </cell>
          <cell r="R28">
            <v>15000</v>
          </cell>
          <cell r="S28">
            <v>1</v>
          </cell>
          <cell r="T28">
            <v>15000</v>
          </cell>
          <cell r="U28">
            <v>0</v>
          </cell>
          <cell r="V28">
            <v>15000</v>
          </cell>
          <cell r="W28" t="str">
            <v>8936049051616</v>
          </cell>
        </row>
        <row r="29">
          <cell r="A29">
            <v>2026</v>
          </cell>
          <cell r="B29">
            <v>7</v>
          </cell>
          <cell r="C29">
            <v>46218</v>
          </cell>
          <cell r="D29" t="str">
            <v>1. SKK store</v>
          </cell>
          <cell r="E29" t="str">
            <v>S1005</v>
          </cell>
          <cell r="F29" t="str">
            <v>SKK  Thái Hà</v>
          </cell>
          <cell r="G29" t="str">
            <v>0906090901</v>
          </cell>
          <cell r="H29" t="str">
            <v>chị Hiền</v>
          </cell>
          <cell r="I29" t="str">
            <v>Khách cũ</v>
          </cell>
          <cell r="J29" t="str">
            <v>Đơn bán</v>
          </cell>
          <cell r="K29" t="str">
            <v>SAKUKO849924</v>
          </cell>
          <cell r="L29" t="str">
            <v>CHĂM SÓC SẮC ĐẸP</v>
          </cell>
          <cell r="M29" t="str">
            <v>CHĂM SÓC DA</v>
          </cell>
          <cell r="N29" t="str">
            <v>RỬA MẶT</v>
          </cell>
          <cell r="O29" t="str">
            <v>102421</v>
          </cell>
          <cell r="P29" t="str">
            <v>4902468819032</v>
          </cell>
          <cell r="Q29" t="str">
            <v>MEISHOU- Sữa rửa mặt làm sạch thuần chay 100g</v>
          </cell>
          <cell r="R29">
            <v>295000</v>
          </cell>
          <cell r="S29">
            <v>1</v>
          </cell>
          <cell r="T29">
            <v>295000</v>
          </cell>
          <cell r="U29">
            <v>0</v>
          </cell>
          <cell r="V29">
            <v>295000</v>
          </cell>
          <cell r="W29" t="str">
            <v>4902468819032</v>
          </cell>
        </row>
        <row r="30">
          <cell r="A30">
            <v>2026</v>
          </cell>
          <cell r="B30">
            <v>7</v>
          </cell>
          <cell r="C30">
            <v>46218</v>
          </cell>
          <cell r="D30" t="str">
            <v>1. SKK store</v>
          </cell>
          <cell r="E30" t="str">
            <v>S1005</v>
          </cell>
          <cell r="F30" t="str">
            <v>SKK  Thái Hà</v>
          </cell>
          <cell r="G30" t="str">
            <v>0969395503</v>
          </cell>
          <cell r="H30" t="str">
            <v>Chị Lan Anh</v>
          </cell>
          <cell r="I30" t="str">
            <v>Khách cũ</v>
          </cell>
          <cell r="J30" t="str">
            <v>Đơn bán</v>
          </cell>
          <cell r="K30" t="str">
            <v>SAKUKO850342</v>
          </cell>
          <cell r="L30" t="str">
            <v>CHĂM SÓC SẮC ĐẸP</v>
          </cell>
          <cell r="M30" t="str">
            <v>CHĂM SÓC DA</v>
          </cell>
          <cell r="N30" t="str">
            <v>RỬA MẶT</v>
          </cell>
          <cell r="O30" t="str">
            <v>230849</v>
          </cell>
          <cell r="P30" t="str">
            <v>4902806102048</v>
          </cell>
          <cell r="Q30" t="str">
            <v>GATSBY- SRM than hoạt tính sạch sâu 130g</v>
          </cell>
          <cell r="R30">
            <v>125000</v>
          </cell>
          <cell r="S30">
            <v>1</v>
          </cell>
          <cell r="T30">
            <v>125000</v>
          </cell>
          <cell r="U30">
            <v>12500</v>
          </cell>
          <cell r="V30">
            <v>112500</v>
          </cell>
          <cell r="W30" t="str">
            <v>4902806102048</v>
          </cell>
        </row>
        <row r="31">
          <cell r="A31">
            <v>2026</v>
          </cell>
          <cell r="B31">
            <v>7</v>
          </cell>
          <cell r="C31">
            <v>46218</v>
          </cell>
          <cell r="D31" t="str">
            <v>1. SKK store</v>
          </cell>
          <cell r="E31" t="str">
            <v>S1006</v>
          </cell>
          <cell r="F31" t="str">
            <v>SKK Trần Đăng Ninh</v>
          </cell>
          <cell r="G31" t="str">
            <v>0902017986</v>
          </cell>
          <cell r="H31" t="str">
            <v>chị Hà</v>
          </cell>
          <cell r="I31" t="str">
            <v>Khách cũ</v>
          </cell>
          <cell r="J31" t="str">
            <v>Đơn bán</v>
          </cell>
          <cell r="K31" t="str">
            <v>SAKUKO849619</v>
          </cell>
          <cell r="L31" t="str">
            <v>CHĂM SÓC SẮC ĐẸP</v>
          </cell>
          <cell r="M31" t="str">
            <v>CHĂM SÓC DA</v>
          </cell>
          <cell r="N31" t="str">
            <v>RỬA MẶT</v>
          </cell>
          <cell r="O31" t="str">
            <v>102421</v>
          </cell>
          <cell r="P31" t="str">
            <v>4902468819032</v>
          </cell>
          <cell r="Q31" t="str">
            <v>MEISHOU- Sữa rửa mặt làm sạch thuần chay 100g</v>
          </cell>
          <cell r="R31">
            <v>295000</v>
          </cell>
          <cell r="S31">
            <v>1</v>
          </cell>
          <cell r="T31">
            <v>295000</v>
          </cell>
          <cell r="U31">
            <v>0</v>
          </cell>
          <cell r="V31">
            <v>295000</v>
          </cell>
          <cell r="W31" t="str">
            <v>4902468819032</v>
          </cell>
        </row>
        <row r="32">
          <cell r="A32">
            <v>2026</v>
          </cell>
          <cell r="B32">
            <v>7</v>
          </cell>
          <cell r="C32">
            <v>46218</v>
          </cell>
          <cell r="D32" t="str">
            <v>1. SKK store</v>
          </cell>
          <cell r="E32" t="str">
            <v>S1006</v>
          </cell>
          <cell r="F32" t="str">
            <v>SKK Trần Đăng Ninh</v>
          </cell>
          <cell r="G32" t="str">
            <v>0919274107</v>
          </cell>
          <cell r="H32" t="str">
            <v>chị Phương Thúy</v>
          </cell>
          <cell r="I32" t="str">
            <v>Khách cũ</v>
          </cell>
          <cell r="J32" t="str">
            <v>Đơn bán</v>
          </cell>
          <cell r="K32" t="str">
            <v>SAKUKO850440</v>
          </cell>
          <cell r="L32" t="str">
            <v>CHĂM SÓC SẮC ĐẸP</v>
          </cell>
          <cell r="M32" t="str">
            <v>CHĂM SÓC DA</v>
          </cell>
          <cell r="N32" t="str">
            <v>KEM DƯỠNG</v>
          </cell>
          <cell r="O32" t="str">
            <v>102420</v>
          </cell>
          <cell r="P32" t="str">
            <v>4902468820007</v>
          </cell>
          <cell r="Q32" t="str">
            <v>MEISHOKU- Tinh chất dưỡng ẩm chuyên sâu 30ml</v>
          </cell>
          <cell r="R32">
            <v>555000</v>
          </cell>
          <cell r="S32">
            <v>1</v>
          </cell>
          <cell r="T32">
            <v>555000</v>
          </cell>
          <cell r="U32">
            <v>0</v>
          </cell>
          <cell r="V32">
            <v>555000</v>
          </cell>
          <cell r="W32" t="str">
            <v>4902468820007</v>
          </cell>
        </row>
        <row r="33">
          <cell r="A33">
            <v>2026</v>
          </cell>
          <cell r="B33">
            <v>7</v>
          </cell>
          <cell r="C33">
            <v>46218</v>
          </cell>
          <cell r="D33" t="str">
            <v>1. SKK store</v>
          </cell>
          <cell r="E33" t="str">
            <v>S1007</v>
          </cell>
          <cell r="F33" t="str">
            <v>SKK  Nguyễn Du</v>
          </cell>
          <cell r="G33" t="str">
            <v>0799093486</v>
          </cell>
          <cell r="H33" t="str">
            <v>Chi Vu thi Tuyet</v>
          </cell>
          <cell r="I33" t="str">
            <v>Khách cũ</v>
          </cell>
          <cell r="J33" t="str">
            <v>Đơn bán</v>
          </cell>
          <cell r="K33" t="str">
            <v>SAKUKO850103</v>
          </cell>
          <cell r="L33" t="str">
            <v>THỰC PHẨM</v>
          </cell>
          <cell r="M33" t="str">
            <v>MỲ, MIẾN</v>
          </cell>
          <cell r="N33" t="str">
            <v>MỲ ĂN LIỀN</v>
          </cell>
          <cell r="O33" t="str">
            <v>155155</v>
          </cell>
          <cell r="P33" t="str">
            <v>8936049051708</v>
          </cell>
          <cell r="Q33" t="str">
            <v>OTOKI- Mì Jin không cay tô 110g</v>
          </cell>
          <cell r="R33">
            <v>22000</v>
          </cell>
          <cell r="S33">
            <v>1</v>
          </cell>
          <cell r="T33">
            <v>22000</v>
          </cell>
          <cell r="U33">
            <v>0</v>
          </cell>
          <cell r="V33">
            <v>22000</v>
          </cell>
          <cell r="W33" t="str">
            <v>8936049051708</v>
          </cell>
        </row>
        <row r="34">
          <cell r="A34">
            <v>2026</v>
          </cell>
          <cell r="B34">
            <v>7</v>
          </cell>
          <cell r="C34">
            <v>46218</v>
          </cell>
          <cell r="D34" t="str">
            <v>1. SKK store</v>
          </cell>
          <cell r="E34" t="str">
            <v>S1007</v>
          </cell>
          <cell r="F34" t="str">
            <v>SKK  Nguyễn Du</v>
          </cell>
          <cell r="G34" t="str">
            <v>0799093486</v>
          </cell>
          <cell r="H34" t="str">
            <v>Chi Vu thi Tuyet</v>
          </cell>
          <cell r="I34" t="str">
            <v>Khách cũ</v>
          </cell>
          <cell r="J34" t="str">
            <v>Đơn bán</v>
          </cell>
          <cell r="K34" t="str">
            <v>SAKUKO850103</v>
          </cell>
          <cell r="L34" t="str">
            <v>THỰC PHẨM</v>
          </cell>
          <cell r="M34" t="str">
            <v>MỲ, MIẾN</v>
          </cell>
          <cell r="N34" t="str">
            <v>MỲ ĂN LIỀN</v>
          </cell>
          <cell r="O34" t="str">
            <v>155160</v>
          </cell>
          <cell r="P34" t="str">
            <v>8936049051630</v>
          </cell>
          <cell r="Q34" t="str">
            <v>OTOKI- Mì bò hầm vị cay ly 62g</v>
          </cell>
          <cell r="R34">
            <v>16000</v>
          </cell>
          <cell r="S34">
            <v>1</v>
          </cell>
          <cell r="T34">
            <v>16000</v>
          </cell>
          <cell r="U34">
            <v>0</v>
          </cell>
          <cell r="V34">
            <v>16000</v>
          </cell>
          <cell r="W34" t="str">
            <v>8936049051630</v>
          </cell>
        </row>
        <row r="35">
          <cell r="A35">
            <v>2026</v>
          </cell>
          <cell r="B35">
            <v>7</v>
          </cell>
          <cell r="C35">
            <v>46218</v>
          </cell>
          <cell r="D35" t="str">
            <v>1. SKK store</v>
          </cell>
          <cell r="E35" t="str">
            <v>S1007</v>
          </cell>
          <cell r="F35" t="str">
            <v>SKK  Nguyễn Du</v>
          </cell>
          <cell r="G35" t="str">
            <v>0912062234</v>
          </cell>
          <cell r="H35" t="str">
            <v>DƯƠNG THỊ PHƯỢNG</v>
          </cell>
          <cell r="I35" t="str">
            <v>Khách cũ</v>
          </cell>
          <cell r="J35" t="str">
            <v>Đơn bán</v>
          </cell>
          <cell r="K35" t="str">
            <v>SAKUKO850584</v>
          </cell>
          <cell r="L35" t="str">
            <v>CHĂM SÓC SẮC ĐẸP</v>
          </cell>
          <cell r="M35" t="str">
            <v>CHĂM SÓC DA</v>
          </cell>
          <cell r="N35" t="str">
            <v>KEM DƯỠNG</v>
          </cell>
          <cell r="O35" t="str">
            <v>102384</v>
          </cell>
          <cell r="P35" t="str">
            <v>4902468820014</v>
          </cell>
          <cell r="Q35" t="str">
            <v>MEISHOKU- Kem gel dưỡng ẩm phục hồi chuyên sâu 50g</v>
          </cell>
          <cell r="R35">
            <v>575000</v>
          </cell>
          <cell r="S35">
            <v>1</v>
          </cell>
          <cell r="T35">
            <v>575000</v>
          </cell>
          <cell r="U35">
            <v>0</v>
          </cell>
          <cell r="V35">
            <v>575000</v>
          </cell>
          <cell r="W35" t="str">
            <v>4902468820014</v>
          </cell>
        </row>
        <row r="36">
          <cell r="A36">
            <v>2026</v>
          </cell>
          <cell r="B36">
            <v>7</v>
          </cell>
          <cell r="C36">
            <v>46218</v>
          </cell>
          <cell r="D36" t="str">
            <v>1. SKK store</v>
          </cell>
          <cell r="E36" t="str">
            <v>S1007</v>
          </cell>
          <cell r="F36" t="str">
            <v>SKK  Nguyễn Du</v>
          </cell>
          <cell r="G36" t="str">
            <v>0919105743</v>
          </cell>
          <cell r="H36" t="str">
            <v>Cô Vũ Thị Thanh Nga</v>
          </cell>
          <cell r="I36" t="str">
            <v>Khách cũ</v>
          </cell>
          <cell r="J36" t="str">
            <v>Đơn bán</v>
          </cell>
          <cell r="K36" t="str">
            <v>SAKUKO850507</v>
          </cell>
          <cell r="L36" t="str">
            <v>THỰC PHẨM</v>
          </cell>
          <cell r="M36" t="str">
            <v>MỲ, MIẾN</v>
          </cell>
          <cell r="N36" t="str">
            <v>MỲ ĂN LIỀN</v>
          </cell>
          <cell r="O36" t="str">
            <v>155161</v>
          </cell>
          <cell r="P36" t="str">
            <v>8936049052378</v>
          </cell>
          <cell r="Q36" t="str">
            <v>OTOKI- Mì Jin tương đen vị bò ly 65g</v>
          </cell>
          <cell r="R36">
            <v>18000</v>
          </cell>
          <cell r="S36">
            <v>2</v>
          </cell>
          <cell r="T36">
            <v>36000</v>
          </cell>
          <cell r="U36">
            <v>0</v>
          </cell>
          <cell r="V36">
            <v>36000</v>
          </cell>
          <cell r="W36" t="str">
            <v>8936049052378</v>
          </cell>
        </row>
        <row r="37">
          <cell r="A37">
            <v>2026</v>
          </cell>
          <cell r="B37">
            <v>7</v>
          </cell>
          <cell r="C37">
            <v>46218</v>
          </cell>
          <cell r="D37" t="str">
            <v>1. SKK store</v>
          </cell>
          <cell r="E37" t="str">
            <v>S1007</v>
          </cell>
          <cell r="F37" t="str">
            <v>SKK  Nguyễn Du</v>
          </cell>
          <cell r="G37" t="str">
            <v>0936264044</v>
          </cell>
          <cell r="H37" t="str">
            <v>chị giang</v>
          </cell>
          <cell r="I37" t="str">
            <v>Khách cũ</v>
          </cell>
          <cell r="J37" t="str">
            <v>Đơn bán</v>
          </cell>
          <cell r="K37" t="str">
            <v>SAKUKO850255</v>
          </cell>
          <cell r="L37" t="str">
            <v>THỰC PHẨM</v>
          </cell>
          <cell r="M37" t="str">
            <v>MỲ, MIẾN</v>
          </cell>
          <cell r="N37" t="str">
            <v>MỲ CHẾ BIẾN</v>
          </cell>
          <cell r="O37" t="str">
            <v>154831</v>
          </cell>
          <cell r="P37" t="str">
            <v>8936049051715</v>
          </cell>
          <cell r="Q37" t="str">
            <v>OTOKI- Mì tô Jin sốt tương đen 115g</v>
          </cell>
          <cell r="R37">
            <v>24000</v>
          </cell>
          <cell r="S37">
            <v>1</v>
          </cell>
          <cell r="T37">
            <v>24000</v>
          </cell>
          <cell r="U37">
            <v>0</v>
          </cell>
          <cell r="V37">
            <v>24000</v>
          </cell>
          <cell r="W37" t="str">
            <v>8936049051715</v>
          </cell>
        </row>
        <row r="38">
          <cell r="A38">
            <v>2026</v>
          </cell>
          <cell r="B38">
            <v>7</v>
          </cell>
          <cell r="C38">
            <v>46218</v>
          </cell>
          <cell r="D38" t="str">
            <v>1. SKK store</v>
          </cell>
          <cell r="E38" t="str">
            <v>S1007</v>
          </cell>
          <cell r="F38" t="str">
            <v>SKK  Nguyễn Du</v>
          </cell>
          <cell r="G38" t="str">
            <v>0969553332</v>
          </cell>
          <cell r="H38" t="str">
            <v>C Minh Chi</v>
          </cell>
          <cell r="I38" t="str">
            <v>Khách cũ</v>
          </cell>
          <cell r="J38" t="str">
            <v>Đơn bán</v>
          </cell>
          <cell r="K38" t="str">
            <v>SAKUKO850721</v>
          </cell>
          <cell r="L38" t="str">
            <v>THỰC PHẨM</v>
          </cell>
          <cell r="M38" t="str">
            <v>MỲ, MIẾN</v>
          </cell>
          <cell r="N38" t="str">
            <v>MỲ ĂN LIỀN</v>
          </cell>
          <cell r="O38" t="str">
            <v>154827</v>
          </cell>
          <cell r="P38" t="str">
            <v>8936049051647</v>
          </cell>
          <cell r="Q38" t="str">
            <v>OTOKI- Mì tô Jin cay 110g</v>
          </cell>
          <cell r="R38">
            <v>23000</v>
          </cell>
          <cell r="S38">
            <v>2</v>
          </cell>
          <cell r="T38">
            <v>46000</v>
          </cell>
          <cell r="U38">
            <v>0</v>
          </cell>
          <cell r="V38">
            <v>46000</v>
          </cell>
          <cell r="W38" t="str">
            <v>8936049051647</v>
          </cell>
        </row>
        <row r="39">
          <cell r="A39">
            <v>2026</v>
          </cell>
          <cell r="B39">
            <v>7</v>
          </cell>
          <cell r="C39">
            <v>46218</v>
          </cell>
          <cell r="D39" t="str">
            <v>1. SKK store</v>
          </cell>
          <cell r="E39" t="str">
            <v>S1008</v>
          </cell>
          <cell r="F39" t="str">
            <v>SKK  Hàng Bông</v>
          </cell>
          <cell r="G39" t="str">
            <v>0913666999</v>
          </cell>
          <cell r="H39" t="str">
            <v>Chị Hạnh</v>
          </cell>
          <cell r="I39" t="str">
            <v>Khách cũ</v>
          </cell>
          <cell r="J39" t="str">
            <v>Đơn bán</v>
          </cell>
          <cell r="K39" t="str">
            <v>SAKUKO850722</v>
          </cell>
          <cell r="L39" t="str">
            <v>CHĂM SÓC SẮC ĐẸP</v>
          </cell>
          <cell r="M39" t="str">
            <v>CHĂM SÓC DA</v>
          </cell>
          <cell r="N39" t="str">
            <v>RỬA MẶT</v>
          </cell>
          <cell r="O39" t="str">
            <v>102448</v>
          </cell>
          <cell r="P39" t="str">
            <v>4902806470642</v>
          </cell>
          <cell r="Q39" t="str">
            <v>GATSBY- SRM sạch bụi &amp; dầu nhờn 130g</v>
          </cell>
          <cell r="R39">
            <v>100000</v>
          </cell>
          <cell r="S39">
            <v>4</v>
          </cell>
          <cell r="T39">
            <v>400000</v>
          </cell>
          <cell r="U39">
            <v>40000</v>
          </cell>
          <cell r="V39">
            <v>360000</v>
          </cell>
          <cell r="W39" t="str">
            <v>4902806470642</v>
          </cell>
        </row>
        <row r="40">
          <cell r="A40">
            <v>2026</v>
          </cell>
          <cell r="B40">
            <v>7</v>
          </cell>
          <cell r="C40">
            <v>46218</v>
          </cell>
          <cell r="D40" t="str">
            <v>1. SKK store</v>
          </cell>
          <cell r="E40" t="str">
            <v>S1015</v>
          </cell>
          <cell r="F40" t="str">
            <v>SKK Hàm Nghi</v>
          </cell>
          <cell r="G40" t="str">
            <v>02422409595</v>
          </cell>
          <cell r="H40" t="str">
            <v>klhn</v>
          </cell>
          <cell r="I40" t="str">
            <v>Khách vãng lai</v>
          </cell>
          <cell r="J40" t="str">
            <v>Đơn bán</v>
          </cell>
          <cell r="K40" t="str">
            <v>SAKUKO850786</v>
          </cell>
          <cell r="L40" t="str">
            <v>NHÀ CỬA ĐỜI SỐNG</v>
          </cell>
          <cell r="M40" t="str">
            <v>KHĂN</v>
          </cell>
          <cell r="N40" t="str">
            <v>KHĂN MẶT</v>
          </cell>
          <cell r="O40" t="str">
            <v>102390</v>
          </cell>
          <cell r="P40" t="str">
            <v>4906327905980</v>
          </cell>
          <cell r="Q40" t="str">
            <v>KOMODA - Khăn mặt khô dùng 1 lần 46m 20x20cm</v>
          </cell>
          <cell r="R40">
            <v>52000</v>
          </cell>
          <cell r="S40">
            <v>1</v>
          </cell>
          <cell r="T40">
            <v>52000</v>
          </cell>
          <cell r="U40">
            <v>0</v>
          </cell>
          <cell r="V40">
            <v>52000</v>
          </cell>
          <cell r="W40" t="str">
            <v>4906327905980</v>
          </cell>
        </row>
        <row r="41">
          <cell r="A41">
            <v>2026</v>
          </cell>
          <cell r="B41">
            <v>7</v>
          </cell>
          <cell r="C41">
            <v>46218</v>
          </cell>
          <cell r="D41" t="str">
            <v>1. SKK store</v>
          </cell>
          <cell r="E41" t="str">
            <v>S1015</v>
          </cell>
          <cell r="F41" t="str">
            <v>SKK Hàm Nghi</v>
          </cell>
          <cell r="G41" t="str">
            <v>0914341155</v>
          </cell>
          <cell r="H41" t="str">
            <v>C TU</v>
          </cell>
          <cell r="I41" t="str">
            <v>Khách cũ</v>
          </cell>
          <cell r="J41" t="str">
            <v>Đơn bán</v>
          </cell>
          <cell r="K41" t="str">
            <v>SAKUKO850218</v>
          </cell>
          <cell r="L41" t="str">
            <v>THỰC PHẨM</v>
          </cell>
          <cell r="M41" t="str">
            <v>MỲ, MIẾN</v>
          </cell>
          <cell r="N41" t="str">
            <v>MỲ ĂN LIỀN</v>
          </cell>
          <cell r="O41" t="str">
            <v>155157</v>
          </cell>
          <cell r="P41" t="str">
            <v>8936049051586</v>
          </cell>
          <cell r="Q41" t="str">
            <v>OTOKI- Mì Jin cay ly 65g</v>
          </cell>
          <cell r="R41">
            <v>18000</v>
          </cell>
          <cell r="S41">
            <v>1</v>
          </cell>
          <cell r="T41">
            <v>18000</v>
          </cell>
          <cell r="U41">
            <v>0</v>
          </cell>
          <cell r="V41">
            <v>18000</v>
          </cell>
          <cell r="W41" t="str">
            <v>8936049051586</v>
          </cell>
        </row>
        <row r="42">
          <cell r="A42">
            <v>2026</v>
          </cell>
          <cell r="B42">
            <v>7</v>
          </cell>
          <cell r="C42">
            <v>46218</v>
          </cell>
          <cell r="D42" t="str">
            <v>1. SKK store</v>
          </cell>
          <cell r="E42" t="str">
            <v>S1015</v>
          </cell>
          <cell r="F42" t="str">
            <v>SKK Hàm Nghi</v>
          </cell>
          <cell r="G42" t="str">
            <v>0914341155</v>
          </cell>
          <cell r="H42" t="str">
            <v>C TU</v>
          </cell>
          <cell r="I42" t="str">
            <v>Khách cũ</v>
          </cell>
          <cell r="J42" t="str">
            <v>Đơn bán</v>
          </cell>
          <cell r="K42" t="str">
            <v>SAKUKO850218</v>
          </cell>
          <cell r="L42" t="str">
            <v>THỰC PHẨM</v>
          </cell>
          <cell r="M42" t="str">
            <v>MỲ, MIẾN</v>
          </cell>
          <cell r="N42" t="str">
            <v>MỲ ĂN LIỀN</v>
          </cell>
          <cell r="O42" t="str">
            <v>155158</v>
          </cell>
          <cell r="P42" t="str">
            <v>8936049051593</v>
          </cell>
          <cell r="Q42" t="str">
            <v>OTOKI- Mì Jin không cay ly 65g</v>
          </cell>
          <cell r="R42">
            <v>18000</v>
          </cell>
          <cell r="S42">
            <v>1</v>
          </cell>
          <cell r="T42">
            <v>18000</v>
          </cell>
          <cell r="U42">
            <v>0</v>
          </cell>
          <cell r="V42">
            <v>18000</v>
          </cell>
          <cell r="W42" t="str">
            <v>8936049051593</v>
          </cell>
        </row>
        <row r="43">
          <cell r="A43">
            <v>2026</v>
          </cell>
          <cell r="B43">
            <v>7</v>
          </cell>
          <cell r="C43">
            <v>46218</v>
          </cell>
          <cell r="D43" t="str">
            <v>1. SKK store</v>
          </cell>
          <cell r="E43" t="str">
            <v>S1015</v>
          </cell>
          <cell r="F43" t="str">
            <v>SKK Hàm Nghi</v>
          </cell>
          <cell r="G43" t="str">
            <v>0926886606</v>
          </cell>
          <cell r="H43" t="str">
            <v>nguyen phuong anh</v>
          </cell>
          <cell r="I43" t="str">
            <v>Khách cũ</v>
          </cell>
          <cell r="J43" t="str">
            <v>Đơn bán</v>
          </cell>
          <cell r="K43" t="str">
            <v>SAKUKO850767</v>
          </cell>
          <cell r="L43" t="str">
            <v>CHĂM SÓC SẮC ĐẸP</v>
          </cell>
          <cell r="M43" t="str">
            <v>CHĂM SÓC DA</v>
          </cell>
          <cell r="N43" t="str">
            <v>RỬA MẶT</v>
          </cell>
          <cell r="O43" t="str">
            <v>230849</v>
          </cell>
          <cell r="P43" t="str">
            <v>4902806102048</v>
          </cell>
          <cell r="Q43" t="str">
            <v>GATSBY- SRM than hoạt tính sạch sâu 130g</v>
          </cell>
          <cell r="R43">
            <v>125000</v>
          </cell>
          <cell r="S43">
            <v>1</v>
          </cell>
          <cell r="T43">
            <v>125000</v>
          </cell>
          <cell r="U43">
            <v>12500</v>
          </cell>
          <cell r="V43">
            <v>112500</v>
          </cell>
          <cell r="W43" t="str">
            <v>4902806102048</v>
          </cell>
        </row>
        <row r="44">
          <cell r="A44">
            <v>2026</v>
          </cell>
          <cell r="B44">
            <v>7</v>
          </cell>
          <cell r="C44">
            <v>46218</v>
          </cell>
          <cell r="D44" t="str">
            <v>1. SKK store</v>
          </cell>
          <cell r="E44" t="str">
            <v>S1015</v>
          </cell>
          <cell r="F44" t="str">
            <v>SKK Hàm Nghi</v>
          </cell>
          <cell r="G44" t="str">
            <v>0965345666</v>
          </cell>
          <cell r="H44" t="str">
            <v>CHỊ TRANG</v>
          </cell>
          <cell r="I44" t="str">
            <v>Khách cũ</v>
          </cell>
          <cell r="J44" t="str">
            <v>Đơn bán</v>
          </cell>
          <cell r="K44" t="str">
            <v>SAKUKO850787</v>
          </cell>
          <cell r="L44" t="str">
            <v>NHÀ CỬA ĐỜI SỐNG</v>
          </cell>
          <cell r="M44" t="str">
            <v>ĐỒ DÙNG SINH HOẠT GIA ĐÌNH</v>
          </cell>
          <cell r="N44" t="str">
            <v>VẬT DỤNG SINH HOẠT KHÁC</v>
          </cell>
          <cell r="O44" t="str">
            <v>135039</v>
          </cell>
          <cell r="P44" t="str">
            <v>4968988074993</v>
          </cell>
          <cell r="Q44" t="str">
            <v>OMAICHI- Set 2 lọ chiết mỹ phẩm 40ml kèm hộp đựng</v>
          </cell>
          <cell r="R44">
            <v>52000</v>
          </cell>
          <cell r="S44">
            <v>1</v>
          </cell>
          <cell r="T44">
            <v>52000</v>
          </cell>
          <cell r="U44">
            <v>0</v>
          </cell>
          <cell r="V44">
            <v>52000</v>
          </cell>
          <cell r="W44" t="str">
            <v>4968988074993</v>
          </cell>
        </row>
        <row r="45">
          <cell r="A45">
            <v>2026</v>
          </cell>
          <cell r="B45">
            <v>7</v>
          </cell>
          <cell r="C45">
            <v>46218</v>
          </cell>
          <cell r="D45" t="str">
            <v>1. SKK store</v>
          </cell>
          <cell r="E45" t="str">
            <v>S1015</v>
          </cell>
          <cell r="F45" t="str">
            <v>SKK Hàm Nghi</v>
          </cell>
          <cell r="G45" t="str">
            <v>0966825669</v>
          </cell>
          <cell r="H45" t="str">
            <v>chi trần thị loan</v>
          </cell>
          <cell r="I45" t="str">
            <v>Khách cũ</v>
          </cell>
          <cell r="J45" t="str">
            <v>Đơn bán</v>
          </cell>
          <cell r="K45" t="str">
            <v>SAKUKO850436</v>
          </cell>
          <cell r="L45" t="str">
            <v>THỰC PHẨM</v>
          </cell>
          <cell r="M45" t="str">
            <v>BÁNH KẸO, ĐỒ ĂN VẶT</v>
          </cell>
          <cell r="N45" t="str">
            <v>KẸO CAO SU</v>
          </cell>
          <cell r="O45" t="str">
            <v>154105</v>
          </cell>
          <cell r="P45" t="str">
            <v>4547894156612</v>
          </cell>
          <cell r="Q45" t="str">
            <v>MONDELEZ JAPAN - Kẹo cao su 112g</v>
          </cell>
          <cell r="R45">
            <v>235000</v>
          </cell>
          <cell r="S45">
            <v>1</v>
          </cell>
          <cell r="T45">
            <v>235000</v>
          </cell>
          <cell r="U45">
            <v>0</v>
          </cell>
          <cell r="V45">
            <v>235000</v>
          </cell>
          <cell r="W45" t="str">
            <v>4547894156612</v>
          </cell>
        </row>
        <row r="46">
          <cell r="A46">
            <v>2026</v>
          </cell>
          <cell r="B46">
            <v>7</v>
          </cell>
          <cell r="C46">
            <v>46218</v>
          </cell>
          <cell r="D46" t="str">
            <v>1. SKK store</v>
          </cell>
          <cell r="E46" t="str">
            <v>S1018</v>
          </cell>
          <cell r="F46" t="str">
            <v>SKK Nguyễn Tuân</v>
          </cell>
          <cell r="G46" t="str">
            <v>0913321937</v>
          </cell>
          <cell r="H46" t="str">
            <v>chị vân</v>
          </cell>
          <cell r="I46" t="str">
            <v>Khách cũ</v>
          </cell>
          <cell r="J46" t="str">
            <v>Đơn bán</v>
          </cell>
          <cell r="K46" t="str">
            <v>SAKUKO849675</v>
          </cell>
          <cell r="L46" t="str">
            <v>NHÀ CỬA ĐỜI SỐNG</v>
          </cell>
          <cell r="M46" t="str">
            <v>KHĂN</v>
          </cell>
          <cell r="N46" t="str">
            <v>KHĂN MẶT</v>
          </cell>
          <cell r="O46" t="str">
            <v>102390</v>
          </cell>
          <cell r="P46" t="str">
            <v>4906327905980</v>
          </cell>
          <cell r="Q46" t="str">
            <v>KOMODA - Khăn mặt khô dùng 1 lần 46m 20x20cm</v>
          </cell>
          <cell r="R46">
            <v>52000</v>
          </cell>
          <cell r="S46">
            <v>1</v>
          </cell>
          <cell r="T46">
            <v>52000</v>
          </cell>
          <cell r="U46">
            <v>0</v>
          </cell>
          <cell r="V46">
            <v>52000</v>
          </cell>
          <cell r="W46" t="str">
            <v>4906327905980</v>
          </cell>
        </row>
        <row r="47">
          <cell r="A47">
            <v>2026</v>
          </cell>
          <cell r="B47">
            <v>7</v>
          </cell>
          <cell r="C47">
            <v>46218</v>
          </cell>
          <cell r="D47" t="str">
            <v>1. SKK store</v>
          </cell>
          <cell r="E47" t="str">
            <v>S1018</v>
          </cell>
          <cell r="F47" t="str">
            <v>SKK Nguyễn Tuân</v>
          </cell>
          <cell r="G47" t="str">
            <v>0944399303</v>
          </cell>
          <cell r="H47" t="str">
            <v>C Đoàn Thúy Hòa</v>
          </cell>
          <cell r="I47" t="str">
            <v>Khách cũ</v>
          </cell>
          <cell r="J47" t="str">
            <v>Đơn bán</v>
          </cell>
          <cell r="K47" t="str">
            <v>SAKUKO850531</v>
          </cell>
          <cell r="L47" t="str">
            <v>ĐỒ CHO MẸ BÉ</v>
          </cell>
          <cell r="M47" t="str">
            <v>GIẤY ƯỚT</v>
          </cell>
          <cell r="N47" t="str">
            <v>GIẤY ƯỚT CHO BÉ</v>
          </cell>
          <cell r="O47" t="str">
            <v>121662</v>
          </cell>
          <cell r="P47" t="str">
            <v>8934755035036</v>
          </cell>
          <cell r="Q47" t="str">
            <v>FRESSI- Khăn ướt Care For All 20 miếng</v>
          </cell>
          <cell r="R47">
            <v>14000</v>
          </cell>
          <cell r="S47">
            <v>1</v>
          </cell>
          <cell r="T47">
            <v>14000</v>
          </cell>
          <cell r="U47">
            <v>0</v>
          </cell>
          <cell r="V47">
            <v>14000</v>
          </cell>
          <cell r="W47" t="str">
            <v>8934755035036</v>
          </cell>
        </row>
        <row r="48">
          <cell r="A48">
            <v>2026</v>
          </cell>
          <cell r="B48">
            <v>7</v>
          </cell>
          <cell r="C48">
            <v>46218</v>
          </cell>
          <cell r="D48" t="str">
            <v>1. SKK store</v>
          </cell>
          <cell r="E48" t="str">
            <v>S1018</v>
          </cell>
          <cell r="F48" t="str">
            <v>SKK Nguyễn Tuân</v>
          </cell>
          <cell r="G48" t="str">
            <v>0963382323</v>
          </cell>
          <cell r="H48" t="str">
            <v>anh Sơn</v>
          </cell>
          <cell r="I48" t="str">
            <v>Khách mới</v>
          </cell>
          <cell r="J48" t="str">
            <v>Đơn bán</v>
          </cell>
          <cell r="K48" t="str">
            <v>SAKUKO850261</v>
          </cell>
          <cell r="L48" t="str">
            <v>THỰC PHẨM</v>
          </cell>
          <cell r="M48" t="str">
            <v>MỲ, MIẾN</v>
          </cell>
          <cell r="N48" t="str">
            <v>MỲ ĂN LIỀN</v>
          </cell>
          <cell r="O48" t="str">
            <v>155157</v>
          </cell>
          <cell r="P48" t="str">
            <v>8936049051586</v>
          </cell>
          <cell r="Q48" t="str">
            <v>OTOKI- Mì Jin cay ly 65g</v>
          </cell>
          <cell r="R48">
            <v>18000</v>
          </cell>
          <cell r="S48">
            <v>1</v>
          </cell>
          <cell r="T48">
            <v>18000</v>
          </cell>
          <cell r="U48">
            <v>0</v>
          </cell>
          <cell r="V48">
            <v>18000</v>
          </cell>
          <cell r="W48" t="str">
            <v>8936049051586</v>
          </cell>
        </row>
        <row r="49">
          <cell r="A49">
            <v>2026</v>
          </cell>
          <cell r="B49">
            <v>7</v>
          </cell>
          <cell r="C49">
            <v>46218</v>
          </cell>
          <cell r="D49" t="str">
            <v>1. SKK store</v>
          </cell>
          <cell r="E49" t="str">
            <v>S1018</v>
          </cell>
          <cell r="F49" t="str">
            <v>SKK Nguyễn Tuân</v>
          </cell>
          <cell r="G49" t="str">
            <v>0963382323</v>
          </cell>
          <cell r="H49" t="str">
            <v>anh Sơn</v>
          </cell>
          <cell r="I49" t="str">
            <v>Khách mới</v>
          </cell>
          <cell r="J49" t="str">
            <v>Đơn bán</v>
          </cell>
          <cell r="K49" t="str">
            <v>SAKUKO850261</v>
          </cell>
          <cell r="L49" t="str">
            <v>THỰC PHẨM</v>
          </cell>
          <cell r="M49" t="str">
            <v>MỲ, MIẾN</v>
          </cell>
          <cell r="N49" t="str">
            <v>MỲ ĂN LIỀN</v>
          </cell>
          <cell r="O49" t="str">
            <v>155159</v>
          </cell>
          <cell r="P49" t="str">
            <v>8936049051623</v>
          </cell>
          <cell r="Q49" t="str">
            <v>OTOKI- Mì kimchi ly 62g</v>
          </cell>
          <cell r="R49">
            <v>16000</v>
          </cell>
          <cell r="S49">
            <v>1</v>
          </cell>
          <cell r="T49">
            <v>16000</v>
          </cell>
          <cell r="U49">
            <v>0</v>
          </cell>
          <cell r="V49">
            <v>16000</v>
          </cell>
          <cell r="W49" t="str">
            <v>8936049051623</v>
          </cell>
        </row>
        <row r="50">
          <cell r="A50">
            <v>2026</v>
          </cell>
          <cell r="B50">
            <v>7</v>
          </cell>
          <cell r="C50">
            <v>46218</v>
          </cell>
          <cell r="D50" t="str">
            <v>1. SKK store</v>
          </cell>
          <cell r="E50" t="str">
            <v>S1018</v>
          </cell>
          <cell r="F50" t="str">
            <v>SKK Nguyễn Tuân</v>
          </cell>
          <cell r="G50" t="str">
            <v>0963382323</v>
          </cell>
          <cell r="H50" t="str">
            <v>anh Sơn</v>
          </cell>
          <cell r="I50" t="str">
            <v>Khách mới</v>
          </cell>
          <cell r="J50" t="str">
            <v>Đơn bán</v>
          </cell>
          <cell r="K50" t="str">
            <v>SAKUKO850261</v>
          </cell>
          <cell r="L50" t="str">
            <v>THỰC PHẨM</v>
          </cell>
          <cell r="M50" t="str">
            <v>MỲ, MIẾN</v>
          </cell>
          <cell r="N50" t="str">
            <v>MỲ ĂN LIỀN</v>
          </cell>
          <cell r="O50" t="str">
            <v>155160</v>
          </cell>
          <cell r="P50" t="str">
            <v>8936049051630</v>
          </cell>
          <cell r="Q50" t="str">
            <v>OTOKI- Mì bò hầm vị cay ly 62g</v>
          </cell>
          <cell r="R50">
            <v>16000</v>
          </cell>
          <cell r="S50">
            <v>1</v>
          </cell>
          <cell r="T50">
            <v>16000</v>
          </cell>
          <cell r="U50">
            <v>0</v>
          </cell>
          <cell r="V50">
            <v>16000</v>
          </cell>
          <cell r="W50" t="str">
            <v>8936049051630</v>
          </cell>
        </row>
        <row r="51">
          <cell r="A51">
            <v>2026</v>
          </cell>
          <cell r="B51">
            <v>7</v>
          </cell>
          <cell r="C51">
            <v>46218</v>
          </cell>
          <cell r="D51" t="str">
            <v>1. SKK store</v>
          </cell>
          <cell r="E51" t="str">
            <v>S1025</v>
          </cell>
          <cell r="F51" t="str">
            <v>SKK T6 Time City</v>
          </cell>
          <cell r="G51" t="str">
            <v>0912188668</v>
          </cell>
          <cell r="H51" t="str">
            <v>Anh Dũng</v>
          </cell>
          <cell r="I51" t="str">
            <v>Khách cũ</v>
          </cell>
          <cell r="J51" t="str">
            <v>Đơn bán</v>
          </cell>
          <cell r="K51" t="str">
            <v>SAKUKO850720</v>
          </cell>
          <cell r="L51" t="str">
            <v>THỰC PHẨM</v>
          </cell>
          <cell r="M51" t="str">
            <v>BÁNH KẸO, ĐỒ ĂN VẶT</v>
          </cell>
          <cell r="N51" t="str">
            <v>KẸO CAO SU</v>
          </cell>
          <cell r="O51" t="str">
            <v>231377</v>
          </cell>
          <cell r="P51" t="str">
            <v>4903333200375</v>
          </cell>
          <cell r="Q51" t="str">
            <v>LOTTE-Kẹo cao su tổng hợp dạng lọ 114g</v>
          </cell>
          <cell r="R51">
            <v>235000</v>
          </cell>
          <cell r="S51">
            <v>1</v>
          </cell>
          <cell r="T51">
            <v>235000</v>
          </cell>
          <cell r="U51">
            <v>0</v>
          </cell>
          <cell r="V51">
            <v>235000</v>
          </cell>
          <cell r="W51" t="str">
            <v>4903333200375</v>
          </cell>
        </row>
        <row r="52">
          <cell r="A52">
            <v>2026</v>
          </cell>
          <cell r="B52">
            <v>7</v>
          </cell>
          <cell r="C52">
            <v>46217</v>
          </cell>
          <cell r="D52" t="str">
            <v>1. SKK store</v>
          </cell>
          <cell r="E52" t="str">
            <v>S1004</v>
          </cell>
          <cell r="F52" t="str">
            <v>SKK  Mandarin C1</v>
          </cell>
          <cell r="G52" t="str">
            <v>0904485888</v>
          </cell>
          <cell r="H52" t="str">
            <v>Chị Thảo</v>
          </cell>
          <cell r="I52" t="str">
            <v>Khách cũ</v>
          </cell>
          <cell r="J52" t="str">
            <v>Đơn bán</v>
          </cell>
          <cell r="K52" t="str">
            <v>SAKUKO849402</v>
          </cell>
          <cell r="L52" t="str">
            <v>ĐỒ CHO MẸ BÉ</v>
          </cell>
          <cell r="M52" t="str">
            <v>CHĂM SÓC CƠ THỂ BÉ</v>
          </cell>
          <cell r="N52" t="str">
            <v>THỰC PHẨM CHỨC NĂNG CHO BÉ</v>
          </cell>
          <cell r="O52" t="str">
            <v>121666</v>
          </cell>
          <cell r="P52" t="str">
            <v>8436036591441</v>
          </cell>
          <cell r="Q52" t="str">
            <v>NEO KIDS-TPBVSK Gummies Omega 3 DHA 150g</v>
          </cell>
          <cell r="R52">
            <v>360000</v>
          </cell>
          <cell r="S52">
            <v>1</v>
          </cell>
          <cell r="T52">
            <v>360000</v>
          </cell>
          <cell r="U52">
            <v>0</v>
          </cell>
          <cell r="V52">
            <v>360000</v>
          </cell>
          <cell r="W52" t="str">
            <v>8436036591441</v>
          </cell>
        </row>
        <row r="53">
          <cell r="A53">
            <v>2026</v>
          </cell>
          <cell r="B53">
            <v>7</v>
          </cell>
          <cell r="C53">
            <v>46217</v>
          </cell>
          <cell r="D53" t="str">
            <v>1. SKK store</v>
          </cell>
          <cell r="E53" t="str">
            <v>S1004</v>
          </cell>
          <cell r="F53" t="str">
            <v>SKK  Mandarin C1</v>
          </cell>
          <cell r="G53" t="str">
            <v>0912464248</v>
          </cell>
          <cell r="H53" t="str">
            <v>co nam</v>
          </cell>
          <cell r="I53" t="str">
            <v>Khách cũ</v>
          </cell>
          <cell r="J53" t="str">
            <v>Đơn bán</v>
          </cell>
          <cell r="K53" t="str">
            <v>SAKUKO848741</v>
          </cell>
          <cell r="L53" t="str">
            <v>THỰC PHẨM</v>
          </cell>
          <cell r="M53" t="str">
            <v>MỲ, MIẾN</v>
          </cell>
          <cell r="N53" t="str">
            <v>MỲ ĂN LIỀN</v>
          </cell>
          <cell r="O53" t="str">
            <v>154827</v>
          </cell>
          <cell r="P53" t="str">
            <v>8936049051647</v>
          </cell>
          <cell r="Q53" t="str">
            <v>OTOKI- Mì tô Jin cay 110g</v>
          </cell>
          <cell r="R53">
            <v>23000</v>
          </cell>
          <cell r="S53">
            <v>2</v>
          </cell>
          <cell r="T53">
            <v>46000</v>
          </cell>
          <cell r="U53">
            <v>0</v>
          </cell>
          <cell r="V53">
            <v>46000</v>
          </cell>
          <cell r="W53" t="str">
            <v>8936049051647</v>
          </cell>
        </row>
        <row r="54">
          <cell r="A54">
            <v>2026</v>
          </cell>
          <cell r="B54">
            <v>7</v>
          </cell>
          <cell r="C54">
            <v>46217</v>
          </cell>
          <cell r="D54" t="str">
            <v>1. SKK store</v>
          </cell>
          <cell r="E54" t="str">
            <v>S1004</v>
          </cell>
          <cell r="F54" t="str">
            <v>SKK  Mandarin C1</v>
          </cell>
          <cell r="G54" t="str">
            <v>0966206789</v>
          </cell>
          <cell r="H54" t="str">
            <v>chị Minh Tú</v>
          </cell>
          <cell r="I54" t="str">
            <v>Khách cũ</v>
          </cell>
          <cell r="J54" t="str">
            <v>Đơn bán</v>
          </cell>
          <cell r="K54" t="str">
            <v>SAKUKO849108</v>
          </cell>
          <cell r="L54" t="str">
            <v>THỰC PHẨM</v>
          </cell>
          <cell r="M54" t="str">
            <v>BÁNH KẸO, ĐỒ ĂN VẶT</v>
          </cell>
          <cell r="N54" t="str">
            <v>KẸO CAO SU</v>
          </cell>
          <cell r="O54" t="str">
            <v>231376</v>
          </cell>
          <cell r="P54" t="str">
            <v>4903333228577</v>
          </cell>
          <cell r="Q54" t="str">
            <v>LOTTE-Kẹo cao su tổng hợp 7 loại dạng lọ 133g</v>
          </cell>
          <cell r="R54">
            <v>235000</v>
          </cell>
          <cell r="S54">
            <v>1</v>
          </cell>
          <cell r="T54">
            <v>235000</v>
          </cell>
          <cell r="U54">
            <v>0</v>
          </cell>
          <cell r="V54">
            <v>235000</v>
          </cell>
          <cell r="W54" t="str">
            <v>4903333228577</v>
          </cell>
        </row>
        <row r="55">
          <cell r="A55">
            <v>2026</v>
          </cell>
          <cell r="B55">
            <v>7</v>
          </cell>
          <cell r="C55">
            <v>46217</v>
          </cell>
          <cell r="D55" t="str">
            <v>1. SKK store</v>
          </cell>
          <cell r="E55" t="str">
            <v>S1005</v>
          </cell>
          <cell r="F55" t="str">
            <v>SKK  Thái Hà</v>
          </cell>
          <cell r="G55" t="str">
            <v>0369476222</v>
          </cell>
          <cell r="H55" t="str">
            <v>chị linh</v>
          </cell>
          <cell r="I55" t="str">
            <v>Khách mới</v>
          </cell>
          <cell r="J55" t="str">
            <v>Đơn bán</v>
          </cell>
          <cell r="K55" t="str">
            <v>SAKUKO848772</v>
          </cell>
          <cell r="L55" t="str">
            <v>THỰC PHẨM</v>
          </cell>
          <cell r="M55" t="str">
            <v>BÁNH KẸO, ĐỒ ĂN VẶT</v>
          </cell>
          <cell r="N55" t="str">
            <v>KẸO CAO SU</v>
          </cell>
          <cell r="O55" t="str">
            <v>231374</v>
          </cell>
          <cell r="P55" t="str">
            <v>4547894156315</v>
          </cell>
          <cell r="Q55" t="str">
            <v>CLORETS-Kẹo cao su hương vị 4 mùa 140g</v>
          </cell>
          <cell r="R55">
            <v>235000</v>
          </cell>
          <cell r="S55">
            <v>1</v>
          </cell>
          <cell r="T55">
            <v>235000</v>
          </cell>
          <cell r="U55">
            <v>0</v>
          </cell>
          <cell r="V55">
            <v>235000</v>
          </cell>
          <cell r="W55" t="str">
            <v>4547894156315</v>
          </cell>
        </row>
        <row r="56">
          <cell r="A56">
            <v>2026</v>
          </cell>
          <cell r="B56">
            <v>7</v>
          </cell>
          <cell r="C56">
            <v>46217</v>
          </cell>
          <cell r="D56" t="str">
            <v>1. SKK store</v>
          </cell>
          <cell r="E56" t="str">
            <v>S1005</v>
          </cell>
          <cell r="F56" t="str">
            <v>SKK  Thái Hà</v>
          </cell>
          <cell r="G56" t="str">
            <v>0839191960</v>
          </cell>
          <cell r="H56" t="str">
            <v>CO LOAN</v>
          </cell>
          <cell r="I56" t="str">
            <v>Khách cũ</v>
          </cell>
          <cell r="J56" t="str">
            <v>Đơn bán</v>
          </cell>
          <cell r="K56" t="str">
            <v>SAKUKO848697</v>
          </cell>
          <cell r="L56" t="str">
            <v>CHĂM SÓC SẮC ĐẸP</v>
          </cell>
          <cell r="M56" t="str">
            <v>CHĂM SÓC DA</v>
          </cell>
          <cell r="N56" t="str">
            <v>KEM DƯỠNG</v>
          </cell>
          <cell r="O56" t="str">
            <v>102384</v>
          </cell>
          <cell r="P56" t="str">
            <v>4902468820014</v>
          </cell>
          <cell r="Q56" t="str">
            <v>MEISHOKU- Kem gel dưỡng ẩm phục hồi chuyên sâu 50g</v>
          </cell>
          <cell r="R56">
            <v>575000</v>
          </cell>
          <cell r="S56">
            <v>1</v>
          </cell>
          <cell r="T56">
            <v>575000</v>
          </cell>
          <cell r="U56">
            <v>0</v>
          </cell>
          <cell r="V56">
            <v>575000</v>
          </cell>
          <cell r="W56" t="str">
            <v>4902468820014</v>
          </cell>
        </row>
        <row r="57">
          <cell r="A57">
            <v>2026</v>
          </cell>
          <cell r="B57">
            <v>7</v>
          </cell>
          <cell r="C57">
            <v>46217</v>
          </cell>
          <cell r="D57" t="str">
            <v>1. SKK store</v>
          </cell>
          <cell r="E57" t="str">
            <v>S1005</v>
          </cell>
          <cell r="F57" t="str">
            <v>SKK  Thái Hà</v>
          </cell>
          <cell r="G57" t="str">
            <v>0906523919</v>
          </cell>
          <cell r="H57" t="str">
            <v>c Tuyền</v>
          </cell>
          <cell r="I57" t="str">
            <v>Khách cũ</v>
          </cell>
          <cell r="J57" t="str">
            <v>Đơn bán</v>
          </cell>
          <cell r="K57" t="str">
            <v>SAKUKO848896</v>
          </cell>
          <cell r="L57" t="str">
            <v>NHÀ CỬA ĐỜI SỐNG</v>
          </cell>
          <cell r="M57" t="str">
            <v>KHĂN</v>
          </cell>
          <cell r="N57" t="str">
            <v>KHĂN MẶT</v>
          </cell>
          <cell r="O57" t="str">
            <v>102390</v>
          </cell>
          <cell r="P57" t="str">
            <v>4906327905980</v>
          </cell>
          <cell r="Q57" t="str">
            <v>KOMODA - Khăn mặt khô dùng 1 lần 46m 20x20cm</v>
          </cell>
          <cell r="R57">
            <v>52000</v>
          </cell>
          <cell r="S57">
            <v>1</v>
          </cell>
          <cell r="T57">
            <v>52000</v>
          </cell>
          <cell r="U57">
            <v>0</v>
          </cell>
          <cell r="V57">
            <v>52000</v>
          </cell>
          <cell r="W57" t="str">
            <v>4906327905980</v>
          </cell>
        </row>
        <row r="58">
          <cell r="A58">
            <v>2026</v>
          </cell>
          <cell r="B58">
            <v>7</v>
          </cell>
          <cell r="C58">
            <v>46217</v>
          </cell>
          <cell r="D58" t="str">
            <v>1. SKK store</v>
          </cell>
          <cell r="E58" t="str">
            <v>S1005</v>
          </cell>
          <cell r="F58" t="str">
            <v>SKK  Thái Hà</v>
          </cell>
          <cell r="G58" t="str">
            <v>0976697000</v>
          </cell>
          <cell r="H58" t="str">
            <v>Anh Nam</v>
          </cell>
          <cell r="I58" t="str">
            <v>Khách mới</v>
          </cell>
          <cell r="J58" t="str">
            <v>Đơn bán</v>
          </cell>
          <cell r="K58" t="str">
            <v>SAKUKO848431</v>
          </cell>
          <cell r="L58" t="str">
            <v>THỰC PHẨM</v>
          </cell>
          <cell r="M58" t="str">
            <v>MỲ, MIẾN</v>
          </cell>
          <cell r="N58" t="str">
            <v>MỲ ĂN LIỀN</v>
          </cell>
          <cell r="O58" t="str">
            <v>154827</v>
          </cell>
          <cell r="P58" t="str">
            <v>8936049051647</v>
          </cell>
          <cell r="Q58" t="str">
            <v>OTOKI- Mì tô Jin cay 110g</v>
          </cell>
          <cell r="R58">
            <v>23000</v>
          </cell>
          <cell r="S58">
            <v>1</v>
          </cell>
          <cell r="T58">
            <v>23000</v>
          </cell>
          <cell r="U58">
            <v>0</v>
          </cell>
          <cell r="V58">
            <v>23000</v>
          </cell>
          <cell r="W58" t="str">
            <v>8936049051647</v>
          </cell>
        </row>
        <row r="59">
          <cell r="A59">
            <v>2026</v>
          </cell>
          <cell r="B59">
            <v>7</v>
          </cell>
          <cell r="C59">
            <v>46217</v>
          </cell>
          <cell r="D59" t="str">
            <v>1. SKK store</v>
          </cell>
          <cell r="E59" t="str">
            <v>S1006</v>
          </cell>
          <cell r="F59" t="str">
            <v>SKK Trần Đăng Ninh</v>
          </cell>
          <cell r="G59" t="str">
            <v>0868901888</v>
          </cell>
          <cell r="H59" t="str">
            <v>chị vân</v>
          </cell>
          <cell r="I59" t="str">
            <v>Khách cũ</v>
          </cell>
          <cell r="J59" t="str">
            <v>Đơn bán</v>
          </cell>
          <cell r="K59" t="str">
            <v>SAKUKO849293</v>
          </cell>
          <cell r="L59" t="str">
            <v>THỰC PHẨM</v>
          </cell>
          <cell r="M59" t="str">
            <v>BÁNH KẸO, ĐỒ ĂN VẶT</v>
          </cell>
          <cell r="N59" t="str">
            <v>KẸO CAO SU</v>
          </cell>
          <cell r="O59" t="str">
            <v>154105</v>
          </cell>
          <cell r="P59" t="str">
            <v>4547894156612</v>
          </cell>
          <cell r="Q59" t="str">
            <v>MONDELEZ JAPAN - Kẹo cao su 112g</v>
          </cell>
          <cell r="R59">
            <v>235000</v>
          </cell>
          <cell r="S59">
            <v>1</v>
          </cell>
          <cell r="T59">
            <v>235000</v>
          </cell>
          <cell r="U59">
            <v>0</v>
          </cell>
          <cell r="V59">
            <v>235000</v>
          </cell>
          <cell r="W59" t="str">
            <v>4547894156612</v>
          </cell>
        </row>
        <row r="60">
          <cell r="A60">
            <v>2026</v>
          </cell>
          <cell r="B60">
            <v>7</v>
          </cell>
          <cell r="C60">
            <v>46217</v>
          </cell>
          <cell r="D60" t="str">
            <v>1. SKK store</v>
          </cell>
          <cell r="E60" t="str">
            <v>S1006</v>
          </cell>
          <cell r="F60" t="str">
            <v>SKK Trần Đăng Ninh</v>
          </cell>
          <cell r="G60" t="str">
            <v>0913212086</v>
          </cell>
          <cell r="H60" t="str">
            <v>Bác Nga</v>
          </cell>
          <cell r="I60" t="str">
            <v>Khách cũ</v>
          </cell>
          <cell r="J60" t="str">
            <v>Đơn bán</v>
          </cell>
          <cell r="K60" t="str">
            <v>SAKUKO849401</v>
          </cell>
          <cell r="L60" t="str">
            <v>THỰC PHẨM</v>
          </cell>
          <cell r="M60" t="str">
            <v>MỲ, MIẾN</v>
          </cell>
          <cell r="N60" t="str">
            <v>MỲ CHẾ BIẾN</v>
          </cell>
          <cell r="O60" t="str">
            <v>154830</v>
          </cell>
          <cell r="P60" t="str">
            <v>8936049051609</v>
          </cell>
          <cell r="Q60" t="str">
            <v>OTOKI- Mì ly Jin sốt tương đen 70g</v>
          </cell>
          <cell r="R60">
            <v>18000</v>
          </cell>
          <cell r="S60">
            <v>1</v>
          </cell>
          <cell r="T60">
            <v>18000</v>
          </cell>
          <cell r="U60">
            <v>0</v>
          </cell>
          <cell r="V60">
            <v>18000</v>
          </cell>
          <cell r="W60" t="str">
            <v>8936049051609</v>
          </cell>
        </row>
        <row r="61">
          <cell r="A61">
            <v>2026</v>
          </cell>
          <cell r="B61">
            <v>7</v>
          </cell>
          <cell r="C61">
            <v>46217</v>
          </cell>
          <cell r="D61" t="str">
            <v>1. SKK store</v>
          </cell>
          <cell r="E61" t="str">
            <v>S1006</v>
          </cell>
          <cell r="F61" t="str">
            <v>SKK Trần Đăng Ninh</v>
          </cell>
          <cell r="G61" t="str">
            <v>0967761235</v>
          </cell>
          <cell r="H61" t="str">
            <v>CHI DUNG</v>
          </cell>
          <cell r="I61" t="str">
            <v>Khách cũ</v>
          </cell>
          <cell r="J61" t="str">
            <v>Đơn bán</v>
          </cell>
          <cell r="K61" t="str">
            <v>SAKUKO849183</v>
          </cell>
          <cell r="L61" t="str">
            <v>THỰC PHẨM</v>
          </cell>
          <cell r="M61" t="str">
            <v>MỲ, MIẾN</v>
          </cell>
          <cell r="N61" t="str">
            <v>MỲ CHẾ BIẾN</v>
          </cell>
          <cell r="O61" t="str">
            <v>154831</v>
          </cell>
          <cell r="P61" t="str">
            <v>8936049051715</v>
          </cell>
          <cell r="Q61" t="str">
            <v>OTOKI- Mì tô Jin sốt tương đen 115g</v>
          </cell>
          <cell r="R61">
            <v>24000</v>
          </cell>
          <cell r="S61">
            <v>1</v>
          </cell>
          <cell r="T61">
            <v>24000</v>
          </cell>
          <cell r="U61">
            <v>0</v>
          </cell>
          <cell r="V61">
            <v>24000</v>
          </cell>
          <cell r="W61" t="str">
            <v>8936049051715</v>
          </cell>
        </row>
        <row r="62">
          <cell r="A62">
            <v>2026</v>
          </cell>
          <cell r="B62">
            <v>7</v>
          </cell>
          <cell r="C62">
            <v>46217</v>
          </cell>
          <cell r="D62" t="str">
            <v>1. SKK store</v>
          </cell>
          <cell r="E62" t="str">
            <v>S1007</v>
          </cell>
          <cell r="F62" t="str">
            <v>SKK  Nguyễn Du</v>
          </cell>
          <cell r="G62" t="str">
            <v>0827027532</v>
          </cell>
          <cell r="H62" t="str">
            <v>chị</v>
          </cell>
          <cell r="I62" t="str">
            <v>Khách mới</v>
          </cell>
          <cell r="J62" t="str">
            <v>Đơn bán</v>
          </cell>
          <cell r="K62" t="str">
            <v>SAKUKO848840</v>
          </cell>
          <cell r="L62" t="str">
            <v>CHĂM SÓC SẮC ĐẸP</v>
          </cell>
          <cell r="M62" t="str">
            <v>Mỹ phẩm khác</v>
          </cell>
          <cell r="N62" t="str">
            <v>PHỤ KIỆN LÀM ĐẸP</v>
          </cell>
          <cell r="O62" t="str">
            <v>102389</v>
          </cell>
          <cell r="P62" t="str">
            <v>4969757110652</v>
          </cell>
          <cell r="Q62" t="str">
            <v>KYOWA- Gói bông tẩy trang 130 miếng</v>
          </cell>
          <cell r="R62">
            <v>49000</v>
          </cell>
          <cell r="S62">
            <v>1</v>
          </cell>
          <cell r="T62">
            <v>49000</v>
          </cell>
          <cell r="U62">
            <v>0</v>
          </cell>
          <cell r="V62">
            <v>49000</v>
          </cell>
          <cell r="W62" t="str">
            <v>4969757110652</v>
          </cell>
        </row>
        <row r="63">
          <cell r="A63">
            <v>2026</v>
          </cell>
          <cell r="B63">
            <v>7</v>
          </cell>
          <cell r="C63">
            <v>46217</v>
          </cell>
          <cell r="D63" t="str">
            <v>1. SKK store</v>
          </cell>
          <cell r="E63" t="str">
            <v>S1007</v>
          </cell>
          <cell r="F63" t="str">
            <v>SKK  Nguyễn Du</v>
          </cell>
          <cell r="G63" t="str">
            <v>0902103066</v>
          </cell>
          <cell r="H63" t="str">
            <v>a thanh</v>
          </cell>
          <cell r="I63" t="str">
            <v>Khách cũ</v>
          </cell>
          <cell r="J63" t="str">
            <v>Đơn bán</v>
          </cell>
          <cell r="K63" t="str">
            <v>SAKUKO848564</v>
          </cell>
          <cell r="L63" t="str">
            <v>CHĂM SÓC SẮC ĐẸP</v>
          </cell>
          <cell r="M63" t="str">
            <v>CHĂM SÓC DA</v>
          </cell>
          <cell r="N63" t="str">
            <v>RỬA MẶT</v>
          </cell>
          <cell r="O63" t="str">
            <v>230849</v>
          </cell>
          <cell r="P63" t="str">
            <v>4902806102048</v>
          </cell>
          <cell r="Q63" t="str">
            <v>GATSBY- SRM than hoạt tính sạch sâu 130g</v>
          </cell>
          <cell r="R63">
            <v>125000</v>
          </cell>
          <cell r="S63">
            <v>1</v>
          </cell>
          <cell r="T63">
            <v>125000</v>
          </cell>
          <cell r="U63">
            <v>12500</v>
          </cell>
          <cell r="V63">
            <v>112500</v>
          </cell>
          <cell r="W63" t="str">
            <v>4902806102048</v>
          </cell>
        </row>
        <row r="64">
          <cell r="A64">
            <v>2026</v>
          </cell>
          <cell r="B64">
            <v>7</v>
          </cell>
          <cell r="C64">
            <v>46217</v>
          </cell>
          <cell r="D64" t="str">
            <v>1. SKK store</v>
          </cell>
          <cell r="E64" t="str">
            <v>S1007</v>
          </cell>
          <cell r="F64" t="str">
            <v>SKK  Nguyễn Du</v>
          </cell>
          <cell r="G64" t="str">
            <v>0934542629</v>
          </cell>
          <cell r="H64" t="str">
            <v>Anh</v>
          </cell>
          <cell r="I64" t="str">
            <v>Khách mới</v>
          </cell>
          <cell r="J64" t="str">
            <v>Đơn bán</v>
          </cell>
          <cell r="K64" t="str">
            <v>SAKUKO848698</v>
          </cell>
          <cell r="L64" t="str">
            <v>CHĂM SÓC SẮC ĐẸP</v>
          </cell>
          <cell r="M64" t="str">
            <v>CHĂM SÓC TÓC</v>
          </cell>
          <cell r="N64" t="str">
            <v>TẠO KIỂU TÓC</v>
          </cell>
          <cell r="O64" t="str">
            <v>100160</v>
          </cell>
          <cell r="P64" t="str">
            <v>45131677</v>
          </cell>
          <cell r="Q64" t="str">
            <v>GATSBY- Sáp vuốt tóc giữ nếp 80g</v>
          </cell>
          <cell r="R64">
            <v>150000</v>
          </cell>
          <cell r="S64">
            <v>1</v>
          </cell>
          <cell r="T64">
            <v>150000</v>
          </cell>
          <cell r="U64">
            <v>15000</v>
          </cell>
          <cell r="V64">
            <v>135000</v>
          </cell>
          <cell r="W64" t="str">
            <v>45131677</v>
          </cell>
        </row>
        <row r="65">
          <cell r="A65">
            <v>2026</v>
          </cell>
          <cell r="B65">
            <v>7</v>
          </cell>
          <cell r="C65">
            <v>46217</v>
          </cell>
          <cell r="D65" t="str">
            <v>1. SKK store</v>
          </cell>
          <cell r="E65" t="str">
            <v>S1007</v>
          </cell>
          <cell r="F65" t="str">
            <v>SKK  Nguyễn Du</v>
          </cell>
          <cell r="G65" t="str">
            <v>0987932828</v>
          </cell>
          <cell r="H65" t="str">
            <v>chị ngọc</v>
          </cell>
          <cell r="I65" t="str">
            <v>Khách cũ</v>
          </cell>
          <cell r="J65" t="str">
            <v>Đơn bán</v>
          </cell>
          <cell r="K65" t="str">
            <v>SAKUKO848969</v>
          </cell>
          <cell r="L65" t="str">
            <v>THỰC PHẨM</v>
          </cell>
          <cell r="M65" t="str">
            <v>MỲ, MIẾN</v>
          </cell>
          <cell r="N65" t="str">
            <v>MỲ ĂN LIỀN</v>
          </cell>
          <cell r="O65" t="str">
            <v>155158</v>
          </cell>
          <cell r="P65" t="str">
            <v>8936049051593</v>
          </cell>
          <cell r="Q65" t="str">
            <v>OTOKI- Mì Jin không cay ly 65g</v>
          </cell>
          <cell r="R65">
            <v>18000</v>
          </cell>
          <cell r="S65">
            <v>2</v>
          </cell>
          <cell r="T65">
            <v>36000</v>
          </cell>
          <cell r="U65">
            <v>0</v>
          </cell>
          <cell r="V65">
            <v>36000</v>
          </cell>
          <cell r="W65" t="str">
            <v>8936049051593</v>
          </cell>
        </row>
        <row r="66">
          <cell r="A66">
            <v>2026</v>
          </cell>
          <cell r="B66">
            <v>7</v>
          </cell>
          <cell r="C66">
            <v>46217</v>
          </cell>
          <cell r="D66" t="str">
            <v>1. SKK store</v>
          </cell>
          <cell r="E66" t="str">
            <v>S1007</v>
          </cell>
          <cell r="F66" t="str">
            <v>SKK  Nguyễn Du</v>
          </cell>
          <cell r="G66" t="str">
            <v>0987932828</v>
          </cell>
          <cell r="H66" t="str">
            <v>chị ngọc</v>
          </cell>
          <cell r="I66" t="str">
            <v>Khách cũ</v>
          </cell>
          <cell r="J66" t="str">
            <v>Đơn bán</v>
          </cell>
          <cell r="K66" t="str">
            <v>SAKUKO848969</v>
          </cell>
          <cell r="L66" t="str">
            <v>THỰC PHẨM</v>
          </cell>
          <cell r="M66" t="str">
            <v>MỲ, MIẾN</v>
          </cell>
          <cell r="N66" t="str">
            <v>MỲ ĂN LIỀN</v>
          </cell>
          <cell r="O66" t="str">
            <v>155161</v>
          </cell>
          <cell r="P66" t="str">
            <v>8936049052378</v>
          </cell>
          <cell r="Q66" t="str">
            <v>OTOKI- Mì Jin tương đen vị bò ly 65g</v>
          </cell>
          <cell r="R66">
            <v>18000</v>
          </cell>
          <cell r="S66">
            <v>2</v>
          </cell>
          <cell r="T66">
            <v>36000</v>
          </cell>
          <cell r="U66">
            <v>0</v>
          </cell>
          <cell r="V66">
            <v>36000</v>
          </cell>
          <cell r="W66" t="str">
            <v>8936049052378</v>
          </cell>
        </row>
        <row r="67">
          <cell r="A67">
            <v>2026</v>
          </cell>
          <cell r="B67">
            <v>7</v>
          </cell>
          <cell r="C67">
            <v>46217</v>
          </cell>
          <cell r="D67" t="str">
            <v>1. SKK store</v>
          </cell>
          <cell r="E67" t="str">
            <v>S1008</v>
          </cell>
          <cell r="F67" t="str">
            <v>SKK  Hàng Bông</v>
          </cell>
          <cell r="G67" t="str">
            <v>02466810202</v>
          </cell>
          <cell r="H67" t="str">
            <v>KH Tây</v>
          </cell>
          <cell r="I67" t="str">
            <v>Khách vãng lai</v>
          </cell>
          <cell r="J67" t="str">
            <v>Đơn bán</v>
          </cell>
          <cell r="K67" t="str">
            <v>SAKUKO848700</v>
          </cell>
          <cell r="L67" t="str">
            <v>THỰC PHẨM</v>
          </cell>
          <cell r="M67" t="str">
            <v>MỲ, MIẾN</v>
          </cell>
          <cell r="N67" t="str">
            <v>MỲ ĂN LIỀN</v>
          </cell>
          <cell r="O67" t="str">
            <v>155157</v>
          </cell>
          <cell r="P67" t="str">
            <v>8936049051586</v>
          </cell>
          <cell r="Q67" t="str">
            <v>OTOKI- Mì Jin cay ly 65g</v>
          </cell>
          <cell r="R67">
            <v>18000</v>
          </cell>
          <cell r="S67">
            <v>1</v>
          </cell>
          <cell r="T67">
            <v>18000</v>
          </cell>
          <cell r="U67">
            <v>0</v>
          </cell>
          <cell r="V67">
            <v>18000</v>
          </cell>
          <cell r="W67" t="str">
            <v>8936049051586</v>
          </cell>
        </row>
        <row r="68">
          <cell r="A68">
            <v>2026</v>
          </cell>
          <cell r="B68">
            <v>7</v>
          </cell>
          <cell r="C68">
            <v>46217</v>
          </cell>
          <cell r="D68" t="str">
            <v>1. SKK store</v>
          </cell>
          <cell r="E68" t="str">
            <v>S1008</v>
          </cell>
          <cell r="F68" t="str">
            <v>SKK  Hàng Bông</v>
          </cell>
          <cell r="G68" t="str">
            <v>02466810202</v>
          </cell>
          <cell r="H68" t="str">
            <v>KH Tây</v>
          </cell>
          <cell r="I68" t="str">
            <v>Khách vãng lai</v>
          </cell>
          <cell r="J68" t="str">
            <v>Đơn bán</v>
          </cell>
          <cell r="K68" t="str">
            <v>SAKUKO848700</v>
          </cell>
          <cell r="L68" t="str">
            <v>THỰC PHẨM</v>
          </cell>
          <cell r="M68" t="str">
            <v>MỲ, MIẾN</v>
          </cell>
          <cell r="N68" t="str">
            <v>MỲ ĂN LIỀN</v>
          </cell>
          <cell r="O68" t="str">
            <v>155158</v>
          </cell>
          <cell r="P68" t="str">
            <v>8936049051593</v>
          </cell>
          <cell r="Q68" t="str">
            <v>OTOKI- Mì Jin không cay ly 65g</v>
          </cell>
          <cell r="R68">
            <v>18000</v>
          </cell>
          <cell r="S68">
            <v>1</v>
          </cell>
          <cell r="T68">
            <v>18000</v>
          </cell>
          <cell r="U68">
            <v>0</v>
          </cell>
          <cell r="V68">
            <v>18000</v>
          </cell>
          <cell r="W68" t="str">
            <v>8936049051593</v>
          </cell>
        </row>
        <row r="69">
          <cell r="A69">
            <v>2026</v>
          </cell>
          <cell r="B69">
            <v>7</v>
          </cell>
          <cell r="C69">
            <v>46217</v>
          </cell>
          <cell r="D69" t="str">
            <v>1. SKK store</v>
          </cell>
          <cell r="E69" t="str">
            <v>S1008</v>
          </cell>
          <cell r="F69" t="str">
            <v>SKK  Hàng Bông</v>
          </cell>
          <cell r="G69" t="str">
            <v>02466810202</v>
          </cell>
          <cell r="H69" t="str">
            <v>KH Tây</v>
          </cell>
          <cell r="I69" t="str">
            <v>Khách vãng lai</v>
          </cell>
          <cell r="J69" t="str">
            <v>Đơn bán</v>
          </cell>
          <cell r="K69" t="str">
            <v>SAKUKO848700</v>
          </cell>
          <cell r="L69" t="str">
            <v>THỰC PHẨM</v>
          </cell>
          <cell r="M69" t="str">
            <v>MỲ, MIẾN</v>
          </cell>
          <cell r="N69" t="str">
            <v>MỲ ĂN LIỀN</v>
          </cell>
          <cell r="O69" t="str">
            <v>155159</v>
          </cell>
          <cell r="P69" t="str">
            <v>8936049051623</v>
          </cell>
          <cell r="Q69" t="str">
            <v>OTOKI- Mì kimchi ly 62g</v>
          </cell>
          <cell r="R69">
            <v>16000</v>
          </cell>
          <cell r="S69">
            <v>1</v>
          </cell>
          <cell r="T69">
            <v>16000</v>
          </cell>
          <cell r="U69">
            <v>0</v>
          </cell>
          <cell r="V69">
            <v>16000</v>
          </cell>
          <cell r="W69" t="str">
            <v>8936049051623</v>
          </cell>
        </row>
        <row r="70">
          <cell r="A70">
            <v>2026</v>
          </cell>
          <cell r="B70">
            <v>7</v>
          </cell>
          <cell r="C70">
            <v>46217</v>
          </cell>
          <cell r="D70" t="str">
            <v>1. SKK store</v>
          </cell>
          <cell r="E70" t="str">
            <v>S1008</v>
          </cell>
          <cell r="F70" t="str">
            <v>SKK  Hàng Bông</v>
          </cell>
          <cell r="G70" t="str">
            <v>02466810202</v>
          </cell>
          <cell r="H70" t="str">
            <v>KH Tây</v>
          </cell>
          <cell r="I70" t="str">
            <v>Khách vãng lai</v>
          </cell>
          <cell r="J70" t="str">
            <v>Đơn bán</v>
          </cell>
          <cell r="K70" t="str">
            <v>SAKUKO849466</v>
          </cell>
          <cell r="L70" t="str">
            <v>CHĂM SÓC SẮC ĐẸP</v>
          </cell>
          <cell r="M70" t="str">
            <v>CHĂM SÓC CƠ THỂ</v>
          </cell>
          <cell r="N70" t="str">
            <v>CHỐNG NẮNG</v>
          </cell>
          <cell r="O70" t="str">
            <v>102417</v>
          </cell>
          <cell r="P70" t="str">
            <v>4902468816093</v>
          </cell>
          <cell r="Q70" t="str">
            <v>MEISHOKU- Kem chống nắng C Vita 100g</v>
          </cell>
          <cell r="R70">
            <v>535000</v>
          </cell>
          <cell r="S70">
            <v>1</v>
          </cell>
          <cell r="T70">
            <v>535000</v>
          </cell>
          <cell r="U70">
            <v>0</v>
          </cell>
          <cell r="V70">
            <v>535000</v>
          </cell>
          <cell r="W70" t="str">
            <v>4902468816093</v>
          </cell>
        </row>
        <row r="71">
          <cell r="A71">
            <v>2026</v>
          </cell>
          <cell r="B71">
            <v>7</v>
          </cell>
          <cell r="C71">
            <v>46217</v>
          </cell>
          <cell r="D71" t="str">
            <v>1. SKK store</v>
          </cell>
          <cell r="E71" t="str">
            <v>S1008</v>
          </cell>
          <cell r="F71" t="str">
            <v>SKK  Hàng Bông</v>
          </cell>
          <cell r="G71" t="str">
            <v>0912024785</v>
          </cell>
          <cell r="H71" t="str">
            <v>chị Hoa</v>
          </cell>
          <cell r="I71" t="str">
            <v>Khách cũ</v>
          </cell>
          <cell r="J71" t="str">
            <v>Đơn bán</v>
          </cell>
          <cell r="K71" t="str">
            <v>SAKUKO849042</v>
          </cell>
          <cell r="L71" t="str">
            <v>THỰC PHẨM</v>
          </cell>
          <cell r="M71" t="str">
            <v>BÁNH KẸO, ĐỒ ĂN VẶT</v>
          </cell>
          <cell r="N71" t="str">
            <v>KẸO CAO SU</v>
          </cell>
          <cell r="O71" t="str">
            <v>154105</v>
          </cell>
          <cell r="P71" t="str">
            <v>4547894156612</v>
          </cell>
          <cell r="Q71" t="str">
            <v>MONDELEZ JAPAN - Kẹo cao su 112g</v>
          </cell>
          <cell r="R71">
            <v>235000</v>
          </cell>
          <cell r="S71">
            <v>1</v>
          </cell>
          <cell r="T71">
            <v>235000</v>
          </cell>
          <cell r="U71">
            <v>0</v>
          </cell>
          <cell r="V71">
            <v>235000</v>
          </cell>
          <cell r="W71" t="str">
            <v>4547894156612</v>
          </cell>
        </row>
        <row r="72">
          <cell r="A72">
            <v>2026</v>
          </cell>
          <cell r="B72">
            <v>7</v>
          </cell>
          <cell r="C72">
            <v>46217</v>
          </cell>
          <cell r="D72" t="str">
            <v>1. SKK store</v>
          </cell>
          <cell r="E72" t="str">
            <v>S1008</v>
          </cell>
          <cell r="F72" t="str">
            <v>SKK  Hàng Bông</v>
          </cell>
          <cell r="G72" t="str">
            <v>0913382020</v>
          </cell>
          <cell r="H72" t="str">
            <v>CHU TAM</v>
          </cell>
          <cell r="I72" t="str">
            <v>Khách cũ</v>
          </cell>
          <cell r="J72" t="str">
            <v>Đơn bán</v>
          </cell>
          <cell r="K72" t="str">
            <v>SAKUKO848975</v>
          </cell>
          <cell r="L72" t="str">
            <v>THỰC PHẨM</v>
          </cell>
          <cell r="M72" t="str">
            <v>MỲ, MIẾN</v>
          </cell>
          <cell r="N72" t="str">
            <v>MỲ ĂN LIỀN</v>
          </cell>
          <cell r="O72" t="str">
            <v>155161</v>
          </cell>
          <cell r="P72" t="str">
            <v>8936049052378</v>
          </cell>
          <cell r="Q72" t="str">
            <v>OTOKI- Mì Jin tương đen vị bò ly 65g</v>
          </cell>
          <cell r="R72">
            <v>18000</v>
          </cell>
          <cell r="S72">
            <v>1</v>
          </cell>
          <cell r="T72">
            <v>18000</v>
          </cell>
          <cell r="U72">
            <v>0</v>
          </cell>
          <cell r="V72">
            <v>18000</v>
          </cell>
          <cell r="W72" t="str">
            <v>8936049052378</v>
          </cell>
        </row>
        <row r="73">
          <cell r="A73">
            <v>2026</v>
          </cell>
          <cell r="B73">
            <v>7</v>
          </cell>
          <cell r="C73">
            <v>46217</v>
          </cell>
          <cell r="D73" t="str">
            <v>1. SKK store</v>
          </cell>
          <cell r="E73" t="str">
            <v>S1008</v>
          </cell>
          <cell r="F73" t="str">
            <v>SKK  Hàng Bông</v>
          </cell>
          <cell r="G73" t="str">
            <v>0987221295</v>
          </cell>
          <cell r="H73" t="str">
            <v>chị Mạn</v>
          </cell>
          <cell r="I73" t="str">
            <v>Khách cũ</v>
          </cell>
          <cell r="J73" t="str">
            <v>Đơn bán</v>
          </cell>
          <cell r="K73" t="str">
            <v>SAKUKO849098</v>
          </cell>
          <cell r="L73" t="str">
            <v>NHÀ CỬA ĐỜI SỐNG</v>
          </cell>
          <cell r="M73" t="str">
            <v>KHĂN</v>
          </cell>
          <cell r="N73" t="str">
            <v>KHĂN MẶT</v>
          </cell>
          <cell r="O73" t="str">
            <v>102390</v>
          </cell>
          <cell r="P73" t="str">
            <v>4906327905980</v>
          </cell>
          <cell r="Q73" t="str">
            <v>KOMODA - Khăn mặt khô dùng 1 lần 46m 20x20cm</v>
          </cell>
          <cell r="R73">
            <v>52000</v>
          </cell>
          <cell r="S73">
            <v>1</v>
          </cell>
          <cell r="T73">
            <v>52000</v>
          </cell>
          <cell r="U73">
            <v>0</v>
          </cell>
          <cell r="V73">
            <v>52000</v>
          </cell>
          <cell r="W73" t="str">
            <v>4906327905980</v>
          </cell>
        </row>
        <row r="74">
          <cell r="A74">
            <v>2026</v>
          </cell>
          <cell r="B74">
            <v>7</v>
          </cell>
          <cell r="C74">
            <v>46217</v>
          </cell>
          <cell r="D74" t="str">
            <v>1. SKK store</v>
          </cell>
          <cell r="E74" t="str">
            <v>S1015</v>
          </cell>
          <cell r="F74" t="str">
            <v>SKK Hàm Nghi</v>
          </cell>
          <cell r="G74" t="str">
            <v>0906268571</v>
          </cell>
          <cell r="H74" t="str">
            <v>Chị Trần Thị Lệ</v>
          </cell>
          <cell r="I74" t="str">
            <v>Khách cũ</v>
          </cell>
          <cell r="J74" t="str">
            <v>Đơn bán</v>
          </cell>
          <cell r="K74" t="str">
            <v>SAKUKO848640</v>
          </cell>
          <cell r="L74" t="str">
            <v>ĐỒ CHO MẸ BÉ</v>
          </cell>
          <cell r="M74" t="str">
            <v>GIẤY ƯỚT</v>
          </cell>
          <cell r="N74" t="str">
            <v>GIẤY ƯỚT CHO BÉ</v>
          </cell>
          <cell r="O74" t="str">
            <v>121663</v>
          </cell>
          <cell r="P74" t="str">
            <v>8934755035197</v>
          </cell>
          <cell r="Q74" t="str">
            <v>FRESSI- Khăn ướt Care For All 100 miếng</v>
          </cell>
          <cell r="R74">
            <v>49000</v>
          </cell>
          <cell r="S74">
            <v>1</v>
          </cell>
          <cell r="T74">
            <v>49000</v>
          </cell>
          <cell r="U74">
            <v>0</v>
          </cell>
          <cell r="V74">
            <v>49000</v>
          </cell>
          <cell r="W74" t="str">
            <v>8934755035197</v>
          </cell>
        </row>
        <row r="75">
          <cell r="A75">
            <v>2026</v>
          </cell>
          <cell r="B75">
            <v>7</v>
          </cell>
          <cell r="C75">
            <v>46217</v>
          </cell>
          <cell r="D75" t="str">
            <v>1. SKK store</v>
          </cell>
          <cell r="E75" t="str">
            <v>S1025</v>
          </cell>
          <cell r="F75" t="str">
            <v>SKK T6 Time City</v>
          </cell>
          <cell r="G75" t="str">
            <v>0969017119</v>
          </cell>
          <cell r="H75" t="str">
            <v>Anh Trường</v>
          </cell>
          <cell r="I75" t="str">
            <v>Khách cũ</v>
          </cell>
          <cell r="J75" t="str">
            <v>Đơn bán</v>
          </cell>
          <cell r="K75" t="str">
            <v>SAKUKO848400</v>
          </cell>
          <cell r="L75" t="str">
            <v>THỰC PHẨM</v>
          </cell>
          <cell r="M75" t="str">
            <v>BÁNH KẸO, ĐỒ ĂN VẶT</v>
          </cell>
          <cell r="N75" t="str">
            <v>KẸO CAO SU</v>
          </cell>
          <cell r="O75" t="str">
            <v>154653</v>
          </cell>
          <cell r="P75" t="str">
            <v>4547894156650</v>
          </cell>
          <cell r="Q75" t="str">
            <v>MONDELEZ JAPAN - Kẹo cao su vị bưởi hồng 130g</v>
          </cell>
          <cell r="R75">
            <v>235000</v>
          </cell>
          <cell r="S75">
            <v>1</v>
          </cell>
          <cell r="T75">
            <v>235000</v>
          </cell>
          <cell r="U75">
            <v>0</v>
          </cell>
          <cell r="V75">
            <v>235000</v>
          </cell>
          <cell r="W75" t="str">
            <v>4547894156650</v>
          </cell>
        </row>
        <row r="76">
          <cell r="A76">
            <v>2026</v>
          </cell>
          <cell r="B76">
            <v>7</v>
          </cell>
          <cell r="C76">
            <v>46216</v>
          </cell>
          <cell r="D76" t="str">
            <v>1. SKK store</v>
          </cell>
          <cell r="E76" t="str">
            <v>S1004</v>
          </cell>
          <cell r="F76" t="str">
            <v>SKK  Mandarin C1</v>
          </cell>
          <cell r="G76" t="str">
            <v>02466810404</v>
          </cell>
          <cell r="H76" t="str">
            <v>klhmg</v>
          </cell>
          <cell r="I76" t="str">
            <v>Khách vãng lai</v>
          </cell>
          <cell r="J76" t="str">
            <v>Đơn bán</v>
          </cell>
          <cell r="K76" t="str">
            <v>SAKUKO848263</v>
          </cell>
          <cell r="L76" t="str">
            <v>THỰC PHẨM</v>
          </cell>
          <cell r="M76" t="str">
            <v>BÁNH KẸO, ĐỒ ĂN VẶT</v>
          </cell>
          <cell r="N76" t="str">
            <v>KẸO CAO SU</v>
          </cell>
          <cell r="O76" t="str">
            <v>154105</v>
          </cell>
          <cell r="P76" t="str">
            <v>4547894156612</v>
          </cell>
          <cell r="Q76" t="str">
            <v>MONDELEZ JAPAN - Kẹo cao su 112g</v>
          </cell>
          <cell r="R76">
            <v>235000</v>
          </cell>
          <cell r="S76">
            <v>1</v>
          </cell>
          <cell r="T76">
            <v>235000</v>
          </cell>
          <cell r="U76">
            <v>0</v>
          </cell>
          <cell r="V76">
            <v>235000</v>
          </cell>
          <cell r="W76" t="str">
            <v>4547894156612</v>
          </cell>
        </row>
        <row r="77">
          <cell r="A77">
            <v>2026</v>
          </cell>
          <cell r="B77">
            <v>7</v>
          </cell>
          <cell r="C77">
            <v>46216</v>
          </cell>
          <cell r="D77" t="str">
            <v>1. SKK store</v>
          </cell>
          <cell r="E77" t="str">
            <v>S1004</v>
          </cell>
          <cell r="F77" t="str">
            <v>SKK  Mandarin C1</v>
          </cell>
          <cell r="G77" t="str">
            <v>0983660927</v>
          </cell>
          <cell r="H77" t="str">
            <v>C Hoa</v>
          </cell>
          <cell r="I77" t="str">
            <v>Khách cũ</v>
          </cell>
          <cell r="J77" t="str">
            <v>Đơn bán</v>
          </cell>
          <cell r="K77" t="str">
            <v>SAKUKO848111</v>
          </cell>
          <cell r="L77" t="str">
            <v>THỰC PHẨM</v>
          </cell>
          <cell r="M77" t="str">
            <v>MỲ, MIẾN</v>
          </cell>
          <cell r="N77" t="str">
            <v>MỲ CHẾ BIẾN</v>
          </cell>
          <cell r="O77" t="str">
            <v>154251</v>
          </cell>
          <cell r="P77" t="str">
            <v>4560159440776</v>
          </cell>
          <cell r="Q77" t="str">
            <v>SATO_Mì soba khô 800g</v>
          </cell>
          <cell r="R77">
            <v>104000</v>
          </cell>
          <cell r="S77">
            <v>1</v>
          </cell>
          <cell r="T77">
            <v>104000</v>
          </cell>
          <cell r="U77">
            <v>0</v>
          </cell>
          <cell r="V77">
            <v>104000</v>
          </cell>
          <cell r="W77" t="str">
            <v>4560159440776</v>
          </cell>
        </row>
        <row r="78">
          <cell r="A78">
            <v>2026</v>
          </cell>
          <cell r="B78">
            <v>7</v>
          </cell>
          <cell r="C78">
            <v>46216</v>
          </cell>
          <cell r="D78" t="str">
            <v>1. SKK store</v>
          </cell>
          <cell r="E78" t="str">
            <v>S1005</v>
          </cell>
          <cell r="F78" t="str">
            <v>SKK  Thái Hà</v>
          </cell>
          <cell r="G78" t="str">
            <v>0912653569</v>
          </cell>
          <cell r="H78" t="str">
            <v>c oanh</v>
          </cell>
          <cell r="I78" t="str">
            <v>Khách cũ</v>
          </cell>
          <cell r="J78" t="str">
            <v>Đơn bán</v>
          </cell>
          <cell r="K78" t="str">
            <v>SAKUKO847328</v>
          </cell>
          <cell r="L78" t="str">
            <v>CHĂM SÓC SẮC ĐẸP</v>
          </cell>
          <cell r="M78" t="str">
            <v>CHĂM SÓC DA</v>
          </cell>
          <cell r="N78" t="str">
            <v>KEM DƯỠNG</v>
          </cell>
          <cell r="O78" t="str">
            <v>102420</v>
          </cell>
          <cell r="P78" t="str">
            <v>4902468820007</v>
          </cell>
          <cell r="Q78" t="str">
            <v>MEISHOKU- Tinh chất dưỡng ẩm chuyên sâu 30ml</v>
          </cell>
          <cell r="R78">
            <v>555000</v>
          </cell>
          <cell r="S78">
            <v>1</v>
          </cell>
          <cell r="T78">
            <v>555000</v>
          </cell>
          <cell r="U78">
            <v>0</v>
          </cell>
          <cell r="V78">
            <v>555000</v>
          </cell>
          <cell r="W78" t="str">
            <v>4902468820007</v>
          </cell>
        </row>
        <row r="79">
          <cell r="A79">
            <v>2026</v>
          </cell>
          <cell r="B79">
            <v>7</v>
          </cell>
          <cell r="C79">
            <v>46216</v>
          </cell>
          <cell r="D79" t="str">
            <v>1. SKK store</v>
          </cell>
          <cell r="E79" t="str">
            <v>S1005</v>
          </cell>
          <cell r="F79" t="str">
            <v>SKK  Thái Hà</v>
          </cell>
          <cell r="G79" t="str">
            <v>0938388584</v>
          </cell>
          <cell r="H79" t="str">
            <v>Chị Hồng</v>
          </cell>
          <cell r="I79" t="str">
            <v>Khách mới</v>
          </cell>
          <cell r="J79" t="str">
            <v>Đơn bán</v>
          </cell>
          <cell r="K79" t="str">
            <v>SAKUKO847284</v>
          </cell>
          <cell r="L79" t="str">
            <v>THỰC PHẨM</v>
          </cell>
          <cell r="M79" t="str">
            <v>MỲ, MIẾN</v>
          </cell>
          <cell r="N79" t="str">
            <v>MỲ ĂN LIỀN</v>
          </cell>
          <cell r="O79" t="str">
            <v>154829</v>
          </cell>
          <cell r="P79" t="str">
            <v>8936049051654</v>
          </cell>
          <cell r="Q79" t="str">
            <v>OTOKI- Mì tô Yeul cay 105g</v>
          </cell>
          <cell r="R79">
            <v>23000</v>
          </cell>
          <cell r="S79">
            <v>2</v>
          </cell>
          <cell r="T79">
            <v>46000</v>
          </cell>
          <cell r="U79">
            <v>0</v>
          </cell>
          <cell r="V79">
            <v>46000</v>
          </cell>
          <cell r="W79" t="str">
            <v>8936049051654</v>
          </cell>
        </row>
        <row r="80">
          <cell r="A80">
            <v>2026</v>
          </cell>
          <cell r="B80">
            <v>7</v>
          </cell>
          <cell r="C80">
            <v>46216</v>
          </cell>
          <cell r="D80" t="str">
            <v>1. SKK store</v>
          </cell>
          <cell r="E80" t="str">
            <v>S1005</v>
          </cell>
          <cell r="F80" t="str">
            <v>SKK  Thái Hà</v>
          </cell>
          <cell r="G80" t="str">
            <v>0938388584</v>
          </cell>
          <cell r="H80" t="str">
            <v>Chị Hồng</v>
          </cell>
          <cell r="I80" t="str">
            <v>Khách mới</v>
          </cell>
          <cell r="J80" t="str">
            <v>Đơn bán</v>
          </cell>
          <cell r="K80" t="str">
            <v>SAKUKO847284</v>
          </cell>
          <cell r="L80" t="str">
            <v>THỰC PHẨM</v>
          </cell>
          <cell r="M80" t="str">
            <v>MỲ, MIẾN</v>
          </cell>
          <cell r="N80" t="str">
            <v>MỲ ĂN LIỀN</v>
          </cell>
          <cell r="O80" t="str">
            <v>155155</v>
          </cell>
          <cell r="P80" t="str">
            <v>8936049051708</v>
          </cell>
          <cell r="Q80" t="str">
            <v>OTOKI- Mì Jin không cay tô 110g</v>
          </cell>
          <cell r="R80">
            <v>22000</v>
          </cell>
          <cell r="S80">
            <v>2</v>
          </cell>
          <cell r="T80">
            <v>44000</v>
          </cell>
          <cell r="U80">
            <v>0</v>
          </cell>
          <cell r="V80">
            <v>44000</v>
          </cell>
          <cell r="W80" t="str">
            <v>8936049051708</v>
          </cell>
        </row>
        <row r="81">
          <cell r="A81">
            <v>2026</v>
          </cell>
          <cell r="B81">
            <v>7</v>
          </cell>
          <cell r="C81">
            <v>46216</v>
          </cell>
          <cell r="D81" t="str">
            <v>1. SKK store</v>
          </cell>
          <cell r="E81" t="str">
            <v>S1005</v>
          </cell>
          <cell r="F81" t="str">
            <v>SKK  Thái Hà</v>
          </cell>
          <cell r="G81" t="str">
            <v>0965866423</v>
          </cell>
          <cell r="H81" t="str">
            <v>chị linh</v>
          </cell>
          <cell r="I81" t="str">
            <v>Khách mới</v>
          </cell>
          <cell r="J81" t="str">
            <v>Đơn bán</v>
          </cell>
          <cell r="K81" t="str">
            <v>SAKUKO847485</v>
          </cell>
          <cell r="L81" t="str">
            <v>ĐỒ CHO MẸ BÉ</v>
          </cell>
          <cell r="M81" t="str">
            <v>GIẤY ƯỚT</v>
          </cell>
          <cell r="N81" t="str">
            <v>GIẤY ƯỚT CHO BÉ</v>
          </cell>
          <cell r="O81" t="str">
            <v>121665</v>
          </cell>
          <cell r="P81" t="str">
            <v>8934755035289</v>
          </cell>
          <cell r="Q81" t="str">
            <v>BOBBY- Khăn ướt em bé không mùi 100 miếng</v>
          </cell>
          <cell r="R81">
            <v>46000</v>
          </cell>
          <cell r="S81">
            <v>1</v>
          </cell>
          <cell r="T81">
            <v>46000</v>
          </cell>
          <cell r="U81">
            <v>0</v>
          </cell>
          <cell r="V81">
            <v>46000</v>
          </cell>
          <cell r="W81" t="str">
            <v>8934755035289</v>
          </cell>
        </row>
        <row r="82">
          <cell r="A82">
            <v>2026</v>
          </cell>
          <cell r="B82">
            <v>7</v>
          </cell>
          <cell r="C82">
            <v>46216</v>
          </cell>
          <cell r="D82" t="str">
            <v>1. SKK store</v>
          </cell>
          <cell r="E82" t="str">
            <v>S1005</v>
          </cell>
          <cell r="F82" t="str">
            <v>SKK  Thái Hà</v>
          </cell>
          <cell r="G82" t="str">
            <v>0975699332</v>
          </cell>
          <cell r="H82" t="str">
            <v>chú phạm nga</v>
          </cell>
          <cell r="I82" t="str">
            <v>Khách cũ</v>
          </cell>
          <cell r="J82" t="str">
            <v>Đơn bán</v>
          </cell>
          <cell r="K82" t="str">
            <v>SAKUKO847794</v>
          </cell>
          <cell r="L82" t="str">
            <v>THỰC PHẨM</v>
          </cell>
          <cell r="M82" t="str">
            <v>MỲ, MIẾN</v>
          </cell>
          <cell r="N82" t="str">
            <v>MỲ ĂN LIỀN</v>
          </cell>
          <cell r="O82" t="str">
            <v>154198</v>
          </cell>
          <cell r="P82" t="str">
            <v>4979397000145</v>
          </cell>
          <cell r="Q82" t="str">
            <v>YAMAMOTO_Mì ramen ăn liền vị miso 90g*5</v>
          </cell>
          <cell r="R82">
            <v>99000</v>
          </cell>
          <cell r="S82">
            <v>1</v>
          </cell>
          <cell r="T82">
            <v>99000</v>
          </cell>
          <cell r="U82">
            <v>0</v>
          </cell>
          <cell r="V82">
            <v>99000</v>
          </cell>
          <cell r="W82" t="str">
            <v>4979397000145</v>
          </cell>
        </row>
        <row r="83">
          <cell r="A83">
            <v>2026</v>
          </cell>
          <cell r="B83">
            <v>7</v>
          </cell>
          <cell r="C83">
            <v>46216</v>
          </cell>
          <cell r="D83" t="str">
            <v>1. SKK store</v>
          </cell>
          <cell r="E83" t="str">
            <v>S1006</v>
          </cell>
          <cell r="F83" t="str">
            <v>SKK Trần Đăng Ninh</v>
          </cell>
          <cell r="G83" t="str">
            <v>0816499313</v>
          </cell>
          <cell r="H83" t="str">
            <v>chị Hương</v>
          </cell>
          <cell r="I83" t="str">
            <v>Khách cũ</v>
          </cell>
          <cell r="J83" t="str">
            <v>Đơn bán</v>
          </cell>
          <cell r="K83" t="str">
            <v>SAKUKO847931</v>
          </cell>
          <cell r="L83" t="str">
            <v>THỰC PHẨM</v>
          </cell>
          <cell r="M83" t="str">
            <v>MỲ, MIẾN</v>
          </cell>
          <cell r="N83" t="str">
            <v>MỲ CHẾ BIẾN</v>
          </cell>
          <cell r="O83" t="str">
            <v>154831</v>
          </cell>
          <cell r="P83" t="str">
            <v>8936049051715</v>
          </cell>
          <cell r="Q83" t="str">
            <v>OTOKI- Mì tô Jin sốt tương đen 115g</v>
          </cell>
          <cell r="R83">
            <v>24000</v>
          </cell>
          <cell r="S83">
            <v>3</v>
          </cell>
          <cell r="T83">
            <v>72000</v>
          </cell>
          <cell r="U83">
            <v>0</v>
          </cell>
          <cell r="V83">
            <v>72000</v>
          </cell>
          <cell r="W83" t="str">
            <v>8936049051715</v>
          </cell>
        </row>
        <row r="84">
          <cell r="A84">
            <v>2026</v>
          </cell>
          <cell r="B84">
            <v>7</v>
          </cell>
          <cell r="C84">
            <v>46216</v>
          </cell>
          <cell r="D84" t="str">
            <v>1. SKK store</v>
          </cell>
          <cell r="E84" t="str">
            <v>S1006</v>
          </cell>
          <cell r="F84" t="str">
            <v>SKK Trần Đăng Ninh</v>
          </cell>
          <cell r="G84" t="str">
            <v>0852345667</v>
          </cell>
          <cell r="H84" t="str">
            <v>A CƯỜNG</v>
          </cell>
          <cell r="I84" t="str">
            <v>Khách cũ</v>
          </cell>
          <cell r="J84" t="str">
            <v>Đơn bán</v>
          </cell>
          <cell r="K84" t="str">
            <v>SAKUKO847240</v>
          </cell>
          <cell r="L84" t="str">
            <v>CHĂM SÓC SẮC ĐẸP</v>
          </cell>
          <cell r="M84" t="str">
            <v>CHĂM SÓC DA</v>
          </cell>
          <cell r="N84" t="str">
            <v>RỬA MẶT</v>
          </cell>
          <cell r="O84" t="str">
            <v>102448</v>
          </cell>
          <cell r="P84" t="str">
            <v>4902806470642</v>
          </cell>
          <cell r="Q84" t="str">
            <v>GATSBY- SRM sạch bụi &amp; dầu nhờn 130g</v>
          </cell>
          <cell r="R84">
            <v>100000</v>
          </cell>
          <cell r="S84">
            <v>1</v>
          </cell>
          <cell r="T84">
            <v>100000</v>
          </cell>
          <cell r="U84">
            <v>10000</v>
          </cell>
          <cell r="V84">
            <v>90000</v>
          </cell>
          <cell r="W84" t="str">
            <v>4902806470642</v>
          </cell>
        </row>
        <row r="85">
          <cell r="A85">
            <v>2026</v>
          </cell>
          <cell r="B85">
            <v>7</v>
          </cell>
          <cell r="C85">
            <v>46216</v>
          </cell>
          <cell r="D85" t="str">
            <v>1. SKK store</v>
          </cell>
          <cell r="E85" t="str">
            <v>S1006</v>
          </cell>
          <cell r="F85" t="str">
            <v>SKK Trần Đăng Ninh</v>
          </cell>
          <cell r="G85" t="str">
            <v>0862954688</v>
          </cell>
          <cell r="H85" t="str">
            <v>KLTDN</v>
          </cell>
          <cell r="I85" t="str">
            <v>Khách vãng lai</v>
          </cell>
          <cell r="J85" t="str">
            <v>Đơn bán</v>
          </cell>
          <cell r="K85" t="str">
            <v>SAKUKO848230</v>
          </cell>
          <cell r="L85" t="str">
            <v>NHÀ CỬA ĐỜI SỐNG</v>
          </cell>
          <cell r="M85" t="str">
            <v>PHÒNG CHỐNG CÔN TRÙNG</v>
          </cell>
          <cell r="N85" t="str">
            <v>DIỆT CÔN TRÙNG</v>
          </cell>
          <cell r="O85" t="str">
            <v>134480</v>
          </cell>
          <cell r="P85" t="str">
            <v>4987115545885</v>
          </cell>
          <cell r="Q85" t="str">
            <v>KINCHO-DD làm thơm phòng và đuổi muỗi (trái cây)</v>
          </cell>
          <cell r="R85">
            <v>239000</v>
          </cell>
          <cell r="S85">
            <v>1</v>
          </cell>
          <cell r="T85">
            <v>239000</v>
          </cell>
          <cell r="U85">
            <v>0</v>
          </cell>
          <cell r="V85">
            <v>239000</v>
          </cell>
          <cell r="W85" t="str">
            <v>4987115545885</v>
          </cell>
        </row>
        <row r="86">
          <cell r="A86">
            <v>2026</v>
          </cell>
          <cell r="B86">
            <v>7</v>
          </cell>
          <cell r="C86">
            <v>46216</v>
          </cell>
          <cell r="D86" t="str">
            <v>1. SKK store</v>
          </cell>
          <cell r="E86" t="str">
            <v>S1006</v>
          </cell>
          <cell r="F86" t="str">
            <v>SKK Trần Đăng Ninh</v>
          </cell>
          <cell r="G86" t="str">
            <v>0934681242</v>
          </cell>
          <cell r="H86" t="str">
            <v>Nguyễn Phương Thảo</v>
          </cell>
          <cell r="I86" t="str">
            <v>Khách cũ</v>
          </cell>
          <cell r="J86" t="str">
            <v>Đơn bán</v>
          </cell>
          <cell r="K86" t="str">
            <v>SAKUKO847218</v>
          </cell>
          <cell r="L86" t="str">
            <v>CHĂM SÓC SẮC ĐẸP</v>
          </cell>
          <cell r="M86" t="str">
            <v>CHĂM SÓC DA</v>
          </cell>
          <cell r="N86" t="str">
            <v>RỬA MẶT</v>
          </cell>
          <cell r="O86" t="str">
            <v>102386</v>
          </cell>
          <cell r="P86" t="str">
            <v>4902468816062</v>
          </cell>
          <cell r="Q86" t="str">
            <v>MEISHOKU- Sữa rửa mặt sáng da Cvita 100g</v>
          </cell>
          <cell r="R86">
            <v>290000</v>
          </cell>
          <cell r="S86">
            <v>1</v>
          </cell>
          <cell r="T86">
            <v>290000</v>
          </cell>
          <cell r="U86">
            <v>0</v>
          </cell>
          <cell r="V86">
            <v>290000</v>
          </cell>
          <cell r="W86" t="str">
            <v>4902468816062</v>
          </cell>
        </row>
        <row r="87">
          <cell r="A87">
            <v>2026</v>
          </cell>
          <cell r="B87">
            <v>7</v>
          </cell>
          <cell r="C87">
            <v>46216</v>
          </cell>
          <cell r="D87" t="str">
            <v>1. SKK store</v>
          </cell>
          <cell r="E87" t="str">
            <v>S1006</v>
          </cell>
          <cell r="F87" t="str">
            <v>SKK Trần Đăng Ninh</v>
          </cell>
          <cell r="G87" t="str">
            <v>0942375098</v>
          </cell>
          <cell r="H87" t="str">
            <v>Chị Lê Thị Thu</v>
          </cell>
          <cell r="I87" t="str">
            <v>Khách cũ</v>
          </cell>
          <cell r="J87" t="str">
            <v>Đơn bán</v>
          </cell>
          <cell r="K87" t="str">
            <v>SAKUKO847304</v>
          </cell>
          <cell r="L87" t="str">
            <v>CHĂM SÓC SẮC ĐẸP</v>
          </cell>
          <cell r="M87" t="str">
            <v>Mỹ phẩm khác</v>
          </cell>
          <cell r="N87" t="str">
            <v>PHỤ KIỆN LÀM ĐẸP</v>
          </cell>
          <cell r="O87" t="str">
            <v>102389</v>
          </cell>
          <cell r="P87" t="str">
            <v>4969757110652</v>
          </cell>
          <cell r="Q87" t="str">
            <v>KYOWA- Gói bông tẩy trang 130 miếng</v>
          </cell>
          <cell r="R87">
            <v>49000</v>
          </cell>
          <cell r="S87">
            <v>1</v>
          </cell>
          <cell r="T87">
            <v>49000</v>
          </cell>
          <cell r="U87">
            <v>0</v>
          </cell>
          <cell r="V87">
            <v>49000</v>
          </cell>
          <cell r="W87" t="str">
            <v>4969757110652</v>
          </cell>
        </row>
        <row r="88">
          <cell r="A88">
            <v>2026</v>
          </cell>
          <cell r="B88">
            <v>7</v>
          </cell>
          <cell r="C88">
            <v>46216</v>
          </cell>
          <cell r="D88" t="str">
            <v>1. SKK store</v>
          </cell>
          <cell r="E88" t="str">
            <v>S1007</v>
          </cell>
          <cell r="F88" t="str">
            <v>SKK  Nguyễn Du</v>
          </cell>
          <cell r="G88" t="str">
            <v>0356156666</v>
          </cell>
          <cell r="H88" t="str">
            <v>a mạnh</v>
          </cell>
          <cell r="I88" t="str">
            <v>Khách cũ</v>
          </cell>
          <cell r="J88" t="str">
            <v>Đơn bán</v>
          </cell>
          <cell r="K88" t="str">
            <v>SAKUKO848210</v>
          </cell>
          <cell r="L88" t="str">
            <v>ĐỒ CHO MẸ BÉ</v>
          </cell>
          <cell r="M88" t="str">
            <v>GIẤY ƯỚT</v>
          </cell>
          <cell r="N88" t="str">
            <v>GIẤY ƯỚT CHO BÉ</v>
          </cell>
          <cell r="O88" t="str">
            <v>121665</v>
          </cell>
          <cell r="P88" t="str">
            <v>8934755035289</v>
          </cell>
          <cell r="Q88" t="str">
            <v>BOBBY- Khăn ướt em bé không mùi 100 miếng</v>
          </cell>
          <cell r="R88">
            <v>46000</v>
          </cell>
          <cell r="S88">
            <v>1</v>
          </cell>
          <cell r="T88">
            <v>46000</v>
          </cell>
          <cell r="U88">
            <v>0</v>
          </cell>
          <cell r="V88">
            <v>46000</v>
          </cell>
          <cell r="W88" t="str">
            <v>8934755035289</v>
          </cell>
        </row>
        <row r="89">
          <cell r="A89">
            <v>2026</v>
          </cell>
          <cell r="B89">
            <v>7</v>
          </cell>
          <cell r="C89">
            <v>46216</v>
          </cell>
          <cell r="D89" t="str">
            <v>1. SKK store</v>
          </cell>
          <cell r="E89" t="str">
            <v>S1007</v>
          </cell>
          <cell r="F89" t="str">
            <v>SKK  Nguyễn Du</v>
          </cell>
          <cell r="G89" t="str">
            <v>0862954339</v>
          </cell>
          <cell r="H89" t="str">
            <v>Klnd</v>
          </cell>
          <cell r="I89" t="str">
            <v>Khách vãng lai</v>
          </cell>
          <cell r="J89" t="str">
            <v>Đơn bán</v>
          </cell>
          <cell r="K89" t="str">
            <v>SAKUKO848088</v>
          </cell>
          <cell r="L89" t="str">
            <v>CHĂM SÓC SẮC ĐẸP</v>
          </cell>
          <cell r="M89" t="str">
            <v>CHĂM SÓC DA</v>
          </cell>
          <cell r="N89" t="str">
            <v>RỬA MẶT</v>
          </cell>
          <cell r="O89" t="str">
            <v>102421</v>
          </cell>
          <cell r="P89" t="str">
            <v>4902468819032</v>
          </cell>
          <cell r="Q89" t="str">
            <v>MEISHOU- Sữa rửa mặt làm sạch thuần chay 100g</v>
          </cell>
          <cell r="R89">
            <v>295000</v>
          </cell>
          <cell r="S89">
            <v>1</v>
          </cell>
          <cell r="T89">
            <v>295000</v>
          </cell>
          <cell r="U89">
            <v>0</v>
          </cell>
          <cell r="V89">
            <v>295000</v>
          </cell>
          <cell r="W89" t="str">
            <v>4902468819032</v>
          </cell>
        </row>
        <row r="90">
          <cell r="A90">
            <v>2026</v>
          </cell>
          <cell r="B90">
            <v>7</v>
          </cell>
          <cell r="C90">
            <v>46216</v>
          </cell>
          <cell r="D90" t="str">
            <v>1. SKK store</v>
          </cell>
          <cell r="E90" t="str">
            <v>S1007</v>
          </cell>
          <cell r="F90" t="str">
            <v>SKK  Nguyễn Du</v>
          </cell>
          <cell r="G90" t="str">
            <v>0976276792</v>
          </cell>
          <cell r="H90" t="str">
            <v>Chị Tuyết</v>
          </cell>
          <cell r="I90" t="str">
            <v>Khách cũ</v>
          </cell>
          <cell r="J90" t="str">
            <v>Đơn bán</v>
          </cell>
          <cell r="K90" t="str">
            <v>SAKUKO848315</v>
          </cell>
          <cell r="L90" t="str">
            <v>CHĂM SÓC SẮC ĐẸP</v>
          </cell>
          <cell r="M90" t="str">
            <v>CHĂM SÓC TÓC</v>
          </cell>
          <cell r="N90" t="str">
            <v>TẠO KIỂU TÓC</v>
          </cell>
          <cell r="O90" t="str">
            <v>100160</v>
          </cell>
          <cell r="P90" t="str">
            <v>45131677</v>
          </cell>
          <cell r="Q90" t="str">
            <v>GATSBY- Sáp vuốt tóc giữ nếp 80g</v>
          </cell>
          <cell r="R90">
            <v>150000</v>
          </cell>
          <cell r="S90">
            <v>1</v>
          </cell>
          <cell r="T90">
            <v>150000</v>
          </cell>
          <cell r="U90">
            <v>15000</v>
          </cell>
          <cell r="V90">
            <v>135000</v>
          </cell>
          <cell r="W90" t="str">
            <v>45131677</v>
          </cell>
        </row>
        <row r="91">
          <cell r="A91">
            <v>2026</v>
          </cell>
          <cell r="B91">
            <v>7</v>
          </cell>
          <cell r="C91">
            <v>46216</v>
          </cell>
          <cell r="D91" t="str">
            <v>1. SKK store</v>
          </cell>
          <cell r="E91" t="str">
            <v>S1007</v>
          </cell>
          <cell r="F91" t="str">
            <v>SKK  Nguyễn Du</v>
          </cell>
          <cell r="G91" t="str">
            <v>0976276792</v>
          </cell>
          <cell r="H91" t="str">
            <v>Chị Tuyết</v>
          </cell>
          <cell r="I91" t="str">
            <v>Khách cũ</v>
          </cell>
          <cell r="J91" t="str">
            <v>Đơn bán</v>
          </cell>
          <cell r="K91" t="str">
            <v>SAKUKO848315</v>
          </cell>
          <cell r="L91" t="str">
            <v>CHĂM SÓC SẮC ĐẸP</v>
          </cell>
          <cell r="M91" t="str">
            <v>CHĂM SÓC TÓC</v>
          </cell>
          <cell r="N91" t="str">
            <v>TẠO KIỂU TÓC</v>
          </cell>
          <cell r="O91" t="str">
            <v>101906</v>
          </cell>
          <cell r="P91" t="str">
            <v>4902806108781</v>
          </cell>
          <cell r="Q91" t="str">
            <v>GATSBY-  Sáp vuốt tóc tạo độ phồng 80g</v>
          </cell>
          <cell r="R91">
            <v>150000</v>
          </cell>
          <cell r="S91">
            <v>1</v>
          </cell>
          <cell r="T91">
            <v>150000</v>
          </cell>
          <cell r="U91">
            <v>15000</v>
          </cell>
          <cell r="V91">
            <v>135000</v>
          </cell>
          <cell r="W91" t="str">
            <v>4902806108781</v>
          </cell>
        </row>
        <row r="92">
          <cell r="A92">
            <v>2026</v>
          </cell>
          <cell r="B92">
            <v>7</v>
          </cell>
          <cell r="C92">
            <v>46216</v>
          </cell>
          <cell r="D92" t="str">
            <v>1. SKK store</v>
          </cell>
          <cell r="E92" t="str">
            <v>S1008</v>
          </cell>
          <cell r="F92" t="str">
            <v>SKK  Hàng Bông</v>
          </cell>
          <cell r="G92" t="str">
            <v>0917294943</v>
          </cell>
          <cell r="H92" t="str">
            <v>Chú Hùng</v>
          </cell>
          <cell r="I92" t="str">
            <v>Khách cũ</v>
          </cell>
          <cell r="J92" t="str">
            <v>Đơn bán</v>
          </cell>
          <cell r="K92" t="str">
            <v>SAKUKO847668</v>
          </cell>
          <cell r="L92" t="str">
            <v>THỰC PHẨM</v>
          </cell>
          <cell r="M92" t="str">
            <v>MỲ, MIẾN</v>
          </cell>
          <cell r="N92" t="str">
            <v>MỲ ĂN LIỀN</v>
          </cell>
          <cell r="O92" t="str">
            <v>154829</v>
          </cell>
          <cell r="P92" t="str">
            <v>8936049051654</v>
          </cell>
          <cell r="Q92" t="str">
            <v>OTOKI- Mì tô Yeul cay 105g</v>
          </cell>
          <cell r="R92">
            <v>23000</v>
          </cell>
          <cell r="S92">
            <v>1</v>
          </cell>
          <cell r="T92">
            <v>23000</v>
          </cell>
          <cell r="U92">
            <v>0</v>
          </cell>
          <cell r="V92">
            <v>23000</v>
          </cell>
          <cell r="W92" t="str">
            <v>8936049051654</v>
          </cell>
        </row>
        <row r="93">
          <cell r="A93">
            <v>2026</v>
          </cell>
          <cell r="B93">
            <v>7</v>
          </cell>
          <cell r="C93">
            <v>46216</v>
          </cell>
          <cell r="D93" t="str">
            <v>1. SKK store</v>
          </cell>
          <cell r="E93" t="str">
            <v>S1008</v>
          </cell>
          <cell r="F93" t="str">
            <v>SKK  Hàng Bông</v>
          </cell>
          <cell r="G93" t="str">
            <v>0944931989</v>
          </cell>
          <cell r="H93" t="str">
            <v>Trần Tú Anh</v>
          </cell>
          <cell r="I93" t="str">
            <v>Khách cũ</v>
          </cell>
          <cell r="J93" t="str">
            <v>Đơn bán</v>
          </cell>
          <cell r="K93" t="str">
            <v>SAKUKO847841</v>
          </cell>
          <cell r="L93" t="str">
            <v>THỰC PHẨM</v>
          </cell>
          <cell r="M93" t="str">
            <v>MỲ, MIẾN</v>
          </cell>
          <cell r="N93" t="str">
            <v>MỲ ĂN LIỀN</v>
          </cell>
          <cell r="O93" t="str">
            <v>155161</v>
          </cell>
          <cell r="P93" t="str">
            <v>8936049052378</v>
          </cell>
          <cell r="Q93" t="str">
            <v>OTOKI- Mì Jin tương đen vị bò ly 65g</v>
          </cell>
          <cell r="R93">
            <v>18000</v>
          </cell>
          <cell r="S93">
            <v>2</v>
          </cell>
          <cell r="T93">
            <v>36000</v>
          </cell>
          <cell r="U93">
            <v>0</v>
          </cell>
          <cell r="V93">
            <v>36000</v>
          </cell>
          <cell r="W93" t="str">
            <v>8936049052378</v>
          </cell>
        </row>
        <row r="94">
          <cell r="A94">
            <v>2026</v>
          </cell>
          <cell r="B94">
            <v>7</v>
          </cell>
          <cell r="C94">
            <v>46216</v>
          </cell>
          <cell r="D94" t="str">
            <v>1. SKK store</v>
          </cell>
          <cell r="E94" t="str">
            <v>S1015</v>
          </cell>
          <cell r="F94" t="str">
            <v>SKK Hàm Nghi</v>
          </cell>
          <cell r="G94" t="str">
            <v>0967573266</v>
          </cell>
          <cell r="H94" t="str">
            <v>MINH</v>
          </cell>
          <cell r="I94" t="str">
            <v>Khách cũ</v>
          </cell>
          <cell r="J94" t="str">
            <v>Đơn bán</v>
          </cell>
          <cell r="K94" t="str">
            <v>SAKUKO848177</v>
          </cell>
          <cell r="L94" t="str">
            <v>CHĂM SÓC SẮC ĐẸP</v>
          </cell>
          <cell r="M94" t="str">
            <v>CHĂM SÓC DA</v>
          </cell>
          <cell r="N94" t="str">
            <v>RỬA MẶT</v>
          </cell>
          <cell r="O94" t="str">
            <v>102448</v>
          </cell>
          <cell r="P94" t="str">
            <v>4902806470642</v>
          </cell>
          <cell r="Q94" t="str">
            <v>GATSBY- SRM sạch bụi &amp; dầu nhờn 130g</v>
          </cell>
          <cell r="R94">
            <v>100000</v>
          </cell>
          <cell r="S94">
            <v>1</v>
          </cell>
          <cell r="T94">
            <v>100000</v>
          </cell>
          <cell r="U94">
            <v>10000</v>
          </cell>
          <cell r="V94">
            <v>90000</v>
          </cell>
          <cell r="W94" t="str">
            <v>4902806470642</v>
          </cell>
        </row>
        <row r="95">
          <cell r="A95">
            <v>2026</v>
          </cell>
          <cell r="B95">
            <v>7</v>
          </cell>
          <cell r="C95">
            <v>46216</v>
          </cell>
          <cell r="D95" t="str">
            <v>1. SKK store</v>
          </cell>
          <cell r="E95" t="str">
            <v>S1018</v>
          </cell>
          <cell r="F95" t="str">
            <v>SKK Nguyễn Tuân</v>
          </cell>
          <cell r="G95" t="str">
            <v>0904866362</v>
          </cell>
          <cell r="H95" t="str">
            <v>chị ly</v>
          </cell>
          <cell r="I95" t="str">
            <v>Khách cũ</v>
          </cell>
          <cell r="J95" t="str">
            <v>Đơn bán</v>
          </cell>
          <cell r="K95" t="str">
            <v>SAKUKO848140</v>
          </cell>
          <cell r="L95" t="str">
            <v>THỰC PHẨM</v>
          </cell>
          <cell r="M95" t="str">
            <v>MỲ, MIẾN</v>
          </cell>
          <cell r="N95" t="str">
            <v>MỲ ĂN LIỀN</v>
          </cell>
          <cell r="O95" t="str">
            <v>154198</v>
          </cell>
          <cell r="P95" t="str">
            <v>4979397000145</v>
          </cell>
          <cell r="Q95" t="str">
            <v>YAMAMOTO_Mì ramen ăn liền vị miso 90g*5</v>
          </cell>
          <cell r="R95">
            <v>99000</v>
          </cell>
          <cell r="S95">
            <v>1</v>
          </cell>
          <cell r="T95">
            <v>99000</v>
          </cell>
          <cell r="U95">
            <v>0</v>
          </cell>
          <cell r="V95">
            <v>99000</v>
          </cell>
          <cell r="W95" t="str">
            <v>4979397000145</v>
          </cell>
        </row>
        <row r="96">
          <cell r="A96">
            <v>2026</v>
          </cell>
          <cell r="B96">
            <v>7</v>
          </cell>
          <cell r="C96">
            <v>46216</v>
          </cell>
          <cell r="D96" t="str">
            <v>1. SKK store</v>
          </cell>
          <cell r="E96" t="str">
            <v>S1018</v>
          </cell>
          <cell r="F96" t="str">
            <v>SKK Nguyễn Tuân</v>
          </cell>
          <cell r="G96" t="str">
            <v>0904866362</v>
          </cell>
          <cell r="H96" t="str">
            <v>chị ly</v>
          </cell>
          <cell r="I96" t="str">
            <v>Khách cũ</v>
          </cell>
          <cell r="J96" t="str">
            <v>Đơn bán</v>
          </cell>
          <cell r="K96" t="str">
            <v>SAKUKO848140</v>
          </cell>
          <cell r="L96" t="str">
            <v>THỰC PHẨM</v>
          </cell>
          <cell r="M96" t="str">
            <v>MỲ, MIẾN</v>
          </cell>
          <cell r="N96" t="str">
            <v>MỲ ĂN LIỀN</v>
          </cell>
          <cell r="O96" t="str">
            <v>154359</v>
          </cell>
          <cell r="P96" t="str">
            <v>4979397000138</v>
          </cell>
          <cell r="Q96" t="str">
            <v>YAMAMOTO- Mì ramen ăn liền hải sản thịt heo 88g*5</v>
          </cell>
          <cell r="R96">
            <v>99000</v>
          </cell>
          <cell r="S96">
            <v>1</v>
          </cell>
          <cell r="T96">
            <v>99000</v>
          </cell>
          <cell r="U96">
            <v>0</v>
          </cell>
          <cell r="V96">
            <v>99000</v>
          </cell>
          <cell r="W96" t="str">
            <v>4979397000138</v>
          </cell>
        </row>
        <row r="97">
          <cell r="A97">
            <v>2026</v>
          </cell>
          <cell r="B97">
            <v>7</v>
          </cell>
          <cell r="C97">
            <v>46216</v>
          </cell>
          <cell r="D97" t="str">
            <v>1. SKK store</v>
          </cell>
          <cell r="E97" t="str">
            <v>S1018</v>
          </cell>
          <cell r="F97" t="str">
            <v>SKK Nguyễn Tuân</v>
          </cell>
          <cell r="G97" t="str">
            <v>0982502963</v>
          </cell>
          <cell r="H97" t="str">
            <v>Tseng Wen Jan</v>
          </cell>
          <cell r="I97" t="str">
            <v>Khách cũ</v>
          </cell>
          <cell r="J97" t="str">
            <v>Đơn bán</v>
          </cell>
          <cell r="K97" t="str">
            <v>SAKUKO847669</v>
          </cell>
          <cell r="L97" t="str">
            <v>THỰC PHẨM</v>
          </cell>
          <cell r="M97" t="str">
            <v>MỲ, MIẾN</v>
          </cell>
          <cell r="N97" t="str">
            <v>MỲ ĂN LIỀN</v>
          </cell>
          <cell r="O97" t="str">
            <v>154359</v>
          </cell>
          <cell r="P97" t="str">
            <v>4979397000138</v>
          </cell>
          <cell r="Q97" t="str">
            <v>YAMAMOTO- Mì ramen ăn liền hải sản thịt heo 88g*5</v>
          </cell>
          <cell r="R97">
            <v>99000</v>
          </cell>
          <cell r="S97">
            <v>1</v>
          </cell>
          <cell r="T97">
            <v>99000</v>
          </cell>
          <cell r="U97">
            <v>0</v>
          </cell>
          <cell r="V97">
            <v>99000</v>
          </cell>
          <cell r="W97" t="str">
            <v>4979397000138</v>
          </cell>
        </row>
        <row r="98">
          <cell r="A98">
            <v>2026</v>
          </cell>
          <cell r="B98">
            <v>7</v>
          </cell>
          <cell r="C98">
            <v>46216</v>
          </cell>
          <cell r="D98" t="str">
            <v>1. SKK store</v>
          </cell>
          <cell r="E98" t="str">
            <v>S1025</v>
          </cell>
          <cell r="F98" t="str">
            <v>SKK T6 Time City</v>
          </cell>
          <cell r="G98" t="str">
            <v>0339933555</v>
          </cell>
          <cell r="H98" t="str">
            <v>Trần Mỹ Anh</v>
          </cell>
          <cell r="I98" t="str">
            <v>Khách cũ</v>
          </cell>
          <cell r="J98" t="str">
            <v>Đơn bán</v>
          </cell>
          <cell r="K98" t="str">
            <v>SAKUKO847868</v>
          </cell>
          <cell r="L98" t="str">
            <v>THỰC PHẨM</v>
          </cell>
          <cell r="M98" t="str">
            <v>MỲ, MIẾN</v>
          </cell>
          <cell r="N98" t="str">
            <v>MỲ ĂN LIỀN</v>
          </cell>
          <cell r="O98" t="str">
            <v>155158</v>
          </cell>
          <cell r="P98" t="str">
            <v>8936049051593</v>
          </cell>
          <cell r="Q98" t="str">
            <v>OTOKI- Mì Jin không cay ly 65g</v>
          </cell>
          <cell r="R98">
            <v>18000</v>
          </cell>
          <cell r="S98">
            <v>1</v>
          </cell>
          <cell r="T98">
            <v>18000</v>
          </cell>
          <cell r="U98">
            <v>0</v>
          </cell>
          <cell r="V98">
            <v>18000</v>
          </cell>
          <cell r="W98" t="str">
            <v>8936049051593</v>
          </cell>
        </row>
        <row r="99">
          <cell r="A99">
            <v>2026</v>
          </cell>
          <cell r="B99">
            <v>7</v>
          </cell>
          <cell r="C99">
            <v>46216</v>
          </cell>
          <cell r="D99" t="str">
            <v>1. SKK store</v>
          </cell>
          <cell r="E99" t="str">
            <v>S1025</v>
          </cell>
          <cell r="F99" t="str">
            <v>SKK T6 Time City</v>
          </cell>
          <cell r="G99" t="str">
            <v>0339933555</v>
          </cell>
          <cell r="H99" t="str">
            <v>Trần Mỹ Anh</v>
          </cell>
          <cell r="I99" t="str">
            <v>Khách cũ</v>
          </cell>
          <cell r="J99" t="str">
            <v>Đơn bán</v>
          </cell>
          <cell r="K99" t="str">
            <v>SAKUKO847868</v>
          </cell>
          <cell r="L99" t="str">
            <v>THỰC PHẨM</v>
          </cell>
          <cell r="M99" t="str">
            <v>MỲ, MIẾN</v>
          </cell>
          <cell r="N99" t="str">
            <v>MỲ ĂN LIỀN</v>
          </cell>
          <cell r="O99" t="str">
            <v>155160</v>
          </cell>
          <cell r="P99" t="str">
            <v>8936049051630</v>
          </cell>
          <cell r="Q99" t="str">
            <v>OTOKI- Mì bò hầm vị cay ly 62g</v>
          </cell>
          <cell r="R99">
            <v>16000</v>
          </cell>
          <cell r="S99">
            <v>1</v>
          </cell>
          <cell r="T99">
            <v>16000</v>
          </cell>
          <cell r="U99">
            <v>0</v>
          </cell>
          <cell r="V99">
            <v>16000</v>
          </cell>
          <cell r="W99" t="str">
            <v>8936049051630</v>
          </cell>
        </row>
        <row r="100">
          <cell r="A100">
            <v>2026</v>
          </cell>
          <cell r="B100">
            <v>7</v>
          </cell>
          <cell r="C100">
            <v>46216</v>
          </cell>
          <cell r="D100" t="str">
            <v>1. SKK store</v>
          </cell>
          <cell r="E100" t="str">
            <v>S1025</v>
          </cell>
          <cell r="F100" t="str">
            <v>SKK T6 Time City</v>
          </cell>
          <cell r="G100" t="str">
            <v>0339933555</v>
          </cell>
          <cell r="H100" t="str">
            <v>Trần Mỹ Anh</v>
          </cell>
          <cell r="I100" t="str">
            <v>Khách cũ</v>
          </cell>
          <cell r="J100" t="str">
            <v>Đơn bán</v>
          </cell>
          <cell r="K100" t="str">
            <v>SAKUKO847868</v>
          </cell>
          <cell r="L100" t="str">
            <v>THỰC PHẨM</v>
          </cell>
          <cell r="M100" t="str">
            <v>MỲ, MIẾN</v>
          </cell>
          <cell r="N100" t="str">
            <v>MỲ CHẾ BIẾN</v>
          </cell>
          <cell r="O100" t="str">
            <v>154830</v>
          </cell>
          <cell r="P100" t="str">
            <v>8936049051609</v>
          </cell>
          <cell r="Q100" t="str">
            <v>OTOKI- Mì ly Jin sốt tương đen 70g</v>
          </cell>
          <cell r="R100">
            <v>18000</v>
          </cell>
          <cell r="S100">
            <v>1</v>
          </cell>
          <cell r="T100">
            <v>18000</v>
          </cell>
          <cell r="U100">
            <v>0</v>
          </cell>
          <cell r="V100">
            <v>18000</v>
          </cell>
          <cell r="W100" t="str">
            <v>8936049051609</v>
          </cell>
        </row>
        <row r="101">
          <cell r="A101">
            <v>2026</v>
          </cell>
          <cell r="B101">
            <v>7</v>
          </cell>
          <cell r="C101">
            <v>46215</v>
          </cell>
          <cell r="D101" t="str">
            <v>1. SKK store</v>
          </cell>
          <cell r="E101" t="str">
            <v>S1004</v>
          </cell>
          <cell r="F101" t="str">
            <v>SKK  Mandarin C1</v>
          </cell>
          <cell r="G101" t="str">
            <v>0903407596</v>
          </cell>
          <cell r="H101" t="str">
            <v>Chị Trần Thu Uyên</v>
          </cell>
          <cell r="I101" t="str">
            <v>Khách cũ</v>
          </cell>
          <cell r="J101" t="str">
            <v>Đơn bán</v>
          </cell>
          <cell r="K101" t="str">
            <v>SAKUKO845709</v>
          </cell>
          <cell r="L101" t="str">
            <v>THỰC PHẨM</v>
          </cell>
          <cell r="M101" t="str">
            <v>MỲ, MIẾN</v>
          </cell>
          <cell r="N101" t="str">
            <v>MỲ CHẾ BIẾN</v>
          </cell>
          <cell r="O101" t="str">
            <v>154831</v>
          </cell>
          <cell r="P101" t="str">
            <v>8936049051715</v>
          </cell>
          <cell r="Q101" t="str">
            <v>OTOKI- Mì tô Jin sốt tương đen 115g</v>
          </cell>
          <cell r="R101">
            <v>24000</v>
          </cell>
          <cell r="S101">
            <v>4</v>
          </cell>
          <cell r="T101">
            <v>96000</v>
          </cell>
          <cell r="U101">
            <v>0</v>
          </cell>
          <cell r="V101">
            <v>96000</v>
          </cell>
          <cell r="W101" t="str">
            <v>8936049051715</v>
          </cell>
        </row>
        <row r="102">
          <cell r="A102">
            <v>2026</v>
          </cell>
          <cell r="B102">
            <v>7</v>
          </cell>
          <cell r="C102">
            <v>46215</v>
          </cell>
          <cell r="D102" t="str">
            <v>1. SKK store</v>
          </cell>
          <cell r="E102" t="str">
            <v>S1004</v>
          </cell>
          <cell r="F102" t="str">
            <v>SKK  Mandarin C1</v>
          </cell>
          <cell r="G102" t="str">
            <v>0912009466</v>
          </cell>
          <cell r="H102" t="str">
            <v>chị nga</v>
          </cell>
          <cell r="I102" t="str">
            <v>Khách cũ</v>
          </cell>
          <cell r="J102" t="str">
            <v>Đơn bán</v>
          </cell>
          <cell r="K102" t="str">
            <v>SAKUKO845958</v>
          </cell>
          <cell r="L102" t="str">
            <v>ĐỒ CHO MẸ BÉ</v>
          </cell>
          <cell r="M102" t="str">
            <v>CHĂM SÓC CƠ THỂ BÉ</v>
          </cell>
          <cell r="N102" t="str">
            <v>THỰC PHẨM CHỨC NĂNG CHO BÉ</v>
          </cell>
          <cell r="O102" t="str">
            <v>121666</v>
          </cell>
          <cell r="P102" t="str">
            <v>8436036591441</v>
          </cell>
          <cell r="Q102" t="str">
            <v>NEO KIDS-TPBVSK Gummies Omega 3 DHA 150g</v>
          </cell>
          <cell r="R102">
            <v>360000</v>
          </cell>
          <cell r="S102">
            <v>1</v>
          </cell>
          <cell r="T102">
            <v>360000</v>
          </cell>
          <cell r="U102">
            <v>0</v>
          </cell>
          <cell r="V102">
            <v>360000</v>
          </cell>
          <cell r="W102" t="str">
            <v>8436036591441</v>
          </cell>
        </row>
        <row r="103">
          <cell r="A103">
            <v>2026</v>
          </cell>
          <cell r="B103">
            <v>7</v>
          </cell>
          <cell r="C103">
            <v>46215</v>
          </cell>
          <cell r="D103" t="str">
            <v>1. SKK store</v>
          </cell>
          <cell r="E103" t="str">
            <v>S1004</v>
          </cell>
          <cell r="F103" t="str">
            <v>SKK  Mandarin C1</v>
          </cell>
          <cell r="G103" t="str">
            <v>0912009466</v>
          </cell>
          <cell r="H103" t="str">
            <v>chị nga</v>
          </cell>
          <cell r="I103" t="str">
            <v>Khách cũ</v>
          </cell>
          <cell r="J103" t="str">
            <v>Đơn bán</v>
          </cell>
          <cell r="K103" t="str">
            <v>SAKUKO845958</v>
          </cell>
          <cell r="L103" t="str">
            <v>ĐỒ CHO MẸ BÉ</v>
          </cell>
          <cell r="M103" t="str">
            <v>CHĂM SÓC CƠ THỂ BÉ</v>
          </cell>
          <cell r="N103" t="str">
            <v>THỰC PHẨM CHỨC NĂNG CHO BÉ</v>
          </cell>
          <cell r="O103" t="str">
            <v>121674</v>
          </cell>
          <cell r="P103" t="str">
            <v>3830056330953</v>
          </cell>
          <cell r="Q103" t="str">
            <v>LINEABON- TPBVSK K2+D3 Spray 10ml</v>
          </cell>
          <cell r="R103">
            <v>330000</v>
          </cell>
          <cell r="S103">
            <v>1</v>
          </cell>
          <cell r="T103">
            <v>330000</v>
          </cell>
          <cell r="U103">
            <v>0</v>
          </cell>
          <cell r="V103">
            <v>330000</v>
          </cell>
          <cell r="W103" t="str">
            <v>3830056330953</v>
          </cell>
        </row>
        <row r="104">
          <cell r="A104">
            <v>2026</v>
          </cell>
          <cell r="B104">
            <v>7</v>
          </cell>
          <cell r="C104">
            <v>46215</v>
          </cell>
          <cell r="D104" t="str">
            <v>1. SKK store</v>
          </cell>
          <cell r="E104" t="str">
            <v>S1004</v>
          </cell>
          <cell r="F104" t="str">
            <v>SKK  Mandarin C1</v>
          </cell>
          <cell r="G104" t="str">
            <v>0972188889</v>
          </cell>
          <cell r="H104" t="str">
            <v>Chị Vũ Thị Thu Vân</v>
          </cell>
          <cell r="I104" t="str">
            <v>Khách cũ</v>
          </cell>
          <cell r="J104" t="str">
            <v>Đơn bán</v>
          </cell>
          <cell r="K104" t="str">
            <v>SAKUKO846752</v>
          </cell>
          <cell r="L104" t="str">
            <v>THỰC PHẨM</v>
          </cell>
          <cell r="M104" t="str">
            <v>MỲ, MIẾN</v>
          </cell>
          <cell r="N104" t="str">
            <v>MỲ CHẾ BIẾN</v>
          </cell>
          <cell r="O104" t="str">
            <v>154249</v>
          </cell>
          <cell r="P104" t="str">
            <v>4517244004627</v>
          </cell>
          <cell r="Q104" t="str">
            <v>ASAHI_Mì udon khô 400g</v>
          </cell>
          <cell r="R104">
            <v>69000</v>
          </cell>
          <cell r="S104">
            <v>1</v>
          </cell>
          <cell r="T104">
            <v>69000</v>
          </cell>
          <cell r="U104">
            <v>0</v>
          </cell>
          <cell r="V104">
            <v>69000</v>
          </cell>
          <cell r="W104" t="str">
            <v>4517244004627</v>
          </cell>
        </row>
        <row r="105">
          <cell r="A105">
            <v>2026</v>
          </cell>
          <cell r="B105">
            <v>7</v>
          </cell>
          <cell r="C105">
            <v>46215</v>
          </cell>
          <cell r="D105" t="str">
            <v>1. SKK store</v>
          </cell>
          <cell r="E105" t="str">
            <v>S1005</v>
          </cell>
          <cell r="F105" t="str">
            <v>SKK  Thái Hà</v>
          </cell>
          <cell r="G105" t="str">
            <v>0904496955</v>
          </cell>
          <cell r="H105" t="str">
            <v>C Hải</v>
          </cell>
          <cell r="I105" t="str">
            <v>Khách mới</v>
          </cell>
          <cell r="J105" t="str">
            <v>Đơn bán</v>
          </cell>
          <cell r="K105" t="str">
            <v>SAKUKO845834</v>
          </cell>
          <cell r="L105" t="str">
            <v>THỰC PHẨM</v>
          </cell>
          <cell r="M105" t="str">
            <v>MỲ, MIẾN</v>
          </cell>
          <cell r="N105" t="str">
            <v>MỲ CHẾ BIẾN</v>
          </cell>
          <cell r="O105" t="str">
            <v>154831</v>
          </cell>
          <cell r="P105" t="str">
            <v>8936049051715</v>
          </cell>
          <cell r="Q105" t="str">
            <v>OTOKI- Mì tô Jin sốt tương đen 115g</v>
          </cell>
          <cell r="R105">
            <v>24000</v>
          </cell>
          <cell r="S105">
            <v>1</v>
          </cell>
          <cell r="T105">
            <v>24000</v>
          </cell>
          <cell r="U105">
            <v>0</v>
          </cell>
          <cell r="V105">
            <v>24000</v>
          </cell>
          <cell r="W105" t="str">
            <v>8936049051715</v>
          </cell>
        </row>
        <row r="106">
          <cell r="A106">
            <v>2026</v>
          </cell>
          <cell r="B106">
            <v>7</v>
          </cell>
          <cell r="C106">
            <v>46215</v>
          </cell>
          <cell r="D106" t="str">
            <v>1. SKK store</v>
          </cell>
          <cell r="E106" t="str">
            <v>S1005</v>
          </cell>
          <cell r="F106" t="str">
            <v>SKK  Thái Hà</v>
          </cell>
          <cell r="G106" t="str">
            <v>0936292691</v>
          </cell>
          <cell r="H106" t="str">
            <v>C Chung</v>
          </cell>
          <cell r="I106" t="str">
            <v>Khách cũ</v>
          </cell>
          <cell r="J106" t="str">
            <v>Đơn bán</v>
          </cell>
          <cell r="K106" t="str">
            <v>SAKUKO846814</v>
          </cell>
          <cell r="L106" t="str">
            <v>CHĂM SÓC SẮC ĐẸP</v>
          </cell>
          <cell r="M106" t="str">
            <v>CHĂM SÓC DA</v>
          </cell>
          <cell r="N106" t="str">
            <v>RỬA MẶT</v>
          </cell>
          <cell r="O106" t="str">
            <v>230849</v>
          </cell>
          <cell r="P106" t="str">
            <v>4902806102048</v>
          </cell>
          <cell r="Q106" t="str">
            <v>GATSBY- SRM than hoạt tính sạch sâu 130g</v>
          </cell>
          <cell r="R106">
            <v>125000</v>
          </cell>
          <cell r="S106">
            <v>1</v>
          </cell>
          <cell r="T106">
            <v>125000</v>
          </cell>
          <cell r="U106">
            <v>12500</v>
          </cell>
          <cell r="V106">
            <v>112500</v>
          </cell>
          <cell r="W106" t="str">
            <v>4902806102048</v>
          </cell>
        </row>
        <row r="107">
          <cell r="A107">
            <v>2026</v>
          </cell>
          <cell r="B107">
            <v>7</v>
          </cell>
          <cell r="C107">
            <v>46215</v>
          </cell>
          <cell r="D107" t="str">
            <v>1. SKK store</v>
          </cell>
          <cell r="E107" t="str">
            <v>S1005</v>
          </cell>
          <cell r="F107" t="str">
            <v>SKK  Thái Hà</v>
          </cell>
          <cell r="G107" t="str">
            <v>0942436699</v>
          </cell>
          <cell r="H107" t="str">
            <v>Trần Phương Thảo</v>
          </cell>
          <cell r="I107" t="str">
            <v>Khách cũ</v>
          </cell>
          <cell r="J107" t="str">
            <v>Đơn bán</v>
          </cell>
          <cell r="K107" t="str">
            <v>SAKUKO846849</v>
          </cell>
          <cell r="L107" t="str">
            <v>CHĂM SÓC SẮC ĐẸP</v>
          </cell>
          <cell r="M107" t="str">
            <v>CHĂM SÓC DA</v>
          </cell>
          <cell r="N107" t="str">
            <v>RỬA MẶT</v>
          </cell>
          <cell r="O107" t="str">
            <v>230269</v>
          </cell>
          <cell r="P107" t="str">
            <v>4987241173242</v>
          </cell>
          <cell r="Q107" t="str">
            <v>ROHTO- SRM Melano CC mờ thâm nám (130g)</v>
          </cell>
          <cell r="R107">
            <v>294000</v>
          </cell>
          <cell r="S107">
            <v>1</v>
          </cell>
          <cell r="T107">
            <v>294000</v>
          </cell>
          <cell r="U107">
            <v>0</v>
          </cell>
          <cell r="V107">
            <v>294000</v>
          </cell>
          <cell r="W107" t="str">
            <v>4987241173242</v>
          </cell>
        </row>
        <row r="108">
          <cell r="A108">
            <v>2026</v>
          </cell>
          <cell r="B108">
            <v>7</v>
          </cell>
          <cell r="C108">
            <v>46215</v>
          </cell>
          <cell r="D108" t="str">
            <v>1. SKK store</v>
          </cell>
          <cell r="E108" t="str">
            <v>S1005</v>
          </cell>
          <cell r="F108" t="str">
            <v>SKK  Thái Hà</v>
          </cell>
          <cell r="G108" t="str">
            <v>0986899886</v>
          </cell>
          <cell r="H108" t="str">
            <v>C.HA</v>
          </cell>
          <cell r="I108" t="str">
            <v>Khách mới</v>
          </cell>
          <cell r="J108" t="str">
            <v>Đơn bán</v>
          </cell>
          <cell r="K108" t="str">
            <v>SAKUKO845949</v>
          </cell>
          <cell r="L108" t="str">
            <v>CHĂM SÓC SẮC ĐẸP</v>
          </cell>
          <cell r="M108" t="str">
            <v>CHĂM SÓC DA</v>
          </cell>
          <cell r="N108" t="str">
            <v>RỬA MẶT</v>
          </cell>
          <cell r="O108" t="str">
            <v>230269</v>
          </cell>
          <cell r="P108" t="str">
            <v>4987241173242</v>
          </cell>
          <cell r="Q108" t="str">
            <v>ROHTO- SRM Melano CC mờ thâm nám (130g)</v>
          </cell>
          <cell r="R108">
            <v>294000</v>
          </cell>
          <cell r="S108">
            <v>1</v>
          </cell>
          <cell r="T108">
            <v>294000</v>
          </cell>
          <cell r="U108">
            <v>0</v>
          </cell>
          <cell r="V108">
            <v>294000</v>
          </cell>
          <cell r="W108" t="str">
            <v>4987241173242</v>
          </cell>
        </row>
        <row r="109">
          <cell r="A109">
            <v>2026</v>
          </cell>
          <cell r="B109">
            <v>7</v>
          </cell>
          <cell r="C109">
            <v>46215</v>
          </cell>
          <cell r="D109" t="str">
            <v>1. SKK store</v>
          </cell>
          <cell r="E109" t="str">
            <v>S1006</v>
          </cell>
          <cell r="F109" t="str">
            <v>SKK Trần Đăng Ninh</v>
          </cell>
          <cell r="G109" t="str">
            <v>0862954688</v>
          </cell>
          <cell r="H109" t="str">
            <v>KLTDN</v>
          </cell>
          <cell r="I109" t="str">
            <v>Khách vãng lai</v>
          </cell>
          <cell r="J109" t="str">
            <v>Đơn bán</v>
          </cell>
          <cell r="K109" t="str">
            <v>SAKUKO846339</v>
          </cell>
          <cell r="L109" t="str">
            <v>ĐỒ CHO MẸ BÉ</v>
          </cell>
          <cell r="M109" t="str">
            <v>GIẤY ƯỚT</v>
          </cell>
          <cell r="N109" t="str">
            <v>GIẤY ƯỚT CHO BÉ</v>
          </cell>
          <cell r="O109" t="str">
            <v>121662</v>
          </cell>
          <cell r="P109" t="str">
            <v>8934755035036</v>
          </cell>
          <cell r="Q109" t="str">
            <v>FRESSI- Khăn ướt Care For All 20 miếng</v>
          </cell>
          <cell r="R109">
            <v>14000</v>
          </cell>
          <cell r="S109">
            <v>1</v>
          </cell>
          <cell r="T109">
            <v>14000</v>
          </cell>
          <cell r="U109">
            <v>0</v>
          </cell>
          <cell r="V109">
            <v>14000</v>
          </cell>
          <cell r="W109" t="str">
            <v>8934755035036</v>
          </cell>
        </row>
        <row r="110">
          <cell r="A110">
            <v>2026</v>
          </cell>
          <cell r="B110">
            <v>7</v>
          </cell>
          <cell r="C110">
            <v>46215</v>
          </cell>
          <cell r="D110" t="str">
            <v>1. SKK store</v>
          </cell>
          <cell r="E110" t="str">
            <v>S1006</v>
          </cell>
          <cell r="F110" t="str">
            <v>SKK Trần Đăng Ninh</v>
          </cell>
          <cell r="G110" t="str">
            <v>0904969939</v>
          </cell>
          <cell r="H110" t="str">
            <v>vũ thùy linh</v>
          </cell>
          <cell r="I110" t="str">
            <v>Khách cũ</v>
          </cell>
          <cell r="J110" t="str">
            <v>Đơn bán</v>
          </cell>
          <cell r="K110" t="str">
            <v>SAKUKO846038</v>
          </cell>
          <cell r="L110" t="str">
            <v>THỰC PHẨM</v>
          </cell>
          <cell r="M110" t="str">
            <v>BÁNH KẸO, ĐỒ ĂN VẶT</v>
          </cell>
          <cell r="N110" t="str">
            <v>KẸO CAO SU</v>
          </cell>
          <cell r="O110" t="str">
            <v>154105</v>
          </cell>
          <cell r="P110" t="str">
            <v>4547894156612</v>
          </cell>
          <cell r="Q110" t="str">
            <v>MONDELEZ JAPAN - Kẹo cao su 112g</v>
          </cell>
          <cell r="R110">
            <v>235000</v>
          </cell>
          <cell r="S110">
            <v>1</v>
          </cell>
          <cell r="T110">
            <v>235000</v>
          </cell>
          <cell r="U110">
            <v>0</v>
          </cell>
          <cell r="V110">
            <v>235000</v>
          </cell>
          <cell r="W110" t="str">
            <v>4547894156612</v>
          </cell>
        </row>
        <row r="111">
          <cell r="A111">
            <v>2026</v>
          </cell>
          <cell r="B111">
            <v>7</v>
          </cell>
          <cell r="C111">
            <v>46215</v>
          </cell>
          <cell r="D111" t="str">
            <v>1. SKK store</v>
          </cell>
          <cell r="E111" t="str">
            <v>S1006</v>
          </cell>
          <cell r="F111" t="str">
            <v>SKK Trần Đăng Ninh</v>
          </cell>
          <cell r="G111" t="str">
            <v>0962336989</v>
          </cell>
          <cell r="H111" t="str">
            <v>chị hƯƠNG</v>
          </cell>
          <cell r="I111" t="str">
            <v>Khách cũ</v>
          </cell>
          <cell r="J111" t="str">
            <v>Đơn bán</v>
          </cell>
          <cell r="K111" t="str">
            <v>SAKUKO846554</v>
          </cell>
          <cell r="L111" t="str">
            <v>CHĂM SÓC SẮC ĐẸP</v>
          </cell>
          <cell r="M111" t="str">
            <v>CHĂM SÓC DA</v>
          </cell>
          <cell r="N111" t="str">
            <v>CHĂM SÓC DA KHÁC</v>
          </cell>
          <cell r="O111" t="str">
            <v>102413</v>
          </cell>
          <cell r="P111" t="str">
            <v>4902468802171</v>
          </cell>
          <cell r="Q111" t="str">
            <v>MEISHOKU- Toner pad ngừa mụn Bigan (60m)</v>
          </cell>
          <cell r="R111">
            <v>395000</v>
          </cell>
          <cell r="S111">
            <v>1</v>
          </cell>
          <cell r="T111">
            <v>395000</v>
          </cell>
          <cell r="U111">
            <v>50000</v>
          </cell>
          <cell r="V111">
            <v>345000</v>
          </cell>
          <cell r="W111" t="str">
            <v>4902468802171</v>
          </cell>
        </row>
        <row r="112">
          <cell r="A112">
            <v>2026</v>
          </cell>
          <cell r="B112">
            <v>7</v>
          </cell>
          <cell r="C112">
            <v>46215</v>
          </cell>
          <cell r="D112" t="str">
            <v>1. SKK store</v>
          </cell>
          <cell r="E112" t="str">
            <v>S1006</v>
          </cell>
          <cell r="F112" t="str">
            <v>SKK Trần Đăng Ninh</v>
          </cell>
          <cell r="G112" t="str">
            <v>0962336989</v>
          </cell>
          <cell r="H112" t="str">
            <v>chị hƯƠNG</v>
          </cell>
          <cell r="I112" t="str">
            <v>Khách cũ</v>
          </cell>
          <cell r="J112" t="str">
            <v>Đơn bán</v>
          </cell>
          <cell r="K112" t="str">
            <v>SAKUKO846554</v>
          </cell>
          <cell r="L112" t="str">
            <v>CHĂM SÓC SẮC ĐẸP</v>
          </cell>
          <cell r="M112" t="str">
            <v>CHĂM SÓC DA</v>
          </cell>
          <cell r="N112" t="str">
            <v>KEM DƯỠNG</v>
          </cell>
          <cell r="O112" t="str">
            <v>102418</v>
          </cell>
          <cell r="P112" t="str">
            <v>4902468297021</v>
          </cell>
          <cell r="Q112" t="str">
            <v>MEISHOKU- Kem dưỡng da dịu nhẹ 45g</v>
          </cell>
          <cell r="R112">
            <v>435000</v>
          </cell>
          <cell r="S112">
            <v>1</v>
          </cell>
          <cell r="T112">
            <v>435000</v>
          </cell>
          <cell r="U112">
            <v>0</v>
          </cell>
          <cell r="V112">
            <v>435000</v>
          </cell>
          <cell r="W112" t="str">
            <v>4902468297021</v>
          </cell>
        </row>
        <row r="113">
          <cell r="A113">
            <v>2026</v>
          </cell>
          <cell r="B113">
            <v>7</v>
          </cell>
          <cell r="C113">
            <v>46215</v>
          </cell>
          <cell r="D113" t="str">
            <v>1. SKK store</v>
          </cell>
          <cell r="E113" t="str">
            <v>S1006</v>
          </cell>
          <cell r="F113" t="str">
            <v>SKK Trần Đăng Ninh</v>
          </cell>
          <cell r="G113" t="str">
            <v>0982014909</v>
          </cell>
          <cell r="H113" t="str">
            <v>CÔ LUÂN</v>
          </cell>
          <cell r="I113" t="str">
            <v>Khách cũ</v>
          </cell>
          <cell r="J113" t="str">
            <v>Đơn bán</v>
          </cell>
          <cell r="K113" t="str">
            <v>SAKUKO846196</v>
          </cell>
          <cell r="L113" t="str">
            <v>THỰC PHẨM</v>
          </cell>
          <cell r="M113" t="str">
            <v>MỲ, MIẾN</v>
          </cell>
          <cell r="N113" t="str">
            <v>MỲ ĂN LIỀN</v>
          </cell>
          <cell r="O113" t="str">
            <v>155158</v>
          </cell>
          <cell r="P113" t="str">
            <v>8936049051593</v>
          </cell>
          <cell r="Q113" t="str">
            <v>OTOKI- Mì Jin không cay ly 65g</v>
          </cell>
          <cell r="R113">
            <v>18000</v>
          </cell>
          <cell r="S113">
            <v>5</v>
          </cell>
          <cell r="T113">
            <v>90000</v>
          </cell>
          <cell r="U113">
            <v>0</v>
          </cell>
          <cell r="V113">
            <v>90000</v>
          </cell>
          <cell r="W113" t="str">
            <v>8936049051593</v>
          </cell>
        </row>
        <row r="114">
          <cell r="A114">
            <v>2026</v>
          </cell>
          <cell r="B114">
            <v>7</v>
          </cell>
          <cell r="C114">
            <v>46215</v>
          </cell>
          <cell r="D114" t="str">
            <v>1. SKK store</v>
          </cell>
          <cell r="E114" t="str">
            <v>S1006</v>
          </cell>
          <cell r="F114" t="str">
            <v>SKK Trần Đăng Ninh</v>
          </cell>
          <cell r="G114" t="str">
            <v>0982088989</v>
          </cell>
          <cell r="H114" t="str">
            <v>CHỊ LAN</v>
          </cell>
          <cell r="I114" t="str">
            <v>Khách cũ</v>
          </cell>
          <cell r="J114" t="str">
            <v>Đơn bán</v>
          </cell>
          <cell r="K114" t="str">
            <v>SAKUKO846499</v>
          </cell>
          <cell r="L114" t="str">
            <v>ĐỒ CHO MẸ BÉ</v>
          </cell>
          <cell r="M114" t="str">
            <v>GIẤY ƯỚT</v>
          </cell>
          <cell r="N114" t="str">
            <v>GIẤY ƯỚT CHO BÉ</v>
          </cell>
          <cell r="O114" t="str">
            <v>121677</v>
          </cell>
          <cell r="P114" t="str">
            <v>8801260608836</v>
          </cell>
          <cell r="Q114" t="str">
            <v>KLEANNARA- Khăn ướt 5 tinh chất (có nắp) 100 tờ</v>
          </cell>
          <cell r="R114">
            <v>52000</v>
          </cell>
          <cell r="S114">
            <v>1</v>
          </cell>
          <cell r="T114">
            <v>52000</v>
          </cell>
          <cell r="U114">
            <v>0</v>
          </cell>
          <cell r="V114">
            <v>52000</v>
          </cell>
          <cell r="W114" t="str">
            <v>8801260608836</v>
          </cell>
        </row>
        <row r="115">
          <cell r="A115">
            <v>2026</v>
          </cell>
          <cell r="B115">
            <v>7</v>
          </cell>
          <cell r="C115">
            <v>46215</v>
          </cell>
          <cell r="D115" t="str">
            <v>1. SKK store</v>
          </cell>
          <cell r="E115" t="str">
            <v>S1006</v>
          </cell>
          <cell r="F115" t="str">
            <v>SKK Trần Đăng Ninh</v>
          </cell>
          <cell r="G115" t="str">
            <v>0985791959</v>
          </cell>
          <cell r="H115" t="str">
            <v>Chú Lộc</v>
          </cell>
          <cell r="I115" t="str">
            <v>Khách cũ</v>
          </cell>
          <cell r="J115" t="str">
            <v>Đơn bán</v>
          </cell>
          <cell r="K115" t="str">
            <v>SAKUKO846454</v>
          </cell>
          <cell r="L115" t="str">
            <v>CHĂM SÓC SẮC ĐẸP</v>
          </cell>
          <cell r="M115" t="str">
            <v>CHĂM SÓC DA</v>
          </cell>
          <cell r="N115" t="str">
            <v>KEM DƯỠNG</v>
          </cell>
          <cell r="O115" t="str">
            <v>102384</v>
          </cell>
          <cell r="P115" t="str">
            <v>4902468820014</v>
          </cell>
          <cell r="Q115" t="str">
            <v>MEISHOKU- Kem gel dưỡng ẩm phục hồi chuyên sâu 50g</v>
          </cell>
          <cell r="R115">
            <v>575000</v>
          </cell>
          <cell r="S115">
            <v>1</v>
          </cell>
          <cell r="T115">
            <v>575000</v>
          </cell>
          <cell r="U115">
            <v>0</v>
          </cell>
          <cell r="V115">
            <v>575000</v>
          </cell>
          <cell r="W115" t="str">
            <v>4902468820014</v>
          </cell>
        </row>
        <row r="116">
          <cell r="A116">
            <v>2026</v>
          </cell>
          <cell r="B116">
            <v>7</v>
          </cell>
          <cell r="C116">
            <v>46215</v>
          </cell>
          <cell r="D116" t="str">
            <v>1. SKK store</v>
          </cell>
          <cell r="E116" t="str">
            <v>S1007</v>
          </cell>
          <cell r="F116" t="str">
            <v>SKK  Nguyễn Du</v>
          </cell>
          <cell r="G116" t="str">
            <v>0326680519</v>
          </cell>
          <cell r="H116" t="str">
            <v>A Tuấn</v>
          </cell>
          <cell r="I116" t="str">
            <v>Khách cũ</v>
          </cell>
          <cell r="J116" t="str">
            <v>Đơn bán</v>
          </cell>
          <cell r="K116" t="str">
            <v>SAKUKO846506</v>
          </cell>
          <cell r="L116" t="str">
            <v>THỰC PHẨM</v>
          </cell>
          <cell r="M116" t="str">
            <v>MỲ, MIẾN</v>
          </cell>
          <cell r="N116" t="str">
            <v>MỲ ĂN LIỀN</v>
          </cell>
          <cell r="O116" t="str">
            <v>155160</v>
          </cell>
          <cell r="P116" t="str">
            <v>8936049051630</v>
          </cell>
          <cell r="Q116" t="str">
            <v>OTOKI- Mì bò hầm vị cay ly 62g</v>
          </cell>
          <cell r="R116">
            <v>16000</v>
          </cell>
          <cell r="S116">
            <v>2</v>
          </cell>
          <cell r="T116">
            <v>32000</v>
          </cell>
          <cell r="U116">
            <v>0</v>
          </cell>
          <cell r="V116">
            <v>32000</v>
          </cell>
          <cell r="W116" t="str">
            <v>8936049051630</v>
          </cell>
        </row>
        <row r="117">
          <cell r="A117">
            <v>2026</v>
          </cell>
          <cell r="B117">
            <v>7</v>
          </cell>
          <cell r="C117">
            <v>46215</v>
          </cell>
          <cell r="D117" t="str">
            <v>1. SKK store</v>
          </cell>
          <cell r="E117" t="str">
            <v>S1007</v>
          </cell>
          <cell r="F117" t="str">
            <v>SKK  Nguyễn Du</v>
          </cell>
          <cell r="G117" t="str">
            <v>0916602336</v>
          </cell>
          <cell r="H117" t="str">
            <v>Anh</v>
          </cell>
          <cell r="I117" t="str">
            <v>Khách mới</v>
          </cell>
          <cell r="J117" t="str">
            <v>Đơn bán</v>
          </cell>
          <cell r="K117" t="str">
            <v>SAKUKO847075</v>
          </cell>
          <cell r="L117" t="str">
            <v>THỰC PHẨM</v>
          </cell>
          <cell r="M117" t="str">
            <v>MỲ, MIẾN</v>
          </cell>
          <cell r="N117" t="str">
            <v>MỲ ĂN LIỀN</v>
          </cell>
          <cell r="O117" t="str">
            <v>154828</v>
          </cell>
          <cell r="P117" t="str">
            <v>8936049051616</v>
          </cell>
          <cell r="Q117" t="str">
            <v>OTOKI- Mì ly Yeul cay 62g</v>
          </cell>
          <cell r="R117">
            <v>15000</v>
          </cell>
          <cell r="S117">
            <v>1</v>
          </cell>
          <cell r="T117">
            <v>15000</v>
          </cell>
          <cell r="U117">
            <v>0</v>
          </cell>
          <cell r="V117">
            <v>15000</v>
          </cell>
          <cell r="W117" t="str">
            <v>8936049051616</v>
          </cell>
        </row>
        <row r="118">
          <cell r="A118">
            <v>2026</v>
          </cell>
          <cell r="B118">
            <v>7</v>
          </cell>
          <cell r="C118">
            <v>46215</v>
          </cell>
          <cell r="D118" t="str">
            <v>1. SKK store</v>
          </cell>
          <cell r="E118" t="str">
            <v>S1007</v>
          </cell>
          <cell r="F118" t="str">
            <v>SKK  Nguyễn Du</v>
          </cell>
          <cell r="G118" t="str">
            <v>0934300007</v>
          </cell>
          <cell r="H118" t="str">
            <v>Chị Duyên</v>
          </cell>
          <cell r="I118" t="str">
            <v>Khách mới</v>
          </cell>
          <cell r="J118" t="str">
            <v>Đơn bán</v>
          </cell>
          <cell r="K118" t="str">
            <v>SAKUKO846501</v>
          </cell>
          <cell r="L118" t="str">
            <v>THỰC PHẨM</v>
          </cell>
          <cell r="M118" t="str">
            <v>MỲ, MIẾN</v>
          </cell>
          <cell r="N118" t="str">
            <v>MỲ ĂN LIỀN</v>
          </cell>
          <cell r="O118" t="str">
            <v>155155</v>
          </cell>
          <cell r="P118" t="str">
            <v>8936049051708</v>
          </cell>
          <cell r="Q118" t="str">
            <v>OTOKI- Mì Jin không cay tô 110g</v>
          </cell>
          <cell r="R118">
            <v>22000</v>
          </cell>
          <cell r="S118">
            <v>1</v>
          </cell>
          <cell r="T118">
            <v>22000</v>
          </cell>
          <cell r="U118">
            <v>0</v>
          </cell>
          <cell r="V118">
            <v>22000</v>
          </cell>
          <cell r="W118" t="str">
            <v>8936049051708</v>
          </cell>
        </row>
        <row r="119">
          <cell r="A119">
            <v>2026</v>
          </cell>
          <cell r="B119">
            <v>7</v>
          </cell>
          <cell r="C119">
            <v>46215</v>
          </cell>
          <cell r="D119" t="str">
            <v>1. SKK store</v>
          </cell>
          <cell r="E119" t="str">
            <v>S1007</v>
          </cell>
          <cell r="F119" t="str">
            <v>SKK  Nguyễn Du</v>
          </cell>
          <cell r="G119" t="str">
            <v>0934300007</v>
          </cell>
          <cell r="H119" t="str">
            <v>Chị Duyên</v>
          </cell>
          <cell r="I119" t="str">
            <v>Khách mới</v>
          </cell>
          <cell r="J119" t="str">
            <v>Đơn bán</v>
          </cell>
          <cell r="K119" t="str">
            <v>SAKUKO846501</v>
          </cell>
          <cell r="L119" t="str">
            <v>THỰC PHẨM</v>
          </cell>
          <cell r="M119" t="str">
            <v>MỲ, MIẾN</v>
          </cell>
          <cell r="N119" t="str">
            <v>MỲ CHẾ BIẾN</v>
          </cell>
          <cell r="O119" t="str">
            <v>154831</v>
          </cell>
          <cell r="P119" t="str">
            <v>8936049051715</v>
          </cell>
          <cell r="Q119" t="str">
            <v>OTOKI- Mì tô Jin sốt tương đen 115g</v>
          </cell>
          <cell r="R119">
            <v>24000</v>
          </cell>
          <cell r="S119">
            <v>1</v>
          </cell>
          <cell r="T119">
            <v>24000</v>
          </cell>
          <cell r="U119">
            <v>0</v>
          </cell>
          <cell r="V119">
            <v>24000</v>
          </cell>
          <cell r="W119" t="str">
            <v>8936049051715</v>
          </cell>
        </row>
        <row r="120">
          <cell r="A120">
            <v>2026</v>
          </cell>
          <cell r="B120">
            <v>7</v>
          </cell>
          <cell r="C120">
            <v>46215</v>
          </cell>
          <cell r="D120" t="str">
            <v>1. SKK store</v>
          </cell>
          <cell r="E120" t="str">
            <v>S1008</v>
          </cell>
          <cell r="F120" t="str">
            <v>SKK  Hàng Bông</v>
          </cell>
          <cell r="G120" t="str">
            <v>02466810202</v>
          </cell>
          <cell r="H120" t="str">
            <v>KH Tây</v>
          </cell>
          <cell r="I120" t="str">
            <v>Khách vãng lai</v>
          </cell>
          <cell r="J120" t="str">
            <v>Đơn bán</v>
          </cell>
          <cell r="K120" t="str">
            <v>SAKUKO846043</v>
          </cell>
          <cell r="L120" t="str">
            <v>ĐỒ CHO MẸ BÉ</v>
          </cell>
          <cell r="M120" t="str">
            <v>GIẤY ƯỚT</v>
          </cell>
          <cell r="N120" t="str">
            <v>GIẤY ƯỚT CHO BÉ</v>
          </cell>
          <cell r="O120" t="str">
            <v>121665</v>
          </cell>
          <cell r="P120" t="str">
            <v>8934755035289</v>
          </cell>
          <cell r="Q120" t="str">
            <v>BOBBY- Khăn ướt em bé không mùi 100 miếng</v>
          </cell>
          <cell r="R120">
            <v>46000</v>
          </cell>
          <cell r="S120">
            <v>1</v>
          </cell>
          <cell r="T120">
            <v>46000</v>
          </cell>
          <cell r="U120">
            <v>0</v>
          </cell>
          <cell r="V120">
            <v>46000</v>
          </cell>
          <cell r="W120" t="str">
            <v>8934755035289</v>
          </cell>
        </row>
        <row r="121">
          <cell r="A121">
            <v>2026</v>
          </cell>
          <cell r="B121">
            <v>7</v>
          </cell>
          <cell r="C121">
            <v>46215</v>
          </cell>
          <cell r="D121" t="str">
            <v>1. SKK store</v>
          </cell>
          <cell r="E121" t="str">
            <v>S1008</v>
          </cell>
          <cell r="F121" t="str">
            <v>SKK  Hàng Bông</v>
          </cell>
          <cell r="G121" t="str">
            <v>02466810202</v>
          </cell>
          <cell r="H121" t="str">
            <v>KH Tây</v>
          </cell>
          <cell r="I121" t="str">
            <v>Khách vãng lai</v>
          </cell>
          <cell r="J121" t="str">
            <v>Đơn bán</v>
          </cell>
          <cell r="K121" t="str">
            <v>SAKUKO846480</v>
          </cell>
          <cell r="L121" t="str">
            <v>NHÀ CỬA ĐỜI SỐNG</v>
          </cell>
          <cell r="M121" t="str">
            <v>PHÒNG CHỐNG CÔN TRÙNG</v>
          </cell>
          <cell r="N121" t="str">
            <v>DIỆT CÔN TRÙNG</v>
          </cell>
          <cell r="O121" t="str">
            <v>230476</v>
          </cell>
          <cell r="P121" t="str">
            <v>4987115105874</v>
          </cell>
          <cell r="Q121" t="str">
            <v>KINCHO- XỊT DIỆT MUỖI HƯƠNG HOA HỒNG 45ML</v>
          </cell>
          <cell r="R121">
            <v>320000</v>
          </cell>
          <cell r="S121">
            <v>1</v>
          </cell>
          <cell r="T121">
            <v>320000</v>
          </cell>
          <cell r="U121">
            <v>0</v>
          </cell>
          <cell r="V121">
            <v>320000</v>
          </cell>
          <cell r="W121" t="str">
            <v>4987115105874</v>
          </cell>
        </row>
        <row r="122">
          <cell r="A122">
            <v>2026</v>
          </cell>
          <cell r="B122">
            <v>7</v>
          </cell>
          <cell r="C122">
            <v>46215</v>
          </cell>
          <cell r="D122" t="str">
            <v>1. SKK store</v>
          </cell>
          <cell r="E122" t="str">
            <v>S1008</v>
          </cell>
          <cell r="F122" t="str">
            <v>SKK  Hàng Bông</v>
          </cell>
          <cell r="G122" t="str">
            <v>0359322581</v>
          </cell>
          <cell r="H122" t="str">
            <v>Chị Trúc</v>
          </cell>
          <cell r="I122" t="str">
            <v>Khách cũ</v>
          </cell>
          <cell r="J122" t="str">
            <v>Đơn bán</v>
          </cell>
          <cell r="K122" t="str">
            <v>SAKUKO846386</v>
          </cell>
          <cell r="L122" t="str">
            <v>THỰC PHẨM</v>
          </cell>
          <cell r="M122" t="str">
            <v>MỲ, MIẾN</v>
          </cell>
          <cell r="N122" t="str">
            <v>MỲ CHẾ BIẾN</v>
          </cell>
          <cell r="O122" t="str">
            <v>154247</v>
          </cell>
          <cell r="P122" t="str">
            <v>4902902105004</v>
          </cell>
          <cell r="Q122" t="str">
            <v>MALONY_Miến khoai tây 500g</v>
          </cell>
          <cell r="R122">
            <v>139000</v>
          </cell>
          <cell r="S122">
            <v>1</v>
          </cell>
          <cell r="T122">
            <v>139000</v>
          </cell>
          <cell r="U122">
            <v>0</v>
          </cell>
          <cell r="V122">
            <v>139000</v>
          </cell>
          <cell r="W122" t="str">
            <v>4902902105004</v>
          </cell>
        </row>
        <row r="123">
          <cell r="A123">
            <v>2026</v>
          </cell>
          <cell r="B123">
            <v>7</v>
          </cell>
          <cell r="C123">
            <v>46215</v>
          </cell>
          <cell r="D123" t="str">
            <v>1. SKK store</v>
          </cell>
          <cell r="E123" t="str">
            <v>S1008</v>
          </cell>
          <cell r="F123" t="str">
            <v>SKK  Hàng Bông</v>
          </cell>
          <cell r="G123" t="str">
            <v>0862947989</v>
          </cell>
          <cell r="H123" t="str">
            <v>KLHB</v>
          </cell>
          <cell r="I123" t="str">
            <v>Khách vãng lai</v>
          </cell>
          <cell r="J123" t="str">
            <v>Đơn bán</v>
          </cell>
          <cell r="K123" t="str">
            <v>SAKUKO846129</v>
          </cell>
          <cell r="L123" t="str">
            <v>THỰC PHẨM</v>
          </cell>
          <cell r="M123" t="str">
            <v>MỲ, MIẾN</v>
          </cell>
          <cell r="N123" t="str">
            <v>MỲ ĂN LIỀN</v>
          </cell>
          <cell r="O123" t="str">
            <v>154829</v>
          </cell>
          <cell r="P123" t="str">
            <v>8936049051654</v>
          </cell>
          <cell r="Q123" t="str">
            <v>OTOKI- Mì tô Yeul cay 105g</v>
          </cell>
          <cell r="R123">
            <v>23000</v>
          </cell>
          <cell r="S123">
            <v>3</v>
          </cell>
          <cell r="T123">
            <v>69000</v>
          </cell>
          <cell r="U123">
            <v>0</v>
          </cell>
          <cell r="V123">
            <v>69000</v>
          </cell>
          <cell r="W123" t="str">
            <v>8936049051654</v>
          </cell>
        </row>
        <row r="124">
          <cell r="A124">
            <v>2026</v>
          </cell>
          <cell r="B124">
            <v>7</v>
          </cell>
          <cell r="C124">
            <v>46215</v>
          </cell>
          <cell r="D124" t="str">
            <v>1. SKK store</v>
          </cell>
          <cell r="E124" t="str">
            <v>S1008</v>
          </cell>
          <cell r="F124" t="str">
            <v>SKK  Hàng Bông</v>
          </cell>
          <cell r="G124" t="str">
            <v>0862947989</v>
          </cell>
          <cell r="H124" t="str">
            <v>KLHB</v>
          </cell>
          <cell r="I124" t="str">
            <v>Khách vãng lai</v>
          </cell>
          <cell r="J124" t="str">
            <v>Đơn bán</v>
          </cell>
          <cell r="K124" t="str">
            <v>SAKUKO846350</v>
          </cell>
          <cell r="L124" t="str">
            <v>THỰC PHẨM</v>
          </cell>
          <cell r="M124" t="str">
            <v>MỲ, MIẾN</v>
          </cell>
          <cell r="N124" t="str">
            <v>MỲ ĂN LIỀN</v>
          </cell>
          <cell r="O124" t="str">
            <v>155161</v>
          </cell>
          <cell r="P124" t="str">
            <v>8936049052378</v>
          </cell>
          <cell r="Q124" t="str">
            <v>OTOKI- Mì Jin tương đen vị bò ly 65g</v>
          </cell>
          <cell r="R124">
            <v>18000</v>
          </cell>
          <cell r="S124">
            <v>1</v>
          </cell>
          <cell r="T124">
            <v>18000</v>
          </cell>
          <cell r="U124">
            <v>0</v>
          </cell>
          <cell r="V124">
            <v>18000</v>
          </cell>
          <cell r="W124" t="str">
            <v>8936049052378</v>
          </cell>
        </row>
        <row r="125">
          <cell r="A125">
            <v>2026</v>
          </cell>
          <cell r="B125">
            <v>7</v>
          </cell>
          <cell r="C125">
            <v>46215</v>
          </cell>
          <cell r="D125" t="str">
            <v>1. SKK store</v>
          </cell>
          <cell r="E125" t="str">
            <v>S1008</v>
          </cell>
          <cell r="F125" t="str">
            <v>SKK  Hàng Bông</v>
          </cell>
          <cell r="G125" t="str">
            <v>0862947989</v>
          </cell>
          <cell r="H125" t="str">
            <v>KLHB</v>
          </cell>
          <cell r="I125" t="str">
            <v>Khách vãng lai</v>
          </cell>
          <cell r="J125" t="str">
            <v>Đơn bán</v>
          </cell>
          <cell r="K125" t="str">
            <v>SAKUKO846350</v>
          </cell>
          <cell r="L125" t="str">
            <v>THỰC PHẨM</v>
          </cell>
          <cell r="M125" t="str">
            <v>MỲ, MIẾN</v>
          </cell>
          <cell r="N125" t="str">
            <v>MỲ CHẾ BIẾN</v>
          </cell>
          <cell r="O125" t="str">
            <v>154830</v>
          </cell>
          <cell r="P125" t="str">
            <v>8936049051609</v>
          </cell>
          <cell r="Q125" t="str">
            <v>OTOKI- Mì ly Jin sốt tương đen 70g</v>
          </cell>
          <cell r="R125">
            <v>18000</v>
          </cell>
          <cell r="S125">
            <v>1</v>
          </cell>
          <cell r="T125">
            <v>18000</v>
          </cell>
          <cell r="U125">
            <v>0</v>
          </cell>
          <cell r="V125">
            <v>18000</v>
          </cell>
          <cell r="W125" t="str">
            <v>8936049051609</v>
          </cell>
        </row>
        <row r="126">
          <cell r="A126">
            <v>2026</v>
          </cell>
          <cell r="B126">
            <v>7</v>
          </cell>
          <cell r="C126">
            <v>46215</v>
          </cell>
          <cell r="D126" t="str">
            <v>1. SKK store</v>
          </cell>
          <cell r="E126" t="str">
            <v>S1008</v>
          </cell>
          <cell r="F126" t="str">
            <v>SKK  Hàng Bông</v>
          </cell>
          <cell r="G126" t="str">
            <v>0862947989</v>
          </cell>
          <cell r="H126" t="str">
            <v>KLHB</v>
          </cell>
          <cell r="I126" t="str">
            <v>Khách vãng lai</v>
          </cell>
          <cell r="J126" t="str">
            <v>Đơn bán</v>
          </cell>
          <cell r="K126" t="str">
            <v>SAKUKO846361</v>
          </cell>
          <cell r="L126" t="str">
            <v>THỰC PHẨM</v>
          </cell>
          <cell r="M126" t="str">
            <v>MỲ, MIẾN</v>
          </cell>
          <cell r="N126" t="str">
            <v>MỲ CHẾ BIẾN</v>
          </cell>
          <cell r="O126" t="str">
            <v>154830</v>
          </cell>
          <cell r="P126" t="str">
            <v>8936049051609</v>
          </cell>
          <cell r="Q126" t="str">
            <v>OTOKI- Mì ly Jin sốt tương đen 70g</v>
          </cell>
          <cell r="R126">
            <v>18000</v>
          </cell>
          <cell r="S126">
            <v>1</v>
          </cell>
          <cell r="T126">
            <v>18000</v>
          </cell>
          <cell r="U126">
            <v>0</v>
          </cell>
          <cell r="V126">
            <v>18000</v>
          </cell>
          <cell r="W126" t="str">
            <v>8936049051609</v>
          </cell>
        </row>
        <row r="127">
          <cell r="A127">
            <v>2026</v>
          </cell>
          <cell r="B127">
            <v>7</v>
          </cell>
          <cell r="C127">
            <v>46215</v>
          </cell>
          <cell r="D127" t="str">
            <v>1. SKK store</v>
          </cell>
          <cell r="E127" t="str">
            <v>S1015</v>
          </cell>
          <cell r="F127" t="str">
            <v>SKK Hàm Nghi</v>
          </cell>
          <cell r="G127" t="str">
            <v>0383858789</v>
          </cell>
          <cell r="H127" t="str">
            <v>chị vân</v>
          </cell>
          <cell r="I127" t="str">
            <v>Khách cũ</v>
          </cell>
          <cell r="J127" t="str">
            <v>Đơn bán</v>
          </cell>
          <cell r="K127" t="str">
            <v>SAKUKO846772</v>
          </cell>
          <cell r="L127" t="str">
            <v>THỰC PHẨM</v>
          </cell>
          <cell r="M127" t="str">
            <v>BÁNH KẸO, ĐỒ ĂN VẶT</v>
          </cell>
          <cell r="N127" t="str">
            <v>KẸO CAO SU</v>
          </cell>
          <cell r="O127" t="str">
            <v>154105</v>
          </cell>
          <cell r="P127" t="str">
            <v>4547894156612</v>
          </cell>
          <cell r="Q127" t="str">
            <v>MONDELEZ JAPAN - Kẹo cao su 112g</v>
          </cell>
          <cell r="R127">
            <v>235000</v>
          </cell>
          <cell r="S127">
            <v>1</v>
          </cell>
          <cell r="T127">
            <v>235000</v>
          </cell>
          <cell r="U127">
            <v>0</v>
          </cell>
          <cell r="V127">
            <v>235000</v>
          </cell>
          <cell r="W127" t="str">
            <v>4547894156612</v>
          </cell>
        </row>
        <row r="128">
          <cell r="A128">
            <v>2026</v>
          </cell>
          <cell r="B128">
            <v>7</v>
          </cell>
          <cell r="C128">
            <v>46215</v>
          </cell>
          <cell r="D128" t="str">
            <v>1. SKK store</v>
          </cell>
          <cell r="E128" t="str">
            <v>S1018</v>
          </cell>
          <cell r="F128" t="str">
            <v>SKK Nguyễn Tuân</v>
          </cell>
          <cell r="G128" t="str">
            <v>0904595050</v>
          </cell>
          <cell r="H128" t="str">
            <v>chị Huyền</v>
          </cell>
          <cell r="I128" t="str">
            <v>Khách mới</v>
          </cell>
          <cell r="J128" t="str">
            <v>Đơn bán</v>
          </cell>
          <cell r="K128" t="str">
            <v>SAKUKO845702</v>
          </cell>
          <cell r="L128" t="str">
            <v>CHĂM SÓC SẮC ĐẸP</v>
          </cell>
          <cell r="M128" t="str">
            <v>CHĂM SÓC DA</v>
          </cell>
          <cell r="N128" t="str">
            <v>KEM DƯỠNG</v>
          </cell>
          <cell r="O128" t="str">
            <v>102384</v>
          </cell>
          <cell r="P128" t="str">
            <v>4902468820014</v>
          </cell>
          <cell r="Q128" t="str">
            <v>MEISHOKU- Kem gel dưỡng ẩm phục hồi chuyên sâu 50g</v>
          </cell>
          <cell r="R128">
            <v>575000</v>
          </cell>
          <cell r="S128">
            <v>1</v>
          </cell>
          <cell r="T128">
            <v>575000</v>
          </cell>
          <cell r="U128">
            <v>0</v>
          </cell>
          <cell r="V128">
            <v>575000</v>
          </cell>
          <cell r="W128" t="str">
            <v>4902468820014</v>
          </cell>
        </row>
        <row r="129">
          <cell r="A129">
            <v>2026</v>
          </cell>
          <cell r="B129">
            <v>7</v>
          </cell>
          <cell r="C129">
            <v>46215</v>
          </cell>
          <cell r="D129" t="str">
            <v>1. SKK store</v>
          </cell>
          <cell r="E129" t="str">
            <v>S1018</v>
          </cell>
          <cell r="F129" t="str">
            <v>SKK Nguyễn Tuân</v>
          </cell>
          <cell r="G129" t="str">
            <v>0904595050</v>
          </cell>
          <cell r="H129" t="str">
            <v>chị Huyền</v>
          </cell>
          <cell r="I129" t="str">
            <v>Khách mới</v>
          </cell>
          <cell r="J129" t="str">
            <v>Đơn bán</v>
          </cell>
          <cell r="K129" t="str">
            <v>SAKUKO845702</v>
          </cell>
          <cell r="L129" t="str">
            <v>CHĂM SÓC SẮC ĐẸP</v>
          </cell>
          <cell r="M129" t="str">
            <v>CHĂM SÓC DA</v>
          </cell>
          <cell r="N129" t="str">
            <v>KEM DƯỠNG</v>
          </cell>
          <cell r="O129" t="str">
            <v>102420</v>
          </cell>
          <cell r="P129" t="str">
            <v>4902468820007</v>
          </cell>
          <cell r="Q129" t="str">
            <v>MEISHOKU- Tinh chất dưỡng ẩm chuyên sâu 30ml</v>
          </cell>
          <cell r="R129">
            <v>555000</v>
          </cell>
          <cell r="S129">
            <v>1</v>
          </cell>
          <cell r="T129">
            <v>555000</v>
          </cell>
          <cell r="U129">
            <v>0</v>
          </cell>
          <cell r="V129">
            <v>555000</v>
          </cell>
          <cell r="W129" t="str">
            <v>4902468820007</v>
          </cell>
        </row>
        <row r="130">
          <cell r="A130">
            <v>2026</v>
          </cell>
          <cell r="B130">
            <v>7</v>
          </cell>
          <cell r="C130">
            <v>46215</v>
          </cell>
          <cell r="D130" t="str">
            <v>1. SKK store</v>
          </cell>
          <cell r="E130" t="str">
            <v>S1018</v>
          </cell>
          <cell r="F130" t="str">
            <v>SKK Nguyễn Tuân</v>
          </cell>
          <cell r="G130" t="str">
            <v>0904595050</v>
          </cell>
          <cell r="H130" t="str">
            <v>chị Huyền</v>
          </cell>
          <cell r="I130" t="str">
            <v>Khách mới</v>
          </cell>
          <cell r="J130" t="str">
            <v>Đơn bán</v>
          </cell>
          <cell r="K130" t="str">
            <v>SAKUKO845702</v>
          </cell>
          <cell r="L130" t="str">
            <v>CHĂM SÓC SẮC ĐẸP</v>
          </cell>
          <cell r="M130" t="str">
            <v>CHĂM SÓC DA</v>
          </cell>
          <cell r="N130" t="str">
            <v>RỬA MẶT</v>
          </cell>
          <cell r="O130" t="str">
            <v>102421</v>
          </cell>
          <cell r="P130" t="str">
            <v>4902468819032</v>
          </cell>
          <cell r="Q130" t="str">
            <v>MEISHOU- Sữa rửa mặt làm sạch thuần chay 100g</v>
          </cell>
          <cell r="R130">
            <v>295000</v>
          </cell>
          <cell r="S130">
            <v>1</v>
          </cell>
          <cell r="T130">
            <v>295000</v>
          </cell>
          <cell r="U130">
            <v>295000</v>
          </cell>
          <cell r="V130">
            <v>0</v>
          </cell>
          <cell r="W130" t="str">
            <v>4902468819032</v>
          </cell>
        </row>
        <row r="131">
          <cell r="A131">
            <v>2026</v>
          </cell>
          <cell r="B131">
            <v>7</v>
          </cell>
          <cell r="C131">
            <v>46215</v>
          </cell>
          <cell r="D131" t="str">
            <v>1. SKK store</v>
          </cell>
          <cell r="E131" t="str">
            <v>S1018</v>
          </cell>
          <cell r="F131" t="str">
            <v>SKK Nguyễn Tuân</v>
          </cell>
          <cell r="G131" t="str">
            <v>0976816691</v>
          </cell>
          <cell r="H131" t="str">
            <v>chị Hồng Anh</v>
          </cell>
          <cell r="I131" t="str">
            <v>Khách cũ</v>
          </cell>
          <cell r="J131" t="str">
            <v>Đơn bán</v>
          </cell>
          <cell r="K131" t="str">
            <v>SAKUKO846830</v>
          </cell>
          <cell r="L131" t="str">
            <v>THỰC PHẨM</v>
          </cell>
          <cell r="M131" t="str">
            <v>BÁNH KẸO, ĐỒ ĂN VẶT</v>
          </cell>
          <cell r="N131" t="str">
            <v>KẸO CAO SU</v>
          </cell>
          <cell r="O131" t="str">
            <v>231377</v>
          </cell>
          <cell r="P131" t="str">
            <v>4903333200375</v>
          </cell>
          <cell r="Q131" t="str">
            <v>LOTTE-Kẹo cao su tổng hợp dạng lọ 114g</v>
          </cell>
          <cell r="R131">
            <v>235000</v>
          </cell>
          <cell r="S131">
            <v>1</v>
          </cell>
          <cell r="T131">
            <v>235000</v>
          </cell>
          <cell r="U131">
            <v>0</v>
          </cell>
          <cell r="V131">
            <v>235000</v>
          </cell>
          <cell r="W131" t="str">
            <v>4903333200375</v>
          </cell>
        </row>
        <row r="132">
          <cell r="A132">
            <v>2026</v>
          </cell>
          <cell r="B132">
            <v>7</v>
          </cell>
          <cell r="C132">
            <v>46214</v>
          </cell>
          <cell r="D132" t="str">
            <v>1. SKK store</v>
          </cell>
          <cell r="E132" t="str">
            <v>S1004</v>
          </cell>
          <cell r="F132" t="str">
            <v>SKK  Mandarin C1</v>
          </cell>
          <cell r="G132" t="str">
            <v>02466810404</v>
          </cell>
          <cell r="H132" t="str">
            <v>klhmg</v>
          </cell>
          <cell r="I132" t="str">
            <v>Khách vãng lai</v>
          </cell>
          <cell r="J132" t="str">
            <v>Đơn bán</v>
          </cell>
          <cell r="K132" t="str">
            <v>SAKUKO844857</v>
          </cell>
          <cell r="L132" t="str">
            <v>THỰC PHẨM</v>
          </cell>
          <cell r="M132" t="str">
            <v>MỲ, MIẾN</v>
          </cell>
          <cell r="N132" t="str">
            <v>MỲ ĂN LIỀN</v>
          </cell>
          <cell r="O132" t="str">
            <v>154198</v>
          </cell>
          <cell r="P132" t="str">
            <v>4979397000145</v>
          </cell>
          <cell r="Q132" t="str">
            <v>YAMAMOTO_Mì ramen ăn liền vị miso 90g*5</v>
          </cell>
          <cell r="R132">
            <v>99000</v>
          </cell>
          <cell r="S132">
            <v>1</v>
          </cell>
          <cell r="T132">
            <v>99000</v>
          </cell>
          <cell r="U132">
            <v>0</v>
          </cell>
          <cell r="V132">
            <v>99000</v>
          </cell>
          <cell r="W132" t="str">
            <v>4979397000145</v>
          </cell>
        </row>
        <row r="133">
          <cell r="A133">
            <v>2026</v>
          </cell>
          <cell r="B133">
            <v>7</v>
          </cell>
          <cell r="C133">
            <v>46214</v>
          </cell>
          <cell r="D133" t="str">
            <v>1. SKK store</v>
          </cell>
          <cell r="E133" t="str">
            <v>S1004</v>
          </cell>
          <cell r="F133" t="str">
            <v>SKK  Mandarin C1</v>
          </cell>
          <cell r="G133" t="str">
            <v>02466810404</v>
          </cell>
          <cell r="H133" t="str">
            <v>klhmg</v>
          </cell>
          <cell r="I133" t="str">
            <v>Khách vãng lai</v>
          </cell>
          <cell r="J133" t="str">
            <v>Đơn bán</v>
          </cell>
          <cell r="K133" t="str">
            <v>SAKUKO844857</v>
          </cell>
          <cell r="L133" t="str">
            <v>THỰC PHẨM</v>
          </cell>
          <cell r="M133" t="str">
            <v>MỲ, MIẾN</v>
          </cell>
          <cell r="N133" t="str">
            <v>MỲ ĂN LIỀN</v>
          </cell>
          <cell r="O133" t="str">
            <v>154359</v>
          </cell>
          <cell r="P133" t="str">
            <v>4979397000138</v>
          </cell>
          <cell r="Q133" t="str">
            <v>YAMAMOTO- Mì ramen ăn liền hải sản thịt heo 88g*5</v>
          </cell>
          <cell r="R133">
            <v>99000</v>
          </cell>
          <cell r="S133">
            <v>1</v>
          </cell>
          <cell r="T133">
            <v>99000</v>
          </cell>
          <cell r="U133">
            <v>0</v>
          </cell>
          <cell r="V133">
            <v>99000</v>
          </cell>
          <cell r="W133" t="str">
            <v>4979397000138</v>
          </cell>
        </row>
        <row r="134">
          <cell r="A134">
            <v>2026</v>
          </cell>
          <cell r="B134">
            <v>7</v>
          </cell>
          <cell r="C134">
            <v>46214</v>
          </cell>
          <cell r="D134" t="str">
            <v>1. SKK store</v>
          </cell>
          <cell r="E134" t="str">
            <v>S1004</v>
          </cell>
          <cell r="F134" t="str">
            <v>SKK  Mandarin C1</v>
          </cell>
          <cell r="G134" t="str">
            <v>0368879639</v>
          </cell>
          <cell r="H134" t="str">
            <v>Cô Liên</v>
          </cell>
          <cell r="I134" t="str">
            <v>Khách cũ</v>
          </cell>
          <cell r="J134" t="str">
            <v>Đơn bán</v>
          </cell>
          <cell r="K134" t="str">
            <v>SAKUKO845368</v>
          </cell>
          <cell r="L134" t="str">
            <v>THỰC PHẨM</v>
          </cell>
          <cell r="M134" t="str">
            <v>MỲ, MIẾN</v>
          </cell>
          <cell r="N134" t="str">
            <v>MỲ CHẾ BIẾN</v>
          </cell>
          <cell r="O134" t="str">
            <v>154251</v>
          </cell>
          <cell r="P134" t="str">
            <v>4560159440776</v>
          </cell>
          <cell r="Q134" t="str">
            <v>SATO_Mì soba khô 800g</v>
          </cell>
          <cell r="R134">
            <v>104000</v>
          </cell>
          <cell r="S134">
            <v>1</v>
          </cell>
          <cell r="T134">
            <v>104000</v>
          </cell>
          <cell r="U134">
            <v>0</v>
          </cell>
          <cell r="V134">
            <v>104000</v>
          </cell>
          <cell r="W134" t="str">
            <v>4560159440776</v>
          </cell>
        </row>
        <row r="135">
          <cell r="A135">
            <v>2026</v>
          </cell>
          <cell r="B135">
            <v>7</v>
          </cell>
          <cell r="C135">
            <v>46214</v>
          </cell>
          <cell r="D135" t="str">
            <v>1. SKK store</v>
          </cell>
          <cell r="E135" t="str">
            <v>S1004</v>
          </cell>
          <cell r="F135" t="str">
            <v>SKK  Mandarin C1</v>
          </cell>
          <cell r="G135" t="str">
            <v>0903424642</v>
          </cell>
          <cell r="H135" t="str">
            <v>Le Thanh Diep</v>
          </cell>
          <cell r="I135" t="str">
            <v>Khách cũ</v>
          </cell>
          <cell r="J135" t="str">
            <v>Đơn bán</v>
          </cell>
          <cell r="K135" t="str">
            <v>SAKUKO844855</v>
          </cell>
          <cell r="L135" t="str">
            <v>THỰC PHẨM</v>
          </cell>
          <cell r="M135" t="str">
            <v>MỲ, MIẾN</v>
          </cell>
          <cell r="N135" t="str">
            <v>MỲ ĂN LIỀN</v>
          </cell>
          <cell r="O135" t="str">
            <v>154359</v>
          </cell>
          <cell r="P135" t="str">
            <v>4979397000138</v>
          </cell>
          <cell r="Q135" t="str">
            <v>YAMAMOTO- Mì ramen ăn liền hải sản thịt heo 88g*5</v>
          </cell>
          <cell r="R135">
            <v>99000</v>
          </cell>
          <cell r="S135">
            <v>1</v>
          </cell>
          <cell r="T135">
            <v>99000</v>
          </cell>
          <cell r="U135">
            <v>0</v>
          </cell>
          <cell r="V135">
            <v>99000</v>
          </cell>
          <cell r="W135" t="str">
            <v>4979397000138</v>
          </cell>
        </row>
        <row r="136">
          <cell r="A136">
            <v>2026</v>
          </cell>
          <cell r="B136">
            <v>7</v>
          </cell>
          <cell r="C136">
            <v>46214</v>
          </cell>
          <cell r="D136" t="str">
            <v>1. SKK store</v>
          </cell>
          <cell r="E136" t="str">
            <v>S1004</v>
          </cell>
          <cell r="F136" t="str">
            <v>SKK  Mandarin C1</v>
          </cell>
          <cell r="G136" t="str">
            <v>0919618323</v>
          </cell>
          <cell r="H136" t="str">
            <v>cô tâm</v>
          </cell>
          <cell r="I136" t="str">
            <v>Khách cũ</v>
          </cell>
          <cell r="J136" t="str">
            <v>Đơn bán</v>
          </cell>
          <cell r="K136" t="str">
            <v>SAKUKO845261</v>
          </cell>
          <cell r="L136" t="str">
            <v>THỰC PHẨM</v>
          </cell>
          <cell r="M136" t="str">
            <v>MỲ, MIẾN</v>
          </cell>
          <cell r="N136" t="str">
            <v>MỲ ĂN LIỀN</v>
          </cell>
          <cell r="O136" t="str">
            <v>154198</v>
          </cell>
          <cell r="P136" t="str">
            <v>4979397000145</v>
          </cell>
          <cell r="Q136" t="str">
            <v>YAMAMOTO_Mì ramen ăn liền vị miso 90g*5</v>
          </cell>
          <cell r="R136">
            <v>99000</v>
          </cell>
          <cell r="S136">
            <v>1</v>
          </cell>
          <cell r="T136">
            <v>99000</v>
          </cell>
          <cell r="U136">
            <v>0</v>
          </cell>
          <cell r="V136">
            <v>99000</v>
          </cell>
          <cell r="W136" t="str">
            <v>4979397000145</v>
          </cell>
        </row>
        <row r="137">
          <cell r="A137">
            <v>2026</v>
          </cell>
          <cell r="B137">
            <v>7</v>
          </cell>
          <cell r="C137">
            <v>46214</v>
          </cell>
          <cell r="D137" t="str">
            <v>1. SKK store</v>
          </cell>
          <cell r="E137" t="str">
            <v>S1004</v>
          </cell>
          <cell r="F137" t="str">
            <v>SKK  Mandarin C1</v>
          </cell>
          <cell r="G137" t="str">
            <v>0976989986</v>
          </cell>
          <cell r="H137" t="str">
            <v>chị Hải Vân</v>
          </cell>
          <cell r="I137" t="str">
            <v>Khách cũ</v>
          </cell>
          <cell r="J137" t="str">
            <v>Đơn bán</v>
          </cell>
          <cell r="K137" t="str">
            <v>SAKUKO844551</v>
          </cell>
          <cell r="L137" t="str">
            <v>THỰC PHẨM</v>
          </cell>
          <cell r="M137" t="str">
            <v>MỲ, MIẾN</v>
          </cell>
          <cell r="N137" t="str">
            <v>MỲ CHẾ BIẾN</v>
          </cell>
          <cell r="O137" t="str">
            <v>174948</v>
          </cell>
          <cell r="P137" t="str">
            <v>4582114354119</v>
          </cell>
          <cell r="Q137" t="str">
            <v>SANUKISHISEI- Mì soumen 300g</v>
          </cell>
          <cell r="R137">
            <v>35000</v>
          </cell>
          <cell r="S137">
            <v>1</v>
          </cell>
          <cell r="T137">
            <v>35000</v>
          </cell>
          <cell r="U137">
            <v>0</v>
          </cell>
          <cell r="V137">
            <v>35000</v>
          </cell>
          <cell r="W137" t="str">
            <v>4582114354119</v>
          </cell>
        </row>
        <row r="138">
          <cell r="A138">
            <v>2026</v>
          </cell>
          <cell r="B138">
            <v>7</v>
          </cell>
          <cell r="C138">
            <v>46214</v>
          </cell>
          <cell r="D138" t="str">
            <v>1. SKK store</v>
          </cell>
          <cell r="E138" t="str">
            <v>S1005</v>
          </cell>
          <cell r="F138" t="str">
            <v>SKK  Thái Hà</v>
          </cell>
          <cell r="G138" t="str">
            <v>02466810505</v>
          </cell>
          <cell r="H138" t="str">
            <v>klth</v>
          </cell>
          <cell r="I138" t="str">
            <v>Khách vãng lai</v>
          </cell>
          <cell r="J138" t="str">
            <v>Đơn bán</v>
          </cell>
          <cell r="K138" t="str">
            <v>SAKUKO844702</v>
          </cell>
          <cell r="L138" t="str">
            <v>THỰC PHẨM</v>
          </cell>
          <cell r="M138" t="str">
            <v>MỲ, MIẾN</v>
          </cell>
          <cell r="N138" t="str">
            <v>MỲ ĂN LIỀN</v>
          </cell>
          <cell r="O138" t="str">
            <v>154359</v>
          </cell>
          <cell r="P138" t="str">
            <v>4979397000138</v>
          </cell>
          <cell r="Q138" t="str">
            <v>YAMAMOTO- Mì ramen ăn liền hải sản thịt heo 88g*5</v>
          </cell>
          <cell r="R138">
            <v>99000</v>
          </cell>
          <cell r="S138">
            <v>1</v>
          </cell>
          <cell r="T138">
            <v>99000</v>
          </cell>
          <cell r="U138">
            <v>0</v>
          </cell>
          <cell r="V138">
            <v>99000</v>
          </cell>
          <cell r="W138" t="str">
            <v>4979397000138</v>
          </cell>
        </row>
        <row r="139">
          <cell r="A139">
            <v>2026</v>
          </cell>
          <cell r="B139">
            <v>7</v>
          </cell>
          <cell r="C139">
            <v>46214</v>
          </cell>
          <cell r="D139" t="str">
            <v>1. SKK store</v>
          </cell>
          <cell r="E139" t="str">
            <v>S1005</v>
          </cell>
          <cell r="F139" t="str">
            <v>SKK  Thái Hà</v>
          </cell>
          <cell r="G139" t="str">
            <v>0914770888</v>
          </cell>
          <cell r="H139" t="str">
            <v>C linh</v>
          </cell>
          <cell r="I139" t="str">
            <v>Khách cũ</v>
          </cell>
          <cell r="J139" t="str">
            <v>Đơn bán</v>
          </cell>
          <cell r="K139" t="str">
            <v>SAKUKO845176</v>
          </cell>
          <cell r="L139" t="str">
            <v>NHÀ CỬA ĐỜI SỐNG</v>
          </cell>
          <cell r="M139" t="str">
            <v>PHÒNG CHỐNG CÔN TRÙNG</v>
          </cell>
          <cell r="N139" t="str">
            <v>DIỆT CÔN TRÙNG</v>
          </cell>
          <cell r="O139" t="str">
            <v>134480</v>
          </cell>
          <cell r="P139" t="str">
            <v>4987115545885</v>
          </cell>
          <cell r="Q139" t="str">
            <v>KINCHO-DD làm thơm phòng và đuổi muỗi (trái cây)</v>
          </cell>
          <cell r="R139">
            <v>239000</v>
          </cell>
          <cell r="S139">
            <v>1</v>
          </cell>
          <cell r="T139">
            <v>239000</v>
          </cell>
          <cell r="U139">
            <v>0</v>
          </cell>
          <cell r="V139">
            <v>239000</v>
          </cell>
          <cell r="W139" t="str">
            <v>4987115545885</v>
          </cell>
        </row>
        <row r="140">
          <cell r="A140">
            <v>2026</v>
          </cell>
          <cell r="B140">
            <v>7</v>
          </cell>
          <cell r="C140">
            <v>46214</v>
          </cell>
          <cell r="D140" t="str">
            <v>1. SKK store</v>
          </cell>
          <cell r="E140" t="str">
            <v>S1005</v>
          </cell>
          <cell r="F140" t="str">
            <v>SKK  Thái Hà</v>
          </cell>
          <cell r="G140" t="str">
            <v>0965596789</v>
          </cell>
          <cell r="H140" t="str">
            <v>Anh Tăng Thế Cường</v>
          </cell>
          <cell r="I140" t="str">
            <v>Khách cũ</v>
          </cell>
          <cell r="J140" t="str">
            <v>Đơn bán</v>
          </cell>
          <cell r="K140" t="str">
            <v>SAKUKO845004</v>
          </cell>
          <cell r="L140" t="str">
            <v>THỰC PHẨM</v>
          </cell>
          <cell r="M140" t="str">
            <v>MỲ, MIẾN</v>
          </cell>
          <cell r="N140" t="str">
            <v>MỲ ĂN LIỀN</v>
          </cell>
          <cell r="O140" t="str">
            <v>154359</v>
          </cell>
          <cell r="P140" t="str">
            <v>4979397000138</v>
          </cell>
          <cell r="Q140" t="str">
            <v>YAMAMOTO- Mì ramen ăn liền hải sản thịt heo 88g*5</v>
          </cell>
          <cell r="R140">
            <v>99000</v>
          </cell>
          <cell r="S140">
            <v>1</v>
          </cell>
          <cell r="T140">
            <v>99000</v>
          </cell>
          <cell r="U140">
            <v>0</v>
          </cell>
          <cell r="V140">
            <v>99000</v>
          </cell>
          <cell r="W140" t="str">
            <v>4979397000138</v>
          </cell>
        </row>
        <row r="141">
          <cell r="A141">
            <v>2026</v>
          </cell>
          <cell r="B141">
            <v>7</v>
          </cell>
          <cell r="C141">
            <v>46214</v>
          </cell>
          <cell r="D141" t="str">
            <v>1. SKK store</v>
          </cell>
          <cell r="E141" t="str">
            <v>S1005</v>
          </cell>
          <cell r="F141" t="str">
            <v>SKK  Thái Hà</v>
          </cell>
          <cell r="G141" t="str">
            <v>0977818668</v>
          </cell>
          <cell r="H141" t="str">
            <v>anh khachgs</v>
          </cell>
          <cell r="I141" t="str">
            <v>Khách mới</v>
          </cell>
          <cell r="J141" t="str">
            <v>Đơn bán</v>
          </cell>
          <cell r="K141" t="str">
            <v>SAKUKO844393</v>
          </cell>
          <cell r="L141" t="str">
            <v>THỰC PHẨM</v>
          </cell>
          <cell r="M141" t="str">
            <v>MỲ, MIẾN</v>
          </cell>
          <cell r="N141" t="str">
            <v>MỲ ĂN LIỀN</v>
          </cell>
          <cell r="O141" t="str">
            <v>155157</v>
          </cell>
          <cell r="P141" t="str">
            <v>8936049051586</v>
          </cell>
          <cell r="Q141" t="str">
            <v>OTOKI- Mì Jin cay ly 65g</v>
          </cell>
          <cell r="R141">
            <v>18000</v>
          </cell>
          <cell r="S141">
            <v>2</v>
          </cell>
          <cell r="T141">
            <v>36000</v>
          </cell>
          <cell r="U141">
            <v>0</v>
          </cell>
          <cell r="V141">
            <v>36000</v>
          </cell>
          <cell r="W141" t="str">
            <v>8936049051586</v>
          </cell>
        </row>
        <row r="142">
          <cell r="A142">
            <v>2026</v>
          </cell>
          <cell r="B142">
            <v>7</v>
          </cell>
          <cell r="C142">
            <v>46214</v>
          </cell>
          <cell r="D142" t="str">
            <v>1. SKK store</v>
          </cell>
          <cell r="E142" t="str">
            <v>S1005</v>
          </cell>
          <cell r="F142" t="str">
            <v>SKK  Thái Hà</v>
          </cell>
          <cell r="G142" t="str">
            <v>0988656358</v>
          </cell>
          <cell r="H142" t="str">
            <v>c bích</v>
          </cell>
          <cell r="I142" t="str">
            <v>Khách mới</v>
          </cell>
          <cell r="J142" t="str">
            <v>Đơn bán</v>
          </cell>
          <cell r="K142" t="str">
            <v>SAKUKO845517</v>
          </cell>
          <cell r="L142" t="str">
            <v>THỰC PHẨM</v>
          </cell>
          <cell r="M142" t="str">
            <v>MỲ, MIẾN</v>
          </cell>
          <cell r="N142" t="str">
            <v>MỲ ĂN LIỀN</v>
          </cell>
          <cell r="O142" t="str">
            <v>154198</v>
          </cell>
          <cell r="P142" t="str">
            <v>4979397000145</v>
          </cell>
          <cell r="Q142" t="str">
            <v>YAMAMOTO_Mì ramen ăn liền vị miso 90g*5</v>
          </cell>
          <cell r="R142">
            <v>99000</v>
          </cell>
          <cell r="S142">
            <v>1</v>
          </cell>
          <cell r="T142">
            <v>99000</v>
          </cell>
          <cell r="U142">
            <v>0</v>
          </cell>
          <cell r="V142">
            <v>99000</v>
          </cell>
          <cell r="W142" t="str">
            <v>4979397000145</v>
          </cell>
        </row>
        <row r="143">
          <cell r="A143">
            <v>2026</v>
          </cell>
          <cell r="B143">
            <v>7</v>
          </cell>
          <cell r="C143">
            <v>46214</v>
          </cell>
          <cell r="D143" t="str">
            <v>1. SKK store</v>
          </cell>
          <cell r="E143" t="str">
            <v>S1006</v>
          </cell>
          <cell r="F143" t="str">
            <v>SKK Trần Đăng Ninh</v>
          </cell>
          <cell r="G143" t="str">
            <v>0862954688</v>
          </cell>
          <cell r="H143" t="str">
            <v>KLTDN</v>
          </cell>
          <cell r="I143" t="str">
            <v>Khách vãng lai</v>
          </cell>
          <cell r="J143" t="str">
            <v>Đơn bán</v>
          </cell>
          <cell r="K143" t="str">
            <v>SAKUKO845454</v>
          </cell>
          <cell r="L143" t="str">
            <v>THỰC PHẨM</v>
          </cell>
          <cell r="M143" t="str">
            <v>MỲ, MIẾN</v>
          </cell>
          <cell r="N143" t="str">
            <v>MỲ ĂN LIỀN</v>
          </cell>
          <cell r="O143" t="str">
            <v>154359</v>
          </cell>
          <cell r="P143" t="str">
            <v>4979397000138</v>
          </cell>
          <cell r="Q143" t="str">
            <v>YAMAMOTO- Mì ramen ăn liền hải sản thịt heo 88g*5</v>
          </cell>
          <cell r="R143">
            <v>99000</v>
          </cell>
          <cell r="S143">
            <v>1</v>
          </cell>
          <cell r="T143">
            <v>99000</v>
          </cell>
          <cell r="U143">
            <v>0</v>
          </cell>
          <cell r="V143">
            <v>99000</v>
          </cell>
          <cell r="W143" t="str">
            <v>4979397000138</v>
          </cell>
        </row>
        <row r="144">
          <cell r="A144">
            <v>2026</v>
          </cell>
          <cell r="B144">
            <v>7</v>
          </cell>
          <cell r="C144">
            <v>46214</v>
          </cell>
          <cell r="D144" t="str">
            <v>1. SKK store</v>
          </cell>
          <cell r="E144" t="str">
            <v>S1006</v>
          </cell>
          <cell r="F144" t="str">
            <v>SKK Trần Đăng Ninh</v>
          </cell>
          <cell r="G144" t="str">
            <v>0913876688</v>
          </cell>
          <cell r="H144" t="str">
            <v>chị Phương</v>
          </cell>
          <cell r="I144" t="str">
            <v>Khách cũ</v>
          </cell>
          <cell r="J144" t="str">
            <v>Đơn bán</v>
          </cell>
          <cell r="K144" t="str">
            <v>SAKUKO844884</v>
          </cell>
          <cell r="L144" t="str">
            <v>CHĂM SÓC SẮC ĐẸP</v>
          </cell>
          <cell r="M144" t="str">
            <v>CHĂM SÓC DA</v>
          </cell>
          <cell r="N144" t="str">
            <v>KEM DƯỠNG</v>
          </cell>
          <cell r="O144" t="str">
            <v>102384</v>
          </cell>
          <cell r="P144" t="str">
            <v>4902468820014</v>
          </cell>
          <cell r="Q144" t="str">
            <v>MEISHOKU- Kem gel dưỡng ẩm phục hồi chuyên sâu 50g</v>
          </cell>
          <cell r="R144">
            <v>575000</v>
          </cell>
          <cell r="S144">
            <v>1</v>
          </cell>
          <cell r="T144">
            <v>575000</v>
          </cell>
          <cell r="U144">
            <v>0</v>
          </cell>
          <cell r="V144">
            <v>575000</v>
          </cell>
          <cell r="W144" t="str">
            <v>4902468820014</v>
          </cell>
        </row>
        <row r="145">
          <cell r="A145">
            <v>2026</v>
          </cell>
          <cell r="B145">
            <v>7</v>
          </cell>
          <cell r="C145">
            <v>46214</v>
          </cell>
          <cell r="D145" t="str">
            <v>1. SKK store</v>
          </cell>
          <cell r="E145" t="str">
            <v>S1006</v>
          </cell>
          <cell r="F145" t="str">
            <v>SKK Trần Đăng Ninh</v>
          </cell>
          <cell r="G145" t="str">
            <v>0942090509</v>
          </cell>
          <cell r="H145" t="str">
            <v>dương nga</v>
          </cell>
          <cell r="I145" t="str">
            <v>Khách cũ</v>
          </cell>
          <cell r="J145" t="str">
            <v>Đơn bán</v>
          </cell>
          <cell r="K145" t="str">
            <v>SAKUKO845064</v>
          </cell>
          <cell r="L145" t="str">
            <v>THỰC PHẨM</v>
          </cell>
          <cell r="M145" t="str">
            <v>MỲ, MIẾN</v>
          </cell>
          <cell r="N145" t="str">
            <v>MỲ ĂN LIỀN</v>
          </cell>
          <cell r="O145" t="str">
            <v>155155</v>
          </cell>
          <cell r="P145" t="str">
            <v>8936049051708</v>
          </cell>
          <cell r="Q145" t="str">
            <v>OTOKI- Mì Jin không cay tô 110g</v>
          </cell>
          <cell r="R145">
            <v>22000</v>
          </cell>
          <cell r="S145">
            <v>1</v>
          </cell>
          <cell r="T145">
            <v>22000</v>
          </cell>
          <cell r="U145">
            <v>0</v>
          </cell>
          <cell r="V145">
            <v>22000</v>
          </cell>
          <cell r="W145" t="str">
            <v>8936049051708</v>
          </cell>
        </row>
        <row r="146">
          <cell r="A146">
            <v>2026</v>
          </cell>
          <cell r="B146">
            <v>7</v>
          </cell>
          <cell r="C146">
            <v>46214</v>
          </cell>
          <cell r="D146" t="str">
            <v>1. SKK store</v>
          </cell>
          <cell r="E146" t="str">
            <v>S1006</v>
          </cell>
          <cell r="F146" t="str">
            <v>SKK Trần Đăng Ninh</v>
          </cell>
          <cell r="G146" t="str">
            <v>0983890066</v>
          </cell>
          <cell r="H146" t="str">
            <v>Chị Trần Thị Kim Cúc</v>
          </cell>
          <cell r="I146" t="str">
            <v>Khách cũ</v>
          </cell>
          <cell r="J146" t="str">
            <v>Đơn bán</v>
          </cell>
          <cell r="K146" t="str">
            <v>SAKUKO844550</v>
          </cell>
          <cell r="L146" t="str">
            <v>CHĂM SÓC SẮC ĐẸP</v>
          </cell>
          <cell r="M146" t="str">
            <v>CHĂM SÓC DA</v>
          </cell>
          <cell r="N146" t="str">
            <v>RỬA MẶT</v>
          </cell>
          <cell r="O146" t="str">
            <v>102386</v>
          </cell>
          <cell r="P146" t="str">
            <v>4902468816062</v>
          </cell>
          <cell r="Q146" t="str">
            <v>MEISHOKU- Sữa rửa mặt sáng da Cvita 100g</v>
          </cell>
          <cell r="R146">
            <v>290000</v>
          </cell>
          <cell r="S146">
            <v>1</v>
          </cell>
          <cell r="T146">
            <v>290000</v>
          </cell>
          <cell r="U146">
            <v>0</v>
          </cell>
          <cell r="V146">
            <v>290000</v>
          </cell>
          <cell r="W146" t="str">
            <v>4902468816062</v>
          </cell>
        </row>
        <row r="147">
          <cell r="A147">
            <v>2026</v>
          </cell>
          <cell r="B147">
            <v>7</v>
          </cell>
          <cell r="C147">
            <v>46214</v>
          </cell>
          <cell r="D147" t="str">
            <v>1. SKK store</v>
          </cell>
          <cell r="E147" t="str">
            <v>S1006</v>
          </cell>
          <cell r="F147" t="str">
            <v>SKK Trần Đăng Ninh</v>
          </cell>
          <cell r="G147" t="str">
            <v>0986505067</v>
          </cell>
          <cell r="H147" t="str">
            <v>Chị Doanh</v>
          </cell>
          <cell r="I147" t="str">
            <v>Khách cũ</v>
          </cell>
          <cell r="J147" t="str">
            <v>Đơn bán</v>
          </cell>
          <cell r="K147" t="str">
            <v>SAKUKO844695</v>
          </cell>
          <cell r="L147" t="str">
            <v>CHĂM SÓC SẮC ĐẸP</v>
          </cell>
          <cell r="M147" t="str">
            <v>CHĂM SÓC DA</v>
          </cell>
          <cell r="N147" t="str">
            <v>KEM DƯỠNG</v>
          </cell>
          <cell r="O147" t="str">
            <v>102384</v>
          </cell>
          <cell r="P147" t="str">
            <v>4902468820014</v>
          </cell>
          <cell r="Q147" t="str">
            <v>MEISHOKU- Kem gel dưỡng ẩm phục hồi chuyên sâu 50g</v>
          </cell>
          <cell r="R147">
            <v>575000</v>
          </cell>
          <cell r="S147">
            <v>1</v>
          </cell>
          <cell r="T147">
            <v>575000</v>
          </cell>
          <cell r="U147">
            <v>0</v>
          </cell>
          <cell r="V147">
            <v>575000</v>
          </cell>
          <cell r="W147" t="str">
            <v>4902468820014</v>
          </cell>
        </row>
        <row r="148">
          <cell r="A148">
            <v>2026</v>
          </cell>
          <cell r="B148">
            <v>7</v>
          </cell>
          <cell r="C148">
            <v>46214</v>
          </cell>
          <cell r="D148" t="str">
            <v>1. SKK store</v>
          </cell>
          <cell r="E148" t="str">
            <v>S1006</v>
          </cell>
          <cell r="F148" t="str">
            <v>SKK Trần Đăng Ninh</v>
          </cell>
          <cell r="G148" t="str">
            <v>0986505067</v>
          </cell>
          <cell r="H148" t="str">
            <v>Chị Doanh</v>
          </cell>
          <cell r="I148" t="str">
            <v>Khách cũ</v>
          </cell>
          <cell r="J148" t="str">
            <v>Đơn bán</v>
          </cell>
          <cell r="K148" t="str">
            <v>SAKUKO844695</v>
          </cell>
          <cell r="L148" t="str">
            <v>CHĂM SÓC SẮC ĐẸP</v>
          </cell>
          <cell r="M148" t="str">
            <v>CHĂM SÓC DA</v>
          </cell>
          <cell r="N148" t="str">
            <v>KEM DƯỠNG</v>
          </cell>
          <cell r="O148" t="str">
            <v>102420</v>
          </cell>
          <cell r="P148" t="str">
            <v>4902468820007</v>
          </cell>
          <cell r="Q148" t="str">
            <v>MEISHOKU- Tinh chất dưỡng ẩm chuyên sâu 30ml</v>
          </cell>
          <cell r="R148">
            <v>555000</v>
          </cell>
          <cell r="S148">
            <v>1</v>
          </cell>
          <cell r="T148">
            <v>555000</v>
          </cell>
          <cell r="U148">
            <v>0</v>
          </cell>
          <cell r="V148">
            <v>555000</v>
          </cell>
          <cell r="W148" t="str">
            <v>4902468820007</v>
          </cell>
        </row>
        <row r="149">
          <cell r="A149">
            <v>2026</v>
          </cell>
          <cell r="B149">
            <v>7</v>
          </cell>
          <cell r="C149">
            <v>46214</v>
          </cell>
          <cell r="D149" t="str">
            <v>1. SKK store</v>
          </cell>
          <cell r="E149" t="str">
            <v>S1007</v>
          </cell>
          <cell r="F149" t="str">
            <v>SKK  Nguyễn Du</v>
          </cell>
          <cell r="G149" t="str">
            <v>0889859999</v>
          </cell>
          <cell r="H149" t="str">
            <v>Anh Giang</v>
          </cell>
          <cell r="I149" t="str">
            <v>Khách mới</v>
          </cell>
          <cell r="J149" t="str">
            <v>Đơn bán</v>
          </cell>
          <cell r="K149" t="str">
            <v>SAKUKO845546</v>
          </cell>
          <cell r="L149" t="str">
            <v>ĐỒ CHO MẸ BÉ</v>
          </cell>
          <cell r="M149" t="str">
            <v>GIẤY ƯỚT</v>
          </cell>
          <cell r="N149" t="str">
            <v>GIẤY ƯỚT CHO BÉ</v>
          </cell>
          <cell r="O149" t="str">
            <v>121677</v>
          </cell>
          <cell r="P149" t="str">
            <v>8801260608836</v>
          </cell>
          <cell r="Q149" t="str">
            <v>KLEANNARA- Khăn ướt 5 tinh chất (có nắp) 100 tờ</v>
          </cell>
          <cell r="R149">
            <v>52000</v>
          </cell>
          <cell r="S149">
            <v>1</v>
          </cell>
          <cell r="T149">
            <v>52000</v>
          </cell>
          <cell r="U149">
            <v>0</v>
          </cell>
          <cell r="V149">
            <v>52000</v>
          </cell>
          <cell r="W149" t="str">
            <v>8801260608836</v>
          </cell>
        </row>
        <row r="150">
          <cell r="A150">
            <v>2026</v>
          </cell>
          <cell r="B150">
            <v>7</v>
          </cell>
          <cell r="C150">
            <v>46214</v>
          </cell>
          <cell r="D150" t="str">
            <v>1. SKK store</v>
          </cell>
          <cell r="E150" t="str">
            <v>S1007</v>
          </cell>
          <cell r="F150" t="str">
            <v>SKK  Nguyễn Du</v>
          </cell>
          <cell r="G150" t="str">
            <v>0903258998</v>
          </cell>
          <cell r="H150" t="str">
            <v>chị Hà</v>
          </cell>
          <cell r="I150" t="str">
            <v>Khách mới</v>
          </cell>
          <cell r="J150" t="str">
            <v>Đơn bán</v>
          </cell>
          <cell r="K150" t="str">
            <v>SAKUKO845317</v>
          </cell>
          <cell r="L150" t="str">
            <v>THỰC PHẨM</v>
          </cell>
          <cell r="M150" t="str">
            <v>BÁNH KẸO, ĐỒ ĂN VẶT</v>
          </cell>
          <cell r="N150" t="str">
            <v>KẸO CAO SU</v>
          </cell>
          <cell r="O150" t="str">
            <v>154105</v>
          </cell>
          <cell r="P150" t="str">
            <v>4547894156612</v>
          </cell>
          <cell r="Q150" t="str">
            <v>MONDELEZ JAPAN - Kẹo cao su 112g</v>
          </cell>
          <cell r="R150">
            <v>235000</v>
          </cell>
          <cell r="S150">
            <v>1</v>
          </cell>
          <cell r="T150">
            <v>235000</v>
          </cell>
          <cell r="U150">
            <v>0</v>
          </cell>
          <cell r="V150">
            <v>235000</v>
          </cell>
          <cell r="W150" t="str">
            <v>4547894156612</v>
          </cell>
        </row>
        <row r="151">
          <cell r="A151">
            <v>2026</v>
          </cell>
          <cell r="B151">
            <v>7</v>
          </cell>
          <cell r="C151">
            <v>46214</v>
          </cell>
          <cell r="D151" t="str">
            <v>1. SKK store</v>
          </cell>
          <cell r="E151" t="str">
            <v>S1007</v>
          </cell>
          <cell r="F151" t="str">
            <v>SKK  Nguyễn Du</v>
          </cell>
          <cell r="G151" t="str">
            <v>0914569669</v>
          </cell>
          <cell r="H151" t="str">
            <v>Chị Tình</v>
          </cell>
          <cell r="I151" t="str">
            <v>Khách cũ</v>
          </cell>
          <cell r="J151" t="str">
            <v>Đơn bán</v>
          </cell>
          <cell r="K151" t="str">
            <v>SAKUKO844657</v>
          </cell>
          <cell r="L151" t="str">
            <v>THỰC PHẨM</v>
          </cell>
          <cell r="M151" t="str">
            <v>MỲ, MIẾN</v>
          </cell>
          <cell r="N151" t="str">
            <v>MỲ ĂN LIỀN</v>
          </cell>
          <cell r="O151" t="str">
            <v>154829</v>
          </cell>
          <cell r="P151" t="str">
            <v>8936049051654</v>
          </cell>
          <cell r="Q151" t="str">
            <v>OTOKI- Mì tô Yeul cay 105g</v>
          </cell>
          <cell r="R151">
            <v>23000</v>
          </cell>
          <cell r="S151">
            <v>1</v>
          </cell>
          <cell r="T151">
            <v>23000</v>
          </cell>
          <cell r="U151">
            <v>0</v>
          </cell>
          <cell r="V151">
            <v>23000</v>
          </cell>
          <cell r="W151" t="str">
            <v>8936049051654</v>
          </cell>
        </row>
        <row r="152">
          <cell r="A152">
            <v>2026</v>
          </cell>
          <cell r="B152">
            <v>7</v>
          </cell>
          <cell r="C152">
            <v>46214</v>
          </cell>
          <cell r="D152" t="str">
            <v>1. SKK store</v>
          </cell>
          <cell r="E152" t="str">
            <v>S1007</v>
          </cell>
          <cell r="F152" t="str">
            <v>SKK  Nguyễn Du</v>
          </cell>
          <cell r="G152" t="str">
            <v>0914569669</v>
          </cell>
          <cell r="H152" t="str">
            <v>Chị Tình</v>
          </cell>
          <cell r="I152" t="str">
            <v>Khách cũ</v>
          </cell>
          <cell r="J152" t="str">
            <v>Đơn bán</v>
          </cell>
          <cell r="K152" t="str">
            <v>SAKUKO844657</v>
          </cell>
          <cell r="L152" t="str">
            <v>THỰC PHẨM</v>
          </cell>
          <cell r="M152" t="str">
            <v>MỲ, MIẾN</v>
          </cell>
          <cell r="N152" t="str">
            <v>MỲ ĂN LIỀN</v>
          </cell>
          <cell r="O152" t="str">
            <v>155155</v>
          </cell>
          <cell r="P152" t="str">
            <v>8936049051708</v>
          </cell>
          <cell r="Q152" t="str">
            <v>OTOKI- Mì Jin không cay tô 110g</v>
          </cell>
          <cell r="R152">
            <v>22000</v>
          </cell>
          <cell r="S152">
            <v>1</v>
          </cell>
          <cell r="T152">
            <v>22000</v>
          </cell>
          <cell r="U152">
            <v>0</v>
          </cell>
          <cell r="V152">
            <v>22000</v>
          </cell>
          <cell r="W152" t="str">
            <v>8936049051708</v>
          </cell>
        </row>
        <row r="153">
          <cell r="A153">
            <v>2026</v>
          </cell>
          <cell r="B153">
            <v>7</v>
          </cell>
          <cell r="C153">
            <v>46214</v>
          </cell>
          <cell r="D153" t="str">
            <v>1. SKK store</v>
          </cell>
          <cell r="E153" t="str">
            <v>S1007</v>
          </cell>
          <cell r="F153" t="str">
            <v>SKK  Nguyễn Du</v>
          </cell>
          <cell r="G153" t="str">
            <v>0914569669</v>
          </cell>
          <cell r="H153" t="str">
            <v>Chị Tình</v>
          </cell>
          <cell r="I153" t="str">
            <v>Khách cũ</v>
          </cell>
          <cell r="J153" t="str">
            <v>Đơn bán</v>
          </cell>
          <cell r="K153" t="str">
            <v>SAKUKO844657</v>
          </cell>
          <cell r="L153" t="str">
            <v>THỰC PHẨM</v>
          </cell>
          <cell r="M153" t="str">
            <v>MỲ, MIẾN</v>
          </cell>
          <cell r="N153" t="str">
            <v>MỲ CHẾ BIẾN</v>
          </cell>
          <cell r="O153" t="str">
            <v>154831</v>
          </cell>
          <cell r="P153" t="str">
            <v>8936049051715</v>
          </cell>
          <cell r="Q153" t="str">
            <v>OTOKI- Mì tô Jin sốt tương đen 115g</v>
          </cell>
          <cell r="R153">
            <v>24000</v>
          </cell>
          <cell r="S153">
            <v>2</v>
          </cell>
          <cell r="T153">
            <v>48000</v>
          </cell>
          <cell r="U153">
            <v>0</v>
          </cell>
          <cell r="V153">
            <v>48000</v>
          </cell>
          <cell r="W153" t="str">
            <v>8936049051715</v>
          </cell>
        </row>
        <row r="154">
          <cell r="A154">
            <v>2026</v>
          </cell>
          <cell r="B154">
            <v>7</v>
          </cell>
          <cell r="C154">
            <v>46214</v>
          </cell>
          <cell r="D154" t="str">
            <v>1. SKK store</v>
          </cell>
          <cell r="E154" t="str">
            <v>S1007</v>
          </cell>
          <cell r="F154" t="str">
            <v>SKK  Nguyễn Du</v>
          </cell>
          <cell r="G154" t="str">
            <v>0919645629</v>
          </cell>
          <cell r="H154" t="str">
            <v>Anh Bùi Hữu Thắng</v>
          </cell>
          <cell r="I154" t="str">
            <v>Khách cũ</v>
          </cell>
          <cell r="J154" t="str">
            <v>Đơn bán</v>
          </cell>
          <cell r="K154" t="str">
            <v>SAKUKO845234</v>
          </cell>
          <cell r="L154" t="str">
            <v>CHĂM SÓC SẮC ĐẸP</v>
          </cell>
          <cell r="M154" t="str">
            <v>CHĂM SÓC DA</v>
          </cell>
          <cell r="N154" t="str">
            <v>KEM DƯỠNG</v>
          </cell>
          <cell r="O154" t="str">
            <v>102418</v>
          </cell>
          <cell r="P154" t="str">
            <v>4902468297021</v>
          </cell>
          <cell r="Q154" t="str">
            <v>MEISHOKU- Kem dưỡng da dịu nhẹ 45g</v>
          </cell>
          <cell r="R154">
            <v>435000</v>
          </cell>
          <cell r="S154">
            <v>1</v>
          </cell>
          <cell r="T154">
            <v>435000</v>
          </cell>
          <cell r="U154">
            <v>0</v>
          </cell>
          <cell r="V154">
            <v>435000</v>
          </cell>
          <cell r="W154" t="str">
            <v>4902468297021</v>
          </cell>
        </row>
        <row r="155">
          <cell r="A155">
            <v>2026</v>
          </cell>
          <cell r="B155">
            <v>7</v>
          </cell>
          <cell r="C155">
            <v>46214</v>
          </cell>
          <cell r="D155" t="str">
            <v>1. SKK store</v>
          </cell>
          <cell r="E155" t="str">
            <v>S1007</v>
          </cell>
          <cell r="F155" t="str">
            <v>SKK  Nguyễn Du</v>
          </cell>
          <cell r="G155" t="str">
            <v>0977885631</v>
          </cell>
          <cell r="H155" t="str">
            <v>Bạn Nam Anh</v>
          </cell>
          <cell r="I155" t="str">
            <v>Khách mới</v>
          </cell>
          <cell r="J155" t="str">
            <v>Đơn bán</v>
          </cell>
          <cell r="K155" t="str">
            <v>SAKUKO845080</v>
          </cell>
          <cell r="L155" t="str">
            <v>THỰC PHẨM</v>
          </cell>
          <cell r="M155" t="str">
            <v>MỲ, MIẾN</v>
          </cell>
          <cell r="N155" t="str">
            <v>MỲ ĂN LIỀN</v>
          </cell>
          <cell r="O155" t="str">
            <v>155158</v>
          </cell>
          <cell r="P155" t="str">
            <v>8936049051593</v>
          </cell>
          <cell r="Q155" t="str">
            <v>OTOKI- Mì Jin không cay ly 65g</v>
          </cell>
          <cell r="R155">
            <v>18000</v>
          </cell>
          <cell r="S155">
            <v>1</v>
          </cell>
          <cell r="T155">
            <v>18000</v>
          </cell>
          <cell r="U155">
            <v>0</v>
          </cell>
          <cell r="V155">
            <v>18000</v>
          </cell>
          <cell r="W155" t="str">
            <v>8936049051593</v>
          </cell>
        </row>
        <row r="156">
          <cell r="A156">
            <v>2026</v>
          </cell>
          <cell r="B156">
            <v>7</v>
          </cell>
          <cell r="C156">
            <v>46214</v>
          </cell>
          <cell r="D156" t="str">
            <v>1. SKK store</v>
          </cell>
          <cell r="E156" t="str">
            <v>S1007</v>
          </cell>
          <cell r="F156" t="str">
            <v>SKK  Nguyễn Du</v>
          </cell>
          <cell r="G156" t="str">
            <v>0977885631</v>
          </cell>
          <cell r="H156" t="str">
            <v>Bạn Nam Anh</v>
          </cell>
          <cell r="I156" t="str">
            <v>Khách mới</v>
          </cell>
          <cell r="J156" t="str">
            <v>Đơn bán</v>
          </cell>
          <cell r="K156" t="str">
            <v>SAKUKO845080</v>
          </cell>
          <cell r="L156" t="str">
            <v>THỰC PHẨM</v>
          </cell>
          <cell r="M156" t="str">
            <v>MỲ, MIẾN</v>
          </cell>
          <cell r="N156" t="str">
            <v>MỲ CHẾ BIẾN</v>
          </cell>
          <cell r="O156" t="str">
            <v>154830</v>
          </cell>
          <cell r="P156" t="str">
            <v>8936049051609</v>
          </cell>
          <cell r="Q156" t="str">
            <v>OTOKI- Mì ly Jin sốt tương đen 70g</v>
          </cell>
          <cell r="R156">
            <v>18000</v>
          </cell>
          <cell r="S156">
            <v>1</v>
          </cell>
          <cell r="T156">
            <v>18000</v>
          </cell>
          <cell r="U156">
            <v>0</v>
          </cell>
          <cell r="V156">
            <v>18000</v>
          </cell>
          <cell r="W156" t="str">
            <v>8936049051609</v>
          </cell>
        </row>
        <row r="157">
          <cell r="A157">
            <v>2026</v>
          </cell>
          <cell r="B157">
            <v>7</v>
          </cell>
          <cell r="C157">
            <v>46214</v>
          </cell>
          <cell r="D157" t="str">
            <v>1. SKK store</v>
          </cell>
          <cell r="E157" t="str">
            <v>S1007</v>
          </cell>
          <cell r="F157" t="str">
            <v>SKK  Nguyễn Du</v>
          </cell>
          <cell r="G157" t="str">
            <v>0984538275</v>
          </cell>
          <cell r="H157" t="str">
            <v>chị ngọc</v>
          </cell>
          <cell r="I157" t="str">
            <v>Khách cũ</v>
          </cell>
          <cell r="J157" t="str">
            <v>Đơn bán</v>
          </cell>
          <cell r="K157" t="str">
            <v>SAKUKO845643</v>
          </cell>
          <cell r="L157" t="str">
            <v>THỰC PHẨM</v>
          </cell>
          <cell r="M157" t="str">
            <v>MỲ, MIẾN</v>
          </cell>
          <cell r="N157" t="str">
            <v>MỲ CHẾ BIẾN</v>
          </cell>
          <cell r="O157" t="str">
            <v>154830</v>
          </cell>
          <cell r="P157" t="str">
            <v>8936049051609</v>
          </cell>
          <cell r="Q157" t="str">
            <v>OTOKI- Mì ly Jin sốt tương đen 70g</v>
          </cell>
          <cell r="R157">
            <v>18000</v>
          </cell>
          <cell r="S157">
            <v>1</v>
          </cell>
          <cell r="T157">
            <v>18000</v>
          </cell>
          <cell r="U157">
            <v>0</v>
          </cell>
          <cell r="V157">
            <v>18000</v>
          </cell>
          <cell r="W157" t="str">
            <v>8936049051609</v>
          </cell>
        </row>
        <row r="158">
          <cell r="A158">
            <v>2026</v>
          </cell>
          <cell r="B158">
            <v>7</v>
          </cell>
          <cell r="C158">
            <v>46214</v>
          </cell>
          <cell r="D158" t="str">
            <v>1. SKK store</v>
          </cell>
          <cell r="E158" t="str">
            <v>S1008</v>
          </cell>
          <cell r="F158" t="str">
            <v>SKK  Hàng Bông</v>
          </cell>
          <cell r="G158" t="str">
            <v>0944191080</v>
          </cell>
          <cell r="H158" t="str">
            <v>Anh Bình</v>
          </cell>
          <cell r="I158" t="str">
            <v>Khách cũ</v>
          </cell>
          <cell r="J158" t="str">
            <v>Đơn bán</v>
          </cell>
          <cell r="K158" t="str">
            <v>SAKUKO844488</v>
          </cell>
          <cell r="L158" t="str">
            <v>ĐỒ CHO MẸ BÉ</v>
          </cell>
          <cell r="M158" t="str">
            <v>GIẤY ƯỚT</v>
          </cell>
          <cell r="N158" t="str">
            <v>GIẤY ƯỚT CHO BÉ</v>
          </cell>
          <cell r="O158" t="str">
            <v>121677</v>
          </cell>
          <cell r="P158" t="str">
            <v>8801260608836</v>
          </cell>
          <cell r="Q158" t="str">
            <v>KLEANNARA- Khăn ướt 5 tinh chất (có nắp) 100 tờ</v>
          </cell>
          <cell r="R158">
            <v>52000</v>
          </cell>
          <cell r="S158">
            <v>1</v>
          </cell>
          <cell r="T158">
            <v>52000</v>
          </cell>
          <cell r="U158">
            <v>0</v>
          </cell>
          <cell r="V158">
            <v>52000</v>
          </cell>
          <cell r="W158" t="str">
            <v>8801260608836</v>
          </cell>
        </row>
        <row r="159">
          <cell r="A159">
            <v>2026</v>
          </cell>
          <cell r="B159">
            <v>7</v>
          </cell>
          <cell r="C159">
            <v>46214</v>
          </cell>
          <cell r="D159" t="str">
            <v>1. SKK store</v>
          </cell>
          <cell r="E159" t="str">
            <v>S1015</v>
          </cell>
          <cell r="F159" t="str">
            <v>SKK Hàm Nghi</v>
          </cell>
          <cell r="G159" t="str">
            <v>02422409595</v>
          </cell>
          <cell r="H159" t="str">
            <v>klhn</v>
          </cell>
          <cell r="I159" t="str">
            <v>Khách vãng lai</v>
          </cell>
          <cell r="J159" t="str">
            <v>Đơn bán</v>
          </cell>
          <cell r="K159" t="str">
            <v>SAKUKO844996</v>
          </cell>
          <cell r="L159" t="str">
            <v>THỰC PHẨM</v>
          </cell>
          <cell r="M159" t="str">
            <v>MỲ, MIẾN</v>
          </cell>
          <cell r="N159" t="str">
            <v>MỲ ĂN LIỀN</v>
          </cell>
          <cell r="O159" t="str">
            <v>155161</v>
          </cell>
          <cell r="P159" t="str">
            <v>8936049052378</v>
          </cell>
          <cell r="Q159" t="str">
            <v>OTOKI- Mì Jin tương đen vị bò ly 65g</v>
          </cell>
          <cell r="R159">
            <v>18000</v>
          </cell>
          <cell r="S159">
            <v>1</v>
          </cell>
          <cell r="T159">
            <v>18000</v>
          </cell>
          <cell r="U159">
            <v>0</v>
          </cell>
          <cell r="V159">
            <v>18000</v>
          </cell>
          <cell r="W159" t="str">
            <v>8936049052378</v>
          </cell>
        </row>
        <row r="160">
          <cell r="A160">
            <v>2026</v>
          </cell>
          <cell r="B160">
            <v>7</v>
          </cell>
          <cell r="C160">
            <v>46214</v>
          </cell>
          <cell r="D160" t="str">
            <v>1. SKK store</v>
          </cell>
          <cell r="E160" t="str">
            <v>S1015</v>
          </cell>
          <cell r="F160" t="str">
            <v>SKK Hàm Nghi</v>
          </cell>
          <cell r="G160" t="str">
            <v>0378672162</v>
          </cell>
          <cell r="H160" t="str">
            <v>Trang</v>
          </cell>
          <cell r="I160" t="str">
            <v>Khách cũ</v>
          </cell>
          <cell r="J160" t="str">
            <v>Đơn bán</v>
          </cell>
          <cell r="K160" t="str">
            <v>SAKUKO845058</v>
          </cell>
          <cell r="L160" t="str">
            <v>ĐỒ CHO MẸ BÉ</v>
          </cell>
          <cell r="M160" t="str">
            <v>GIẤY ƯỚT</v>
          </cell>
          <cell r="N160" t="str">
            <v>GIẤY ƯỚT CHO BÉ</v>
          </cell>
          <cell r="O160" t="str">
            <v>121665</v>
          </cell>
          <cell r="P160" t="str">
            <v>8934755035289</v>
          </cell>
          <cell r="Q160" t="str">
            <v>BOBBY- Khăn ướt em bé không mùi 100 miếng</v>
          </cell>
          <cell r="R160">
            <v>46000</v>
          </cell>
          <cell r="S160">
            <v>1</v>
          </cell>
          <cell r="T160">
            <v>46000</v>
          </cell>
          <cell r="U160">
            <v>0</v>
          </cell>
          <cell r="V160">
            <v>46000</v>
          </cell>
          <cell r="W160" t="str">
            <v>8934755035289</v>
          </cell>
        </row>
        <row r="161">
          <cell r="A161">
            <v>2026</v>
          </cell>
          <cell r="B161">
            <v>7</v>
          </cell>
          <cell r="C161">
            <v>46214</v>
          </cell>
          <cell r="D161" t="str">
            <v>1. SKK store</v>
          </cell>
          <cell r="E161" t="str">
            <v>S1015</v>
          </cell>
          <cell r="F161" t="str">
            <v>SKK Hàm Nghi</v>
          </cell>
          <cell r="G161" t="str">
            <v>0915060767</v>
          </cell>
          <cell r="H161" t="str">
            <v>Phạm Anh Thư</v>
          </cell>
          <cell r="I161" t="str">
            <v>Khách cũ</v>
          </cell>
          <cell r="J161" t="str">
            <v>Đơn bán</v>
          </cell>
          <cell r="K161" t="str">
            <v>SAKUKO844493</v>
          </cell>
          <cell r="L161" t="str">
            <v>THỰC PHẨM</v>
          </cell>
          <cell r="M161" t="str">
            <v>MỲ, MIẾN</v>
          </cell>
          <cell r="N161" t="str">
            <v>MỲ ĂN LIỀN</v>
          </cell>
          <cell r="O161" t="str">
            <v>154828</v>
          </cell>
          <cell r="P161" t="str">
            <v>8936049051616</v>
          </cell>
          <cell r="Q161" t="str">
            <v>OTOKI- Mì ly Yeul cay 62g</v>
          </cell>
          <cell r="R161">
            <v>15000</v>
          </cell>
          <cell r="S161">
            <v>1</v>
          </cell>
          <cell r="T161">
            <v>15000</v>
          </cell>
          <cell r="U161">
            <v>0</v>
          </cell>
          <cell r="V161">
            <v>15000</v>
          </cell>
          <cell r="W161" t="str">
            <v>8936049051616</v>
          </cell>
        </row>
        <row r="162">
          <cell r="A162">
            <v>2026</v>
          </cell>
          <cell r="B162">
            <v>7</v>
          </cell>
          <cell r="C162">
            <v>46214</v>
          </cell>
          <cell r="D162" t="str">
            <v>1. SKK store</v>
          </cell>
          <cell r="E162" t="str">
            <v>S1015</v>
          </cell>
          <cell r="F162" t="str">
            <v>SKK Hàm Nghi</v>
          </cell>
          <cell r="G162" t="str">
            <v>0915060767</v>
          </cell>
          <cell r="H162" t="str">
            <v>Phạm Anh Thư</v>
          </cell>
          <cell r="I162" t="str">
            <v>Khách cũ</v>
          </cell>
          <cell r="J162" t="str">
            <v>Đơn bán</v>
          </cell>
          <cell r="K162" t="str">
            <v>SAKUKO844493</v>
          </cell>
          <cell r="L162" t="str">
            <v>THỰC PHẨM</v>
          </cell>
          <cell r="M162" t="str">
            <v>MỲ, MIẾN</v>
          </cell>
          <cell r="N162" t="str">
            <v>MỲ ĂN LIỀN</v>
          </cell>
          <cell r="O162" t="str">
            <v>155159</v>
          </cell>
          <cell r="P162" t="str">
            <v>8936049051623</v>
          </cell>
          <cell r="Q162" t="str">
            <v>OTOKI- Mì kimchi ly 62g</v>
          </cell>
          <cell r="R162">
            <v>16000</v>
          </cell>
          <cell r="S162">
            <v>1</v>
          </cell>
          <cell r="T162">
            <v>16000</v>
          </cell>
          <cell r="U162">
            <v>0</v>
          </cell>
          <cell r="V162">
            <v>16000</v>
          </cell>
          <cell r="W162" t="str">
            <v>8936049051623</v>
          </cell>
        </row>
        <row r="163">
          <cell r="A163">
            <v>2026</v>
          </cell>
          <cell r="B163">
            <v>7</v>
          </cell>
          <cell r="C163">
            <v>46214</v>
          </cell>
          <cell r="D163" t="str">
            <v>1. SKK store</v>
          </cell>
          <cell r="E163" t="str">
            <v>S1015</v>
          </cell>
          <cell r="F163" t="str">
            <v>SKK Hàm Nghi</v>
          </cell>
          <cell r="G163" t="str">
            <v>0915060767</v>
          </cell>
          <cell r="H163" t="str">
            <v>Phạm Anh Thư</v>
          </cell>
          <cell r="I163" t="str">
            <v>Khách cũ</v>
          </cell>
          <cell r="J163" t="str">
            <v>Đơn bán</v>
          </cell>
          <cell r="K163" t="str">
            <v>SAKUKO844493</v>
          </cell>
          <cell r="L163" t="str">
            <v>THỰC PHẨM</v>
          </cell>
          <cell r="M163" t="str">
            <v>MỲ, MIẾN</v>
          </cell>
          <cell r="N163" t="str">
            <v>MỲ ĂN LIỀN</v>
          </cell>
          <cell r="O163" t="str">
            <v>155160</v>
          </cell>
          <cell r="P163" t="str">
            <v>8936049051630</v>
          </cell>
          <cell r="Q163" t="str">
            <v>OTOKI- Mì bò hầm vị cay ly 62g</v>
          </cell>
          <cell r="R163">
            <v>16000</v>
          </cell>
          <cell r="S163">
            <v>1</v>
          </cell>
          <cell r="T163">
            <v>16000</v>
          </cell>
          <cell r="U163">
            <v>0</v>
          </cell>
          <cell r="V163">
            <v>16000</v>
          </cell>
          <cell r="W163" t="str">
            <v>8936049051630</v>
          </cell>
        </row>
        <row r="164">
          <cell r="A164">
            <v>2026</v>
          </cell>
          <cell r="B164">
            <v>7</v>
          </cell>
          <cell r="C164">
            <v>46214</v>
          </cell>
          <cell r="D164" t="str">
            <v>1. SKK store</v>
          </cell>
          <cell r="E164" t="str">
            <v>S1015</v>
          </cell>
          <cell r="F164" t="str">
            <v>SKK Hàm Nghi</v>
          </cell>
          <cell r="G164" t="str">
            <v>0915060767</v>
          </cell>
          <cell r="H164" t="str">
            <v>Phạm Anh Thư</v>
          </cell>
          <cell r="I164" t="str">
            <v>Khách cũ</v>
          </cell>
          <cell r="J164" t="str">
            <v>Đơn bán</v>
          </cell>
          <cell r="K164" t="str">
            <v>SAKUKO844493</v>
          </cell>
          <cell r="L164" t="str">
            <v>THỰC PHẨM</v>
          </cell>
          <cell r="M164" t="str">
            <v>MỲ, MIẾN</v>
          </cell>
          <cell r="N164" t="str">
            <v>MỲ CHẾ BIẾN</v>
          </cell>
          <cell r="O164" t="str">
            <v>154830</v>
          </cell>
          <cell r="P164" t="str">
            <v>8936049051609</v>
          </cell>
          <cell r="Q164" t="str">
            <v>OTOKI- Mì ly Jin sốt tương đen 70g</v>
          </cell>
          <cell r="R164">
            <v>18000</v>
          </cell>
          <cell r="S164">
            <v>1</v>
          </cell>
          <cell r="T164">
            <v>18000</v>
          </cell>
          <cell r="U164">
            <v>0</v>
          </cell>
          <cell r="V164">
            <v>18000</v>
          </cell>
          <cell r="W164" t="str">
            <v>8936049051609</v>
          </cell>
        </row>
        <row r="165">
          <cell r="A165">
            <v>2026</v>
          </cell>
          <cell r="B165">
            <v>7</v>
          </cell>
          <cell r="C165">
            <v>46214</v>
          </cell>
          <cell r="D165" t="str">
            <v>1. SKK store</v>
          </cell>
          <cell r="E165" t="str">
            <v>S1015</v>
          </cell>
          <cell r="F165" t="str">
            <v>SKK Hàm Nghi</v>
          </cell>
          <cell r="G165" t="str">
            <v>0969562132</v>
          </cell>
          <cell r="H165" t="str">
            <v>.</v>
          </cell>
          <cell r="I165" t="str">
            <v>Khách cũ</v>
          </cell>
          <cell r="J165" t="str">
            <v>Đơn bán</v>
          </cell>
          <cell r="K165" t="str">
            <v>SAKUKO845575</v>
          </cell>
          <cell r="L165" t="str">
            <v>NHÀ CỬA ĐỜI SỐNG</v>
          </cell>
          <cell r="M165" t="str">
            <v>ĐỒ DÙNG SINH HOẠT GIA ĐÌNH</v>
          </cell>
          <cell r="N165" t="str">
            <v>VẬT DỤNG SINH HOẠT KHÁC</v>
          </cell>
          <cell r="O165" t="str">
            <v>135039</v>
          </cell>
          <cell r="P165" t="str">
            <v>4968988074993</v>
          </cell>
          <cell r="Q165" t="str">
            <v>OMAICHI- Set 2 lọ chiết mỹ phẩm 40ml kèm hộp đựng</v>
          </cell>
          <cell r="R165">
            <v>52000</v>
          </cell>
          <cell r="S165">
            <v>1</v>
          </cell>
          <cell r="T165">
            <v>52000</v>
          </cell>
          <cell r="U165">
            <v>0</v>
          </cell>
          <cell r="V165">
            <v>52000</v>
          </cell>
          <cell r="W165" t="str">
            <v>4968988074993</v>
          </cell>
        </row>
        <row r="166">
          <cell r="A166">
            <v>2026</v>
          </cell>
          <cell r="B166">
            <v>7</v>
          </cell>
          <cell r="C166">
            <v>46214</v>
          </cell>
          <cell r="D166" t="str">
            <v>1. SKK store</v>
          </cell>
          <cell r="E166" t="str">
            <v>S1015</v>
          </cell>
          <cell r="F166" t="str">
            <v>SKK Hàm Nghi</v>
          </cell>
          <cell r="G166" t="str">
            <v>0982666613</v>
          </cell>
          <cell r="H166" t="str">
            <v>c huyền</v>
          </cell>
          <cell r="I166" t="str">
            <v>Khách cũ</v>
          </cell>
          <cell r="J166" t="str">
            <v>Đơn bán</v>
          </cell>
          <cell r="K166" t="str">
            <v>SAKUKO844735</v>
          </cell>
          <cell r="L166" t="str">
            <v>THỰC PHẨM</v>
          </cell>
          <cell r="M166" t="str">
            <v>MỲ, MIẾN</v>
          </cell>
          <cell r="N166" t="str">
            <v>MỲ ĂN LIỀN</v>
          </cell>
          <cell r="O166" t="str">
            <v>154828</v>
          </cell>
          <cell r="P166" t="str">
            <v>8936049051616</v>
          </cell>
          <cell r="Q166" t="str">
            <v>OTOKI- Mì ly Yeul cay 62g</v>
          </cell>
          <cell r="R166">
            <v>15000</v>
          </cell>
          <cell r="S166">
            <v>1</v>
          </cell>
          <cell r="T166">
            <v>15000</v>
          </cell>
          <cell r="U166">
            <v>0</v>
          </cell>
          <cell r="V166">
            <v>15000</v>
          </cell>
          <cell r="W166" t="str">
            <v>8936049051616</v>
          </cell>
        </row>
        <row r="167">
          <cell r="A167">
            <v>2026</v>
          </cell>
          <cell r="B167">
            <v>7</v>
          </cell>
          <cell r="C167">
            <v>46214</v>
          </cell>
          <cell r="D167" t="str">
            <v>1. SKK store</v>
          </cell>
          <cell r="E167" t="str">
            <v>S1018</v>
          </cell>
          <cell r="F167" t="str">
            <v>SKK Nguyễn Tuân</v>
          </cell>
          <cell r="G167" t="str">
            <v>02422174499</v>
          </cell>
          <cell r="H167" t="str">
            <v>klnt</v>
          </cell>
          <cell r="I167" t="str">
            <v>Khách vãng lai</v>
          </cell>
          <cell r="J167" t="str">
            <v>Đơn bán</v>
          </cell>
          <cell r="K167" t="str">
            <v>SAKUKO845274</v>
          </cell>
          <cell r="L167" t="str">
            <v>THỰC PHẨM</v>
          </cell>
          <cell r="M167" t="str">
            <v>MỲ, MIẾN</v>
          </cell>
          <cell r="N167" t="str">
            <v>MỲ ĂN LIỀN</v>
          </cell>
          <cell r="O167" t="str">
            <v>155155</v>
          </cell>
          <cell r="P167" t="str">
            <v>8936049051708</v>
          </cell>
          <cell r="Q167" t="str">
            <v>OTOKI- Mì Jin không cay tô 110g</v>
          </cell>
          <cell r="R167">
            <v>22000</v>
          </cell>
          <cell r="S167">
            <v>2</v>
          </cell>
          <cell r="T167">
            <v>44000</v>
          </cell>
          <cell r="U167">
            <v>0</v>
          </cell>
          <cell r="V167">
            <v>44000</v>
          </cell>
          <cell r="W167" t="str">
            <v>8936049051708</v>
          </cell>
        </row>
        <row r="168">
          <cell r="A168">
            <v>2026</v>
          </cell>
          <cell r="B168">
            <v>7</v>
          </cell>
          <cell r="C168">
            <v>46214</v>
          </cell>
          <cell r="D168" t="str">
            <v>1. SKK store</v>
          </cell>
          <cell r="E168" t="str">
            <v>S1018</v>
          </cell>
          <cell r="F168" t="str">
            <v>SKK Nguyễn Tuân</v>
          </cell>
          <cell r="G168" t="str">
            <v>02422174499</v>
          </cell>
          <cell r="H168" t="str">
            <v>klnt</v>
          </cell>
          <cell r="I168" t="str">
            <v>Khách vãng lai</v>
          </cell>
          <cell r="J168" t="str">
            <v>Đơn bán</v>
          </cell>
          <cell r="K168" t="str">
            <v>SAKUKO845274</v>
          </cell>
          <cell r="L168" t="str">
            <v>THỰC PHẨM</v>
          </cell>
          <cell r="M168" t="str">
            <v>MỲ, MIẾN</v>
          </cell>
          <cell r="N168" t="str">
            <v>MỲ CHẾ BIẾN</v>
          </cell>
          <cell r="O168" t="str">
            <v>154831</v>
          </cell>
          <cell r="P168" t="str">
            <v>8936049051715</v>
          </cell>
          <cell r="Q168" t="str">
            <v>OTOKI- Mì tô Jin sốt tương đen 115g</v>
          </cell>
          <cell r="R168">
            <v>24000</v>
          </cell>
          <cell r="S168">
            <v>1</v>
          </cell>
          <cell r="T168">
            <v>24000</v>
          </cell>
          <cell r="U168">
            <v>0</v>
          </cell>
          <cell r="V168">
            <v>24000</v>
          </cell>
          <cell r="W168" t="str">
            <v>8936049051715</v>
          </cell>
        </row>
        <row r="169">
          <cell r="A169">
            <v>2026</v>
          </cell>
          <cell r="B169">
            <v>7</v>
          </cell>
          <cell r="C169">
            <v>46214</v>
          </cell>
          <cell r="D169" t="str">
            <v>1. SKK store</v>
          </cell>
          <cell r="E169" t="str">
            <v>S1018</v>
          </cell>
          <cell r="F169" t="str">
            <v>SKK Nguyễn Tuân</v>
          </cell>
          <cell r="G169" t="str">
            <v>02422174499</v>
          </cell>
          <cell r="H169" t="str">
            <v>klnt</v>
          </cell>
          <cell r="I169" t="str">
            <v>Khách vãng lai</v>
          </cell>
          <cell r="J169" t="str">
            <v>Đơn bán</v>
          </cell>
          <cell r="K169" t="str">
            <v>SAKUKO845362</v>
          </cell>
          <cell r="L169" t="str">
            <v>THỰC PHẨM</v>
          </cell>
          <cell r="M169" t="str">
            <v>MỲ, MIẾN</v>
          </cell>
          <cell r="N169" t="str">
            <v>MỲ ĂN LIỀN</v>
          </cell>
          <cell r="O169" t="str">
            <v>154828</v>
          </cell>
          <cell r="P169" t="str">
            <v>8936049051616</v>
          </cell>
          <cell r="Q169" t="str">
            <v>OTOKI- Mì ly Yeul cay 62g</v>
          </cell>
          <cell r="R169">
            <v>15000</v>
          </cell>
          <cell r="S169">
            <v>1</v>
          </cell>
          <cell r="T169">
            <v>15000</v>
          </cell>
          <cell r="U169">
            <v>0</v>
          </cell>
          <cell r="V169">
            <v>15000</v>
          </cell>
          <cell r="W169" t="str">
            <v>8936049051616</v>
          </cell>
        </row>
        <row r="170">
          <cell r="A170">
            <v>2026</v>
          </cell>
          <cell r="B170">
            <v>7</v>
          </cell>
          <cell r="C170">
            <v>46214</v>
          </cell>
          <cell r="D170" t="str">
            <v>1. SKK store</v>
          </cell>
          <cell r="E170" t="str">
            <v>S1018</v>
          </cell>
          <cell r="F170" t="str">
            <v>SKK Nguyễn Tuân</v>
          </cell>
          <cell r="G170" t="str">
            <v>02422174499</v>
          </cell>
          <cell r="H170" t="str">
            <v>klnt</v>
          </cell>
          <cell r="I170" t="str">
            <v>Khách vãng lai</v>
          </cell>
          <cell r="J170" t="str">
            <v>Đơn bán</v>
          </cell>
          <cell r="K170" t="str">
            <v>SAKUKO845362</v>
          </cell>
          <cell r="L170" t="str">
            <v>THỰC PHẨM</v>
          </cell>
          <cell r="M170" t="str">
            <v>MỲ, MIẾN</v>
          </cell>
          <cell r="N170" t="str">
            <v>MỲ ĂN LIỀN</v>
          </cell>
          <cell r="O170" t="str">
            <v>155157</v>
          </cell>
          <cell r="P170" t="str">
            <v>8936049051586</v>
          </cell>
          <cell r="Q170" t="str">
            <v>OTOKI- Mì Jin cay ly 65g</v>
          </cell>
          <cell r="R170">
            <v>18000</v>
          </cell>
          <cell r="S170">
            <v>1</v>
          </cell>
          <cell r="T170">
            <v>18000</v>
          </cell>
          <cell r="U170">
            <v>0</v>
          </cell>
          <cell r="V170">
            <v>18000</v>
          </cell>
          <cell r="W170" t="str">
            <v>8936049051586</v>
          </cell>
        </row>
        <row r="171">
          <cell r="A171">
            <v>2026</v>
          </cell>
          <cell r="B171">
            <v>7</v>
          </cell>
          <cell r="C171">
            <v>46214</v>
          </cell>
          <cell r="D171" t="str">
            <v>1. SKK store</v>
          </cell>
          <cell r="E171" t="str">
            <v>S1018</v>
          </cell>
          <cell r="F171" t="str">
            <v>SKK Nguyễn Tuân</v>
          </cell>
          <cell r="G171" t="str">
            <v>02422174499</v>
          </cell>
          <cell r="H171" t="str">
            <v>klnt</v>
          </cell>
          <cell r="I171" t="str">
            <v>Khách vãng lai</v>
          </cell>
          <cell r="J171" t="str">
            <v>Đơn bán</v>
          </cell>
          <cell r="K171" t="str">
            <v>SAKUKO845362</v>
          </cell>
          <cell r="L171" t="str">
            <v>THỰC PHẨM</v>
          </cell>
          <cell r="M171" t="str">
            <v>MỲ, MIẾN</v>
          </cell>
          <cell r="N171" t="str">
            <v>MỲ ĂN LIỀN</v>
          </cell>
          <cell r="O171" t="str">
            <v>155158</v>
          </cell>
          <cell r="P171" t="str">
            <v>8936049051593</v>
          </cell>
          <cell r="Q171" t="str">
            <v>OTOKI- Mì Jin không cay ly 65g</v>
          </cell>
          <cell r="R171">
            <v>18000</v>
          </cell>
          <cell r="S171">
            <v>1</v>
          </cell>
          <cell r="T171">
            <v>18000</v>
          </cell>
          <cell r="U171">
            <v>0</v>
          </cell>
          <cell r="V171">
            <v>18000</v>
          </cell>
          <cell r="W171" t="str">
            <v>8936049051593</v>
          </cell>
        </row>
        <row r="172">
          <cell r="A172">
            <v>2026</v>
          </cell>
          <cell r="B172">
            <v>7</v>
          </cell>
          <cell r="C172">
            <v>46214</v>
          </cell>
          <cell r="D172" t="str">
            <v>1. SKK store</v>
          </cell>
          <cell r="E172" t="str">
            <v>S1018</v>
          </cell>
          <cell r="F172" t="str">
            <v>SKK Nguyễn Tuân</v>
          </cell>
          <cell r="G172" t="str">
            <v>02422174499</v>
          </cell>
          <cell r="H172" t="str">
            <v>klnt</v>
          </cell>
          <cell r="I172" t="str">
            <v>Khách vãng lai</v>
          </cell>
          <cell r="J172" t="str">
            <v>Đơn bán</v>
          </cell>
          <cell r="K172" t="str">
            <v>SAKUKO845362</v>
          </cell>
          <cell r="L172" t="str">
            <v>THỰC PHẨM</v>
          </cell>
          <cell r="M172" t="str">
            <v>MỲ, MIẾN</v>
          </cell>
          <cell r="N172" t="str">
            <v>MỲ ĂN LIỀN</v>
          </cell>
          <cell r="O172" t="str">
            <v>155159</v>
          </cell>
          <cell r="P172" t="str">
            <v>8936049051623</v>
          </cell>
          <cell r="Q172" t="str">
            <v>OTOKI- Mì kimchi ly 62g</v>
          </cell>
          <cell r="R172">
            <v>16000</v>
          </cell>
          <cell r="S172">
            <v>1</v>
          </cell>
          <cell r="T172">
            <v>16000</v>
          </cell>
          <cell r="U172">
            <v>0</v>
          </cell>
          <cell r="V172">
            <v>16000</v>
          </cell>
          <cell r="W172" t="str">
            <v>8936049051623</v>
          </cell>
        </row>
        <row r="173">
          <cell r="A173">
            <v>2026</v>
          </cell>
          <cell r="B173">
            <v>7</v>
          </cell>
          <cell r="C173">
            <v>46214</v>
          </cell>
          <cell r="D173" t="str">
            <v>1. SKK store</v>
          </cell>
          <cell r="E173" t="str">
            <v>S1018</v>
          </cell>
          <cell r="F173" t="str">
            <v>SKK Nguyễn Tuân</v>
          </cell>
          <cell r="G173" t="str">
            <v>02422174499</v>
          </cell>
          <cell r="H173" t="str">
            <v>klnt</v>
          </cell>
          <cell r="I173" t="str">
            <v>Khách vãng lai</v>
          </cell>
          <cell r="J173" t="str">
            <v>Đơn bán</v>
          </cell>
          <cell r="K173" t="str">
            <v>SAKUKO845362</v>
          </cell>
          <cell r="L173" t="str">
            <v>THỰC PHẨM</v>
          </cell>
          <cell r="M173" t="str">
            <v>MỲ, MIẾN</v>
          </cell>
          <cell r="N173" t="str">
            <v>MỲ ĂN LIỀN</v>
          </cell>
          <cell r="O173" t="str">
            <v>155161</v>
          </cell>
          <cell r="P173" t="str">
            <v>8936049052378</v>
          </cell>
          <cell r="Q173" t="str">
            <v>OTOKI- Mì Jin tương đen vị bò ly 65g</v>
          </cell>
          <cell r="R173">
            <v>18000</v>
          </cell>
          <cell r="S173">
            <v>1</v>
          </cell>
          <cell r="T173">
            <v>18000</v>
          </cell>
          <cell r="U173">
            <v>0</v>
          </cell>
          <cell r="V173">
            <v>18000</v>
          </cell>
          <cell r="W173" t="str">
            <v>8936049052378</v>
          </cell>
        </row>
        <row r="174">
          <cell r="A174">
            <v>2026</v>
          </cell>
          <cell r="B174">
            <v>7</v>
          </cell>
          <cell r="C174">
            <v>46214</v>
          </cell>
          <cell r="D174" t="str">
            <v>1. SKK store</v>
          </cell>
          <cell r="E174" t="str">
            <v>S1018</v>
          </cell>
          <cell r="F174" t="str">
            <v>SKK Nguyễn Tuân</v>
          </cell>
          <cell r="G174" t="str">
            <v>02422174499</v>
          </cell>
          <cell r="H174" t="str">
            <v>klnt</v>
          </cell>
          <cell r="I174" t="str">
            <v>Khách vãng lai</v>
          </cell>
          <cell r="J174" t="str">
            <v>Đơn bán</v>
          </cell>
          <cell r="K174" t="str">
            <v>SAKUKO845362</v>
          </cell>
          <cell r="L174" t="str">
            <v>THỰC PHẨM</v>
          </cell>
          <cell r="M174" t="str">
            <v>MỲ, MIẾN</v>
          </cell>
          <cell r="N174" t="str">
            <v>MỲ CHẾ BIẾN</v>
          </cell>
          <cell r="O174" t="str">
            <v>154830</v>
          </cell>
          <cell r="P174" t="str">
            <v>8936049051609</v>
          </cell>
          <cell r="Q174" t="str">
            <v>OTOKI- Mì ly Jin sốt tương đen 70g</v>
          </cell>
          <cell r="R174">
            <v>18000</v>
          </cell>
          <cell r="S174">
            <v>1</v>
          </cell>
          <cell r="T174">
            <v>18000</v>
          </cell>
          <cell r="U174">
            <v>0</v>
          </cell>
          <cell r="V174">
            <v>18000</v>
          </cell>
          <cell r="W174" t="str">
            <v>8936049051609</v>
          </cell>
        </row>
        <row r="175">
          <cell r="A175">
            <v>2026</v>
          </cell>
          <cell r="B175">
            <v>7</v>
          </cell>
          <cell r="C175">
            <v>46214</v>
          </cell>
          <cell r="D175" t="str">
            <v>1. SKK store</v>
          </cell>
          <cell r="E175" t="str">
            <v>S1018</v>
          </cell>
          <cell r="F175" t="str">
            <v>SKK Nguyễn Tuân</v>
          </cell>
          <cell r="G175" t="str">
            <v>02422174499</v>
          </cell>
          <cell r="H175" t="str">
            <v>klnt</v>
          </cell>
          <cell r="I175" t="str">
            <v>Khách vãng lai</v>
          </cell>
          <cell r="J175" t="str">
            <v>Đơn bán</v>
          </cell>
          <cell r="K175" t="str">
            <v>SAKUKO845367</v>
          </cell>
          <cell r="L175" t="str">
            <v>CHĂM SÓC SẮC ĐẸP</v>
          </cell>
          <cell r="M175" t="str">
            <v>CHĂM SÓC DA</v>
          </cell>
          <cell r="N175" t="str">
            <v>KEM DƯỠNG</v>
          </cell>
          <cell r="O175" t="str">
            <v>102415</v>
          </cell>
          <cell r="P175" t="str">
            <v>4902468816024</v>
          </cell>
          <cell r="Q175" t="str">
            <v>MEISHOKU- Tinh chất dưỡng Cvita 30g</v>
          </cell>
          <cell r="R175">
            <v>535000</v>
          </cell>
          <cell r="S175">
            <v>1</v>
          </cell>
          <cell r="T175">
            <v>535000</v>
          </cell>
          <cell r="U175">
            <v>0</v>
          </cell>
          <cell r="V175">
            <v>535000</v>
          </cell>
          <cell r="W175" t="str">
            <v>4902468816024</v>
          </cell>
        </row>
        <row r="176">
          <cell r="A176">
            <v>2026</v>
          </cell>
          <cell r="B176">
            <v>7</v>
          </cell>
          <cell r="C176">
            <v>46214</v>
          </cell>
          <cell r="D176" t="str">
            <v>1. SKK store</v>
          </cell>
          <cell r="E176" t="str">
            <v>S1018</v>
          </cell>
          <cell r="F176" t="str">
            <v>SKK Nguyễn Tuân</v>
          </cell>
          <cell r="G176" t="str">
            <v>02422174499</v>
          </cell>
          <cell r="H176" t="str">
            <v>klnt</v>
          </cell>
          <cell r="I176" t="str">
            <v>Khách vãng lai</v>
          </cell>
          <cell r="J176" t="str">
            <v>Đơn bán</v>
          </cell>
          <cell r="K176" t="str">
            <v>SAKUKO845367</v>
          </cell>
          <cell r="L176" t="str">
            <v>CHĂM SÓC SẮC ĐẸP</v>
          </cell>
          <cell r="M176" t="str">
            <v>CHĂM SÓC DA</v>
          </cell>
          <cell r="N176" t="str">
            <v>RỬA MẶT</v>
          </cell>
          <cell r="O176" t="str">
            <v>102386</v>
          </cell>
          <cell r="P176" t="str">
            <v>4902468816062</v>
          </cell>
          <cell r="Q176" t="str">
            <v>MEISHOKU- Sữa rửa mặt sáng da Cvita 100g</v>
          </cell>
          <cell r="R176">
            <v>290000</v>
          </cell>
          <cell r="S176">
            <v>1</v>
          </cell>
          <cell r="T176">
            <v>290000</v>
          </cell>
          <cell r="U176">
            <v>0</v>
          </cell>
          <cell r="V176">
            <v>290000</v>
          </cell>
          <cell r="W176" t="str">
            <v>4902468816062</v>
          </cell>
        </row>
        <row r="177">
          <cell r="A177">
            <v>2026</v>
          </cell>
          <cell r="B177">
            <v>7</v>
          </cell>
          <cell r="C177">
            <v>46214</v>
          </cell>
          <cell r="D177" t="str">
            <v>1. SKK store</v>
          </cell>
          <cell r="E177" t="str">
            <v>S1018</v>
          </cell>
          <cell r="F177" t="str">
            <v>SKK Nguyễn Tuân</v>
          </cell>
          <cell r="G177" t="str">
            <v>0396509999</v>
          </cell>
          <cell r="H177" t="str">
            <v>anh Thiện</v>
          </cell>
          <cell r="I177" t="str">
            <v>Khách cũ</v>
          </cell>
          <cell r="J177" t="str">
            <v>Đơn bán</v>
          </cell>
          <cell r="K177" t="str">
            <v>SAKUKO845443</v>
          </cell>
          <cell r="L177" t="str">
            <v>THỰC PHẨM</v>
          </cell>
          <cell r="M177" t="str">
            <v>MỲ, MIẾN</v>
          </cell>
          <cell r="N177" t="str">
            <v>MỲ ĂN LIỀN</v>
          </cell>
          <cell r="O177" t="str">
            <v>154198</v>
          </cell>
          <cell r="P177" t="str">
            <v>4979397000145</v>
          </cell>
          <cell r="Q177" t="str">
            <v>YAMAMOTO_Mì ramen ăn liền vị miso 90g*5</v>
          </cell>
          <cell r="R177">
            <v>99000</v>
          </cell>
          <cell r="S177">
            <v>1</v>
          </cell>
          <cell r="T177">
            <v>99000</v>
          </cell>
          <cell r="U177">
            <v>0</v>
          </cell>
          <cell r="V177">
            <v>99000</v>
          </cell>
          <cell r="W177" t="str">
            <v>4979397000145</v>
          </cell>
        </row>
        <row r="178">
          <cell r="A178">
            <v>2026</v>
          </cell>
          <cell r="B178">
            <v>7</v>
          </cell>
          <cell r="C178">
            <v>46214</v>
          </cell>
          <cell r="D178" t="str">
            <v>1. SKK store</v>
          </cell>
          <cell r="E178" t="str">
            <v>S1018</v>
          </cell>
          <cell r="F178" t="str">
            <v>SKK Nguyễn Tuân</v>
          </cell>
          <cell r="G178" t="str">
            <v>0396509999</v>
          </cell>
          <cell r="H178" t="str">
            <v>anh Thiện</v>
          </cell>
          <cell r="I178" t="str">
            <v>Khách cũ</v>
          </cell>
          <cell r="J178" t="str">
            <v>Đơn bán</v>
          </cell>
          <cell r="K178" t="str">
            <v>SAKUKO845443</v>
          </cell>
          <cell r="L178" t="str">
            <v>THỰC PHẨM</v>
          </cell>
          <cell r="M178" t="str">
            <v>MỲ, MIẾN</v>
          </cell>
          <cell r="N178" t="str">
            <v>MỲ ĂN LIỀN</v>
          </cell>
          <cell r="O178" t="str">
            <v>154359</v>
          </cell>
          <cell r="P178" t="str">
            <v>4979397000138</v>
          </cell>
          <cell r="Q178" t="str">
            <v>YAMAMOTO- Mì ramen ăn liền hải sản thịt heo 88g*5</v>
          </cell>
          <cell r="R178">
            <v>99000</v>
          </cell>
          <cell r="S178">
            <v>1</v>
          </cell>
          <cell r="T178">
            <v>99000</v>
          </cell>
          <cell r="U178">
            <v>0</v>
          </cell>
          <cell r="V178">
            <v>99000</v>
          </cell>
          <cell r="W178" t="str">
            <v>4979397000138</v>
          </cell>
        </row>
        <row r="179">
          <cell r="A179">
            <v>2026</v>
          </cell>
          <cell r="B179">
            <v>7</v>
          </cell>
          <cell r="C179">
            <v>46214</v>
          </cell>
          <cell r="D179" t="str">
            <v>1. SKK store</v>
          </cell>
          <cell r="E179" t="str">
            <v>S1025</v>
          </cell>
          <cell r="F179" t="str">
            <v>SKK T6 Time City</v>
          </cell>
          <cell r="G179" t="str">
            <v>0916111617</v>
          </cell>
          <cell r="H179" t="str">
            <v>Chương</v>
          </cell>
          <cell r="I179" t="str">
            <v>Khách cũ</v>
          </cell>
          <cell r="J179" t="str">
            <v>Đơn bán</v>
          </cell>
          <cell r="K179" t="str">
            <v>SAKUKO845103</v>
          </cell>
          <cell r="L179" t="str">
            <v>CHĂM SÓC SẮC ĐẸP</v>
          </cell>
          <cell r="M179" t="str">
            <v>Mỹ phẩm khác</v>
          </cell>
          <cell r="N179" t="str">
            <v>PHỤ KIỆN LÀM ĐẸP</v>
          </cell>
          <cell r="O179" t="str">
            <v>102389</v>
          </cell>
          <cell r="P179" t="str">
            <v>4969757110652</v>
          </cell>
          <cell r="Q179" t="str">
            <v>KYOWA- Gói bông tẩy trang 130 miếng</v>
          </cell>
          <cell r="R179">
            <v>49000</v>
          </cell>
          <cell r="S179">
            <v>1</v>
          </cell>
          <cell r="T179">
            <v>49000</v>
          </cell>
          <cell r="U179">
            <v>0</v>
          </cell>
          <cell r="V179">
            <v>49000</v>
          </cell>
          <cell r="W179" t="str">
            <v>4969757110652</v>
          </cell>
        </row>
        <row r="180">
          <cell r="A180">
            <v>2026</v>
          </cell>
          <cell r="B180">
            <v>7</v>
          </cell>
          <cell r="C180">
            <v>46214</v>
          </cell>
          <cell r="D180" t="str">
            <v>1. SKK store</v>
          </cell>
          <cell r="E180" t="str">
            <v>S1025</v>
          </cell>
          <cell r="F180" t="str">
            <v>SKK T6 Time City</v>
          </cell>
          <cell r="G180" t="str">
            <v>0982310125</v>
          </cell>
          <cell r="H180" t="str">
            <v>Chị Thủy</v>
          </cell>
          <cell r="I180" t="str">
            <v>Khách cũ</v>
          </cell>
          <cell r="J180" t="str">
            <v>Đơn bán</v>
          </cell>
          <cell r="K180" t="str">
            <v>SAKUKO845521</v>
          </cell>
          <cell r="L180" t="str">
            <v>THỰC PHẨM</v>
          </cell>
          <cell r="M180" t="str">
            <v>BÁNH KẸO, ĐỒ ĂN VẶT</v>
          </cell>
          <cell r="N180" t="str">
            <v>KẸO CAO SU</v>
          </cell>
          <cell r="O180" t="str">
            <v>231376</v>
          </cell>
          <cell r="P180" t="str">
            <v>4903333228577</v>
          </cell>
          <cell r="Q180" t="str">
            <v>LOTTE-Kẹo cao su tổng hợp 7 loại dạng lọ 133g</v>
          </cell>
          <cell r="R180">
            <v>235000</v>
          </cell>
          <cell r="S180">
            <v>1</v>
          </cell>
          <cell r="T180">
            <v>235000</v>
          </cell>
          <cell r="U180">
            <v>0</v>
          </cell>
          <cell r="V180">
            <v>235000</v>
          </cell>
          <cell r="W180" t="str">
            <v>4903333228577</v>
          </cell>
        </row>
        <row r="181">
          <cell r="A181">
            <v>2026</v>
          </cell>
          <cell r="B181">
            <v>7</v>
          </cell>
          <cell r="C181">
            <v>46213</v>
          </cell>
          <cell r="D181" t="str">
            <v>1. SKK store</v>
          </cell>
          <cell r="E181" t="str">
            <v>S1004</v>
          </cell>
          <cell r="F181" t="str">
            <v>SKK  Mandarin C1</v>
          </cell>
          <cell r="G181" t="str">
            <v>0969507306</v>
          </cell>
          <cell r="H181" t="str">
            <v>nguyễn thi thu hà</v>
          </cell>
          <cell r="I181" t="str">
            <v>Khách cũ</v>
          </cell>
          <cell r="J181" t="str">
            <v>Đơn bán</v>
          </cell>
          <cell r="K181" t="str">
            <v>SAKUKO843266</v>
          </cell>
          <cell r="L181" t="str">
            <v>THỰC PHẨM</v>
          </cell>
          <cell r="M181" t="str">
            <v>MỲ, MIẾN</v>
          </cell>
          <cell r="N181" t="str">
            <v>MỲ ĂN LIỀN</v>
          </cell>
          <cell r="O181" t="str">
            <v>154827</v>
          </cell>
          <cell r="P181" t="str">
            <v>8936049051647</v>
          </cell>
          <cell r="Q181" t="str">
            <v>OTOKI- Mì tô Jin cay 110g</v>
          </cell>
          <cell r="R181">
            <v>23000</v>
          </cell>
          <cell r="S181">
            <v>1</v>
          </cell>
          <cell r="T181">
            <v>23000</v>
          </cell>
          <cell r="U181">
            <v>0</v>
          </cell>
          <cell r="V181">
            <v>23000</v>
          </cell>
          <cell r="W181" t="str">
            <v>8936049051647</v>
          </cell>
        </row>
        <row r="182">
          <cell r="A182">
            <v>2026</v>
          </cell>
          <cell r="B182">
            <v>7</v>
          </cell>
          <cell r="C182">
            <v>46213</v>
          </cell>
          <cell r="D182" t="str">
            <v>1. SKK store</v>
          </cell>
          <cell r="E182" t="str">
            <v>S1004</v>
          </cell>
          <cell r="F182" t="str">
            <v>SKK  Mandarin C1</v>
          </cell>
          <cell r="G182" t="str">
            <v>0969507306</v>
          </cell>
          <cell r="H182" t="str">
            <v>nguyễn thi thu hà</v>
          </cell>
          <cell r="I182" t="str">
            <v>Khách cũ</v>
          </cell>
          <cell r="J182" t="str">
            <v>Đơn bán</v>
          </cell>
          <cell r="K182" t="str">
            <v>SAKUKO843266</v>
          </cell>
          <cell r="L182" t="str">
            <v>THỰC PHẨM</v>
          </cell>
          <cell r="M182" t="str">
            <v>MỲ, MIẾN</v>
          </cell>
          <cell r="N182" t="str">
            <v>MỲ CHẾ BIẾN</v>
          </cell>
          <cell r="O182" t="str">
            <v>154831</v>
          </cell>
          <cell r="P182" t="str">
            <v>8936049051715</v>
          </cell>
          <cell r="Q182" t="str">
            <v>OTOKI- Mì tô Jin sốt tương đen 115g</v>
          </cell>
          <cell r="R182">
            <v>24000</v>
          </cell>
          <cell r="S182">
            <v>1</v>
          </cell>
          <cell r="T182">
            <v>24000</v>
          </cell>
          <cell r="U182">
            <v>0</v>
          </cell>
          <cell r="V182">
            <v>24000</v>
          </cell>
          <cell r="W182" t="str">
            <v>8936049051715</v>
          </cell>
        </row>
        <row r="183">
          <cell r="A183">
            <v>2026</v>
          </cell>
          <cell r="B183">
            <v>7</v>
          </cell>
          <cell r="C183">
            <v>46213</v>
          </cell>
          <cell r="D183" t="str">
            <v>1. SKK store</v>
          </cell>
          <cell r="E183" t="str">
            <v>S1005</v>
          </cell>
          <cell r="F183" t="str">
            <v>SKK  Thái Hà</v>
          </cell>
          <cell r="G183" t="str">
            <v>01688998168</v>
          </cell>
          <cell r="H183" t="str">
            <v>C Thư</v>
          </cell>
          <cell r="I183" t="str">
            <v>Khách mới</v>
          </cell>
          <cell r="J183" t="str">
            <v>Đơn bán</v>
          </cell>
          <cell r="K183" t="str">
            <v>SAKUKO843211</v>
          </cell>
          <cell r="L183" t="str">
            <v>THỰC PHẨM</v>
          </cell>
          <cell r="M183" t="str">
            <v>MỲ, MIẾN</v>
          </cell>
          <cell r="N183" t="str">
            <v>MỲ CHẾ BIẾN</v>
          </cell>
          <cell r="O183" t="str">
            <v>175435</v>
          </cell>
          <cell r="P183" t="str">
            <v>4901726014752</v>
          </cell>
          <cell r="Q183" t="str">
            <v>ITSUKI FOODS- Mì soumen rau củ ngũ sắc320g</v>
          </cell>
          <cell r="R183">
            <v>76000</v>
          </cell>
          <cell r="S183">
            <v>1</v>
          </cell>
          <cell r="T183">
            <v>76000</v>
          </cell>
          <cell r="U183">
            <v>0</v>
          </cell>
          <cell r="V183">
            <v>76000</v>
          </cell>
          <cell r="W183" t="str">
            <v>4901726014752</v>
          </cell>
        </row>
        <row r="184">
          <cell r="A184">
            <v>2026</v>
          </cell>
          <cell r="B184">
            <v>7</v>
          </cell>
          <cell r="C184">
            <v>46213</v>
          </cell>
          <cell r="D184" t="str">
            <v>1. SKK store</v>
          </cell>
          <cell r="E184" t="str">
            <v>S1005</v>
          </cell>
          <cell r="F184" t="str">
            <v>SKK  Thái Hà</v>
          </cell>
          <cell r="G184" t="str">
            <v>02466810505</v>
          </cell>
          <cell r="H184" t="str">
            <v>klth</v>
          </cell>
          <cell r="I184" t="str">
            <v>Khách vãng lai</v>
          </cell>
          <cell r="J184" t="str">
            <v>Đơn bán</v>
          </cell>
          <cell r="K184" t="str">
            <v>SAKUKO843032</v>
          </cell>
          <cell r="L184" t="str">
            <v>ĐỒ CHO MẸ BÉ</v>
          </cell>
          <cell r="M184" t="str">
            <v>GIẤY ƯỚT</v>
          </cell>
          <cell r="N184" t="str">
            <v>GIẤY ƯỚT CHO BÉ</v>
          </cell>
          <cell r="O184" t="str">
            <v>121663</v>
          </cell>
          <cell r="P184" t="str">
            <v>8934755035197</v>
          </cell>
          <cell r="Q184" t="str">
            <v>FRESSI- Khăn ướt Care For All 100 miếng</v>
          </cell>
          <cell r="R184">
            <v>49000</v>
          </cell>
          <cell r="S184">
            <v>1</v>
          </cell>
          <cell r="T184">
            <v>49000</v>
          </cell>
          <cell r="U184">
            <v>0</v>
          </cell>
          <cell r="V184">
            <v>49000</v>
          </cell>
          <cell r="W184" t="str">
            <v>8934755035197</v>
          </cell>
        </row>
        <row r="185">
          <cell r="A185">
            <v>2026</v>
          </cell>
          <cell r="B185">
            <v>7</v>
          </cell>
          <cell r="C185">
            <v>46213</v>
          </cell>
          <cell r="D185" t="str">
            <v>1. SKK store</v>
          </cell>
          <cell r="E185" t="str">
            <v>S1005</v>
          </cell>
          <cell r="F185" t="str">
            <v>SKK  Thái Hà</v>
          </cell>
          <cell r="G185" t="str">
            <v>02466810505</v>
          </cell>
          <cell r="H185" t="str">
            <v>klth</v>
          </cell>
          <cell r="I185" t="str">
            <v>Khách vãng lai</v>
          </cell>
          <cell r="J185" t="str">
            <v>Đơn bán</v>
          </cell>
          <cell r="K185" t="str">
            <v>SAKUKO843032</v>
          </cell>
          <cell r="L185" t="str">
            <v>THỰC PHẨM</v>
          </cell>
          <cell r="M185" t="str">
            <v>BÁNH KẸO, ĐỒ ĂN VẶT</v>
          </cell>
          <cell r="N185" t="str">
            <v>KẸO CAO SU</v>
          </cell>
          <cell r="O185" t="str">
            <v>231377</v>
          </cell>
          <cell r="P185" t="str">
            <v>4903333200375</v>
          </cell>
          <cell r="Q185" t="str">
            <v>LOTTE-Kẹo cao su tổng hợp dạng lọ 114g</v>
          </cell>
          <cell r="R185">
            <v>235000</v>
          </cell>
          <cell r="S185">
            <v>1</v>
          </cell>
          <cell r="T185">
            <v>235000</v>
          </cell>
          <cell r="U185">
            <v>0</v>
          </cell>
          <cell r="V185">
            <v>235000</v>
          </cell>
          <cell r="W185" t="str">
            <v>4903333200375</v>
          </cell>
        </row>
        <row r="186">
          <cell r="A186">
            <v>2026</v>
          </cell>
          <cell r="B186">
            <v>7</v>
          </cell>
          <cell r="C186">
            <v>46213</v>
          </cell>
          <cell r="D186" t="str">
            <v>1. SKK store</v>
          </cell>
          <cell r="E186" t="str">
            <v>S1005</v>
          </cell>
          <cell r="F186" t="str">
            <v>SKK  Thái Hà</v>
          </cell>
          <cell r="G186" t="str">
            <v>0379740093</v>
          </cell>
          <cell r="H186" t="str">
            <v>Loan</v>
          </cell>
          <cell r="I186" t="str">
            <v>Khách cũ</v>
          </cell>
          <cell r="J186" t="str">
            <v>Đơn bán</v>
          </cell>
          <cell r="K186" t="str">
            <v>SAKUKO843339</v>
          </cell>
          <cell r="L186" t="str">
            <v>ĐỒ CHO MẸ BÉ</v>
          </cell>
          <cell r="M186" t="str">
            <v>GIẤY ƯỚT</v>
          </cell>
          <cell r="N186" t="str">
            <v>GIẤY ƯỚT CHO BÉ</v>
          </cell>
          <cell r="O186" t="str">
            <v>121662</v>
          </cell>
          <cell r="P186" t="str">
            <v>8934755035036</v>
          </cell>
          <cell r="Q186" t="str">
            <v>FRESSI- Khăn ướt Care For All 20 miếng</v>
          </cell>
          <cell r="R186">
            <v>14000</v>
          </cell>
          <cell r="S186">
            <v>1</v>
          </cell>
          <cell r="T186">
            <v>14000</v>
          </cell>
          <cell r="U186">
            <v>0</v>
          </cell>
          <cell r="V186">
            <v>14000</v>
          </cell>
          <cell r="W186" t="str">
            <v>8934755035036</v>
          </cell>
        </row>
        <row r="187">
          <cell r="A187">
            <v>2026</v>
          </cell>
          <cell r="B187">
            <v>7</v>
          </cell>
          <cell r="C187">
            <v>46213</v>
          </cell>
          <cell r="D187" t="str">
            <v>1. SKK store</v>
          </cell>
          <cell r="E187" t="str">
            <v>S1005</v>
          </cell>
          <cell r="F187" t="str">
            <v>SKK  Thái Hà</v>
          </cell>
          <cell r="G187" t="str">
            <v>0904307130</v>
          </cell>
          <cell r="H187" t="str">
            <v>Chị Triệu Bích Ngọc</v>
          </cell>
          <cell r="I187" t="str">
            <v>Khách cũ</v>
          </cell>
          <cell r="J187" t="str">
            <v>Đơn bán</v>
          </cell>
          <cell r="K187" t="str">
            <v>SAKUKO844094</v>
          </cell>
          <cell r="L187" t="str">
            <v>THỰC PHẨM</v>
          </cell>
          <cell r="M187" t="str">
            <v>MỲ, MIẾN</v>
          </cell>
          <cell r="N187" t="str">
            <v>MỲ ĂN LIỀN</v>
          </cell>
          <cell r="O187" t="str">
            <v>154198</v>
          </cell>
          <cell r="P187" t="str">
            <v>4979397000145</v>
          </cell>
          <cell r="Q187" t="str">
            <v>YAMAMOTO_Mì ramen ăn liền vị miso 90g*5</v>
          </cell>
          <cell r="R187">
            <v>99000</v>
          </cell>
          <cell r="S187">
            <v>1</v>
          </cell>
          <cell r="T187">
            <v>99000</v>
          </cell>
          <cell r="U187">
            <v>0</v>
          </cell>
          <cell r="V187">
            <v>99000</v>
          </cell>
          <cell r="W187" t="str">
            <v>4979397000145</v>
          </cell>
        </row>
        <row r="188">
          <cell r="A188">
            <v>2026</v>
          </cell>
          <cell r="B188">
            <v>7</v>
          </cell>
          <cell r="C188">
            <v>46213</v>
          </cell>
          <cell r="D188" t="str">
            <v>1. SKK store</v>
          </cell>
          <cell r="E188" t="str">
            <v>S1005</v>
          </cell>
          <cell r="F188" t="str">
            <v>SKK  Thái Hà</v>
          </cell>
          <cell r="G188" t="str">
            <v>0904307130</v>
          </cell>
          <cell r="H188" t="str">
            <v>Chị Triệu Bích Ngọc</v>
          </cell>
          <cell r="I188" t="str">
            <v>Khách cũ</v>
          </cell>
          <cell r="J188" t="str">
            <v>Đơn bán</v>
          </cell>
          <cell r="K188" t="str">
            <v>SAKUKO844094</v>
          </cell>
          <cell r="L188" t="str">
            <v>THỰC PHẨM</v>
          </cell>
          <cell r="M188" t="str">
            <v>MỲ, MIẾN</v>
          </cell>
          <cell r="N188" t="str">
            <v>MỲ ĂN LIỀN</v>
          </cell>
          <cell r="O188" t="str">
            <v>155161</v>
          </cell>
          <cell r="P188" t="str">
            <v>8936049052378</v>
          </cell>
          <cell r="Q188" t="str">
            <v>OTOKI- Mì Jin tương đen vị bò ly 65g</v>
          </cell>
          <cell r="R188">
            <v>18000</v>
          </cell>
          <cell r="S188">
            <v>1</v>
          </cell>
          <cell r="T188">
            <v>18000</v>
          </cell>
          <cell r="U188">
            <v>0</v>
          </cell>
          <cell r="V188">
            <v>18000</v>
          </cell>
          <cell r="W188" t="str">
            <v>8936049052378</v>
          </cell>
        </row>
        <row r="189">
          <cell r="A189">
            <v>2026</v>
          </cell>
          <cell r="B189">
            <v>7</v>
          </cell>
          <cell r="C189">
            <v>46213</v>
          </cell>
          <cell r="D189" t="str">
            <v>1. SKK store</v>
          </cell>
          <cell r="E189" t="str">
            <v>S1005</v>
          </cell>
          <cell r="F189" t="str">
            <v>SKK  Thái Hà</v>
          </cell>
          <cell r="G189" t="str">
            <v>0904556207</v>
          </cell>
          <cell r="H189" t="str">
            <v>cô Hương</v>
          </cell>
          <cell r="I189" t="str">
            <v>Khách cũ</v>
          </cell>
          <cell r="J189" t="str">
            <v>Đơn bán</v>
          </cell>
          <cell r="K189" t="str">
            <v>SAKUKO843426</v>
          </cell>
          <cell r="L189" t="str">
            <v>THỰC PHẨM</v>
          </cell>
          <cell r="M189" t="str">
            <v>BÁNH KẸO, ĐỒ ĂN VẶT</v>
          </cell>
          <cell r="N189" t="str">
            <v>KẸO CAO SU</v>
          </cell>
          <cell r="O189" t="str">
            <v>154105</v>
          </cell>
          <cell r="P189" t="str">
            <v>4547894156612</v>
          </cell>
          <cell r="Q189" t="str">
            <v>MONDELEZ JAPAN - Kẹo cao su 112g</v>
          </cell>
          <cell r="R189">
            <v>235000</v>
          </cell>
          <cell r="S189">
            <v>1</v>
          </cell>
          <cell r="T189">
            <v>235000</v>
          </cell>
          <cell r="U189">
            <v>0</v>
          </cell>
          <cell r="V189">
            <v>235000</v>
          </cell>
          <cell r="W189" t="str">
            <v>4547894156612</v>
          </cell>
        </row>
        <row r="190">
          <cell r="A190">
            <v>2026</v>
          </cell>
          <cell r="B190">
            <v>7</v>
          </cell>
          <cell r="C190">
            <v>46213</v>
          </cell>
          <cell r="D190" t="str">
            <v>1. SKK store</v>
          </cell>
          <cell r="E190" t="str">
            <v>S1005</v>
          </cell>
          <cell r="F190" t="str">
            <v>SKK  Thái Hà</v>
          </cell>
          <cell r="G190" t="str">
            <v>0912464248</v>
          </cell>
          <cell r="H190" t="str">
            <v>co nam</v>
          </cell>
          <cell r="I190" t="str">
            <v>Khách cũ</v>
          </cell>
          <cell r="J190" t="str">
            <v>Đơn bán</v>
          </cell>
          <cell r="K190" t="str">
            <v>SAKUKO843207</v>
          </cell>
          <cell r="L190" t="str">
            <v>NHÀ CỬA ĐỜI SỐNG</v>
          </cell>
          <cell r="M190" t="str">
            <v>PHÒNG CHỐNG CÔN TRÙNG</v>
          </cell>
          <cell r="N190" t="str">
            <v>DIỆT CÔN TRÙNG</v>
          </cell>
          <cell r="O190" t="str">
            <v>230476</v>
          </cell>
          <cell r="P190" t="str">
            <v>4987115105874</v>
          </cell>
          <cell r="Q190" t="str">
            <v>KINCHO- XỊT DIỆT MUỖI HƯƠNG HOA HỒNG 45ML</v>
          </cell>
          <cell r="R190">
            <v>320000</v>
          </cell>
          <cell r="S190">
            <v>1</v>
          </cell>
          <cell r="T190">
            <v>320000</v>
          </cell>
          <cell r="U190">
            <v>0</v>
          </cell>
          <cell r="V190">
            <v>320000</v>
          </cell>
          <cell r="W190" t="str">
            <v>4987115105874</v>
          </cell>
        </row>
        <row r="191">
          <cell r="A191">
            <v>2026</v>
          </cell>
          <cell r="B191">
            <v>7</v>
          </cell>
          <cell r="C191">
            <v>46213</v>
          </cell>
          <cell r="D191" t="str">
            <v>1. SKK store</v>
          </cell>
          <cell r="E191" t="str">
            <v>S1005</v>
          </cell>
          <cell r="F191" t="str">
            <v>SKK  Thái Hà</v>
          </cell>
          <cell r="G191" t="str">
            <v>0913021571</v>
          </cell>
          <cell r="H191" t="str">
            <v>chú sơn</v>
          </cell>
          <cell r="I191" t="str">
            <v>Khách cũ</v>
          </cell>
          <cell r="J191" t="str">
            <v>Đơn bán</v>
          </cell>
          <cell r="K191" t="str">
            <v>SAKUKO843608</v>
          </cell>
          <cell r="L191" t="str">
            <v>THỰC PHẨM</v>
          </cell>
          <cell r="M191" t="str">
            <v>MỲ, MIẾN</v>
          </cell>
          <cell r="N191" t="str">
            <v>MỲ ĂN LIỀN</v>
          </cell>
          <cell r="O191" t="str">
            <v>154829</v>
          </cell>
          <cell r="P191" t="str">
            <v>8936049051654</v>
          </cell>
          <cell r="Q191" t="str">
            <v>OTOKI- Mì tô Yeul cay 105g</v>
          </cell>
          <cell r="R191">
            <v>23000</v>
          </cell>
          <cell r="S191">
            <v>5</v>
          </cell>
          <cell r="T191">
            <v>115000</v>
          </cell>
          <cell r="U191">
            <v>0</v>
          </cell>
          <cell r="V191">
            <v>115000</v>
          </cell>
          <cell r="W191" t="str">
            <v>8936049051654</v>
          </cell>
        </row>
        <row r="192">
          <cell r="A192">
            <v>2026</v>
          </cell>
          <cell r="B192">
            <v>7</v>
          </cell>
          <cell r="C192">
            <v>46213</v>
          </cell>
          <cell r="D192" t="str">
            <v>1. SKK store</v>
          </cell>
          <cell r="E192" t="str">
            <v>S1005</v>
          </cell>
          <cell r="F192" t="str">
            <v>SKK  Thái Hà</v>
          </cell>
          <cell r="G192" t="str">
            <v>0919188017</v>
          </cell>
          <cell r="H192" t="str">
            <v>nguyễn thị ngân</v>
          </cell>
          <cell r="I192" t="str">
            <v>Khách cũ</v>
          </cell>
          <cell r="J192" t="str">
            <v>Đơn bán</v>
          </cell>
          <cell r="K192" t="str">
            <v>SAKUKO843285</v>
          </cell>
          <cell r="L192" t="str">
            <v>CHĂM SÓC SẮC ĐẸP</v>
          </cell>
          <cell r="M192" t="str">
            <v>CHĂM SÓC DA</v>
          </cell>
          <cell r="N192" t="str">
            <v>KEM DƯỠNG</v>
          </cell>
          <cell r="O192" t="str">
            <v>102420</v>
          </cell>
          <cell r="P192" t="str">
            <v>4902468820007</v>
          </cell>
          <cell r="Q192" t="str">
            <v>MEISHOKU- Tinh chất dưỡng ẩm chuyên sâu 30ml</v>
          </cell>
          <cell r="R192">
            <v>555000</v>
          </cell>
          <cell r="S192">
            <v>1</v>
          </cell>
          <cell r="T192">
            <v>555000</v>
          </cell>
          <cell r="U192">
            <v>0</v>
          </cell>
          <cell r="V192">
            <v>555000</v>
          </cell>
          <cell r="W192" t="str">
            <v>4902468820007</v>
          </cell>
        </row>
        <row r="193">
          <cell r="A193">
            <v>2026</v>
          </cell>
          <cell r="B193">
            <v>7</v>
          </cell>
          <cell r="C193">
            <v>46213</v>
          </cell>
          <cell r="D193" t="str">
            <v>1. SKK store</v>
          </cell>
          <cell r="E193" t="str">
            <v>S1006</v>
          </cell>
          <cell r="F193" t="str">
            <v>SKK Trần Đăng Ninh</v>
          </cell>
          <cell r="G193" t="str">
            <v>0913221838</v>
          </cell>
          <cell r="H193" t="str">
            <v>cô DUNG</v>
          </cell>
          <cell r="I193" t="str">
            <v>Khách cũ</v>
          </cell>
          <cell r="J193" t="str">
            <v>Đơn bán</v>
          </cell>
          <cell r="K193" t="str">
            <v>SAKUKO843268</v>
          </cell>
          <cell r="L193" t="str">
            <v>THỰC PHẨM</v>
          </cell>
          <cell r="M193" t="str">
            <v>MỲ, MIẾN</v>
          </cell>
          <cell r="N193" t="str">
            <v>MỲ ĂN LIỀN</v>
          </cell>
          <cell r="O193" t="str">
            <v>154359</v>
          </cell>
          <cell r="P193" t="str">
            <v>4979397000138</v>
          </cell>
          <cell r="Q193" t="str">
            <v>YAMAMOTO- Mì ramen ăn liền hải sản thịt heo 88g*5</v>
          </cell>
          <cell r="R193">
            <v>99000</v>
          </cell>
          <cell r="S193">
            <v>1</v>
          </cell>
          <cell r="T193">
            <v>99000</v>
          </cell>
          <cell r="U193">
            <v>0</v>
          </cell>
          <cell r="V193">
            <v>99000</v>
          </cell>
          <cell r="W193" t="str">
            <v>4979397000138</v>
          </cell>
        </row>
        <row r="194">
          <cell r="A194">
            <v>2026</v>
          </cell>
          <cell r="B194">
            <v>7</v>
          </cell>
          <cell r="C194">
            <v>46213</v>
          </cell>
          <cell r="D194" t="str">
            <v>1. SKK store</v>
          </cell>
          <cell r="E194" t="str">
            <v>S1006</v>
          </cell>
          <cell r="F194" t="str">
            <v>SKK Trần Đăng Ninh</v>
          </cell>
          <cell r="G194" t="str">
            <v>0942922993</v>
          </cell>
          <cell r="H194" t="str">
            <v>CHI MAI</v>
          </cell>
          <cell r="I194" t="str">
            <v>Khách cũ</v>
          </cell>
          <cell r="J194" t="str">
            <v>Đơn bán</v>
          </cell>
          <cell r="K194" t="str">
            <v>SAKUKO843113</v>
          </cell>
          <cell r="L194" t="str">
            <v>CHĂM SÓC SẮC ĐẸP</v>
          </cell>
          <cell r="M194" t="str">
            <v>CHĂM SÓC DA</v>
          </cell>
          <cell r="N194" t="str">
            <v>CHĂM SÓC DA KHÁC</v>
          </cell>
          <cell r="O194" t="str">
            <v>102387</v>
          </cell>
          <cell r="P194" t="str">
            <v>8935006542907</v>
          </cell>
          <cell r="Q194" t="str">
            <v>HADA LABO- Bộ sản phẩm dưỡng ẩm (travel kit)47g</v>
          </cell>
          <cell r="R194">
            <v>129000</v>
          </cell>
          <cell r="S194">
            <v>2</v>
          </cell>
          <cell r="T194">
            <v>258000</v>
          </cell>
          <cell r="U194">
            <v>0</v>
          </cell>
          <cell r="V194">
            <v>258000</v>
          </cell>
          <cell r="W194" t="str">
            <v>8935006542907</v>
          </cell>
        </row>
        <row r="195">
          <cell r="A195">
            <v>2026</v>
          </cell>
          <cell r="B195">
            <v>7</v>
          </cell>
          <cell r="C195">
            <v>46213</v>
          </cell>
          <cell r="D195" t="str">
            <v>1. SKK store</v>
          </cell>
          <cell r="E195" t="str">
            <v>S1006</v>
          </cell>
          <cell r="F195" t="str">
            <v>SKK Trần Đăng Ninh</v>
          </cell>
          <cell r="G195" t="str">
            <v>0972765534</v>
          </cell>
          <cell r="H195" t="str">
            <v>cô huệ</v>
          </cell>
          <cell r="I195" t="str">
            <v>Khách cũ</v>
          </cell>
          <cell r="J195" t="str">
            <v>Đơn bán</v>
          </cell>
          <cell r="K195" t="str">
            <v>SAKUKO843262</v>
          </cell>
          <cell r="L195" t="str">
            <v>CHĂM SÓC SẮC ĐẸP</v>
          </cell>
          <cell r="M195" t="str">
            <v>CHĂM SÓC DA</v>
          </cell>
          <cell r="N195" t="str">
            <v>RỬA MẶT</v>
          </cell>
          <cell r="O195" t="str">
            <v>102448</v>
          </cell>
          <cell r="P195" t="str">
            <v>4902806470642</v>
          </cell>
          <cell r="Q195" t="str">
            <v>GATSBY- SRM sạch bụi &amp; dầu nhờn 130g</v>
          </cell>
          <cell r="R195">
            <v>100000</v>
          </cell>
          <cell r="S195">
            <v>2</v>
          </cell>
          <cell r="T195">
            <v>200000</v>
          </cell>
          <cell r="U195">
            <v>20000</v>
          </cell>
          <cell r="V195">
            <v>180000</v>
          </cell>
          <cell r="W195" t="str">
            <v>4902806470642</v>
          </cell>
        </row>
        <row r="196">
          <cell r="A196">
            <v>2026</v>
          </cell>
          <cell r="B196">
            <v>7</v>
          </cell>
          <cell r="C196">
            <v>46213</v>
          </cell>
          <cell r="D196" t="str">
            <v>1. SKK store</v>
          </cell>
          <cell r="E196" t="str">
            <v>S1006</v>
          </cell>
          <cell r="F196" t="str">
            <v>SKK Trần Đăng Ninh</v>
          </cell>
          <cell r="G196" t="str">
            <v>0988778269</v>
          </cell>
          <cell r="H196" t="str">
            <v>chị liễu</v>
          </cell>
          <cell r="I196" t="str">
            <v>Khách cũ</v>
          </cell>
          <cell r="J196" t="str">
            <v>Đơn bán</v>
          </cell>
          <cell r="K196" t="str">
            <v>SAKUKO843713</v>
          </cell>
          <cell r="L196" t="str">
            <v>CHĂM SÓC SẮC ĐẸP</v>
          </cell>
          <cell r="M196" t="str">
            <v>CHĂM SÓC TÓC</v>
          </cell>
          <cell r="N196" t="str">
            <v>TẠO KIỂU TÓC</v>
          </cell>
          <cell r="O196" t="str">
            <v>101906</v>
          </cell>
          <cell r="P196" t="str">
            <v>4902806108781</v>
          </cell>
          <cell r="Q196" t="str">
            <v>GATSBY-  Sáp vuốt tóc tạo độ phồng 80g</v>
          </cell>
          <cell r="R196">
            <v>150000</v>
          </cell>
          <cell r="S196">
            <v>1</v>
          </cell>
          <cell r="T196">
            <v>150000</v>
          </cell>
          <cell r="U196">
            <v>15000</v>
          </cell>
          <cell r="V196">
            <v>135000</v>
          </cell>
          <cell r="W196" t="str">
            <v>4902806108781</v>
          </cell>
        </row>
        <row r="197">
          <cell r="A197">
            <v>2026</v>
          </cell>
          <cell r="B197">
            <v>7</v>
          </cell>
          <cell r="C197">
            <v>46213</v>
          </cell>
          <cell r="D197" t="str">
            <v>1. SKK store</v>
          </cell>
          <cell r="E197" t="str">
            <v>S1007</v>
          </cell>
          <cell r="F197" t="str">
            <v>SKK  Nguyễn Du</v>
          </cell>
          <cell r="G197" t="str">
            <v>0904622229</v>
          </cell>
          <cell r="H197" t="str">
            <v>Cô Thắm</v>
          </cell>
          <cell r="I197" t="str">
            <v>Khách mới</v>
          </cell>
          <cell r="J197" t="str">
            <v>Đơn bán</v>
          </cell>
          <cell r="K197" t="str">
            <v>SAKUKO843424</v>
          </cell>
          <cell r="L197" t="str">
            <v>THỰC PHẨM</v>
          </cell>
          <cell r="M197" t="str">
            <v>MỲ, MIẾN</v>
          </cell>
          <cell r="N197" t="str">
            <v>MỲ ĂN LIỀN</v>
          </cell>
          <cell r="O197" t="str">
            <v>155158</v>
          </cell>
          <cell r="P197" t="str">
            <v>8936049051593</v>
          </cell>
          <cell r="Q197" t="str">
            <v>OTOKI- Mì Jin không cay ly 65g</v>
          </cell>
          <cell r="R197">
            <v>18000</v>
          </cell>
          <cell r="S197">
            <v>2</v>
          </cell>
          <cell r="T197">
            <v>36000</v>
          </cell>
          <cell r="U197">
            <v>0</v>
          </cell>
          <cell r="V197">
            <v>36000</v>
          </cell>
          <cell r="W197" t="str">
            <v>8936049051593</v>
          </cell>
        </row>
        <row r="198">
          <cell r="A198">
            <v>2026</v>
          </cell>
          <cell r="B198">
            <v>7</v>
          </cell>
          <cell r="C198">
            <v>46213</v>
          </cell>
          <cell r="D198" t="str">
            <v>1. SKK store</v>
          </cell>
          <cell r="E198" t="str">
            <v>S1007</v>
          </cell>
          <cell r="F198" t="str">
            <v>SKK  Nguyễn Du</v>
          </cell>
          <cell r="G198" t="str">
            <v>0984538275</v>
          </cell>
          <cell r="H198" t="str">
            <v>chị ngọc</v>
          </cell>
          <cell r="I198" t="str">
            <v>Khách mới</v>
          </cell>
          <cell r="J198" t="str">
            <v>Đơn bán</v>
          </cell>
          <cell r="K198" t="str">
            <v>SAKUKO843692</v>
          </cell>
          <cell r="L198" t="str">
            <v>THỰC PHẨM</v>
          </cell>
          <cell r="M198" t="str">
            <v>MỲ, MIẾN</v>
          </cell>
          <cell r="N198" t="str">
            <v>MỲ CHẾ BIẾN</v>
          </cell>
          <cell r="O198" t="str">
            <v>154831</v>
          </cell>
          <cell r="P198" t="str">
            <v>8936049051715</v>
          </cell>
          <cell r="Q198" t="str">
            <v>OTOKI- Mì tô Jin sốt tương đen 115g</v>
          </cell>
          <cell r="R198">
            <v>24000</v>
          </cell>
          <cell r="S198">
            <v>1</v>
          </cell>
          <cell r="T198">
            <v>24000</v>
          </cell>
          <cell r="U198">
            <v>0</v>
          </cell>
          <cell r="V198">
            <v>24000</v>
          </cell>
          <cell r="W198" t="str">
            <v>8936049051715</v>
          </cell>
        </row>
        <row r="199">
          <cell r="A199">
            <v>2026</v>
          </cell>
          <cell r="B199">
            <v>7</v>
          </cell>
          <cell r="C199">
            <v>46213</v>
          </cell>
          <cell r="D199" t="str">
            <v>1. SKK store</v>
          </cell>
          <cell r="E199" t="str">
            <v>S1008</v>
          </cell>
          <cell r="F199" t="str">
            <v>SKK  Hàng Bông</v>
          </cell>
          <cell r="G199" t="str">
            <v>02466810202</v>
          </cell>
          <cell r="H199" t="str">
            <v>KH Tây</v>
          </cell>
          <cell r="I199" t="str">
            <v>Khách vãng lai</v>
          </cell>
          <cell r="J199" t="str">
            <v>Đơn bán</v>
          </cell>
          <cell r="K199" t="str">
            <v>SAKUKO844138</v>
          </cell>
          <cell r="L199" t="str">
            <v>THỰC PHẨM</v>
          </cell>
          <cell r="M199" t="str">
            <v>BÁNH KẸO, ĐỒ ĂN VẶT</v>
          </cell>
          <cell r="N199" t="str">
            <v>KẸO CAO SU</v>
          </cell>
          <cell r="O199" t="str">
            <v>154653</v>
          </cell>
          <cell r="P199" t="str">
            <v>4547894156650</v>
          </cell>
          <cell r="Q199" t="str">
            <v>MONDELEZ JAPAN - Kẹo cao su vị bưởi hồng 130g</v>
          </cell>
          <cell r="R199">
            <v>235000</v>
          </cell>
          <cell r="S199">
            <v>1</v>
          </cell>
          <cell r="T199">
            <v>235000</v>
          </cell>
          <cell r="U199">
            <v>0</v>
          </cell>
          <cell r="V199">
            <v>235000</v>
          </cell>
          <cell r="W199" t="str">
            <v>4547894156650</v>
          </cell>
        </row>
        <row r="200">
          <cell r="A200">
            <v>2026</v>
          </cell>
          <cell r="B200">
            <v>7</v>
          </cell>
          <cell r="C200">
            <v>46213</v>
          </cell>
          <cell r="D200" t="str">
            <v>1. SKK store</v>
          </cell>
          <cell r="E200" t="str">
            <v>S1008</v>
          </cell>
          <cell r="F200" t="str">
            <v>SKK  Hàng Bông</v>
          </cell>
          <cell r="G200" t="str">
            <v>0886863163</v>
          </cell>
          <cell r="H200" t="str">
            <v>chị hoài</v>
          </cell>
          <cell r="I200" t="str">
            <v>Khách cũ</v>
          </cell>
          <cell r="J200" t="str">
            <v>Đơn bán</v>
          </cell>
          <cell r="K200" t="str">
            <v>SAKUKO843617</v>
          </cell>
          <cell r="L200" t="str">
            <v>THỰC PHẨM</v>
          </cell>
          <cell r="M200" t="str">
            <v>MỲ, MIẾN</v>
          </cell>
          <cell r="N200" t="str">
            <v>MỲ CHẾ BIẾN</v>
          </cell>
          <cell r="O200" t="str">
            <v>154831</v>
          </cell>
          <cell r="P200" t="str">
            <v>8936049051715</v>
          </cell>
          <cell r="Q200" t="str">
            <v>OTOKI- Mì tô Jin sốt tương đen 115g</v>
          </cell>
          <cell r="R200">
            <v>24000</v>
          </cell>
          <cell r="S200">
            <v>1</v>
          </cell>
          <cell r="T200">
            <v>24000</v>
          </cell>
          <cell r="U200">
            <v>0</v>
          </cell>
          <cell r="V200">
            <v>24000</v>
          </cell>
          <cell r="W200" t="str">
            <v>8936049051715</v>
          </cell>
        </row>
        <row r="201">
          <cell r="A201">
            <v>2026</v>
          </cell>
          <cell r="B201">
            <v>7</v>
          </cell>
          <cell r="C201">
            <v>46213</v>
          </cell>
          <cell r="D201" t="str">
            <v>1. SKK store</v>
          </cell>
          <cell r="E201" t="str">
            <v>S1008</v>
          </cell>
          <cell r="F201" t="str">
            <v>SKK  Hàng Bông</v>
          </cell>
          <cell r="G201" t="str">
            <v>0988999688</v>
          </cell>
          <cell r="H201" t="str">
            <v>Bác Ngà ngõ Hội Vũ</v>
          </cell>
          <cell r="I201" t="str">
            <v>Khách cũ</v>
          </cell>
          <cell r="J201" t="str">
            <v>Đơn bán</v>
          </cell>
          <cell r="K201" t="str">
            <v>SAKUKO843401</v>
          </cell>
          <cell r="L201" t="str">
            <v>THỰC PHẨM</v>
          </cell>
          <cell r="M201" t="str">
            <v>MỲ, MIẾN</v>
          </cell>
          <cell r="N201" t="str">
            <v>MỲ ĂN LIỀN</v>
          </cell>
          <cell r="O201" t="str">
            <v>154828</v>
          </cell>
          <cell r="P201" t="str">
            <v>8936049051616</v>
          </cell>
          <cell r="Q201" t="str">
            <v>OTOKI- Mì ly Yeul cay 62g</v>
          </cell>
          <cell r="R201">
            <v>15000</v>
          </cell>
          <cell r="S201">
            <v>3</v>
          </cell>
          <cell r="T201">
            <v>45000</v>
          </cell>
          <cell r="U201">
            <v>0</v>
          </cell>
          <cell r="V201">
            <v>45000</v>
          </cell>
          <cell r="W201" t="str">
            <v>8936049051616</v>
          </cell>
        </row>
        <row r="202">
          <cell r="A202">
            <v>2026</v>
          </cell>
          <cell r="B202">
            <v>7</v>
          </cell>
          <cell r="C202">
            <v>46213</v>
          </cell>
          <cell r="D202" t="str">
            <v>1. SKK store</v>
          </cell>
          <cell r="E202" t="str">
            <v>S1008</v>
          </cell>
          <cell r="F202" t="str">
            <v>SKK  Hàng Bông</v>
          </cell>
          <cell r="G202" t="str">
            <v>0988999688</v>
          </cell>
          <cell r="H202" t="str">
            <v>Bác Ngà ngõ Hội Vũ</v>
          </cell>
          <cell r="I202" t="str">
            <v>Khách cũ</v>
          </cell>
          <cell r="J202" t="str">
            <v>Đơn bán</v>
          </cell>
          <cell r="K202" t="str">
            <v>SAKUKO843401</v>
          </cell>
          <cell r="L202" t="str">
            <v>THỰC PHẨM</v>
          </cell>
          <cell r="M202" t="str">
            <v>MỲ, MIẾN</v>
          </cell>
          <cell r="N202" t="str">
            <v>MỲ ĂN LIỀN</v>
          </cell>
          <cell r="O202" t="str">
            <v>155158</v>
          </cell>
          <cell r="P202" t="str">
            <v>8936049051593</v>
          </cell>
          <cell r="Q202" t="str">
            <v>OTOKI- Mì Jin không cay ly 65g</v>
          </cell>
          <cell r="R202">
            <v>18000</v>
          </cell>
          <cell r="S202">
            <v>1</v>
          </cell>
          <cell r="T202">
            <v>18000</v>
          </cell>
          <cell r="U202">
            <v>0</v>
          </cell>
          <cell r="V202">
            <v>18000</v>
          </cell>
          <cell r="W202" t="str">
            <v>8936049051593</v>
          </cell>
        </row>
        <row r="203">
          <cell r="A203">
            <v>2026</v>
          </cell>
          <cell r="B203">
            <v>7</v>
          </cell>
          <cell r="C203">
            <v>46213</v>
          </cell>
          <cell r="D203" t="str">
            <v>1. SKK store</v>
          </cell>
          <cell r="E203" t="str">
            <v>S1008</v>
          </cell>
          <cell r="F203" t="str">
            <v>SKK  Hàng Bông</v>
          </cell>
          <cell r="G203" t="str">
            <v>0988999688</v>
          </cell>
          <cell r="H203" t="str">
            <v>Bác Ngà ngõ Hội Vũ</v>
          </cell>
          <cell r="I203" t="str">
            <v>Khách cũ</v>
          </cell>
          <cell r="J203" t="str">
            <v>Đơn bán</v>
          </cell>
          <cell r="K203" t="str">
            <v>SAKUKO843401</v>
          </cell>
          <cell r="L203" t="str">
            <v>THỰC PHẨM</v>
          </cell>
          <cell r="M203" t="str">
            <v>MỲ, MIẾN</v>
          </cell>
          <cell r="N203" t="str">
            <v>MỲ ĂN LIỀN</v>
          </cell>
          <cell r="O203" t="str">
            <v>155160</v>
          </cell>
          <cell r="P203" t="str">
            <v>8936049051630</v>
          </cell>
          <cell r="Q203" t="str">
            <v>OTOKI- Mì bò hầm vị cay ly 62g</v>
          </cell>
          <cell r="R203">
            <v>16000</v>
          </cell>
          <cell r="S203">
            <v>2</v>
          </cell>
          <cell r="T203">
            <v>32000</v>
          </cell>
          <cell r="U203">
            <v>0</v>
          </cell>
          <cell r="V203">
            <v>32000</v>
          </cell>
          <cell r="W203" t="str">
            <v>8936049051630</v>
          </cell>
        </row>
        <row r="204">
          <cell r="A204">
            <v>2026</v>
          </cell>
          <cell r="B204">
            <v>7</v>
          </cell>
          <cell r="C204">
            <v>46213</v>
          </cell>
          <cell r="D204" t="str">
            <v>1. SKK store</v>
          </cell>
          <cell r="E204" t="str">
            <v>S1008</v>
          </cell>
          <cell r="F204" t="str">
            <v>SKK  Hàng Bông</v>
          </cell>
          <cell r="G204" t="str">
            <v>0988999688</v>
          </cell>
          <cell r="H204" t="str">
            <v>Bác Ngà ngõ Hội Vũ</v>
          </cell>
          <cell r="I204" t="str">
            <v>Khách cũ</v>
          </cell>
          <cell r="J204" t="str">
            <v>Đơn bán</v>
          </cell>
          <cell r="K204" t="str">
            <v>SAKUKO843401</v>
          </cell>
          <cell r="L204" t="str">
            <v>THỰC PHẨM</v>
          </cell>
          <cell r="M204" t="str">
            <v>MỲ, MIẾN</v>
          </cell>
          <cell r="N204" t="str">
            <v>MỲ ĂN LIỀN</v>
          </cell>
          <cell r="O204" t="str">
            <v>155161</v>
          </cell>
          <cell r="P204" t="str">
            <v>8936049052378</v>
          </cell>
          <cell r="Q204" t="str">
            <v>OTOKI- Mì Jin tương đen vị bò ly 65g</v>
          </cell>
          <cell r="R204">
            <v>18000</v>
          </cell>
          <cell r="S204">
            <v>2</v>
          </cell>
          <cell r="T204">
            <v>36000</v>
          </cell>
          <cell r="U204">
            <v>0</v>
          </cell>
          <cell r="V204">
            <v>36000</v>
          </cell>
          <cell r="W204" t="str">
            <v>8936049052378</v>
          </cell>
        </row>
        <row r="205">
          <cell r="A205">
            <v>2026</v>
          </cell>
          <cell r="B205">
            <v>7</v>
          </cell>
          <cell r="C205">
            <v>46213</v>
          </cell>
          <cell r="D205" t="str">
            <v>1. SKK store</v>
          </cell>
          <cell r="E205" t="str">
            <v>S1008</v>
          </cell>
          <cell r="F205" t="str">
            <v>SKK  Hàng Bông</v>
          </cell>
          <cell r="G205" t="str">
            <v>0988999688</v>
          </cell>
          <cell r="H205" t="str">
            <v>Bác Ngà ngõ Hội Vũ</v>
          </cell>
          <cell r="I205" t="str">
            <v>Khách cũ</v>
          </cell>
          <cell r="J205" t="str">
            <v>Đơn bán</v>
          </cell>
          <cell r="K205" t="str">
            <v>SAKUKO843401</v>
          </cell>
          <cell r="L205" t="str">
            <v>THỰC PHẨM</v>
          </cell>
          <cell r="M205" t="str">
            <v>MỲ, MIẾN</v>
          </cell>
          <cell r="N205" t="str">
            <v>MỲ CHẾ BIẾN</v>
          </cell>
          <cell r="O205" t="str">
            <v>154830</v>
          </cell>
          <cell r="P205" t="str">
            <v>8936049051609</v>
          </cell>
          <cell r="Q205" t="str">
            <v>OTOKI- Mì ly Jin sốt tương đen 70g</v>
          </cell>
          <cell r="R205">
            <v>18000</v>
          </cell>
          <cell r="S205">
            <v>2</v>
          </cell>
          <cell r="T205">
            <v>36000</v>
          </cell>
          <cell r="U205">
            <v>0</v>
          </cell>
          <cell r="V205">
            <v>36000</v>
          </cell>
          <cell r="W205" t="str">
            <v>8936049051609</v>
          </cell>
        </row>
        <row r="206">
          <cell r="A206">
            <v>2026</v>
          </cell>
          <cell r="B206">
            <v>7</v>
          </cell>
          <cell r="C206">
            <v>46213</v>
          </cell>
          <cell r="D206" t="str">
            <v>1. SKK store</v>
          </cell>
          <cell r="E206" t="str">
            <v>S1008</v>
          </cell>
          <cell r="F206" t="str">
            <v>SKK  Hàng Bông</v>
          </cell>
          <cell r="G206" t="str">
            <v>0989532199</v>
          </cell>
          <cell r="H206" t="str">
            <v>chị Phương</v>
          </cell>
          <cell r="I206" t="str">
            <v>Khách cũ</v>
          </cell>
          <cell r="J206" t="str">
            <v>Đơn bán</v>
          </cell>
          <cell r="K206" t="str">
            <v>SAKUKO843132</v>
          </cell>
          <cell r="L206" t="str">
            <v>THỰC PHẨM</v>
          </cell>
          <cell r="M206" t="str">
            <v>MỲ, MIẾN</v>
          </cell>
          <cell r="N206" t="str">
            <v>MỲ ĂN LIỀN</v>
          </cell>
          <cell r="O206" t="str">
            <v>154359</v>
          </cell>
          <cell r="P206" t="str">
            <v>4979397000138</v>
          </cell>
          <cell r="Q206" t="str">
            <v>YAMAMOTO- Mì ramen ăn liền hải sản thịt heo 88g*5</v>
          </cell>
          <cell r="R206">
            <v>99000</v>
          </cell>
          <cell r="S206">
            <v>1</v>
          </cell>
          <cell r="T206">
            <v>99000</v>
          </cell>
          <cell r="U206">
            <v>0</v>
          </cell>
          <cell r="V206">
            <v>99000</v>
          </cell>
          <cell r="W206" t="str">
            <v>4979397000138</v>
          </cell>
        </row>
        <row r="207">
          <cell r="A207">
            <v>2026</v>
          </cell>
          <cell r="B207">
            <v>7</v>
          </cell>
          <cell r="C207">
            <v>46213</v>
          </cell>
          <cell r="D207" t="str">
            <v>1. SKK store</v>
          </cell>
          <cell r="E207" t="str">
            <v>S1015</v>
          </cell>
          <cell r="F207" t="str">
            <v>SKK Hàm Nghi</v>
          </cell>
          <cell r="G207" t="str">
            <v>0372364762</v>
          </cell>
          <cell r="H207" t="str">
            <v>ANH ĐỨC</v>
          </cell>
          <cell r="I207" t="str">
            <v>Khách mới</v>
          </cell>
          <cell r="J207" t="str">
            <v>Đơn bán</v>
          </cell>
          <cell r="K207" t="str">
            <v>SAKUKO843982</v>
          </cell>
          <cell r="L207" t="str">
            <v>CHĂM SÓC SẮC ĐẸP</v>
          </cell>
          <cell r="M207" t="str">
            <v>CHĂM SÓC DA</v>
          </cell>
          <cell r="N207" t="str">
            <v>RỬA MẶT</v>
          </cell>
          <cell r="O207" t="str">
            <v>102448</v>
          </cell>
          <cell r="P207" t="str">
            <v>4902806470642</v>
          </cell>
          <cell r="Q207" t="str">
            <v>GATSBY- SRM sạch bụi &amp; dầu nhờn 130g</v>
          </cell>
          <cell r="R207">
            <v>100000</v>
          </cell>
          <cell r="S207">
            <v>1</v>
          </cell>
          <cell r="T207">
            <v>100000</v>
          </cell>
          <cell r="U207">
            <v>10000</v>
          </cell>
          <cell r="V207">
            <v>90000</v>
          </cell>
          <cell r="W207" t="str">
            <v>4902806470642</v>
          </cell>
        </row>
        <row r="208">
          <cell r="A208">
            <v>2026</v>
          </cell>
          <cell r="B208">
            <v>7</v>
          </cell>
          <cell r="C208">
            <v>46213</v>
          </cell>
          <cell r="D208" t="str">
            <v>1. SKK store</v>
          </cell>
          <cell r="E208" t="str">
            <v>S1015</v>
          </cell>
          <cell r="F208" t="str">
            <v>SKK Hàm Nghi</v>
          </cell>
          <cell r="G208" t="str">
            <v>0964797104</v>
          </cell>
          <cell r="H208" t="str">
            <v>tuyết</v>
          </cell>
          <cell r="I208" t="str">
            <v>Khách mới</v>
          </cell>
          <cell r="J208" t="str">
            <v>Đơn bán</v>
          </cell>
          <cell r="K208" t="str">
            <v>SAKUKO843224</v>
          </cell>
          <cell r="L208" t="str">
            <v>THỰC PHẨM</v>
          </cell>
          <cell r="M208" t="str">
            <v>MỲ, MIẾN</v>
          </cell>
          <cell r="N208" t="str">
            <v>MỲ ĂN LIỀN</v>
          </cell>
          <cell r="O208" t="str">
            <v>155157</v>
          </cell>
          <cell r="P208" t="str">
            <v>8936049051586</v>
          </cell>
          <cell r="Q208" t="str">
            <v>OTOKI- Mì Jin cay ly 65g</v>
          </cell>
          <cell r="R208">
            <v>18000</v>
          </cell>
          <cell r="S208">
            <v>1</v>
          </cell>
          <cell r="T208">
            <v>18000</v>
          </cell>
          <cell r="U208">
            <v>0</v>
          </cell>
          <cell r="V208">
            <v>18000</v>
          </cell>
          <cell r="W208" t="str">
            <v>8936049051586</v>
          </cell>
        </row>
        <row r="209">
          <cell r="A209">
            <v>2026</v>
          </cell>
          <cell r="B209">
            <v>7</v>
          </cell>
          <cell r="C209">
            <v>46213</v>
          </cell>
          <cell r="D209" t="str">
            <v>1. SKK store</v>
          </cell>
          <cell r="E209" t="str">
            <v>S1015</v>
          </cell>
          <cell r="F209" t="str">
            <v>SKK Hàm Nghi</v>
          </cell>
          <cell r="G209" t="str">
            <v>0964797104</v>
          </cell>
          <cell r="H209" t="str">
            <v>tuyết</v>
          </cell>
          <cell r="I209" t="str">
            <v>Khách mới</v>
          </cell>
          <cell r="J209" t="str">
            <v>Đơn bán</v>
          </cell>
          <cell r="K209" t="str">
            <v>SAKUKO843224</v>
          </cell>
          <cell r="L209" t="str">
            <v>THỰC PHẨM</v>
          </cell>
          <cell r="M209" t="str">
            <v>MỲ, MIẾN</v>
          </cell>
          <cell r="N209" t="str">
            <v>MỲ ĂN LIỀN</v>
          </cell>
          <cell r="O209" t="str">
            <v>155159</v>
          </cell>
          <cell r="P209" t="str">
            <v>8936049051623</v>
          </cell>
          <cell r="Q209" t="str">
            <v>OTOKI- Mì kimchi ly 62g</v>
          </cell>
          <cell r="R209">
            <v>16000</v>
          </cell>
          <cell r="S209">
            <v>1</v>
          </cell>
          <cell r="T209">
            <v>16000</v>
          </cell>
          <cell r="U209">
            <v>0</v>
          </cell>
          <cell r="V209">
            <v>16000</v>
          </cell>
          <cell r="W209" t="str">
            <v>8936049051623</v>
          </cell>
        </row>
        <row r="210">
          <cell r="A210">
            <v>2026</v>
          </cell>
          <cell r="B210">
            <v>7</v>
          </cell>
          <cell r="C210">
            <v>46213</v>
          </cell>
          <cell r="D210" t="str">
            <v>1. SKK store</v>
          </cell>
          <cell r="E210" t="str">
            <v>S1015</v>
          </cell>
          <cell r="F210" t="str">
            <v>SKK Hàm Nghi</v>
          </cell>
          <cell r="G210" t="str">
            <v>0964797104</v>
          </cell>
          <cell r="H210" t="str">
            <v>tuyết</v>
          </cell>
          <cell r="I210" t="str">
            <v>Khách mới</v>
          </cell>
          <cell r="J210" t="str">
            <v>Đơn bán</v>
          </cell>
          <cell r="K210" t="str">
            <v>SAKUKO843224</v>
          </cell>
          <cell r="L210" t="str">
            <v>THỰC PHẨM</v>
          </cell>
          <cell r="M210" t="str">
            <v>MỲ, MIẾN</v>
          </cell>
          <cell r="N210" t="str">
            <v>MỲ ĂN LIỀN</v>
          </cell>
          <cell r="O210" t="str">
            <v>155161</v>
          </cell>
          <cell r="P210" t="str">
            <v>8936049052378</v>
          </cell>
          <cell r="Q210" t="str">
            <v>OTOKI- Mì Jin tương đen vị bò ly 65g</v>
          </cell>
          <cell r="R210">
            <v>18000</v>
          </cell>
          <cell r="S210">
            <v>1</v>
          </cell>
          <cell r="T210">
            <v>18000</v>
          </cell>
          <cell r="U210">
            <v>0</v>
          </cell>
          <cell r="V210">
            <v>18000</v>
          </cell>
          <cell r="W210" t="str">
            <v>8936049052378</v>
          </cell>
        </row>
        <row r="211">
          <cell r="A211">
            <v>2026</v>
          </cell>
          <cell r="B211">
            <v>7</v>
          </cell>
          <cell r="C211">
            <v>46213</v>
          </cell>
          <cell r="D211" t="str">
            <v>1. SKK store</v>
          </cell>
          <cell r="E211" t="str">
            <v>S1015</v>
          </cell>
          <cell r="F211" t="str">
            <v>SKK Hàm Nghi</v>
          </cell>
          <cell r="G211" t="str">
            <v>0964797104</v>
          </cell>
          <cell r="H211" t="str">
            <v>tuyết</v>
          </cell>
          <cell r="I211" t="str">
            <v>Khách mới</v>
          </cell>
          <cell r="J211" t="str">
            <v>Đơn bán</v>
          </cell>
          <cell r="K211" t="str">
            <v>SAKUKO843224</v>
          </cell>
          <cell r="L211" t="str">
            <v>THỰC PHẨM</v>
          </cell>
          <cell r="M211" t="str">
            <v>MỲ, MIẾN</v>
          </cell>
          <cell r="N211" t="str">
            <v>MỲ CHẾ BIẾN</v>
          </cell>
          <cell r="O211" t="str">
            <v>154830</v>
          </cell>
          <cell r="P211" t="str">
            <v>8936049051609</v>
          </cell>
          <cell r="Q211" t="str">
            <v>OTOKI- Mì ly Jin sốt tương đen 70g</v>
          </cell>
          <cell r="R211">
            <v>18000</v>
          </cell>
          <cell r="S211">
            <v>1</v>
          </cell>
          <cell r="T211">
            <v>18000</v>
          </cell>
          <cell r="U211">
            <v>0</v>
          </cell>
          <cell r="V211">
            <v>18000</v>
          </cell>
          <cell r="W211" t="str">
            <v>8936049051609</v>
          </cell>
        </row>
        <row r="212">
          <cell r="A212">
            <v>2026</v>
          </cell>
          <cell r="B212">
            <v>7</v>
          </cell>
          <cell r="C212">
            <v>46213</v>
          </cell>
          <cell r="D212" t="str">
            <v>1. SKK store</v>
          </cell>
          <cell r="E212" t="str">
            <v>S1018</v>
          </cell>
          <cell r="F212" t="str">
            <v>SKK Nguyễn Tuân</v>
          </cell>
          <cell r="G212" t="str">
            <v>0947089691</v>
          </cell>
          <cell r="H212" t="str">
            <v>Thúy Hà</v>
          </cell>
          <cell r="I212" t="str">
            <v>Khách cũ</v>
          </cell>
          <cell r="J212" t="str">
            <v>Đơn bán</v>
          </cell>
          <cell r="K212" t="str">
            <v>SAKUKO843591</v>
          </cell>
          <cell r="L212" t="str">
            <v>THỰC PHẨM</v>
          </cell>
          <cell r="M212" t="str">
            <v>MỲ, MIẾN</v>
          </cell>
          <cell r="N212" t="str">
            <v>MỲ ĂN LIỀN</v>
          </cell>
          <cell r="O212" t="str">
            <v>154828</v>
          </cell>
          <cell r="P212" t="str">
            <v>8936049051616</v>
          </cell>
          <cell r="Q212" t="str">
            <v>OTOKI- Mì ly Yeul cay 62g</v>
          </cell>
          <cell r="R212">
            <v>15000</v>
          </cell>
          <cell r="S212">
            <v>1</v>
          </cell>
          <cell r="T212">
            <v>15000</v>
          </cell>
          <cell r="U212">
            <v>0</v>
          </cell>
          <cell r="V212">
            <v>15000</v>
          </cell>
          <cell r="W212" t="str">
            <v>8936049051616</v>
          </cell>
        </row>
        <row r="213">
          <cell r="A213">
            <v>2026</v>
          </cell>
          <cell r="B213">
            <v>7</v>
          </cell>
          <cell r="C213">
            <v>46213</v>
          </cell>
          <cell r="D213" t="str">
            <v>1. SKK store</v>
          </cell>
          <cell r="E213" t="str">
            <v>S1018</v>
          </cell>
          <cell r="F213" t="str">
            <v>SKK Nguyễn Tuân</v>
          </cell>
          <cell r="G213" t="str">
            <v>0983839009</v>
          </cell>
          <cell r="H213" t="str">
            <v>chi vy</v>
          </cell>
          <cell r="I213" t="str">
            <v>Khách cũ</v>
          </cell>
          <cell r="J213" t="str">
            <v>Đơn bán</v>
          </cell>
          <cell r="K213" t="str">
            <v>SAKUKO843567</v>
          </cell>
          <cell r="L213" t="str">
            <v>THỰC PHẨM</v>
          </cell>
          <cell r="M213" t="str">
            <v>MỲ, MIẾN</v>
          </cell>
          <cell r="N213" t="str">
            <v>MỲ ĂN LIỀN</v>
          </cell>
          <cell r="O213" t="str">
            <v>154828</v>
          </cell>
          <cell r="P213" t="str">
            <v>8936049051616</v>
          </cell>
          <cell r="Q213" t="str">
            <v>OTOKI- Mì ly Yeul cay 62g</v>
          </cell>
          <cell r="R213">
            <v>15000</v>
          </cell>
          <cell r="S213">
            <v>2</v>
          </cell>
          <cell r="T213">
            <v>30000</v>
          </cell>
          <cell r="U213">
            <v>0</v>
          </cell>
          <cell r="V213">
            <v>30000</v>
          </cell>
          <cell r="W213" t="str">
            <v>8936049051616</v>
          </cell>
        </row>
        <row r="214">
          <cell r="A214">
            <v>2026</v>
          </cell>
          <cell r="B214">
            <v>7</v>
          </cell>
          <cell r="C214">
            <v>46213</v>
          </cell>
          <cell r="D214" t="str">
            <v>1. SKK store</v>
          </cell>
          <cell r="E214" t="str">
            <v>S1025</v>
          </cell>
          <cell r="F214" t="str">
            <v>SKK T6 Time City</v>
          </cell>
          <cell r="G214" t="str">
            <v>0899450363</v>
          </cell>
          <cell r="H214" t="str">
            <v>A Zai</v>
          </cell>
          <cell r="I214" t="str">
            <v>Khách cũ</v>
          </cell>
          <cell r="J214" t="str">
            <v>Đơn bán</v>
          </cell>
          <cell r="K214" t="str">
            <v>SAKUKO843365</v>
          </cell>
          <cell r="L214" t="str">
            <v>THỰC PHẨM</v>
          </cell>
          <cell r="M214" t="str">
            <v>MỲ, MIẾN</v>
          </cell>
          <cell r="N214" t="str">
            <v>MỲ ĂN LIỀN</v>
          </cell>
          <cell r="O214" t="str">
            <v>155159</v>
          </cell>
          <cell r="P214" t="str">
            <v>8936049051623</v>
          </cell>
          <cell r="Q214" t="str">
            <v>OTOKI- Mì kimchi ly 62g</v>
          </cell>
          <cell r="R214">
            <v>16000</v>
          </cell>
          <cell r="S214">
            <v>1</v>
          </cell>
          <cell r="T214">
            <v>16000</v>
          </cell>
          <cell r="U214">
            <v>0</v>
          </cell>
          <cell r="V214">
            <v>16000</v>
          </cell>
          <cell r="W214" t="str">
            <v>8936049051623</v>
          </cell>
        </row>
        <row r="215">
          <cell r="A215">
            <v>2026</v>
          </cell>
          <cell r="B215">
            <v>7</v>
          </cell>
          <cell r="C215">
            <v>46212</v>
          </cell>
          <cell r="D215" t="str">
            <v>1. SKK store</v>
          </cell>
          <cell r="E215" t="str">
            <v>S1004</v>
          </cell>
          <cell r="F215" t="str">
            <v>SKK  Mandarin C1</v>
          </cell>
          <cell r="G215" t="str">
            <v>0337418383</v>
          </cell>
          <cell r="H215" t="str">
            <v>C LÀNH</v>
          </cell>
          <cell r="I215" t="str">
            <v>Khách cũ</v>
          </cell>
          <cell r="J215" t="str">
            <v>Đơn bán</v>
          </cell>
          <cell r="K215" t="str">
            <v>SAKUKO842765</v>
          </cell>
          <cell r="L215" t="str">
            <v>CHĂM SÓC SẮC ĐẸP</v>
          </cell>
          <cell r="M215" t="str">
            <v>CHĂM SÓC DA</v>
          </cell>
          <cell r="N215" t="str">
            <v>KEM DƯỠNG</v>
          </cell>
          <cell r="O215" t="str">
            <v>102384</v>
          </cell>
          <cell r="P215" t="str">
            <v>4902468820014</v>
          </cell>
          <cell r="Q215" t="str">
            <v>MEISHOKU- Kem gel dưỡng ẩm phục hồi chuyên sâu 50g</v>
          </cell>
          <cell r="R215">
            <v>575000</v>
          </cell>
          <cell r="S215">
            <v>1</v>
          </cell>
          <cell r="T215">
            <v>575000</v>
          </cell>
          <cell r="U215">
            <v>0</v>
          </cell>
          <cell r="V215">
            <v>575000</v>
          </cell>
          <cell r="W215" t="str">
            <v>4902468820014</v>
          </cell>
        </row>
        <row r="216">
          <cell r="A216">
            <v>2026</v>
          </cell>
          <cell r="B216">
            <v>7</v>
          </cell>
          <cell r="C216">
            <v>46212</v>
          </cell>
          <cell r="D216" t="str">
            <v>1. SKK store</v>
          </cell>
          <cell r="E216" t="str">
            <v>S1004</v>
          </cell>
          <cell r="F216" t="str">
            <v>SKK  Mandarin C1</v>
          </cell>
          <cell r="G216" t="str">
            <v>0903283959</v>
          </cell>
          <cell r="H216" t="str">
            <v>Anh Nguyễn Ngọc Đông</v>
          </cell>
          <cell r="I216" t="str">
            <v>Khách cũ</v>
          </cell>
          <cell r="J216" t="str">
            <v>Đơn bán</v>
          </cell>
          <cell r="K216" t="str">
            <v>SAKUKO842209</v>
          </cell>
          <cell r="L216" t="str">
            <v>CHĂM SÓC SẮC ĐẸP</v>
          </cell>
          <cell r="M216" t="str">
            <v>CHĂM SÓC TÓC</v>
          </cell>
          <cell r="N216" t="str">
            <v>TẠO KIỂU TÓC</v>
          </cell>
          <cell r="O216" t="str">
            <v>100160</v>
          </cell>
          <cell r="P216" t="str">
            <v>45131677</v>
          </cell>
          <cell r="Q216" t="str">
            <v>GATSBY- Sáp vuốt tóc giữ nếp 80g</v>
          </cell>
          <cell r="R216">
            <v>150000</v>
          </cell>
          <cell r="S216">
            <v>1</v>
          </cell>
          <cell r="T216">
            <v>150000</v>
          </cell>
          <cell r="U216">
            <v>15000</v>
          </cell>
          <cell r="V216">
            <v>135000</v>
          </cell>
          <cell r="W216" t="str">
            <v>45131677</v>
          </cell>
        </row>
        <row r="217">
          <cell r="A217">
            <v>2026</v>
          </cell>
          <cell r="B217">
            <v>7</v>
          </cell>
          <cell r="C217">
            <v>46212</v>
          </cell>
          <cell r="D217" t="str">
            <v>1. SKK store</v>
          </cell>
          <cell r="E217" t="str">
            <v>S1004</v>
          </cell>
          <cell r="F217" t="str">
            <v>SKK  Mandarin C1</v>
          </cell>
          <cell r="G217" t="str">
            <v>0976940728</v>
          </cell>
          <cell r="H217" t="str">
            <v>Chị Luyến</v>
          </cell>
          <cell r="I217" t="str">
            <v>Khách cũ</v>
          </cell>
          <cell r="J217" t="str">
            <v>Đơn bán</v>
          </cell>
          <cell r="K217" t="str">
            <v>SAKUKO842067</v>
          </cell>
          <cell r="L217" t="str">
            <v>THỰC PHẨM</v>
          </cell>
          <cell r="M217" t="str">
            <v>MỲ, MIẾN</v>
          </cell>
          <cell r="N217" t="str">
            <v>MỲ ĂN LIỀN</v>
          </cell>
          <cell r="O217" t="str">
            <v>155155</v>
          </cell>
          <cell r="P217" t="str">
            <v>8936049051708</v>
          </cell>
          <cell r="Q217" t="str">
            <v>OTOKI- Mì Jin không cay tô 110g</v>
          </cell>
          <cell r="R217">
            <v>22000</v>
          </cell>
          <cell r="S217">
            <v>1</v>
          </cell>
          <cell r="T217">
            <v>22000</v>
          </cell>
          <cell r="U217">
            <v>0</v>
          </cell>
          <cell r="V217">
            <v>22000</v>
          </cell>
          <cell r="W217" t="str">
            <v>8936049051708</v>
          </cell>
        </row>
        <row r="218">
          <cell r="A218">
            <v>2026</v>
          </cell>
          <cell r="B218">
            <v>7</v>
          </cell>
          <cell r="C218">
            <v>46212</v>
          </cell>
          <cell r="D218" t="str">
            <v>1. SKK store</v>
          </cell>
          <cell r="E218" t="str">
            <v>S1004</v>
          </cell>
          <cell r="F218" t="str">
            <v>SKK  Mandarin C1</v>
          </cell>
          <cell r="G218" t="str">
            <v>0976940728</v>
          </cell>
          <cell r="H218" t="str">
            <v>Chị Luyến</v>
          </cell>
          <cell r="I218" t="str">
            <v>Khách cũ</v>
          </cell>
          <cell r="J218" t="str">
            <v>Đơn bán</v>
          </cell>
          <cell r="K218" t="str">
            <v>SAKUKO842067</v>
          </cell>
          <cell r="L218" t="str">
            <v>THỰC PHẨM</v>
          </cell>
          <cell r="M218" t="str">
            <v>MỲ, MIẾN</v>
          </cell>
          <cell r="N218" t="str">
            <v>MỲ ĂN LIỀN</v>
          </cell>
          <cell r="O218" t="str">
            <v>155159</v>
          </cell>
          <cell r="P218" t="str">
            <v>8936049051623</v>
          </cell>
          <cell r="Q218" t="str">
            <v>OTOKI- Mì kimchi ly 62g</v>
          </cell>
          <cell r="R218">
            <v>16000</v>
          </cell>
          <cell r="S218">
            <v>1</v>
          </cell>
          <cell r="T218">
            <v>16000</v>
          </cell>
          <cell r="U218">
            <v>0</v>
          </cell>
          <cell r="V218">
            <v>16000</v>
          </cell>
          <cell r="W218" t="str">
            <v>8936049051623</v>
          </cell>
        </row>
        <row r="219">
          <cell r="A219">
            <v>2026</v>
          </cell>
          <cell r="B219">
            <v>7</v>
          </cell>
          <cell r="C219">
            <v>46212</v>
          </cell>
          <cell r="D219" t="str">
            <v>1. SKK store</v>
          </cell>
          <cell r="E219" t="str">
            <v>S1004</v>
          </cell>
          <cell r="F219" t="str">
            <v>SKK  Mandarin C1</v>
          </cell>
          <cell r="G219" t="str">
            <v>0976940728</v>
          </cell>
          <cell r="H219" t="str">
            <v>Chị Luyến</v>
          </cell>
          <cell r="I219" t="str">
            <v>Khách cũ</v>
          </cell>
          <cell r="J219" t="str">
            <v>Đơn bán</v>
          </cell>
          <cell r="K219" t="str">
            <v>SAKUKO842067</v>
          </cell>
          <cell r="L219" t="str">
            <v>THỰC PHẨM</v>
          </cell>
          <cell r="M219" t="str">
            <v>MỲ, MIẾN</v>
          </cell>
          <cell r="N219" t="str">
            <v>MỲ CHẾ BIẾN</v>
          </cell>
          <cell r="O219" t="str">
            <v>154831</v>
          </cell>
          <cell r="P219" t="str">
            <v>8936049051715</v>
          </cell>
          <cell r="Q219" t="str">
            <v>OTOKI- Mì tô Jin sốt tương đen 115g</v>
          </cell>
          <cell r="R219">
            <v>24000</v>
          </cell>
          <cell r="S219">
            <v>1</v>
          </cell>
          <cell r="T219">
            <v>24000</v>
          </cell>
          <cell r="U219">
            <v>0</v>
          </cell>
          <cell r="V219">
            <v>24000</v>
          </cell>
          <cell r="W219" t="str">
            <v>8936049051715</v>
          </cell>
        </row>
        <row r="220">
          <cell r="A220">
            <v>2026</v>
          </cell>
          <cell r="B220">
            <v>7</v>
          </cell>
          <cell r="C220">
            <v>46212</v>
          </cell>
          <cell r="D220" t="str">
            <v>1. SKK store</v>
          </cell>
          <cell r="E220" t="str">
            <v>S1005</v>
          </cell>
          <cell r="F220" t="str">
            <v>SKK  Thái Hà</v>
          </cell>
          <cell r="G220" t="str">
            <v>0918335574</v>
          </cell>
          <cell r="H220" t="str">
            <v>Cô .Nga</v>
          </cell>
          <cell r="I220" t="str">
            <v>Khách cũ</v>
          </cell>
          <cell r="J220" t="str">
            <v>Đơn bán</v>
          </cell>
          <cell r="K220" t="str">
            <v>SAKUKO842912</v>
          </cell>
          <cell r="L220" t="str">
            <v>THỰC PHẨM</v>
          </cell>
          <cell r="M220" t="str">
            <v>BÁNH KẸO, ĐỒ ĂN VẶT</v>
          </cell>
          <cell r="N220" t="str">
            <v>KẸO CAO SU</v>
          </cell>
          <cell r="O220" t="str">
            <v>154105</v>
          </cell>
          <cell r="P220" t="str">
            <v>4547894156612</v>
          </cell>
          <cell r="Q220" t="str">
            <v>MONDELEZ JAPAN - Kẹo cao su 112g</v>
          </cell>
          <cell r="R220">
            <v>235000</v>
          </cell>
          <cell r="S220">
            <v>1</v>
          </cell>
          <cell r="T220">
            <v>235000</v>
          </cell>
          <cell r="U220">
            <v>0</v>
          </cell>
          <cell r="V220">
            <v>235000</v>
          </cell>
          <cell r="W220" t="str">
            <v>4547894156612</v>
          </cell>
        </row>
        <row r="221">
          <cell r="A221">
            <v>2026</v>
          </cell>
          <cell r="B221">
            <v>7</v>
          </cell>
          <cell r="C221">
            <v>46212</v>
          </cell>
          <cell r="D221" t="str">
            <v>1. SKK store</v>
          </cell>
          <cell r="E221" t="str">
            <v>S1005</v>
          </cell>
          <cell r="F221" t="str">
            <v>SKK  Thái Hà</v>
          </cell>
          <cell r="G221" t="str">
            <v>0973999956</v>
          </cell>
          <cell r="H221" t="str">
            <v>Chị Chu Thị Thanh NHàn</v>
          </cell>
          <cell r="I221" t="str">
            <v>Khách cũ</v>
          </cell>
          <cell r="J221" t="str">
            <v>Đơn bán</v>
          </cell>
          <cell r="K221" t="str">
            <v>SAKUKO842246</v>
          </cell>
          <cell r="L221" t="str">
            <v>THỰC PHẨM</v>
          </cell>
          <cell r="M221" t="str">
            <v>MỲ, MIẾN</v>
          </cell>
          <cell r="N221" t="str">
            <v>MỲ CHẾ BIẾN</v>
          </cell>
          <cell r="O221" t="str">
            <v>154831</v>
          </cell>
          <cell r="P221" t="str">
            <v>8936049051715</v>
          </cell>
          <cell r="Q221" t="str">
            <v>OTOKI- Mì tô Jin sốt tương đen 115g</v>
          </cell>
          <cell r="R221">
            <v>24000</v>
          </cell>
          <cell r="S221">
            <v>4</v>
          </cell>
          <cell r="T221">
            <v>96000</v>
          </cell>
          <cell r="U221">
            <v>0</v>
          </cell>
          <cell r="V221">
            <v>96000</v>
          </cell>
          <cell r="W221" t="str">
            <v>8936049051715</v>
          </cell>
        </row>
        <row r="222">
          <cell r="A222">
            <v>2026</v>
          </cell>
          <cell r="B222">
            <v>7</v>
          </cell>
          <cell r="C222">
            <v>46212</v>
          </cell>
          <cell r="D222" t="str">
            <v>1. SKK store</v>
          </cell>
          <cell r="E222" t="str">
            <v>S1006</v>
          </cell>
          <cell r="F222" t="str">
            <v>SKK Trần Đăng Ninh</v>
          </cell>
          <cell r="G222" t="str">
            <v>0983031102</v>
          </cell>
          <cell r="H222" t="str">
            <v>Chị Nguyễn Bích Thủy</v>
          </cell>
          <cell r="I222" t="str">
            <v>Khách cũ</v>
          </cell>
          <cell r="J222" t="str">
            <v>Đơn bán</v>
          </cell>
          <cell r="K222" t="str">
            <v>SAKUKO842185</v>
          </cell>
          <cell r="L222" t="str">
            <v>THỰC PHẨM</v>
          </cell>
          <cell r="M222" t="str">
            <v>MỲ, MIẾN</v>
          </cell>
          <cell r="N222" t="str">
            <v>MỲ ĂN LIỀN</v>
          </cell>
          <cell r="O222" t="str">
            <v>154359</v>
          </cell>
          <cell r="P222" t="str">
            <v>4979397000138</v>
          </cell>
          <cell r="Q222" t="str">
            <v>YAMAMOTO- Mì ramen ăn liền hải sản thịt heo 88g*5</v>
          </cell>
          <cell r="R222">
            <v>99000</v>
          </cell>
          <cell r="S222">
            <v>1</v>
          </cell>
          <cell r="T222">
            <v>99000</v>
          </cell>
          <cell r="U222">
            <v>0</v>
          </cell>
          <cell r="V222">
            <v>99000</v>
          </cell>
          <cell r="W222" t="str">
            <v>4979397000138</v>
          </cell>
        </row>
        <row r="223">
          <cell r="A223">
            <v>2026</v>
          </cell>
          <cell r="B223">
            <v>7</v>
          </cell>
          <cell r="C223">
            <v>46212</v>
          </cell>
          <cell r="D223" t="str">
            <v>1. SKK store</v>
          </cell>
          <cell r="E223" t="str">
            <v>S1007</v>
          </cell>
          <cell r="F223" t="str">
            <v>SKK  Nguyễn Du</v>
          </cell>
          <cell r="G223" t="str">
            <v>0906082668</v>
          </cell>
          <cell r="H223" t="str">
            <v>chị linh</v>
          </cell>
          <cell r="I223" t="str">
            <v>Khách cũ</v>
          </cell>
          <cell r="J223" t="str">
            <v>Đơn bán</v>
          </cell>
          <cell r="K223" t="str">
            <v>SAKUKO842586</v>
          </cell>
          <cell r="L223" t="str">
            <v>THỰC PHẨM</v>
          </cell>
          <cell r="M223" t="str">
            <v>MỲ, MIẾN</v>
          </cell>
          <cell r="N223" t="str">
            <v>MỲ ĂN LIỀN</v>
          </cell>
          <cell r="O223" t="str">
            <v>155155</v>
          </cell>
          <cell r="P223" t="str">
            <v>8936049051708</v>
          </cell>
          <cell r="Q223" t="str">
            <v>OTOKI- Mì Jin không cay tô 110g</v>
          </cell>
          <cell r="R223">
            <v>22000</v>
          </cell>
          <cell r="S223">
            <v>1</v>
          </cell>
          <cell r="T223">
            <v>22000</v>
          </cell>
          <cell r="U223">
            <v>0</v>
          </cell>
          <cell r="V223">
            <v>22000</v>
          </cell>
          <cell r="W223" t="str">
            <v>8936049051708</v>
          </cell>
        </row>
        <row r="224">
          <cell r="A224">
            <v>2026</v>
          </cell>
          <cell r="B224">
            <v>7</v>
          </cell>
          <cell r="C224">
            <v>46212</v>
          </cell>
          <cell r="D224" t="str">
            <v>1. SKK store</v>
          </cell>
          <cell r="E224" t="str">
            <v>S1007</v>
          </cell>
          <cell r="F224" t="str">
            <v>SKK  Nguyễn Du</v>
          </cell>
          <cell r="G224" t="str">
            <v>0906082668</v>
          </cell>
          <cell r="H224" t="str">
            <v>chị linh</v>
          </cell>
          <cell r="I224" t="str">
            <v>Khách cũ</v>
          </cell>
          <cell r="J224" t="str">
            <v>Đơn bán</v>
          </cell>
          <cell r="K224" t="str">
            <v>SAKUKO842586</v>
          </cell>
          <cell r="L224" t="str">
            <v>THỰC PHẨM</v>
          </cell>
          <cell r="M224" t="str">
            <v>MỲ, MIẾN</v>
          </cell>
          <cell r="N224" t="str">
            <v>MỲ ĂN LIỀN</v>
          </cell>
          <cell r="O224" t="str">
            <v>155158</v>
          </cell>
          <cell r="P224" t="str">
            <v>8936049051593</v>
          </cell>
          <cell r="Q224" t="str">
            <v>OTOKI- Mì Jin không cay ly 65g</v>
          </cell>
          <cell r="R224">
            <v>18000</v>
          </cell>
          <cell r="S224">
            <v>2</v>
          </cell>
          <cell r="T224">
            <v>36000</v>
          </cell>
          <cell r="U224">
            <v>0</v>
          </cell>
          <cell r="V224">
            <v>36000</v>
          </cell>
          <cell r="W224" t="str">
            <v>8936049051593</v>
          </cell>
        </row>
        <row r="225">
          <cell r="A225">
            <v>2026</v>
          </cell>
          <cell r="B225">
            <v>7</v>
          </cell>
          <cell r="C225">
            <v>46212</v>
          </cell>
          <cell r="D225" t="str">
            <v>1. SKK store</v>
          </cell>
          <cell r="E225" t="str">
            <v>S1007</v>
          </cell>
          <cell r="F225" t="str">
            <v>SKK  Nguyễn Du</v>
          </cell>
          <cell r="G225" t="str">
            <v>0906082668</v>
          </cell>
          <cell r="H225" t="str">
            <v>chị linh</v>
          </cell>
          <cell r="I225" t="str">
            <v>Khách cũ</v>
          </cell>
          <cell r="J225" t="str">
            <v>Đơn bán</v>
          </cell>
          <cell r="K225" t="str">
            <v>SAKUKO842586</v>
          </cell>
          <cell r="L225" t="str">
            <v>THỰC PHẨM</v>
          </cell>
          <cell r="M225" t="str">
            <v>MỲ, MIẾN</v>
          </cell>
          <cell r="N225" t="str">
            <v>MỲ ĂN LIỀN</v>
          </cell>
          <cell r="O225" t="str">
            <v>155160</v>
          </cell>
          <cell r="P225" t="str">
            <v>8936049051630</v>
          </cell>
          <cell r="Q225" t="str">
            <v>OTOKI- Mì bò hầm vị cay ly 62g</v>
          </cell>
          <cell r="R225">
            <v>16000</v>
          </cell>
          <cell r="S225">
            <v>2</v>
          </cell>
          <cell r="T225">
            <v>32000</v>
          </cell>
          <cell r="U225">
            <v>0</v>
          </cell>
          <cell r="V225">
            <v>32000</v>
          </cell>
          <cell r="W225" t="str">
            <v>8936049051630</v>
          </cell>
        </row>
        <row r="226">
          <cell r="A226">
            <v>2026</v>
          </cell>
          <cell r="B226">
            <v>7</v>
          </cell>
          <cell r="C226">
            <v>46212</v>
          </cell>
          <cell r="D226" t="str">
            <v>1. SKK store</v>
          </cell>
          <cell r="E226" t="str">
            <v>S1008</v>
          </cell>
          <cell r="F226" t="str">
            <v>SKK  Hàng Bông</v>
          </cell>
          <cell r="G226" t="str">
            <v>02466810202</v>
          </cell>
          <cell r="H226" t="str">
            <v>KH Tây</v>
          </cell>
          <cell r="I226" t="str">
            <v>Khách vãng lai</v>
          </cell>
          <cell r="J226" t="str">
            <v>Đơn bán</v>
          </cell>
          <cell r="K226" t="str">
            <v>SAKUKO842434</v>
          </cell>
          <cell r="L226" t="str">
            <v>THỰC PHẨM</v>
          </cell>
          <cell r="M226" t="str">
            <v>MỲ, MIẾN</v>
          </cell>
          <cell r="N226" t="str">
            <v>MỲ ĂN LIỀN</v>
          </cell>
          <cell r="O226" t="str">
            <v>155159</v>
          </cell>
          <cell r="P226" t="str">
            <v>8936049051623</v>
          </cell>
          <cell r="Q226" t="str">
            <v>OTOKI- Mì kimchi ly 62g</v>
          </cell>
          <cell r="R226">
            <v>16000</v>
          </cell>
          <cell r="S226">
            <v>1</v>
          </cell>
          <cell r="T226">
            <v>16000</v>
          </cell>
          <cell r="U226">
            <v>0</v>
          </cell>
          <cell r="V226">
            <v>16000</v>
          </cell>
          <cell r="W226" t="str">
            <v>8936049051623</v>
          </cell>
        </row>
        <row r="227">
          <cell r="A227">
            <v>2026</v>
          </cell>
          <cell r="B227">
            <v>7</v>
          </cell>
          <cell r="C227">
            <v>46212</v>
          </cell>
          <cell r="D227" t="str">
            <v>1. SKK store</v>
          </cell>
          <cell r="E227" t="str">
            <v>S1008</v>
          </cell>
          <cell r="F227" t="str">
            <v>SKK  Hàng Bông</v>
          </cell>
          <cell r="G227" t="str">
            <v>02466810202</v>
          </cell>
          <cell r="H227" t="str">
            <v>KH Tây</v>
          </cell>
          <cell r="I227" t="str">
            <v>Khách vãng lai</v>
          </cell>
          <cell r="J227" t="str">
            <v>Đơn bán</v>
          </cell>
          <cell r="K227" t="str">
            <v>SAKUKO842559</v>
          </cell>
          <cell r="L227" t="str">
            <v>THỰC PHẨM</v>
          </cell>
          <cell r="M227" t="str">
            <v>MỲ, MIẾN</v>
          </cell>
          <cell r="N227" t="str">
            <v>MỲ ĂN LIỀN</v>
          </cell>
          <cell r="O227" t="str">
            <v>154828</v>
          </cell>
          <cell r="P227" t="str">
            <v>8936049051616</v>
          </cell>
          <cell r="Q227" t="str">
            <v>OTOKI- Mì ly Yeul cay 62g</v>
          </cell>
          <cell r="R227">
            <v>15000</v>
          </cell>
          <cell r="S227">
            <v>1</v>
          </cell>
          <cell r="T227">
            <v>15000</v>
          </cell>
          <cell r="U227">
            <v>0</v>
          </cell>
          <cell r="V227">
            <v>15000</v>
          </cell>
          <cell r="W227" t="str">
            <v>8936049051616</v>
          </cell>
        </row>
        <row r="228">
          <cell r="A228">
            <v>2026</v>
          </cell>
          <cell r="B228">
            <v>7</v>
          </cell>
          <cell r="C228">
            <v>46212</v>
          </cell>
          <cell r="D228" t="str">
            <v>1. SKK store</v>
          </cell>
          <cell r="E228" t="str">
            <v>S1008</v>
          </cell>
          <cell r="F228" t="str">
            <v>SKK  Hàng Bông</v>
          </cell>
          <cell r="G228" t="str">
            <v>02466810202</v>
          </cell>
          <cell r="H228" t="str">
            <v>KH Tây</v>
          </cell>
          <cell r="I228" t="str">
            <v>Khách vãng lai</v>
          </cell>
          <cell r="J228" t="str">
            <v>Đơn bán</v>
          </cell>
          <cell r="K228" t="str">
            <v>SAKUKO842559</v>
          </cell>
          <cell r="L228" t="str">
            <v>THỰC PHẨM</v>
          </cell>
          <cell r="M228" t="str">
            <v>MỲ, MIẾN</v>
          </cell>
          <cell r="N228" t="str">
            <v>MỲ ĂN LIỀN</v>
          </cell>
          <cell r="O228" t="str">
            <v>155160</v>
          </cell>
          <cell r="P228" t="str">
            <v>8936049051630</v>
          </cell>
          <cell r="Q228" t="str">
            <v>OTOKI- Mì bò hầm vị cay ly 62g</v>
          </cell>
          <cell r="R228">
            <v>16000</v>
          </cell>
          <cell r="S228">
            <v>1</v>
          </cell>
          <cell r="T228">
            <v>16000</v>
          </cell>
          <cell r="U228">
            <v>0</v>
          </cell>
          <cell r="V228">
            <v>16000</v>
          </cell>
          <cell r="W228" t="str">
            <v>8936049051630</v>
          </cell>
        </row>
        <row r="229">
          <cell r="A229">
            <v>2026</v>
          </cell>
          <cell r="B229">
            <v>7</v>
          </cell>
          <cell r="C229">
            <v>46212</v>
          </cell>
          <cell r="D229" t="str">
            <v>1. SKK store</v>
          </cell>
          <cell r="E229" t="str">
            <v>S1008</v>
          </cell>
          <cell r="F229" t="str">
            <v>SKK  Hàng Bông</v>
          </cell>
          <cell r="G229" t="str">
            <v>02466810202</v>
          </cell>
          <cell r="H229" t="str">
            <v>KH Tây</v>
          </cell>
          <cell r="I229" t="str">
            <v>Khách vãng lai</v>
          </cell>
          <cell r="J229" t="str">
            <v>Đơn bán</v>
          </cell>
          <cell r="K229" t="str">
            <v>SAKUKO842922</v>
          </cell>
          <cell r="L229" t="str">
            <v>THỰC PHẨM</v>
          </cell>
          <cell r="M229" t="str">
            <v>MỲ, MIẾN</v>
          </cell>
          <cell r="N229" t="str">
            <v>MỲ ĂN LIỀN</v>
          </cell>
          <cell r="O229" t="str">
            <v>154828</v>
          </cell>
          <cell r="P229" t="str">
            <v>8936049051616</v>
          </cell>
          <cell r="Q229" t="str">
            <v>OTOKI- Mì ly Yeul cay 62g</v>
          </cell>
          <cell r="R229">
            <v>15000</v>
          </cell>
          <cell r="S229">
            <v>2</v>
          </cell>
          <cell r="T229">
            <v>30000</v>
          </cell>
          <cell r="U229">
            <v>0</v>
          </cell>
          <cell r="V229">
            <v>30000</v>
          </cell>
          <cell r="W229" t="str">
            <v>8936049051616</v>
          </cell>
        </row>
        <row r="230">
          <cell r="A230">
            <v>2026</v>
          </cell>
          <cell r="B230">
            <v>7</v>
          </cell>
          <cell r="C230">
            <v>46212</v>
          </cell>
          <cell r="D230" t="str">
            <v>1. SKK store</v>
          </cell>
          <cell r="E230" t="str">
            <v>S1008</v>
          </cell>
          <cell r="F230" t="str">
            <v>SKK  Hàng Bông</v>
          </cell>
          <cell r="G230" t="str">
            <v>02466810202</v>
          </cell>
          <cell r="H230" t="str">
            <v>KH Tây</v>
          </cell>
          <cell r="I230" t="str">
            <v>Khách vãng lai</v>
          </cell>
          <cell r="J230" t="str">
            <v>Đơn bán</v>
          </cell>
          <cell r="K230" t="str">
            <v>SAKUKO842922</v>
          </cell>
          <cell r="L230" t="str">
            <v>THỰC PHẨM</v>
          </cell>
          <cell r="M230" t="str">
            <v>MỲ, MIẾN</v>
          </cell>
          <cell r="N230" t="str">
            <v>MỲ ĂN LIỀN</v>
          </cell>
          <cell r="O230" t="str">
            <v>155157</v>
          </cell>
          <cell r="P230" t="str">
            <v>8936049051586</v>
          </cell>
          <cell r="Q230" t="str">
            <v>OTOKI- Mì Jin cay ly 65g</v>
          </cell>
          <cell r="R230">
            <v>18000</v>
          </cell>
          <cell r="S230">
            <v>1</v>
          </cell>
          <cell r="T230">
            <v>18000</v>
          </cell>
          <cell r="U230">
            <v>0</v>
          </cell>
          <cell r="V230">
            <v>18000</v>
          </cell>
          <cell r="W230" t="str">
            <v>8936049051586</v>
          </cell>
        </row>
        <row r="231">
          <cell r="A231">
            <v>2026</v>
          </cell>
          <cell r="B231">
            <v>7</v>
          </cell>
          <cell r="C231">
            <v>46212</v>
          </cell>
          <cell r="D231" t="str">
            <v>1. SKK store</v>
          </cell>
          <cell r="E231" t="str">
            <v>S1008</v>
          </cell>
          <cell r="F231" t="str">
            <v>SKK  Hàng Bông</v>
          </cell>
          <cell r="G231" t="str">
            <v>0948685696</v>
          </cell>
          <cell r="H231" t="str">
            <v>CHỊ THỦY</v>
          </cell>
          <cell r="I231" t="str">
            <v>Khách cũ</v>
          </cell>
          <cell r="J231" t="str">
            <v>Đơn bán</v>
          </cell>
          <cell r="K231" t="str">
            <v>SAKUKO842978</v>
          </cell>
          <cell r="L231" t="str">
            <v>THỰC PHẨM</v>
          </cell>
          <cell r="M231" t="str">
            <v>MỲ, MIẾN</v>
          </cell>
          <cell r="N231" t="str">
            <v>MỲ CHẾ BIẾN</v>
          </cell>
          <cell r="O231" t="str">
            <v>154830</v>
          </cell>
          <cell r="P231" t="str">
            <v>8936049051609</v>
          </cell>
          <cell r="Q231" t="str">
            <v>OTOKI- Mì ly Jin sốt tương đen 70g</v>
          </cell>
          <cell r="R231">
            <v>18000</v>
          </cell>
          <cell r="S231">
            <v>2</v>
          </cell>
          <cell r="T231">
            <v>36000</v>
          </cell>
          <cell r="U231">
            <v>0</v>
          </cell>
          <cell r="V231">
            <v>36000</v>
          </cell>
          <cell r="W231" t="str">
            <v>8936049051609</v>
          </cell>
        </row>
        <row r="232">
          <cell r="A232">
            <v>2026</v>
          </cell>
          <cell r="B232">
            <v>7</v>
          </cell>
          <cell r="C232">
            <v>46212</v>
          </cell>
          <cell r="D232" t="str">
            <v>1. SKK store</v>
          </cell>
          <cell r="E232" t="str">
            <v>S1008</v>
          </cell>
          <cell r="F232" t="str">
            <v>SKK  Hàng Bông</v>
          </cell>
          <cell r="G232" t="str">
            <v>0977446468</v>
          </cell>
          <cell r="H232" t="str">
            <v>chị tâm</v>
          </cell>
          <cell r="I232" t="str">
            <v>Khách cũ</v>
          </cell>
          <cell r="J232" t="str">
            <v>Đơn bán</v>
          </cell>
          <cell r="K232" t="str">
            <v>SAKUKO842319</v>
          </cell>
          <cell r="L232" t="str">
            <v>CHĂM SÓC SẮC ĐẸP</v>
          </cell>
          <cell r="M232" t="str">
            <v>CHĂM SÓC CƠ THỂ</v>
          </cell>
          <cell r="N232" t="str">
            <v>CHỐNG NẮNG</v>
          </cell>
          <cell r="O232" t="str">
            <v>102422</v>
          </cell>
          <cell r="P232" t="str">
            <v>4902468297151</v>
          </cell>
          <cell r="Q232" t="str">
            <v>MEISHOU- KCN tone hồng cho da nhạy cảm 40g</v>
          </cell>
          <cell r="R232">
            <v>435000</v>
          </cell>
          <cell r="S232">
            <v>1</v>
          </cell>
          <cell r="T232">
            <v>435000</v>
          </cell>
          <cell r="U232">
            <v>0</v>
          </cell>
          <cell r="V232">
            <v>435000</v>
          </cell>
          <cell r="W232" t="str">
            <v>4902468297151</v>
          </cell>
        </row>
        <row r="233">
          <cell r="A233">
            <v>2026</v>
          </cell>
          <cell r="B233">
            <v>7</v>
          </cell>
          <cell r="C233">
            <v>46212</v>
          </cell>
          <cell r="D233" t="str">
            <v>1. SKK store</v>
          </cell>
          <cell r="E233" t="str">
            <v>S1015</v>
          </cell>
          <cell r="F233" t="str">
            <v>SKK Hàm Nghi</v>
          </cell>
          <cell r="G233" t="str">
            <v>0352257606</v>
          </cell>
          <cell r="H233" t="str">
            <v>chị ánh</v>
          </cell>
          <cell r="I233" t="str">
            <v>Khách cũ</v>
          </cell>
          <cell r="J233" t="str">
            <v>Đơn bán</v>
          </cell>
          <cell r="K233" t="str">
            <v>SAKUKO842994</v>
          </cell>
          <cell r="L233" t="str">
            <v>THỰC PHẨM</v>
          </cell>
          <cell r="M233" t="str">
            <v>MỲ, MIẾN</v>
          </cell>
          <cell r="N233" t="str">
            <v>MỲ ĂN LIỀN</v>
          </cell>
          <cell r="O233" t="str">
            <v>155157</v>
          </cell>
          <cell r="P233" t="str">
            <v>8936049051586</v>
          </cell>
          <cell r="Q233" t="str">
            <v>OTOKI- Mì Jin cay ly 65g</v>
          </cell>
          <cell r="R233">
            <v>18000</v>
          </cell>
          <cell r="S233">
            <v>1</v>
          </cell>
          <cell r="T233">
            <v>18000</v>
          </cell>
          <cell r="U233">
            <v>0</v>
          </cell>
          <cell r="V233">
            <v>18000</v>
          </cell>
          <cell r="W233" t="str">
            <v>8936049051586</v>
          </cell>
        </row>
        <row r="234">
          <cell r="A234">
            <v>2026</v>
          </cell>
          <cell r="B234">
            <v>7</v>
          </cell>
          <cell r="C234">
            <v>46212</v>
          </cell>
          <cell r="D234" t="str">
            <v>1. SKK store</v>
          </cell>
          <cell r="E234" t="str">
            <v>S1015</v>
          </cell>
          <cell r="F234" t="str">
            <v>SKK Hàm Nghi</v>
          </cell>
          <cell r="G234" t="str">
            <v>0352257606</v>
          </cell>
          <cell r="H234" t="str">
            <v>chị ánh</v>
          </cell>
          <cell r="I234" t="str">
            <v>Khách cũ</v>
          </cell>
          <cell r="J234" t="str">
            <v>Đơn bán</v>
          </cell>
          <cell r="K234" t="str">
            <v>SAKUKO842994</v>
          </cell>
          <cell r="L234" t="str">
            <v>THỰC PHẨM</v>
          </cell>
          <cell r="M234" t="str">
            <v>MỲ, MIẾN</v>
          </cell>
          <cell r="N234" t="str">
            <v>MỲ ĂN LIỀN</v>
          </cell>
          <cell r="O234" t="str">
            <v>155159</v>
          </cell>
          <cell r="P234" t="str">
            <v>8936049051623</v>
          </cell>
          <cell r="Q234" t="str">
            <v>OTOKI- Mì kimchi ly 62g</v>
          </cell>
          <cell r="R234">
            <v>16000</v>
          </cell>
          <cell r="S234">
            <v>1</v>
          </cell>
          <cell r="T234">
            <v>16000</v>
          </cell>
          <cell r="U234">
            <v>0</v>
          </cell>
          <cell r="V234">
            <v>16000</v>
          </cell>
          <cell r="W234" t="str">
            <v>8936049051623</v>
          </cell>
        </row>
        <row r="235">
          <cell r="A235">
            <v>2026</v>
          </cell>
          <cell r="B235">
            <v>7</v>
          </cell>
          <cell r="C235">
            <v>46212</v>
          </cell>
          <cell r="D235" t="str">
            <v>1. SKK store</v>
          </cell>
          <cell r="E235" t="str">
            <v>S1015</v>
          </cell>
          <cell r="F235" t="str">
            <v>SKK Hàm Nghi</v>
          </cell>
          <cell r="G235" t="str">
            <v>0352257606</v>
          </cell>
          <cell r="H235" t="str">
            <v>chị ánh</v>
          </cell>
          <cell r="I235" t="str">
            <v>Khách cũ</v>
          </cell>
          <cell r="J235" t="str">
            <v>Đơn bán</v>
          </cell>
          <cell r="K235" t="str">
            <v>SAKUKO842994</v>
          </cell>
          <cell r="L235" t="str">
            <v>THỰC PHẨM</v>
          </cell>
          <cell r="M235" t="str">
            <v>MỲ, MIẾN</v>
          </cell>
          <cell r="N235" t="str">
            <v>MỲ ĂN LIỀN</v>
          </cell>
          <cell r="O235" t="str">
            <v>155161</v>
          </cell>
          <cell r="P235" t="str">
            <v>8936049052378</v>
          </cell>
          <cell r="Q235" t="str">
            <v>OTOKI- Mì Jin tương đen vị bò ly 65g</v>
          </cell>
          <cell r="R235">
            <v>18000</v>
          </cell>
          <cell r="S235">
            <v>1</v>
          </cell>
          <cell r="T235">
            <v>18000</v>
          </cell>
          <cell r="U235">
            <v>0</v>
          </cell>
          <cell r="V235">
            <v>18000</v>
          </cell>
          <cell r="W235" t="str">
            <v>8936049052378</v>
          </cell>
        </row>
        <row r="236">
          <cell r="A236">
            <v>2026</v>
          </cell>
          <cell r="B236">
            <v>7</v>
          </cell>
          <cell r="C236">
            <v>46212</v>
          </cell>
          <cell r="D236" t="str">
            <v>1. SKK store</v>
          </cell>
          <cell r="E236" t="str">
            <v>S1015</v>
          </cell>
          <cell r="F236" t="str">
            <v>SKK Hàm Nghi</v>
          </cell>
          <cell r="G236" t="str">
            <v>0387359400</v>
          </cell>
          <cell r="H236" t="str">
            <v>chị jun</v>
          </cell>
          <cell r="I236" t="str">
            <v>Khách mới</v>
          </cell>
          <cell r="J236" t="str">
            <v>Đơn bán</v>
          </cell>
          <cell r="K236" t="str">
            <v>SAKUKO842064</v>
          </cell>
          <cell r="L236" t="str">
            <v>THỰC PHẨM</v>
          </cell>
          <cell r="M236" t="str">
            <v>MỲ, MIẾN</v>
          </cell>
          <cell r="N236" t="str">
            <v>MỲ CHẾ BIẾN</v>
          </cell>
          <cell r="O236" t="str">
            <v>154251</v>
          </cell>
          <cell r="P236" t="str">
            <v>4560159440776</v>
          </cell>
          <cell r="Q236" t="str">
            <v>SATO_Mì soba khô 800g</v>
          </cell>
          <cell r="R236">
            <v>104000</v>
          </cell>
          <cell r="S236">
            <v>1</v>
          </cell>
          <cell r="T236">
            <v>104000</v>
          </cell>
          <cell r="U236">
            <v>0</v>
          </cell>
          <cell r="V236">
            <v>104000</v>
          </cell>
          <cell r="W236" t="str">
            <v>4560159440776</v>
          </cell>
        </row>
        <row r="237">
          <cell r="A237">
            <v>2026</v>
          </cell>
          <cell r="B237">
            <v>7</v>
          </cell>
          <cell r="C237">
            <v>46212</v>
          </cell>
          <cell r="D237" t="str">
            <v>1. SKK store</v>
          </cell>
          <cell r="E237" t="str">
            <v>S1025</v>
          </cell>
          <cell r="F237" t="str">
            <v>SKK T6 Time City</v>
          </cell>
          <cell r="G237" t="str">
            <v>0978804390</v>
          </cell>
          <cell r="H237" t="str">
            <v>C Dung</v>
          </cell>
          <cell r="I237" t="str">
            <v>Khách cũ</v>
          </cell>
          <cell r="J237" t="str">
            <v>Đơn bán</v>
          </cell>
          <cell r="K237" t="str">
            <v>SAKUKO842030</v>
          </cell>
          <cell r="L237" t="str">
            <v>ĐỒ CHO MẸ BÉ</v>
          </cell>
          <cell r="M237" t="str">
            <v>GIẤY ƯỚT</v>
          </cell>
          <cell r="N237" t="str">
            <v>GIẤY ƯỚT CHO BÉ</v>
          </cell>
          <cell r="O237" t="str">
            <v>121663</v>
          </cell>
          <cell r="P237" t="str">
            <v>8934755035197</v>
          </cell>
          <cell r="Q237" t="str">
            <v>FRESSI- Khăn ướt Care For All 100 miếng</v>
          </cell>
          <cell r="R237">
            <v>49000</v>
          </cell>
          <cell r="S237">
            <v>1</v>
          </cell>
          <cell r="T237">
            <v>49000</v>
          </cell>
          <cell r="U237">
            <v>0</v>
          </cell>
          <cell r="V237">
            <v>49000</v>
          </cell>
          <cell r="W237" t="str">
            <v>8934755035197</v>
          </cell>
        </row>
        <row r="238">
          <cell r="A238">
            <v>2026</v>
          </cell>
          <cell r="B238">
            <v>7</v>
          </cell>
          <cell r="C238">
            <v>46211</v>
          </cell>
          <cell r="D238" t="str">
            <v>1. SKK store</v>
          </cell>
          <cell r="E238" t="str">
            <v>S1004</v>
          </cell>
          <cell r="F238" t="str">
            <v>SKK  Mandarin C1</v>
          </cell>
          <cell r="G238" t="str">
            <v>0983800068</v>
          </cell>
          <cell r="H238" t="str">
            <v>Chị Nguyễn Thị Liên</v>
          </cell>
          <cell r="I238" t="str">
            <v>Khách cũ</v>
          </cell>
          <cell r="J238" t="str">
            <v>Đơn bán</v>
          </cell>
          <cell r="K238" t="str">
            <v>SAKUKO841984</v>
          </cell>
          <cell r="L238" t="str">
            <v>CHĂM SÓC SẮC ĐẸP</v>
          </cell>
          <cell r="M238" t="str">
            <v>CHĂM SÓC TÓC</v>
          </cell>
          <cell r="N238" t="str">
            <v>TẠO KIỂU TÓC</v>
          </cell>
          <cell r="O238" t="str">
            <v>101906</v>
          </cell>
          <cell r="P238" t="str">
            <v>4902806108781</v>
          </cell>
          <cell r="Q238" t="str">
            <v>GATSBY-  Sáp vuốt tóc tạo độ phồng 80g</v>
          </cell>
          <cell r="R238">
            <v>150000</v>
          </cell>
          <cell r="S238">
            <v>1</v>
          </cell>
          <cell r="T238">
            <v>150000</v>
          </cell>
          <cell r="U238">
            <v>15000</v>
          </cell>
          <cell r="V238">
            <v>135000</v>
          </cell>
          <cell r="W238" t="str">
            <v>4902806108781</v>
          </cell>
        </row>
        <row r="239">
          <cell r="A239">
            <v>2026</v>
          </cell>
          <cell r="B239">
            <v>7</v>
          </cell>
          <cell r="C239">
            <v>46211</v>
          </cell>
          <cell r="D239" t="str">
            <v>1. SKK store</v>
          </cell>
          <cell r="E239" t="str">
            <v>S1005</v>
          </cell>
          <cell r="F239" t="str">
            <v>SKK  Thái Hà</v>
          </cell>
          <cell r="G239" t="str">
            <v>02466810505</v>
          </cell>
          <cell r="H239" t="str">
            <v>klth</v>
          </cell>
          <cell r="I239" t="str">
            <v>Khách vãng lai</v>
          </cell>
          <cell r="J239" t="str">
            <v>Đơn bán</v>
          </cell>
          <cell r="K239" t="str">
            <v>SAKUKO840785</v>
          </cell>
          <cell r="L239" t="str">
            <v>ĐỒ CHO MẸ BÉ</v>
          </cell>
          <cell r="M239" t="str">
            <v>GIẤY ƯỚT</v>
          </cell>
          <cell r="N239" t="str">
            <v>GIẤY ƯỚT CHO BÉ</v>
          </cell>
          <cell r="O239" t="str">
            <v>121665</v>
          </cell>
          <cell r="P239" t="str">
            <v>8934755035289</v>
          </cell>
          <cell r="Q239" t="str">
            <v>BOBBY- Khăn ướt em bé không mùi 100 miếng</v>
          </cell>
          <cell r="R239">
            <v>46000</v>
          </cell>
          <cell r="S239">
            <v>1</v>
          </cell>
          <cell r="T239">
            <v>46000</v>
          </cell>
          <cell r="U239">
            <v>0</v>
          </cell>
          <cell r="V239">
            <v>46000</v>
          </cell>
          <cell r="W239" t="str">
            <v>8934755035289</v>
          </cell>
        </row>
        <row r="240">
          <cell r="A240">
            <v>2026</v>
          </cell>
          <cell r="B240">
            <v>7</v>
          </cell>
          <cell r="C240">
            <v>46211</v>
          </cell>
          <cell r="D240" t="str">
            <v>1. SKK store</v>
          </cell>
          <cell r="E240" t="str">
            <v>S1005</v>
          </cell>
          <cell r="F240" t="str">
            <v>SKK  Thái Hà</v>
          </cell>
          <cell r="G240" t="str">
            <v>0366683430</v>
          </cell>
          <cell r="H240" t="str">
            <v>chị Hà</v>
          </cell>
          <cell r="I240" t="str">
            <v>Khách cũ</v>
          </cell>
          <cell r="J240" t="str">
            <v>Đơn bán</v>
          </cell>
          <cell r="K240" t="str">
            <v>SAKUKO840850</v>
          </cell>
          <cell r="L240" t="str">
            <v>ĐỒ CHO MẸ BÉ</v>
          </cell>
          <cell r="M240" t="str">
            <v>GIẤY ƯỚT</v>
          </cell>
          <cell r="N240" t="str">
            <v>GIẤY ƯỚT CHO BÉ</v>
          </cell>
          <cell r="O240" t="str">
            <v>121664</v>
          </cell>
          <cell r="P240" t="str">
            <v>8934755035074</v>
          </cell>
          <cell r="Q240" t="str">
            <v>BOBBY- Khăn ướt em bé có hương 100 miếng</v>
          </cell>
          <cell r="R240">
            <v>46000</v>
          </cell>
          <cell r="S240">
            <v>1</v>
          </cell>
          <cell r="T240">
            <v>46000</v>
          </cell>
          <cell r="U240">
            <v>0</v>
          </cell>
          <cell r="V240">
            <v>46000</v>
          </cell>
          <cell r="W240" t="str">
            <v>8934755035074</v>
          </cell>
        </row>
        <row r="241">
          <cell r="A241">
            <v>2026</v>
          </cell>
          <cell r="B241">
            <v>7</v>
          </cell>
          <cell r="C241">
            <v>46211</v>
          </cell>
          <cell r="D241" t="str">
            <v>1. SKK store</v>
          </cell>
          <cell r="E241" t="str">
            <v>S1005</v>
          </cell>
          <cell r="F241" t="str">
            <v>SKK  Thái Hà</v>
          </cell>
          <cell r="G241" t="str">
            <v>0903210919</v>
          </cell>
          <cell r="H241" t="str">
            <v>bác Phạm Hữu thanh</v>
          </cell>
          <cell r="I241" t="str">
            <v>Khách cũ</v>
          </cell>
          <cell r="J241" t="str">
            <v>Đơn bán</v>
          </cell>
          <cell r="K241" t="str">
            <v>SAKUKO841222</v>
          </cell>
          <cell r="L241" t="str">
            <v>THỰC PHẨM</v>
          </cell>
          <cell r="M241" t="str">
            <v>MỲ, MIẾN</v>
          </cell>
          <cell r="N241" t="str">
            <v>MỲ ĂN LIỀN</v>
          </cell>
          <cell r="O241" t="str">
            <v>154827</v>
          </cell>
          <cell r="P241" t="str">
            <v>8936049051647</v>
          </cell>
          <cell r="Q241" t="str">
            <v>OTOKI- Mì tô Jin cay 110g</v>
          </cell>
          <cell r="R241">
            <v>23000</v>
          </cell>
          <cell r="S241">
            <v>1</v>
          </cell>
          <cell r="T241">
            <v>23000</v>
          </cell>
          <cell r="U241">
            <v>0</v>
          </cell>
          <cell r="V241">
            <v>23000</v>
          </cell>
          <cell r="W241" t="str">
            <v>8936049051647</v>
          </cell>
        </row>
        <row r="242">
          <cell r="A242">
            <v>2026</v>
          </cell>
          <cell r="B242">
            <v>7</v>
          </cell>
          <cell r="C242">
            <v>46211</v>
          </cell>
          <cell r="D242" t="str">
            <v>1. SKK store</v>
          </cell>
          <cell r="E242" t="str">
            <v>S1005</v>
          </cell>
          <cell r="F242" t="str">
            <v>SKK  Thái Hà</v>
          </cell>
          <cell r="G242" t="str">
            <v>0969879844</v>
          </cell>
          <cell r="H242" t="str">
            <v>Ngô Phương Ly</v>
          </cell>
          <cell r="I242" t="str">
            <v>Khách cũ</v>
          </cell>
          <cell r="J242" t="str">
            <v>Đơn bán</v>
          </cell>
          <cell r="K242" t="str">
            <v>SAKUKO840818</v>
          </cell>
          <cell r="L242" t="str">
            <v>THỰC PHẨM</v>
          </cell>
          <cell r="M242" t="str">
            <v>BÁNH KẸO, ĐỒ ĂN VẶT</v>
          </cell>
          <cell r="N242" t="str">
            <v>KẸO CAO SU</v>
          </cell>
          <cell r="O242" t="str">
            <v>231374</v>
          </cell>
          <cell r="P242" t="str">
            <v>4547894156315</v>
          </cell>
          <cell r="Q242" t="str">
            <v>CLORETS-Kẹo cao su hương vị 4 mùa 140g</v>
          </cell>
          <cell r="R242">
            <v>235000</v>
          </cell>
          <cell r="S242">
            <v>1</v>
          </cell>
          <cell r="T242">
            <v>235000</v>
          </cell>
          <cell r="U242">
            <v>0</v>
          </cell>
          <cell r="V242">
            <v>235000</v>
          </cell>
          <cell r="W242" t="str">
            <v>4547894156315</v>
          </cell>
        </row>
        <row r="243">
          <cell r="A243">
            <v>2026</v>
          </cell>
          <cell r="B243">
            <v>7</v>
          </cell>
          <cell r="C243">
            <v>46211</v>
          </cell>
          <cell r="D243" t="str">
            <v>1. SKK store</v>
          </cell>
          <cell r="E243" t="str">
            <v>S1006</v>
          </cell>
          <cell r="F243" t="str">
            <v>SKK Trần Đăng Ninh</v>
          </cell>
          <cell r="G243" t="str">
            <v>0902230715</v>
          </cell>
          <cell r="H243" t="str">
            <v>chị my</v>
          </cell>
          <cell r="I243" t="str">
            <v>Khách cũ</v>
          </cell>
          <cell r="J243" t="str">
            <v>Đơn bán</v>
          </cell>
          <cell r="K243" t="str">
            <v>SAKUKO841874</v>
          </cell>
          <cell r="L243" t="str">
            <v>THỰC PHẨM</v>
          </cell>
          <cell r="M243" t="str">
            <v>MỲ, MIẾN</v>
          </cell>
          <cell r="N243" t="str">
            <v>MỲ CHẾ BIẾN</v>
          </cell>
          <cell r="O243" t="str">
            <v>154831</v>
          </cell>
          <cell r="P243" t="str">
            <v>8936049051715</v>
          </cell>
          <cell r="Q243" t="str">
            <v>OTOKI- Mì tô Jin sốt tương đen 115g</v>
          </cell>
          <cell r="R243">
            <v>24000</v>
          </cell>
          <cell r="S243">
            <v>1</v>
          </cell>
          <cell r="T243">
            <v>24000</v>
          </cell>
          <cell r="U243">
            <v>0</v>
          </cell>
          <cell r="V243">
            <v>24000</v>
          </cell>
          <cell r="W243" t="str">
            <v>8936049051715</v>
          </cell>
        </row>
        <row r="244">
          <cell r="A244">
            <v>2026</v>
          </cell>
          <cell r="B244">
            <v>7</v>
          </cell>
          <cell r="C244">
            <v>46211</v>
          </cell>
          <cell r="D244" t="str">
            <v>1. SKK store</v>
          </cell>
          <cell r="E244" t="str">
            <v>S1006</v>
          </cell>
          <cell r="F244" t="str">
            <v>SKK Trần Đăng Ninh</v>
          </cell>
          <cell r="G244" t="str">
            <v>0903409191</v>
          </cell>
          <cell r="H244" t="str">
            <v>chị Hải Yến</v>
          </cell>
          <cell r="I244" t="str">
            <v>Khách cũ</v>
          </cell>
          <cell r="J244" t="str">
            <v>Đơn bán</v>
          </cell>
          <cell r="K244" t="str">
            <v>SAKUKO840994</v>
          </cell>
          <cell r="L244" t="str">
            <v>CHĂM SÓC SẮC ĐẸP</v>
          </cell>
          <cell r="M244" t="str">
            <v>CHĂM SÓC DA</v>
          </cell>
          <cell r="N244" t="str">
            <v>CHĂM SÓC DA KHÁC</v>
          </cell>
          <cell r="O244" t="str">
            <v>102387</v>
          </cell>
          <cell r="P244" t="str">
            <v>8935006542907</v>
          </cell>
          <cell r="Q244" t="str">
            <v>HADA LABO- Bộ sản phẩm dưỡng ẩm (travel kit)47g</v>
          </cell>
          <cell r="R244">
            <v>129000</v>
          </cell>
          <cell r="S244">
            <v>1</v>
          </cell>
          <cell r="T244">
            <v>129000</v>
          </cell>
          <cell r="U244">
            <v>0</v>
          </cell>
          <cell r="V244">
            <v>129000</v>
          </cell>
          <cell r="W244" t="str">
            <v>8935006542907</v>
          </cell>
        </row>
        <row r="245">
          <cell r="A245">
            <v>2026</v>
          </cell>
          <cell r="B245">
            <v>7</v>
          </cell>
          <cell r="C245">
            <v>46211</v>
          </cell>
          <cell r="D245" t="str">
            <v>1. SKK store</v>
          </cell>
          <cell r="E245" t="str">
            <v>S1006</v>
          </cell>
          <cell r="F245" t="str">
            <v>SKK Trần Đăng Ninh</v>
          </cell>
          <cell r="G245" t="str">
            <v>0915254018</v>
          </cell>
          <cell r="H245" t="str">
            <v>chị Hoa</v>
          </cell>
          <cell r="I245" t="str">
            <v>Khách cũ</v>
          </cell>
          <cell r="J245" t="str">
            <v>Đơn bán</v>
          </cell>
          <cell r="K245" t="str">
            <v>SAKUKO841640</v>
          </cell>
          <cell r="L245" t="str">
            <v>CHĂM SÓC SẮC ĐẸP</v>
          </cell>
          <cell r="M245" t="str">
            <v>CHĂM SÓC DA</v>
          </cell>
          <cell r="N245" t="str">
            <v>RỬA MẶT</v>
          </cell>
          <cell r="O245" t="str">
            <v>230269</v>
          </cell>
          <cell r="P245" t="str">
            <v>4987241173242</v>
          </cell>
          <cell r="Q245" t="str">
            <v>ROHTO- SRM Melano CC mờ thâm nám (130g)</v>
          </cell>
          <cell r="R245">
            <v>294000</v>
          </cell>
          <cell r="S245">
            <v>1</v>
          </cell>
          <cell r="T245">
            <v>294000</v>
          </cell>
          <cell r="U245">
            <v>294000</v>
          </cell>
          <cell r="V245">
            <v>0</v>
          </cell>
          <cell r="W245" t="str">
            <v>4987241173242</v>
          </cell>
        </row>
        <row r="246">
          <cell r="A246">
            <v>2026</v>
          </cell>
          <cell r="B246">
            <v>7</v>
          </cell>
          <cell r="C246">
            <v>46211</v>
          </cell>
          <cell r="D246" t="str">
            <v>1. SKK store</v>
          </cell>
          <cell r="E246" t="str">
            <v>S1006</v>
          </cell>
          <cell r="F246" t="str">
            <v>SKK Trần Đăng Ninh</v>
          </cell>
          <cell r="G246" t="str">
            <v>0982701786</v>
          </cell>
          <cell r="H246" t="str">
            <v>Bà Na</v>
          </cell>
          <cell r="I246" t="str">
            <v>Khách cũ</v>
          </cell>
          <cell r="J246" t="str">
            <v>Đơn bán</v>
          </cell>
          <cell r="K246" t="str">
            <v>SAKUKO841067</v>
          </cell>
          <cell r="L246" t="str">
            <v>CHĂM SÓC SẮC ĐẸP</v>
          </cell>
          <cell r="M246" t="str">
            <v>CHĂM SÓC DA</v>
          </cell>
          <cell r="N246" t="str">
            <v>RỬA MẶT</v>
          </cell>
          <cell r="O246" t="str">
            <v>102386</v>
          </cell>
          <cell r="P246" t="str">
            <v>4902468816062</v>
          </cell>
          <cell r="Q246" t="str">
            <v>MEISHOKU- Sữa rửa mặt sáng da Cvita 100g</v>
          </cell>
          <cell r="R246">
            <v>290000</v>
          </cell>
          <cell r="S246">
            <v>1</v>
          </cell>
          <cell r="T246">
            <v>290000</v>
          </cell>
          <cell r="U246">
            <v>0</v>
          </cell>
          <cell r="V246">
            <v>290000</v>
          </cell>
          <cell r="W246" t="str">
            <v>4902468816062</v>
          </cell>
        </row>
        <row r="247">
          <cell r="A247">
            <v>2026</v>
          </cell>
          <cell r="B247">
            <v>7</v>
          </cell>
          <cell r="C247">
            <v>46211</v>
          </cell>
          <cell r="D247" t="str">
            <v>1. SKK store</v>
          </cell>
          <cell r="E247" t="str">
            <v>S1006</v>
          </cell>
          <cell r="F247" t="str">
            <v>SKK Trần Đăng Ninh</v>
          </cell>
          <cell r="G247" t="str">
            <v>0986271278</v>
          </cell>
          <cell r="H247" t="str">
            <v>chi huệ</v>
          </cell>
          <cell r="I247" t="str">
            <v>Khách cũ</v>
          </cell>
          <cell r="J247" t="str">
            <v>Đơn bán</v>
          </cell>
          <cell r="K247" t="str">
            <v>SAKUKO841755</v>
          </cell>
          <cell r="L247" t="str">
            <v>THỰC PHẨM</v>
          </cell>
          <cell r="M247" t="str">
            <v>MỲ, MIẾN</v>
          </cell>
          <cell r="N247" t="str">
            <v>MỲ ĂN LIỀN</v>
          </cell>
          <cell r="O247" t="str">
            <v>154828</v>
          </cell>
          <cell r="P247" t="str">
            <v>8936049051616</v>
          </cell>
          <cell r="Q247" t="str">
            <v>OTOKI- Mì ly Yeul cay 62g</v>
          </cell>
          <cell r="R247">
            <v>15000</v>
          </cell>
          <cell r="S247">
            <v>1</v>
          </cell>
          <cell r="T247">
            <v>15000</v>
          </cell>
          <cell r="U247">
            <v>0</v>
          </cell>
          <cell r="V247">
            <v>15000</v>
          </cell>
          <cell r="W247" t="str">
            <v>8936049051616</v>
          </cell>
        </row>
        <row r="248">
          <cell r="A248">
            <v>2026</v>
          </cell>
          <cell r="B248">
            <v>7</v>
          </cell>
          <cell r="C248">
            <v>46211</v>
          </cell>
          <cell r="D248" t="str">
            <v>1. SKK store</v>
          </cell>
          <cell r="E248" t="str">
            <v>S1006</v>
          </cell>
          <cell r="F248" t="str">
            <v>SKK Trần Đăng Ninh</v>
          </cell>
          <cell r="G248" t="str">
            <v>0986271278</v>
          </cell>
          <cell r="H248" t="str">
            <v>chi huệ</v>
          </cell>
          <cell r="I248" t="str">
            <v>Khách cũ</v>
          </cell>
          <cell r="J248" t="str">
            <v>Đơn bán</v>
          </cell>
          <cell r="K248" t="str">
            <v>SAKUKO841755</v>
          </cell>
          <cell r="L248" t="str">
            <v>THỰC PHẨM</v>
          </cell>
          <cell r="M248" t="str">
            <v>MỲ, MIẾN</v>
          </cell>
          <cell r="N248" t="str">
            <v>MỲ ĂN LIỀN</v>
          </cell>
          <cell r="O248" t="str">
            <v>154829</v>
          </cell>
          <cell r="P248" t="str">
            <v>8936049051654</v>
          </cell>
          <cell r="Q248" t="str">
            <v>OTOKI- Mì tô Yeul cay 105g</v>
          </cell>
          <cell r="R248">
            <v>23000</v>
          </cell>
          <cell r="S248">
            <v>1</v>
          </cell>
          <cell r="T248">
            <v>23000</v>
          </cell>
          <cell r="U248">
            <v>0</v>
          </cell>
          <cell r="V248">
            <v>23000</v>
          </cell>
          <cell r="W248" t="str">
            <v>8936049051654</v>
          </cell>
        </row>
        <row r="249">
          <cell r="A249">
            <v>2026</v>
          </cell>
          <cell r="B249">
            <v>7</v>
          </cell>
          <cell r="C249">
            <v>46211</v>
          </cell>
          <cell r="D249" t="str">
            <v>1. SKK store</v>
          </cell>
          <cell r="E249" t="str">
            <v>S1006</v>
          </cell>
          <cell r="F249" t="str">
            <v>SKK Trần Đăng Ninh</v>
          </cell>
          <cell r="G249" t="str">
            <v>0986271278</v>
          </cell>
          <cell r="H249" t="str">
            <v>chi huệ</v>
          </cell>
          <cell r="I249" t="str">
            <v>Khách cũ</v>
          </cell>
          <cell r="J249" t="str">
            <v>Đơn bán</v>
          </cell>
          <cell r="K249" t="str">
            <v>SAKUKO841755</v>
          </cell>
          <cell r="L249" t="str">
            <v>THỰC PHẨM</v>
          </cell>
          <cell r="M249" t="str">
            <v>MỲ, MIẾN</v>
          </cell>
          <cell r="N249" t="str">
            <v>MỲ ĂN LIỀN</v>
          </cell>
          <cell r="O249" t="str">
            <v>155159</v>
          </cell>
          <cell r="P249" t="str">
            <v>8936049051623</v>
          </cell>
          <cell r="Q249" t="str">
            <v>OTOKI- Mì kimchi ly 62g</v>
          </cell>
          <cell r="R249">
            <v>16000</v>
          </cell>
          <cell r="S249">
            <v>1</v>
          </cell>
          <cell r="T249">
            <v>16000</v>
          </cell>
          <cell r="U249">
            <v>0</v>
          </cell>
          <cell r="V249">
            <v>16000</v>
          </cell>
          <cell r="W249" t="str">
            <v>8936049051623</v>
          </cell>
        </row>
        <row r="250">
          <cell r="A250">
            <v>2026</v>
          </cell>
          <cell r="B250">
            <v>7</v>
          </cell>
          <cell r="C250">
            <v>46211</v>
          </cell>
          <cell r="D250" t="str">
            <v>1. SKK store</v>
          </cell>
          <cell r="E250" t="str">
            <v>S1006</v>
          </cell>
          <cell r="F250" t="str">
            <v>SKK Trần Đăng Ninh</v>
          </cell>
          <cell r="G250" t="str">
            <v>0986271278</v>
          </cell>
          <cell r="H250" t="str">
            <v>chi huệ</v>
          </cell>
          <cell r="I250" t="str">
            <v>Khách cũ</v>
          </cell>
          <cell r="J250" t="str">
            <v>Đơn bán</v>
          </cell>
          <cell r="K250" t="str">
            <v>SAKUKO841755</v>
          </cell>
          <cell r="L250" t="str">
            <v>THỰC PHẨM</v>
          </cell>
          <cell r="M250" t="str">
            <v>MỲ, MIẾN</v>
          </cell>
          <cell r="N250" t="str">
            <v>MỲ ĂN LIỀN</v>
          </cell>
          <cell r="O250" t="str">
            <v>155160</v>
          </cell>
          <cell r="P250" t="str">
            <v>8936049051630</v>
          </cell>
          <cell r="Q250" t="str">
            <v>OTOKI- Mì bò hầm vị cay ly 62g</v>
          </cell>
          <cell r="R250">
            <v>16000</v>
          </cell>
          <cell r="S250">
            <v>1</v>
          </cell>
          <cell r="T250">
            <v>16000</v>
          </cell>
          <cell r="U250">
            <v>0</v>
          </cell>
          <cell r="V250">
            <v>16000</v>
          </cell>
          <cell r="W250" t="str">
            <v>8936049051630</v>
          </cell>
        </row>
        <row r="251">
          <cell r="A251">
            <v>2026</v>
          </cell>
          <cell r="B251">
            <v>7</v>
          </cell>
          <cell r="C251">
            <v>46211</v>
          </cell>
          <cell r="D251" t="str">
            <v>1. SKK store</v>
          </cell>
          <cell r="E251" t="str">
            <v>S1006</v>
          </cell>
          <cell r="F251" t="str">
            <v>SKK Trần Đăng Ninh</v>
          </cell>
          <cell r="G251" t="str">
            <v>0986271278</v>
          </cell>
          <cell r="H251" t="str">
            <v>chi huệ</v>
          </cell>
          <cell r="I251" t="str">
            <v>Khách cũ</v>
          </cell>
          <cell r="J251" t="str">
            <v>Đơn bán</v>
          </cell>
          <cell r="K251" t="str">
            <v>SAKUKO841755</v>
          </cell>
          <cell r="L251" t="str">
            <v>THỰC PHẨM</v>
          </cell>
          <cell r="M251" t="str">
            <v>MỲ, MIẾN</v>
          </cell>
          <cell r="N251" t="str">
            <v>MỲ CHẾ BIẾN</v>
          </cell>
          <cell r="O251" t="str">
            <v>154830</v>
          </cell>
          <cell r="P251" t="str">
            <v>8936049051609</v>
          </cell>
          <cell r="Q251" t="str">
            <v>OTOKI- Mì ly Jin sốt tương đen 70g</v>
          </cell>
          <cell r="R251">
            <v>18000</v>
          </cell>
          <cell r="S251">
            <v>1</v>
          </cell>
          <cell r="T251">
            <v>18000</v>
          </cell>
          <cell r="U251">
            <v>0</v>
          </cell>
          <cell r="V251">
            <v>18000</v>
          </cell>
          <cell r="W251" t="str">
            <v>8936049051609</v>
          </cell>
        </row>
        <row r="252">
          <cell r="A252">
            <v>2026</v>
          </cell>
          <cell r="B252">
            <v>7</v>
          </cell>
          <cell r="C252">
            <v>46211</v>
          </cell>
          <cell r="D252" t="str">
            <v>1. SKK store</v>
          </cell>
          <cell r="E252" t="str">
            <v>S1006</v>
          </cell>
          <cell r="F252" t="str">
            <v>SKK Trần Đăng Ninh</v>
          </cell>
          <cell r="G252" t="str">
            <v>0986271278</v>
          </cell>
          <cell r="H252" t="str">
            <v>chi huệ</v>
          </cell>
          <cell r="I252" t="str">
            <v>Khách cũ</v>
          </cell>
          <cell r="J252" t="str">
            <v>Đơn bán</v>
          </cell>
          <cell r="K252" t="str">
            <v>SAKUKO841755</v>
          </cell>
          <cell r="L252" t="str">
            <v>THỰC PHẨM</v>
          </cell>
          <cell r="M252" t="str">
            <v>MỲ, MIẾN</v>
          </cell>
          <cell r="N252" t="str">
            <v>MỲ CHẾ BIẾN</v>
          </cell>
          <cell r="O252" t="str">
            <v>154831</v>
          </cell>
          <cell r="P252" t="str">
            <v>8936049051715</v>
          </cell>
          <cell r="Q252" t="str">
            <v>OTOKI- Mì tô Jin sốt tương đen 115g</v>
          </cell>
          <cell r="R252">
            <v>24000</v>
          </cell>
          <cell r="S252">
            <v>1</v>
          </cell>
          <cell r="T252">
            <v>24000</v>
          </cell>
          <cell r="U252">
            <v>0</v>
          </cell>
          <cell r="V252">
            <v>24000</v>
          </cell>
          <cell r="W252" t="str">
            <v>8936049051715</v>
          </cell>
        </row>
        <row r="253">
          <cell r="A253">
            <v>2026</v>
          </cell>
          <cell r="B253">
            <v>7</v>
          </cell>
          <cell r="C253">
            <v>46211</v>
          </cell>
          <cell r="D253" t="str">
            <v>1. SKK store</v>
          </cell>
          <cell r="E253" t="str">
            <v>S1007</v>
          </cell>
          <cell r="F253" t="str">
            <v>SKK  Nguyễn Du</v>
          </cell>
          <cell r="G253" t="str">
            <v>0915464408</v>
          </cell>
          <cell r="H253" t="str">
            <v>CO VAN</v>
          </cell>
          <cell r="I253" t="str">
            <v>Khách cũ</v>
          </cell>
          <cell r="J253" t="str">
            <v>Đơn bán</v>
          </cell>
          <cell r="K253" t="str">
            <v>SAKUKO841537</v>
          </cell>
          <cell r="L253" t="str">
            <v>THỰC PHẨM</v>
          </cell>
          <cell r="M253" t="str">
            <v>MỲ, MIẾN</v>
          </cell>
          <cell r="N253" t="str">
            <v>MỲ ĂN LIỀN</v>
          </cell>
          <cell r="O253" t="str">
            <v>155159</v>
          </cell>
          <cell r="P253" t="str">
            <v>8936049051623</v>
          </cell>
          <cell r="Q253" t="str">
            <v>OTOKI- Mì kimchi ly 62g</v>
          </cell>
          <cell r="R253">
            <v>16000</v>
          </cell>
          <cell r="S253">
            <v>1</v>
          </cell>
          <cell r="T253">
            <v>16000</v>
          </cell>
          <cell r="U253">
            <v>0</v>
          </cell>
          <cell r="V253">
            <v>16000</v>
          </cell>
          <cell r="W253" t="str">
            <v>8936049051623</v>
          </cell>
        </row>
        <row r="254">
          <cell r="A254">
            <v>2026</v>
          </cell>
          <cell r="B254">
            <v>7</v>
          </cell>
          <cell r="C254">
            <v>46211</v>
          </cell>
          <cell r="D254" t="str">
            <v>1. SKK store</v>
          </cell>
          <cell r="E254" t="str">
            <v>S1007</v>
          </cell>
          <cell r="F254" t="str">
            <v>SKK  Nguyễn Du</v>
          </cell>
          <cell r="G254" t="str">
            <v>0915464408</v>
          </cell>
          <cell r="H254" t="str">
            <v>CO VAN</v>
          </cell>
          <cell r="I254" t="str">
            <v>Khách cũ</v>
          </cell>
          <cell r="J254" t="str">
            <v>Đơn bán</v>
          </cell>
          <cell r="K254" t="str">
            <v>SAKUKO841537</v>
          </cell>
          <cell r="L254" t="str">
            <v>THỰC PHẨM</v>
          </cell>
          <cell r="M254" t="str">
            <v>MỲ, MIẾN</v>
          </cell>
          <cell r="N254" t="str">
            <v>MỲ ĂN LIỀN</v>
          </cell>
          <cell r="O254" t="str">
            <v>155161</v>
          </cell>
          <cell r="P254" t="str">
            <v>8936049052378</v>
          </cell>
          <cell r="Q254" t="str">
            <v>OTOKI- Mì Jin tương đen vị bò ly 65g</v>
          </cell>
          <cell r="R254">
            <v>18000</v>
          </cell>
          <cell r="S254">
            <v>1</v>
          </cell>
          <cell r="T254">
            <v>18000</v>
          </cell>
          <cell r="U254">
            <v>0</v>
          </cell>
          <cell r="V254">
            <v>18000</v>
          </cell>
          <cell r="W254" t="str">
            <v>8936049052378</v>
          </cell>
        </row>
        <row r="255">
          <cell r="A255">
            <v>2026</v>
          </cell>
          <cell r="B255">
            <v>7</v>
          </cell>
          <cell r="C255">
            <v>46211</v>
          </cell>
          <cell r="D255" t="str">
            <v>1. SKK store</v>
          </cell>
          <cell r="E255" t="str">
            <v>S1007</v>
          </cell>
          <cell r="F255" t="str">
            <v>SKK  Nguyễn Du</v>
          </cell>
          <cell r="G255" t="str">
            <v>0916087967</v>
          </cell>
          <cell r="H255" t="str">
            <v>Anh</v>
          </cell>
          <cell r="I255" t="str">
            <v>Khách mới</v>
          </cell>
          <cell r="J255" t="str">
            <v>Đơn bán</v>
          </cell>
          <cell r="K255" t="str">
            <v>SAKUKO841725</v>
          </cell>
          <cell r="L255" t="str">
            <v>THỰC PHẨM</v>
          </cell>
          <cell r="M255" t="str">
            <v>MỲ, MIẾN</v>
          </cell>
          <cell r="N255" t="str">
            <v>MỲ ĂN LIỀN</v>
          </cell>
          <cell r="O255" t="str">
            <v>155155</v>
          </cell>
          <cell r="P255" t="str">
            <v>8936049051708</v>
          </cell>
          <cell r="Q255" t="str">
            <v>OTOKI- Mì Jin không cay tô 110g</v>
          </cell>
          <cell r="R255">
            <v>22000</v>
          </cell>
          <cell r="S255">
            <v>3</v>
          </cell>
          <cell r="T255">
            <v>66000</v>
          </cell>
          <cell r="U255">
            <v>0</v>
          </cell>
          <cell r="V255">
            <v>66000</v>
          </cell>
          <cell r="W255" t="str">
            <v>8936049051708</v>
          </cell>
        </row>
        <row r="256">
          <cell r="A256">
            <v>2026</v>
          </cell>
          <cell r="B256">
            <v>7</v>
          </cell>
          <cell r="C256">
            <v>46211</v>
          </cell>
          <cell r="D256" t="str">
            <v>1. SKK store</v>
          </cell>
          <cell r="E256" t="str">
            <v>S1007</v>
          </cell>
          <cell r="F256" t="str">
            <v>SKK  Nguyễn Du</v>
          </cell>
          <cell r="G256" t="str">
            <v>0965898688</v>
          </cell>
          <cell r="H256" t="str">
            <v>CHI THAO</v>
          </cell>
          <cell r="I256" t="str">
            <v>Khách cũ</v>
          </cell>
          <cell r="J256" t="str">
            <v>Đơn bán</v>
          </cell>
          <cell r="K256" t="str">
            <v>SAKUKO840919</v>
          </cell>
          <cell r="L256" t="str">
            <v>THỰC PHẨM</v>
          </cell>
          <cell r="M256" t="str">
            <v>BÁNH KẸO, ĐỒ ĂN VẶT</v>
          </cell>
          <cell r="N256" t="str">
            <v>KẸO CAO SU</v>
          </cell>
          <cell r="O256" t="str">
            <v>231376</v>
          </cell>
          <cell r="P256" t="str">
            <v>4903333228577</v>
          </cell>
          <cell r="Q256" t="str">
            <v>LOTTE-Kẹo cao su tổng hợp 7 loại dạng lọ 133g</v>
          </cell>
          <cell r="R256">
            <v>235000</v>
          </cell>
          <cell r="S256">
            <v>1</v>
          </cell>
          <cell r="T256">
            <v>235000</v>
          </cell>
          <cell r="U256">
            <v>0</v>
          </cell>
          <cell r="V256">
            <v>235000</v>
          </cell>
          <cell r="W256" t="str">
            <v>4903333228577</v>
          </cell>
        </row>
        <row r="257">
          <cell r="A257">
            <v>2026</v>
          </cell>
          <cell r="B257">
            <v>7</v>
          </cell>
          <cell r="C257">
            <v>46211</v>
          </cell>
          <cell r="D257" t="str">
            <v>1. SKK store</v>
          </cell>
          <cell r="E257" t="str">
            <v>S1007</v>
          </cell>
          <cell r="F257" t="str">
            <v>SKK  Nguyễn Du</v>
          </cell>
          <cell r="G257" t="str">
            <v>0965898688</v>
          </cell>
          <cell r="H257" t="str">
            <v>CHI THAO</v>
          </cell>
          <cell r="I257" t="str">
            <v>Khách cũ</v>
          </cell>
          <cell r="J257" t="str">
            <v>Đơn bán</v>
          </cell>
          <cell r="K257" t="str">
            <v>SAKUKO840919</v>
          </cell>
          <cell r="L257" t="str">
            <v>THỰC PHẨM</v>
          </cell>
          <cell r="M257" t="str">
            <v>BÁNH KẸO, ĐỒ ĂN VẶT</v>
          </cell>
          <cell r="N257" t="str">
            <v>KẸO CAO SU</v>
          </cell>
          <cell r="O257" t="str">
            <v>231377</v>
          </cell>
          <cell r="P257" t="str">
            <v>4903333200375</v>
          </cell>
          <cell r="Q257" t="str">
            <v>LOTTE-Kẹo cao su tổng hợp dạng lọ 114g</v>
          </cell>
          <cell r="R257">
            <v>235000</v>
          </cell>
          <cell r="S257">
            <v>1</v>
          </cell>
          <cell r="T257">
            <v>235000</v>
          </cell>
          <cell r="U257">
            <v>0</v>
          </cell>
          <cell r="V257">
            <v>235000</v>
          </cell>
          <cell r="W257" t="str">
            <v>4903333200375</v>
          </cell>
        </row>
        <row r="258">
          <cell r="A258">
            <v>2026</v>
          </cell>
          <cell r="B258">
            <v>7</v>
          </cell>
          <cell r="C258">
            <v>46211</v>
          </cell>
          <cell r="D258" t="str">
            <v>1. SKK store</v>
          </cell>
          <cell r="E258" t="str">
            <v>S1007</v>
          </cell>
          <cell r="F258" t="str">
            <v>SKK  Nguyễn Du</v>
          </cell>
          <cell r="G258" t="str">
            <v>0966358688</v>
          </cell>
          <cell r="H258" t="str">
            <v>chị Huyền</v>
          </cell>
          <cell r="I258" t="str">
            <v>Khách cũ</v>
          </cell>
          <cell r="J258" t="str">
            <v>Đơn bán</v>
          </cell>
          <cell r="K258" t="str">
            <v>SAKUKO841200</v>
          </cell>
          <cell r="L258" t="str">
            <v>THỰC PHẨM</v>
          </cell>
          <cell r="M258" t="str">
            <v>BÁNH KẸO, ĐỒ ĂN VẶT</v>
          </cell>
          <cell r="N258" t="str">
            <v>KẸO CAO SU</v>
          </cell>
          <cell r="O258" t="str">
            <v>231376</v>
          </cell>
          <cell r="P258" t="str">
            <v>4903333228577</v>
          </cell>
          <cell r="Q258" t="str">
            <v>LOTTE-Kẹo cao su tổng hợp 7 loại dạng lọ 133g</v>
          </cell>
          <cell r="R258">
            <v>235000</v>
          </cell>
          <cell r="S258">
            <v>1</v>
          </cell>
          <cell r="T258">
            <v>235000</v>
          </cell>
          <cell r="U258">
            <v>0</v>
          </cell>
          <cell r="V258">
            <v>235000</v>
          </cell>
          <cell r="W258" t="str">
            <v>4903333228577</v>
          </cell>
        </row>
        <row r="259">
          <cell r="A259">
            <v>2026</v>
          </cell>
          <cell r="B259">
            <v>7</v>
          </cell>
          <cell r="C259">
            <v>46211</v>
          </cell>
          <cell r="D259" t="str">
            <v>1. SKK store</v>
          </cell>
          <cell r="E259" t="str">
            <v>S1007</v>
          </cell>
          <cell r="F259" t="str">
            <v>SKK  Nguyễn Du</v>
          </cell>
          <cell r="G259" t="str">
            <v>0966358688</v>
          </cell>
          <cell r="H259" t="str">
            <v>chị Huyền</v>
          </cell>
          <cell r="I259" t="str">
            <v>Khách cũ</v>
          </cell>
          <cell r="J259" t="str">
            <v>Đơn bán</v>
          </cell>
          <cell r="K259" t="str">
            <v>SAKUKO841200</v>
          </cell>
          <cell r="L259" t="str">
            <v>THỰC PHẨM</v>
          </cell>
          <cell r="M259" t="str">
            <v>BÁNH KẸO, ĐỒ ĂN VẶT</v>
          </cell>
          <cell r="N259" t="str">
            <v>KẸO CAO SU</v>
          </cell>
          <cell r="O259" t="str">
            <v>231377</v>
          </cell>
          <cell r="P259" t="str">
            <v>4903333200375</v>
          </cell>
          <cell r="Q259" t="str">
            <v>LOTTE-Kẹo cao su tổng hợp dạng lọ 114g</v>
          </cell>
          <cell r="R259">
            <v>235000</v>
          </cell>
          <cell r="S259">
            <v>1</v>
          </cell>
          <cell r="T259">
            <v>235000</v>
          </cell>
          <cell r="U259">
            <v>0</v>
          </cell>
          <cell r="V259">
            <v>235000</v>
          </cell>
          <cell r="W259" t="str">
            <v>4903333200375</v>
          </cell>
        </row>
        <row r="260">
          <cell r="A260">
            <v>2026</v>
          </cell>
          <cell r="B260">
            <v>7</v>
          </cell>
          <cell r="C260">
            <v>46211</v>
          </cell>
          <cell r="D260" t="str">
            <v>1. SKK store</v>
          </cell>
          <cell r="E260" t="str">
            <v>S1007</v>
          </cell>
          <cell r="F260" t="str">
            <v>SKK  Nguyễn Du</v>
          </cell>
          <cell r="G260" t="str">
            <v>0976661867</v>
          </cell>
          <cell r="H260" t="str">
            <v>cô phượng</v>
          </cell>
          <cell r="I260" t="str">
            <v>Khách cũ</v>
          </cell>
          <cell r="J260" t="str">
            <v>Đơn bán</v>
          </cell>
          <cell r="K260" t="str">
            <v>SAKUKO841350</v>
          </cell>
          <cell r="L260" t="str">
            <v>THỰC PHẨM</v>
          </cell>
          <cell r="M260" t="str">
            <v>MỲ, MIẾN</v>
          </cell>
          <cell r="N260" t="str">
            <v>MỲ ĂN LIỀN</v>
          </cell>
          <cell r="O260" t="str">
            <v>155155</v>
          </cell>
          <cell r="P260" t="str">
            <v>8936049051708</v>
          </cell>
          <cell r="Q260" t="str">
            <v>OTOKI- Mì Jin không cay tô 110g</v>
          </cell>
          <cell r="R260">
            <v>22000</v>
          </cell>
          <cell r="S260">
            <v>1</v>
          </cell>
          <cell r="T260">
            <v>22000</v>
          </cell>
          <cell r="U260">
            <v>0</v>
          </cell>
          <cell r="V260">
            <v>22000</v>
          </cell>
          <cell r="W260" t="str">
            <v>8936049051708</v>
          </cell>
        </row>
        <row r="261">
          <cell r="A261">
            <v>2026</v>
          </cell>
          <cell r="B261">
            <v>7</v>
          </cell>
          <cell r="C261">
            <v>46211</v>
          </cell>
          <cell r="D261" t="str">
            <v>1. SKK store</v>
          </cell>
          <cell r="E261" t="str">
            <v>S1007</v>
          </cell>
          <cell r="F261" t="str">
            <v>SKK  Nguyễn Du</v>
          </cell>
          <cell r="G261" t="str">
            <v>0976661867</v>
          </cell>
          <cell r="H261" t="str">
            <v>cô phượng</v>
          </cell>
          <cell r="I261" t="str">
            <v>Khách cũ</v>
          </cell>
          <cell r="J261" t="str">
            <v>Đơn bán</v>
          </cell>
          <cell r="K261" t="str">
            <v>SAKUKO841350</v>
          </cell>
          <cell r="L261" t="str">
            <v>THỰC PHẨM</v>
          </cell>
          <cell r="M261" t="str">
            <v>MỲ, MIẾN</v>
          </cell>
          <cell r="N261" t="str">
            <v>MỲ ĂN LIỀN</v>
          </cell>
          <cell r="O261" t="str">
            <v>155159</v>
          </cell>
          <cell r="P261" t="str">
            <v>8936049051623</v>
          </cell>
          <cell r="Q261" t="str">
            <v>OTOKI- Mì kimchi ly 62g</v>
          </cell>
          <cell r="R261">
            <v>16000</v>
          </cell>
          <cell r="S261">
            <v>1</v>
          </cell>
          <cell r="T261">
            <v>16000</v>
          </cell>
          <cell r="U261">
            <v>0</v>
          </cell>
          <cell r="V261">
            <v>16000</v>
          </cell>
          <cell r="W261" t="str">
            <v>8936049051623</v>
          </cell>
        </row>
        <row r="262">
          <cell r="A262">
            <v>2026</v>
          </cell>
          <cell r="B262">
            <v>7</v>
          </cell>
          <cell r="C262">
            <v>46211</v>
          </cell>
          <cell r="D262" t="str">
            <v>1. SKK store</v>
          </cell>
          <cell r="E262" t="str">
            <v>S1007</v>
          </cell>
          <cell r="F262" t="str">
            <v>SKK  Nguyễn Du</v>
          </cell>
          <cell r="G262" t="str">
            <v>0976661867</v>
          </cell>
          <cell r="H262" t="str">
            <v>cô phượng</v>
          </cell>
          <cell r="I262" t="str">
            <v>Khách cũ</v>
          </cell>
          <cell r="J262" t="str">
            <v>Đơn bán</v>
          </cell>
          <cell r="K262" t="str">
            <v>SAKUKO841350</v>
          </cell>
          <cell r="L262" t="str">
            <v>THỰC PHẨM</v>
          </cell>
          <cell r="M262" t="str">
            <v>MỲ, MIẾN</v>
          </cell>
          <cell r="N262" t="str">
            <v>MỲ ĂN LIỀN</v>
          </cell>
          <cell r="O262" t="str">
            <v>155160</v>
          </cell>
          <cell r="P262" t="str">
            <v>8936049051630</v>
          </cell>
          <cell r="Q262" t="str">
            <v>OTOKI- Mì bò hầm vị cay ly 62g</v>
          </cell>
          <cell r="R262">
            <v>16000</v>
          </cell>
          <cell r="S262">
            <v>1</v>
          </cell>
          <cell r="T262">
            <v>16000</v>
          </cell>
          <cell r="U262">
            <v>0</v>
          </cell>
          <cell r="V262">
            <v>16000</v>
          </cell>
          <cell r="W262" t="str">
            <v>8936049051630</v>
          </cell>
        </row>
        <row r="263">
          <cell r="A263">
            <v>2026</v>
          </cell>
          <cell r="B263">
            <v>7</v>
          </cell>
          <cell r="C263">
            <v>46211</v>
          </cell>
          <cell r="D263" t="str">
            <v>1. SKK store</v>
          </cell>
          <cell r="E263" t="str">
            <v>S1007</v>
          </cell>
          <cell r="F263" t="str">
            <v>SKK  Nguyễn Du</v>
          </cell>
          <cell r="G263" t="str">
            <v>0976661867</v>
          </cell>
          <cell r="H263" t="str">
            <v>cô phượng</v>
          </cell>
          <cell r="I263" t="str">
            <v>Khách cũ</v>
          </cell>
          <cell r="J263" t="str">
            <v>Đơn bán</v>
          </cell>
          <cell r="K263" t="str">
            <v>SAKUKO841350</v>
          </cell>
          <cell r="L263" t="str">
            <v>THỰC PHẨM</v>
          </cell>
          <cell r="M263" t="str">
            <v>MỲ, MIẾN</v>
          </cell>
          <cell r="N263" t="str">
            <v>MỲ ĂN LIỀN</v>
          </cell>
          <cell r="O263" t="str">
            <v>155161</v>
          </cell>
          <cell r="P263" t="str">
            <v>8936049052378</v>
          </cell>
          <cell r="Q263" t="str">
            <v>OTOKI- Mì Jin tương đen vị bò ly 65g</v>
          </cell>
          <cell r="R263">
            <v>18000</v>
          </cell>
          <cell r="S263">
            <v>1</v>
          </cell>
          <cell r="T263">
            <v>18000</v>
          </cell>
          <cell r="U263">
            <v>0</v>
          </cell>
          <cell r="V263">
            <v>18000</v>
          </cell>
          <cell r="W263" t="str">
            <v>8936049052378</v>
          </cell>
        </row>
        <row r="264">
          <cell r="A264">
            <v>2026</v>
          </cell>
          <cell r="B264">
            <v>7</v>
          </cell>
          <cell r="C264">
            <v>46211</v>
          </cell>
          <cell r="D264" t="str">
            <v>1. SKK store</v>
          </cell>
          <cell r="E264" t="str">
            <v>S1008</v>
          </cell>
          <cell r="F264" t="str">
            <v>SKK  Hàng Bông</v>
          </cell>
          <cell r="G264" t="str">
            <v>0972061366</v>
          </cell>
          <cell r="H264" t="str">
            <v>C Hà</v>
          </cell>
          <cell r="I264" t="str">
            <v>Khách cũ</v>
          </cell>
          <cell r="J264" t="str">
            <v>Đơn bán</v>
          </cell>
          <cell r="K264" t="str">
            <v>SAKUKO840959</v>
          </cell>
          <cell r="L264" t="str">
            <v>ĐỒ CHO MẸ BÉ</v>
          </cell>
          <cell r="M264" t="str">
            <v>GIẤY ƯỚT</v>
          </cell>
          <cell r="N264" t="str">
            <v>GIẤY ƯỚT CHO BÉ</v>
          </cell>
          <cell r="O264" t="str">
            <v>121677</v>
          </cell>
          <cell r="P264" t="str">
            <v>8801260608836</v>
          </cell>
          <cell r="Q264" t="str">
            <v>KLEANNARA- Khăn ướt 5 tinh chất (có nắp) 100 tờ</v>
          </cell>
          <cell r="R264">
            <v>52000</v>
          </cell>
          <cell r="S264">
            <v>1</v>
          </cell>
          <cell r="T264">
            <v>52000</v>
          </cell>
          <cell r="U264">
            <v>0</v>
          </cell>
          <cell r="V264">
            <v>52000</v>
          </cell>
          <cell r="W264" t="str">
            <v>8801260608836</v>
          </cell>
        </row>
        <row r="265">
          <cell r="A265">
            <v>2026</v>
          </cell>
          <cell r="B265">
            <v>7</v>
          </cell>
          <cell r="C265">
            <v>46211</v>
          </cell>
          <cell r="D265" t="str">
            <v>1. SKK store</v>
          </cell>
          <cell r="E265" t="str">
            <v>S1015</v>
          </cell>
          <cell r="F265" t="str">
            <v>SKK Hàm Nghi</v>
          </cell>
          <cell r="G265" t="str">
            <v>0913378381</v>
          </cell>
          <cell r="H265" t="str">
            <v>chị Ân</v>
          </cell>
          <cell r="I265" t="str">
            <v>Khách cũ</v>
          </cell>
          <cell r="J265" t="str">
            <v>Đơn bán</v>
          </cell>
          <cell r="K265" t="str">
            <v>SAKUKO841107</v>
          </cell>
          <cell r="L265" t="str">
            <v>CHĂM SÓC SẮC ĐẸP</v>
          </cell>
          <cell r="M265" t="str">
            <v>CHĂM SÓC CƠ THỂ</v>
          </cell>
          <cell r="N265" t="str">
            <v>CHỐNG NẮNG</v>
          </cell>
          <cell r="O265" t="str">
            <v>102417</v>
          </cell>
          <cell r="P265" t="str">
            <v>4902468816093</v>
          </cell>
          <cell r="Q265" t="str">
            <v>MEISHOKU- Kem chống nắng C Vita 100g</v>
          </cell>
          <cell r="R265">
            <v>535000</v>
          </cell>
          <cell r="S265">
            <v>1</v>
          </cell>
          <cell r="T265">
            <v>535000</v>
          </cell>
          <cell r="U265">
            <v>0</v>
          </cell>
          <cell r="V265">
            <v>535000</v>
          </cell>
          <cell r="W265" t="str">
            <v>4902468816093</v>
          </cell>
        </row>
        <row r="266">
          <cell r="A266">
            <v>2026</v>
          </cell>
          <cell r="B266">
            <v>7</v>
          </cell>
          <cell r="C266">
            <v>46211</v>
          </cell>
          <cell r="D266" t="str">
            <v>1. SKK store</v>
          </cell>
          <cell r="E266" t="str">
            <v>S1015</v>
          </cell>
          <cell r="F266" t="str">
            <v>SKK Hàm Nghi</v>
          </cell>
          <cell r="G266" t="str">
            <v>0918085967</v>
          </cell>
          <cell r="H266" t="str">
            <v>INARA</v>
          </cell>
          <cell r="I266" t="str">
            <v>Khách cũ</v>
          </cell>
          <cell r="J266" t="str">
            <v>Đơn bán</v>
          </cell>
          <cell r="K266" t="str">
            <v>SAKUKO841680</v>
          </cell>
          <cell r="L266" t="str">
            <v>CHĂM SÓC SẮC ĐẸP</v>
          </cell>
          <cell r="M266" t="str">
            <v>CHĂM SÓC TÓC</v>
          </cell>
          <cell r="N266" t="str">
            <v>TẠO KIỂU TÓC</v>
          </cell>
          <cell r="O266" t="str">
            <v>101904</v>
          </cell>
          <cell r="P266" t="str">
            <v>45131639</v>
          </cell>
          <cell r="Q266" t="str">
            <v>GATSBY- Sáp vuốt tóc tạo kiểu vuốt đứng 80g</v>
          </cell>
          <cell r="R266">
            <v>150000</v>
          </cell>
          <cell r="S266">
            <v>1</v>
          </cell>
          <cell r="T266">
            <v>150000</v>
          </cell>
          <cell r="U266">
            <v>15000</v>
          </cell>
          <cell r="V266">
            <v>135000</v>
          </cell>
          <cell r="W266" t="str">
            <v>45131639</v>
          </cell>
        </row>
        <row r="267">
          <cell r="A267">
            <v>2026</v>
          </cell>
          <cell r="B267">
            <v>7</v>
          </cell>
          <cell r="C267">
            <v>46211</v>
          </cell>
          <cell r="D267" t="str">
            <v>1. SKK store</v>
          </cell>
          <cell r="E267" t="str">
            <v>S1015</v>
          </cell>
          <cell r="F267" t="str">
            <v>SKK Hàm Nghi</v>
          </cell>
          <cell r="G267" t="str">
            <v>0963655133</v>
          </cell>
          <cell r="H267" t="str">
            <v>chị hằng</v>
          </cell>
          <cell r="I267" t="str">
            <v>Khách cũ</v>
          </cell>
          <cell r="J267" t="str">
            <v>Đơn bán</v>
          </cell>
          <cell r="K267" t="str">
            <v>SAKUKO841858</v>
          </cell>
          <cell r="L267" t="str">
            <v>CHĂM SÓC SẮC ĐẸP</v>
          </cell>
          <cell r="M267" t="str">
            <v>CHĂM SÓC DA</v>
          </cell>
          <cell r="N267" t="str">
            <v>RỬA MẶT</v>
          </cell>
          <cell r="O267" t="str">
            <v>230849</v>
          </cell>
          <cell r="P267" t="str">
            <v>4902806102048</v>
          </cell>
          <cell r="Q267" t="str">
            <v>GATSBY- SRM than hoạt tính sạch sâu 130g</v>
          </cell>
          <cell r="R267">
            <v>125000</v>
          </cell>
          <cell r="S267">
            <v>1</v>
          </cell>
          <cell r="T267">
            <v>125000</v>
          </cell>
          <cell r="U267">
            <v>12500</v>
          </cell>
          <cell r="V267">
            <v>112500</v>
          </cell>
          <cell r="W267" t="str">
            <v>4902806102048</v>
          </cell>
        </row>
        <row r="268">
          <cell r="A268">
            <v>2026</v>
          </cell>
          <cell r="B268">
            <v>7</v>
          </cell>
          <cell r="C268">
            <v>46211</v>
          </cell>
          <cell r="D268" t="str">
            <v>1. SKK store</v>
          </cell>
          <cell r="E268" t="str">
            <v>S1025</v>
          </cell>
          <cell r="F268" t="str">
            <v>SKK T6 Time City</v>
          </cell>
          <cell r="G268" t="str">
            <v>0904327777</v>
          </cell>
          <cell r="H268" t="str">
            <v>chị linh</v>
          </cell>
          <cell r="I268" t="str">
            <v>Khách cũ</v>
          </cell>
          <cell r="J268" t="str">
            <v>Đơn bán</v>
          </cell>
          <cell r="K268" t="str">
            <v>SAKUKO841695</v>
          </cell>
          <cell r="L268" t="str">
            <v>THỰC PHẨM</v>
          </cell>
          <cell r="M268" t="str">
            <v>BÁNH KẸO, ĐỒ ĂN VẶT</v>
          </cell>
          <cell r="N268" t="str">
            <v>KẸO CAO SU</v>
          </cell>
          <cell r="O268" t="str">
            <v>154653</v>
          </cell>
          <cell r="P268" t="str">
            <v>4547894156650</v>
          </cell>
          <cell r="Q268" t="str">
            <v>MONDELEZ JAPAN - Kẹo cao su vị bưởi hồng 130g</v>
          </cell>
          <cell r="R268">
            <v>235000</v>
          </cell>
          <cell r="S268">
            <v>1</v>
          </cell>
          <cell r="T268">
            <v>235000</v>
          </cell>
          <cell r="U268">
            <v>0</v>
          </cell>
          <cell r="V268">
            <v>235000</v>
          </cell>
          <cell r="W268" t="str">
            <v>4547894156650</v>
          </cell>
        </row>
        <row r="269">
          <cell r="A269">
            <v>2026</v>
          </cell>
          <cell r="B269">
            <v>7</v>
          </cell>
          <cell r="C269">
            <v>46210</v>
          </cell>
          <cell r="D269" t="str">
            <v>1. SKK store</v>
          </cell>
          <cell r="E269" t="str">
            <v>S1005</v>
          </cell>
          <cell r="F269" t="str">
            <v>SKK  Thái Hà</v>
          </cell>
          <cell r="G269" t="str">
            <v>02466810505</v>
          </cell>
          <cell r="H269" t="str">
            <v>klth</v>
          </cell>
          <cell r="I269" t="str">
            <v>Khách vãng lai</v>
          </cell>
          <cell r="J269" t="str">
            <v>Đơn bán</v>
          </cell>
          <cell r="K269" t="str">
            <v>SAKUKO840287</v>
          </cell>
          <cell r="L269" t="str">
            <v>THỰC PHẨM</v>
          </cell>
          <cell r="M269" t="str">
            <v>MỲ, MIẾN</v>
          </cell>
          <cell r="N269" t="str">
            <v>MỲ ĂN LIỀN</v>
          </cell>
          <cell r="O269" t="str">
            <v>154827</v>
          </cell>
          <cell r="P269" t="str">
            <v>8936049051647</v>
          </cell>
          <cell r="Q269" t="str">
            <v>OTOKI- Mì tô Jin cay 110g</v>
          </cell>
          <cell r="R269">
            <v>23000</v>
          </cell>
          <cell r="S269">
            <v>1</v>
          </cell>
          <cell r="T269">
            <v>23000</v>
          </cell>
          <cell r="U269">
            <v>0</v>
          </cell>
          <cell r="V269">
            <v>23000</v>
          </cell>
          <cell r="W269" t="str">
            <v>8936049051647</v>
          </cell>
        </row>
        <row r="270">
          <cell r="A270">
            <v>2026</v>
          </cell>
          <cell r="B270">
            <v>7</v>
          </cell>
          <cell r="C270">
            <v>46210</v>
          </cell>
          <cell r="D270" t="str">
            <v>1. SKK store</v>
          </cell>
          <cell r="E270" t="str">
            <v>S1005</v>
          </cell>
          <cell r="F270" t="str">
            <v>SKK  Thái Hà</v>
          </cell>
          <cell r="G270" t="str">
            <v>0912548166</v>
          </cell>
          <cell r="H270" t="str">
            <v>a định</v>
          </cell>
          <cell r="I270" t="str">
            <v>Khách cũ</v>
          </cell>
          <cell r="J270" t="str">
            <v>Đơn bán</v>
          </cell>
          <cell r="K270" t="str">
            <v>SAKUKO839962</v>
          </cell>
          <cell r="L270" t="str">
            <v>NHÀ CỬA ĐỜI SỐNG</v>
          </cell>
          <cell r="M270" t="str">
            <v>PHÒNG CHỐNG CÔN TRÙNG</v>
          </cell>
          <cell r="N270" t="str">
            <v>DIỆT CÔN TRÙNG</v>
          </cell>
          <cell r="O270" t="str">
            <v>134480</v>
          </cell>
          <cell r="P270" t="str">
            <v>4987115545885</v>
          </cell>
          <cell r="Q270" t="str">
            <v>KINCHO-DD làm thơm phòng và đuổi muỗi (trái cây)</v>
          </cell>
          <cell r="R270">
            <v>239000</v>
          </cell>
          <cell r="S270">
            <v>1</v>
          </cell>
          <cell r="T270">
            <v>239000</v>
          </cell>
          <cell r="U270">
            <v>0</v>
          </cell>
          <cell r="V270">
            <v>239000</v>
          </cell>
          <cell r="W270" t="str">
            <v>4987115545885</v>
          </cell>
        </row>
        <row r="271">
          <cell r="A271">
            <v>2026</v>
          </cell>
          <cell r="B271">
            <v>7</v>
          </cell>
          <cell r="C271">
            <v>46210</v>
          </cell>
          <cell r="D271" t="str">
            <v>1. SKK store</v>
          </cell>
          <cell r="E271" t="str">
            <v>S1005</v>
          </cell>
          <cell r="F271" t="str">
            <v>SKK  Thái Hà</v>
          </cell>
          <cell r="G271" t="str">
            <v>0985501238</v>
          </cell>
          <cell r="H271" t="str">
            <v>Chị Đoàn Vân Hằng</v>
          </cell>
          <cell r="I271" t="str">
            <v>Khách cũ</v>
          </cell>
          <cell r="J271" t="str">
            <v>Đơn bán</v>
          </cell>
          <cell r="K271" t="str">
            <v>SAKUKO840609</v>
          </cell>
          <cell r="L271" t="str">
            <v>THỰC PHẨM</v>
          </cell>
          <cell r="M271" t="str">
            <v>MỲ, MIẾN</v>
          </cell>
          <cell r="N271" t="str">
            <v>MỲ ĂN LIỀN</v>
          </cell>
          <cell r="O271" t="str">
            <v>155160</v>
          </cell>
          <cell r="P271" t="str">
            <v>8936049051630</v>
          </cell>
          <cell r="Q271" t="str">
            <v>OTOKI- Mì bò hầm vị cay ly 62g</v>
          </cell>
          <cell r="R271">
            <v>16000</v>
          </cell>
          <cell r="S271">
            <v>4</v>
          </cell>
          <cell r="T271">
            <v>64000</v>
          </cell>
          <cell r="U271">
            <v>0</v>
          </cell>
          <cell r="V271">
            <v>64000</v>
          </cell>
          <cell r="W271" t="str">
            <v>8936049051630</v>
          </cell>
        </row>
        <row r="272">
          <cell r="A272">
            <v>2026</v>
          </cell>
          <cell r="B272">
            <v>7</v>
          </cell>
          <cell r="C272">
            <v>46210</v>
          </cell>
          <cell r="D272" t="str">
            <v>1. SKK store</v>
          </cell>
          <cell r="E272" t="str">
            <v>S1006</v>
          </cell>
          <cell r="F272" t="str">
            <v>SKK Trần Đăng Ninh</v>
          </cell>
          <cell r="G272" t="str">
            <v>0904333668</v>
          </cell>
          <cell r="H272" t="str">
            <v>chị vân</v>
          </cell>
          <cell r="I272" t="str">
            <v>Khách cũ</v>
          </cell>
          <cell r="J272" t="str">
            <v>Đơn bán</v>
          </cell>
          <cell r="K272" t="str">
            <v>SAKUKO840003</v>
          </cell>
          <cell r="L272" t="str">
            <v>THỰC PHẨM</v>
          </cell>
          <cell r="M272" t="str">
            <v>BÁNH KẸO, ĐỒ ĂN VẶT</v>
          </cell>
          <cell r="N272" t="str">
            <v>KẸO CAO SU</v>
          </cell>
          <cell r="O272" t="str">
            <v>154653</v>
          </cell>
          <cell r="P272" t="str">
            <v>4547894156650</v>
          </cell>
          <cell r="Q272" t="str">
            <v>MONDELEZ JAPAN - Kẹo cao su vị bưởi hồng 130g</v>
          </cell>
          <cell r="R272">
            <v>235000</v>
          </cell>
          <cell r="S272">
            <v>1</v>
          </cell>
          <cell r="T272">
            <v>235000</v>
          </cell>
          <cell r="U272">
            <v>0</v>
          </cell>
          <cell r="V272">
            <v>235000</v>
          </cell>
          <cell r="W272" t="str">
            <v>4547894156650</v>
          </cell>
        </row>
        <row r="273">
          <cell r="A273">
            <v>2026</v>
          </cell>
          <cell r="B273">
            <v>7</v>
          </cell>
          <cell r="C273">
            <v>46210</v>
          </cell>
          <cell r="D273" t="str">
            <v>1. SKK store</v>
          </cell>
          <cell r="E273" t="str">
            <v>S1006</v>
          </cell>
          <cell r="F273" t="str">
            <v>SKK Trần Đăng Ninh</v>
          </cell>
          <cell r="G273" t="str">
            <v>0913583890</v>
          </cell>
          <cell r="H273" t="str">
            <v>cô Kim Duyên</v>
          </cell>
          <cell r="I273" t="str">
            <v>Khách cũ</v>
          </cell>
          <cell r="J273" t="str">
            <v>Đơn bán</v>
          </cell>
          <cell r="K273" t="str">
            <v>SAKUKO839796</v>
          </cell>
          <cell r="L273" t="str">
            <v>THỰC PHẨM</v>
          </cell>
          <cell r="M273" t="str">
            <v>MỲ, MIẾN</v>
          </cell>
          <cell r="N273" t="str">
            <v>MỲ ĂN LIỀN</v>
          </cell>
          <cell r="O273" t="str">
            <v>154359</v>
          </cell>
          <cell r="P273" t="str">
            <v>4979397000138</v>
          </cell>
          <cell r="Q273" t="str">
            <v>YAMAMOTO- Mì ramen ăn liền hải sản thịt heo 88g*5</v>
          </cell>
          <cell r="R273">
            <v>99000</v>
          </cell>
          <cell r="S273">
            <v>1</v>
          </cell>
          <cell r="T273">
            <v>99000</v>
          </cell>
          <cell r="U273">
            <v>0</v>
          </cell>
          <cell r="V273">
            <v>99000</v>
          </cell>
          <cell r="W273" t="str">
            <v>4979397000138</v>
          </cell>
        </row>
        <row r="274">
          <cell r="A274">
            <v>2026</v>
          </cell>
          <cell r="B274">
            <v>7</v>
          </cell>
          <cell r="C274">
            <v>46210</v>
          </cell>
          <cell r="D274" t="str">
            <v>1. SKK store</v>
          </cell>
          <cell r="E274" t="str">
            <v>S1006</v>
          </cell>
          <cell r="F274" t="str">
            <v>SKK Trần Đăng Ninh</v>
          </cell>
          <cell r="G274" t="str">
            <v>0913583890</v>
          </cell>
          <cell r="H274" t="str">
            <v>cô Kim Duyên</v>
          </cell>
          <cell r="I274" t="str">
            <v>Khách cũ</v>
          </cell>
          <cell r="J274" t="str">
            <v>Đơn bán</v>
          </cell>
          <cell r="K274" t="str">
            <v>SAKUKO839796</v>
          </cell>
          <cell r="L274" t="str">
            <v>THỰC PHẨM</v>
          </cell>
          <cell r="M274" t="str">
            <v>MỲ, MIẾN</v>
          </cell>
          <cell r="N274" t="str">
            <v>MỲ ĂN LIỀN</v>
          </cell>
          <cell r="O274" t="str">
            <v>154827</v>
          </cell>
          <cell r="P274" t="str">
            <v>8936049051647</v>
          </cell>
          <cell r="Q274" t="str">
            <v>OTOKI- Mì tô Jin cay 110g</v>
          </cell>
          <cell r="R274">
            <v>23000</v>
          </cell>
          <cell r="S274">
            <v>1</v>
          </cell>
          <cell r="T274">
            <v>23000</v>
          </cell>
          <cell r="U274">
            <v>0</v>
          </cell>
          <cell r="V274">
            <v>23000</v>
          </cell>
          <cell r="W274" t="str">
            <v>8936049051647</v>
          </cell>
        </row>
        <row r="275">
          <cell r="A275">
            <v>2026</v>
          </cell>
          <cell r="B275">
            <v>7</v>
          </cell>
          <cell r="C275">
            <v>46210</v>
          </cell>
          <cell r="D275" t="str">
            <v>1. SKK store</v>
          </cell>
          <cell r="E275" t="str">
            <v>S1006</v>
          </cell>
          <cell r="F275" t="str">
            <v>SKK Trần Đăng Ninh</v>
          </cell>
          <cell r="G275" t="str">
            <v>0913583890</v>
          </cell>
          <cell r="H275" t="str">
            <v>cô Kim Duyên</v>
          </cell>
          <cell r="I275" t="str">
            <v>Khách cũ</v>
          </cell>
          <cell r="J275" t="str">
            <v>Đơn bán</v>
          </cell>
          <cell r="K275" t="str">
            <v>SAKUKO839796</v>
          </cell>
          <cell r="L275" t="str">
            <v>THỰC PHẨM</v>
          </cell>
          <cell r="M275" t="str">
            <v>MỲ, MIẾN</v>
          </cell>
          <cell r="N275" t="str">
            <v>MỲ ĂN LIỀN</v>
          </cell>
          <cell r="O275" t="str">
            <v>155158</v>
          </cell>
          <cell r="P275" t="str">
            <v>8936049051593</v>
          </cell>
          <cell r="Q275" t="str">
            <v>OTOKI- Mì Jin không cay ly 65g</v>
          </cell>
          <cell r="R275">
            <v>18000</v>
          </cell>
          <cell r="S275">
            <v>1</v>
          </cell>
          <cell r="T275">
            <v>18000</v>
          </cell>
          <cell r="U275">
            <v>0</v>
          </cell>
          <cell r="V275">
            <v>18000</v>
          </cell>
          <cell r="W275" t="str">
            <v>8936049051593</v>
          </cell>
        </row>
        <row r="276">
          <cell r="A276">
            <v>2026</v>
          </cell>
          <cell r="B276">
            <v>7</v>
          </cell>
          <cell r="C276">
            <v>46210</v>
          </cell>
          <cell r="D276" t="str">
            <v>1. SKK store</v>
          </cell>
          <cell r="E276" t="str">
            <v>S1006</v>
          </cell>
          <cell r="F276" t="str">
            <v>SKK Trần Đăng Ninh</v>
          </cell>
          <cell r="G276" t="str">
            <v>0982206696</v>
          </cell>
          <cell r="H276" t="str">
            <v>Chị Hoàng Mai Hồng</v>
          </cell>
          <cell r="I276" t="str">
            <v>Khách cũ</v>
          </cell>
          <cell r="J276" t="str">
            <v>Đơn bán</v>
          </cell>
          <cell r="K276" t="str">
            <v>SAKUKO839695</v>
          </cell>
          <cell r="L276" t="str">
            <v>THỰC PHẨM</v>
          </cell>
          <cell r="M276" t="str">
            <v>MỲ, MIẾN</v>
          </cell>
          <cell r="N276" t="str">
            <v>MỲ ĂN LIỀN</v>
          </cell>
          <cell r="O276" t="str">
            <v>155155</v>
          </cell>
          <cell r="P276" t="str">
            <v>8936049051708</v>
          </cell>
          <cell r="Q276" t="str">
            <v>OTOKI- Mì Jin không cay tô 110g</v>
          </cell>
          <cell r="R276">
            <v>22000</v>
          </cell>
          <cell r="S276">
            <v>2</v>
          </cell>
          <cell r="T276">
            <v>44000</v>
          </cell>
          <cell r="U276">
            <v>0</v>
          </cell>
          <cell r="V276">
            <v>44000</v>
          </cell>
          <cell r="W276" t="str">
            <v>8936049051708</v>
          </cell>
        </row>
        <row r="277">
          <cell r="A277">
            <v>2026</v>
          </cell>
          <cell r="B277">
            <v>7</v>
          </cell>
          <cell r="C277">
            <v>46210</v>
          </cell>
          <cell r="D277" t="str">
            <v>1. SKK store</v>
          </cell>
          <cell r="E277" t="str">
            <v>S1006</v>
          </cell>
          <cell r="F277" t="str">
            <v>SKK Trần Đăng Ninh</v>
          </cell>
          <cell r="G277" t="str">
            <v>0988366509</v>
          </cell>
          <cell r="H277" t="str">
            <v>Chị Hải Liên</v>
          </cell>
          <cell r="I277" t="str">
            <v>Khách cũ</v>
          </cell>
          <cell r="J277" t="str">
            <v>Đơn bán</v>
          </cell>
          <cell r="K277" t="str">
            <v>SAKUKO840033</v>
          </cell>
          <cell r="L277" t="str">
            <v>THỰC PHẨM</v>
          </cell>
          <cell r="M277" t="str">
            <v>MỲ, MIẾN</v>
          </cell>
          <cell r="N277" t="str">
            <v>MỲ ĂN LIỀN</v>
          </cell>
          <cell r="O277" t="str">
            <v>154359</v>
          </cell>
          <cell r="P277" t="str">
            <v>4979397000138</v>
          </cell>
          <cell r="Q277" t="str">
            <v>YAMAMOTO- Mì ramen ăn liền hải sản thịt heo 88g*5</v>
          </cell>
          <cell r="R277">
            <v>99000</v>
          </cell>
          <cell r="S277">
            <v>1</v>
          </cell>
          <cell r="T277">
            <v>99000</v>
          </cell>
          <cell r="U277">
            <v>0</v>
          </cell>
          <cell r="V277">
            <v>99000</v>
          </cell>
          <cell r="W277" t="str">
            <v>4979397000138</v>
          </cell>
        </row>
        <row r="278">
          <cell r="A278">
            <v>2026</v>
          </cell>
          <cell r="B278">
            <v>7</v>
          </cell>
          <cell r="C278">
            <v>46210</v>
          </cell>
          <cell r="D278" t="str">
            <v>1. SKK store</v>
          </cell>
          <cell r="E278" t="str">
            <v>S1007</v>
          </cell>
          <cell r="F278" t="str">
            <v>SKK  Nguyễn Du</v>
          </cell>
          <cell r="G278" t="str">
            <v>0326680519</v>
          </cell>
          <cell r="H278" t="str">
            <v>A Tuấn</v>
          </cell>
          <cell r="I278" t="str">
            <v>Khách cũ</v>
          </cell>
          <cell r="J278" t="str">
            <v>Đơn bán</v>
          </cell>
          <cell r="K278" t="str">
            <v>SAKUKO840768</v>
          </cell>
          <cell r="L278" t="str">
            <v>THỰC PHẨM</v>
          </cell>
          <cell r="M278" t="str">
            <v>MỲ, MIẾN</v>
          </cell>
          <cell r="N278" t="str">
            <v>MỲ ĂN LIỀN</v>
          </cell>
          <cell r="O278" t="str">
            <v>155159</v>
          </cell>
          <cell r="P278" t="str">
            <v>8936049051623</v>
          </cell>
          <cell r="Q278" t="str">
            <v>OTOKI- Mì kimchi ly 62g</v>
          </cell>
          <cell r="R278">
            <v>16000</v>
          </cell>
          <cell r="S278">
            <v>1</v>
          </cell>
          <cell r="T278">
            <v>16000</v>
          </cell>
          <cell r="U278">
            <v>0</v>
          </cell>
          <cell r="V278">
            <v>16000</v>
          </cell>
          <cell r="W278" t="str">
            <v>8936049051623</v>
          </cell>
        </row>
        <row r="279">
          <cell r="A279">
            <v>2026</v>
          </cell>
          <cell r="B279">
            <v>7</v>
          </cell>
          <cell r="C279">
            <v>46210</v>
          </cell>
          <cell r="D279" t="str">
            <v>1. SKK store</v>
          </cell>
          <cell r="E279" t="str">
            <v>S1007</v>
          </cell>
          <cell r="F279" t="str">
            <v>SKK  Nguyễn Du</v>
          </cell>
          <cell r="G279" t="str">
            <v>0326680519</v>
          </cell>
          <cell r="H279" t="str">
            <v>A Tuấn</v>
          </cell>
          <cell r="I279" t="str">
            <v>Khách cũ</v>
          </cell>
          <cell r="J279" t="str">
            <v>Đơn bán</v>
          </cell>
          <cell r="K279" t="str">
            <v>SAKUKO840768</v>
          </cell>
          <cell r="L279" t="str">
            <v>THỰC PHẨM</v>
          </cell>
          <cell r="M279" t="str">
            <v>MỲ, MIẾN</v>
          </cell>
          <cell r="N279" t="str">
            <v>MỲ CHẾ BIẾN</v>
          </cell>
          <cell r="O279" t="str">
            <v>154831</v>
          </cell>
          <cell r="P279" t="str">
            <v>8936049051715</v>
          </cell>
          <cell r="Q279" t="str">
            <v>OTOKI- Mì tô Jin sốt tương đen 115g</v>
          </cell>
          <cell r="R279">
            <v>24000</v>
          </cell>
          <cell r="S279">
            <v>1</v>
          </cell>
          <cell r="T279">
            <v>24000</v>
          </cell>
          <cell r="U279">
            <v>0</v>
          </cell>
          <cell r="V279">
            <v>24000</v>
          </cell>
          <cell r="W279" t="str">
            <v>8936049051715</v>
          </cell>
        </row>
        <row r="280">
          <cell r="A280">
            <v>2026</v>
          </cell>
          <cell r="B280">
            <v>7</v>
          </cell>
          <cell r="C280">
            <v>46210</v>
          </cell>
          <cell r="D280" t="str">
            <v>1. SKK store</v>
          </cell>
          <cell r="E280" t="str">
            <v>S1007</v>
          </cell>
          <cell r="F280" t="str">
            <v>SKK  Nguyễn Du</v>
          </cell>
          <cell r="G280" t="str">
            <v>0978561437</v>
          </cell>
          <cell r="H280" t="str">
            <v>Chú Đinh Mạnh Hiển</v>
          </cell>
          <cell r="I280" t="str">
            <v>Khách cũ</v>
          </cell>
          <cell r="J280" t="str">
            <v>Đơn bán</v>
          </cell>
          <cell r="K280" t="str">
            <v>SAKUKO839672</v>
          </cell>
          <cell r="L280" t="str">
            <v>THỰC PHẨM</v>
          </cell>
          <cell r="M280" t="str">
            <v>MỲ, MIẾN</v>
          </cell>
          <cell r="N280" t="str">
            <v>MỲ CHẾ BIẾN</v>
          </cell>
          <cell r="O280" t="str">
            <v>175435</v>
          </cell>
          <cell r="P280" t="str">
            <v>4901726014752</v>
          </cell>
          <cell r="Q280" t="str">
            <v>ITSUKI FOODS- Mì soumen rau củ ngũ sắc320g</v>
          </cell>
          <cell r="R280">
            <v>76000</v>
          </cell>
          <cell r="S280">
            <v>5</v>
          </cell>
          <cell r="T280">
            <v>380000</v>
          </cell>
          <cell r="U280">
            <v>0</v>
          </cell>
          <cell r="V280">
            <v>380000</v>
          </cell>
          <cell r="W280" t="str">
            <v>4901726014752</v>
          </cell>
        </row>
        <row r="281">
          <cell r="A281">
            <v>2026</v>
          </cell>
          <cell r="B281">
            <v>7</v>
          </cell>
          <cell r="C281">
            <v>46210</v>
          </cell>
          <cell r="D281" t="str">
            <v>1. SKK store</v>
          </cell>
          <cell r="E281" t="str">
            <v>S1008</v>
          </cell>
          <cell r="F281" t="str">
            <v>SKK  Hàng Bông</v>
          </cell>
          <cell r="G281" t="str">
            <v>0912250575</v>
          </cell>
          <cell r="H281" t="str">
            <v>cô hạnh</v>
          </cell>
          <cell r="I281" t="str">
            <v>Khách cũ</v>
          </cell>
          <cell r="J281" t="str">
            <v>Đơn bán</v>
          </cell>
          <cell r="K281" t="str">
            <v>SAKUKO839747</v>
          </cell>
          <cell r="L281" t="str">
            <v>CHĂM SÓC SẮC ĐẸP</v>
          </cell>
          <cell r="M281" t="str">
            <v>CHĂM SÓC DA</v>
          </cell>
          <cell r="N281" t="str">
            <v>KEM DƯỠNG</v>
          </cell>
          <cell r="O281" t="str">
            <v>102420</v>
          </cell>
          <cell r="P281" t="str">
            <v>4902468820007</v>
          </cell>
          <cell r="Q281" t="str">
            <v>MEISHOKU- Tinh chất dưỡng ẩm chuyên sâu 30ml</v>
          </cell>
          <cell r="R281">
            <v>555000</v>
          </cell>
          <cell r="S281">
            <v>1</v>
          </cell>
          <cell r="T281">
            <v>555000</v>
          </cell>
          <cell r="U281">
            <v>0</v>
          </cell>
          <cell r="V281">
            <v>555000</v>
          </cell>
          <cell r="W281" t="str">
            <v>4902468820007</v>
          </cell>
        </row>
        <row r="282">
          <cell r="A282">
            <v>2026</v>
          </cell>
          <cell r="B282">
            <v>7</v>
          </cell>
          <cell r="C282">
            <v>46210</v>
          </cell>
          <cell r="D282" t="str">
            <v>1. SKK store</v>
          </cell>
          <cell r="E282" t="str">
            <v>S1008</v>
          </cell>
          <cell r="F282" t="str">
            <v>SKK  Hàng Bông</v>
          </cell>
          <cell r="G282" t="str">
            <v>0915111616</v>
          </cell>
          <cell r="H282" t="str">
            <v>C Chi</v>
          </cell>
          <cell r="I282" t="str">
            <v>Khách cũ</v>
          </cell>
          <cell r="J282" t="str">
            <v>Đơn bán</v>
          </cell>
          <cell r="K282" t="str">
            <v>SAKUKO840009</v>
          </cell>
          <cell r="L282" t="str">
            <v>THỰC PHẨM</v>
          </cell>
          <cell r="M282" t="str">
            <v>MỲ, MIẾN</v>
          </cell>
          <cell r="N282" t="str">
            <v>MỲ ĂN LIỀN</v>
          </cell>
          <cell r="O282" t="str">
            <v>154198</v>
          </cell>
          <cell r="P282" t="str">
            <v>4979397000145</v>
          </cell>
          <cell r="Q282" t="str">
            <v>YAMAMOTO_Mì ramen ăn liền vị miso 90g*5</v>
          </cell>
          <cell r="R282">
            <v>99000</v>
          </cell>
          <cell r="S282">
            <v>1</v>
          </cell>
          <cell r="T282">
            <v>99000</v>
          </cell>
          <cell r="U282">
            <v>0</v>
          </cell>
          <cell r="V282">
            <v>99000</v>
          </cell>
          <cell r="W282" t="str">
            <v>4979397000145</v>
          </cell>
        </row>
        <row r="283">
          <cell r="A283">
            <v>2026</v>
          </cell>
          <cell r="B283">
            <v>7</v>
          </cell>
          <cell r="C283">
            <v>46210</v>
          </cell>
          <cell r="D283" t="str">
            <v>1. SKK store</v>
          </cell>
          <cell r="E283" t="str">
            <v>S1008</v>
          </cell>
          <cell r="F283" t="str">
            <v>SKK  Hàng Bông</v>
          </cell>
          <cell r="G283" t="str">
            <v>0988752119</v>
          </cell>
          <cell r="H283" t="str">
            <v>C Thủy</v>
          </cell>
          <cell r="I283" t="str">
            <v>Khách cũ</v>
          </cell>
          <cell r="J283" t="str">
            <v>Đơn bán</v>
          </cell>
          <cell r="K283" t="str">
            <v>SAKUKO839692</v>
          </cell>
          <cell r="L283" t="str">
            <v>CHĂM SÓC SẮC ĐẸP</v>
          </cell>
          <cell r="M283" t="str">
            <v>CHĂM SÓC DA</v>
          </cell>
          <cell r="N283" t="str">
            <v>KEM DƯỠNG</v>
          </cell>
          <cell r="O283" t="str">
            <v>102416</v>
          </cell>
          <cell r="P283" t="str">
            <v>4902468816017</v>
          </cell>
          <cell r="Q283" t="str">
            <v>MEISHOKU- Kem dưỡng trắng mịn Cvita 45g</v>
          </cell>
          <cell r="R283">
            <v>455000</v>
          </cell>
          <cell r="S283">
            <v>1</v>
          </cell>
          <cell r="T283">
            <v>455000</v>
          </cell>
          <cell r="U283">
            <v>0</v>
          </cell>
          <cell r="V283">
            <v>455000</v>
          </cell>
          <cell r="W283" t="str">
            <v>4902468816017</v>
          </cell>
        </row>
        <row r="284">
          <cell r="A284">
            <v>2026</v>
          </cell>
          <cell r="B284">
            <v>7</v>
          </cell>
          <cell r="C284">
            <v>46210</v>
          </cell>
          <cell r="D284" t="str">
            <v>1. SKK store</v>
          </cell>
          <cell r="E284" t="str">
            <v>S1015</v>
          </cell>
          <cell r="F284" t="str">
            <v>SKK Hàm Nghi</v>
          </cell>
          <cell r="G284" t="str">
            <v>02422409595</v>
          </cell>
          <cell r="H284" t="str">
            <v>klhn</v>
          </cell>
          <cell r="I284" t="str">
            <v>Khách vãng lai</v>
          </cell>
          <cell r="J284" t="str">
            <v>Đơn bán</v>
          </cell>
          <cell r="K284" t="str">
            <v>SAKUKO839554</v>
          </cell>
          <cell r="L284" t="str">
            <v>THỰC PHẨM</v>
          </cell>
          <cell r="M284" t="str">
            <v>MỲ, MIẾN</v>
          </cell>
          <cell r="N284" t="str">
            <v>MỲ ĂN LIỀN</v>
          </cell>
          <cell r="O284" t="str">
            <v>154359</v>
          </cell>
          <cell r="P284" t="str">
            <v>4979397000138</v>
          </cell>
          <cell r="Q284" t="str">
            <v>YAMAMOTO- Mì ramen ăn liền hải sản thịt heo 88g*5</v>
          </cell>
          <cell r="R284">
            <v>99000</v>
          </cell>
          <cell r="S284">
            <v>2</v>
          </cell>
          <cell r="T284">
            <v>198000</v>
          </cell>
          <cell r="U284">
            <v>0</v>
          </cell>
          <cell r="V284">
            <v>198000</v>
          </cell>
          <cell r="W284" t="str">
            <v>4979397000138</v>
          </cell>
        </row>
        <row r="285">
          <cell r="A285">
            <v>2026</v>
          </cell>
          <cell r="B285">
            <v>7</v>
          </cell>
          <cell r="C285">
            <v>46210</v>
          </cell>
          <cell r="D285" t="str">
            <v>1. SKK store</v>
          </cell>
          <cell r="E285" t="str">
            <v>S1015</v>
          </cell>
          <cell r="F285" t="str">
            <v>SKK Hàm Nghi</v>
          </cell>
          <cell r="G285" t="str">
            <v>0352257606</v>
          </cell>
          <cell r="H285" t="str">
            <v>chị ánh</v>
          </cell>
          <cell r="I285" t="str">
            <v>Khách cũ</v>
          </cell>
          <cell r="J285" t="str">
            <v>Đơn bán</v>
          </cell>
          <cell r="K285" t="str">
            <v>SAKUKO839668</v>
          </cell>
          <cell r="L285" t="str">
            <v>CHĂM SÓC SẮC ĐẸP</v>
          </cell>
          <cell r="M285" t="str">
            <v>CHĂM SÓC CƠ THỂ</v>
          </cell>
          <cell r="N285" t="str">
            <v>CHỐNG NẮNG</v>
          </cell>
          <cell r="O285" t="str">
            <v>102422</v>
          </cell>
          <cell r="P285" t="str">
            <v>4902468297151</v>
          </cell>
          <cell r="Q285" t="str">
            <v>MEISHOU- KCN tone hồng cho da nhạy cảm 40g</v>
          </cell>
          <cell r="R285">
            <v>435000</v>
          </cell>
          <cell r="S285">
            <v>1</v>
          </cell>
          <cell r="T285">
            <v>435000</v>
          </cell>
          <cell r="U285">
            <v>0</v>
          </cell>
          <cell r="V285">
            <v>435000</v>
          </cell>
          <cell r="W285" t="str">
            <v>4902468297151</v>
          </cell>
        </row>
        <row r="286">
          <cell r="A286">
            <v>2026</v>
          </cell>
          <cell r="B286">
            <v>7</v>
          </cell>
          <cell r="C286">
            <v>46210</v>
          </cell>
          <cell r="D286" t="str">
            <v>1. SKK store</v>
          </cell>
          <cell r="E286" t="str">
            <v>S1015</v>
          </cell>
          <cell r="F286" t="str">
            <v>SKK Hàm Nghi</v>
          </cell>
          <cell r="G286" t="str">
            <v>0352257606</v>
          </cell>
          <cell r="H286" t="str">
            <v>chị ánh</v>
          </cell>
          <cell r="I286" t="str">
            <v>Khách cũ</v>
          </cell>
          <cell r="J286" t="str">
            <v>Đơn bán</v>
          </cell>
          <cell r="K286" t="str">
            <v>SAKUKO839668</v>
          </cell>
          <cell r="L286" t="str">
            <v>CHĂM SÓC SẮC ĐẸP</v>
          </cell>
          <cell r="M286" t="str">
            <v>CHĂM SÓC DA</v>
          </cell>
          <cell r="N286" t="str">
            <v>CHĂM SÓC DA KHÁC</v>
          </cell>
          <cell r="O286" t="str">
            <v>102413</v>
          </cell>
          <cell r="P286" t="str">
            <v>4902468802171</v>
          </cell>
          <cell r="Q286" t="str">
            <v>MEISHOKU- Toner pad ngừa mụn Bigan (60m)</v>
          </cell>
          <cell r="R286">
            <v>395000</v>
          </cell>
          <cell r="S286">
            <v>1</v>
          </cell>
          <cell r="T286">
            <v>395000</v>
          </cell>
          <cell r="U286">
            <v>50000</v>
          </cell>
          <cell r="V286">
            <v>345000</v>
          </cell>
          <cell r="W286" t="str">
            <v>4902468802171</v>
          </cell>
        </row>
        <row r="287">
          <cell r="A287">
            <v>2026</v>
          </cell>
          <cell r="B287">
            <v>7</v>
          </cell>
          <cell r="C287">
            <v>46210</v>
          </cell>
          <cell r="D287" t="str">
            <v>1. SKK store</v>
          </cell>
          <cell r="E287" t="str">
            <v>S1015</v>
          </cell>
          <cell r="F287" t="str">
            <v>SKK Hàm Nghi</v>
          </cell>
          <cell r="G287" t="str">
            <v>0902345699</v>
          </cell>
          <cell r="H287" t="str">
            <v>Anh Cường</v>
          </cell>
          <cell r="I287" t="str">
            <v>Khách cũ</v>
          </cell>
          <cell r="J287" t="str">
            <v>Đơn bán</v>
          </cell>
          <cell r="K287" t="str">
            <v>SAKUKO840728</v>
          </cell>
          <cell r="L287" t="str">
            <v>THỰC PHẨM</v>
          </cell>
          <cell r="M287" t="str">
            <v>MỲ, MIẾN</v>
          </cell>
          <cell r="N287" t="str">
            <v>MỲ CHẾ BIẾN</v>
          </cell>
          <cell r="O287" t="str">
            <v>175435</v>
          </cell>
          <cell r="P287" t="str">
            <v>4901726014752</v>
          </cell>
          <cell r="Q287" t="str">
            <v>ITSUKI FOODS- Mì soumen rau củ ngũ sắc320g</v>
          </cell>
          <cell r="R287">
            <v>76000</v>
          </cell>
          <cell r="S287">
            <v>1</v>
          </cell>
          <cell r="T287">
            <v>76000</v>
          </cell>
          <cell r="U287">
            <v>0</v>
          </cell>
          <cell r="V287">
            <v>76000</v>
          </cell>
          <cell r="W287" t="str">
            <v>4901726014752</v>
          </cell>
        </row>
        <row r="288">
          <cell r="A288">
            <v>2026</v>
          </cell>
          <cell r="B288">
            <v>7</v>
          </cell>
          <cell r="C288">
            <v>46210</v>
          </cell>
          <cell r="D288" t="str">
            <v>1. SKK store</v>
          </cell>
          <cell r="E288" t="str">
            <v>S1015</v>
          </cell>
          <cell r="F288" t="str">
            <v>SKK Hàm Nghi</v>
          </cell>
          <cell r="G288" t="str">
            <v>0936151386</v>
          </cell>
          <cell r="H288" t="str">
            <v>Cô Nguyễn Thị Hải</v>
          </cell>
          <cell r="I288" t="str">
            <v>Khách cũ</v>
          </cell>
          <cell r="J288" t="str">
            <v>Đơn bán</v>
          </cell>
          <cell r="K288" t="str">
            <v>SAKUKO839902</v>
          </cell>
          <cell r="L288" t="str">
            <v>CHĂM SÓC SẮC ĐẸP</v>
          </cell>
          <cell r="M288" t="str">
            <v>CHĂM SÓC DA</v>
          </cell>
          <cell r="N288" t="str">
            <v>RỬA MẶT</v>
          </cell>
          <cell r="O288" t="str">
            <v>230849</v>
          </cell>
          <cell r="P288" t="str">
            <v>4902806102048</v>
          </cell>
          <cell r="Q288" t="str">
            <v>GATSBY- SRM than hoạt tính sạch sâu 130g</v>
          </cell>
          <cell r="R288">
            <v>125000</v>
          </cell>
          <cell r="S288">
            <v>1</v>
          </cell>
          <cell r="T288">
            <v>125000</v>
          </cell>
          <cell r="U288">
            <v>12500</v>
          </cell>
          <cell r="V288">
            <v>112500</v>
          </cell>
          <cell r="W288" t="str">
            <v>4902806102048</v>
          </cell>
        </row>
        <row r="289">
          <cell r="A289">
            <v>2026</v>
          </cell>
          <cell r="B289">
            <v>7</v>
          </cell>
          <cell r="C289">
            <v>46210</v>
          </cell>
          <cell r="D289" t="str">
            <v>1. SKK store</v>
          </cell>
          <cell r="E289" t="str">
            <v>S1015</v>
          </cell>
          <cell r="F289" t="str">
            <v>SKK Hàm Nghi</v>
          </cell>
          <cell r="G289" t="str">
            <v>0975819098</v>
          </cell>
          <cell r="H289" t="str">
            <v>Chị Thủy</v>
          </cell>
          <cell r="I289" t="str">
            <v>Khách cũ</v>
          </cell>
          <cell r="J289" t="str">
            <v>Đơn bán</v>
          </cell>
          <cell r="K289" t="str">
            <v>SAKUKO840121</v>
          </cell>
          <cell r="L289" t="str">
            <v>THỰC PHẨM</v>
          </cell>
          <cell r="M289" t="str">
            <v>MỲ, MIẾN</v>
          </cell>
          <cell r="N289" t="str">
            <v>MỲ ĂN LIỀN</v>
          </cell>
          <cell r="O289" t="str">
            <v>154196</v>
          </cell>
          <cell r="P289" t="str">
            <v>4979397000152</v>
          </cell>
          <cell r="Q289" t="str">
            <v>YAMAMOTO_Mì xào kiểu Nhật 89g*5</v>
          </cell>
          <cell r="R289">
            <v>99000</v>
          </cell>
          <cell r="S289">
            <v>1</v>
          </cell>
          <cell r="T289">
            <v>99000</v>
          </cell>
          <cell r="U289">
            <v>0</v>
          </cell>
          <cell r="V289">
            <v>99000</v>
          </cell>
          <cell r="W289" t="str">
            <v>4979397000152</v>
          </cell>
        </row>
        <row r="290">
          <cell r="A290">
            <v>2026</v>
          </cell>
          <cell r="B290">
            <v>7</v>
          </cell>
          <cell r="C290">
            <v>46210</v>
          </cell>
          <cell r="D290" t="str">
            <v>1. SKK store</v>
          </cell>
          <cell r="E290" t="str">
            <v>S1015</v>
          </cell>
          <cell r="F290" t="str">
            <v>SKK Hàm Nghi</v>
          </cell>
          <cell r="G290" t="str">
            <v>0983011818</v>
          </cell>
          <cell r="H290" t="str">
            <v>cô hoa</v>
          </cell>
          <cell r="I290" t="str">
            <v>Khách cũ</v>
          </cell>
          <cell r="J290" t="str">
            <v>Đơn bán</v>
          </cell>
          <cell r="K290" t="str">
            <v>SAKUKO840196</v>
          </cell>
          <cell r="L290" t="str">
            <v>THỰC PHẨM</v>
          </cell>
          <cell r="M290" t="str">
            <v>BÁNH KẸO, ĐỒ ĂN VẶT</v>
          </cell>
          <cell r="N290" t="str">
            <v>KẸO CAO SU</v>
          </cell>
          <cell r="O290" t="str">
            <v>231376</v>
          </cell>
          <cell r="P290" t="str">
            <v>4903333228577</v>
          </cell>
          <cell r="Q290" t="str">
            <v>LOTTE-Kẹo cao su tổng hợp 7 loại dạng lọ 133g</v>
          </cell>
          <cell r="R290">
            <v>235000</v>
          </cell>
          <cell r="S290">
            <v>1</v>
          </cell>
          <cell r="T290">
            <v>235000</v>
          </cell>
          <cell r="U290">
            <v>0</v>
          </cell>
          <cell r="V290">
            <v>235000</v>
          </cell>
          <cell r="W290" t="str">
            <v>4903333228577</v>
          </cell>
        </row>
        <row r="291">
          <cell r="A291">
            <v>2026</v>
          </cell>
          <cell r="B291">
            <v>7</v>
          </cell>
          <cell r="C291">
            <v>46210</v>
          </cell>
          <cell r="D291" t="str">
            <v>1. SKK store</v>
          </cell>
          <cell r="E291" t="str">
            <v>S1015</v>
          </cell>
          <cell r="F291" t="str">
            <v>SKK Hàm Nghi</v>
          </cell>
          <cell r="G291" t="str">
            <v>0989116633</v>
          </cell>
          <cell r="H291" t="str">
            <v>chị Huyền</v>
          </cell>
          <cell r="I291" t="str">
            <v>Khách cũ</v>
          </cell>
          <cell r="J291" t="str">
            <v>Đơn bán</v>
          </cell>
          <cell r="K291" t="str">
            <v>SAKUKO840504</v>
          </cell>
          <cell r="L291" t="str">
            <v>THỰC PHẨM</v>
          </cell>
          <cell r="M291" t="str">
            <v>MỲ, MIẾN</v>
          </cell>
          <cell r="N291" t="str">
            <v>MỲ CHẾ BIẾN</v>
          </cell>
          <cell r="O291" t="str">
            <v>154830</v>
          </cell>
          <cell r="P291" t="str">
            <v>8936049051609</v>
          </cell>
          <cell r="Q291" t="str">
            <v>OTOKI- Mì ly Jin sốt tương đen 70g</v>
          </cell>
          <cell r="R291">
            <v>18000</v>
          </cell>
          <cell r="S291">
            <v>2</v>
          </cell>
          <cell r="T291">
            <v>36000</v>
          </cell>
          <cell r="U291">
            <v>0</v>
          </cell>
          <cell r="V291">
            <v>36000</v>
          </cell>
          <cell r="W291" t="str">
            <v>8936049051609</v>
          </cell>
        </row>
        <row r="292">
          <cell r="A292">
            <v>2026</v>
          </cell>
          <cell r="B292">
            <v>7</v>
          </cell>
          <cell r="C292">
            <v>46210</v>
          </cell>
          <cell r="D292" t="str">
            <v>1. SKK store</v>
          </cell>
          <cell r="E292" t="str">
            <v>S1018</v>
          </cell>
          <cell r="F292" t="str">
            <v>SKK Nguyễn Tuân</v>
          </cell>
          <cell r="G292" t="str">
            <v>0966013669</v>
          </cell>
          <cell r="H292" t="str">
            <v>Chú Phong</v>
          </cell>
          <cell r="I292" t="str">
            <v>Khách cũ</v>
          </cell>
          <cell r="J292" t="str">
            <v>Đơn bán</v>
          </cell>
          <cell r="K292" t="str">
            <v>SAKUKO840265</v>
          </cell>
          <cell r="L292" t="str">
            <v>CHĂM SÓC SẮC ĐẸP</v>
          </cell>
          <cell r="M292" t="str">
            <v>CHĂM SÓC DA</v>
          </cell>
          <cell r="N292" t="str">
            <v>RỬA MẶT</v>
          </cell>
          <cell r="O292" t="str">
            <v>102448</v>
          </cell>
          <cell r="P292" t="str">
            <v>4902806470642</v>
          </cell>
          <cell r="Q292" t="str">
            <v>GATSBY- SRM sạch bụi &amp; dầu nhờn 130g</v>
          </cell>
          <cell r="R292">
            <v>100000</v>
          </cell>
          <cell r="S292">
            <v>1</v>
          </cell>
          <cell r="T292">
            <v>100000</v>
          </cell>
          <cell r="U292">
            <v>10000</v>
          </cell>
          <cell r="V292">
            <v>90000</v>
          </cell>
          <cell r="W292" t="str">
            <v>4902806470642</v>
          </cell>
        </row>
        <row r="293">
          <cell r="A293">
            <v>2026</v>
          </cell>
          <cell r="B293">
            <v>7</v>
          </cell>
          <cell r="C293">
            <v>46210</v>
          </cell>
          <cell r="D293" t="str">
            <v>1. SKK store</v>
          </cell>
          <cell r="E293" t="str">
            <v>S1018</v>
          </cell>
          <cell r="F293" t="str">
            <v>SKK Nguyễn Tuân</v>
          </cell>
          <cell r="G293" t="str">
            <v>0975968529</v>
          </cell>
          <cell r="H293" t="str">
            <v>chị Hương</v>
          </cell>
          <cell r="I293" t="str">
            <v>Khách cũ</v>
          </cell>
          <cell r="J293" t="str">
            <v>Đơn bán</v>
          </cell>
          <cell r="K293" t="str">
            <v>SAKUKO840148</v>
          </cell>
          <cell r="L293" t="str">
            <v>THỰC PHẨM</v>
          </cell>
          <cell r="M293" t="str">
            <v>MỲ, MIẾN</v>
          </cell>
          <cell r="N293" t="str">
            <v>MỲ CHẾ BIẾN</v>
          </cell>
          <cell r="O293" t="str">
            <v>175435</v>
          </cell>
          <cell r="P293" t="str">
            <v>4901726014752</v>
          </cell>
          <cell r="Q293" t="str">
            <v>ITSUKI FOODS- Mì soumen rau củ ngũ sắc320g</v>
          </cell>
          <cell r="R293">
            <v>76000</v>
          </cell>
          <cell r="S293">
            <v>2</v>
          </cell>
          <cell r="T293">
            <v>152000</v>
          </cell>
          <cell r="U293">
            <v>0</v>
          </cell>
          <cell r="V293">
            <v>152000</v>
          </cell>
          <cell r="W293" t="str">
            <v>4901726014752</v>
          </cell>
        </row>
        <row r="294">
          <cell r="A294">
            <v>2026</v>
          </cell>
          <cell r="B294">
            <v>7</v>
          </cell>
          <cell r="C294">
            <v>46209</v>
          </cell>
          <cell r="D294" t="str">
            <v>1. SKK store</v>
          </cell>
          <cell r="E294" t="str">
            <v>S1005</v>
          </cell>
          <cell r="F294" t="str">
            <v>SKK  Thái Hà</v>
          </cell>
          <cell r="G294" t="str">
            <v>0966743103</v>
          </cell>
          <cell r="H294" t="str">
            <v>c Hoàng Anh</v>
          </cell>
          <cell r="I294" t="str">
            <v>Khách cũ</v>
          </cell>
          <cell r="J294" t="str">
            <v>Đơn bán</v>
          </cell>
          <cell r="K294" t="str">
            <v>SAKUKO838427</v>
          </cell>
          <cell r="L294" t="str">
            <v>THỰC PHẨM</v>
          </cell>
          <cell r="M294" t="str">
            <v>MỲ, MIẾN</v>
          </cell>
          <cell r="N294" t="str">
            <v>MỲ CHẾ BIẾN</v>
          </cell>
          <cell r="O294" t="str">
            <v>174948</v>
          </cell>
          <cell r="P294" t="str">
            <v>4582114354119</v>
          </cell>
          <cell r="Q294" t="str">
            <v>SANUKISHISEI- Mì soumen 300g</v>
          </cell>
          <cell r="R294">
            <v>35000</v>
          </cell>
          <cell r="S294">
            <v>1</v>
          </cell>
          <cell r="T294">
            <v>35000</v>
          </cell>
          <cell r="U294">
            <v>0</v>
          </cell>
          <cell r="V294">
            <v>35000</v>
          </cell>
          <cell r="W294" t="str">
            <v>4582114354119</v>
          </cell>
        </row>
        <row r="295">
          <cell r="A295">
            <v>2026</v>
          </cell>
          <cell r="B295">
            <v>7</v>
          </cell>
          <cell r="C295">
            <v>46209</v>
          </cell>
          <cell r="D295" t="str">
            <v>1. SKK store</v>
          </cell>
          <cell r="E295" t="str">
            <v>S1005</v>
          </cell>
          <cell r="F295" t="str">
            <v>SKK  Thái Hà</v>
          </cell>
          <cell r="G295" t="str">
            <v>0983303138</v>
          </cell>
          <cell r="H295" t="str">
            <v>cô trần thị thanh</v>
          </cell>
          <cell r="I295" t="str">
            <v>Khách cũ</v>
          </cell>
          <cell r="J295" t="str">
            <v>Đơn bán</v>
          </cell>
          <cell r="K295" t="str">
            <v>SAKUKO839257</v>
          </cell>
          <cell r="L295" t="str">
            <v>CHĂM SÓC SẮC ĐẸP</v>
          </cell>
          <cell r="M295" t="str">
            <v>CHĂM SÓC DA</v>
          </cell>
          <cell r="N295" t="str">
            <v>CHĂM SÓC DA KHÁC</v>
          </cell>
          <cell r="O295" t="str">
            <v>102387</v>
          </cell>
          <cell r="P295" t="str">
            <v>8935006542907</v>
          </cell>
          <cell r="Q295" t="str">
            <v>HADA LABO- Bộ sản phẩm dưỡng ẩm (travel kit)47g</v>
          </cell>
          <cell r="R295">
            <v>129000</v>
          </cell>
          <cell r="S295">
            <v>1</v>
          </cell>
          <cell r="T295">
            <v>129000</v>
          </cell>
          <cell r="U295">
            <v>0</v>
          </cell>
          <cell r="V295">
            <v>129000</v>
          </cell>
          <cell r="W295" t="str">
            <v>8935006542907</v>
          </cell>
        </row>
        <row r="296">
          <cell r="A296">
            <v>2026</v>
          </cell>
          <cell r="B296">
            <v>7</v>
          </cell>
          <cell r="C296">
            <v>46209</v>
          </cell>
          <cell r="D296" t="str">
            <v>1. SKK store</v>
          </cell>
          <cell r="E296" t="str">
            <v>S1006</v>
          </cell>
          <cell r="F296" t="str">
            <v>SKK Trần Đăng Ninh</v>
          </cell>
          <cell r="G296" t="str">
            <v>0388195983</v>
          </cell>
          <cell r="H296" t="str">
            <v>chị Nụ</v>
          </cell>
          <cell r="I296" t="str">
            <v>Khách cũ</v>
          </cell>
          <cell r="J296" t="str">
            <v>Đơn bán</v>
          </cell>
          <cell r="K296" t="str">
            <v>SAKUKO839270</v>
          </cell>
          <cell r="L296" t="str">
            <v>THỰC PHẨM</v>
          </cell>
          <cell r="M296" t="str">
            <v>MỲ, MIẾN</v>
          </cell>
          <cell r="N296" t="str">
            <v>MỲ ĂN LIỀN</v>
          </cell>
          <cell r="O296" t="str">
            <v>155158</v>
          </cell>
          <cell r="P296" t="str">
            <v>8936049051593</v>
          </cell>
          <cell r="Q296" t="str">
            <v>OTOKI- Mì Jin không cay ly 65g</v>
          </cell>
          <cell r="R296">
            <v>18000</v>
          </cell>
          <cell r="S296">
            <v>1</v>
          </cell>
          <cell r="T296">
            <v>18000</v>
          </cell>
          <cell r="U296">
            <v>0</v>
          </cell>
          <cell r="V296">
            <v>18000</v>
          </cell>
          <cell r="W296" t="str">
            <v>8936049051593</v>
          </cell>
        </row>
        <row r="297">
          <cell r="A297">
            <v>2026</v>
          </cell>
          <cell r="B297">
            <v>7</v>
          </cell>
          <cell r="C297">
            <v>46209</v>
          </cell>
          <cell r="D297" t="str">
            <v>1. SKK store</v>
          </cell>
          <cell r="E297" t="str">
            <v>S1006</v>
          </cell>
          <cell r="F297" t="str">
            <v>SKK Trần Đăng Ninh</v>
          </cell>
          <cell r="G297" t="str">
            <v>0388195983</v>
          </cell>
          <cell r="H297" t="str">
            <v>chị Nụ</v>
          </cell>
          <cell r="I297" t="str">
            <v>Khách cũ</v>
          </cell>
          <cell r="J297" t="str">
            <v>Đơn bán</v>
          </cell>
          <cell r="K297" t="str">
            <v>SAKUKO839270</v>
          </cell>
          <cell r="L297" t="str">
            <v>THỰC PHẨM</v>
          </cell>
          <cell r="M297" t="str">
            <v>MỲ, MIẾN</v>
          </cell>
          <cell r="N297" t="str">
            <v>MỲ ĂN LIỀN</v>
          </cell>
          <cell r="O297" t="str">
            <v>155159</v>
          </cell>
          <cell r="P297" t="str">
            <v>8936049051623</v>
          </cell>
          <cell r="Q297" t="str">
            <v>OTOKI- Mì kimchi ly 62g</v>
          </cell>
          <cell r="R297">
            <v>16000</v>
          </cell>
          <cell r="S297">
            <v>2</v>
          </cell>
          <cell r="T297">
            <v>32000</v>
          </cell>
          <cell r="U297">
            <v>0</v>
          </cell>
          <cell r="V297">
            <v>32000</v>
          </cell>
          <cell r="W297" t="str">
            <v>8936049051623</v>
          </cell>
        </row>
        <row r="298">
          <cell r="A298">
            <v>2026</v>
          </cell>
          <cell r="B298">
            <v>7</v>
          </cell>
          <cell r="C298">
            <v>46209</v>
          </cell>
          <cell r="D298" t="str">
            <v>1. SKK store</v>
          </cell>
          <cell r="E298" t="str">
            <v>S1006</v>
          </cell>
          <cell r="F298" t="str">
            <v>SKK Trần Đăng Ninh</v>
          </cell>
          <cell r="G298" t="str">
            <v>0388195983</v>
          </cell>
          <cell r="H298" t="str">
            <v>chị Nụ</v>
          </cell>
          <cell r="I298" t="str">
            <v>Khách cũ</v>
          </cell>
          <cell r="J298" t="str">
            <v>Đơn bán</v>
          </cell>
          <cell r="K298" t="str">
            <v>SAKUKO839270</v>
          </cell>
          <cell r="L298" t="str">
            <v>THỰC PHẨM</v>
          </cell>
          <cell r="M298" t="str">
            <v>MỲ, MIẾN</v>
          </cell>
          <cell r="N298" t="str">
            <v>MỲ ĂN LIỀN</v>
          </cell>
          <cell r="O298" t="str">
            <v>155160</v>
          </cell>
          <cell r="P298" t="str">
            <v>8936049051630</v>
          </cell>
          <cell r="Q298" t="str">
            <v>OTOKI- Mì bò hầm vị cay ly 62g</v>
          </cell>
          <cell r="R298">
            <v>16000</v>
          </cell>
          <cell r="S298">
            <v>1</v>
          </cell>
          <cell r="T298">
            <v>16000</v>
          </cell>
          <cell r="U298">
            <v>0</v>
          </cell>
          <cell r="V298">
            <v>16000</v>
          </cell>
          <cell r="W298" t="str">
            <v>8936049051630</v>
          </cell>
        </row>
        <row r="299">
          <cell r="A299">
            <v>2026</v>
          </cell>
          <cell r="B299">
            <v>7</v>
          </cell>
          <cell r="C299">
            <v>46209</v>
          </cell>
          <cell r="D299" t="str">
            <v>1. SKK store</v>
          </cell>
          <cell r="E299" t="str">
            <v>S1006</v>
          </cell>
          <cell r="F299" t="str">
            <v>SKK Trần Đăng Ninh</v>
          </cell>
          <cell r="G299" t="str">
            <v>0962631611</v>
          </cell>
          <cell r="H299" t="str">
            <v>cô hoa</v>
          </cell>
          <cell r="I299" t="str">
            <v>Khách cũ</v>
          </cell>
          <cell r="J299" t="str">
            <v>Đơn bán</v>
          </cell>
          <cell r="K299" t="str">
            <v>SAKUKO838968</v>
          </cell>
          <cell r="L299" t="str">
            <v>THỰC PHẨM</v>
          </cell>
          <cell r="M299" t="str">
            <v>MỲ, MIẾN</v>
          </cell>
          <cell r="N299" t="str">
            <v>MỲ CHẾ BIẾN</v>
          </cell>
          <cell r="O299" t="str">
            <v>175435</v>
          </cell>
          <cell r="P299" t="str">
            <v>4901726014752</v>
          </cell>
          <cell r="Q299" t="str">
            <v>ITSUKI FOODS- Mì soumen rau củ ngũ sắc320g</v>
          </cell>
          <cell r="R299">
            <v>76000</v>
          </cell>
          <cell r="S299">
            <v>4</v>
          </cell>
          <cell r="T299">
            <v>304000</v>
          </cell>
          <cell r="U299">
            <v>0</v>
          </cell>
          <cell r="V299">
            <v>304000</v>
          </cell>
          <cell r="W299" t="str">
            <v>4901726014752</v>
          </cell>
        </row>
        <row r="300">
          <cell r="A300">
            <v>2026</v>
          </cell>
          <cell r="B300">
            <v>7</v>
          </cell>
          <cell r="C300">
            <v>46209</v>
          </cell>
          <cell r="D300" t="str">
            <v>1. SKK store</v>
          </cell>
          <cell r="E300" t="str">
            <v>S1006</v>
          </cell>
          <cell r="F300" t="str">
            <v>SKK Trần Đăng Ninh</v>
          </cell>
          <cell r="G300" t="str">
            <v>0975543984</v>
          </cell>
          <cell r="H300" t="str">
            <v>Chị Phan Thị Minh Hằng</v>
          </cell>
          <cell r="I300" t="str">
            <v>Khách cũ</v>
          </cell>
          <cell r="J300" t="str">
            <v>Đơn bán</v>
          </cell>
          <cell r="K300" t="str">
            <v>SAKUKO838674</v>
          </cell>
          <cell r="L300" t="str">
            <v>CHĂM SÓC SẮC ĐẸP</v>
          </cell>
          <cell r="M300" t="str">
            <v>CHĂM SÓC DA</v>
          </cell>
          <cell r="N300" t="str">
            <v>KEM DƯỠNG</v>
          </cell>
          <cell r="O300" t="str">
            <v>102384</v>
          </cell>
          <cell r="P300" t="str">
            <v>4902468820014</v>
          </cell>
          <cell r="Q300" t="str">
            <v>MEISHOKU- Kem gel dưỡng ẩm phục hồi chuyên sâu 50g</v>
          </cell>
          <cell r="R300">
            <v>575000</v>
          </cell>
          <cell r="S300">
            <v>1</v>
          </cell>
          <cell r="T300">
            <v>575000</v>
          </cell>
          <cell r="U300">
            <v>0</v>
          </cell>
          <cell r="V300">
            <v>575000</v>
          </cell>
          <cell r="W300" t="str">
            <v>4902468820014</v>
          </cell>
        </row>
        <row r="301">
          <cell r="A301">
            <v>2026</v>
          </cell>
          <cell r="B301">
            <v>7</v>
          </cell>
          <cell r="C301">
            <v>46209</v>
          </cell>
          <cell r="D301" t="str">
            <v>1. SKK store</v>
          </cell>
          <cell r="E301" t="str">
            <v>S1006</v>
          </cell>
          <cell r="F301" t="str">
            <v>SKK Trần Đăng Ninh</v>
          </cell>
          <cell r="G301" t="str">
            <v>0977216968</v>
          </cell>
          <cell r="H301" t="str">
            <v>a Cường</v>
          </cell>
          <cell r="I301" t="str">
            <v>Khách cũ</v>
          </cell>
          <cell r="J301" t="str">
            <v>Đơn bán</v>
          </cell>
          <cell r="K301" t="str">
            <v>SAKUKO838684</v>
          </cell>
          <cell r="L301" t="str">
            <v>CHĂM SÓC SẮC ĐẸP</v>
          </cell>
          <cell r="M301" t="str">
            <v>CHĂM SÓC DA</v>
          </cell>
          <cell r="N301" t="str">
            <v>RỬA MẶT</v>
          </cell>
          <cell r="O301" t="str">
            <v>102448</v>
          </cell>
          <cell r="P301" t="str">
            <v>4902806470642</v>
          </cell>
          <cell r="Q301" t="str">
            <v>GATSBY- SRM sạch bụi &amp; dầu nhờn 130g</v>
          </cell>
          <cell r="R301">
            <v>100000</v>
          </cell>
          <cell r="S301">
            <v>1</v>
          </cell>
          <cell r="T301">
            <v>100000</v>
          </cell>
          <cell r="U301">
            <v>10000</v>
          </cell>
          <cell r="V301">
            <v>90000</v>
          </cell>
          <cell r="W301" t="str">
            <v>4902806470642</v>
          </cell>
        </row>
        <row r="302">
          <cell r="A302">
            <v>2026</v>
          </cell>
          <cell r="B302">
            <v>7</v>
          </cell>
          <cell r="C302">
            <v>46209</v>
          </cell>
          <cell r="D302" t="str">
            <v>1. SKK store</v>
          </cell>
          <cell r="E302" t="str">
            <v>S1007</v>
          </cell>
          <cell r="F302" t="str">
            <v>SKK  Nguyễn Du</v>
          </cell>
          <cell r="G302" t="str">
            <v>0862954339</v>
          </cell>
          <cell r="H302" t="str">
            <v>Klnd</v>
          </cell>
          <cell r="I302" t="str">
            <v>Khách vãng lai</v>
          </cell>
          <cell r="J302" t="str">
            <v>Đơn bán</v>
          </cell>
          <cell r="K302" t="str">
            <v>SAKUKO838572</v>
          </cell>
          <cell r="L302" t="str">
            <v>ĐỒ CHO MẸ BÉ</v>
          </cell>
          <cell r="M302" t="str">
            <v>GIẤY ƯỚT</v>
          </cell>
          <cell r="N302" t="str">
            <v>GIẤY ƯỚT CHO BÉ</v>
          </cell>
          <cell r="O302" t="str">
            <v>121665</v>
          </cell>
          <cell r="P302" t="str">
            <v>8934755035289</v>
          </cell>
          <cell r="Q302" t="str">
            <v>BOBBY- Khăn ướt em bé không mùi 100 miếng</v>
          </cell>
          <cell r="R302">
            <v>46000</v>
          </cell>
          <cell r="S302">
            <v>1</v>
          </cell>
          <cell r="T302">
            <v>46000</v>
          </cell>
          <cell r="U302">
            <v>0</v>
          </cell>
          <cell r="V302">
            <v>46000</v>
          </cell>
          <cell r="W302" t="str">
            <v>8934755035289</v>
          </cell>
        </row>
        <row r="303">
          <cell r="A303">
            <v>2026</v>
          </cell>
          <cell r="B303">
            <v>7</v>
          </cell>
          <cell r="C303">
            <v>46209</v>
          </cell>
          <cell r="D303" t="str">
            <v>1. SKK store</v>
          </cell>
          <cell r="E303" t="str">
            <v>S1008</v>
          </cell>
          <cell r="F303" t="str">
            <v>SKK  Hàng Bông</v>
          </cell>
          <cell r="G303" t="str">
            <v>02466810202</v>
          </cell>
          <cell r="H303" t="str">
            <v>KH Tây</v>
          </cell>
          <cell r="I303" t="str">
            <v>Khách vãng lai</v>
          </cell>
          <cell r="J303" t="str">
            <v>Đơn bán</v>
          </cell>
          <cell r="K303" t="str">
            <v>SAKUKO839066</v>
          </cell>
          <cell r="L303" t="str">
            <v>THỰC PHẨM</v>
          </cell>
          <cell r="M303" t="str">
            <v>BÁNH KẸO, ĐỒ ĂN VẶT</v>
          </cell>
          <cell r="N303" t="str">
            <v>KẸO CAO SU</v>
          </cell>
          <cell r="O303" t="str">
            <v>154105</v>
          </cell>
          <cell r="P303" t="str">
            <v>4547894156612</v>
          </cell>
          <cell r="Q303" t="str">
            <v>MONDELEZ JAPAN - Kẹo cao su 112g</v>
          </cell>
          <cell r="R303">
            <v>235000</v>
          </cell>
          <cell r="S303">
            <v>1</v>
          </cell>
          <cell r="T303">
            <v>235000</v>
          </cell>
          <cell r="U303">
            <v>0</v>
          </cell>
          <cell r="V303">
            <v>235000</v>
          </cell>
          <cell r="W303" t="str">
            <v>4547894156612</v>
          </cell>
        </row>
        <row r="304">
          <cell r="A304">
            <v>2026</v>
          </cell>
          <cell r="B304">
            <v>7</v>
          </cell>
          <cell r="C304">
            <v>46209</v>
          </cell>
          <cell r="D304" t="str">
            <v>1. SKK store</v>
          </cell>
          <cell r="E304" t="str">
            <v>S1008</v>
          </cell>
          <cell r="F304" t="str">
            <v>SKK  Hàng Bông</v>
          </cell>
          <cell r="G304" t="str">
            <v>02466810202</v>
          </cell>
          <cell r="H304" t="str">
            <v>KH Tây</v>
          </cell>
          <cell r="I304" t="str">
            <v>Khách vãng lai</v>
          </cell>
          <cell r="J304" t="str">
            <v>Đơn bán</v>
          </cell>
          <cell r="K304" t="str">
            <v>SAKUKO839066</v>
          </cell>
          <cell r="L304" t="str">
            <v>THỰC PHẨM</v>
          </cell>
          <cell r="M304" t="str">
            <v>BÁNH KẸO, ĐỒ ĂN VẶT</v>
          </cell>
          <cell r="N304" t="str">
            <v>KẸO CAO SU</v>
          </cell>
          <cell r="O304" t="str">
            <v>154653</v>
          </cell>
          <cell r="P304" t="str">
            <v>4547894156650</v>
          </cell>
          <cell r="Q304" t="str">
            <v>MONDELEZ JAPAN - Kẹo cao su vị bưởi hồng 130g</v>
          </cell>
          <cell r="R304">
            <v>235000</v>
          </cell>
          <cell r="S304">
            <v>1</v>
          </cell>
          <cell r="T304">
            <v>235000</v>
          </cell>
          <cell r="U304">
            <v>0</v>
          </cell>
          <cell r="V304">
            <v>235000</v>
          </cell>
          <cell r="W304" t="str">
            <v>4547894156650</v>
          </cell>
        </row>
        <row r="305">
          <cell r="A305">
            <v>2026</v>
          </cell>
          <cell r="B305">
            <v>7</v>
          </cell>
          <cell r="C305">
            <v>46209</v>
          </cell>
          <cell r="D305" t="str">
            <v>1. SKK store</v>
          </cell>
          <cell r="E305" t="str">
            <v>S1015</v>
          </cell>
          <cell r="F305" t="str">
            <v>SKK Hàm Nghi</v>
          </cell>
          <cell r="G305" t="str">
            <v>0868912389</v>
          </cell>
          <cell r="H305" t="str">
            <v>Chị Trâm</v>
          </cell>
          <cell r="I305" t="str">
            <v>Khách cũ</v>
          </cell>
          <cell r="J305" t="str">
            <v>Đơn bán</v>
          </cell>
          <cell r="K305" t="str">
            <v>SAKUKO838464</v>
          </cell>
          <cell r="L305" t="str">
            <v>CHĂM SÓC SẮC ĐẸP</v>
          </cell>
          <cell r="M305" t="str">
            <v>CHĂM SÓC DA</v>
          </cell>
          <cell r="N305" t="str">
            <v>KEM DƯỠNG</v>
          </cell>
          <cell r="O305" t="str">
            <v>102420</v>
          </cell>
          <cell r="P305" t="str">
            <v>4902468820007</v>
          </cell>
          <cell r="Q305" t="str">
            <v>MEISHOKU- Tinh chất dưỡng ẩm chuyên sâu 30ml</v>
          </cell>
          <cell r="R305">
            <v>555000</v>
          </cell>
          <cell r="S305">
            <v>1</v>
          </cell>
          <cell r="T305">
            <v>555000</v>
          </cell>
          <cell r="U305">
            <v>0</v>
          </cell>
          <cell r="V305">
            <v>555000</v>
          </cell>
          <cell r="W305" t="str">
            <v>4902468820007</v>
          </cell>
        </row>
        <row r="306">
          <cell r="A306">
            <v>2026</v>
          </cell>
          <cell r="B306">
            <v>7</v>
          </cell>
          <cell r="C306">
            <v>46209</v>
          </cell>
          <cell r="D306" t="str">
            <v>1. SKK store</v>
          </cell>
          <cell r="E306" t="str">
            <v>S1015</v>
          </cell>
          <cell r="F306" t="str">
            <v>SKK Hàm Nghi</v>
          </cell>
          <cell r="G306" t="str">
            <v>0936145818</v>
          </cell>
          <cell r="H306" t="str">
            <v>chị linh</v>
          </cell>
          <cell r="I306" t="str">
            <v>Khách cũ</v>
          </cell>
          <cell r="J306" t="str">
            <v>Đơn bán</v>
          </cell>
          <cell r="K306" t="str">
            <v>SAKUKO839280</v>
          </cell>
          <cell r="L306" t="str">
            <v>CHĂM SÓC SẮC ĐẸP</v>
          </cell>
          <cell r="M306" t="str">
            <v>CHĂM SÓC DA</v>
          </cell>
          <cell r="N306" t="str">
            <v>RỬA MẶT</v>
          </cell>
          <cell r="O306" t="str">
            <v>102412</v>
          </cell>
          <cell r="P306" t="str">
            <v>4902468802126</v>
          </cell>
          <cell r="Q306" t="str">
            <v>MEISHOKU- SRM ngăn ngừa mụn Bigan 80g</v>
          </cell>
          <cell r="R306">
            <v>255000</v>
          </cell>
          <cell r="S306">
            <v>1</v>
          </cell>
          <cell r="T306">
            <v>255000</v>
          </cell>
          <cell r="U306">
            <v>0</v>
          </cell>
          <cell r="V306">
            <v>255000</v>
          </cell>
          <cell r="W306" t="str">
            <v>4902468802126</v>
          </cell>
        </row>
        <row r="307">
          <cell r="A307">
            <v>2026</v>
          </cell>
          <cell r="B307">
            <v>7</v>
          </cell>
          <cell r="C307">
            <v>46209</v>
          </cell>
          <cell r="D307" t="str">
            <v>1. SKK store</v>
          </cell>
          <cell r="E307" t="str">
            <v>S1015</v>
          </cell>
          <cell r="F307" t="str">
            <v>SKK Hàm Nghi</v>
          </cell>
          <cell r="G307" t="str">
            <v>0975261168</v>
          </cell>
          <cell r="H307" t="str">
            <v>Anh Hạnh</v>
          </cell>
          <cell r="I307" t="str">
            <v>Khách cũ</v>
          </cell>
          <cell r="J307" t="str">
            <v>Đơn bán</v>
          </cell>
          <cell r="K307" t="str">
            <v>SAKUKO839095</v>
          </cell>
          <cell r="L307" t="str">
            <v>CHĂM SÓC SẮC ĐẸP</v>
          </cell>
          <cell r="M307" t="str">
            <v>CHĂM SÓC DA</v>
          </cell>
          <cell r="N307" t="str">
            <v>RỬA MẶT</v>
          </cell>
          <cell r="O307" t="str">
            <v>102386</v>
          </cell>
          <cell r="P307" t="str">
            <v>4902468816062</v>
          </cell>
          <cell r="Q307" t="str">
            <v>MEISHOKU- Sữa rửa mặt sáng da Cvita 100g</v>
          </cell>
          <cell r="R307">
            <v>290000</v>
          </cell>
          <cell r="S307">
            <v>1</v>
          </cell>
          <cell r="T307">
            <v>290000</v>
          </cell>
          <cell r="U307">
            <v>0</v>
          </cell>
          <cell r="V307">
            <v>290000</v>
          </cell>
          <cell r="W307" t="str">
            <v>4902468816062</v>
          </cell>
        </row>
        <row r="308">
          <cell r="A308">
            <v>2026</v>
          </cell>
          <cell r="B308">
            <v>7</v>
          </cell>
          <cell r="C308">
            <v>46209</v>
          </cell>
          <cell r="D308" t="str">
            <v>1. SKK store</v>
          </cell>
          <cell r="E308" t="str">
            <v>S1015</v>
          </cell>
          <cell r="F308" t="str">
            <v>SKK Hàm Nghi</v>
          </cell>
          <cell r="G308" t="str">
            <v>0989209808</v>
          </cell>
          <cell r="H308" t="str">
            <v>CHỊ HẢI</v>
          </cell>
          <cell r="I308" t="str">
            <v>Khách cũ</v>
          </cell>
          <cell r="J308" t="str">
            <v>Đơn bán</v>
          </cell>
          <cell r="K308" t="str">
            <v>SAKUKO839458</v>
          </cell>
          <cell r="L308" t="str">
            <v>NHÀ CỬA ĐỜI SỐNG</v>
          </cell>
          <cell r="M308" t="str">
            <v>KHĂN</v>
          </cell>
          <cell r="N308" t="str">
            <v>KHĂN MẶT</v>
          </cell>
          <cell r="O308" t="str">
            <v>102390</v>
          </cell>
          <cell r="P308" t="str">
            <v>4906327905980</v>
          </cell>
          <cell r="Q308" t="str">
            <v>KOMODA - Khăn mặt khô dùng 1 lần 46m 20x20cm</v>
          </cell>
          <cell r="R308">
            <v>52000</v>
          </cell>
          <cell r="S308">
            <v>1</v>
          </cell>
          <cell r="T308">
            <v>52000</v>
          </cell>
          <cell r="U308">
            <v>0</v>
          </cell>
          <cell r="V308">
            <v>52000</v>
          </cell>
          <cell r="W308" t="str">
            <v>4906327905980</v>
          </cell>
        </row>
        <row r="309">
          <cell r="A309">
            <v>2026</v>
          </cell>
          <cell r="B309">
            <v>7</v>
          </cell>
          <cell r="C309">
            <v>46209</v>
          </cell>
          <cell r="D309" t="str">
            <v>1. SKK store</v>
          </cell>
          <cell r="E309" t="str">
            <v>S1018</v>
          </cell>
          <cell r="F309" t="str">
            <v>SKK Nguyễn Tuân</v>
          </cell>
          <cell r="G309" t="str">
            <v>02422174499</v>
          </cell>
          <cell r="H309" t="str">
            <v>klnt</v>
          </cell>
          <cell r="I309" t="str">
            <v>Khách vãng lai</v>
          </cell>
          <cell r="J309" t="str">
            <v>Đơn bán</v>
          </cell>
          <cell r="K309" t="str">
            <v>SAKUKO838617</v>
          </cell>
          <cell r="L309" t="str">
            <v>CHĂM SÓC SẮC ĐẸP</v>
          </cell>
          <cell r="M309" t="str">
            <v>CHĂM SÓC DA</v>
          </cell>
          <cell r="N309" t="str">
            <v>CHĂM SÓC DA KHÁC</v>
          </cell>
          <cell r="O309" t="str">
            <v>102388</v>
          </cell>
          <cell r="P309" t="str">
            <v>8935006542914</v>
          </cell>
          <cell r="Q309" t="str">
            <v>HADA LABO- Bộ sản phẩm dưỡng trắng (travel kit)47g</v>
          </cell>
          <cell r="R309">
            <v>135000</v>
          </cell>
          <cell r="S309">
            <v>1</v>
          </cell>
          <cell r="T309">
            <v>135000</v>
          </cell>
          <cell r="U309">
            <v>0</v>
          </cell>
          <cell r="V309">
            <v>135000</v>
          </cell>
          <cell r="W309" t="str">
            <v>8935006542914</v>
          </cell>
        </row>
        <row r="310">
          <cell r="A310">
            <v>2026</v>
          </cell>
          <cell r="B310">
            <v>7</v>
          </cell>
          <cell r="C310">
            <v>46209</v>
          </cell>
          <cell r="D310" t="str">
            <v>1. SKK store</v>
          </cell>
          <cell r="E310" t="str">
            <v>S1018</v>
          </cell>
          <cell r="F310" t="str">
            <v>SKK Nguyễn Tuân</v>
          </cell>
          <cell r="G310" t="str">
            <v>0916982509</v>
          </cell>
          <cell r="H310" t="str">
            <v>chị Phương</v>
          </cell>
          <cell r="I310" t="str">
            <v>Khách cũ</v>
          </cell>
          <cell r="J310" t="str">
            <v>Đơn bán</v>
          </cell>
          <cell r="K310" t="str">
            <v>SAKUKO838863</v>
          </cell>
          <cell r="L310" t="str">
            <v>THỰC PHẨM</v>
          </cell>
          <cell r="M310" t="str">
            <v>MỲ, MIẾN</v>
          </cell>
          <cell r="N310" t="str">
            <v>MỲ ĂN LIỀN</v>
          </cell>
          <cell r="O310" t="str">
            <v>154198</v>
          </cell>
          <cell r="P310" t="str">
            <v>4979397000145</v>
          </cell>
          <cell r="Q310" t="str">
            <v>YAMAMOTO_Mì ramen ăn liền vị miso 90g*5</v>
          </cell>
          <cell r="R310">
            <v>99000</v>
          </cell>
          <cell r="S310">
            <v>1</v>
          </cell>
          <cell r="T310">
            <v>99000</v>
          </cell>
          <cell r="U310">
            <v>0</v>
          </cell>
          <cell r="V310">
            <v>99000</v>
          </cell>
          <cell r="W310" t="str">
            <v>4979397000145</v>
          </cell>
        </row>
        <row r="311">
          <cell r="A311">
            <v>2026</v>
          </cell>
          <cell r="B311">
            <v>7</v>
          </cell>
          <cell r="C311">
            <v>46209</v>
          </cell>
          <cell r="D311" t="str">
            <v>1. SKK store</v>
          </cell>
          <cell r="E311" t="str">
            <v>S1025</v>
          </cell>
          <cell r="F311" t="str">
            <v>SKK T6 Time City</v>
          </cell>
          <cell r="G311" t="str">
            <v>0359111862</v>
          </cell>
          <cell r="H311" t="str">
            <v>Cô Thúy</v>
          </cell>
          <cell r="I311" t="str">
            <v>Khách cũ</v>
          </cell>
          <cell r="J311" t="str">
            <v>Đơn bán</v>
          </cell>
          <cell r="K311" t="str">
            <v>SAKUKO838586</v>
          </cell>
          <cell r="L311" t="str">
            <v>CHĂM SÓC SẮC ĐẸP</v>
          </cell>
          <cell r="M311" t="str">
            <v>CHĂM SÓC TÓC</v>
          </cell>
          <cell r="N311" t="str">
            <v>TẠO KIỂU TÓC</v>
          </cell>
          <cell r="O311" t="str">
            <v>100160</v>
          </cell>
          <cell r="P311" t="str">
            <v>45131677</v>
          </cell>
          <cell r="Q311" t="str">
            <v>GATSBY- Sáp vuốt tóc giữ nếp 80g</v>
          </cell>
          <cell r="R311">
            <v>150000</v>
          </cell>
          <cell r="S311">
            <v>1</v>
          </cell>
          <cell r="T311">
            <v>150000</v>
          </cell>
          <cell r="U311">
            <v>15000</v>
          </cell>
          <cell r="V311">
            <v>135000</v>
          </cell>
          <cell r="W311" t="str">
            <v>45131677</v>
          </cell>
        </row>
        <row r="312">
          <cell r="A312">
            <v>2026</v>
          </cell>
          <cell r="B312">
            <v>7</v>
          </cell>
          <cell r="C312">
            <v>46209</v>
          </cell>
          <cell r="D312" t="str">
            <v>1. SKK store</v>
          </cell>
          <cell r="E312" t="str">
            <v>S1025</v>
          </cell>
          <cell r="F312" t="str">
            <v>SKK T6 Time City</v>
          </cell>
          <cell r="G312" t="str">
            <v>0985866691</v>
          </cell>
          <cell r="H312" t="str">
            <v>Chị Phạm Thu Hà</v>
          </cell>
          <cell r="I312" t="str">
            <v>Khách cũ</v>
          </cell>
          <cell r="J312" t="str">
            <v>Đơn bán</v>
          </cell>
          <cell r="K312" t="str">
            <v>SAKUKO839264</v>
          </cell>
          <cell r="L312" t="str">
            <v>ĐỒ CHO MẸ BÉ</v>
          </cell>
          <cell r="M312" t="str">
            <v>CHĂM SÓC CƠ THỂ BÉ</v>
          </cell>
          <cell r="N312" t="str">
            <v>THỰC PHẨM CHỨC NĂNG CHO BÉ</v>
          </cell>
          <cell r="O312" t="str">
            <v>121667</v>
          </cell>
          <cell r="P312" t="str">
            <v>8436036590635</v>
          </cell>
          <cell r="Q312" t="str">
            <v>NEO KIDS-TPBVSK Gummies K2ALCIUM+150g</v>
          </cell>
          <cell r="R312">
            <v>390000</v>
          </cell>
          <cell r="S312">
            <v>1</v>
          </cell>
          <cell r="T312">
            <v>390000</v>
          </cell>
          <cell r="U312">
            <v>0</v>
          </cell>
          <cell r="V312">
            <v>390000</v>
          </cell>
          <cell r="W312" t="str">
            <v>8436036590635</v>
          </cell>
        </row>
        <row r="313">
          <cell r="A313">
            <v>2026</v>
          </cell>
          <cell r="B313">
            <v>7</v>
          </cell>
          <cell r="C313">
            <v>46208</v>
          </cell>
          <cell r="D313" t="str">
            <v>1. SKK store</v>
          </cell>
          <cell r="E313" t="str">
            <v>S1004</v>
          </cell>
          <cell r="F313" t="str">
            <v>SKK  Mandarin C1</v>
          </cell>
          <cell r="G313" t="str">
            <v>02466810404</v>
          </cell>
          <cell r="H313" t="str">
            <v>klhmg</v>
          </cell>
          <cell r="I313" t="str">
            <v>Khách vãng lai</v>
          </cell>
          <cell r="J313" t="str">
            <v>Đơn bán</v>
          </cell>
          <cell r="K313" t="str">
            <v>SAKUKO837615</v>
          </cell>
          <cell r="L313" t="str">
            <v>THỰC PHẨM</v>
          </cell>
          <cell r="M313" t="str">
            <v>MỲ, MIẾN</v>
          </cell>
          <cell r="N313" t="str">
            <v>MỲ ĂN LIỀN</v>
          </cell>
          <cell r="O313" t="str">
            <v>154196</v>
          </cell>
          <cell r="P313" t="str">
            <v>4979397000152</v>
          </cell>
          <cell r="Q313" t="str">
            <v>YAMAMOTO_Mì xào kiểu Nhật 89g*5</v>
          </cell>
          <cell r="R313">
            <v>99000</v>
          </cell>
          <cell r="S313">
            <v>1</v>
          </cell>
          <cell r="T313">
            <v>99000</v>
          </cell>
          <cell r="U313">
            <v>0</v>
          </cell>
          <cell r="V313">
            <v>99000</v>
          </cell>
          <cell r="W313" t="str">
            <v>4979397000152</v>
          </cell>
        </row>
        <row r="314">
          <cell r="A314">
            <v>2026</v>
          </cell>
          <cell r="B314">
            <v>7</v>
          </cell>
          <cell r="C314">
            <v>46208</v>
          </cell>
          <cell r="D314" t="str">
            <v>1. SKK store</v>
          </cell>
          <cell r="E314" t="str">
            <v>S1004</v>
          </cell>
          <cell r="F314" t="str">
            <v>SKK  Mandarin C1</v>
          </cell>
          <cell r="G314" t="str">
            <v>02466810404</v>
          </cell>
          <cell r="H314" t="str">
            <v>klhmg</v>
          </cell>
          <cell r="I314" t="str">
            <v>Khách vãng lai</v>
          </cell>
          <cell r="J314" t="str">
            <v>Đơn bán</v>
          </cell>
          <cell r="K314" t="str">
            <v>SAKUKO837829</v>
          </cell>
          <cell r="L314" t="str">
            <v>THỰC PHẨM</v>
          </cell>
          <cell r="M314" t="str">
            <v>MỲ, MIẾN</v>
          </cell>
          <cell r="N314" t="str">
            <v>MỲ CHẾ BIẾN</v>
          </cell>
          <cell r="O314" t="str">
            <v>154251</v>
          </cell>
          <cell r="P314" t="str">
            <v>4560159440776</v>
          </cell>
          <cell r="Q314" t="str">
            <v>SATO_Mì soba khô 800g</v>
          </cell>
          <cell r="R314">
            <v>104000</v>
          </cell>
          <cell r="S314">
            <v>1</v>
          </cell>
          <cell r="T314">
            <v>104000</v>
          </cell>
          <cell r="U314">
            <v>0</v>
          </cell>
          <cell r="V314">
            <v>104000</v>
          </cell>
          <cell r="W314" t="str">
            <v>4560159440776</v>
          </cell>
        </row>
        <row r="315">
          <cell r="A315">
            <v>2026</v>
          </cell>
          <cell r="B315">
            <v>7</v>
          </cell>
          <cell r="C315">
            <v>46208</v>
          </cell>
          <cell r="D315" t="str">
            <v>1. SKK store</v>
          </cell>
          <cell r="E315" t="str">
            <v>S1004</v>
          </cell>
          <cell r="F315" t="str">
            <v>SKK  Mandarin C1</v>
          </cell>
          <cell r="G315" t="str">
            <v>0913235092</v>
          </cell>
          <cell r="H315" t="str">
            <v>Cô Nguyễn Ngọc Lan</v>
          </cell>
          <cell r="I315" t="str">
            <v>Khách cũ</v>
          </cell>
          <cell r="J315" t="str">
            <v>Đơn bán</v>
          </cell>
          <cell r="K315" t="str">
            <v>SAKUKO837311</v>
          </cell>
          <cell r="L315" t="str">
            <v>ĐỒ CHO MẸ BÉ</v>
          </cell>
          <cell r="M315" t="str">
            <v>GIẤY ƯỚT</v>
          </cell>
          <cell r="N315" t="str">
            <v>GIẤY ƯỚT CHO BÉ</v>
          </cell>
          <cell r="O315" t="str">
            <v>121664</v>
          </cell>
          <cell r="P315" t="str">
            <v>8934755035074</v>
          </cell>
          <cell r="Q315" t="str">
            <v>BOBBY- Khăn ướt em bé có hương 100 miếng</v>
          </cell>
          <cell r="R315">
            <v>46000</v>
          </cell>
          <cell r="S315">
            <v>1</v>
          </cell>
          <cell r="T315">
            <v>46000</v>
          </cell>
          <cell r="U315">
            <v>0</v>
          </cell>
          <cell r="V315">
            <v>46000</v>
          </cell>
          <cell r="W315" t="str">
            <v>8934755035074</v>
          </cell>
        </row>
        <row r="316">
          <cell r="A316">
            <v>2026</v>
          </cell>
          <cell r="B316">
            <v>7</v>
          </cell>
          <cell r="C316">
            <v>46208</v>
          </cell>
          <cell r="D316" t="str">
            <v>1. SKK store</v>
          </cell>
          <cell r="E316" t="str">
            <v>S1004</v>
          </cell>
          <cell r="F316" t="str">
            <v>SKK  Mandarin C1</v>
          </cell>
          <cell r="G316" t="str">
            <v>0945047979</v>
          </cell>
          <cell r="H316" t="str">
            <v>chị Hà</v>
          </cell>
          <cell r="I316" t="str">
            <v>Khách cũ</v>
          </cell>
          <cell r="J316" t="str">
            <v>Đơn bán</v>
          </cell>
          <cell r="K316" t="str">
            <v>SAKUKO838249</v>
          </cell>
          <cell r="L316" t="str">
            <v>CHĂM SÓC SẮC ĐẸP</v>
          </cell>
          <cell r="M316" t="str">
            <v>CHĂM SÓC DA</v>
          </cell>
          <cell r="N316" t="str">
            <v>KEM DƯỠNG</v>
          </cell>
          <cell r="O316" t="str">
            <v>102420</v>
          </cell>
          <cell r="P316" t="str">
            <v>4902468820007</v>
          </cell>
          <cell r="Q316" t="str">
            <v>MEISHOKU- Tinh chất dưỡng ẩm chuyên sâu 30ml</v>
          </cell>
          <cell r="R316">
            <v>555000</v>
          </cell>
          <cell r="S316">
            <v>1</v>
          </cell>
          <cell r="T316">
            <v>555000</v>
          </cell>
          <cell r="U316">
            <v>0</v>
          </cell>
          <cell r="V316">
            <v>555000</v>
          </cell>
          <cell r="W316" t="str">
            <v>4902468820007</v>
          </cell>
        </row>
        <row r="317">
          <cell r="A317">
            <v>2026</v>
          </cell>
          <cell r="B317">
            <v>7</v>
          </cell>
          <cell r="C317">
            <v>46208</v>
          </cell>
          <cell r="D317" t="str">
            <v>1. SKK store</v>
          </cell>
          <cell r="E317" t="str">
            <v>S1004</v>
          </cell>
          <cell r="F317" t="str">
            <v>SKK  Mandarin C1</v>
          </cell>
          <cell r="G317" t="str">
            <v>0945047979</v>
          </cell>
          <cell r="H317" t="str">
            <v>chị Hà</v>
          </cell>
          <cell r="I317" t="str">
            <v>Khách cũ</v>
          </cell>
          <cell r="J317" t="str">
            <v>Đơn bán</v>
          </cell>
          <cell r="K317" t="str">
            <v>SAKUKO838249</v>
          </cell>
          <cell r="L317" t="str">
            <v>THỰC PHẨM</v>
          </cell>
          <cell r="M317" t="str">
            <v>MỲ, MIẾN</v>
          </cell>
          <cell r="N317" t="str">
            <v>MỲ CHẾ BIẾN</v>
          </cell>
          <cell r="O317" t="str">
            <v>154247</v>
          </cell>
          <cell r="P317" t="str">
            <v>4902902105004</v>
          </cell>
          <cell r="Q317" t="str">
            <v>MALONY_Miến khoai tây 500g</v>
          </cell>
          <cell r="R317">
            <v>139000</v>
          </cell>
          <cell r="S317">
            <v>1</v>
          </cell>
          <cell r="T317">
            <v>139000</v>
          </cell>
          <cell r="U317">
            <v>0</v>
          </cell>
          <cell r="V317">
            <v>139000</v>
          </cell>
          <cell r="W317" t="str">
            <v>4902902105004</v>
          </cell>
        </row>
        <row r="318">
          <cell r="A318">
            <v>2026</v>
          </cell>
          <cell r="B318">
            <v>7</v>
          </cell>
          <cell r="C318">
            <v>46208</v>
          </cell>
          <cell r="D318" t="str">
            <v>1. SKK store</v>
          </cell>
          <cell r="E318" t="str">
            <v>S1004</v>
          </cell>
          <cell r="F318" t="str">
            <v>SKK  Mandarin C1</v>
          </cell>
          <cell r="G318" t="str">
            <v>0945047979</v>
          </cell>
          <cell r="H318" t="str">
            <v>chị Hà</v>
          </cell>
          <cell r="I318" t="str">
            <v>Khách cũ</v>
          </cell>
          <cell r="J318" t="str">
            <v>Đơn bán</v>
          </cell>
          <cell r="K318" t="str">
            <v>SAKUKO838249</v>
          </cell>
          <cell r="L318" t="str">
            <v>THỰC PHẨM</v>
          </cell>
          <cell r="M318" t="str">
            <v>MỲ, MIẾN</v>
          </cell>
          <cell r="N318" t="str">
            <v>MỲ CHẾ BIẾN</v>
          </cell>
          <cell r="O318" t="str">
            <v>174948</v>
          </cell>
          <cell r="P318" t="str">
            <v>4582114354119</v>
          </cell>
          <cell r="Q318" t="str">
            <v>SANUKISHISEI- Mì soumen 300g</v>
          </cell>
          <cell r="R318">
            <v>35000</v>
          </cell>
          <cell r="S318">
            <v>2</v>
          </cell>
          <cell r="T318">
            <v>70000</v>
          </cell>
          <cell r="U318">
            <v>0</v>
          </cell>
          <cell r="V318">
            <v>70000</v>
          </cell>
          <cell r="W318" t="str">
            <v>4582114354119</v>
          </cell>
        </row>
        <row r="319">
          <cell r="A319">
            <v>2026</v>
          </cell>
          <cell r="B319">
            <v>7</v>
          </cell>
          <cell r="C319">
            <v>46208</v>
          </cell>
          <cell r="D319" t="str">
            <v>1. SKK store</v>
          </cell>
          <cell r="E319" t="str">
            <v>S1005</v>
          </cell>
          <cell r="F319" t="str">
            <v>SKK  Thái Hà</v>
          </cell>
          <cell r="G319" t="str">
            <v>0903261884</v>
          </cell>
          <cell r="H319" t="str">
            <v>co Thom</v>
          </cell>
          <cell r="I319" t="str">
            <v>Khách cũ</v>
          </cell>
          <cell r="J319" t="str">
            <v>Đơn bán</v>
          </cell>
          <cell r="K319" t="str">
            <v>SAKUKO838143</v>
          </cell>
          <cell r="L319" t="str">
            <v>THỰC PHẨM</v>
          </cell>
          <cell r="M319" t="str">
            <v>MỲ, MIẾN</v>
          </cell>
          <cell r="N319" t="str">
            <v>MỲ ĂN LIỀN</v>
          </cell>
          <cell r="O319" t="str">
            <v>154359</v>
          </cell>
          <cell r="P319" t="str">
            <v>4979397000138</v>
          </cell>
          <cell r="Q319" t="str">
            <v>YAMAMOTO- Mì ramen ăn liền hải sản thịt heo 88g*5</v>
          </cell>
          <cell r="R319">
            <v>99000</v>
          </cell>
          <cell r="S319">
            <v>1</v>
          </cell>
          <cell r="T319">
            <v>99000</v>
          </cell>
          <cell r="U319">
            <v>0</v>
          </cell>
          <cell r="V319">
            <v>99000</v>
          </cell>
          <cell r="W319" t="str">
            <v>4979397000138</v>
          </cell>
        </row>
        <row r="320">
          <cell r="A320">
            <v>2026</v>
          </cell>
          <cell r="B320">
            <v>7</v>
          </cell>
          <cell r="C320">
            <v>46208</v>
          </cell>
          <cell r="D320" t="str">
            <v>1. SKK store</v>
          </cell>
          <cell r="E320" t="str">
            <v>S1005</v>
          </cell>
          <cell r="F320" t="str">
            <v>SKK  Thái Hà</v>
          </cell>
          <cell r="G320" t="str">
            <v>0918107887</v>
          </cell>
          <cell r="H320" t="str">
            <v>Chị Lương Hạnh Nguyên</v>
          </cell>
          <cell r="I320" t="str">
            <v>Khách cũ</v>
          </cell>
          <cell r="J320" t="str">
            <v>Đơn bán</v>
          </cell>
          <cell r="K320" t="str">
            <v>SAKUKO838208</v>
          </cell>
          <cell r="L320" t="str">
            <v>ĐỒ CHO MẸ BÉ</v>
          </cell>
          <cell r="M320" t="str">
            <v>GIẤY ƯỚT</v>
          </cell>
          <cell r="N320" t="str">
            <v>GIẤY ƯỚT CHO BÉ</v>
          </cell>
          <cell r="O320" t="str">
            <v>121663</v>
          </cell>
          <cell r="P320" t="str">
            <v>8934755035197</v>
          </cell>
          <cell r="Q320" t="str">
            <v>FRESSI- Khăn ướt Care For All 100 miếng</v>
          </cell>
          <cell r="R320">
            <v>49000</v>
          </cell>
          <cell r="S320">
            <v>1</v>
          </cell>
          <cell r="T320">
            <v>49000</v>
          </cell>
          <cell r="U320">
            <v>0</v>
          </cell>
          <cell r="V320">
            <v>49000</v>
          </cell>
          <cell r="W320" t="str">
            <v>8934755035197</v>
          </cell>
        </row>
        <row r="321">
          <cell r="A321">
            <v>2026</v>
          </cell>
          <cell r="B321">
            <v>7</v>
          </cell>
          <cell r="C321">
            <v>46208</v>
          </cell>
          <cell r="D321" t="str">
            <v>1. SKK store</v>
          </cell>
          <cell r="E321" t="str">
            <v>S1006</v>
          </cell>
          <cell r="F321" t="str">
            <v>SKK Trần Đăng Ninh</v>
          </cell>
          <cell r="G321" t="str">
            <v>0972357012</v>
          </cell>
          <cell r="H321" t="str">
            <v>cô nga</v>
          </cell>
          <cell r="I321" t="str">
            <v>Khách cũ</v>
          </cell>
          <cell r="J321" t="str">
            <v>Đơn bán</v>
          </cell>
          <cell r="K321" t="str">
            <v>SAKUKO837626</v>
          </cell>
          <cell r="L321" t="str">
            <v>THỰC PHẨM</v>
          </cell>
          <cell r="M321" t="str">
            <v>BÁNH KẸO, ĐỒ ĂN VẶT</v>
          </cell>
          <cell r="N321" t="str">
            <v>KẸO CAO SU</v>
          </cell>
          <cell r="O321" t="str">
            <v>231377</v>
          </cell>
          <cell r="P321" t="str">
            <v>4903333200375</v>
          </cell>
          <cell r="Q321" t="str">
            <v>LOTTE-Kẹo cao su tổng hợp dạng lọ 114g</v>
          </cell>
          <cell r="R321">
            <v>235000</v>
          </cell>
          <cell r="S321">
            <v>1</v>
          </cell>
          <cell r="T321">
            <v>235000</v>
          </cell>
          <cell r="U321">
            <v>0</v>
          </cell>
          <cell r="V321">
            <v>235000</v>
          </cell>
          <cell r="W321" t="str">
            <v>4903333200375</v>
          </cell>
        </row>
        <row r="322">
          <cell r="A322">
            <v>2026</v>
          </cell>
          <cell r="B322">
            <v>7</v>
          </cell>
          <cell r="C322">
            <v>46208</v>
          </cell>
          <cell r="D322" t="str">
            <v>1. SKK store</v>
          </cell>
          <cell r="E322" t="str">
            <v>S1006</v>
          </cell>
          <cell r="F322" t="str">
            <v>SKK Trần Đăng Ninh</v>
          </cell>
          <cell r="G322" t="str">
            <v>0982994488</v>
          </cell>
          <cell r="H322" t="str">
            <v>cô yến</v>
          </cell>
          <cell r="I322" t="str">
            <v>Khách cũ</v>
          </cell>
          <cell r="J322" t="str">
            <v>Đơn bán</v>
          </cell>
          <cell r="K322" t="str">
            <v>SAKUKO837371</v>
          </cell>
          <cell r="L322" t="str">
            <v>ĐỒ CHO MẸ BÉ</v>
          </cell>
          <cell r="M322" t="str">
            <v>GIẤY ƯỚT</v>
          </cell>
          <cell r="N322" t="str">
            <v>GIẤY ƯỚT CHO BÉ</v>
          </cell>
          <cell r="O322" t="str">
            <v>121677</v>
          </cell>
          <cell r="P322" t="str">
            <v>8801260608836</v>
          </cell>
          <cell r="Q322" t="str">
            <v>KLEANNARA- Khăn ướt 5 tinh chất (có nắp) 100 tờ</v>
          </cell>
          <cell r="R322">
            <v>52000</v>
          </cell>
          <cell r="S322">
            <v>1</v>
          </cell>
          <cell r="T322">
            <v>52000</v>
          </cell>
          <cell r="U322">
            <v>0</v>
          </cell>
          <cell r="V322">
            <v>52000</v>
          </cell>
          <cell r="W322" t="str">
            <v>8801260608836</v>
          </cell>
        </row>
        <row r="323">
          <cell r="A323">
            <v>2026</v>
          </cell>
          <cell r="B323">
            <v>7</v>
          </cell>
          <cell r="C323">
            <v>46208</v>
          </cell>
          <cell r="D323" t="str">
            <v>1. SKK store</v>
          </cell>
          <cell r="E323" t="str">
            <v>S1008</v>
          </cell>
          <cell r="F323" t="str">
            <v>SKK  Hàng Bông</v>
          </cell>
          <cell r="G323" t="str">
            <v>02466810202</v>
          </cell>
          <cell r="H323" t="str">
            <v>KH Tây</v>
          </cell>
          <cell r="I323" t="str">
            <v>Khách vãng lai</v>
          </cell>
          <cell r="J323" t="str">
            <v>Đơn bán</v>
          </cell>
          <cell r="K323" t="str">
            <v>SAKUKO837599</v>
          </cell>
          <cell r="L323" t="str">
            <v>ĐỒ CHO MẸ BÉ</v>
          </cell>
          <cell r="M323" t="str">
            <v>GIẤY ƯỚT</v>
          </cell>
          <cell r="N323" t="str">
            <v>GIẤY ƯỚT CHO BÉ</v>
          </cell>
          <cell r="O323" t="str">
            <v>121664</v>
          </cell>
          <cell r="P323" t="str">
            <v>8934755035074</v>
          </cell>
          <cell r="Q323" t="str">
            <v>BOBBY- Khăn ướt em bé có hương 100 miếng</v>
          </cell>
          <cell r="R323">
            <v>46000</v>
          </cell>
          <cell r="S323">
            <v>1</v>
          </cell>
          <cell r="T323">
            <v>46000</v>
          </cell>
          <cell r="U323">
            <v>0</v>
          </cell>
          <cell r="V323">
            <v>46000</v>
          </cell>
          <cell r="W323" t="str">
            <v>8934755035074</v>
          </cell>
        </row>
        <row r="324">
          <cell r="A324">
            <v>2026</v>
          </cell>
          <cell r="B324">
            <v>7</v>
          </cell>
          <cell r="C324">
            <v>46208</v>
          </cell>
          <cell r="D324" t="str">
            <v>1. SKK store</v>
          </cell>
          <cell r="E324" t="str">
            <v>S1008</v>
          </cell>
          <cell r="F324" t="str">
            <v>SKK  Hàng Bông</v>
          </cell>
          <cell r="G324" t="str">
            <v>02466810202</v>
          </cell>
          <cell r="H324" t="str">
            <v>KH Tây</v>
          </cell>
          <cell r="I324" t="str">
            <v>Khách vãng lai</v>
          </cell>
          <cell r="J324" t="str">
            <v>Đơn bán</v>
          </cell>
          <cell r="K324" t="str">
            <v>SAKUKO837752</v>
          </cell>
          <cell r="L324" t="str">
            <v>ĐỒ CHO MẸ BÉ</v>
          </cell>
          <cell r="M324" t="str">
            <v>GIẤY ƯỚT</v>
          </cell>
          <cell r="N324" t="str">
            <v>GIẤY ƯỚT CHO BÉ</v>
          </cell>
          <cell r="O324" t="str">
            <v>121665</v>
          </cell>
          <cell r="P324" t="str">
            <v>8934755035289</v>
          </cell>
          <cell r="Q324" t="str">
            <v>BOBBY- Khăn ướt em bé không mùi 100 miếng</v>
          </cell>
          <cell r="R324">
            <v>46000</v>
          </cell>
          <cell r="S324">
            <v>2</v>
          </cell>
          <cell r="T324">
            <v>92000</v>
          </cell>
          <cell r="U324">
            <v>0</v>
          </cell>
          <cell r="V324">
            <v>92000</v>
          </cell>
          <cell r="W324" t="str">
            <v>8934755035289</v>
          </cell>
        </row>
        <row r="325">
          <cell r="A325">
            <v>2026</v>
          </cell>
          <cell r="B325">
            <v>7</v>
          </cell>
          <cell r="C325">
            <v>46208</v>
          </cell>
          <cell r="D325" t="str">
            <v>1. SKK store</v>
          </cell>
          <cell r="E325" t="str">
            <v>S1015</v>
          </cell>
          <cell r="F325" t="str">
            <v>SKK Hàm Nghi</v>
          </cell>
          <cell r="G325" t="str">
            <v>0968652345</v>
          </cell>
          <cell r="H325" t="str">
            <v>anh lương anh tuấn</v>
          </cell>
          <cell r="I325" t="str">
            <v>Khách cũ</v>
          </cell>
          <cell r="J325" t="str">
            <v>Đơn bán</v>
          </cell>
          <cell r="K325" t="str">
            <v>SAKUKO837817</v>
          </cell>
          <cell r="L325" t="str">
            <v>THỰC PHẨM</v>
          </cell>
          <cell r="M325" t="str">
            <v>MỲ, MIẾN</v>
          </cell>
          <cell r="N325" t="str">
            <v>MỲ ĂN LIỀN</v>
          </cell>
          <cell r="O325" t="str">
            <v>154198</v>
          </cell>
          <cell r="P325" t="str">
            <v>4979397000145</v>
          </cell>
          <cell r="Q325" t="str">
            <v>YAMAMOTO_Mì ramen ăn liền vị miso 90g*5</v>
          </cell>
          <cell r="R325">
            <v>99000</v>
          </cell>
          <cell r="S325">
            <v>1</v>
          </cell>
          <cell r="T325">
            <v>99000</v>
          </cell>
          <cell r="U325">
            <v>0</v>
          </cell>
          <cell r="V325">
            <v>99000</v>
          </cell>
          <cell r="W325" t="str">
            <v>4979397000145</v>
          </cell>
        </row>
        <row r="326">
          <cell r="A326">
            <v>2026</v>
          </cell>
          <cell r="B326">
            <v>7</v>
          </cell>
          <cell r="C326">
            <v>46208</v>
          </cell>
          <cell r="D326" t="str">
            <v>1. SKK store</v>
          </cell>
          <cell r="E326" t="str">
            <v>S1015</v>
          </cell>
          <cell r="F326" t="str">
            <v>SKK Hàm Nghi</v>
          </cell>
          <cell r="G326" t="str">
            <v>0983512986</v>
          </cell>
          <cell r="H326" t="str">
            <v>Le Huyen Trang</v>
          </cell>
          <cell r="I326" t="str">
            <v>Khách cũ</v>
          </cell>
          <cell r="J326" t="str">
            <v>Đơn bán</v>
          </cell>
          <cell r="K326" t="str">
            <v>SAKUKO837800</v>
          </cell>
          <cell r="L326" t="str">
            <v>THỰC PHẨM</v>
          </cell>
          <cell r="M326" t="str">
            <v>MỲ, MIẾN</v>
          </cell>
          <cell r="N326" t="str">
            <v>MỲ CHẾ BIẾN</v>
          </cell>
          <cell r="O326" t="str">
            <v>175435</v>
          </cell>
          <cell r="P326" t="str">
            <v>4901726014752</v>
          </cell>
          <cell r="Q326" t="str">
            <v>ITSUKI FOODS- Mì soumen rau củ ngũ sắc320g</v>
          </cell>
          <cell r="R326">
            <v>76000</v>
          </cell>
          <cell r="S326">
            <v>1</v>
          </cell>
          <cell r="T326">
            <v>76000</v>
          </cell>
          <cell r="U326">
            <v>0</v>
          </cell>
          <cell r="V326">
            <v>76000</v>
          </cell>
          <cell r="W326" t="str">
            <v>4901726014752</v>
          </cell>
        </row>
        <row r="327">
          <cell r="A327">
            <v>2026</v>
          </cell>
          <cell r="B327">
            <v>7</v>
          </cell>
          <cell r="C327">
            <v>46208</v>
          </cell>
          <cell r="D327" t="str">
            <v>1. SKK store</v>
          </cell>
          <cell r="E327" t="str">
            <v>S1015</v>
          </cell>
          <cell r="F327" t="str">
            <v>SKK Hàm Nghi</v>
          </cell>
          <cell r="G327" t="str">
            <v>0988794000</v>
          </cell>
          <cell r="H327" t="str">
            <v>Anh Hòa</v>
          </cell>
          <cell r="I327" t="str">
            <v>Khách cũ</v>
          </cell>
          <cell r="J327" t="str">
            <v>Đơn bán</v>
          </cell>
          <cell r="K327" t="str">
            <v>SAKUKO838185</v>
          </cell>
          <cell r="L327" t="str">
            <v>THỰC PHẨM</v>
          </cell>
          <cell r="M327" t="str">
            <v>MỲ, MIẾN</v>
          </cell>
          <cell r="N327" t="str">
            <v>MỲ ĂN LIỀN</v>
          </cell>
          <cell r="O327" t="str">
            <v>154198</v>
          </cell>
          <cell r="P327" t="str">
            <v>4979397000145</v>
          </cell>
          <cell r="Q327" t="str">
            <v>YAMAMOTO_Mì ramen ăn liền vị miso 90g*5</v>
          </cell>
          <cell r="R327">
            <v>99000</v>
          </cell>
          <cell r="S327">
            <v>1</v>
          </cell>
          <cell r="T327">
            <v>99000</v>
          </cell>
          <cell r="U327">
            <v>0</v>
          </cell>
          <cell r="V327">
            <v>99000</v>
          </cell>
          <cell r="W327" t="str">
            <v>4979397000145</v>
          </cell>
        </row>
        <row r="328">
          <cell r="A328">
            <v>2026</v>
          </cell>
          <cell r="B328">
            <v>7</v>
          </cell>
          <cell r="C328">
            <v>46208</v>
          </cell>
          <cell r="D328" t="str">
            <v>1. SKK store</v>
          </cell>
          <cell r="E328" t="str">
            <v>S1018</v>
          </cell>
          <cell r="F328" t="str">
            <v>SKK Nguyễn Tuân</v>
          </cell>
          <cell r="G328" t="str">
            <v>0986664294</v>
          </cell>
          <cell r="H328" t="str">
            <v>Chị Trang</v>
          </cell>
          <cell r="I328" t="str">
            <v>Khách cũ</v>
          </cell>
          <cell r="J328" t="str">
            <v>Đơn bán</v>
          </cell>
          <cell r="K328" t="str">
            <v>SAKUKO837462</v>
          </cell>
          <cell r="L328" t="str">
            <v>THỰC PHẨM</v>
          </cell>
          <cell r="M328" t="str">
            <v>MỲ, MIẾN</v>
          </cell>
          <cell r="N328" t="str">
            <v>MỲ ĂN LIỀN</v>
          </cell>
          <cell r="O328" t="str">
            <v>154198</v>
          </cell>
          <cell r="P328" t="str">
            <v>4979397000145</v>
          </cell>
          <cell r="Q328" t="str">
            <v>YAMAMOTO_Mì ramen ăn liền vị miso 90g*5</v>
          </cell>
          <cell r="R328">
            <v>99000</v>
          </cell>
          <cell r="S328">
            <v>1</v>
          </cell>
          <cell r="T328">
            <v>99000</v>
          </cell>
          <cell r="U328">
            <v>0</v>
          </cell>
          <cell r="V328">
            <v>99000</v>
          </cell>
          <cell r="W328" t="str">
            <v>4979397000145</v>
          </cell>
        </row>
        <row r="329">
          <cell r="A329">
            <v>2026</v>
          </cell>
          <cell r="B329">
            <v>7</v>
          </cell>
          <cell r="C329">
            <v>46208</v>
          </cell>
          <cell r="D329" t="str">
            <v>1. SKK store</v>
          </cell>
          <cell r="E329" t="str">
            <v>S1025</v>
          </cell>
          <cell r="F329" t="str">
            <v>SKK T6 Time City</v>
          </cell>
          <cell r="G329" t="str">
            <v>0983059659</v>
          </cell>
          <cell r="H329" t="str">
            <v>chị Hương</v>
          </cell>
          <cell r="I329" t="str">
            <v>Khách cũ</v>
          </cell>
          <cell r="J329" t="str">
            <v>Đơn bán</v>
          </cell>
          <cell r="K329" t="str">
            <v>SAKUKO837831</v>
          </cell>
          <cell r="L329" t="str">
            <v>THỰC PHẨM</v>
          </cell>
          <cell r="M329" t="str">
            <v>BÁNH KẸO, ĐỒ ĂN VẶT</v>
          </cell>
          <cell r="N329" t="str">
            <v>KẸO CAO SU</v>
          </cell>
          <cell r="O329" t="str">
            <v>231376</v>
          </cell>
          <cell r="P329" t="str">
            <v>4903333228577</v>
          </cell>
          <cell r="Q329" t="str">
            <v>LOTTE-Kẹo cao su tổng hợp 7 loại dạng lọ 133g</v>
          </cell>
          <cell r="R329">
            <v>235000</v>
          </cell>
          <cell r="S329">
            <v>1</v>
          </cell>
          <cell r="T329">
            <v>235000</v>
          </cell>
          <cell r="U329">
            <v>0</v>
          </cell>
          <cell r="V329">
            <v>235000</v>
          </cell>
          <cell r="W329" t="str">
            <v>4903333228577</v>
          </cell>
        </row>
        <row r="330">
          <cell r="A330">
            <v>2026</v>
          </cell>
          <cell r="B330">
            <v>7</v>
          </cell>
          <cell r="C330">
            <v>46207</v>
          </cell>
          <cell r="D330" t="str">
            <v>1. SKK store</v>
          </cell>
          <cell r="E330" t="str">
            <v>S1005</v>
          </cell>
          <cell r="F330" t="str">
            <v>SKK  Thái Hà</v>
          </cell>
          <cell r="G330" t="str">
            <v>0912968283</v>
          </cell>
          <cell r="H330" t="str">
            <v>C Hồ Thị Lan Hương</v>
          </cell>
          <cell r="I330" t="str">
            <v>Khách cũ</v>
          </cell>
          <cell r="J330" t="str">
            <v>Đơn bán</v>
          </cell>
          <cell r="K330" t="str">
            <v>SAKUKO835742</v>
          </cell>
          <cell r="L330" t="str">
            <v>THỰC PHẨM</v>
          </cell>
          <cell r="M330" t="str">
            <v>MỲ, MIẾN</v>
          </cell>
          <cell r="N330" t="str">
            <v>MỲ ĂN LIỀN</v>
          </cell>
          <cell r="O330" t="str">
            <v>154198</v>
          </cell>
          <cell r="P330" t="str">
            <v>4979397000145</v>
          </cell>
          <cell r="Q330" t="str">
            <v>YAMAMOTO_Mì ramen ăn liền vị miso 90g*5</v>
          </cell>
          <cell r="R330">
            <v>99000</v>
          </cell>
          <cell r="S330">
            <v>1</v>
          </cell>
          <cell r="T330">
            <v>99000</v>
          </cell>
          <cell r="U330">
            <v>0</v>
          </cell>
          <cell r="V330">
            <v>99000</v>
          </cell>
          <cell r="W330" t="str">
            <v>4979397000145</v>
          </cell>
        </row>
        <row r="331">
          <cell r="A331">
            <v>2026</v>
          </cell>
          <cell r="B331">
            <v>7</v>
          </cell>
          <cell r="C331">
            <v>46207</v>
          </cell>
          <cell r="D331" t="str">
            <v>1. SKK store</v>
          </cell>
          <cell r="E331" t="str">
            <v>S1005</v>
          </cell>
          <cell r="F331" t="str">
            <v>SKK  Thái Hà</v>
          </cell>
          <cell r="G331" t="str">
            <v>0971694804</v>
          </cell>
          <cell r="H331" t="str">
            <v>Chị Trang</v>
          </cell>
          <cell r="I331" t="str">
            <v>Khách cũ</v>
          </cell>
          <cell r="J331" t="str">
            <v>Đơn bán</v>
          </cell>
          <cell r="K331" t="str">
            <v>SAKUKO836484</v>
          </cell>
          <cell r="L331" t="str">
            <v>CHĂM SÓC SẮC ĐẸP</v>
          </cell>
          <cell r="M331" t="str">
            <v>CHĂM SÓC DA</v>
          </cell>
          <cell r="N331" t="str">
            <v>RỬA MẶT</v>
          </cell>
          <cell r="O331" t="str">
            <v>230269</v>
          </cell>
          <cell r="P331" t="str">
            <v>4987241173242</v>
          </cell>
          <cell r="Q331" t="str">
            <v>ROHTO- SRM Melano CC mờ thâm nám (130g)</v>
          </cell>
          <cell r="R331">
            <v>294000</v>
          </cell>
          <cell r="S331">
            <v>1</v>
          </cell>
          <cell r="T331">
            <v>294000</v>
          </cell>
          <cell r="U331">
            <v>0</v>
          </cell>
          <cell r="V331">
            <v>294000</v>
          </cell>
          <cell r="W331" t="str">
            <v>4987241173242</v>
          </cell>
        </row>
        <row r="332">
          <cell r="A332">
            <v>2026</v>
          </cell>
          <cell r="B332">
            <v>7</v>
          </cell>
          <cell r="C332">
            <v>46207</v>
          </cell>
          <cell r="D332" t="str">
            <v>1. SKK store</v>
          </cell>
          <cell r="E332" t="str">
            <v>S1006</v>
          </cell>
          <cell r="F332" t="str">
            <v>SKK Trần Đăng Ninh</v>
          </cell>
          <cell r="G332" t="str">
            <v>0325524222</v>
          </cell>
          <cell r="H332" t="str">
            <v>chị mai</v>
          </cell>
          <cell r="I332" t="str">
            <v>Khách cũ</v>
          </cell>
          <cell r="J332" t="str">
            <v>Đơn bán</v>
          </cell>
          <cell r="K332" t="str">
            <v>SAKUKO835825</v>
          </cell>
          <cell r="L332" t="str">
            <v>THỰC PHẨM</v>
          </cell>
          <cell r="M332" t="str">
            <v>BÁNH KẸO, ĐỒ ĂN VẶT</v>
          </cell>
          <cell r="N332" t="str">
            <v>KẸO CAO SU</v>
          </cell>
          <cell r="O332" t="str">
            <v>154653</v>
          </cell>
          <cell r="P332" t="str">
            <v>4547894156650</v>
          </cell>
          <cell r="Q332" t="str">
            <v>MONDELEZ JAPAN - Kẹo cao su vị bưởi hồng 130g</v>
          </cell>
          <cell r="R332">
            <v>235000</v>
          </cell>
          <cell r="S332">
            <v>1</v>
          </cell>
          <cell r="T332">
            <v>235000</v>
          </cell>
          <cell r="U332">
            <v>0</v>
          </cell>
          <cell r="V332">
            <v>235000</v>
          </cell>
          <cell r="W332" t="str">
            <v>4547894156650</v>
          </cell>
        </row>
        <row r="333">
          <cell r="A333">
            <v>2026</v>
          </cell>
          <cell r="B333">
            <v>7</v>
          </cell>
          <cell r="C333">
            <v>46207</v>
          </cell>
          <cell r="D333" t="str">
            <v>1. SKK store</v>
          </cell>
          <cell r="E333" t="str">
            <v>S1006</v>
          </cell>
          <cell r="F333" t="str">
            <v>SKK Trần Đăng Ninh</v>
          </cell>
          <cell r="G333" t="str">
            <v>0981606844</v>
          </cell>
          <cell r="H333" t="str">
            <v>Anh Dũng</v>
          </cell>
          <cell r="I333" t="str">
            <v>Khách cũ</v>
          </cell>
          <cell r="J333" t="str">
            <v>Đơn bán</v>
          </cell>
          <cell r="K333" t="str">
            <v>SAKUKO836524</v>
          </cell>
          <cell r="L333" t="str">
            <v>THỰC PHẨM</v>
          </cell>
          <cell r="M333" t="str">
            <v>MỲ, MIẾN</v>
          </cell>
          <cell r="N333" t="str">
            <v>MỲ ĂN LIỀN</v>
          </cell>
          <cell r="O333" t="str">
            <v>154359</v>
          </cell>
          <cell r="P333" t="str">
            <v>4979397000138</v>
          </cell>
          <cell r="Q333" t="str">
            <v>YAMAMOTO- Mì ramen ăn liền hải sản thịt heo 88g*5</v>
          </cell>
          <cell r="R333">
            <v>99000</v>
          </cell>
          <cell r="S333">
            <v>1</v>
          </cell>
          <cell r="T333">
            <v>99000</v>
          </cell>
          <cell r="U333">
            <v>0</v>
          </cell>
          <cell r="V333">
            <v>99000</v>
          </cell>
          <cell r="W333" t="str">
            <v>4979397000138</v>
          </cell>
        </row>
        <row r="334">
          <cell r="A334">
            <v>2026</v>
          </cell>
          <cell r="B334">
            <v>7</v>
          </cell>
          <cell r="C334">
            <v>46207</v>
          </cell>
          <cell r="D334" t="str">
            <v>1. SKK store</v>
          </cell>
          <cell r="E334" t="str">
            <v>S1006</v>
          </cell>
          <cell r="F334" t="str">
            <v>SKK Trần Đăng Ninh</v>
          </cell>
          <cell r="G334" t="str">
            <v>0983264454</v>
          </cell>
          <cell r="H334" t="str">
            <v>Chị Phan Thị Ngọc Dung</v>
          </cell>
          <cell r="I334" t="str">
            <v>Khách cũ</v>
          </cell>
          <cell r="J334" t="str">
            <v>Đơn bán</v>
          </cell>
          <cell r="K334" t="str">
            <v>SAKUKO835647</v>
          </cell>
          <cell r="L334" t="str">
            <v>THỰC PHẨM</v>
          </cell>
          <cell r="M334" t="str">
            <v>MỲ, MIẾN</v>
          </cell>
          <cell r="N334" t="str">
            <v>MỲ ĂN LIỀN</v>
          </cell>
          <cell r="O334" t="str">
            <v>154198</v>
          </cell>
          <cell r="P334" t="str">
            <v>4979397000145</v>
          </cell>
          <cell r="Q334" t="str">
            <v>YAMAMOTO_Mì ramen ăn liền vị miso 90g*5</v>
          </cell>
          <cell r="R334">
            <v>99000</v>
          </cell>
          <cell r="S334">
            <v>1</v>
          </cell>
          <cell r="T334">
            <v>99000</v>
          </cell>
          <cell r="U334">
            <v>0</v>
          </cell>
          <cell r="V334">
            <v>99000</v>
          </cell>
          <cell r="W334" t="str">
            <v>4979397000145</v>
          </cell>
        </row>
        <row r="335">
          <cell r="A335">
            <v>2026</v>
          </cell>
          <cell r="B335">
            <v>7</v>
          </cell>
          <cell r="C335">
            <v>46207</v>
          </cell>
          <cell r="D335" t="str">
            <v>1. SKK store</v>
          </cell>
          <cell r="E335" t="str">
            <v>S1006</v>
          </cell>
          <cell r="F335" t="str">
            <v>SKK Trần Đăng Ninh</v>
          </cell>
          <cell r="G335" t="str">
            <v>0984202028</v>
          </cell>
          <cell r="H335" t="str">
            <v>c lan</v>
          </cell>
          <cell r="I335" t="str">
            <v>Khách cũ</v>
          </cell>
          <cell r="J335" t="str">
            <v>Đơn bán</v>
          </cell>
          <cell r="K335" t="str">
            <v>SAKUKO836758</v>
          </cell>
          <cell r="L335" t="str">
            <v>THỰC PHẨM</v>
          </cell>
          <cell r="M335" t="str">
            <v>MỲ, MIẾN</v>
          </cell>
          <cell r="N335" t="str">
            <v>MỲ CHẾ BIẾN</v>
          </cell>
          <cell r="O335" t="str">
            <v>154251</v>
          </cell>
          <cell r="P335" t="str">
            <v>4560159440776</v>
          </cell>
          <cell r="Q335" t="str">
            <v>SATO_Mì soba khô 800g</v>
          </cell>
          <cell r="R335">
            <v>104000</v>
          </cell>
          <cell r="S335">
            <v>1</v>
          </cell>
          <cell r="T335">
            <v>104000</v>
          </cell>
          <cell r="U335">
            <v>0</v>
          </cell>
          <cell r="V335">
            <v>104000</v>
          </cell>
          <cell r="W335" t="str">
            <v>4560159440776</v>
          </cell>
        </row>
        <row r="336">
          <cell r="A336">
            <v>2026</v>
          </cell>
          <cell r="B336">
            <v>7</v>
          </cell>
          <cell r="C336">
            <v>46207</v>
          </cell>
          <cell r="D336" t="str">
            <v>1. SKK store</v>
          </cell>
          <cell r="E336" t="str">
            <v>S1006</v>
          </cell>
          <cell r="F336" t="str">
            <v>SKK Trần Đăng Ninh</v>
          </cell>
          <cell r="G336" t="str">
            <v>0986211919</v>
          </cell>
          <cell r="H336" t="str">
            <v>cô Vân</v>
          </cell>
          <cell r="I336" t="str">
            <v>Khách cũ</v>
          </cell>
          <cell r="J336" t="str">
            <v>Đơn bán</v>
          </cell>
          <cell r="K336" t="str">
            <v>SAKUKO836080</v>
          </cell>
          <cell r="L336" t="str">
            <v>CHĂM SÓC SẮC ĐẸP</v>
          </cell>
          <cell r="M336" t="str">
            <v>CHĂM SÓC DA</v>
          </cell>
          <cell r="N336" t="str">
            <v>CHĂM SÓC DA KHÁC</v>
          </cell>
          <cell r="O336" t="str">
            <v>102387</v>
          </cell>
          <cell r="P336" t="str">
            <v>8935006542907</v>
          </cell>
          <cell r="Q336" t="str">
            <v>HADA LABO- Bộ sản phẩm dưỡng ẩm (travel kit)47g</v>
          </cell>
          <cell r="R336">
            <v>129000</v>
          </cell>
          <cell r="S336">
            <v>1</v>
          </cell>
          <cell r="T336">
            <v>129000</v>
          </cell>
          <cell r="U336">
            <v>0</v>
          </cell>
          <cell r="V336">
            <v>129000</v>
          </cell>
          <cell r="W336" t="str">
            <v>8935006542907</v>
          </cell>
        </row>
        <row r="337">
          <cell r="A337">
            <v>2026</v>
          </cell>
          <cell r="B337">
            <v>7</v>
          </cell>
          <cell r="C337">
            <v>46207</v>
          </cell>
          <cell r="D337" t="str">
            <v>1. SKK store</v>
          </cell>
          <cell r="E337" t="str">
            <v>S1006</v>
          </cell>
          <cell r="F337" t="str">
            <v>SKK Trần Đăng Ninh</v>
          </cell>
          <cell r="G337" t="str">
            <v>0986211919</v>
          </cell>
          <cell r="H337" t="str">
            <v>cô Vân</v>
          </cell>
          <cell r="I337" t="str">
            <v>Khách cũ</v>
          </cell>
          <cell r="J337" t="str">
            <v>Đơn bán</v>
          </cell>
          <cell r="K337" t="str">
            <v>SAKUKO836080</v>
          </cell>
          <cell r="L337" t="str">
            <v>CHĂM SÓC SẮC ĐẸP</v>
          </cell>
          <cell r="M337" t="str">
            <v>CHĂM SÓC DA</v>
          </cell>
          <cell r="N337" t="str">
            <v>CHĂM SÓC DA KHÁC</v>
          </cell>
          <cell r="O337" t="str">
            <v>102388</v>
          </cell>
          <cell r="P337" t="str">
            <v>8935006542914</v>
          </cell>
          <cell r="Q337" t="str">
            <v>HADA LABO- Bộ sản phẩm dưỡng trắng (travel kit)47g</v>
          </cell>
          <cell r="R337">
            <v>135000</v>
          </cell>
          <cell r="S337">
            <v>1</v>
          </cell>
          <cell r="T337">
            <v>135000</v>
          </cell>
          <cell r="U337">
            <v>0</v>
          </cell>
          <cell r="V337">
            <v>135000</v>
          </cell>
          <cell r="W337" t="str">
            <v>8935006542914</v>
          </cell>
        </row>
        <row r="338">
          <cell r="A338">
            <v>2026</v>
          </cell>
          <cell r="B338">
            <v>7</v>
          </cell>
          <cell r="C338">
            <v>46207</v>
          </cell>
          <cell r="D338" t="str">
            <v>1. SKK store</v>
          </cell>
          <cell r="E338" t="str">
            <v>S1008</v>
          </cell>
          <cell r="F338" t="str">
            <v>SKK  Hàng Bông</v>
          </cell>
          <cell r="G338" t="str">
            <v>0386087996</v>
          </cell>
          <cell r="H338" t="str">
            <v>anh Hiệp</v>
          </cell>
          <cell r="I338" t="str">
            <v>Khách mới</v>
          </cell>
          <cell r="J338" t="str">
            <v>Đơn bán</v>
          </cell>
          <cell r="K338" t="str">
            <v>SAKUKO835818</v>
          </cell>
          <cell r="L338" t="str">
            <v>THỰC PHẨM</v>
          </cell>
          <cell r="M338" t="str">
            <v>MỲ, MIẾN</v>
          </cell>
          <cell r="N338" t="str">
            <v>MỲ ĂN LIỀN</v>
          </cell>
          <cell r="O338" t="str">
            <v>154359</v>
          </cell>
          <cell r="P338" t="str">
            <v>4979397000138</v>
          </cell>
          <cell r="Q338" t="str">
            <v>YAMAMOTO- Mì ramen ăn liền hải sản thịt heo 88g*5</v>
          </cell>
          <cell r="R338">
            <v>99000</v>
          </cell>
          <cell r="S338">
            <v>3</v>
          </cell>
          <cell r="T338">
            <v>297000</v>
          </cell>
          <cell r="U338">
            <v>0</v>
          </cell>
          <cell r="V338">
            <v>297000</v>
          </cell>
          <cell r="W338" t="str">
            <v>4979397000138</v>
          </cell>
        </row>
        <row r="339">
          <cell r="A339">
            <v>2026</v>
          </cell>
          <cell r="B339">
            <v>7</v>
          </cell>
          <cell r="C339">
            <v>46207</v>
          </cell>
          <cell r="D339" t="str">
            <v>1. SKK store</v>
          </cell>
          <cell r="E339" t="str">
            <v>S1008</v>
          </cell>
          <cell r="F339" t="str">
            <v>SKK  Hàng Bông</v>
          </cell>
          <cell r="G339" t="str">
            <v>0913010311</v>
          </cell>
          <cell r="H339" t="str">
            <v>Chị Nguyễn Thị Nội</v>
          </cell>
          <cell r="I339" t="str">
            <v>Khách cũ</v>
          </cell>
          <cell r="J339" t="str">
            <v>Đơn bán</v>
          </cell>
          <cell r="K339" t="str">
            <v>SAKUKO835754</v>
          </cell>
          <cell r="L339" t="str">
            <v>THỰC PHẨM</v>
          </cell>
          <cell r="M339" t="str">
            <v>MỲ, MIẾN</v>
          </cell>
          <cell r="N339" t="str">
            <v>MỲ ĂN LIỀN</v>
          </cell>
          <cell r="O339" t="str">
            <v>154359</v>
          </cell>
          <cell r="P339" t="str">
            <v>4979397000138</v>
          </cell>
          <cell r="Q339" t="str">
            <v>YAMAMOTO- Mì ramen ăn liền hải sản thịt heo 88g*5</v>
          </cell>
          <cell r="R339">
            <v>99000</v>
          </cell>
          <cell r="S339">
            <v>1</v>
          </cell>
          <cell r="T339">
            <v>99000</v>
          </cell>
          <cell r="U339">
            <v>0</v>
          </cell>
          <cell r="V339">
            <v>99000</v>
          </cell>
          <cell r="W339" t="str">
            <v>4979397000138</v>
          </cell>
        </row>
        <row r="340">
          <cell r="A340">
            <v>2026</v>
          </cell>
          <cell r="B340">
            <v>7</v>
          </cell>
          <cell r="C340">
            <v>46207</v>
          </cell>
          <cell r="D340" t="str">
            <v>1. SKK store</v>
          </cell>
          <cell r="E340" t="str">
            <v>S1015</v>
          </cell>
          <cell r="F340" t="str">
            <v>SKK Hàm Nghi</v>
          </cell>
          <cell r="G340" t="str">
            <v>0947396168</v>
          </cell>
          <cell r="H340" t="str">
            <v>cô san</v>
          </cell>
          <cell r="I340" t="str">
            <v>Khách cũ</v>
          </cell>
          <cell r="J340" t="str">
            <v>Đơn bán</v>
          </cell>
          <cell r="K340" t="str">
            <v>SAKUKO835728</v>
          </cell>
          <cell r="L340" t="str">
            <v>THỰC PHẨM</v>
          </cell>
          <cell r="M340" t="str">
            <v>MỲ, MIẾN</v>
          </cell>
          <cell r="N340" t="str">
            <v>MỲ CHẾ BIẾN</v>
          </cell>
          <cell r="O340" t="str">
            <v>175435</v>
          </cell>
          <cell r="P340" t="str">
            <v>4901726014752</v>
          </cell>
          <cell r="Q340" t="str">
            <v>ITSUKI FOODS- Mì soumen rau củ ngũ sắc320g</v>
          </cell>
          <cell r="R340">
            <v>76000</v>
          </cell>
          <cell r="S340">
            <v>3</v>
          </cell>
          <cell r="T340">
            <v>228000</v>
          </cell>
          <cell r="U340">
            <v>0</v>
          </cell>
          <cell r="V340">
            <v>228000</v>
          </cell>
          <cell r="W340" t="str">
            <v>4901726014752</v>
          </cell>
        </row>
        <row r="341">
          <cell r="A341">
            <v>2026</v>
          </cell>
          <cell r="B341">
            <v>7</v>
          </cell>
          <cell r="C341">
            <v>46207</v>
          </cell>
          <cell r="D341" t="str">
            <v>1. SKK store</v>
          </cell>
          <cell r="E341" t="str">
            <v>S1018</v>
          </cell>
          <cell r="F341" t="str">
            <v>SKK Nguyễn Tuân</v>
          </cell>
          <cell r="G341" t="str">
            <v>02422174499</v>
          </cell>
          <cell r="H341" t="str">
            <v>klnt</v>
          </cell>
          <cell r="I341" t="str">
            <v>Khách vãng lai</v>
          </cell>
          <cell r="J341" t="str">
            <v>Đơn bán</v>
          </cell>
          <cell r="K341" t="str">
            <v>SAKUKO836120</v>
          </cell>
          <cell r="L341" t="str">
            <v>NHÀ CỬA ĐỜI SỐNG</v>
          </cell>
          <cell r="M341" t="str">
            <v>ĐỒ DÙNG SINH HOẠT GIA ĐÌNH</v>
          </cell>
          <cell r="N341" t="str">
            <v>VẬT DỤNG SINH HOẠT KHÁC</v>
          </cell>
          <cell r="O341" t="str">
            <v>135039</v>
          </cell>
          <cell r="P341" t="str">
            <v>4968988074993</v>
          </cell>
          <cell r="Q341" t="str">
            <v>OMAICHI- Set 2 lọ chiết mỹ phẩm 40ml kèm hộp đựng</v>
          </cell>
          <cell r="R341">
            <v>52000</v>
          </cell>
          <cell r="S341">
            <v>1</v>
          </cell>
          <cell r="T341">
            <v>52000</v>
          </cell>
          <cell r="U341">
            <v>0</v>
          </cell>
          <cell r="V341">
            <v>52000</v>
          </cell>
          <cell r="W341" t="str">
            <v>4968988074993</v>
          </cell>
        </row>
        <row r="342">
          <cell r="A342">
            <v>2026</v>
          </cell>
          <cell r="B342">
            <v>7</v>
          </cell>
          <cell r="C342">
            <v>46207</v>
          </cell>
          <cell r="D342" t="str">
            <v>1. SKK store</v>
          </cell>
          <cell r="E342" t="str">
            <v>S1025</v>
          </cell>
          <cell r="F342" t="str">
            <v>SKK T6 Time City</v>
          </cell>
          <cell r="G342" t="str">
            <v>0983301285</v>
          </cell>
          <cell r="H342" t="str">
            <v>c Đặng Phương Mai</v>
          </cell>
          <cell r="I342" t="str">
            <v>Khách cũ</v>
          </cell>
          <cell r="J342" t="str">
            <v>Đơn bán</v>
          </cell>
          <cell r="K342" t="str">
            <v>SAKUKO836446</v>
          </cell>
          <cell r="L342" t="str">
            <v>THỰC PHẨM</v>
          </cell>
          <cell r="M342" t="str">
            <v>BÁNH KẸO, ĐỒ ĂN VẶT</v>
          </cell>
          <cell r="N342" t="str">
            <v>KẸO CAO SU</v>
          </cell>
          <cell r="O342" t="str">
            <v>231377</v>
          </cell>
          <cell r="P342" t="str">
            <v>4903333200375</v>
          </cell>
          <cell r="Q342" t="str">
            <v>LOTTE-Kẹo cao su tổng hợp dạng lọ 114g</v>
          </cell>
          <cell r="R342">
            <v>235000</v>
          </cell>
          <cell r="S342">
            <v>1</v>
          </cell>
          <cell r="T342">
            <v>235000</v>
          </cell>
          <cell r="U342">
            <v>0</v>
          </cell>
          <cell r="V342">
            <v>235000</v>
          </cell>
          <cell r="W342" t="str">
            <v>4903333200375</v>
          </cell>
        </row>
        <row r="343">
          <cell r="A343">
            <v>2026</v>
          </cell>
          <cell r="B343">
            <v>7</v>
          </cell>
          <cell r="C343">
            <v>46206</v>
          </cell>
          <cell r="D343" t="str">
            <v>1. SKK store</v>
          </cell>
          <cell r="E343" t="str">
            <v>S1004</v>
          </cell>
          <cell r="F343" t="str">
            <v>SKK  Mandarin C1</v>
          </cell>
          <cell r="G343" t="str">
            <v>0913211159</v>
          </cell>
          <cell r="H343" t="str">
            <v>Chị Diễm</v>
          </cell>
          <cell r="I343" t="str">
            <v>Khách cũ</v>
          </cell>
          <cell r="J343" t="str">
            <v>Đơn bán</v>
          </cell>
          <cell r="K343" t="str">
            <v>SAKUKO834924</v>
          </cell>
          <cell r="L343" t="str">
            <v>THỰC PHẨM</v>
          </cell>
          <cell r="M343" t="str">
            <v>BÁNH KẸO, ĐỒ ĂN VẶT</v>
          </cell>
          <cell r="N343" t="str">
            <v>KẸO CAO SU</v>
          </cell>
          <cell r="O343" t="str">
            <v>231376</v>
          </cell>
          <cell r="P343" t="str">
            <v>4903333228577</v>
          </cell>
          <cell r="Q343" t="str">
            <v>LOTTE-Kẹo cao su tổng hợp 7 loại dạng lọ 133g</v>
          </cell>
          <cell r="R343">
            <v>235000</v>
          </cell>
          <cell r="S343">
            <v>1</v>
          </cell>
          <cell r="T343">
            <v>235000</v>
          </cell>
          <cell r="U343">
            <v>0</v>
          </cell>
          <cell r="V343">
            <v>235000</v>
          </cell>
          <cell r="W343" t="str">
            <v>4903333228577</v>
          </cell>
        </row>
        <row r="344">
          <cell r="A344">
            <v>2026</v>
          </cell>
          <cell r="B344">
            <v>7</v>
          </cell>
          <cell r="C344">
            <v>46206</v>
          </cell>
          <cell r="D344" t="str">
            <v>1. SKK store</v>
          </cell>
          <cell r="E344" t="str">
            <v>S1004</v>
          </cell>
          <cell r="F344" t="str">
            <v>SKK  Mandarin C1</v>
          </cell>
          <cell r="G344" t="str">
            <v>0984663768</v>
          </cell>
          <cell r="H344" t="str">
            <v>C Phuong</v>
          </cell>
          <cell r="I344" t="str">
            <v>Khách cũ</v>
          </cell>
          <cell r="J344" t="str">
            <v>Đơn bán</v>
          </cell>
          <cell r="K344" t="str">
            <v>SAKUKO835486</v>
          </cell>
          <cell r="L344" t="str">
            <v>CHĂM SÓC SẮC ĐẸP</v>
          </cell>
          <cell r="M344" t="str">
            <v>CHĂM SÓC DA</v>
          </cell>
          <cell r="N344" t="str">
            <v>RỬA MẶT</v>
          </cell>
          <cell r="O344" t="str">
            <v>230269</v>
          </cell>
          <cell r="P344" t="str">
            <v>4987241173242</v>
          </cell>
          <cell r="Q344" t="str">
            <v>ROHTO- SRM Melano CC mờ thâm nám (130g)</v>
          </cell>
          <cell r="R344">
            <v>294000</v>
          </cell>
          <cell r="S344">
            <v>1</v>
          </cell>
          <cell r="T344">
            <v>294000</v>
          </cell>
          <cell r="U344">
            <v>0</v>
          </cell>
          <cell r="V344">
            <v>294000</v>
          </cell>
          <cell r="W344" t="str">
            <v>4987241173242</v>
          </cell>
        </row>
        <row r="345">
          <cell r="A345">
            <v>2026</v>
          </cell>
          <cell r="B345">
            <v>7</v>
          </cell>
          <cell r="C345">
            <v>46206</v>
          </cell>
          <cell r="D345" t="str">
            <v>1. SKK store</v>
          </cell>
          <cell r="E345" t="str">
            <v>S1004</v>
          </cell>
          <cell r="F345" t="str">
            <v>SKK  Mandarin C1</v>
          </cell>
          <cell r="G345" t="str">
            <v>0988880916</v>
          </cell>
          <cell r="H345" t="str">
            <v>cô hà</v>
          </cell>
          <cell r="I345" t="str">
            <v>Khách cũ</v>
          </cell>
          <cell r="J345" t="str">
            <v>Đơn bán</v>
          </cell>
          <cell r="K345" t="str">
            <v>SAKUKO835087</v>
          </cell>
          <cell r="L345" t="str">
            <v>ĐỒ CHO MẸ BÉ</v>
          </cell>
          <cell r="M345" t="str">
            <v>GIẤY ƯỚT</v>
          </cell>
          <cell r="N345" t="str">
            <v>GIẤY ƯỚT CHO BÉ</v>
          </cell>
          <cell r="O345" t="str">
            <v>121662</v>
          </cell>
          <cell r="P345" t="str">
            <v>8934755035036</v>
          </cell>
          <cell r="Q345" t="str">
            <v>FRESSI- Khăn ướt Care For All 20 miếng</v>
          </cell>
          <cell r="R345">
            <v>14000</v>
          </cell>
          <cell r="S345">
            <v>2</v>
          </cell>
          <cell r="T345">
            <v>28000</v>
          </cell>
          <cell r="U345">
            <v>0</v>
          </cell>
          <cell r="V345">
            <v>28000</v>
          </cell>
          <cell r="W345" t="str">
            <v>8934755035036</v>
          </cell>
        </row>
        <row r="346">
          <cell r="A346">
            <v>2026</v>
          </cell>
          <cell r="B346">
            <v>7</v>
          </cell>
          <cell r="C346">
            <v>46206</v>
          </cell>
          <cell r="D346" t="str">
            <v>1. SKK store</v>
          </cell>
          <cell r="E346" t="str">
            <v>S1004</v>
          </cell>
          <cell r="F346" t="str">
            <v>SKK  Mandarin C1</v>
          </cell>
          <cell r="G346" t="str">
            <v>0988922275</v>
          </cell>
          <cell r="H346" t="str">
            <v>Nguyễn hồng hạnh</v>
          </cell>
          <cell r="I346" t="str">
            <v>Khách cũ</v>
          </cell>
          <cell r="J346" t="str">
            <v>Đơn bán</v>
          </cell>
          <cell r="K346" t="str">
            <v>SAKUKO834380</v>
          </cell>
          <cell r="L346" t="str">
            <v>THỰC PHẨM</v>
          </cell>
          <cell r="M346" t="str">
            <v>BÁNH KẸO, ĐỒ ĂN VẶT</v>
          </cell>
          <cell r="N346" t="str">
            <v>KẸO CAO SU</v>
          </cell>
          <cell r="O346" t="str">
            <v>154105</v>
          </cell>
          <cell r="P346" t="str">
            <v>4547894156612</v>
          </cell>
          <cell r="Q346" t="str">
            <v>MONDELEZ JAPAN - Kẹo cao su 112g</v>
          </cell>
          <cell r="R346">
            <v>235000</v>
          </cell>
          <cell r="S346">
            <v>1</v>
          </cell>
          <cell r="T346">
            <v>235000</v>
          </cell>
          <cell r="U346">
            <v>0</v>
          </cell>
          <cell r="V346">
            <v>235000</v>
          </cell>
          <cell r="W346" t="str">
            <v>4547894156612</v>
          </cell>
        </row>
        <row r="347">
          <cell r="A347">
            <v>2026</v>
          </cell>
          <cell r="B347">
            <v>7</v>
          </cell>
          <cell r="C347">
            <v>46206</v>
          </cell>
          <cell r="D347" t="str">
            <v>1. SKK store</v>
          </cell>
          <cell r="E347" t="str">
            <v>S1005</v>
          </cell>
          <cell r="F347" t="str">
            <v>SKK  Thái Hà</v>
          </cell>
          <cell r="G347" t="str">
            <v>0972780489</v>
          </cell>
          <cell r="H347" t="str">
            <v>Co Xuan</v>
          </cell>
          <cell r="I347" t="str">
            <v>Khách cũ</v>
          </cell>
          <cell r="J347" t="str">
            <v>Đơn bán</v>
          </cell>
          <cell r="K347" t="str">
            <v>SAKUKO834777</v>
          </cell>
          <cell r="L347" t="str">
            <v>CHĂM SÓC SẮC ĐẸP</v>
          </cell>
          <cell r="M347" t="str">
            <v>CHĂM SÓC DA</v>
          </cell>
          <cell r="N347" t="str">
            <v>RỬA MẶT</v>
          </cell>
          <cell r="O347" t="str">
            <v>102448</v>
          </cell>
          <cell r="P347" t="str">
            <v>4902806470642</v>
          </cell>
          <cell r="Q347" t="str">
            <v>GATSBY- SRM sạch bụi &amp; dầu nhờn 130g</v>
          </cell>
          <cell r="R347">
            <v>100000</v>
          </cell>
          <cell r="S347">
            <v>1</v>
          </cell>
          <cell r="T347">
            <v>100000</v>
          </cell>
          <cell r="U347">
            <v>10000</v>
          </cell>
          <cell r="V347">
            <v>90000</v>
          </cell>
          <cell r="W347" t="str">
            <v>4902806470642</v>
          </cell>
        </row>
        <row r="348">
          <cell r="A348">
            <v>2026</v>
          </cell>
          <cell r="B348">
            <v>7</v>
          </cell>
          <cell r="C348">
            <v>46206</v>
          </cell>
          <cell r="D348" t="str">
            <v>1. SKK store</v>
          </cell>
          <cell r="E348" t="str">
            <v>S1006</v>
          </cell>
          <cell r="F348" t="str">
            <v>SKK Trần Đăng Ninh</v>
          </cell>
          <cell r="G348" t="str">
            <v>0398150524</v>
          </cell>
          <cell r="H348" t="str">
            <v>Chị Trang</v>
          </cell>
          <cell r="I348" t="str">
            <v>Khách cũ</v>
          </cell>
          <cell r="J348" t="str">
            <v>Đơn bán</v>
          </cell>
          <cell r="K348" t="str">
            <v>SAKUKO834757</v>
          </cell>
          <cell r="L348" t="str">
            <v>THỰC PHẨM</v>
          </cell>
          <cell r="M348" t="str">
            <v>BÁNH KẸO, ĐỒ ĂN VẶT</v>
          </cell>
          <cell r="N348" t="str">
            <v>KẸO CAO SU</v>
          </cell>
          <cell r="O348" t="str">
            <v>231377</v>
          </cell>
          <cell r="P348" t="str">
            <v>4903333200375</v>
          </cell>
          <cell r="Q348" t="str">
            <v>LOTTE-Kẹo cao su tổng hợp dạng lọ 114g</v>
          </cell>
          <cell r="R348">
            <v>235000</v>
          </cell>
          <cell r="S348">
            <v>1</v>
          </cell>
          <cell r="T348">
            <v>235000</v>
          </cell>
          <cell r="U348">
            <v>0</v>
          </cell>
          <cell r="V348">
            <v>235000</v>
          </cell>
          <cell r="W348" t="str">
            <v>4903333200375</v>
          </cell>
        </row>
        <row r="349">
          <cell r="A349">
            <v>2026</v>
          </cell>
          <cell r="B349">
            <v>7</v>
          </cell>
          <cell r="C349">
            <v>46206</v>
          </cell>
          <cell r="D349" t="str">
            <v>1. SKK store</v>
          </cell>
          <cell r="E349" t="str">
            <v>S1006</v>
          </cell>
          <cell r="F349" t="str">
            <v>SKK Trần Đăng Ninh</v>
          </cell>
          <cell r="G349" t="str">
            <v>0913521125</v>
          </cell>
          <cell r="H349" t="str">
            <v>Chị Hòa</v>
          </cell>
          <cell r="I349" t="str">
            <v>Khách cũ</v>
          </cell>
          <cell r="J349" t="str">
            <v>Đơn bán</v>
          </cell>
          <cell r="K349" t="str">
            <v>SAKUKO834727</v>
          </cell>
          <cell r="L349" t="str">
            <v>THỰC PHẨM</v>
          </cell>
          <cell r="M349" t="str">
            <v>BÁNH KẸO, ĐỒ ĂN VẶT</v>
          </cell>
          <cell r="N349" t="str">
            <v>KẸO CAO SU</v>
          </cell>
          <cell r="O349" t="str">
            <v>231377</v>
          </cell>
          <cell r="P349" t="str">
            <v>4903333200375</v>
          </cell>
          <cell r="Q349" t="str">
            <v>LOTTE-Kẹo cao su tổng hợp dạng lọ 114g</v>
          </cell>
          <cell r="R349">
            <v>235000</v>
          </cell>
          <cell r="S349">
            <v>1</v>
          </cell>
          <cell r="T349">
            <v>235000</v>
          </cell>
          <cell r="U349">
            <v>0</v>
          </cell>
          <cell r="V349">
            <v>235000</v>
          </cell>
          <cell r="W349" t="str">
            <v>4903333200375</v>
          </cell>
        </row>
        <row r="350">
          <cell r="A350">
            <v>2026</v>
          </cell>
          <cell r="B350">
            <v>7</v>
          </cell>
          <cell r="C350">
            <v>46206</v>
          </cell>
          <cell r="D350" t="str">
            <v>1. SKK store</v>
          </cell>
          <cell r="E350" t="str">
            <v>S1006</v>
          </cell>
          <cell r="F350" t="str">
            <v>SKK Trần Đăng Ninh</v>
          </cell>
          <cell r="G350" t="str">
            <v>0981661011</v>
          </cell>
          <cell r="H350" t="str">
            <v>anh lâm</v>
          </cell>
          <cell r="I350" t="str">
            <v>Khách cũ</v>
          </cell>
          <cell r="J350" t="str">
            <v>Đơn bán</v>
          </cell>
          <cell r="K350" t="str">
            <v>SAKUKO834918</v>
          </cell>
          <cell r="L350" t="str">
            <v>CHĂM SÓC SẮC ĐẸP</v>
          </cell>
          <cell r="M350" t="str">
            <v>CHĂM SÓC DA</v>
          </cell>
          <cell r="N350" t="str">
            <v>RỬA MẶT</v>
          </cell>
          <cell r="O350" t="str">
            <v>102448</v>
          </cell>
          <cell r="P350" t="str">
            <v>4902806470642</v>
          </cell>
          <cell r="Q350" t="str">
            <v>GATSBY- SRM sạch bụi &amp; dầu nhờn 130g</v>
          </cell>
          <cell r="R350">
            <v>100000</v>
          </cell>
          <cell r="S350">
            <v>2</v>
          </cell>
          <cell r="T350">
            <v>200000</v>
          </cell>
          <cell r="U350">
            <v>20000</v>
          </cell>
          <cell r="V350">
            <v>180000</v>
          </cell>
          <cell r="W350" t="str">
            <v>4902806470642</v>
          </cell>
        </row>
        <row r="351">
          <cell r="A351">
            <v>2026</v>
          </cell>
          <cell r="B351">
            <v>7</v>
          </cell>
          <cell r="C351">
            <v>46206</v>
          </cell>
          <cell r="D351" t="str">
            <v>1. SKK store</v>
          </cell>
          <cell r="E351" t="str">
            <v>S1006</v>
          </cell>
          <cell r="F351" t="str">
            <v>SKK Trần Đăng Ninh</v>
          </cell>
          <cell r="G351" t="str">
            <v>0981661011</v>
          </cell>
          <cell r="H351" t="str">
            <v>anh lâm</v>
          </cell>
          <cell r="I351" t="str">
            <v>Khách cũ</v>
          </cell>
          <cell r="J351" t="str">
            <v>Đơn bán</v>
          </cell>
          <cell r="K351" t="str">
            <v>SAKUKO834918</v>
          </cell>
          <cell r="L351" t="str">
            <v>CHĂM SÓC SẮC ĐẸP</v>
          </cell>
          <cell r="M351" t="str">
            <v>CHĂM SÓC DA</v>
          </cell>
          <cell r="N351" t="str">
            <v>RỬA MẶT</v>
          </cell>
          <cell r="O351" t="str">
            <v>230849</v>
          </cell>
          <cell r="P351" t="str">
            <v>4902806102048</v>
          </cell>
          <cell r="Q351" t="str">
            <v>GATSBY- SRM than hoạt tính sạch sâu 130g</v>
          </cell>
          <cell r="R351">
            <v>125000</v>
          </cell>
          <cell r="S351">
            <v>3</v>
          </cell>
          <cell r="T351">
            <v>375000</v>
          </cell>
          <cell r="U351">
            <v>37500</v>
          </cell>
          <cell r="V351">
            <v>337500</v>
          </cell>
          <cell r="W351" t="str">
            <v>4902806102048</v>
          </cell>
        </row>
        <row r="352">
          <cell r="A352">
            <v>2026</v>
          </cell>
          <cell r="B352">
            <v>7</v>
          </cell>
          <cell r="C352">
            <v>46206</v>
          </cell>
          <cell r="D352" t="str">
            <v>1. SKK store</v>
          </cell>
          <cell r="E352" t="str">
            <v>S1006</v>
          </cell>
          <cell r="F352" t="str">
            <v>SKK Trần Đăng Ninh</v>
          </cell>
          <cell r="G352" t="str">
            <v>0983206784</v>
          </cell>
          <cell r="H352" t="str">
            <v>Chị Phượng</v>
          </cell>
          <cell r="I352" t="str">
            <v>Khách cũ</v>
          </cell>
          <cell r="J352" t="str">
            <v>Đơn bán</v>
          </cell>
          <cell r="K352" t="str">
            <v>SAKUKO835197</v>
          </cell>
          <cell r="L352" t="str">
            <v>THỰC PHẨM</v>
          </cell>
          <cell r="M352" t="str">
            <v>MỲ, MIẾN</v>
          </cell>
          <cell r="N352" t="str">
            <v>MỲ ĂN LIỀN</v>
          </cell>
          <cell r="O352" t="str">
            <v>154198</v>
          </cell>
          <cell r="P352" t="str">
            <v>4979397000145</v>
          </cell>
          <cell r="Q352" t="str">
            <v>YAMAMOTO_Mì ramen ăn liền vị miso 90g*5</v>
          </cell>
          <cell r="R352">
            <v>99000</v>
          </cell>
          <cell r="S352">
            <v>2</v>
          </cell>
          <cell r="T352">
            <v>198000</v>
          </cell>
          <cell r="U352">
            <v>0</v>
          </cell>
          <cell r="V352">
            <v>198000</v>
          </cell>
          <cell r="W352" t="str">
            <v>4979397000145</v>
          </cell>
        </row>
        <row r="353">
          <cell r="A353">
            <v>2026</v>
          </cell>
          <cell r="B353">
            <v>7</v>
          </cell>
          <cell r="C353">
            <v>46206</v>
          </cell>
          <cell r="D353" t="str">
            <v>1. SKK store</v>
          </cell>
          <cell r="E353" t="str">
            <v>S1008</v>
          </cell>
          <cell r="F353" t="str">
            <v>SKK  Hàng Bông</v>
          </cell>
          <cell r="G353" t="str">
            <v>02466810202</v>
          </cell>
          <cell r="H353" t="str">
            <v>KH Tây</v>
          </cell>
          <cell r="I353" t="str">
            <v>Khách vãng lai</v>
          </cell>
          <cell r="J353" t="str">
            <v>Đơn bán</v>
          </cell>
          <cell r="K353" t="str">
            <v>SAKUKO834865</v>
          </cell>
          <cell r="L353" t="str">
            <v>NHÀ CỬA ĐỜI SỐNG</v>
          </cell>
          <cell r="M353" t="str">
            <v>ĐỒ DÙNG SINH HOẠT GIA ĐÌNH</v>
          </cell>
          <cell r="N353" t="str">
            <v>VẬT DỤNG SINH HOẠT KHÁC</v>
          </cell>
          <cell r="O353" t="str">
            <v>135039</v>
          </cell>
          <cell r="P353" t="str">
            <v>4968988074993</v>
          </cell>
          <cell r="Q353" t="str">
            <v>OMAICHI- Set 2 lọ chiết mỹ phẩm 40ml kèm hộp đựng</v>
          </cell>
          <cell r="R353">
            <v>52000</v>
          </cell>
          <cell r="S353">
            <v>1</v>
          </cell>
          <cell r="T353">
            <v>52000</v>
          </cell>
          <cell r="U353">
            <v>0</v>
          </cell>
          <cell r="V353">
            <v>52000</v>
          </cell>
          <cell r="W353" t="str">
            <v>4968988074993</v>
          </cell>
        </row>
        <row r="354">
          <cell r="A354">
            <v>2026</v>
          </cell>
          <cell r="B354">
            <v>7</v>
          </cell>
          <cell r="C354">
            <v>46206</v>
          </cell>
          <cell r="D354" t="str">
            <v>1. SKK store</v>
          </cell>
          <cell r="E354" t="str">
            <v>S1008</v>
          </cell>
          <cell r="F354" t="str">
            <v>SKK  Hàng Bông</v>
          </cell>
          <cell r="G354" t="str">
            <v>02466810202</v>
          </cell>
          <cell r="H354" t="str">
            <v>KH Tây</v>
          </cell>
          <cell r="I354" t="str">
            <v>Khách vãng lai</v>
          </cell>
          <cell r="J354" t="str">
            <v>Đơn bán</v>
          </cell>
          <cell r="K354" t="str">
            <v>SAKUKO835383</v>
          </cell>
          <cell r="L354" t="str">
            <v>ĐỒ CHO MẸ BÉ</v>
          </cell>
          <cell r="M354" t="str">
            <v>GIẤY ƯỚT</v>
          </cell>
          <cell r="N354" t="str">
            <v>GIẤY ƯỚT CHO BÉ</v>
          </cell>
          <cell r="O354" t="str">
            <v>121677</v>
          </cell>
          <cell r="P354" t="str">
            <v>8801260608836</v>
          </cell>
          <cell r="Q354" t="str">
            <v>KLEANNARA- Khăn ướt 5 tinh chất (có nắp) 100 tờ</v>
          </cell>
          <cell r="R354">
            <v>52000</v>
          </cell>
          <cell r="S354">
            <v>1</v>
          </cell>
          <cell r="T354">
            <v>52000</v>
          </cell>
          <cell r="U354">
            <v>0</v>
          </cell>
          <cell r="V354">
            <v>52000</v>
          </cell>
          <cell r="W354" t="str">
            <v>8801260608836</v>
          </cell>
        </row>
        <row r="355">
          <cell r="A355">
            <v>2026</v>
          </cell>
          <cell r="B355">
            <v>7</v>
          </cell>
          <cell r="C355">
            <v>46206</v>
          </cell>
          <cell r="D355" t="str">
            <v>1. SKK store</v>
          </cell>
          <cell r="E355" t="str">
            <v>S1015</v>
          </cell>
          <cell r="F355" t="str">
            <v>SKK Hàm Nghi</v>
          </cell>
          <cell r="G355" t="str">
            <v>0936900788</v>
          </cell>
          <cell r="H355" t="str">
            <v>Chị Hồng</v>
          </cell>
          <cell r="I355" t="str">
            <v>Khách cũ</v>
          </cell>
          <cell r="J355" t="str">
            <v>Đơn bán</v>
          </cell>
          <cell r="K355" t="str">
            <v>SAKUKO835029</v>
          </cell>
          <cell r="L355" t="str">
            <v>THỰC PHẨM</v>
          </cell>
          <cell r="M355" t="str">
            <v>MỲ, MIẾN</v>
          </cell>
          <cell r="N355" t="str">
            <v>MỲ ĂN LIỀN</v>
          </cell>
          <cell r="O355" t="str">
            <v>154198</v>
          </cell>
          <cell r="P355" t="str">
            <v>4979397000145</v>
          </cell>
          <cell r="Q355" t="str">
            <v>YAMAMOTO_Mì ramen ăn liền vị miso 90g*5</v>
          </cell>
          <cell r="R355">
            <v>99000</v>
          </cell>
          <cell r="S355">
            <v>1</v>
          </cell>
          <cell r="T355">
            <v>99000</v>
          </cell>
          <cell r="U355">
            <v>0</v>
          </cell>
          <cell r="V355">
            <v>99000</v>
          </cell>
          <cell r="W355" t="str">
            <v>4979397000145</v>
          </cell>
        </row>
        <row r="356">
          <cell r="A356">
            <v>2026</v>
          </cell>
          <cell r="B356">
            <v>7</v>
          </cell>
          <cell r="C356">
            <v>46206</v>
          </cell>
          <cell r="D356" t="str">
            <v>1. SKK store</v>
          </cell>
          <cell r="E356" t="str">
            <v>S1025</v>
          </cell>
          <cell r="F356" t="str">
            <v>SKK T6 Time City</v>
          </cell>
          <cell r="G356" t="str">
            <v>0976070091</v>
          </cell>
          <cell r="H356" t="str">
            <v>anh lê Ngọc lâm</v>
          </cell>
          <cell r="I356" t="str">
            <v>Khách cũ</v>
          </cell>
          <cell r="J356" t="str">
            <v>Đơn bán</v>
          </cell>
          <cell r="K356" t="str">
            <v>SAKUKO835536</v>
          </cell>
          <cell r="L356" t="str">
            <v>NHÀ CỬA ĐỜI SỐNG</v>
          </cell>
          <cell r="M356" t="str">
            <v>ĐỒ DÙNG SINH HOẠT GIA ĐÌNH</v>
          </cell>
          <cell r="N356" t="str">
            <v>VẬT DỤNG SINH HOẠT KHÁC</v>
          </cell>
          <cell r="O356" t="str">
            <v>135039</v>
          </cell>
          <cell r="P356" t="str">
            <v>4968988074993</v>
          </cell>
          <cell r="Q356" t="str">
            <v>OMAICHI- Set 2 lọ chiết mỹ phẩm 40ml kèm hộp đựng</v>
          </cell>
          <cell r="R356">
            <v>52000</v>
          </cell>
          <cell r="S356">
            <v>2</v>
          </cell>
          <cell r="T356">
            <v>104000</v>
          </cell>
          <cell r="U356">
            <v>0</v>
          </cell>
          <cell r="V356">
            <v>104000</v>
          </cell>
          <cell r="W356" t="str">
            <v>4968988074993</v>
          </cell>
        </row>
        <row r="357">
          <cell r="A357">
            <v>2026</v>
          </cell>
          <cell r="B357">
            <v>7</v>
          </cell>
          <cell r="C357">
            <v>46206</v>
          </cell>
          <cell r="D357" t="str">
            <v>1. SKK store</v>
          </cell>
          <cell r="E357" t="str">
            <v>S1025</v>
          </cell>
          <cell r="F357" t="str">
            <v>SKK T6 Time City</v>
          </cell>
          <cell r="G357" t="str">
            <v>0988111068</v>
          </cell>
          <cell r="H357" t="str">
            <v>chị trinh</v>
          </cell>
          <cell r="I357" t="str">
            <v>Khách mới</v>
          </cell>
          <cell r="J357" t="str">
            <v>Đơn bán</v>
          </cell>
          <cell r="K357" t="str">
            <v>SAKUKO835460</v>
          </cell>
          <cell r="L357" t="str">
            <v>CHĂM SÓC SẮC ĐẸP</v>
          </cell>
          <cell r="M357" t="str">
            <v>CHĂM SÓC DA</v>
          </cell>
          <cell r="N357" t="str">
            <v>RỬA MẶT</v>
          </cell>
          <cell r="O357" t="str">
            <v>102421</v>
          </cell>
          <cell r="P357" t="str">
            <v>4902468819032</v>
          </cell>
          <cell r="Q357" t="str">
            <v>MEISHOU- Sữa rửa mặt làm sạch thuần chay 100g</v>
          </cell>
          <cell r="R357">
            <v>295000</v>
          </cell>
          <cell r="S357">
            <v>1</v>
          </cell>
          <cell r="T357">
            <v>295000</v>
          </cell>
          <cell r="U357">
            <v>0</v>
          </cell>
          <cell r="V357">
            <v>295000</v>
          </cell>
          <cell r="W357" t="str">
            <v>4902468819032</v>
          </cell>
        </row>
        <row r="358">
          <cell r="A358">
            <v>2026</v>
          </cell>
          <cell r="B358">
            <v>7</v>
          </cell>
          <cell r="C358">
            <v>46205</v>
          </cell>
          <cell r="D358" t="str">
            <v>1. SKK store</v>
          </cell>
          <cell r="E358" t="str">
            <v>S1004</v>
          </cell>
          <cell r="F358" t="str">
            <v>SKK  Mandarin C1</v>
          </cell>
          <cell r="G358" t="str">
            <v>0938566876</v>
          </cell>
          <cell r="H358" t="str">
            <v>chị tuệ vân</v>
          </cell>
          <cell r="I358" t="str">
            <v>Khách cũ</v>
          </cell>
          <cell r="J358" t="str">
            <v>Đơn bán</v>
          </cell>
          <cell r="K358" t="str">
            <v>SAKUKO833755</v>
          </cell>
          <cell r="L358" t="str">
            <v>CHĂM SÓC SẮC ĐẸP</v>
          </cell>
          <cell r="M358" t="str">
            <v>CHĂM SÓC DA</v>
          </cell>
          <cell r="N358" t="str">
            <v>CHĂM SÓC DA KHÁC</v>
          </cell>
          <cell r="O358" t="str">
            <v>102388</v>
          </cell>
          <cell r="P358" t="str">
            <v>8935006542914</v>
          </cell>
          <cell r="Q358" t="str">
            <v>HADA LABO- Bộ sản phẩm dưỡng trắng (travel kit)47g</v>
          </cell>
          <cell r="R358">
            <v>135000</v>
          </cell>
          <cell r="S358">
            <v>1</v>
          </cell>
          <cell r="T358">
            <v>135000</v>
          </cell>
          <cell r="U358">
            <v>0</v>
          </cell>
          <cell r="V358">
            <v>135000</v>
          </cell>
          <cell r="W358" t="str">
            <v>8935006542914</v>
          </cell>
        </row>
        <row r="359">
          <cell r="A359">
            <v>2026</v>
          </cell>
          <cell r="B359">
            <v>7</v>
          </cell>
          <cell r="C359">
            <v>46205</v>
          </cell>
          <cell r="D359" t="str">
            <v>1. SKK store</v>
          </cell>
          <cell r="E359" t="str">
            <v>S1004</v>
          </cell>
          <cell r="F359" t="str">
            <v>SKK  Mandarin C1</v>
          </cell>
          <cell r="G359" t="str">
            <v>0983851962</v>
          </cell>
          <cell r="H359" t="str">
            <v>cô thịnh</v>
          </cell>
          <cell r="I359" t="str">
            <v>Khách mới</v>
          </cell>
          <cell r="J359" t="str">
            <v>Đơn bán</v>
          </cell>
          <cell r="K359" t="str">
            <v>SAKUKO833126</v>
          </cell>
          <cell r="L359" t="str">
            <v>NHÀ CỬA ĐỜI SỐNG</v>
          </cell>
          <cell r="M359" t="str">
            <v>ĐỒ DÙNG SINH HOẠT GIA ĐÌNH</v>
          </cell>
          <cell r="N359" t="str">
            <v>VẬT DỤNG SINH HOẠT KHÁC</v>
          </cell>
          <cell r="O359" t="str">
            <v>135039</v>
          </cell>
          <cell r="P359" t="str">
            <v>4968988074993</v>
          </cell>
          <cell r="Q359" t="str">
            <v>OMAICHI- Set 2 lọ chiết mỹ phẩm 40ml kèm hộp đựng</v>
          </cell>
          <cell r="R359">
            <v>52000</v>
          </cell>
          <cell r="S359">
            <v>1</v>
          </cell>
          <cell r="T359">
            <v>52000</v>
          </cell>
          <cell r="U359">
            <v>0</v>
          </cell>
          <cell r="V359">
            <v>52000</v>
          </cell>
          <cell r="W359" t="str">
            <v>4968988074993</v>
          </cell>
        </row>
        <row r="360">
          <cell r="A360">
            <v>2026</v>
          </cell>
          <cell r="B360">
            <v>7</v>
          </cell>
          <cell r="C360">
            <v>46205</v>
          </cell>
          <cell r="D360" t="str">
            <v>1. SKK store</v>
          </cell>
          <cell r="E360" t="str">
            <v>S1004</v>
          </cell>
          <cell r="F360" t="str">
            <v>SKK  Mandarin C1</v>
          </cell>
          <cell r="G360" t="str">
            <v>0987100888</v>
          </cell>
          <cell r="H360" t="str">
            <v>chi hong</v>
          </cell>
          <cell r="I360" t="str">
            <v>Khách cũ</v>
          </cell>
          <cell r="J360" t="str">
            <v>Đơn bán</v>
          </cell>
          <cell r="K360" t="str">
            <v>SAKUKO833559</v>
          </cell>
          <cell r="L360" t="str">
            <v>THỰC PHẨM</v>
          </cell>
          <cell r="M360" t="str">
            <v>MỲ, MIẾN</v>
          </cell>
          <cell r="N360" t="str">
            <v>MỲ ĂN LIỀN</v>
          </cell>
          <cell r="O360" t="str">
            <v>154196</v>
          </cell>
          <cell r="P360" t="str">
            <v>4979397000152</v>
          </cell>
          <cell r="Q360" t="str">
            <v>YAMAMOTO_Mì xào kiểu Nhật 89g*5</v>
          </cell>
          <cell r="R360">
            <v>99000</v>
          </cell>
          <cell r="S360">
            <v>1</v>
          </cell>
          <cell r="T360">
            <v>99000</v>
          </cell>
          <cell r="U360">
            <v>0</v>
          </cell>
          <cell r="V360">
            <v>99000</v>
          </cell>
          <cell r="W360" t="str">
            <v>4979397000152</v>
          </cell>
        </row>
        <row r="361">
          <cell r="A361">
            <v>2026</v>
          </cell>
          <cell r="B361">
            <v>7</v>
          </cell>
          <cell r="C361">
            <v>46205</v>
          </cell>
          <cell r="D361" t="str">
            <v>1. SKK store</v>
          </cell>
          <cell r="E361" t="str">
            <v>S1004</v>
          </cell>
          <cell r="F361" t="str">
            <v>SKK  Mandarin C1</v>
          </cell>
          <cell r="G361" t="str">
            <v>0989550937</v>
          </cell>
          <cell r="H361" t="str">
            <v>Thoa</v>
          </cell>
          <cell r="I361" t="str">
            <v>Khách cũ</v>
          </cell>
          <cell r="J361" t="str">
            <v>Đơn bán</v>
          </cell>
          <cell r="K361" t="str">
            <v>SAKUKO833478</v>
          </cell>
          <cell r="L361" t="str">
            <v>THỰC PHẨM</v>
          </cell>
          <cell r="M361" t="str">
            <v>MỲ, MIẾN</v>
          </cell>
          <cell r="N361" t="str">
            <v>MỲ CHẾ BIẾN</v>
          </cell>
          <cell r="O361" t="str">
            <v>175435</v>
          </cell>
          <cell r="P361" t="str">
            <v>4901726014752</v>
          </cell>
          <cell r="Q361" t="str">
            <v>ITSUKI FOODS- Mì soumen rau củ ngũ sắc320g</v>
          </cell>
          <cell r="R361">
            <v>76000</v>
          </cell>
          <cell r="S361">
            <v>1</v>
          </cell>
          <cell r="T361">
            <v>76000</v>
          </cell>
          <cell r="U361">
            <v>0</v>
          </cell>
          <cell r="V361">
            <v>76000</v>
          </cell>
          <cell r="W361" t="str">
            <v>4901726014752</v>
          </cell>
        </row>
        <row r="362">
          <cell r="A362">
            <v>2026</v>
          </cell>
          <cell r="B362">
            <v>7</v>
          </cell>
          <cell r="C362">
            <v>46205</v>
          </cell>
          <cell r="D362" t="str">
            <v>1. SKK store</v>
          </cell>
          <cell r="E362" t="str">
            <v>S1005</v>
          </cell>
          <cell r="F362" t="str">
            <v>SKK  Thái Hà</v>
          </cell>
          <cell r="G362" t="str">
            <v>02466810505</v>
          </cell>
          <cell r="H362" t="str">
            <v>klth</v>
          </cell>
          <cell r="I362" t="str">
            <v>Khách vãng lai</v>
          </cell>
          <cell r="J362" t="str">
            <v>Đơn bán</v>
          </cell>
          <cell r="K362" t="str">
            <v>SAKUKO833470</v>
          </cell>
          <cell r="L362" t="str">
            <v>THỰC PHẨM</v>
          </cell>
          <cell r="M362" t="str">
            <v>BÁNH KẸO, ĐỒ ĂN VẶT</v>
          </cell>
          <cell r="N362" t="str">
            <v>KẸO CAO SU</v>
          </cell>
          <cell r="O362" t="str">
            <v>154653</v>
          </cell>
          <cell r="P362" t="str">
            <v>4547894156650</v>
          </cell>
          <cell r="Q362" t="str">
            <v>MONDELEZ JAPAN - Kẹo cao su vị bưởi hồng 130g</v>
          </cell>
          <cell r="R362">
            <v>235000</v>
          </cell>
          <cell r="S362">
            <v>1</v>
          </cell>
          <cell r="T362">
            <v>235000</v>
          </cell>
          <cell r="U362">
            <v>0</v>
          </cell>
          <cell r="V362">
            <v>235000</v>
          </cell>
          <cell r="W362" t="str">
            <v>4547894156650</v>
          </cell>
        </row>
        <row r="363">
          <cell r="A363">
            <v>2026</v>
          </cell>
          <cell r="B363">
            <v>7</v>
          </cell>
          <cell r="C363">
            <v>46205</v>
          </cell>
          <cell r="D363" t="str">
            <v>1. SKK store</v>
          </cell>
          <cell r="E363" t="str">
            <v>S1005</v>
          </cell>
          <cell r="F363" t="str">
            <v>SKK  Thái Hà</v>
          </cell>
          <cell r="G363" t="str">
            <v>02466810505</v>
          </cell>
          <cell r="H363" t="str">
            <v>klth</v>
          </cell>
          <cell r="I363" t="str">
            <v>Khách vãng lai</v>
          </cell>
          <cell r="J363" t="str">
            <v>Đơn bán</v>
          </cell>
          <cell r="K363" t="str">
            <v>SAKUKO834056</v>
          </cell>
          <cell r="L363" t="str">
            <v>CHĂM SÓC SẮC ĐẸP</v>
          </cell>
          <cell r="M363" t="str">
            <v>CHĂM SÓC DA</v>
          </cell>
          <cell r="N363" t="str">
            <v>RỬA MẶT</v>
          </cell>
          <cell r="O363" t="str">
            <v>102412</v>
          </cell>
          <cell r="P363" t="str">
            <v>4902468802126</v>
          </cell>
          <cell r="Q363" t="str">
            <v>MEISHOKU- SRM ngăn ngừa mụn Bigan 80g</v>
          </cell>
          <cell r="R363">
            <v>255000</v>
          </cell>
          <cell r="S363">
            <v>1</v>
          </cell>
          <cell r="T363">
            <v>255000</v>
          </cell>
          <cell r="U363">
            <v>0</v>
          </cell>
          <cell r="V363">
            <v>255000</v>
          </cell>
          <cell r="W363" t="str">
            <v>4902468802126</v>
          </cell>
        </row>
        <row r="364">
          <cell r="A364">
            <v>2026</v>
          </cell>
          <cell r="B364">
            <v>7</v>
          </cell>
          <cell r="C364">
            <v>46205</v>
          </cell>
          <cell r="D364" t="str">
            <v>1. SKK store</v>
          </cell>
          <cell r="E364" t="str">
            <v>S1005</v>
          </cell>
          <cell r="F364" t="str">
            <v>SKK  Thái Hà</v>
          </cell>
          <cell r="G364" t="str">
            <v>02466810505</v>
          </cell>
          <cell r="H364" t="str">
            <v>klth</v>
          </cell>
          <cell r="I364" t="str">
            <v>Khách vãng lai</v>
          </cell>
          <cell r="J364" t="str">
            <v>Đơn bán</v>
          </cell>
          <cell r="K364" t="str">
            <v>SAKUKO834299</v>
          </cell>
          <cell r="L364" t="str">
            <v>THỰC PHẨM</v>
          </cell>
          <cell r="M364" t="str">
            <v>BÁNH KẸO, ĐỒ ĂN VẶT</v>
          </cell>
          <cell r="N364" t="str">
            <v>KẸO CAO SU</v>
          </cell>
          <cell r="O364" t="str">
            <v>153932</v>
          </cell>
          <cell r="P364" t="str">
            <v>4903333241651</v>
          </cell>
          <cell r="Q364" t="str">
            <v>LOTTE - Kẹo cao su black black ít đường 133g</v>
          </cell>
          <cell r="R364">
            <v>235000</v>
          </cell>
          <cell r="S364">
            <v>1</v>
          </cell>
          <cell r="T364">
            <v>235000</v>
          </cell>
          <cell r="U364">
            <v>0</v>
          </cell>
          <cell r="V364">
            <v>235000</v>
          </cell>
          <cell r="W364" t="str">
            <v>4903333241651</v>
          </cell>
        </row>
        <row r="365">
          <cell r="A365">
            <v>2026</v>
          </cell>
          <cell r="B365">
            <v>7</v>
          </cell>
          <cell r="C365">
            <v>46205</v>
          </cell>
          <cell r="D365" t="str">
            <v>1. SKK store</v>
          </cell>
          <cell r="E365" t="str">
            <v>S1005</v>
          </cell>
          <cell r="F365" t="str">
            <v>SKK  Thái Hà</v>
          </cell>
          <cell r="G365" t="str">
            <v>0936093306</v>
          </cell>
          <cell r="H365" t="str">
            <v>C Hương</v>
          </cell>
          <cell r="I365" t="str">
            <v>Khách cũ</v>
          </cell>
          <cell r="J365" t="str">
            <v>Đơn bán</v>
          </cell>
          <cell r="K365" t="str">
            <v>SAKUKO833973</v>
          </cell>
          <cell r="L365" t="str">
            <v>THỰC PHẨM</v>
          </cell>
          <cell r="M365" t="str">
            <v>MỲ, MIẾN</v>
          </cell>
          <cell r="N365" t="str">
            <v>MỲ ĂN LIỀN</v>
          </cell>
          <cell r="O365" t="str">
            <v>154198</v>
          </cell>
          <cell r="P365" t="str">
            <v>4979397000145</v>
          </cell>
          <cell r="Q365" t="str">
            <v>YAMAMOTO_Mì ramen ăn liền vị miso 90g*5</v>
          </cell>
          <cell r="R365">
            <v>99000</v>
          </cell>
          <cell r="S365">
            <v>1</v>
          </cell>
          <cell r="T365">
            <v>99000</v>
          </cell>
          <cell r="U365">
            <v>0</v>
          </cell>
          <cell r="V365">
            <v>99000</v>
          </cell>
          <cell r="W365" t="str">
            <v>4979397000145</v>
          </cell>
        </row>
        <row r="366">
          <cell r="A366">
            <v>2026</v>
          </cell>
          <cell r="B366">
            <v>7</v>
          </cell>
          <cell r="C366">
            <v>46205</v>
          </cell>
          <cell r="D366" t="str">
            <v>1. SKK store</v>
          </cell>
          <cell r="E366" t="str">
            <v>S1005</v>
          </cell>
          <cell r="F366" t="str">
            <v>SKK  Thái Hà</v>
          </cell>
          <cell r="G366" t="str">
            <v>0982927876</v>
          </cell>
          <cell r="H366" t="str">
            <v>chị nguyen kim dung</v>
          </cell>
          <cell r="I366" t="str">
            <v>Khách cũ</v>
          </cell>
          <cell r="J366" t="str">
            <v>Đơn bán</v>
          </cell>
          <cell r="K366" t="str">
            <v>SAKUKO834093</v>
          </cell>
          <cell r="L366" t="str">
            <v>ĐỒ CHO MẸ BÉ</v>
          </cell>
          <cell r="M366" t="str">
            <v>GIẤY ƯỚT</v>
          </cell>
          <cell r="N366" t="str">
            <v>GIẤY ƯỚT CHO BÉ</v>
          </cell>
          <cell r="O366" t="str">
            <v>121663</v>
          </cell>
          <cell r="P366" t="str">
            <v>8934755035197</v>
          </cell>
          <cell r="Q366" t="str">
            <v>FRESSI- Khăn ướt Care For All 100 miếng</v>
          </cell>
          <cell r="R366">
            <v>49000</v>
          </cell>
          <cell r="S366">
            <v>1</v>
          </cell>
          <cell r="T366">
            <v>49000</v>
          </cell>
          <cell r="U366">
            <v>0</v>
          </cell>
          <cell r="V366">
            <v>49000</v>
          </cell>
          <cell r="W366" t="str">
            <v>8934755035197</v>
          </cell>
        </row>
        <row r="367">
          <cell r="A367">
            <v>2026</v>
          </cell>
          <cell r="B367">
            <v>7</v>
          </cell>
          <cell r="C367">
            <v>46205</v>
          </cell>
          <cell r="D367" t="str">
            <v>1. SKK store</v>
          </cell>
          <cell r="E367" t="str">
            <v>S1005</v>
          </cell>
          <cell r="F367" t="str">
            <v>SKK  Thái Hà</v>
          </cell>
          <cell r="G367" t="str">
            <v>0983051277</v>
          </cell>
          <cell r="H367" t="str">
            <v>Chị Nguyễn Thái Quỳnh Chi</v>
          </cell>
          <cell r="I367" t="str">
            <v>Khách cũ</v>
          </cell>
          <cell r="J367" t="str">
            <v>Đơn bán</v>
          </cell>
          <cell r="K367" t="str">
            <v>SAKUKO833373</v>
          </cell>
          <cell r="L367" t="str">
            <v>ĐỒ CHO MẸ BÉ</v>
          </cell>
          <cell r="M367" t="str">
            <v>GIẤY ƯỚT</v>
          </cell>
          <cell r="N367" t="str">
            <v>GIẤY ƯỚT CHO BÉ</v>
          </cell>
          <cell r="O367" t="str">
            <v>121663</v>
          </cell>
          <cell r="P367" t="str">
            <v>8934755035197</v>
          </cell>
          <cell r="Q367" t="str">
            <v>FRESSI- Khăn ướt Care For All 100 miếng</v>
          </cell>
          <cell r="R367">
            <v>49000</v>
          </cell>
          <cell r="S367">
            <v>1</v>
          </cell>
          <cell r="T367">
            <v>49000</v>
          </cell>
          <cell r="U367">
            <v>0</v>
          </cell>
          <cell r="V367">
            <v>49000</v>
          </cell>
          <cell r="W367" t="str">
            <v>8934755035197</v>
          </cell>
        </row>
        <row r="368">
          <cell r="A368">
            <v>2026</v>
          </cell>
          <cell r="B368">
            <v>7</v>
          </cell>
          <cell r="C368">
            <v>46205</v>
          </cell>
          <cell r="D368" t="str">
            <v>1. SKK store</v>
          </cell>
          <cell r="E368" t="str">
            <v>S1006</v>
          </cell>
          <cell r="F368" t="str">
            <v>SKK Trần Đăng Ninh</v>
          </cell>
          <cell r="G368" t="str">
            <v>0913583890</v>
          </cell>
          <cell r="H368" t="str">
            <v>cô Kim Duyên</v>
          </cell>
          <cell r="I368" t="str">
            <v>Khách cũ</v>
          </cell>
          <cell r="J368" t="str">
            <v>Đơn bán</v>
          </cell>
          <cell r="K368" t="str">
            <v>SAKUKO833387</v>
          </cell>
          <cell r="L368" t="str">
            <v>THỰC PHẨM</v>
          </cell>
          <cell r="M368" t="str">
            <v>MỲ, MIẾN</v>
          </cell>
          <cell r="N368" t="str">
            <v>MỲ CHẾ BIẾN</v>
          </cell>
          <cell r="O368" t="str">
            <v>154249</v>
          </cell>
          <cell r="P368" t="str">
            <v>4517244004627</v>
          </cell>
          <cell r="Q368" t="str">
            <v>ASAHI_Mì udon khô 400g</v>
          </cell>
          <cell r="R368">
            <v>69000</v>
          </cell>
          <cell r="S368">
            <v>1</v>
          </cell>
          <cell r="T368">
            <v>69000</v>
          </cell>
          <cell r="U368">
            <v>0</v>
          </cell>
          <cell r="V368">
            <v>69000</v>
          </cell>
          <cell r="W368" t="str">
            <v>4517244004627</v>
          </cell>
        </row>
        <row r="369">
          <cell r="A369">
            <v>2026</v>
          </cell>
          <cell r="B369">
            <v>7</v>
          </cell>
          <cell r="C369">
            <v>46205</v>
          </cell>
          <cell r="D369" t="str">
            <v>1. SKK store</v>
          </cell>
          <cell r="E369" t="str">
            <v>S1006</v>
          </cell>
          <cell r="F369" t="str">
            <v>SKK Trần Đăng Ninh</v>
          </cell>
          <cell r="G369" t="str">
            <v>0968141492</v>
          </cell>
          <cell r="H369" t="str">
            <v>Anh Hòa</v>
          </cell>
          <cell r="I369" t="str">
            <v>Khách cũ</v>
          </cell>
          <cell r="J369" t="str">
            <v>Đơn bán</v>
          </cell>
          <cell r="K369" t="str">
            <v>SAKUKO833071</v>
          </cell>
          <cell r="L369" t="str">
            <v>NHÀ CỬA ĐỜI SỐNG</v>
          </cell>
          <cell r="M369" t="str">
            <v>PHÒNG CHỐNG CÔN TRÙNG</v>
          </cell>
          <cell r="N369" t="str">
            <v>DIỆT CÔN TRÙNG</v>
          </cell>
          <cell r="O369" t="str">
            <v>134480</v>
          </cell>
          <cell r="P369" t="str">
            <v>4987115545885</v>
          </cell>
          <cell r="Q369" t="str">
            <v>KINCHO-DD làm thơm phòng và đuổi muỗi (trái cây)</v>
          </cell>
          <cell r="R369">
            <v>239000</v>
          </cell>
          <cell r="S369">
            <v>1</v>
          </cell>
          <cell r="T369">
            <v>239000</v>
          </cell>
          <cell r="U369">
            <v>0</v>
          </cell>
          <cell r="V369">
            <v>239000</v>
          </cell>
          <cell r="W369" t="str">
            <v>4987115545885</v>
          </cell>
        </row>
        <row r="370">
          <cell r="A370">
            <v>2026</v>
          </cell>
          <cell r="B370">
            <v>7</v>
          </cell>
          <cell r="C370">
            <v>46205</v>
          </cell>
          <cell r="D370" t="str">
            <v>1. SKK store</v>
          </cell>
          <cell r="E370" t="str">
            <v>S1006</v>
          </cell>
          <cell r="F370" t="str">
            <v>SKK Trần Đăng Ninh</v>
          </cell>
          <cell r="G370" t="str">
            <v>0968141492</v>
          </cell>
          <cell r="H370" t="str">
            <v>Anh Hòa</v>
          </cell>
          <cell r="I370" t="str">
            <v>Khách cũ</v>
          </cell>
          <cell r="J370" t="str">
            <v>Đơn bán</v>
          </cell>
          <cell r="K370" t="str">
            <v>SAKUKO833071</v>
          </cell>
          <cell r="L370" t="str">
            <v>THỰC PHẨM</v>
          </cell>
          <cell r="M370" t="str">
            <v>BÁNH KẸO, ĐỒ ĂN VẶT</v>
          </cell>
          <cell r="N370" t="str">
            <v>KẸO CAO SU</v>
          </cell>
          <cell r="O370" t="str">
            <v>154105</v>
          </cell>
          <cell r="P370" t="str">
            <v>4547894156612</v>
          </cell>
          <cell r="Q370" t="str">
            <v>MONDELEZ JAPAN - Kẹo cao su 112g</v>
          </cell>
          <cell r="R370">
            <v>235000</v>
          </cell>
          <cell r="S370">
            <v>1</v>
          </cell>
          <cell r="T370">
            <v>235000</v>
          </cell>
          <cell r="U370">
            <v>0</v>
          </cell>
          <cell r="V370">
            <v>235000</v>
          </cell>
          <cell r="W370" t="str">
            <v>4547894156612</v>
          </cell>
        </row>
        <row r="371">
          <cell r="A371">
            <v>2026</v>
          </cell>
          <cell r="B371">
            <v>7</v>
          </cell>
          <cell r="C371">
            <v>46205</v>
          </cell>
          <cell r="D371" t="str">
            <v>1. SKK store</v>
          </cell>
          <cell r="E371" t="str">
            <v>S1006</v>
          </cell>
          <cell r="F371" t="str">
            <v>SKK Trần Đăng Ninh</v>
          </cell>
          <cell r="G371" t="str">
            <v>0984777861</v>
          </cell>
          <cell r="H371" t="str">
            <v>Chị Thơ</v>
          </cell>
          <cell r="I371" t="str">
            <v>Khách cũ</v>
          </cell>
          <cell r="J371" t="str">
            <v>Đơn bán</v>
          </cell>
          <cell r="K371" t="str">
            <v>SAKUKO833429</v>
          </cell>
          <cell r="L371" t="str">
            <v>CHĂM SÓC SẮC ĐẸP</v>
          </cell>
          <cell r="M371" t="str">
            <v>CHĂM SÓC CƠ THỂ</v>
          </cell>
          <cell r="N371" t="str">
            <v>CHỐNG NẮNG</v>
          </cell>
          <cell r="O371" t="str">
            <v>102422</v>
          </cell>
          <cell r="P371" t="str">
            <v>4902468297151</v>
          </cell>
          <cell r="Q371" t="str">
            <v>MEISHOU- KCN tone hồng cho da nhạy cảm 40g</v>
          </cell>
          <cell r="R371">
            <v>435000</v>
          </cell>
          <cell r="S371">
            <v>1</v>
          </cell>
          <cell r="T371">
            <v>435000</v>
          </cell>
          <cell r="U371">
            <v>0</v>
          </cell>
          <cell r="V371">
            <v>435000</v>
          </cell>
          <cell r="W371" t="str">
            <v>4902468297151</v>
          </cell>
        </row>
        <row r="372">
          <cell r="A372">
            <v>2026</v>
          </cell>
          <cell r="B372">
            <v>7</v>
          </cell>
          <cell r="C372">
            <v>46205</v>
          </cell>
          <cell r="D372" t="str">
            <v>1. SKK store</v>
          </cell>
          <cell r="E372" t="str">
            <v>S1006</v>
          </cell>
          <cell r="F372" t="str">
            <v>SKK Trần Đăng Ninh</v>
          </cell>
          <cell r="G372" t="str">
            <v>0986679454</v>
          </cell>
          <cell r="H372" t="str">
            <v>chị quỳnh</v>
          </cell>
          <cell r="I372" t="str">
            <v>Khách mới</v>
          </cell>
          <cell r="J372" t="str">
            <v>Đơn bán</v>
          </cell>
          <cell r="K372" t="str">
            <v>SAKUKO834134</v>
          </cell>
          <cell r="L372" t="str">
            <v>THỰC PHẨM</v>
          </cell>
          <cell r="M372" t="str">
            <v>BÁNH KẸO, ĐỒ ĂN VẶT</v>
          </cell>
          <cell r="N372" t="str">
            <v>KẸO CAO SU</v>
          </cell>
          <cell r="O372" t="str">
            <v>154105</v>
          </cell>
          <cell r="P372" t="str">
            <v>4547894156612</v>
          </cell>
          <cell r="Q372" t="str">
            <v>MONDELEZ JAPAN - Kẹo cao su 112g</v>
          </cell>
          <cell r="R372">
            <v>235000</v>
          </cell>
          <cell r="S372">
            <v>1</v>
          </cell>
          <cell r="T372">
            <v>235000</v>
          </cell>
          <cell r="U372">
            <v>0</v>
          </cell>
          <cell r="V372">
            <v>235000</v>
          </cell>
          <cell r="W372" t="str">
            <v>4547894156612</v>
          </cell>
        </row>
        <row r="373">
          <cell r="A373">
            <v>2026</v>
          </cell>
          <cell r="B373">
            <v>7</v>
          </cell>
          <cell r="C373">
            <v>46205</v>
          </cell>
          <cell r="D373" t="str">
            <v>1. SKK store</v>
          </cell>
          <cell r="E373" t="str">
            <v>S1007</v>
          </cell>
          <cell r="F373" t="str">
            <v>SKK  Nguyễn Du</v>
          </cell>
          <cell r="G373" t="str">
            <v>0982161655</v>
          </cell>
          <cell r="H373" t="str">
            <v>Nguyễn Thị Ngọc Giao</v>
          </cell>
          <cell r="I373" t="str">
            <v>Khách cũ</v>
          </cell>
          <cell r="J373" t="str">
            <v>Đơn bán</v>
          </cell>
          <cell r="K373" t="str">
            <v>SAKUKO833110</v>
          </cell>
          <cell r="L373" t="str">
            <v>THỰC PHẨM</v>
          </cell>
          <cell r="M373" t="str">
            <v>MỲ, MIẾN</v>
          </cell>
          <cell r="N373" t="str">
            <v>MỲ CHẾ BIẾN</v>
          </cell>
          <cell r="O373" t="str">
            <v>154249</v>
          </cell>
          <cell r="P373" t="str">
            <v>4517244004627</v>
          </cell>
          <cell r="Q373" t="str">
            <v>ASAHI_Mì udon khô 400g</v>
          </cell>
          <cell r="R373">
            <v>69000</v>
          </cell>
          <cell r="S373">
            <v>1</v>
          </cell>
          <cell r="T373">
            <v>69000</v>
          </cell>
          <cell r="U373">
            <v>0</v>
          </cell>
          <cell r="V373">
            <v>69000</v>
          </cell>
          <cell r="W373" t="str">
            <v>4517244004627</v>
          </cell>
        </row>
        <row r="374">
          <cell r="A374">
            <v>2026</v>
          </cell>
          <cell r="B374">
            <v>7</v>
          </cell>
          <cell r="C374">
            <v>46205</v>
          </cell>
          <cell r="D374" t="str">
            <v>1. SKK store</v>
          </cell>
          <cell r="E374" t="str">
            <v>S1007</v>
          </cell>
          <cell r="F374" t="str">
            <v>SKK  Nguyễn Du</v>
          </cell>
          <cell r="G374" t="str">
            <v>0989640519</v>
          </cell>
          <cell r="H374" t="str">
            <v>Chị Thúy</v>
          </cell>
          <cell r="I374" t="str">
            <v>Khách cũ</v>
          </cell>
          <cell r="J374" t="str">
            <v>Đơn bán</v>
          </cell>
          <cell r="K374" t="str">
            <v>SAKUKO833881</v>
          </cell>
          <cell r="L374" t="str">
            <v>CHĂM SÓC SẮC ĐẸP</v>
          </cell>
          <cell r="M374" t="str">
            <v>CHĂM SÓC DA</v>
          </cell>
          <cell r="N374" t="str">
            <v>RỬA MẶT</v>
          </cell>
          <cell r="O374" t="str">
            <v>230269</v>
          </cell>
          <cell r="P374" t="str">
            <v>4987241173242</v>
          </cell>
          <cell r="Q374" t="str">
            <v>ROHTO- SRM Melano CC mờ thâm nám (130g)</v>
          </cell>
          <cell r="R374">
            <v>294000</v>
          </cell>
          <cell r="S374">
            <v>1</v>
          </cell>
          <cell r="T374">
            <v>294000</v>
          </cell>
          <cell r="U374">
            <v>0</v>
          </cell>
          <cell r="V374">
            <v>294000</v>
          </cell>
          <cell r="W374" t="str">
            <v>4987241173242</v>
          </cell>
        </row>
        <row r="375">
          <cell r="A375">
            <v>2026</v>
          </cell>
          <cell r="B375">
            <v>7</v>
          </cell>
          <cell r="C375">
            <v>46205</v>
          </cell>
          <cell r="D375" t="str">
            <v>1. SKK store</v>
          </cell>
          <cell r="E375" t="str">
            <v>S1008</v>
          </cell>
          <cell r="F375" t="str">
            <v>SKK  Hàng Bông</v>
          </cell>
          <cell r="G375" t="str">
            <v>0912403495</v>
          </cell>
          <cell r="H375" t="str">
            <v>chi Lê</v>
          </cell>
          <cell r="I375" t="str">
            <v>Khách cũ</v>
          </cell>
          <cell r="J375" t="str">
            <v>Đơn bán</v>
          </cell>
          <cell r="K375" t="str">
            <v>SAKUKO833717</v>
          </cell>
          <cell r="L375" t="str">
            <v>ĐỒ CHO MẸ BÉ</v>
          </cell>
          <cell r="M375" t="str">
            <v>GIẤY ƯỚT</v>
          </cell>
          <cell r="N375" t="str">
            <v>GIẤY ƯỚT CHO BÉ</v>
          </cell>
          <cell r="O375" t="str">
            <v>121662</v>
          </cell>
          <cell r="P375" t="str">
            <v>8934755035036</v>
          </cell>
          <cell r="Q375" t="str">
            <v>FRESSI- Khăn ướt Care For All 20 miếng</v>
          </cell>
          <cell r="R375">
            <v>14000</v>
          </cell>
          <cell r="S375">
            <v>1</v>
          </cell>
          <cell r="T375">
            <v>14000</v>
          </cell>
          <cell r="U375">
            <v>0</v>
          </cell>
          <cell r="V375">
            <v>14000</v>
          </cell>
          <cell r="W375" t="str">
            <v>8934755035036</v>
          </cell>
        </row>
        <row r="376">
          <cell r="A376">
            <v>2026</v>
          </cell>
          <cell r="B376">
            <v>7</v>
          </cell>
          <cell r="C376">
            <v>46205</v>
          </cell>
          <cell r="D376" t="str">
            <v>1. SKK store</v>
          </cell>
          <cell r="E376" t="str">
            <v>S1015</v>
          </cell>
          <cell r="F376" t="str">
            <v>SKK Hàm Nghi</v>
          </cell>
          <cell r="G376" t="str">
            <v>0989644158</v>
          </cell>
          <cell r="H376" t="str">
            <v>C LOAN</v>
          </cell>
          <cell r="I376" t="str">
            <v>Khách cũ</v>
          </cell>
          <cell r="J376" t="str">
            <v>Đơn bán</v>
          </cell>
          <cell r="K376" t="str">
            <v>SAKUKO834033</v>
          </cell>
          <cell r="L376" t="str">
            <v>CHĂM SÓC SẮC ĐẸP</v>
          </cell>
          <cell r="M376" t="str">
            <v>CHĂM SÓC DA</v>
          </cell>
          <cell r="N376" t="str">
            <v>RỬA MẶT</v>
          </cell>
          <cell r="O376" t="str">
            <v>230269</v>
          </cell>
          <cell r="P376" t="str">
            <v>4987241173242</v>
          </cell>
          <cell r="Q376" t="str">
            <v>ROHTO- SRM Melano CC mờ thâm nám (130g)</v>
          </cell>
          <cell r="R376">
            <v>294000</v>
          </cell>
          <cell r="S376">
            <v>1</v>
          </cell>
          <cell r="T376">
            <v>294000</v>
          </cell>
          <cell r="U376">
            <v>0</v>
          </cell>
          <cell r="V376">
            <v>294000</v>
          </cell>
          <cell r="W376" t="str">
            <v>4987241173242</v>
          </cell>
        </row>
        <row r="377">
          <cell r="A377">
            <v>2026</v>
          </cell>
          <cell r="B377">
            <v>7</v>
          </cell>
          <cell r="C377">
            <v>46205</v>
          </cell>
          <cell r="D377" t="str">
            <v>1. SKK store</v>
          </cell>
          <cell r="E377" t="str">
            <v>S1018</v>
          </cell>
          <cell r="F377" t="str">
            <v>SKK Nguyễn Tuân</v>
          </cell>
          <cell r="G377" t="str">
            <v>0585839333</v>
          </cell>
          <cell r="H377" t="str">
            <v>anh Huy</v>
          </cell>
          <cell r="I377" t="str">
            <v>Khách cũ</v>
          </cell>
          <cell r="J377" t="str">
            <v>Đơn bán</v>
          </cell>
          <cell r="K377" t="str">
            <v>SAKUKO833070</v>
          </cell>
          <cell r="L377" t="str">
            <v>ĐỒ CHO MẸ BÉ</v>
          </cell>
          <cell r="M377" t="str">
            <v>GIẤY ƯỚT</v>
          </cell>
          <cell r="N377" t="str">
            <v>GIẤY ƯỚT CHO BÉ</v>
          </cell>
          <cell r="O377" t="str">
            <v>121663</v>
          </cell>
          <cell r="P377" t="str">
            <v>8934755035197</v>
          </cell>
          <cell r="Q377" t="str">
            <v>FRESSI- Khăn ướt Care For All 100 miếng</v>
          </cell>
          <cell r="R377">
            <v>49000</v>
          </cell>
          <cell r="S377">
            <v>1</v>
          </cell>
          <cell r="T377">
            <v>49000</v>
          </cell>
          <cell r="U377">
            <v>0</v>
          </cell>
          <cell r="V377">
            <v>49000</v>
          </cell>
          <cell r="W377" t="str">
            <v>8934755035197</v>
          </cell>
        </row>
        <row r="378">
          <cell r="A378">
            <v>2026</v>
          </cell>
          <cell r="B378">
            <v>7</v>
          </cell>
          <cell r="C378">
            <v>46205</v>
          </cell>
          <cell r="D378" t="str">
            <v>1. SKK store</v>
          </cell>
          <cell r="E378" t="str">
            <v>S1018</v>
          </cell>
          <cell r="F378" t="str">
            <v>SKK Nguyễn Tuân</v>
          </cell>
          <cell r="G378" t="str">
            <v>0888686571</v>
          </cell>
          <cell r="H378" t="str">
            <v>ANH HƯNG</v>
          </cell>
          <cell r="I378" t="str">
            <v>Khách mới</v>
          </cell>
          <cell r="J378" t="str">
            <v>Đơn bán</v>
          </cell>
          <cell r="K378" t="str">
            <v>SAKUKO833443</v>
          </cell>
          <cell r="L378" t="str">
            <v>ĐỒ CHO MẸ BÉ</v>
          </cell>
          <cell r="M378" t="str">
            <v>GIẤY ƯỚT</v>
          </cell>
          <cell r="N378" t="str">
            <v>GIẤY ƯỚT CHO BÉ</v>
          </cell>
          <cell r="O378" t="str">
            <v>121665</v>
          </cell>
          <cell r="P378" t="str">
            <v>8934755035289</v>
          </cell>
          <cell r="Q378" t="str">
            <v>BOBBY- Khăn ướt em bé không mùi 100 miếng</v>
          </cell>
          <cell r="R378">
            <v>46000</v>
          </cell>
          <cell r="S378">
            <v>1</v>
          </cell>
          <cell r="T378">
            <v>46000</v>
          </cell>
          <cell r="U378">
            <v>0</v>
          </cell>
          <cell r="V378">
            <v>46000</v>
          </cell>
          <cell r="W378" t="str">
            <v>8934755035289</v>
          </cell>
        </row>
        <row r="379">
          <cell r="A379">
            <v>2026</v>
          </cell>
          <cell r="B379">
            <v>7</v>
          </cell>
          <cell r="C379">
            <v>46205</v>
          </cell>
          <cell r="D379" t="str">
            <v>1. SKK store</v>
          </cell>
          <cell r="E379" t="str">
            <v>S1025</v>
          </cell>
          <cell r="F379" t="str">
            <v>SKK T6 Time City</v>
          </cell>
          <cell r="G379" t="str">
            <v>0917224489</v>
          </cell>
          <cell r="H379" t="str">
            <v>chị ly</v>
          </cell>
          <cell r="I379" t="str">
            <v>Khách cũ</v>
          </cell>
          <cell r="J379" t="str">
            <v>Đơn bán</v>
          </cell>
          <cell r="K379" t="str">
            <v>SAKUKO833146</v>
          </cell>
          <cell r="L379" t="str">
            <v>NHÀ CỬA ĐỜI SỐNG</v>
          </cell>
          <cell r="M379" t="str">
            <v>ĐỒ DÙNG SINH HOẠT GIA ĐÌNH</v>
          </cell>
          <cell r="N379" t="str">
            <v>VẬT DỤNG SINH HOẠT KHÁC</v>
          </cell>
          <cell r="O379" t="str">
            <v>135039</v>
          </cell>
          <cell r="P379" t="str">
            <v>4968988074993</v>
          </cell>
          <cell r="Q379" t="str">
            <v>OMAICHI- Set 2 lọ chiết mỹ phẩm 40ml kèm hộp đựng</v>
          </cell>
          <cell r="R379">
            <v>52000</v>
          </cell>
          <cell r="S379">
            <v>2</v>
          </cell>
          <cell r="T379">
            <v>104000</v>
          </cell>
          <cell r="U379">
            <v>0</v>
          </cell>
          <cell r="V379">
            <v>104000</v>
          </cell>
          <cell r="W379" t="str">
            <v>4968988074993</v>
          </cell>
        </row>
        <row r="380">
          <cell r="A380">
            <v>2026</v>
          </cell>
          <cell r="B380">
            <v>7</v>
          </cell>
          <cell r="C380">
            <v>46205</v>
          </cell>
          <cell r="D380" t="str">
            <v>1. SKK store</v>
          </cell>
          <cell r="E380" t="str">
            <v>S1025</v>
          </cell>
          <cell r="F380" t="str">
            <v>SKK T6 Time City</v>
          </cell>
          <cell r="G380" t="str">
            <v>0983370597</v>
          </cell>
          <cell r="H380" t="str">
            <v>Cô quyên</v>
          </cell>
          <cell r="I380" t="str">
            <v>Khách cũ</v>
          </cell>
          <cell r="J380" t="str">
            <v>Đơn bán</v>
          </cell>
          <cell r="K380" t="str">
            <v>SAKUKO833168</v>
          </cell>
          <cell r="L380" t="str">
            <v>THỰC PHẨM</v>
          </cell>
          <cell r="M380" t="str">
            <v>MỲ, MIẾN</v>
          </cell>
          <cell r="N380" t="str">
            <v>MỲ CHẾ BIẾN</v>
          </cell>
          <cell r="O380" t="str">
            <v>175435</v>
          </cell>
          <cell r="P380" t="str">
            <v>4901726014752</v>
          </cell>
          <cell r="Q380" t="str">
            <v>ITSUKI FOODS- Mì soumen rau củ ngũ sắc320g</v>
          </cell>
          <cell r="R380">
            <v>76000</v>
          </cell>
          <cell r="S380">
            <v>1</v>
          </cell>
          <cell r="T380">
            <v>76000</v>
          </cell>
          <cell r="U380">
            <v>0</v>
          </cell>
          <cell r="V380">
            <v>76000</v>
          </cell>
          <cell r="W380" t="str">
            <v>4901726014752</v>
          </cell>
        </row>
        <row r="381">
          <cell r="A381">
            <v>2026</v>
          </cell>
          <cell r="B381">
            <v>7</v>
          </cell>
          <cell r="C381">
            <v>46204</v>
          </cell>
          <cell r="D381" t="str">
            <v>1. SKK store</v>
          </cell>
          <cell r="E381" t="str">
            <v>S1004</v>
          </cell>
          <cell r="F381" t="str">
            <v>SKK  Mandarin C1</v>
          </cell>
          <cell r="G381" t="str">
            <v>0982227827</v>
          </cell>
          <cell r="H381" t="str">
            <v>chị thuỳ vân</v>
          </cell>
          <cell r="I381" t="str">
            <v>Khách cũ</v>
          </cell>
          <cell r="J381" t="str">
            <v>Đơn bán</v>
          </cell>
          <cell r="K381" t="str">
            <v>SAKUKO832912</v>
          </cell>
          <cell r="L381" t="str">
            <v>ĐỒ CHO MẸ BÉ</v>
          </cell>
          <cell r="M381" t="str">
            <v>GIẤY ƯỚT</v>
          </cell>
          <cell r="N381" t="str">
            <v>GIẤY ƯỚT CHO BÉ</v>
          </cell>
          <cell r="O381" t="str">
            <v>121662</v>
          </cell>
          <cell r="P381" t="str">
            <v>8934755035036</v>
          </cell>
          <cell r="Q381" t="str">
            <v>FRESSI- Khăn ướt Care For All 20 miếng</v>
          </cell>
          <cell r="R381">
            <v>14000</v>
          </cell>
          <cell r="S381">
            <v>1</v>
          </cell>
          <cell r="T381">
            <v>14000</v>
          </cell>
          <cell r="U381">
            <v>0</v>
          </cell>
          <cell r="V381">
            <v>14000</v>
          </cell>
          <cell r="W381" t="str">
            <v>8934755035036</v>
          </cell>
        </row>
        <row r="382">
          <cell r="A382">
            <v>2026</v>
          </cell>
          <cell r="B382">
            <v>7</v>
          </cell>
          <cell r="C382">
            <v>46204</v>
          </cell>
          <cell r="D382" t="str">
            <v>1. SKK store</v>
          </cell>
          <cell r="E382" t="str">
            <v>S1004</v>
          </cell>
          <cell r="F382" t="str">
            <v>SKK  Mandarin C1</v>
          </cell>
          <cell r="G382" t="str">
            <v>0986946288</v>
          </cell>
          <cell r="H382" t="str">
            <v>chị mai</v>
          </cell>
          <cell r="I382" t="str">
            <v>Khách cũ</v>
          </cell>
          <cell r="J382" t="str">
            <v>Đơn bán</v>
          </cell>
          <cell r="K382" t="str">
            <v>SAKUKO831852</v>
          </cell>
          <cell r="L382" t="str">
            <v>CHĂM SÓC SẮC ĐẸP</v>
          </cell>
          <cell r="M382" t="str">
            <v>CHĂM SÓC DA</v>
          </cell>
          <cell r="N382" t="str">
            <v>RỬA MẶT</v>
          </cell>
          <cell r="O382" t="str">
            <v>230849</v>
          </cell>
          <cell r="P382" t="str">
            <v>4902806102048</v>
          </cell>
          <cell r="Q382" t="str">
            <v>GATSBY- SRM than hoạt tính sạch sâu 130g</v>
          </cell>
          <cell r="R382">
            <v>125000</v>
          </cell>
          <cell r="S382">
            <v>1</v>
          </cell>
          <cell r="T382">
            <v>125000</v>
          </cell>
          <cell r="U382">
            <v>12500</v>
          </cell>
          <cell r="V382">
            <v>112500</v>
          </cell>
          <cell r="W382" t="str">
            <v>4902806102048</v>
          </cell>
        </row>
        <row r="383">
          <cell r="A383">
            <v>2026</v>
          </cell>
          <cell r="B383">
            <v>7</v>
          </cell>
          <cell r="C383">
            <v>46204</v>
          </cell>
          <cell r="D383" t="str">
            <v>1. SKK store</v>
          </cell>
          <cell r="E383" t="str">
            <v>S1005</v>
          </cell>
          <cell r="F383" t="str">
            <v>SKK  Thái Hà</v>
          </cell>
          <cell r="G383" t="str">
            <v>0962644566</v>
          </cell>
          <cell r="H383" t="str">
            <v>C Cúc</v>
          </cell>
          <cell r="I383" t="str">
            <v>Khách cũ</v>
          </cell>
          <cell r="J383" t="str">
            <v>Đơn bán</v>
          </cell>
          <cell r="K383" t="str">
            <v>SAKUKO832685</v>
          </cell>
          <cell r="L383" t="str">
            <v>THỰC PHẨM</v>
          </cell>
          <cell r="M383" t="str">
            <v>MỲ, MIẾN</v>
          </cell>
          <cell r="N383" t="str">
            <v>MỲ ĂN LIỀN</v>
          </cell>
          <cell r="O383" t="str">
            <v>154359</v>
          </cell>
          <cell r="P383" t="str">
            <v>4979397000138</v>
          </cell>
          <cell r="Q383" t="str">
            <v>YAMAMOTO- Mì ramen ăn liền hải sản thịt heo 88g*5</v>
          </cell>
          <cell r="R383">
            <v>99000</v>
          </cell>
          <cell r="S383">
            <v>1</v>
          </cell>
          <cell r="T383">
            <v>99000</v>
          </cell>
          <cell r="U383">
            <v>0</v>
          </cell>
          <cell r="V383">
            <v>99000</v>
          </cell>
          <cell r="W383" t="str">
            <v>4979397000138</v>
          </cell>
        </row>
        <row r="384">
          <cell r="A384">
            <v>2026</v>
          </cell>
          <cell r="B384">
            <v>7</v>
          </cell>
          <cell r="C384">
            <v>46204</v>
          </cell>
          <cell r="D384" t="str">
            <v>1. SKK store</v>
          </cell>
          <cell r="E384" t="str">
            <v>S1006</v>
          </cell>
          <cell r="F384" t="str">
            <v>SKK Trần Đăng Ninh</v>
          </cell>
          <cell r="G384" t="str">
            <v>0365277668</v>
          </cell>
          <cell r="H384" t="str">
            <v>Chị Lưu Thanh Mai Lan</v>
          </cell>
          <cell r="I384" t="str">
            <v>Khách cũ</v>
          </cell>
          <cell r="J384" t="str">
            <v>Đơn bán</v>
          </cell>
          <cell r="K384" t="str">
            <v>SAKUKO832140</v>
          </cell>
          <cell r="L384" t="str">
            <v>CHĂM SÓC SẮC ĐẸP</v>
          </cell>
          <cell r="M384" t="str">
            <v>CHĂM SÓC DA</v>
          </cell>
          <cell r="N384" t="str">
            <v>KEM DƯỠNG</v>
          </cell>
          <cell r="O384" t="str">
            <v>102384</v>
          </cell>
          <cell r="P384" t="str">
            <v>4902468820014</v>
          </cell>
          <cell r="Q384" t="str">
            <v>MEISHOKU- Kem gel dưỡng ẩm phục hồi chuyên sâu 50g</v>
          </cell>
          <cell r="R384">
            <v>575000</v>
          </cell>
          <cell r="S384">
            <v>1</v>
          </cell>
          <cell r="T384">
            <v>575000</v>
          </cell>
          <cell r="U384">
            <v>0</v>
          </cell>
          <cell r="V384">
            <v>575000</v>
          </cell>
          <cell r="W384" t="str">
            <v>4902468820014</v>
          </cell>
        </row>
        <row r="385">
          <cell r="A385">
            <v>2026</v>
          </cell>
          <cell r="B385">
            <v>7</v>
          </cell>
          <cell r="C385">
            <v>46204</v>
          </cell>
          <cell r="D385" t="str">
            <v>1. SKK store</v>
          </cell>
          <cell r="E385" t="str">
            <v>S1006</v>
          </cell>
          <cell r="F385" t="str">
            <v>SKK Trần Đăng Ninh</v>
          </cell>
          <cell r="G385" t="str">
            <v>0365277668</v>
          </cell>
          <cell r="H385" t="str">
            <v>Chị Lưu Thanh Mai Lan</v>
          </cell>
          <cell r="I385" t="str">
            <v>Khách cũ</v>
          </cell>
          <cell r="J385" t="str">
            <v>Đơn bán</v>
          </cell>
          <cell r="K385" t="str">
            <v>SAKUKO832140</v>
          </cell>
          <cell r="L385" t="str">
            <v>CHĂM SÓC SẮC ĐẸP</v>
          </cell>
          <cell r="M385" t="str">
            <v>CHĂM SÓC DA</v>
          </cell>
          <cell r="N385" t="str">
            <v>KEM DƯỠNG</v>
          </cell>
          <cell r="O385" t="str">
            <v>102420</v>
          </cell>
          <cell r="P385" t="str">
            <v>4902468820007</v>
          </cell>
          <cell r="Q385" t="str">
            <v>MEISHOKU- Tinh chất dưỡng ẩm chuyên sâu 30ml</v>
          </cell>
          <cell r="R385">
            <v>555000</v>
          </cell>
          <cell r="S385">
            <v>1</v>
          </cell>
          <cell r="T385">
            <v>555000</v>
          </cell>
          <cell r="U385">
            <v>0</v>
          </cell>
          <cell r="V385">
            <v>555000</v>
          </cell>
          <cell r="W385" t="str">
            <v>4902468820007</v>
          </cell>
        </row>
        <row r="386">
          <cell r="A386">
            <v>2026</v>
          </cell>
          <cell r="B386">
            <v>7</v>
          </cell>
          <cell r="C386">
            <v>46204</v>
          </cell>
          <cell r="D386" t="str">
            <v>1. SKK store</v>
          </cell>
          <cell r="E386" t="str">
            <v>S1006</v>
          </cell>
          <cell r="F386" t="str">
            <v>SKK Trần Đăng Ninh</v>
          </cell>
          <cell r="G386" t="str">
            <v>0913057305</v>
          </cell>
          <cell r="H386" t="str">
            <v>CôKim Anh</v>
          </cell>
          <cell r="I386" t="str">
            <v>Khách cũ</v>
          </cell>
          <cell r="J386" t="str">
            <v>Đơn bán</v>
          </cell>
          <cell r="K386" t="str">
            <v>SAKUKO832016</v>
          </cell>
          <cell r="L386" t="str">
            <v>CHĂM SÓC SẮC ĐẸP</v>
          </cell>
          <cell r="M386" t="str">
            <v>Mỹ phẩm khác</v>
          </cell>
          <cell r="N386" t="str">
            <v>PHỤ KIỆN LÀM ĐẸP</v>
          </cell>
          <cell r="O386" t="str">
            <v>102389</v>
          </cell>
          <cell r="P386" t="str">
            <v>4969757110652</v>
          </cell>
          <cell r="Q386" t="str">
            <v>KYOWA- Gói bông tẩy trang 130 miếng</v>
          </cell>
          <cell r="R386">
            <v>49000</v>
          </cell>
          <cell r="S386">
            <v>1</v>
          </cell>
          <cell r="T386">
            <v>49000</v>
          </cell>
          <cell r="U386">
            <v>0</v>
          </cell>
          <cell r="V386">
            <v>49000</v>
          </cell>
          <cell r="W386" t="str">
            <v>4969757110652</v>
          </cell>
        </row>
        <row r="387">
          <cell r="A387">
            <v>2026</v>
          </cell>
          <cell r="B387">
            <v>7</v>
          </cell>
          <cell r="C387">
            <v>46204</v>
          </cell>
          <cell r="D387" t="str">
            <v>1. SKK store</v>
          </cell>
          <cell r="E387" t="str">
            <v>S1006</v>
          </cell>
          <cell r="F387" t="str">
            <v>SKK Trần Đăng Ninh</v>
          </cell>
          <cell r="G387" t="str">
            <v>0977938989</v>
          </cell>
          <cell r="H387" t="str">
            <v>chị Hương</v>
          </cell>
          <cell r="I387" t="str">
            <v>Khách cũ</v>
          </cell>
          <cell r="J387" t="str">
            <v>Đơn bán</v>
          </cell>
          <cell r="K387" t="str">
            <v>SAKUKO831925</v>
          </cell>
          <cell r="L387" t="str">
            <v>THỰC PHẨM</v>
          </cell>
          <cell r="M387" t="str">
            <v>MỲ, MIẾN</v>
          </cell>
          <cell r="N387" t="str">
            <v>MỲ CHẾ BIẾN</v>
          </cell>
          <cell r="O387" t="str">
            <v>175435</v>
          </cell>
          <cell r="P387" t="str">
            <v>4901726014752</v>
          </cell>
          <cell r="Q387" t="str">
            <v>ITSUKI FOODS- Mì soumen rau củ ngũ sắc320g</v>
          </cell>
          <cell r="R387">
            <v>76000</v>
          </cell>
          <cell r="S387">
            <v>1</v>
          </cell>
          <cell r="T387">
            <v>76000</v>
          </cell>
          <cell r="U387">
            <v>0</v>
          </cell>
          <cell r="V387">
            <v>76000</v>
          </cell>
          <cell r="W387" t="str">
            <v>4901726014752</v>
          </cell>
        </row>
        <row r="388">
          <cell r="A388">
            <v>2026</v>
          </cell>
          <cell r="B388">
            <v>7</v>
          </cell>
          <cell r="C388">
            <v>46204</v>
          </cell>
          <cell r="D388" t="str">
            <v>1. SKK store</v>
          </cell>
          <cell r="E388" t="str">
            <v>S1006</v>
          </cell>
          <cell r="F388" t="str">
            <v>SKK Trần Đăng Ninh</v>
          </cell>
          <cell r="G388" t="str">
            <v>0989325758</v>
          </cell>
          <cell r="H388" t="str">
            <v>cô Loan</v>
          </cell>
          <cell r="I388" t="str">
            <v>Khách cũ</v>
          </cell>
          <cell r="J388" t="str">
            <v>Đơn bán</v>
          </cell>
          <cell r="K388" t="str">
            <v>SAKUKO831961</v>
          </cell>
          <cell r="L388" t="str">
            <v>NHÀ CỬA ĐỜI SỐNG</v>
          </cell>
          <cell r="M388" t="str">
            <v>KHĂN</v>
          </cell>
          <cell r="N388" t="str">
            <v>KHĂN MẶT</v>
          </cell>
          <cell r="O388" t="str">
            <v>102390</v>
          </cell>
          <cell r="P388" t="str">
            <v>4906327905980</v>
          </cell>
          <cell r="Q388" t="str">
            <v>KOMODA - Khăn mặt khô dùng 1 lần 46m 20x20cm</v>
          </cell>
          <cell r="R388">
            <v>52000</v>
          </cell>
          <cell r="S388">
            <v>1</v>
          </cell>
          <cell r="T388">
            <v>52000</v>
          </cell>
          <cell r="U388">
            <v>0</v>
          </cell>
          <cell r="V388">
            <v>52000</v>
          </cell>
          <cell r="W388" t="str">
            <v>4906327905980</v>
          </cell>
        </row>
        <row r="389">
          <cell r="A389">
            <v>2026</v>
          </cell>
          <cell r="B389">
            <v>7</v>
          </cell>
          <cell r="C389">
            <v>46204</v>
          </cell>
          <cell r="D389" t="str">
            <v>1. SKK store</v>
          </cell>
          <cell r="E389" t="str">
            <v>S1008</v>
          </cell>
          <cell r="F389" t="str">
            <v>SKK  Hàng Bông</v>
          </cell>
          <cell r="G389" t="str">
            <v>0342431045</v>
          </cell>
          <cell r="H389" t="str">
            <v>cô Đặng Thị Phúc</v>
          </cell>
          <cell r="I389" t="str">
            <v>Khách cũ</v>
          </cell>
          <cell r="J389" t="str">
            <v>Đơn bán</v>
          </cell>
          <cell r="K389" t="str">
            <v>SAKUKO832629</v>
          </cell>
          <cell r="L389" t="str">
            <v>THỰC PHẨM</v>
          </cell>
          <cell r="M389" t="str">
            <v>MỲ, MIẾN</v>
          </cell>
          <cell r="N389" t="str">
            <v>MỲ ĂN LIỀN</v>
          </cell>
          <cell r="O389" t="str">
            <v>154359</v>
          </cell>
          <cell r="P389" t="str">
            <v>4979397000138</v>
          </cell>
          <cell r="Q389" t="str">
            <v>YAMAMOTO- Mì ramen ăn liền hải sản thịt heo 88g*5</v>
          </cell>
          <cell r="R389">
            <v>99000</v>
          </cell>
          <cell r="S389">
            <v>1</v>
          </cell>
          <cell r="T389">
            <v>99000</v>
          </cell>
          <cell r="U389">
            <v>0</v>
          </cell>
          <cell r="V389">
            <v>99000</v>
          </cell>
          <cell r="W389" t="str">
            <v>4979397000138</v>
          </cell>
        </row>
        <row r="390">
          <cell r="A390">
            <v>2026</v>
          </cell>
          <cell r="B390">
            <v>7</v>
          </cell>
          <cell r="C390">
            <v>46204</v>
          </cell>
          <cell r="D390" t="str">
            <v>1. SKK store</v>
          </cell>
          <cell r="E390" t="str">
            <v>S1008</v>
          </cell>
          <cell r="F390" t="str">
            <v>SKK  Hàng Bông</v>
          </cell>
          <cell r="G390" t="str">
            <v>0912188027</v>
          </cell>
          <cell r="H390" t="str">
            <v>Cô Khanh</v>
          </cell>
          <cell r="I390" t="str">
            <v>Khách cũ</v>
          </cell>
          <cell r="J390" t="str">
            <v>Đơn bán</v>
          </cell>
          <cell r="K390" t="str">
            <v>SAKUKO832572</v>
          </cell>
          <cell r="L390" t="str">
            <v>CHĂM SÓC SẮC ĐẸP</v>
          </cell>
          <cell r="M390" t="str">
            <v>CHĂM SÓC DA</v>
          </cell>
          <cell r="N390" t="str">
            <v>RỬA MẶT</v>
          </cell>
          <cell r="O390" t="str">
            <v>102448</v>
          </cell>
          <cell r="P390" t="str">
            <v>4902806470642</v>
          </cell>
          <cell r="Q390" t="str">
            <v>GATSBY- SRM sạch bụi &amp; dầu nhờn 130g</v>
          </cell>
          <cell r="R390">
            <v>100000</v>
          </cell>
          <cell r="S390">
            <v>1</v>
          </cell>
          <cell r="T390">
            <v>100000</v>
          </cell>
          <cell r="U390">
            <v>10000</v>
          </cell>
          <cell r="V390">
            <v>90000</v>
          </cell>
          <cell r="W390" t="str">
            <v>4902806470642</v>
          </cell>
        </row>
        <row r="391">
          <cell r="A391">
            <v>2026</v>
          </cell>
          <cell r="B391">
            <v>7</v>
          </cell>
          <cell r="C391">
            <v>46204</v>
          </cell>
          <cell r="D391" t="str">
            <v>1. SKK store</v>
          </cell>
          <cell r="E391" t="str">
            <v>S1015</v>
          </cell>
          <cell r="F391" t="str">
            <v>SKK Hàm Nghi</v>
          </cell>
          <cell r="G391" t="str">
            <v>0393651768</v>
          </cell>
          <cell r="H391" t="str">
            <v>chị sinh</v>
          </cell>
          <cell r="I391" t="str">
            <v>Khách cũ</v>
          </cell>
          <cell r="J391" t="str">
            <v>Đơn bán</v>
          </cell>
          <cell r="K391" t="str">
            <v>SAKUKO832712</v>
          </cell>
          <cell r="L391" t="str">
            <v>CHĂM SÓC SẮC ĐẸP</v>
          </cell>
          <cell r="M391" t="str">
            <v>CHĂM SÓC DA</v>
          </cell>
          <cell r="N391" t="str">
            <v>CHĂM SÓC DA KHÁC</v>
          </cell>
          <cell r="O391" t="str">
            <v>102413</v>
          </cell>
          <cell r="P391" t="str">
            <v>4902468802171</v>
          </cell>
          <cell r="Q391" t="str">
            <v>MEISHOKU- Toner pad ngừa mụn Bigan (60m)</v>
          </cell>
          <cell r="R391">
            <v>395000</v>
          </cell>
          <cell r="S391">
            <v>1</v>
          </cell>
          <cell r="T391">
            <v>395000</v>
          </cell>
          <cell r="U391">
            <v>50000</v>
          </cell>
          <cell r="V391">
            <v>345000</v>
          </cell>
          <cell r="W391" t="str">
            <v>4902468802171</v>
          </cell>
        </row>
        <row r="392">
          <cell r="A392">
            <v>2026</v>
          </cell>
          <cell r="B392">
            <v>7</v>
          </cell>
          <cell r="C392">
            <v>46204</v>
          </cell>
          <cell r="D392" t="str">
            <v>1. SKK store</v>
          </cell>
          <cell r="E392" t="str">
            <v>S1015</v>
          </cell>
          <cell r="F392" t="str">
            <v>SKK Hàm Nghi</v>
          </cell>
          <cell r="G392" t="str">
            <v>0905373383</v>
          </cell>
          <cell r="H392" t="str">
            <v>A Binh</v>
          </cell>
          <cell r="I392" t="str">
            <v>Khách cũ</v>
          </cell>
          <cell r="J392" t="str">
            <v>Đơn bán</v>
          </cell>
          <cell r="K392" t="str">
            <v>SAKUKO831933</v>
          </cell>
          <cell r="L392" t="str">
            <v>THỰC PHẨM</v>
          </cell>
          <cell r="M392" t="str">
            <v>MỲ, MIẾN</v>
          </cell>
          <cell r="N392" t="str">
            <v>MỲ CHẾ BIẾN</v>
          </cell>
          <cell r="O392" t="str">
            <v>174948</v>
          </cell>
          <cell r="P392" t="str">
            <v>4582114354119</v>
          </cell>
          <cell r="Q392" t="str">
            <v>SANUKISHISEI- Mì soumen 300g</v>
          </cell>
          <cell r="R392">
            <v>35000</v>
          </cell>
          <cell r="S392">
            <v>1</v>
          </cell>
          <cell r="T392">
            <v>35000</v>
          </cell>
          <cell r="U392">
            <v>0</v>
          </cell>
          <cell r="V392">
            <v>35000</v>
          </cell>
          <cell r="W392" t="str">
            <v>4582114354119</v>
          </cell>
        </row>
        <row r="393">
          <cell r="A393">
            <v>2026</v>
          </cell>
          <cell r="B393">
            <v>7</v>
          </cell>
          <cell r="C393">
            <v>46204</v>
          </cell>
          <cell r="D393" t="str">
            <v>1. SKK store</v>
          </cell>
          <cell r="E393" t="str">
            <v>S1015</v>
          </cell>
          <cell r="F393" t="str">
            <v>SKK Hàm Nghi</v>
          </cell>
          <cell r="G393" t="str">
            <v>0977625981</v>
          </cell>
          <cell r="H393" t="str">
            <v>Chị Hải</v>
          </cell>
          <cell r="I393" t="str">
            <v>Khách cũ</v>
          </cell>
          <cell r="J393" t="str">
            <v>Đơn bán</v>
          </cell>
          <cell r="K393" t="str">
            <v>SAKUKO832813</v>
          </cell>
          <cell r="L393" t="str">
            <v>CHĂM SÓC SẮC ĐẸP</v>
          </cell>
          <cell r="M393" t="str">
            <v>CHĂM SÓC DA</v>
          </cell>
          <cell r="N393" t="str">
            <v>RỬA MẶT</v>
          </cell>
          <cell r="O393" t="str">
            <v>102448</v>
          </cell>
          <cell r="P393" t="str">
            <v>4902806470642</v>
          </cell>
          <cell r="Q393" t="str">
            <v>GATSBY- SRM sạch bụi &amp; dầu nhờn 130g</v>
          </cell>
          <cell r="R393">
            <v>100000</v>
          </cell>
          <cell r="S393">
            <v>1</v>
          </cell>
          <cell r="T393">
            <v>100000</v>
          </cell>
          <cell r="U393">
            <v>10000</v>
          </cell>
          <cell r="V393">
            <v>90000</v>
          </cell>
          <cell r="W393" t="str">
            <v>4902806470642</v>
          </cell>
        </row>
        <row r="394">
          <cell r="A394">
            <v>2026</v>
          </cell>
          <cell r="B394">
            <v>7</v>
          </cell>
          <cell r="C394">
            <v>46204</v>
          </cell>
          <cell r="D394" t="str">
            <v>1. SKK store</v>
          </cell>
          <cell r="E394" t="str">
            <v>S1018</v>
          </cell>
          <cell r="F394" t="str">
            <v>SKK Nguyễn Tuân</v>
          </cell>
          <cell r="G394" t="str">
            <v>0913209446</v>
          </cell>
          <cell r="H394" t="str">
            <v>chú Bình</v>
          </cell>
          <cell r="I394" t="str">
            <v>Khách cũ</v>
          </cell>
          <cell r="J394" t="str">
            <v>Đơn bán</v>
          </cell>
          <cell r="K394" t="str">
            <v>SAKUKO832367</v>
          </cell>
          <cell r="L394" t="str">
            <v>THỰC PHẨM</v>
          </cell>
          <cell r="M394" t="str">
            <v>BÁNH KẸO, ĐỒ ĂN VẶT</v>
          </cell>
          <cell r="N394" t="str">
            <v>KẸO CAO SU</v>
          </cell>
          <cell r="O394" t="str">
            <v>231377</v>
          </cell>
          <cell r="P394" t="str">
            <v>4903333200375</v>
          </cell>
          <cell r="Q394" t="str">
            <v>LOTTE-Kẹo cao su tổng hợp dạng lọ 114g</v>
          </cell>
          <cell r="R394">
            <v>235000</v>
          </cell>
          <cell r="S394">
            <v>1</v>
          </cell>
          <cell r="T394">
            <v>235000</v>
          </cell>
          <cell r="U394">
            <v>0</v>
          </cell>
          <cell r="V394">
            <v>235000</v>
          </cell>
          <cell r="W394" t="str">
            <v>4903333200375</v>
          </cell>
        </row>
        <row r="395">
          <cell r="A395">
            <v>2026</v>
          </cell>
          <cell r="B395">
            <v>7</v>
          </cell>
          <cell r="C395">
            <v>46204</v>
          </cell>
          <cell r="D395" t="str">
            <v>1. SKK store</v>
          </cell>
          <cell r="E395" t="str">
            <v>S1018</v>
          </cell>
          <cell r="F395" t="str">
            <v>SKK Nguyễn Tuân</v>
          </cell>
          <cell r="G395" t="str">
            <v>0982240936</v>
          </cell>
          <cell r="H395" t="str">
            <v>C Hà</v>
          </cell>
          <cell r="I395" t="str">
            <v>Khách cũ</v>
          </cell>
          <cell r="J395" t="str">
            <v>Đơn bán</v>
          </cell>
          <cell r="K395" t="str">
            <v>SAKUKO832062</v>
          </cell>
          <cell r="L395" t="str">
            <v>THỰC PHẨM</v>
          </cell>
          <cell r="M395" t="str">
            <v>MỲ, MIẾN</v>
          </cell>
          <cell r="N395" t="str">
            <v>MỲ ĂN LIỀN</v>
          </cell>
          <cell r="O395" t="str">
            <v>154359</v>
          </cell>
          <cell r="P395" t="str">
            <v>4979397000138</v>
          </cell>
          <cell r="Q395" t="str">
            <v>YAMAMOTO- Mì ramen ăn liền hải sản thịt heo 88g*5</v>
          </cell>
          <cell r="R395">
            <v>99000</v>
          </cell>
          <cell r="S395">
            <v>1</v>
          </cell>
          <cell r="T395">
            <v>99000</v>
          </cell>
          <cell r="U395">
            <v>0</v>
          </cell>
          <cell r="V395">
            <v>99000</v>
          </cell>
          <cell r="W395" t="str">
            <v>4979397000138</v>
          </cell>
        </row>
        <row r="396">
          <cell r="A396">
            <v>2026</v>
          </cell>
          <cell r="B396">
            <v>7</v>
          </cell>
          <cell r="C396">
            <v>46204</v>
          </cell>
          <cell r="D396" t="str">
            <v>1. SKK store</v>
          </cell>
          <cell r="E396" t="str">
            <v>S1018</v>
          </cell>
          <cell r="F396" t="str">
            <v>SKK Nguyễn Tuân</v>
          </cell>
          <cell r="G396" t="str">
            <v>0982240936</v>
          </cell>
          <cell r="H396" t="str">
            <v>C Hà</v>
          </cell>
          <cell r="I396" t="str">
            <v>Khách cũ</v>
          </cell>
          <cell r="J396" t="str">
            <v>Đơn bán</v>
          </cell>
          <cell r="K396" t="str">
            <v>SAKUKO832062</v>
          </cell>
          <cell r="L396" t="str">
            <v>THỰC PHẨM</v>
          </cell>
          <cell r="M396" t="str">
            <v>MỲ, MIẾN</v>
          </cell>
          <cell r="N396" t="str">
            <v>MỲ CHẾ BIẾN</v>
          </cell>
          <cell r="O396" t="str">
            <v>154251</v>
          </cell>
          <cell r="P396" t="str">
            <v>4560159440776</v>
          </cell>
          <cell r="Q396" t="str">
            <v>SATO_Mì soba khô 800g</v>
          </cell>
          <cell r="R396">
            <v>104000</v>
          </cell>
          <cell r="S396">
            <v>1</v>
          </cell>
          <cell r="T396">
            <v>104000</v>
          </cell>
          <cell r="U396">
            <v>0</v>
          </cell>
          <cell r="V396">
            <v>104000</v>
          </cell>
          <cell r="W396" t="str">
            <v>4560159440776</v>
          </cell>
        </row>
        <row r="397">
          <cell r="A397">
            <v>2026</v>
          </cell>
          <cell r="B397">
            <v>7</v>
          </cell>
          <cell r="C397">
            <v>46204</v>
          </cell>
          <cell r="D397" t="str">
            <v>1. SKK store</v>
          </cell>
          <cell r="E397" t="str">
            <v>S1025</v>
          </cell>
          <cell r="F397" t="str">
            <v>SKK T6 Time City</v>
          </cell>
          <cell r="G397" t="str">
            <v>0904080844</v>
          </cell>
          <cell r="H397" t="str">
            <v>Cô Phan Thi Minh Chương</v>
          </cell>
          <cell r="I397" t="str">
            <v>Khách cũ</v>
          </cell>
          <cell r="J397" t="str">
            <v>Đơn bán</v>
          </cell>
          <cell r="K397" t="str">
            <v>SAKUKO832603</v>
          </cell>
          <cell r="L397" t="str">
            <v>THỰC PHẨM</v>
          </cell>
          <cell r="M397" t="str">
            <v>MỲ, MIẾN</v>
          </cell>
          <cell r="N397" t="str">
            <v>MỲ ĂN LIỀN</v>
          </cell>
          <cell r="O397" t="str">
            <v>154359</v>
          </cell>
          <cell r="P397" t="str">
            <v>4979397000138</v>
          </cell>
          <cell r="Q397" t="str">
            <v>YAMAMOTO- Mì ramen ăn liền hải sản thịt heo 88g*5</v>
          </cell>
          <cell r="R397">
            <v>99000</v>
          </cell>
          <cell r="S397">
            <v>1</v>
          </cell>
          <cell r="T397">
            <v>99000</v>
          </cell>
          <cell r="U397">
            <v>0</v>
          </cell>
          <cell r="V397">
            <v>99000</v>
          </cell>
          <cell r="W397" t="str">
            <v>4979397000138</v>
          </cell>
        </row>
        <row r="398">
          <cell r="A398">
            <v>2026</v>
          </cell>
          <cell r="B398">
            <v>7</v>
          </cell>
          <cell r="C398">
            <v>46204</v>
          </cell>
          <cell r="D398" t="str">
            <v>1. SKK store</v>
          </cell>
          <cell r="E398" t="str">
            <v>S1025</v>
          </cell>
          <cell r="F398" t="str">
            <v>SKK T6 Time City</v>
          </cell>
          <cell r="G398" t="str">
            <v>0988938239</v>
          </cell>
          <cell r="H398" t="str">
            <v>cô sinh</v>
          </cell>
          <cell r="I398" t="str">
            <v>Khách cũ</v>
          </cell>
          <cell r="J398" t="str">
            <v>Đơn bán</v>
          </cell>
          <cell r="K398" t="str">
            <v>SAKUKO832389</v>
          </cell>
          <cell r="L398" t="str">
            <v>THỰC PHẨM</v>
          </cell>
          <cell r="M398" t="str">
            <v>MỲ, MIẾN</v>
          </cell>
          <cell r="N398" t="str">
            <v>MỲ ĂN LIỀN</v>
          </cell>
          <cell r="O398" t="str">
            <v>154359</v>
          </cell>
          <cell r="P398" t="str">
            <v>4979397000138</v>
          </cell>
          <cell r="Q398" t="str">
            <v>YAMAMOTO- Mì ramen ăn liền hải sản thịt heo 88g*5</v>
          </cell>
          <cell r="R398">
            <v>99000</v>
          </cell>
          <cell r="S398">
            <v>1</v>
          </cell>
          <cell r="T398">
            <v>99000</v>
          </cell>
          <cell r="U398">
            <v>0</v>
          </cell>
          <cell r="V398">
            <v>99000</v>
          </cell>
          <cell r="W398" t="str">
            <v>4979397000138</v>
          </cell>
        </row>
        <row r="399">
          <cell r="A399">
            <v>2026</v>
          </cell>
          <cell r="B399">
            <v>6</v>
          </cell>
          <cell r="C399">
            <v>46203</v>
          </cell>
          <cell r="D399" t="str">
            <v>1. SKK store</v>
          </cell>
          <cell r="E399" t="str">
            <v>S1004</v>
          </cell>
          <cell r="F399" t="str">
            <v>SKK  Mandarin C1</v>
          </cell>
          <cell r="G399" t="str">
            <v>0912322056</v>
          </cell>
          <cell r="H399" t="str">
            <v>c lien</v>
          </cell>
          <cell r="I399" t="str">
            <v>Khách cũ</v>
          </cell>
          <cell r="J399" t="str">
            <v>Đơn bán</v>
          </cell>
          <cell r="K399" t="str">
            <v>SAKUKO830795</v>
          </cell>
          <cell r="L399" t="str">
            <v>ĐỒ CHO MẸ BÉ</v>
          </cell>
          <cell r="M399" t="str">
            <v>GIẤY ƯỚT</v>
          </cell>
          <cell r="N399" t="str">
            <v>GIẤY ƯỚT CHO BÉ</v>
          </cell>
          <cell r="O399" t="str">
            <v>121664</v>
          </cell>
          <cell r="P399" t="str">
            <v>8934755035074</v>
          </cell>
          <cell r="Q399" t="str">
            <v>BOBBY- Khăn ướt em bé có hương 100 miếng</v>
          </cell>
          <cell r="R399">
            <v>46000</v>
          </cell>
          <cell r="S399">
            <v>1</v>
          </cell>
          <cell r="T399">
            <v>46000</v>
          </cell>
          <cell r="U399">
            <v>0</v>
          </cell>
          <cell r="V399">
            <v>46000</v>
          </cell>
          <cell r="W399" t="str">
            <v>8934755035074</v>
          </cell>
        </row>
        <row r="400">
          <cell r="A400">
            <v>2026</v>
          </cell>
          <cell r="B400">
            <v>6</v>
          </cell>
          <cell r="C400">
            <v>46203</v>
          </cell>
          <cell r="D400" t="str">
            <v>1. SKK store</v>
          </cell>
          <cell r="E400" t="str">
            <v>S1004</v>
          </cell>
          <cell r="F400" t="str">
            <v>SKK  Mandarin C1</v>
          </cell>
          <cell r="G400" t="str">
            <v>0983841138</v>
          </cell>
          <cell r="H400" t="str">
            <v>Cô Hoàng Phương Liên</v>
          </cell>
          <cell r="I400" t="str">
            <v>Khách cũ</v>
          </cell>
          <cell r="J400" t="str">
            <v>Đơn bán</v>
          </cell>
          <cell r="K400" t="str">
            <v>SAKUKO830487</v>
          </cell>
          <cell r="L400" t="str">
            <v>ĐỒ CHO MẸ BÉ</v>
          </cell>
          <cell r="M400" t="str">
            <v>GIẤY ƯỚT</v>
          </cell>
          <cell r="N400" t="str">
            <v>GIẤY ƯỚT CHO BÉ</v>
          </cell>
          <cell r="O400" t="str">
            <v>121663</v>
          </cell>
          <cell r="P400" t="str">
            <v>8934755035197</v>
          </cell>
          <cell r="Q400" t="str">
            <v>FRESSI- Khăn ướt Care For All 100 miếng</v>
          </cell>
          <cell r="R400">
            <v>49000</v>
          </cell>
          <cell r="S400">
            <v>2</v>
          </cell>
          <cell r="T400">
            <v>98000</v>
          </cell>
          <cell r="U400">
            <v>0</v>
          </cell>
          <cell r="V400">
            <v>98000</v>
          </cell>
          <cell r="W400" t="str">
            <v>8934755035197</v>
          </cell>
        </row>
        <row r="401">
          <cell r="A401">
            <v>2026</v>
          </cell>
          <cell r="B401">
            <v>6</v>
          </cell>
          <cell r="C401">
            <v>46203</v>
          </cell>
          <cell r="D401" t="str">
            <v>1. SKK store</v>
          </cell>
          <cell r="E401" t="str">
            <v>S1005</v>
          </cell>
          <cell r="F401" t="str">
            <v>SKK  Thái Hà</v>
          </cell>
          <cell r="G401" t="str">
            <v>02466810505</v>
          </cell>
          <cell r="H401" t="str">
            <v>klth</v>
          </cell>
          <cell r="I401" t="str">
            <v>Khách vãng lai</v>
          </cell>
          <cell r="J401" t="str">
            <v>Đơn bán</v>
          </cell>
          <cell r="K401" t="str">
            <v>SAKUKO830530</v>
          </cell>
          <cell r="L401" t="str">
            <v>CHĂM SÓC SẮC ĐẸP</v>
          </cell>
          <cell r="M401" t="str">
            <v>CHĂM SÓC TÓC</v>
          </cell>
          <cell r="N401" t="str">
            <v>TẠO KIỂU TÓC</v>
          </cell>
          <cell r="O401" t="str">
            <v>100160</v>
          </cell>
          <cell r="P401" t="str">
            <v>45131677</v>
          </cell>
          <cell r="Q401" t="str">
            <v>GATSBY- Sáp vuốt tóc giữ nếp 80g</v>
          </cell>
          <cell r="R401">
            <v>150000</v>
          </cell>
          <cell r="S401">
            <v>1</v>
          </cell>
          <cell r="T401">
            <v>150000</v>
          </cell>
          <cell r="U401">
            <v>15000</v>
          </cell>
          <cell r="V401">
            <v>135000</v>
          </cell>
          <cell r="W401" t="str">
            <v>45131677</v>
          </cell>
        </row>
        <row r="402">
          <cell r="A402">
            <v>2026</v>
          </cell>
          <cell r="B402">
            <v>6</v>
          </cell>
          <cell r="C402">
            <v>46203</v>
          </cell>
          <cell r="D402" t="str">
            <v>1. SKK store</v>
          </cell>
          <cell r="E402" t="str">
            <v>S1006</v>
          </cell>
          <cell r="F402" t="str">
            <v>SKK Trần Đăng Ninh</v>
          </cell>
          <cell r="G402" t="str">
            <v>0948366855</v>
          </cell>
          <cell r="H402" t="str">
            <v>c ngân</v>
          </cell>
          <cell r="I402" t="str">
            <v>Khách cũ</v>
          </cell>
          <cell r="J402" t="str">
            <v>Đơn bán</v>
          </cell>
          <cell r="K402" t="str">
            <v>SAKUKO830853</v>
          </cell>
          <cell r="L402" t="str">
            <v>THỰC PHẨM</v>
          </cell>
          <cell r="M402" t="str">
            <v>MỲ, MIẾN</v>
          </cell>
          <cell r="N402" t="str">
            <v>MỲ ĂN LIỀN</v>
          </cell>
          <cell r="O402" t="str">
            <v>154359</v>
          </cell>
          <cell r="P402" t="str">
            <v>4979397000138</v>
          </cell>
          <cell r="Q402" t="str">
            <v>YAMAMOTO- Mì ramen ăn liền hải sản thịt heo 88g*5</v>
          </cell>
          <cell r="R402">
            <v>99000</v>
          </cell>
          <cell r="S402">
            <v>1</v>
          </cell>
          <cell r="T402">
            <v>99000</v>
          </cell>
          <cell r="U402">
            <v>0</v>
          </cell>
          <cell r="V402">
            <v>99000</v>
          </cell>
          <cell r="W402" t="str">
            <v>4979397000138</v>
          </cell>
        </row>
        <row r="403">
          <cell r="A403">
            <v>2026</v>
          </cell>
          <cell r="B403">
            <v>6</v>
          </cell>
          <cell r="C403">
            <v>46203</v>
          </cell>
          <cell r="D403" t="str">
            <v>1. SKK store</v>
          </cell>
          <cell r="E403" t="str">
            <v>S1006</v>
          </cell>
          <cell r="F403" t="str">
            <v>SKK Trần Đăng Ninh</v>
          </cell>
          <cell r="G403" t="str">
            <v>0948366855</v>
          </cell>
          <cell r="H403" t="str">
            <v>c ngân</v>
          </cell>
          <cell r="I403" t="str">
            <v>Khách cũ</v>
          </cell>
          <cell r="J403" t="str">
            <v>Đơn bán</v>
          </cell>
          <cell r="K403" t="str">
            <v>SAKUKO830853</v>
          </cell>
          <cell r="L403" t="str">
            <v>THỰC PHẨM</v>
          </cell>
          <cell r="M403" t="str">
            <v>MỲ, MIẾN</v>
          </cell>
          <cell r="N403" t="str">
            <v>MỲ CHẾ BIẾN</v>
          </cell>
          <cell r="O403" t="str">
            <v>174948</v>
          </cell>
          <cell r="P403" t="str">
            <v>4582114354119</v>
          </cell>
          <cell r="Q403" t="str">
            <v>SANUKISHISEI- Mì soumen 300g</v>
          </cell>
          <cell r="R403">
            <v>35000</v>
          </cell>
          <cell r="S403">
            <v>2</v>
          </cell>
          <cell r="T403">
            <v>70000</v>
          </cell>
          <cell r="U403">
            <v>0</v>
          </cell>
          <cell r="V403">
            <v>70000</v>
          </cell>
          <cell r="W403" t="str">
            <v>4582114354119</v>
          </cell>
        </row>
        <row r="404">
          <cell r="A404">
            <v>2026</v>
          </cell>
          <cell r="B404">
            <v>6</v>
          </cell>
          <cell r="C404">
            <v>46203</v>
          </cell>
          <cell r="D404" t="str">
            <v>1. SKK store</v>
          </cell>
          <cell r="E404" t="str">
            <v>S1006</v>
          </cell>
          <cell r="F404" t="str">
            <v>SKK Trần Đăng Ninh</v>
          </cell>
          <cell r="G404" t="str">
            <v>0976999778</v>
          </cell>
          <cell r="H404" t="str">
            <v>Chị Hường</v>
          </cell>
          <cell r="I404" t="str">
            <v>Khách cũ</v>
          </cell>
          <cell r="J404" t="str">
            <v>Đơn bán</v>
          </cell>
          <cell r="K404" t="str">
            <v>SAKUKO831642</v>
          </cell>
          <cell r="L404" t="str">
            <v>CHĂM SÓC SẮC ĐẸP</v>
          </cell>
          <cell r="M404" t="str">
            <v>CHĂM SÓC DA</v>
          </cell>
          <cell r="N404" t="str">
            <v>RỬA MẶT</v>
          </cell>
          <cell r="O404" t="str">
            <v>102412</v>
          </cell>
          <cell r="P404" t="str">
            <v>4902468802126</v>
          </cell>
          <cell r="Q404" t="str">
            <v>MEISHOKU- SRM ngăn ngừa mụn Bigan 80g</v>
          </cell>
          <cell r="R404">
            <v>255000</v>
          </cell>
          <cell r="S404">
            <v>1</v>
          </cell>
          <cell r="T404">
            <v>255000</v>
          </cell>
          <cell r="U404">
            <v>5000</v>
          </cell>
          <cell r="V404">
            <v>250000</v>
          </cell>
          <cell r="W404" t="str">
            <v>4902468802126</v>
          </cell>
        </row>
        <row r="405">
          <cell r="A405">
            <v>2026</v>
          </cell>
          <cell r="B405">
            <v>6</v>
          </cell>
          <cell r="C405">
            <v>46203</v>
          </cell>
          <cell r="D405" t="str">
            <v>1. SKK store</v>
          </cell>
          <cell r="E405" t="str">
            <v>S1006</v>
          </cell>
          <cell r="F405" t="str">
            <v>SKK Trần Đăng Ninh</v>
          </cell>
          <cell r="G405" t="str">
            <v>0983206784</v>
          </cell>
          <cell r="H405" t="str">
            <v>chị phượng</v>
          </cell>
          <cell r="I405" t="str">
            <v>Khách cũ</v>
          </cell>
          <cell r="J405" t="str">
            <v>Đơn bán</v>
          </cell>
          <cell r="K405" t="str">
            <v>SAKUKO831185</v>
          </cell>
          <cell r="L405" t="str">
            <v>THỰC PHẨM</v>
          </cell>
          <cell r="M405" t="str">
            <v>MỲ, MIẾN</v>
          </cell>
          <cell r="N405" t="str">
            <v>MỲ ĂN LIỀN</v>
          </cell>
          <cell r="O405" t="str">
            <v>154198</v>
          </cell>
          <cell r="P405" t="str">
            <v>4979397000145</v>
          </cell>
          <cell r="Q405" t="str">
            <v>YAMAMOTO_Mì ramen ăn liền vị miso 90g*5</v>
          </cell>
          <cell r="R405">
            <v>99000</v>
          </cell>
          <cell r="S405">
            <v>2</v>
          </cell>
          <cell r="T405">
            <v>198000</v>
          </cell>
          <cell r="U405">
            <v>0</v>
          </cell>
          <cell r="V405">
            <v>198000</v>
          </cell>
          <cell r="W405" t="str">
            <v>4979397000145</v>
          </cell>
        </row>
        <row r="406">
          <cell r="A406">
            <v>2026</v>
          </cell>
          <cell r="B406">
            <v>6</v>
          </cell>
          <cell r="C406">
            <v>46203</v>
          </cell>
          <cell r="D406" t="str">
            <v>1. SKK store</v>
          </cell>
          <cell r="E406" t="str">
            <v>S1007</v>
          </cell>
          <cell r="F406" t="str">
            <v>SKK  Nguyễn Du</v>
          </cell>
          <cell r="G406" t="str">
            <v>0949211291</v>
          </cell>
          <cell r="H406" t="str">
            <v>Chị Lê Hoài Phương</v>
          </cell>
          <cell r="I406" t="str">
            <v>Khách cũ</v>
          </cell>
          <cell r="J406" t="str">
            <v>Đơn bán</v>
          </cell>
          <cell r="K406" t="str">
            <v>SAKUKO831272</v>
          </cell>
          <cell r="L406" t="str">
            <v>THỰC PHẨM</v>
          </cell>
          <cell r="M406" t="str">
            <v>BÁNH KẸO, ĐỒ ĂN VẶT</v>
          </cell>
          <cell r="N406" t="str">
            <v>KẸO CAO SU</v>
          </cell>
          <cell r="O406" t="str">
            <v>231377</v>
          </cell>
          <cell r="P406" t="str">
            <v>4903333200375</v>
          </cell>
          <cell r="Q406" t="str">
            <v>LOTTE-Kẹo cao su tổng hợp dạng lọ 114g</v>
          </cell>
          <cell r="R406">
            <v>235000</v>
          </cell>
          <cell r="S406">
            <v>1</v>
          </cell>
          <cell r="T406">
            <v>235000</v>
          </cell>
          <cell r="U406">
            <v>0</v>
          </cell>
          <cell r="V406">
            <v>235000</v>
          </cell>
          <cell r="W406" t="str">
            <v>4903333200375</v>
          </cell>
        </row>
        <row r="407">
          <cell r="A407">
            <v>2026</v>
          </cell>
          <cell r="B407">
            <v>6</v>
          </cell>
          <cell r="C407">
            <v>46203</v>
          </cell>
          <cell r="D407" t="str">
            <v>1. SKK store</v>
          </cell>
          <cell r="E407" t="str">
            <v>S1007</v>
          </cell>
          <cell r="F407" t="str">
            <v>SKK  Nguyễn Du</v>
          </cell>
          <cell r="G407" t="str">
            <v>0964186098</v>
          </cell>
          <cell r="H407" t="str">
            <v>Anh TuấnAnh</v>
          </cell>
          <cell r="I407" t="str">
            <v>Khách mới</v>
          </cell>
          <cell r="J407" t="str">
            <v>Đơn bán</v>
          </cell>
          <cell r="K407" t="str">
            <v>SAKUKO830378</v>
          </cell>
          <cell r="L407" t="str">
            <v>ĐỒ CHO MẸ BÉ</v>
          </cell>
          <cell r="M407" t="str">
            <v>GIẤY ƯỚT</v>
          </cell>
          <cell r="N407" t="str">
            <v>GIẤY ƯỚT CHO BÉ</v>
          </cell>
          <cell r="O407" t="str">
            <v>121677</v>
          </cell>
          <cell r="P407" t="str">
            <v>8801260608836</v>
          </cell>
          <cell r="Q407" t="str">
            <v>KLEANNARA- Khăn ướt 5 tinh chất (có nắp) 100 tờ</v>
          </cell>
          <cell r="R407">
            <v>52000</v>
          </cell>
          <cell r="S407">
            <v>1</v>
          </cell>
          <cell r="T407">
            <v>52000</v>
          </cell>
          <cell r="U407">
            <v>0</v>
          </cell>
          <cell r="V407">
            <v>52000</v>
          </cell>
          <cell r="W407" t="str">
            <v>8801260608836</v>
          </cell>
        </row>
        <row r="408">
          <cell r="A408">
            <v>2026</v>
          </cell>
          <cell r="B408">
            <v>6</v>
          </cell>
          <cell r="C408">
            <v>46203</v>
          </cell>
          <cell r="D408" t="str">
            <v>1. SKK store</v>
          </cell>
          <cell r="E408" t="str">
            <v>S1008</v>
          </cell>
          <cell r="F408" t="str">
            <v>SKK  Hàng Bông</v>
          </cell>
          <cell r="G408" t="str">
            <v>0389929366</v>
          </cell>
          <cell r="H408" t="str">
            <v>Cô Huế</v>
          </cell>
          <cell r="I408" t="str">
            <v>Khách cũ</v>
          </cell>
          <cell r="J408" t="str">
            <v>Đơn bán</v>
          </cell>
          <cell r="K408" t="str">
            <v>SAKUKO831758</v>
          </cell>
          <cell r="L408" t="str">
            <v>CHĂM SÓC SẮC ĐẸP</v>
          </cell>
          <cell r="M408" t="str">
            <v>CHĂM SÓC DA</v>
          </cell>
          <cell r="N408" t="str">
            <v>KEM DƯỠNG</v>
          </cell>
          <cell r="O408" t="str">
            <v>102420</v>
          </cell>
          <cell r="P408" t="str">
            <v>4902468820007</v>
          </cell>
          <cell r="Q408" t="str">
            <v>MEISHOKU- Tinh chất dưỡng ẩm chuyên sâu 30ml</v>
          </cell>
          <cell r="R408">
            <v>555000</v>
          </cell>
          <cell r="S408">
            <v>1</v>
          </cell>
          <cell r="T408">
            <v>555000</v>
          </cell>
          <cell r="U408">
            <v>44400</v>
          </cell>
          <cell r="V408">
            <v>510600</v>
          </cell>
          <cell r="W408" t="str">
            <v>4902468820007</v>
          </cell>
        </row>
        <row r="409">
          <cell r="A409">
            <v>2026</v>
          </cell>
          <cell r="B409">
            <v>6</v>
          </cell>
          <cell r="C409">
            <v>46203</v>
          </cell>
          <cell r="D409" t="str">
            <v>1. SKK store</v>
          </cell>
          <cell r="E409" t="str">
            <v>S1008</v>
          </cell>
          <cell r="F409" t="str">
            <v>SKK  Hàng Bông</v>
          </cell>
          <cell r="G409" t="str">
            <v>0989532199</v>
          </cell>
          <cell r="H409" t="str">
            <v>chị phương</v>
          </cell>
          <cell r="I409" t="str">
            <v>Khách cũ</v>
          </cell>
          <cell r="J409" t="str">
            <v>Đơn bán</v>
          </cell>
          <cell r="K409" t="str">
            <v>SAKUKO830601</v>
          </cell>
          <cell r="L409" t="str">
            <v>THỰC PHẨM</v>
          </cell>
          <cell r="M409" t="str">
            <v>MỲ, MIẾN</v>
          </cell>
          <cell r="N409" t="str">
            <v>MỲ ĂN LIỀN</v>
          </cell>
          <cell r="O409" t="str">
            <v>154359</v>
          </cell>
          <cell r="P409" t="str">
            <v>4979397000138</v>
          </cell>
          <cell r="Q409" t="str">
            <v>YAMAMOTO- Mì ramen ăn liền hải sản thịt heo 88g*5</v>
          </cell>
          <cell r="R409">
            <v>99000</v>
          </cell>
          <cell r="S409">
            <v>1</v>
          </cell>
          <cell r="T409">
            <v>99000</v>
          </cell>
          <cell r="U409">
            <v>0</v>
          </cell>
          <cell r="V409">
            <v>99000</v>
          </cell>
          <cell r="W409" t="str">
            <v>4979397000138</v>
          </cell>
        </row>
        <row r="410">
          <cell r="A410">
            <v>2026</v>
          </cell>
          <cell r="B410">
            <v>6</v>
          </cell>
          <cell r="C410">
            <v>46203</v>
          </cell>
          <cell r="D410" t="str">
            <v>1. SKK store</v>
          </cell>
          <cell r="E410" t="str">
            <v>S1015</v>
          </cell>
          <cell r="F410" t="str">
            <v>SKK Hàm Nghi</v>
          </cell>
          <cell r="G410" t="str">
            <v>0972731888</v>
          </cell>
          <cell r="H410" t="str">
            <v>Anh Nam</v>
          </cell>
          <cell r="I410" t="str">
            <v>Khách cũ</v>
          </cell>
          <cell r="J410" t="str">
            <v>Đơn bán</v>
          </cell>
          <cell r="K410" t="str">
            <v>SAKUKO831738</v>
          </cell>
          <cell r="L410" t="str">
            <v>CHĂM SÓC SẮC ĐẸP</v>
          </cell>
          <cell r="M410" t="str">
            <v>CHĂM SÓC TÓC</v>
          </cell>
          <cell r="N410" t="str">
            <v>TẠO KIỂU TÓC</v>
          </cell>
          <cell r="O410" t="str">
            <v>101906</v>
          </cell>
          <cell r="P410" t="str">
            <v>4902806108781</v>
          </cell>
          <cell r="Q410" t="str">
            <v>GATSBY-  Sáp vuốt tóc tạo độ phồng 80g</v>
          </cell>
          <cell r="R410">
            <v>150000</v>
          </cell>
          <cell r="S410">
            <v>1</v>
          </cell>
          <cell r="T410">
            <v>150000</v>
          </cell>
          <cell r="U410">
            <v>15000</v>
          </cell>
          <cell r="V410">
            <v>135000</v>
          </cell>
          <cell r="W410" t="str">
            <v>4902806108781</v>
          </cell>
        </row>
        <row r="411">
          <cell r="A411">
            <v>2026</v>
          </cell>
          <cell r="B411">
            <v>6</v>
          </cell>
          <cell r="C411">
            <v>46203</v>
          </cell>
          <cell r="D411" t="str">
            <v>1. SKK store</v>
          </cell>
          <cell r="E411" t="str">
            <v>S1025</v>
          </cell>
          <cell r="F411" t="str">
            <v>SKK T6 Time City</v>
          </cell>
          <cell r="G411" t="str">
            <v>0846417886</v>
          </cell>
          <cell r="H411" t="str">
            <v>chị bình</v>
          </cell>
          <cell r="I411" t="str">
            <v>Khách cũ</v>
          </cell>
          <cell r="J411" t="str">
            <v>Đơn bán</v>
          </cell>
          <cell r="K411" t="str">
            <v>SAKUKO830991</v>
          </cell>
          <cell r="L411" t="str">
            <v>NHÀ CỬA ĐỜI SỐNG</v>
          </cell>
          <cell r="M411" t="str">
            <v>PHÒNG CHỐNG CÔN TRÙNG</v>
          </cell>
          <cell r="N411" t="str">
            <v>DIỆT CÔN TRÙNG</v>
          </cell>
          <cell r="O411" t="str">
            <v>134480</v>
          </cell>
          <cell r="P411" t="str">
            <v>4987115545885</v>
          </cell>
          <cell r="Q411" t="str">
            <v>KINCHO-DD làm thơm phòng và đuổi muỗi (trái cây)</v>
          </cell>
          <cell r="R411">
            <v>239000</v>
          </cell>
          <cell r="S411">
            <v>1</v>
          </cell>
          <cell r="T411">
            <v>239000</v>
          </cell>
          <cell r="U411">
            <v>0</v>
          </cell>
          <cell r="V411">
            <v>239000</v>
          </cell>
          <cell r="W411" t="str">
            <v>4987115545885</v>
          </cell>
        </row>
        <row r="412">
          <cell r="A412">
            <v>2026</v>
          </cell>
          <cell r="B412">
            <v>6</v>
          </cell>
          <cell r="C412">
            <v>46202</v>
          </cell>
          <cell r="D412" t="str">
            <v>1. SKK store</v>
          </cell>
          <cell r="E412" t="str">
            <v>S1004</v>
          </cell>
          <cell r="F412" t="str">
            <v>SKK  Mandarin C1</v>
          </cell>
          <cell r="G412" t="str">
            <v>0983564091</v>
          </cell>
          <cell r="H412" t="str">
            <v>Chị Hiền</v>
          </cell>
          <cell r="I412" t="str">
            <v>Khách cũ</v>
          </cell>
          <cell r="J412" t="str">
            <v>Đơn bán</v>
          </cell>
          <cell r="K412" t="str">
            <v>SAKUKO829896</v>
          </cell>
          <cell r="L412" t="str">
            <v>CHĂM SÓC SẮC ĐẸP</v>
          </cell>
          <cell r="M412" t="str">
            <v>CHĂM SÓC DA</v>
          </cell>
          <cell r="N412" t="str">
            <v>RỬA MẶT</v>
          </cell>
          <cell r="O412" t="str">
            <v>230269</v>
          </cell>
          <cell r="P412" t="str">
            <v>4987241173242</v>
          </cell>
          <cell r="Q412" t="str">
            <v>ROHTO- SRM Melano CC mờ thâm nám (130g)</v>
          </cell>
          <cell r="R412">
            <v>294000</v>
          </cell>
          <cell r="S412">
            <v>1</v>
          </cell>
          <cell r="T412">
            <v>294000</v>
          </cell>
          <cell r="U412">
            <v>117600</v>
          </cell>
          <cell r="V412">
            <v>176400</v>
          </cell>
          <cell r="W412" t="str">
            <v>4987241173242</v>
          </cell>
        </row>
        <row r="413">
          <cell r="A413">
            <v>2026</v>
          </cell>
          <cell r="B413">
            <v>6</v>
          </cell>
          <cell r="C413">
            <v>46202</v>
          </cell>
          <cell r="D413" t="str">
            <v>1. SKK store</v>
          </cell>
          <cell r="E413" t="str">
            <v>S1005</v>
          </cell>
          <cell r="F413" t="str">
            <v>SKK  Thái Hà</v>
          </cell>
          <cell r="G413" t="str">
            <v>0365028393</v>
          </cell>
          <cell r="H413" t="str">
            <v>Chị Thảo</v>
          </cell>
          <cell r="I413" t="str">
            <v>Khách cũ</v>
          </cell>
          <cell r="J413" t="str">
            <v>Đơn bán</v>
          </cell>
          <cell r="K413" t="str">
            <v>SAKUKO829933</v>
          </cell>
          <cell r="L413" t="str">
            <v>CHĂM SÓC SẮC ĐẸP</v>
          </cell>
          <cell r="M413" t="str">
            <v>CHĂM SÓC DA</v>
          </cell>
          <cell r="N413" t="str">
            <v>RỬA MẶT</v>
          </cell>
          <cell r="O413" t="str">
            <v>102386</v>
          </cell>
          <cell r="P413" t="str">
            <v>4902468816062</v>
          </cell>
          <cell r="Q413" t="str">
            <v>MEISHOKU- Sữa rửa mặt sáng da Cvita 100g</v>
          </cell>
          <cell r="R413">
            <v>290000</v>
          </cell>
          <cell r="S413">
            <v>1</v>
          </cell>
          <cell r="T413">
            <v>290000</v>
          </cell>
          <cell r="U413">
            <v>23200</v>
          </cell>
          <cell r="V413">
            <v>266800</v>
          </cell>
          <cell r="W413" t="str">
            <v>4902468816062</v>
          </cell>
        </row>
        <row r="414">
          <cell r="A414">
            <v>2026</v>
          </cell>
          <cell r="B414">
            <v>6</v>
          </cell>
          <cell r="C414">
            <v>46202</v>
          </cell>
          <cell r="D414" t="str">
            <v>1. SKK store</v>
          </cell>
          <cell r="E414" t="str">
            <v>S1006</v>
          </cell>
          <cell r="F414" t="str">
            <v>SKK Trần Đăng Ninh</v>
          </cell>
          <cell r="G414" t="str">
            <v>0934646486</v>
          </cell>
          <cell r="H414" t="str">
            <v>Chị Phúc</v>
          </cell>
          <cell r="I414" t="str">
            <v>Khách cũ</v>
          </cell>
          <cell r="J414" t="str">
            <v>Đơn bán</v>
          </cell>
          <cell r="K414" t="str">
            <v>SAKUKO830223</v>
          </cell>
          <cell r="L414" t="str">
            <v>THỰC PHẨM</v>
          </cell>
          <cell r="M414" t="str">
            <v>MỲ, MIẾN</v>
          </cell>
          <cell r="N414" t="str">
            <v>MỲ CHẾ BIẾN</v>
          </cell>
          <cell r="O414" t="str">
            <v>175435</v>
          </cell>
          <cell r="P414" t="str">
            <v>4901726014752</v>
          </cell>
          <cell r="Q414" t="str">
            <v>ITSUKI FOODS- Mì soumen rau củ ngũ sắc320g</v>
          </cell>
          <cell r="R414">
            <v>76000</v>
          </cell>
          <cell r="S414">
            <v>3</v>
          </cell>
          <cell r="T414">
            <v>228000</v>
          </cell>
          <cell r="U414">
            <v>0</v>
          </cell>
          <cell r="V414">
            <v>228000</v>
          </cell>
          <cell r="W414" t="str">
            <v>4901726014752</v>
          </cell>
        </row>
        <row r="415">
          <cell r="A415">
            <v>2026</v>
          </cell>
          <cell r="B415">
            <v>6</v>
          </cell>
          <cell r="C415">
            <v>46202</v>
          </cell>
          <cell r="D415" t="str">
            <v>1. SKK store</v>
          </cell>
          <cell r="E415" t="str">
            <v>S1006</v>
          </cell>
          <cell r="F415" t="str">
            <v>SKK Trần Đăng Ninh</v>
          </cell>
          <cell r="G415" t="str">
            <v>0988969466</v>
          </cell>
          <cell r="H415" t="str">
            <v>Bùi Thị Hạnh</v>
          </cell>
          <cell r="I415" t="str">
            <v>Khách cũ</v>
          </cell>
          <cell r="J415" t="str">
            <v>Đơn bán</v>
          </cell>
          <cell r="K415" t="str">
            <v>SAKUKO830242</v>
          </cell>
          <cell r="L415" t="str">
            <v>THỰC PHẨM</v>
          </cell>
          <cell r="M415" t="str">
            <v>BÁNH KẸO, ĐỒ ĂN VẶT</v>
          </cell>
          <cell r="N415" t="str">
            <v>KẸO CAO SU</v>
          </cell>
          <cell r="O415" t="str">
            <v>231374</v>
          </cell>
          <cell r="P415" t="str">
            <v>4547894156315</v>
          </cell>
          <cell r="Q415" t="str">
            <v>CLORETS-Kẹo cao su hương vị 4 mùa 140g</v>
          </cell>
          <cell r="R415">
            <v>235000</v>
          </cell>
          <cell r="S415">
            <v>1</v>
          </cell>
          <cell r="T415">
            <v>235000</v>
          </cell>
          <cell r="U415">
            <v>0</v>
          </cell>
          <cell r="V415">
            <v>235000</v>
          </cell>
          <cell r="W415" t="str">
            <v>4547894156315</v>
          </cell>
        </row>
        <row r="416">
          <cell r="A416">
            <v>2026</v>
          </cell>
          <cell r="B416">
            <v>6</v>
          </cell>
          <cell r="C416">
            <v>46202</v>
          </cell>
          <cell r="D416" t="str">
            <v>1. SKK store</v>
          </cell>
          <cell r="E416" t="str">
            <v>S1006</v>
          </cell>
          <cell r="F416" t="str">
            <v>SKK Trần Đăng Ninh</v>
          </cell>
          <cell r="G416" t="str">
            <v>0989290448</v>
          </cell>
          <cell r="H416" t="str">
            <v>Chú Cường</v>
          </cell>
          <cell r="I416" t="str">
            <v>Khách cũ</v>
          </cell>
          <cell r="J416" t="str">
            <v>Đơn bán</v>
          </cell>
          <cell r="K416" t="str">
            <v>SAKUKO829504</v>
          </cell>
          <cell r="L416" t="str">
            <v>CHĂM SÓC SẮC ĐẸP</v>
          </cell>
          <cell r="M416" t="str">
            <v>CHĂM SÓC DA</v>
          </cell>
          <cell r="N416" t="str">
            <v>KEM DƯỠNG</v>
          </cell>
          <cell r="O416" t="str">
            <v>102384</v>
          </cell>
          <cell r="P416" t="str">
            <v>4902468820014</v>
          </cell>
          <cell r="Q416" t="str">
            <v>MEISHOKU- Kem gel dưỡng ẩm phục hồi chuyên sâu 50g</v>
          </cell>
          <cell r="R416">
            <v>575000</v>
          </cell>
          <cell r="S416">
            <v>1</v>
          </cell>
          <cell r="T416">
            <v>575000</v>
          </cell>
          <cell r="U416">
            <v>46000</v>
          </cell>
          <cell r="V416">
            <v>529000</v>
          </cell>
          <cell r="W416" t="str">
            <v>4902468820014</v>
          </cell>
        </row>
        <row r="417">
          <cell r="A417">
            <v>2026</v>
          </cell>
          <cell r="B417">
            <v>6</v>
          </cell>
          <cell r="C417">
            <v>46202</v>
          </cell>
          <cell r="D417" t="str">
            <v>1. SKK store</v>
          </cell>
          <cell r="E417" t="str">
            <v>S1006</v>
          </cell>
          <cell r="F417" t="str">
            <v>SKK Trần Đăng Ninh</v>
          </cell>
          <cell r="G417" t="str">
            <v>0989769483</v>
          </cell>
          <cell r="H417" t="str">
            <v>c thảo</v>
          </cell>
          <cell r="I417" t="str">
            <v>Khách cũ</v>
          </cell>
          <cell r="J417" t="str">
            <v>Đơn bán</v>
          </cell>
          <cell r="K417" t="str">
            <v>SAKUKO829795</v>
          </cell>
          <cell r="L417" t="str">
            <v>THỰC PHẨM</v>
          </cell>
          <cell r="M417" t="str">
            <v>MỲ, MIẾN</v>
          </cell>
          <cell r="N417" t="str">
            <v>MỲ CHẾ BIẾN</v>
          </cell>
          <cell r="O417" t="str">
            <v>174948</v>
          </cell>
          <cell r="P417" t="str">
            <v>4582114354119</v>
          </cell>
          <cell r="Q417" t="str">
            <v>SANUKISHISEI- Mì soumen 300g</v>
          </cell>
          <cell r="R417">
            <v>35000</v>
          </cell>
          <cell r="S417">
            <v>1</v>
          </cell>
          <cell r="T417">
            <v>35000</v>
          </cell>
          <cell r="U417">
            <v>0</v>
          </cell>
          <cell r="V417">
            <v>35000</v>
          </cell>
          <cell r="W417" t="str">
            <v>4582114354119</v>
          </cell>
        </row>
        <row r="418">
          <cell r="A418">
            <v>2026</v>
          </cell>
          <cell r="B418">
            <v>6</v>
          </cell>
          <cell r="C418">
            <v>46202</v>
          </cell>
          <cell r="D418" t="str">
            <v>1. SKK store</v>
          </cell>
          <cell r="E418" t="str">
            <v>S1006</v>
          </cell>
          <cell r="F418" t="str">
            <v>SKK Trần Đăng Ninh</v>
          </cell>
          <cell r="G418" t="str">
            <v>0989769483</v>
          </cell>
          <cell r="H418" t="str">
            <v>c thảo</v>
          </cell>
          <cell r="I418" t="str">
            <v>Khách cũ</v>
          </cell>
          <cell r="J418" t="str">
            <v>Đơn bán</v>
          </cell>
          <cell r="K418" t="str">
            <v>SAKUKO829795</v>
          </cell>
          <cell r="L418" t="str">
            <v>THỰC PHẨM</v>
          </cell>
          <cell r="M418" t="str">
            <v>MỲ, MIẾN</v>
          </cell>
          <cell r="N418" t="str">
            <v>MỲ CHẾ BIẾN</v>
          </cell>
          <cell r="O418" t="str">
            <v>175435</v>
          </cell>
          <cell r="P418" t="str">
            <v>4901726014752</v>
          </cell>
          <cell r="Q418" t="str">
            <v>ITSUKI FOODS- Mì soumen rau củ ngũ sắc320g</v>
          </cell>
          <cell r="R418">
            <v>76000</v>
          </cell>
          <cell r="S418">
            <v>1</v>
          </cell>
          <cell r="T418">
            <v>76000</v>
          </cell>
          <cell r="U418">
            <v>0</v>
          </cell>
          <cell r="V418">
            <v>76000</v>
          </cell>
          <cell r="W418" t="str">
            <v>4901726014752</v>
          </cell>
        </row>
        <row r="419">
          <cell r="A419">
            <v>2026</v>
          </cell>
          <cell r="B419">
            <v>6</v>
          </cell>
          <cell r="C419">
            <v>46202</v>
          </cell>
          <cell r="D419" t="str">
            <v>1. SKK store</v>
          </cell>
          <cell r="E419" t="str">
            <v>S1007</v>
          </cell>
          <cell r="F419" t="str">
            <v>SKK  Nguyễn Du</v>
          </cell>
          <cell r="G419" t="str">
            <v>0862954339</v>
          </cell>
          <cell r="H419" t="str">
            <v>Klnd</v>
          </cell>
          <cell r="I419" t="str">
            <v>Khách vãng lai</v>
          </cell>
          <cell r="J419" t="str">
            <v>Đơn bán</v>
          </cell>
          <cell r="K419" t="str">
            <v>SAKUKO829649</v>
          </cell>
          <cell r="L419" t="str">
            <v>CHĂM SÓC SẮC ĐẸP</v>
          </cell>
          <cell r="M419" t="str">
            <v>CHĂM SÓC DA</v>
          </cell>
          <cell r="N419" t="str">
            <v>RỬA MẶT</v>
          </cell>
          <cell r="O419" t="str">
            <v>102421</v>
          </cell>
          <cell r="P419" t="str">
            <v>4902468819032</v>
          </cell>
          <cell r="Q419" t="str">
            <v>MEISHOU- Sữa rửa mặt làm sạch thuần chay 100g</v>
          </cell>
          <cell r="R419">
            <v>295000</v>
          </cell>
          <cell r="S419">
            <v>1</v>
          </cell>
          <cell r="T419">
            <v>295000</v>
          </cell>
          <cell r="U419">
            <v>0</v>
          </cell>
          <cell r="V419">
            <v>295000</v>
          </cell>
          <cell r="W419" t="str">
            <v>4902468819032</v>
          </cell>
        </row>
        <row r="420">
          <cell r="A420">
            <v>2026</v>
          </cell>
          <cell r="B420">
            <v>6</v>
          </cell>
          <cell r="C420">
            <v>46202</v>
          </cell>
          <cell r="D420" t="str">
            <v>1. SKK store</v>
          </cell>
          <cell r="E420" t="str">
            <v>S1007</v>
          </cell>
          <cell r="F420" t="str">
            <v>SKK  Nguyễn Du</v>
          </cell>
          <cell r="G420" t="str">
            <v>0912024004</v>
          </cell>
          <cell r="H420" t="str">
            <v>C THỦY</v>
          </cell>
          <cell r="I420" t="str">
            <v>Khách cũ</v>
          </cell>
          <cell r="J420" t="str">
            <v>Đơn bán</v>
          </cell>
          <cell r="K420" t="str">
            <v>SAKUKO829181</v>
          </cell>
          <cell r="L420" t="str">
            <v>CHĂM SÓC SẮC ĐẸP</v>
          </cell>
          <cell r="M420" t="str">
            <v>CHĂM SÓC DA</v>
          </cell>
          <cell r="N420" t="str">
            <v>RỬA MẶT</v>
          </cell>
          <cell r="O420" t="str">
            <v>102386</v>
          </cell>
          <cell r="P420" t="str">
            <v>4902468816062</v>
          </cell>
          <cell r="Q420" t="str">
            <v>MEISHOKU- Sữa rửa mặt sáng da Cvita 100g</v>
          </cell>
          <cell r="R420">
            <v>290000</v>
          </cell>
          <cell r="S420">
            <v>1</v>
          </cell>
          <cell r="T420">
            <v>290000</v>
          </cell>
          <cell r="U420">
            <v>23200</v>
          </cell>
          <cell r="V420">
            <v>266800</v>
          </cell>
          <cell r="W420" t="str">
            <v>4902468816062</v>
          </cell>
        </row>
        <row r="421">
          <cell r="A421">
            <v>2026</v>
          </cell>
          <cell r="B421">
            <v>6</v>
          </cell>
          <cell r="C421">
            <v>46202</v>
          </cell>
          <cell r="D421" t="str">
            <v>1. SKK store</v>
          </cell>
          <cell r="E421" t="str">
            <v>S1007</v>
          </cell>
          <cell r="F421" t="str">
            <v>SKK  Nguyễn Du</v>
          </cell>
          <cell r="G421" t="str">
            <v>0936348586</v>
          </cell>
          <cell r="H421" t="str">
            <v>Chị Nguyễn Thị Thúy</v>
          </cell>
          <cell r="I421" t="str">
            <v>Khách cũ</v>
          </cell>
          <cell r="J421" t="str">
            <v>Đơn bán</v>
          </cell>
          <cell r="K421" t="str">
            <v>SAKUKO829868</v>
          </cell>
          <cell r="L421" t="str">
            <v>THỰC PHẨM</v>
          </cell>
          <cell r="M421" t="str">
            <v>BÁNH KẸO, ĐỒ ĂN VẶT</v>
          </cell>
          <cell r="N421" t="str">
            <v>KẸO CAO SU</v>
          </cell>
          <cell r="O421" t="str">
            <v>231376</v>
          </cell>
          <cell r="P421" t="str">
            <v>4903333228577</v>
          </cell>
          <cell r="Q421" t="str">
            <v>LOTTE-Kẹo cao su tổng hợp 7 loại dạng lọ 133g</v>
          </cell>
          <cell r="R421">
            <v>235000</v>
          </cell>
          <cell r="S421">
            <v>1</v>
          </cell>
          <cell r="T421">
            <v>235000</v>
          </cell>
          <cell r="U421">
            <v>0</v>
          </cell>
          <cell r="V421">
            <v>235000</v>
          </cell>
          <cell r="W421" t="str">
            <v>4903333228577</v>
          </cell>
        </row>
        <row r="422">
          <cell r="A422">
            <v>2026</v>
          </cell>
          <cell r="B422">
            <v>6</v>
          </cell>
          <cell r="C422">
            <v>46201</v>
          </cell>
          <cell r="D422" t="str">
            <v>1. SKK store</v>
          </cell>
          <cell r="E422" t="str">
            <v>S1004</v>
          </cell>
          <cell r="F422" t="str">
            <v>SKK  Mandarin C1</v>
          </cell>
          <cell r="G422" t="str">
            <v>02466810404</v>
          </cell>
          <cell r="H422" t="str">
            <v>klhmg</v>
          </cell>
          <cell r="I422" t="str">
            <v>Khách vãng lai</v>
          </cell>
          <cell r="J422" t="str">
            <v>Đơn bán</v>
          </cell>
          <cell r="K422" t="str">
            <v>SAKUKO828280</v>
          </cell>
          <cell r="L422" t="str">
            <v>THỰC PHẨM</v>
          </cell>
          <cell r="M422" t="str">
            <v>MỲ, MIẾN</v>
          </cell>
          <cell r="N422" t="str">
            <v>MỲ CHẾ BIẾN</v>
          </cell>
          <cell r="O422" t="str">
            <v>154251</v>
          </cell>
          <cell r="P422" t="str">
            <v>4560159440776</v>
          </cell>
          <cell r="Q422" t="str">
            <v>SATO_Mì soba khô 800g</v>
          </cell>
          <cell r="R422">
            <v>104000</v>
          </cell>
          <cell r="S422">
            <v>1</v>
          </cell>
          <cell r="T422">
            <v>104000</v>
          </cell>
          <cell r="U422">
            <v>31200</v>
          </cell>
          <cell r="V422">
            <v>72800</v>
          </cell>
          <cell r="W422" t="str">
            <v>4560159440776</v>
          </cell>
        </row>
        <row r="423">
          <cell r="A423">
            <v>2026</v>
          </cell>
          <cell r="B423">
            <v>6</v>
          </cell>
          <cell r="C423">
            <v>46201</v>
          </cell>
          <cell r="D423" t="str">
            <v>1. SKK store</v>
          </cell>
          <cell r="E423" t="str">
            <v>S1004</v>
          </cell>
          <cell r="F423" t="str">
            <v>SKK  Mandarin C1</v>
          </cell>
          <cell r="G423" t="str">
            <v>0983500018</v>
          </cell>
          <cell r="H423" t="str">
            <v>chị Bình Lam</v>
          </cell>
          <cell r="I423" t="str">
            <v>Khách cũ</v>
          </cell>
          <cell r="J423" t="str">
            <v>Đơn bán</v>
          </cell>
          <cell r="K423" t="str">
            <v>SAKUKO828370</v>
          </cell>
          <cell r="L423" t="str">
            <v>CHĂM SÓC SẮC ĐẸP</v>
          </cell>
          <cell r="M423" t="str">
            <v>CHĂM SÓC DA</v>
          </cell>
          <cell r="N423" t="str">
            <v>CHĂM SÓC DA KHÁC</v>
          </cell>
          <cell r="O423" t="str">
            <v>102387</v>
          </cell>
          <cell r="P423" t="str">
            <v>8935006542907</v>
          </cell>
          <cell r="Q423" t="str">
            <v>HADA LABO- Bộ sản phẩm dưỡng ẩm (travel kit)47g</v>
          </cell>
          <cell r="R423">
            <v>129000</v>
          </cell>
          <cell r="S423">
            <v>1</v>
          </cell>
          <cell r="T423">
            <v>129000</v>
          </cell>
          <cell r="U423">
            <v>20000</v>
          </cell>
          <cell r="V423">
            <v>109000</v>
          </cell>
          <cell r="W423" t="str">
            <v>8935006542907</v>
          </cell>
        </row>
        <row r="424">
          <cell r="A424">
            <v>2026</v>
          </cell>
          <cell r="B424">
            <v>6</v>
          </cell>
          <cell r="C424">
            <v>46201</v>
          </cell>
          <cell r="D424" t="str">
            <v>1. SKK store</v>
          </cell>
          <cell r="E424" t="str">
            <v>S1005</v>
          </cell>
          <cell r="F424" t="str">
            <v>SKK  Thái Hà</v>
          </cell>
          <cell r="G424" t="str">
            <v>0941986556</v>
          </cell>
          <cell r="H424" t="str">
            <v>chị Hằng</v>
          </cell>
          <cell r="I424" t="str">
            <v>Khách cũ</v>
          </cell>
          <cell r="J424" t="str">
            <v>Đơn bán</v>
          </cell>
          <cell r="K424" t="str">
            <v>SAKUKO828616</v>
          </cell>
          <cell r="L424" t="str">
            <v>THỰC PHẨM</v>
          </cell>
          <cell r="M424" t="str">
            <v>MỲ, MIẾN</v>
          </cell>
          <cell r="N424" t="str">
            <v>MỲ ĂN LIỀN</v>
          </cell>
          <cell r="O424" t="str">
            <v>154196</v>
          </cell>
          <cell r="P424" t="str">
            <v>4979397000152</v>
          </cell>
          <cell r="Q424" t="str">
            <v>YAMAMOTO_Mì xào kiểu Nhật 89g*5</v>
          </cell>
          <cell r="R424">
            <v>99000</v>
          </cell>
          <cell r="S424">
            <v>1</v>
          </cell>
          <cell r="T424">
            <v>99000</v>
          </cell>
          <cell r="U424">
            <v>0</v>
          </cell>
          <cell r="V424">
            <v>99000</v>
          </cell>
          <cell r="W424" t="str">
            <v>4979397000152</v>
          </cell>
        </row>
        <row r="425">
          <cell r="A425">
            <v>2026</v>
          </cell>
          <cell r="B425">
            <v>6</v>
          </cell>
          <cell r="C425">
            <v>46201</v>
          </cell>
          <cell r="D425" t="str">
            <v>1. SKK store</v>
          </cell>
          <cell r="E425" t="str">
            <v>S1005</v>
          </cell>
          <cell r="F425" t="str">
            <v>SKK  Thái Hà</v>
          </cell>
          <cell r="G425" t="str">
            <v>0941986556</v>
          </cell>
          <cell r="H425" t="str">
            <v>chị Hằng</v>
          </cell>
          <cell r="I425" t="str">
            <v>Khách cũ</v>
          </cell>
          <cell r="J425" t="str">
            <v>Đơn bán</v>
          </cell>
          <cell r="K425" t="str">
            <v>SAKUKO828616</v>
          </cell>
          <cell r="L425" t="str">
            <v>THỰC PHẨM</v>
          </cell>
          <cell r="M425" t="str">
            <v>MỲ, MIẾN</v>
          </cell>
          <cell r="N425" t="str">
            <v>MỲ ĂN LIỀN</v>
          </cell>
          <cell r="O425" t="str">
            <v>154359</v>
          </cell>
          <cell r="P425" t="str">
            <v>4979397000138</v>
          </cell>
          <cell r="Q425" t="str">
            <v>YAMAMOTO- Mì ramen ăn liền hải sản thịt heo 88g*5</v>
          </cell>
          <cell r="R425">
            <v>99000</v>
          </cell>
          <cell r="S425">
            <v>2</v>
          </cell>
          <cell r="T425">
            <v>198000</v>
          </cell>
          <cell r="U425">
            <v>0</v>
          </cell>
          <cell r="V425">
            <v>198000</v>
          </cell>
          <cell r="W425" t="str">
            <v>4979397000138</v>
          </cell>
        </row>
        <row r="426">
          <cell r="A426">
            <v>2026</v>
          </cell>
          <cell r="B426">
            <v>6</v>
          </cell>
          <cell r="C426">
            <v>46201</v>
          </cell>
          <cell r="D426" t="str">
            <v>1. SKK store</v>
          </cell>
          <cell r="E426" t="str">
            <v>S1005</v>
          </cell>
          <cell r="F426" t="str">
            <v>SKK  Thái Hà</v>
          </cell>
          <cell r="G426" t="str">
            <v>0982738105</v>
          </cell>
          <cell r="H426" t="str">
            <v>C HANH</v>
          </cell>
          <cell r="I426" t="str">
            <v>Khách cũ</v>
          </cell>
          <cell r="J426" t="str">
            <v>Đơn bán</v>
          </cell>
          <cell r="K426" t="str">
            <v>SAKUKO828374</v>
          </cell>
          <cell r="L426" t="str">
            <v>CHĂM SÓC SẮC ĐẸP</v>
          </cell>
          <cell r="M426" t="str">
            <v>CHĂM SÓC DA</v>
          </cell>
          <cell r="N426" t="str">
            <v>KEM DƯỠNG</v>
          </cell>
          <cell r="O426" t="str">
            <v>102418</v>
          </cell>
          <cell r="P426" t="str">
            <v>4902468297021</v>
          </cell>
          <cell r="Q426" t="str">
            <v>MEISHOKU- Kem dưỡng da dịu nhẹ 45g</v>
          </cell>
          <cell r="R426">
            <v>435000</v>
          </cell>
          <cell r="S426">
            <v>1</v>
          </cell>
          <cell r="T426">
            <v>435000</v>
          </cell>
          <cell r="U426">
            <v>0</v>
          </cell>
          <cell r="V426">
            <v>435000</v>
          </cell>
          <cell r="W426" t="str">
            <v>4902468297021</v>
          </cell>
        </row>
        <row r="427">
          <cell r="A427">
            <v>2026</v>
          </cell>
          <cell r="B427">
            <v>6</v>
          </cell>
          <cell r="C427">
            <v>46201</v>
          </cell>
          <cell r="D427" t="str">
            <v>1. SKK store</v>
          </cell>
          <cell r="E427" t="str">
            <v>S1005</v>
          </cell>
          <cell r="F427" t="str">
            <v>SKK  Thái Hà</v>
          </cell>
          <cell r="G427" t="str">
            <v>0982738105</v>
          </cell>
          <cell r="H427" t="str">
            <v>C HANH</v>
          </cell>
          <cell r="I427" t="str">
            <v>Khách cũ</v>
          </cell>
          <cell r="J427" t="str">
            <v>Đơn bán</v>
          </cell>
          <cell r="K427" t="str">
            <v>SAKUKO828374</v>
          </cell>
          <cell r="L427" t="str">
            <v>CHĂM SÓC SẮC ĐẸP</v>
          </cell>
          <cell r="M427" t="str">
            <v>CHĂM SÓC DA</v>
          </cell>
          <cell r="N427" t="str">
            <v>RỬA MẶT</v>
          </cell>
          <cell r="O427" t="str">
            <v>102421</v>
          </cell>
          <cell r="P427" t="str">
            <v>4902468819032</v>
          </cell>
          <cell r="Q427" t="str">
            <v>MEISHOU- Sữa rửa mặt làm sạch thuần chay 100g</v>
          </cell>
          <cell r="R427">
            <v>295000</v>
          </cell>
          <cell r="S427">
            <v>1</v>
          </cell>
          <cell r="T427">
            <v>295000</v>
          </cell>
          <cell r="U427">
            <v>0</v>
          </cell>
          <cell r="V427">
            <v>295000</v>
          </cell>
          <cell r="W427" t="str">
            <v>4902468819032</v>
          </cell>
        </row>
        <row r="428">
          <cell r="A428">
            <v>2026</v>
          </cell>
          <cell r="B428">
            <v>6</v>
          </cell>
          <cell r="C428">
            <v>46201</v>
          </cell>
          <cell r="D428" t="str">
            <v>1. SKK store</v>
          </cell>
          <cell r="E428" t="str">
            <v>S1006</v>
          </cell>
          <cell r="F428" t="str">
            <v>SKK Trần Đăng Ninh</v>
          </cell>
          <cell r="G428" t="str">
            <v>0913239857</v>
          </cell>
          <cell r="H428" t="str">
            <v>Anh Trung</v>
          </cell>
          <cell r="I428" t="str">
            <v>Khách cũ</v>
          </cell>
          <cell r="J428" t="str">
            <v>Đơn bán</v>
          </cell>
          <cell r="K428" t="str">
            <v>SAKUKO828485</v>
          </cell>
          <cell r="L428" t="str">
            <v>THỰC PHẨM</v>
          </cell>
          <cell r="M428" t="str">
            <v>MỲ, MIẾN</v>
          </cell>
          <cell r="N428" t="str">
            <v>MỲ ĂN LIỀN</v>
          </cell>
          <cell r="O428" t="str">
            <v>154359</v>
          </cell>
          <cell r="P428" t="str">
            <v>4979397000138</v>
          </cell>
          <cell r="Q428" t="str">
            <v>YAMAMOTO- Mì ramen ăn liền hải sản thịt heo 88g*5</v>
          </cell>
          <cell r="R428">
            <v>99000</v>
          </cell>
          <cell r="S428">
            <v>1</v>
          </cell>
          <cell r="T428">
            <v>99000</v>
          </cell>
          <cell r="U428">
            <v>0</v>
          </cell>
          <cell r="V428">
            <v>99000</v>
          </cell>
          <cell r="W428" t="str">
            <v>4979397000138</v>
          </cell>
        </row>
        <row r="429">
          <cell r="A429">
            <v>2026</v>
          </cell>
          <cell r="B429">
            <v>6</v>
          </cell>
          <cell r="C429">
            <v>46201</v>
          </cell>
          <cell r="D429" t="str">
            <v>1. SKK store</v>
          </cell>
          <cell r="E429" t="str">
            <v>S1006</v>
          </cell>
          <cell r="F429" t="str">
            <v>SKK Trần Đăng Ninh</v>
          </cell>
          <cell r="G429" t="str">
            <v>0913999165</v>
          </cell>
          <cell r="H429" t="str">
            <v>Phạm Trúc Quỳnh</v>
          </cell>
          <cell r="I429" t="str">
            <v>Khách cũ</v>
          </cell>
          <cell r="J429" t="str">
            <v>Đơn bán</v>
          </cell>
          <cell r="K429" t="str">
            <v>SAKUKO828496</v>
          </cell>
          <cell r="L429" t="str">
            <v>THỰC PHẨM</v>
          </cell>
          <cell r="M429" t="str">
            <v>MỲ, MIẾN</v>
          </cell>
          <cell r="N429" t="str">
            <v>MỲ CHẾ BIẾN</v>
          </cell>
          <cell r="O429" t="str">
            <v>154251</v>
          </cell>
          <cell r="P429" t="str">
            <v>4560159440776</v>
          </cell>
          <cell r="Q429" t="str">
            <v>SATO_Mì soba khô 800g</v>
          </cell>
          <cell r="R429">
            <v>104000</v>
          </cell>
          <cell r="S429">
            <v>1</v>
          </cell>
          <cell r="T429">
            <v>104000</v>
          </cell>
          <cell r="U429">
            <v>31200</v>
          </cell>
          <cell r="V429">
            <v>72800</v>
          </cell>
          <cell r="W429" t="str">
            <v>4560159440776</v>
          </cell>
        </row>
        <row r="430">
          <cell r="A430">
            <v>2026</v>
          </cell>
          <cell r="B430">
            <v>6</v>
          </cell>
          <cell r="C430">
            <v>46201</v>
          </cell>
          <cell r="D430" t="str">
            <v>1. SKK store</v>
          </cell>
          <cell r="E430" t="str">
            <v>S1006</v>
          </cell>
          <cell r="F430" t="str">
            <v>SKK Trần Đăng Ninh</v>
          </cell>
          <cell r="G430" t="str">
            <v>0975827978</v>
          </cell>
          <cell r="H430" t="str">
            <v>chị Phạm Thị Phương Dung</v>
          </cell>
          <cell r="I430" t="str">
            <v>Khách cũ</v>
          </cell>
          <cell r="J430" t="str">
            <v>Đơn bán</v>
          </cell>
          <cell r="K430" t="str">
            <v>SAKUKO828432</v>
          </cell>
          <cell r="L430" t="str">
            <v>CHĂM SÓC SẮC ĐẸP</v>
          </cell>
          <cell r="M430" t="str">
            <v>CHĂM SÓC DA</v>
          </cell>
          <cell r="N430" t="str">
            <v>KEM DƯỠNG</v>
          </cell>
          <cell r="O430" t="str">
            <v>102384</v>
          </cell>
          <cell r="P430" t="str">
            <v>4902468820014</v>
          </cell>
          <cell r="Q430" t="str">
            <v>MEISHOKU- Kem gel dưỡng ẩm phục hồi chuyên sâu 50g</v>
          </cell>
          <cell r="R430">
            <v>575000</v>
          </cell>
          <cell r="S430">
            <v>1</v>
          </cell>
          <cell r="T430">
            <v>575000</v>
          </cell>
          <cell r="U430">
            <v>46000</v>
          </cell>
          <cell r="V430">
            <v>529000</v>
          </cell>
          <cell r="W430" t="str">
            <v>4902468820014</v>
          </cell>
        </row>
        <row r="431">
          <cell r="A431">
            <v>2026</v>
          </cell>
          <cell r="B431">
            <v>6</v>
          </cell>
          <cell r="C431">
            <v>46201</v>
          </cell>
          <cell r="D431" t="str">
            <v>1. SKK store</v>
          </cell>
          <cell r="E431" t="str">
            <v>S1006</v>
          </cell>
          <cell r="F431" t="str">
            <v>SKK Trần Đăng Ninh</v>
          </cell>
          <cell r="G431" t="str">
            <v>0983672366</v>
          </cell>
          <cell r="H431" t="str">
            <v>c nguyễn thị quỳnh anh</v>
          </cell>
          <cell r="I431" t="str">
            <v>Khách cũ</v>
          </cell>
          <cell r="J431" t="str">
            <v>Đơn bán</v>
          </cell>
          <cell r="K431" t="str">
            <v>SAKUKO828624</v>
          </cell>
          <cell r="L431" t="str">
            <v>CHĂM SÓC SẮC ĐẸP</v>
          </cell>
          <cell r="M431" t="str">
            <v>CHĂM SÓC DA</v>
          </cell>
          <cell r="N431" t="str">
            <v>CHĂM SÓC DA KHÁC</v>
          </cell>
          <cell r="O431" t="str">
            <v>102413</v>
          </cell>
          <cell r="P431" t="str">
            <v>4902468802171</v>
          </cell>
          <cell r="Q431" t="str">
            <v>MEISHOKU- Toner pad ngừa mụn Bigan (60m)</v>
          </cell>
          <cell r="R431">
            <v>395000</v>
          </cell>
          <cell r="S431">
            <v>1</v>
          </cell>
          <cell r="T431">
            <v>395000</v>
          </cell>
          <cell r="U431">
            <v>31600</v>
          </cell>
          <cell r="V431">
            <v>363400</v>
          </cell>
          <cell r="W431" t="str">
            <v>4902468802171</v>
          </cell>
        </row>
        <row r="432">
          <cell r="A432">
            <v>2026</v>
          </cell>
          <cell r="B432">
            <v>6</v>
          </cell>
          <cell r="C432">
            <v>46201</v>
          </cell>
          <cell r="D432" t="str">
            <v>1. SKK store</v>
          </cell>
          <cell r="E432" t="str">
            <v>S1006</v>
          </cell>
          <cell r="F432" t="str">
            <v>SKK Trần Đăng Ninh</v>
          </cell>
          <cell r="G432" t="str">
            <v>0987576714</v>
          </cell>
          <cell r="H432" t="str">
            <v>Chị Nguyễn Thu Trang</v>
          </cell>
          <cell r="I432" t="str">
            <v>Khách cũ</v>
          </cell>
          <cell r="J432" t="str">
            <v>Đơn bán</v>
          </cell>
          <cell r="K432" t="str">
            <v>SAKUKO828003</v>
          </cell>
          <cell r="L432" t="str">
            <v>NHÀ CỬA ĐỜI SỐNG</v>
          </cell>
          <cell r="M432" t="str">
            <v>PHÒNG CHỐNG CÔN TRÙNG</v>
          </cell>
          <cell r="N432" t="str">
            <v>DIỆT CÔN TRÙNG</v>
          </cell>
          <cell r="O432" t="str">
            <v>230476</v>
          </cell>
          <cell r="P432" t="str">
            <v>4987115105874</v>
          </cell>
          <cell r="Q432" t="str">
            <v>KINCHO- XỊT DIỆT MUỖI HƯƠNG HOA HỒNG 45ML</v>
          </cell>
          <cell r="R432">
            <v>320000</v>
          </cell>
          <cell r="S432">
            <v>1</v>
          </cell>
          <cell r="T432">
            <v>320000</v>
          </cell>
          <cell r="U432">
            <v>96000</v>
          </cell>
          <cell r="V432">
            <v>224000</v>
          </cell>
          <cell r="W432" t="str">
            <v>4987115105874</v>
          </cell>
        </row>
        <row r="433">
          <cell r="A433">
            <v>2026</v>
          </cell>
          <cell r="B433">
            <v>6</v>
          </cell>
          <cell r="C433">
            <v>46201</v>
          </cell>
          <cell r="D433" t="str">
            <v>1. SKK store</v>
          </cell>
          <cell r="E433" t="str">
            <v>S1006</v>
          </cell>
          <cell r="F433" t="str">
            <v>SKK Trần Đăng Ninh</v>
          </cell>
          <cell r="G433" t="str">
            <v>0989836310</v>
          </cell>
          <cell r="H433" t="str">
            <v>Chị Vũ Hải Yến</v>
          </cell>
          <cell r="I433" t="str">
            <v>Khách cũ</v>
          </cell>
          <cell r="J433" t="str">
            <v>Đơn bán</v>
          </cell>
          <cell r="K433" t="str">
            <v>SAKUKO828721</v>
          </cell>
          <cell r="L433" t="str">
            <v>THỰC PHẨM</v>
          </cell>
          <cell r="M433" t="str">
            <v>BÁNH KẸO, ĐỒ ĂN VẶT</v>
          </cell>
          <cell r="N433" t="str">
            <v>KẸO CAO SU</v>
          </cell>
          <cell r="O433" t="str">
            <v>231377</v>
          </cell>
          <cell r="P433" t="str">
            <v>4903333200375</v>
          </cell>
          <cell r="Q433" t="str">
            <v>LOTTE-Kẹo cao su tổng hợp dạng lọ 114g</v>
          </cell>
          <cell r="R433">
            <v>235000</v>
          </cell>
          <cell r="S433">
            <v>1</v>
          </cell>
          <cell r="T433">
            <v>235000</v>
          </cell>
          <cell r="U433">
            <v>0</v>
          </cell>
          <cell r="V433">
            <v>235000</v>
          </cell>
          <cell r="W433" t="str">
            <v>4903333200375</v>
          </cell>
        </row>
        <row r="434">
          <cell r="A434">
            <v>2026</v>
          </cell>
          <cell r="B434">
            <v>6</v>
          </cell>
          <cell r="C434">
            <v>46201</v>
          </cell>
          <cell r="D434" t="str">
            <v>1. SKK store</v>
          </cell>
          <cell r="E434" t="str">
            <v>S1008</v>
          </cell>
          <cell r="F434" t="str">
            <v>SKK  Hàng Bông</v>
          </cell>
          <cell r="G434" t="str">
            <v>02466810202</v>
          </cell>
          <cell r="H434" t="str">
            <v>KH Tây</v>
          </cell>
          <cell r="I434" t="str">
            <v>Khách vãng lai</v>
          </cell>
          <cell r="J434" t="str">
            <v>Đơn bán</v>
          </cell>
          <cell r="K434" t="str">
            <v>SAKUKO828939</v>
          </cell>
          <cell r="L434" t="str">
            <v>CHĂM SÓC SẮC ĐẸP</v>
          </cell>
          <cell r="M434" t="str">
            <v>CHĂM SÓC DA</v>
          </cell>
          <cell r="N434" t="str">
            <v>CHĂM SÓC DA KHÁC</v>
          </cell>
          <cell r="O434" t="str">
            <v>102387</v>
          </cell>
          <cell r="P434" t="str">
            <v>8935006542907</v>
          </cell>
          <cell r="Q434" t="str">
            <v>HADA LABO- Bộ sản phẩm dưỡng ẩm (travel kit)47g</v>
          </cell>
          <cell r="R434">
            <v>129000</v>
          </cell>
          <cell r="S434">
            <v>2</v>
          </cell>
          <cell r="T434">
            <v>258000</v>
          </cell>
          <cell r="U434">
            <v>40000</v>
          </cell>
          <cell r="V434">
            <v>218000</v>
          </cell>
          <cell r="W434" t="str">
            <v>8935006542907</v>
          </cell>
        </row>
        <row r="435">
          <cell r="A435">
            <v>2026</v>
          </cell>
          <cell r="B435">
            <v>6</v>
          </cell>
          <cell r="C435">
            <v>46201</v>
          </cell>
          <cell r="D435" t="str">
            <v>1. SKK store</v>
          </cell>
          <cell r="E435" t="str">
            <v>S1008</v>
          </cell>
          <cell r="F435" t="str">
            <v>SKK  Hàng Bông</v>
          </cell>
          <cell r="G435" t="str">
            <v>0903245666</v>
          </cell>
          <cell r="H435" t="str">
            <v>Chị Nhóc</v>
          </cell>
          <cell r="I435" t="str">
            <v>Khách cũ</v>
          </cell>
          <cell r="J435" t="str">
            <v>Đơn bán</v>
          </cell>
          <cell r="K435" t="str">
            <v>SAKUKO828471</v>
          </cell>
          <cell r="L435" t="str">
            <v>THỰC PHẨM</v>
          </cell>
          <cell r="M435" t="str">
            <v>BÁNH KẸO, ĐỒ ĂN VẶT</v>
          </cell>
          <cell r="N435" t="str">
            <v>KẸO CAO SU</v>
          </cell>
          <cell r="O435" t="str">
            <v>231377</v>
          </cell>
          <cell r="P435" t="str">
            <v>4903333200375</v>
          </cell>
          <cell r="Q435" t="str">
            <v>LOTTE-Kẹo cao su tổng hợp dạng lọ 114g</v>
          </cell>
          <cell r="R435">
            <v>235000</v>
          </cell>
          <cell r="S435">
            <v>1</v>
          </cell>
          <cell r="T435">
            <v>235000</v>
          </cell>
          <cell r="U435">
            <v>0</v>
          </cell>
          <cell r="V435">
            <v>235000</v>
          </cell>
          <cell r="W435" t="str">
            <v>4903333200375</v>
          </cell>
        </row>
        <row r="436">
          <cell r="A436">
            <v>2026</v>
          </cell>
          <cell r="B436">
            <v>6</v>
          </cell>
          <cell r="C436">
            <v>46201</v>
          </cell>
          <cell r="D436" t="str">
            <v>1. SKK store</v>
          </cell>
          <cell r="E436" t="str">
            <v>S1008</v>
          </cell>
          <cell r="F436" t="str">
            <v>SKK  Hàng Bông</v>
          </cell>
          <cell r="G436" t="str">
            <v>0904656807</v>
          </cell>
          <cell r="H436" t="str">
            <v>C Ngô Thị Luân</v>
          </cell>
          <cell r="I436" t="str">
            <v>Khách cũ</v>
          </cell>
          <cell r="J436" t="str">
            <v>Đơn bán</v>
          </cell>
          <cell r="K436" t="str">
            <v>SAKUKO828340</v>
          </cell>
          <cell r="L436" t="str">
            <v>THỰC PHẨM</v>
          </cell>
          <cell r="M436" t="str">
            <v>MỲ, MIẾN</v>
          </cell>
          <cell r="N436" t="str">
            <v>MỲ ĂN LIỀN</v>
          </cell>
          <cell r="O436" t="str">
            <v>154359</v>
          </cell>
          <cell r="P436" t="str">
            <v>4979397000138</v>
          </cell>
          <cell r="Q436" t="str">
            <v>YAMAMOTO- Mì ramen ăn liền hải sản thịt heo 88g*5</v>
          </cell>
          <cell r="R436">
            <v>99000</v>
          </cell>
          <cell r="S436">
            <v>1</v>
          </cell>
          <cell r="T436">
            <v>99000</v>
          </cell>
          <cell r="U436">
            <v>0</v>
          </cell>
          <cell r="V436">
            <v>99000</v>
          </cell>
          <cell r="W436" t="str">
            <v>4979397000138</v>
          </cell>
        </row>
        <row r="437">
          <cell r="A437">
            <v>2026</v>
          </cell>
          <cell r="B437">
            <v>6</v>
          </cell>
          <cell r="C437">
            <v>46201</v>
          </cell>
          <cell r="D437" t="str">
            <v>1. SKK store</v>
          </cell>
          <cell r="E437" t="str">
            <v>S1008</v>
          </cell>
          <cell r="F437" t="str">
            <v>SKK  Hàng Bông</v>
          </cell>
          <cell r="G437" t="str">
            <v>0913231715</v>
          </cell>
          <cell r="H437" t="str">
            <v>nguyễn thị mến</v>
          </cell>
          <cell r="I437" t="str">
            <v>Khách cũ</v>
          </cell>
          <cell r="J437" t="str">
            <v>Đơn bán</v>
          </cell>
          <cell r="K437" t="str">
            <v>SAKUKO827886</v>
          </cell>
          <cell r="L437" t="str">
            <v>ĐỒ CHO MẸ BÉ</v>
          </cell>
          <cell r="M437" t="str">
            <v>GIẤY ƯỚT</v>
          </cell>
          <cell r="N437" t="str">
            <v>GIẤY ƯỚT CHO BÉ</v>
          </cell>
          <cell r="O437" t="str">
            <v>121662</v>
          </cell>
          <cell r="P437" t="str">
            <v>8934755035036</v>
          </cell>
          <cell r="Q437" t="str">
            <v>FRESSI- Khăn ướt Care For All 20 miếng</v>
          </cell>
          <cell r="R437">
            <v>14000</v>
          </cell>
          <cell r="S437">
            <v>2</v>
          </cell>
          <cell r="T437">
            <v>28000</v>
          </cell>
          <cell r="U437">
            <v>0</v>
          </cell>
          <cell r="V437">
            <v>28000</v>
          </cell>
          <cell r="W437" t="str">
            <v>8934755035036</v>
          </cell>
        </row>
        <row r="438">
          <cell r="A438">
            <v>2026</v>
          </cell>
          <cell r="B438">
            <v>6</v>
          </cell>
          <cell r="C438">
            <v>46201</v>
          </cell>
          <cell r="D438" t="str">
            <v>1. SKK store</v>
          </cell>
          <cell r="E438" t="str">
            <v>S1008</v>
          </cell>
          <cell r="F438" t="str">
            <v>SKK  Hàng Bông</v>
          </cell>
          <cell r="G438" t="str">
            <v>0913231715</v>
          </cell>
          <cell r="H438" t="str">
            <v>nguyễn thị mến</v>
          </cell>
          <cell r="I438" t="str">
            <v>Khách cũ</v>
          </cell>
          <cell r="J438" t="str">
            <v>Đơn bán</v>
          </cell>
          <cell r="K438" t="str">
            <v>SAKUKO827886</v>
          </cell>
          <cell r="L438" t="str">
            <v>ĐỒ CHO MẸ BÉ</v>
          </cell>
          <cell r="M438" t="str">
            <v>GIẤY ƯỚT</v>
          </cell>
          <cell r="N438" t="str">
            <v>GIẤY ƯỚT CHO BÉ</v>
          </cell>
          <cell r="O438" t="str">
            <v>121663</v>
          </cell>
          <cell r="P438" t="str">
            <v>8934755035197</v>
          </cell>
          <cell r="Q438" t="str">
            <v>FRESSI- Khăn ướt Care For All 100 miếng</v>
          </cell>
          <cell r="R438">
            <v>49000</v>
          </cell>
          <cell r="S438">
            <v>1</v>
          </cell>
          <cell r="T438">
            <v>49000</v>
          </cell>
          <cell r="U438">
            <v>0</v>
          </cell>
          <cell r="V438">
            <v>49000</v>
          </cell>
          <cell r="W438" t="str">
            <v>8934755035197</v>
          </cell>
        </row>
        <row r="439">
          <cell r="A439">
            <v>2026</v>
          </cell>
          <cell r="B439">
            <v>6</v>
          </cell>
          <cell r="C439">
            <v>46201</v>
          </cell>
          <cell r="D439" t="str">
            <v>1. SKK store</v>
          </cell>
          <cell r="E439" t="str">
            <v>S1008</v>
          </cell>
          <cell r="F439" t="str">
            <v>SKK  Hàng Bông</v>
          </cell>
          <cell r="G439" t="str">
            <v>0913935962</v>
          </cell>
          <cell r="H439" t="str">
            <v>Cô Nguyễn Thị Tư</v>
          </cell>
          <cell r="I439" t="str">
            <v>Khách cũ</v>
          </cell>
          <cell r="J439" t="str">
            <v>Đơn bán</v>
          </cell>
          <cell r="K439" t="str">
            <v>SAKUKO828172</v>
          </cell>
          <cell r="L439" t="str">
            <v>CHĂM SÓC SẮC ĐẸP</v>
          </cell>
          <cell r="M439" t="str">
            <v>CHĂM SÓC DA</v>
          </cell>
          <cell r="N439" t="str">
            <v>RỬA MẶT</v>
          </cell>
          <cell r="O439" t="str">
            <v>102386</v>
          </cell>
          <cell r="P439" t="str">
            <v>4902468816062</v>
          </cell>
          <cell r="Q439" t="str">
            <v>MEISHOKU- Sữa rửa mặt sáng da Cvita 100g</v>
          </cell>
          <cell r="R439">
            <v>290000</v>
          </cell>
          <cell r="S439">
            <v>1</v>
          </cell>
          <cell r="T439">
            <v>290000</v>
          </cell>
          <cell r="U439">
            <v>23200</v>
          </cell>
          <cell r="V439">
            <v>266800</v>
          </cell>
          <cell r="W439" t="str">
            <v>4902468816062</v>
          </cell>
        </row>
        <row r="440">
          <cell r="A440">
            <v>2026</v>
          </cell>
          <cell r="B440">
            <v>6</v>
          </cell>
          <cell r="C440">
            <v>46201</v>
          </cell>
          <cell r="D440" t="str">
            <v>1. SKK store</v>
          </cell>
          <cell r="E440" t="str">
            <v>S1008</v>
          </cell>
          <cell r="F440" t="str">
            <v>SKK  Hàng Bông</v>
          </cell>
          <cell r="G440" t="str">
            <v>0914814499</v>
          </cell>
          <cell r="H440" t="str">
            <v>nguyễn thị hồng thúy</v>
          </cell>
          <cell r="I440" t="str">
            <v>Khách cũ</v>
          </cell>
          <cell r="J440" t="str">
            <v>Đơn bán</v>
          </cell>
          <cell r="K440" t="str">
            <v>SAKUKO828965</v>
          </cell>
          <cell r="L440" t="str">
            <v>CHĂM SÓC SẮC ĐẸP</v>
          </cell>
          <cell r="M440" t="str">
            <v>CHĂM SÓC DA</v>
          </cell>
          <cell r="N440" t="str">
            <v>KEM DƯỠNG</v>
          </cell>
          <cell r="O440" t="str">
            <v>102384</v>
          </cell>
          <cell r="P440" t="str">
            <v>4902468820014</v>
          </cell>
          <cell r="Q440" t="str">
            <v>MEISHOKU- Kem gel dưỡng ẩm phục hồi chuyên sâu 50g</v>
          </cell>
          <cell r="R440">
            <v>575000</v>
          </cell>
          <cell r="S440">
            <v>1</v>
          </cell>
          <cell r="T440">
            <v>575000</v>
          </cell>
          <cell r="U440">
            <v>76000</v>
          </cell>
          <cell r="V440">
            <v>499000</v>
          </cell>
          <cell r="W440" t="str">
            <v>4902468820014</v>
          </cell>
        </row>
        <row r="441">
          <cell r="A441">
            <v>2026</v>
          </cell>
          <cell r="B441">
            <v>6</v>
          </cell>
          <cell r="C441">
            <v>46201</v>
          </cell>
          <cell r="D441" t="str">
            <v>1. SKK store</v>
          </cell>
          <cell r="E441" t="str">
            <v>S1008</v>
          </cell>
          <cell r="F441" t="str">
            <v>SKK  Hàng Bông</v>
          </cell>
          <cell r="G441" t="str">
            <v>0914814499</v>
          </cell>
          <cell r="H441" t="str">
            <v>nguyễn thị hồng thúy</v>
          </cell>
          <cell r="I441" t="str">
            <v>Khách cũ</v>
          </cell>
          <cell r="J441" t="str">
            <v>Đơn bán</v>
          </cell>
          <cell r="K441" t="str">
            <v>SAKUKO828965</v>
          </cell>
          <cell r="L441" t="str">
            <v>CHĂM SÓC SẮC ĐẸP</v>
          </cell>
          <cell r="M441" t="str">
            <v>CHĂM SÓC DA</v>
          </cell>
          <cell r="N441" t="str">
            <v>KEM DƯỠNG</v>
          </cell>
          <cell r="O441" t="str">
            <v>102420</v>
          </cell>
          <cell r="P441" t="str">
            <v>4902468820007</v>
          </cell>
          <cell r="Q441" t="str">
            <v>MEISHOKU- Tinh chất dưỡng ẩm chuyên sâu 30ml</v>
          </cell>
          <cell r="R441">
            <v>555000</v>
          </cell>
          <cell r="S441">
            <v>1</v>
          </cell>
          <cell r="T441">
            <v>555000</v>
          </cell>
          <cell r="U441">
            <v>55000</v>
          </cell>
          <cell r="V441">
            <v>500000</v>
          </cell>
          <cell r="W441" t="str">
            <v>4902468820007</v>
          </cell>
        </row>
        <row r="442">
          <cell r="A442">
            <v>2026</v>
          </cell>
          <cell r="B442">
            <v>6</v>
          </cell>
          <cell r="C442">
            <v>46201</v>
          </cell>
          <cell r="D442" t="str">
            <v>1. SKK store</v>
          </cell>
          <cell r="E442" t="str">
            <v>S1008</v>
          </cell>
          <cell r="F442" t="str">
            <v>SKK  Hàng Bông</v>
          </cell>
          <cell r="G442" t="str">
            <v>0914814499</v>
          </cell>
          <cell r="H442" t="str">
            <v>nguyễn thị hồng thúy</v>
          </cell>
          <cell r="I442" t="str">
            <v>Khách cũ</v>
          </cell>
          <cell r="J442" t="str">
            <v>Đơn bán</v>
          </cell>
          <cell r="K442" t="str">
            <v>SAKUKO828965</v>
          </cell>
          <cell r="L442" t="str">
            <v>ĐỒ CHO MẸ BÉ</v>
          </cell>
          <cell r="M442" t="str">
            <v>GIẤY ƯỚT</v>
          </cell>
          <cell r="N442" t="str">
            <v>GIẤY ƯỚT CHO BÉ</v>
          </cell>
          <cell r="O442" t="str">
            <v>121665</v>
          </cell>
          <cell r="P442" t="str">
            <v>8934755035289</v>
          </cell>
          <cell r="Q442" t="str">
            <v>BOBBY- Khăn ướt em bé không mùi 100 miếng</v>
          </cell>
          <cell r="R442">
            <v>46000</v>
          </cell>
          <cell r="S442">
            <v>2</v>
          </cell>
          <cell r="T442">
            <v>92000</v>
          </cell>
          <cell r="U442">
            <v>0</v>
          </cell>
          <cell r="V442">
            <v>92000</v>
          </cell>
          <cell r="W442" t="str">
            <v>8934755035289</v>
          </cell>
        </row>
        <row r="443">
          <cell r="A443">
            <v>2026</v>
          </cell>
          <cell r="B443">
            <v>6</v>
          </cell>
          <cell r="C443">
            <v>46201</v>
          </cell>
          <cell r="D443" t="str">
            <v>1. SKK store</v>
          </cell>
          <cell r="E443" t="str">
            <v>S1015</v>
          </cell>
          <cell r="F443" t="str">
            <v>SKK Hàm Nghi</v>
          </cell>
          <cell r="G443" t="str">
            <v>0912648483</v>
          </cell>
          <cell r="H443" t="str">
            <v>Cô thoa</v>
          </cell>
          <cell r="I443" t="str">
            <v>Khách cũ</v>
          </cell>
          <cell r="J443" t="str">
            <v>Đơn bán</v>
          </cell>
          <cell r="K443" t="str">
            <v>SAKUKO828818</v>
          </cell>
          <cell r="L443" t="str">
            <v>CHĂM SÓC SẮC ĐẸP</v>
          </cell>
          <cell r="M443" t="str">
            <v>CHĂM SÓC DA</v>
          </cell>
          <cell r="N443" t="str">
            <v>RỬA MẶT</v>
          </cell>
          <cell r="O443" t="str">
            <v>230269</v>
          </cell>
          <cell r="P443" t="str">
            <v>4987241173242</v>
          </cell>
          <cell r="Q443" t="str">
            <v>ROHTO- SRM Melano CC mờ thâm nám (130g)</v>
          </cell>
          <cell r="R443">
            <v>294000</v>
          </cell>
          <cell r="S443">
            <v>1</v>
          </cell>
          <cell r="T443">
            <v>294000</v>
          </cell>
          <cell r="U443">
            <v>117600</v>
          </cell>
          <cell r="V443">
            <v>176400</v>
          </cell>
          <cell r="W443" t="str">
            <v>4987241173242</v>
          </cell>
        </row>
        <row r="444">
          <cell r="A444">
            <v>2026</v>
          </cell>
          <cell r="B444">
            <v>6</v>
          </cell>
          <cell r="C444">
            <v>46201</v>
          </cell>
          <cell r="D444" t="str">
            <v>1. SKK store</v>
          </cell>
          <cell r="E444" t="str">
            <v>S1015</v>
          </cell>
          <cell r="F444" t="str">
            <v>SKK Hàm Nghi</v>
          </cell>
          <cell r="G444" t="str">
            <v>0985762299</v>
          </cell>
          <cell r="H444" t="str">
            <v>Chị Xuân</v>
          </cell>
          <cell r="I444" t="str">
            <v>Khách cũ</v>
          </cell>
          <cell r="J444" t="str">
            <v>Đơn bán</v>
          </cell>
          <cell r="K444" t="str">
            <v>SAKUKO828456</v>
          </cell>
          <cell r="L444" t="str">
            <v>THỰC PHẨM</v>
          </cell>
          <cell r="M444" t="str">
            <v>MỲ, MIẾN</v>
          </cell>
          <cell r="N444" t="str">
            <v>MỲ CHẾ BIẾN</v>
          </cell>
          <cell r="O444" t="str">
            <v>154251</v>
          </cell>
          <cell r="P444" t="str">
            <v>4560159440776</v>
          </cell>
          <cell r="Q444" t="str">
            <v>SATO_Mì soba khô 800g</v>
          </cell>
          <cell r="R444">
            <v>104000</v>
          </cell>
          <cell r="S444">
            <v>1</v>
          </cell>
          <cell r="T444">
            <v>104000</v>
          </cell>
          <cell r="U444">
            <v>31200</v>
          </cell>
          <cell r="V444">
            <v>72800</v>
          </cell>
          <cell r="W444" t="str">
            <v>4560159440776</v>
          </cell>
        </row>
        <row r="445">
          <cell r="A445">
            <v>2026</v>
          </cell>
          <cell r="B445">
            <v>6</v>
          </cell>
          <cell r="C445">
            <v>46201</v>
          </cell>
          <cell r="D445" t="str">
            <v>1. SKK store</v>
          </cell>
          <cell r="E445" t="str">
            <v>S1018</v>
          </cell>
          <cell r="F445" t="str">
            <v>SKK Nguyễn Tuân</v>
          </cell>
          <cell r="G445" t="str">
            <v>0904659935</v>
          </cell>
          <cell r="H445" t="str">
            <v>anh minh</v>
          </cell>
          <cell r="I445" t="str">
            <v>Khách cũ</v>
          </cell>
          <cell r="J445" t="str">
            <v>Đơn bán</v>
          </cell>
          <cell r="K445" t="str">
            <v>SAKUKO829088</v>
          </cell>
          <cell r="L445" t="str">
            <v>THỰC PHẨM</v>
          </cell>
          <cell r="M445" t="str">
            <v>MỲ, MIẾN</v>
          </cell>
          <cell r="N445" t="str">
            <v>MỲ ĂN LIỀN</v>
          </cell>
          <cell r="O445" t="str">
            <v>154196</v>
          </cell>
          <cell r="P445" t="str">
            <v>4979397000152</v>
          </cell>
          <cell r="Q445" t="str">
            <v>YAMAMOTO_Mì xào kiểu Nhật 89g*5</v>
          </cell>
          <cell r="R445">
            <v>99000</v>
          </cell>
          <cell r="S445">
            <v>1</v>
          </cell>
          <cell r="T445">
            <v>99000</v>
          </cell>
          <cell r="U445">
            <v>0</v>
          </cell>
          <cell r="V445">
            <v>99000</v>
          </cell>
          <cell r="W445" t="str">
            <v>4979397000152</v>
          </cell>
        </row>
        <row r="446">
          <cell r="A446">
            <v>2026</v>
          </cell>
          <cell r="B446">
            <v>6</v>
          </cell>
          <cell r="C446">
            <v>46201</v>
          </cell>
          <cell r="D446" t="str">
            <v>1. SKK store</v>
          </cell>
          <cell r="E446" t="str">
            <v>S1025</v>
          </cell>
          <cell r="F446" t="str">
            <v>SKK T6 Time City</v>
          </cell>
          <cell r="G446" t="str">
            <v>0827072595</v>
          </cell>
          <cell r="H446" t="str">
            <v>Mr. Iwata</v>
          </cell>
          <cell r="I446" t="str">
            <v>Khách cũ</v>
          </cell>
          <cell r="J446" t="str">
            <v>Đơn bán</v>
          </cell>
          <cell r="K446" t="str">
            <v>SAKUKO828823</v>
          </cell>
          <cell r="L446" t="str">
            <v>THỰC PHẨM</v>
          </cell>
          <cell r="M446" t="str">
            <v>MỲ, MIẾN</v>
          </cell>
          <cell r="N446" t="str">
            <v>MỲ CHẾ BIẾN</v>
          </cell>
          <cell r="O446" t="str">
            <v>154251</v>
          </cell>
          <cell r="P446" t="str">
            <v>4560159440776</v>
          </cell>
          <cell r="Q446" t="str">
            <v>SATO_Mì soba khô 800g</v>
          </cell>
          <cell r="R446">
            <v>104000</v>
          </cell>
          <cell r="S446">
            <v>1</v>
          </cell>
          <cell r="T446">
            <v>104000</v>
          </cell>
          <cell r="U446">
            <v>31200</v>
          </cell>
          <cell r="V446">
            <v>72800</v>
          </cell>
          <cell r="W446" t="str">
            <v>4560159440776</v>
          </cell>
        </row>
        <row r="447">
          <cell r="A447">
            <v>2026</v>
          </cell>
          <cell r="B447">
            <v>6</v>
          </cell>
          <cell r="C447">
            <v>46201</v>
          </cell>
          <cell r="D447" t="str">
            <v>1. SKK store</v>
          </cell>
          <cell r="E447" t="str">
            <v>S1025</v>
          </cell>
          <cell r="F447" t="str">
            <v>SKK T6 Time City</v>
          </cell>
          <cell r="G447" t="str">
            <v>0904264562</v>
          </cell>
          <cell r="H447" t="str">
            <v>chị giang</v>
          </cell>
          <cell r="I447" t="str">
            <v>Khách mới</v>
          </cell>
          <cell r="J447" t="str">
            <v>Đơn bán</v>
          </cell>
          <cell r="K447" t="str">
            <v>SAKUKO828867</v>
          </cell>
          <cell r="L447" t="str">
            <v>THỰC PHẨM</v>
          </cell>
          <cell r="M447" t="str">
            <v>BÁNH KẸO, ĐỒ ĂN VẶT</v>
          </cell>
          <cell r="N447" t="str">
            <v>KẸO CAO SU</v>
          </cell>
          <cell r="O447" t="str">
            <v>154105</v>
          </cell>
          <cell r="P447" t="str">
            <v>4547894156612</v>
          </cell>
          <cell r="Q447" t="str">
            <v>MONDELEZ JAPAN - Kẹo cao su 112g</v>
          </cell>
          <cell r="R447">
            <v>235000</v>
          </cell>
          <cell r="S447">
            <v>1</v>
          </cell>
          <cell r="T447">
            <v>235000</v>
          </cell>
          <cell r="U447">
            <v>0</v>
          </cell>
          <cell r="V447">
            <v>235000</v>
          </cell>
          <cell r="W447" t="str">
            <v>4547894156612</v>
          </cell>
        </row>
        <row r="448">
          <cell r="A448">
            <v>2026</v>
          </cell>
          <cell r="B448">
            <v>6</v>
          </cell>
          <cell r="C448">
            <v>46201</v>
          </cell>
          <cell r="D448" t="str">
            <v>1. SKK store</v>
          </cell>
          <cell r="E448" t="str">
            <v>S1025</v>
          </cell>
          <cell r="F448" t="str">
            <v>SKK T6 Time City</v>
          </cell>
          <cell r="G448" t="str">
            <v>0947742828</v>
          </cell>
          <cell r="H448" t="str">
            <v>C HANH</v>
          </cell>
          <cell r="I448" t="str">
            <v>Khách cũ</v>
          </cell>
          <cell r="J448" t="str">
            <v>Đơn bán</v>
          </cell>
          <cell r="K448" t="str">
            <v>SAKUKO828652</v>
          </cell>
          <cell r="L448" t="str">
            <v>CHĂM SÓC SẮC ĐẸP</v>
          </cell>
          <cell r="M448" t="str">
            <v>Mỹ phẩm khác</v>
          </cell>
          <cell r="N448" t="str">
            <v>PHỤ KIỆN LÀM ĐẸP</v>
          </cell>
          <cell r="O448" t="str">
            <v>102389</v>
          </cell>
          <cell r="P448" t="str">
            <v>4969757110652</v>
          </cell>
          <cell r="Q448" t="str">
            <v>KYOWA- Gói bông tẩy trang 130 miếng</v>
          </cell>
          <cell r="R448">
            <v>49000</v>
          </cell>
          <cell r="S448">
            <v>1</v>
          </cell>
          <cell r="T448">
            <v>49000</v>
          </cell>
          <cell r="U448">
            <v>0</v>
          </cell>
          <cell r="V448">
            <v>49000</v>
          </cell>
          <cell r="W448" t="str">
            <v>4969757110652</v>
          </cell>
        </row>
        <row r="449">
          <cell r="A449">
            <v>2026</v>
          </cell>
          <cell r="B449">
            <v>6</v>
          </cell>
          <cell r="C449">
            <v>46201</v>
          </cell>
          <cell r="D449" t="str">
            <v>1. SKK store</v>
          </cell>
          <cell r="E449" t="str">
            <v>S1025</v>
          </cell>
          <cell r="F449" t="str">
            <v>SKK T6 Time City</v>
          </cell>
          <cell r="G449" t="str">
            <v>0967620898</v>
          </cell>
          <cell r="H449" t="str">
            <v>chị Lan</v>
          </cell>
          <cell r="I449" t="str">
            <v>Khách cũ</v>
          </cell>
          <cell r="J449" t="str">
            <v>Đơn bán</v>
          </cell>
          <cell r="K449" t="str">
            <v>SAKUKO828833</v>
          </cell>
          <cell r="L449" t="str">
            <v>CHĂM SÓC SẮC ĐẸP</v>
          </cell>
          <cell r="M449" t="str">
            <v>Mỹ phẩm khác</v>
          </cell>
          <cell r="N449" t="str">
            <v>PHỤ KIỆN LÀM ĐẸP</v>
          </cell>
          <cell r="O449" t="str">
            <v>102389</v>
          </cell>
          <cell r="P449" t="str">
            <v>4969757110652</v>
          </cell>
          <cell r="Q449" t="str">
            <v>KYOWA- Gói bông tẩy trang 130 miếng</v>
          </cell>
          <cell r="R449">
            <v>49000</v>
          </cell>
          <cell r="S449">
            <v>1</v>
          </cell>
          <cell r="T449">
            <v>49000</v>
          </cell>
          <cell r="U449">
            <v>0</v>
          </cell>
          <cell r="V449">
            <v>49000</v>
          </cell>
          <cell r="W449" t="str">
            <v>4969757110652</v>
          </cell>
        </row>
        <row r="450">
          <cell r="A450">
            <v>2026</v>
          </cell>
          <cell r="B450">
            <v>6</v>
          </cell>
          <cell r="C450">
            <v>46201</v>
          </cell>
          <cell r="D450" t="str">
            <v>1. SKK store</v>
          </cell>
          <cell r="E450" t="str">
            <v>S1025</v>
          </cell>
          <cell r="F450" t="str">
            <v>SKK T6 Time City</v>
          </cell>
          <cell r="G450" t="str">
            <v>0976234266</v>
          </cell>
          <cell r="H450" t="str">
            <v>Chị Hạnh</v>
          </cell>
          <cell r="I450" t="str">
            <v>Khách cũ</v>
          </cell>
          <cell r="J450" t="str">
            <v>Đơn bán</v>
          </cell>
          <cell r="K450" t="str">
            <v>SAKUKO828209</v>
          </cell>
          <cell r="L450" t="str">
            <v>THỰC PHẨM</v>
          </cell>
          <cell r="M450" t="str">
            <v>MỲ, MIẾN</v>
          </cell>
          <cell r="N450" t="str">
            <v>MỲ CHẾ BIẾN</v>
          </cell>
          <cell r="O450" t="str">
            <v>154247</v>
          </cell>
          <cell r="P450" t="str">
            <v>4902902105004</v>
          </cell>
          <cell r="Q450" t="str">
            <v>MALONY_Miến khoai tây 500g</v>
          </cell>
          <cell r="R450">
            <v>139000</v>
          </cell>
          <cell r="S450">
            <v>1</v>
          </cell>
          <cell r="T450">
            <v>139000</v>
          </cell>
          <cell r="U450">
            <v>41700</v>
          </cell>
          <cell r="V450">
            <v>97300</v>
          </cell>
          <cell r="W450" t="str">
            <v>4902902105004</v>
          </cell>
        </row>
        <row r="451">
          <cell r="A451">
            <v>2026</v>
          </cell>
          <cell r="B451">
            <v>6</v>
          </cell>
          <cell r="C451">
            <v>46201</v>
          </cell>
          <cell r="D451" t="str">
            <v>1. SKK store</v>
          </cell>
          <cell r="E451" t="str">
            <v>S1025</v>
          </cell>
          <cell r="F451" t="str">
            <v>SKK T6 Time City</v>
          </cell>
          <cell r="G451" t="str">
            <v>0988756692</v>
          </cell>
          <cell r="H451" t="str">
            <v>Cô Nhung</v>
          </cell>
          <cell r="I451" t="str">
            <v>Khách mới</v>
          </cell>
          <cell r="J451" t="str">
            <v>Đơn bán</v>
          </cell>
          <cell r="K451" t="str">
            <v>SAKUKO828040</v>
          </cell>
          <cell r="L451" t="str">
            <v>CHĂM SÓC SẮC ĐẸP</v>
          </cell>
          <cell r="M451" t="str">
            <v>CHĂM SÓC CƠ THỂ</v>
          </cell>
          <cell r="N451" t="str">
            <v>CHỐNG NẮNG</v>
          </cell>
          <cell r="O451" t="str">
            <v>102422</v>
          </cell>
          <cell r="P451" t="str">
            <v>4902468297151</v>
          </cell>
          <cell r="Q451" t="str">
            <v>MEISHOU- KCN tone hồng cho da nhạy cảm 40g</v>
          </cell>
          <cell r="R451">
            <v>435000</v>
          </cell>
          <cell r="S451">
            <v>1</v>
          </cell>
          <cell r="T451">
            <v>435000</v>
          </cell>
          <cell r="U451">
            <v>0</v>
          </cell>
          <cell r="V451">
            <v>435000</v>
          </cell>
          <cell r="W451" t="str">
            <v>4902468297151</v>
          </cell>
        </row>
        <row r="452">
          <cell r="A452">
            <v>2026</v>
          </cell>
          <cell r="B452">
            <v>6</v>
          </cell>
          <cell r="C452">
            <v>46200</v>
          </cell>
          <cell r="D452" t="str">
            <v>1. SKK store</v>
          </cell>
          <cell r="E452" t="str">
            <v>S1004</v>
          </cell>
          <cell r="F452" t="str">
            <v>SKK  Mandarin C1</v>
          </cell>
          <cell r="G452" t="str">
            <v>0354002820</v>
          </cell>
          <cell r="H452" t="str">
            <v>cô Minh An</v>
          </cell>
          <cell r="I452" t="str">
            <v>Khách cũ</v>
          </cell>
          <cell r="J452" t="str">
            <v>Đơn bán</v>
          </cell>
          <cell r="K452" t="str">
            <v>SAKUKO827177</v>
          </cell>
          <cell r="L452" t="str">
            <v>THỰC PHẨM</v>
          </cell>
          <cell r="M452" t="str">
            <v>MỲ, MIẾN</v>
          </cell>
          <cell r="N452" t="str">
            <v>MỲ ĂN LIỀN</v>
          </cell>
          <cell r="O452" t="str">
            <v>154359</v>
          </cell>
          <cell r="P452" t="str">
            <v>4979397000138</v>
          </cell>
          <cell r="Q452" t="str">
            <v>YAMAMOTO- Mì ramen ăn liền hải sản thịt heo 88g*5</v>
          </cell>
          <cell r="R452">
            <v>99000</v>
          </cell>
          <cell r="S452">
            <v>1</v>
          </cell>
          <cell r="T452">
            <v>99000</v>
          </cell>
          <cell r="U452">
            <v>0</v>
          </cell>
          <cell r="V452">
            <v>99000</v>
          </cell>
          <cell r="W452" t="str">
            <v>4979397000138</v>
          </cell>
        </row>
        <row r="453">
          <cell r="A453">
            <v>2026</v>
          </cell>
          <cell r="B453">
            <v>6</v>
          </cell>
          <cell r="C453">
            <v>46200</v>
          </cell>
          <cell r="D453" t="str">
            <v>1. SKK store</v>
          </cell>
          <cell r="E453" t="str">
            <v>S1004</v>
          </cell>
          <cell r="F453" t="str">
            <v>SKK  Mandarin C1</v>
          </cell>
          <cell r="G453" t="str">
            <v>0903424642</v>
          </cell>
          <cell r="H453" t="str">
            <v>Le Thanh Diep</v>
          </cell>
          <cell r="I453" t="str">
            <v>Khách cũ</v>
          </cell>
          <cell r="J453" t="str">
            <v>Đơn bán</v>
          </cell>
          <cell r="K453" t="str">
            <v>SAKUKO826637</v>
          </cell>
          <cell r="L453" t="str">
            <v>THỰC PHẨM</v>
          </cell>
          <cell r="M453" t="str">
            <v>MỲ, MIẾN</v>
          </cell>
          <cell r="N453" t="str">
            <v>MỲ ĂN LIỀN</v>
          </cell>
          <cell r="O453" t="str">
            <v>154196</v>
          </cell>
          <cell r="P453" t="str">
            <v>4979397000152</v>
          </cell>
          <cell r="Q453" t="str">
            <v>YAMAMOTO_Mì xào kiểu Nhật 89g*5</v>
          </cell>
          <cell r="R453">
            <v>99000</v>
          </cell>
          <cell r="S453">
            <v>1</v>
          </cell>
          <cell r="T453">
            <v>99000</v>
          </cell>
          <cell r="U453">
            <v>0</v>
          </cell>
          <cell r="V453">
            <v>99000</v>
          </cell>
          <cell r="W453" t="str">
            <v>4979397000152</v>
          </cell>
        </row>
        <row r="454">
          <cell r="A454">
            <v>2026</v>
          </cell>
          <cell r="B454">
            <v>6</v>
          </cell>
          <cell r="C454">
            <v>46200</v>
          </cell>
          <cell r="D454" t="str">
            <v>1. SKK store</v>
          </cell>
          <cell r="E454" t="str">
            <v>S1004</v>
          </cell>
          <cell r="F454" t="str">
            <v>SKK  Mandarin C1</v>
          </cell>
          <cell r="G454" t="str">
            <v>0903424642</v>
          </cell>
          <cell r="H454" t="str">
            <v>Le Thanh Diep</v>
          </cell>
          <cell r="I454" t="str">
            <v>Khách cũ</v>
          </cell>
          <cell r="J454" t="str">
            <v>Đơn bán</v>
          </cell>
          <cell r="K454" t="str">
            <v>SAKUKO826637</v>
          </cell>
          <cell r="L454" t="str">
            <v>THỰC PHẨM</v>
          </cell>
          <cell r="M454" t="str">
            <v>MỲ, MIẾN</v>
          </cell>
          <cell r="N454" t="str">
            <v>MỲ ĂN LIỀN</v>
          </cell>
          <cell r="O454" t="str">
            <v>154359</v>
          </cell>
          <cell r="P454" t="str">
            <v>4979397000138</v>
          </cell>
          <cell r="Q454" t="str">
            <v>YAMAMOTO- Mì ramen ăn liền hải sản thịt heo 88g*5</v>
          </cell>
          <cell r="R454">
            <v>99000</v>
          </cell>
          <cell r="S454">
            <v>1</v>
          </cell>
          <cell r="T454">
            <v>99000</v>
          </cell>
          <cell r="U454">
            <v>0</v>
          </cell>
          <cell r="V454">
            <v>99000</v>
          </cell>
          <cell r="W454" t="str">
            <v>4979397000138</v>
          </cell>
        </row>
        <row r="455">
          <cell r="A455">
            <v>2026</v>
          </cell>
          <cell r="B455">
            <v>6</v>
          </cell>
          <cell r="C455">
            <v>46200</v>
          </cell>
          <cell r="D455" t="str">
            <v>1. SKK store</v>
          </cell>
          <cell r="E455" t="str">
            <v>S1005</v>
          </cell>
          <cell r="F455" t="str">
            <v>SKK  Thái Hà</v>
          </cell>
          <cell r="G455" t="str">
            <v>02466810505</v>
          </cell>
          <cell r="H455" t="str">
            <v>klth</v>
          </cell>
          <cell r="I455" t="str">
            <v>Khách vãng lai</v>
          </cell>
          <cell r="J455" t="str">
            <v>Đơn bán</v>
          </cell>
          <cell r="K455" t="str">
            <v>SAKUKO826968</v>
          </cell>
          <cell r="L455" t="str">
            <v>ĐỒ CHO MẸ BÉ</v>
          </cell>
          <cell r="M455" t="str">
            <v>GIẤY ƯỚT</v>
          </cell>
          <cell r="N455" t="str">
            <v>GIẤY ƯỚT CHO BÉ</v>
          </cell>
          <cell r="O455" t="str">
            <v>121665</v>
          </cell>
          <cell r="P455" t="str">
            <v>8934755035289</v>
          </cell>
          <cell r="Q455" t="str">
            <v>BOBBY- Khăn ướt em bé không mùi 100 miếng</v>
          </cell>
          <cell r="R455">
            <v>46000</v>
          </cell>
          <cell r="S455">
            <v>1</v>
          </cell>
          <cell r="T455">
            <v>46000</v>
          </cell>
          <cell r="U455">
            <v>0</v>
          </cell>
          <cell r="V455">
            <v>46000</v>
          </cell>
          <cell r="W455" t="str">
            <v>8934755035289</v>
          </cell>
        </row>
        <row r="456">
          <cell r="A456">
            <v>2026</v>
          </cell>
          <cell r="B456">
            <v>6</v>
          </cell>
          <cell r="C456">
            <v>46200</v>
          </cell>
          <cell r="D456" t="str">
            <v>1. SKK store</v>
          </cell>
          <cell r="E456" t="str">
            <v>S1005</v>
          </cell>
          <cell r="F456" t="str">
            <v>SKK  Thái Hà</v>
          </cell>
          <cell r="G456" t="str">
            <v>0904369909</v>
          </cell>
          <cell r="H456" t="str">
            <v>chị Mơ</v>
          </cell>
          <cell r="I456" t="str">
            <v>Khách cũ</v>
          </cell>
          <cell r="J456" t="str">
            <v>Đơn bán</v>
          </cell>
          <cell r="K456" t="str">
            <v>SAKUKO827680</v>
          </cell>
          <cell r="L456" t="str">
            <v>CHĂM SÓC SẮC ĐẸP</v>
          </cell>
          <cell r="M456" t="str">
            <v>CHĂM SÓC DA</v>
          </cell>
          <cell r="N456" t="str">
            <v>KEM DƯỠNG</v>
          </cell>
          <cell r="O456" t="str">
            <v>102418</v>
          </cell>
          <cell r="P456" t="str">
            <v>4902468297021</v>
          </cell>
          <cell r="Q456" t="str">
            <v>MEISHOKU- Kem dưỡng da dịu nhẹ 45g</v>
          </cell>
          <cell r="R456">
            <v>435000</v>
          </cell>
          <cell r="S456">
            <v>1</v>
          </cell>
          <cell r="T456">
            <v>435000</v>
          </cell>
          <cell r="U456">
            <v>0</v>
          </cell>
          <cell r="V456">
            <v>435000</v>
          </cell>
          <cell r="W456" t="str">
            <v>4902468297021</v>
          </cell>
        </row>
        <row r="457">
          <cell r="A457">
            <v>2026</v>
          </cell>
          <cell r="B457">
            <v>6</v>
          </cell>
          <cell r="C457">
            <v>46200</v>
          </cell>
          <cell r="D457" t="str">
            <v>1. SKK store</v>
          </cell>
          <cell r="E457" t="str">
            <v>S1005</v>
          </cell>
          <cell r="F457" t="str">
            <v>SKK  Thái Hà</v>
          </cell>
          <cell r="G457" t="str">
            <v>0904369909</v>
          </cell>
          <cell r="H457" t="str">
            <v>chị Mơ</v>
          </cell>
          <cell r="I457" t="str">
            <v>Khách cũ</v>
          </cell>
          <cell r="J457" t="str">
            <v>Đơn bán</v>
          </cell>
          <cell r="K457" t="str">
            <v>SAKUKO827680</v>
          </cell>
          <cell r="L457" t="str">
            <v>CHĂM SÓC SẮC ĐẸP</v>
          </cell>
          <cell r="M457" t="str">
            <v>CHĂM SÓC DA</v>
          </cell>
          <cell r="N457" t="str">
            <v>RỬA MẶT</v>
          </cell>
          <cell r="O457" t="str">
            <v>102421</v>
          </cell>
          <cell r="P457" t="str">
            <v>4902468819032</v>
          </cell>
          <cell r="Q457" t="str">
            <v>MEISHOU- Sữa rửa mặt làm sạch thuần chay 100g</v>
          </cell>
          <cell r="R457">
            <v>295000</v>
          </cell>
          <cell r="S457">
            <v>1</v>
          </cell>
          <cell r="T457">
            <v>295000</v>
          </cell>
          <cell r="U457">
            <v>0</v>
          </cell>
          <cell r="V457">
            <v>295000</v>
          </cell>
          <cell r="W457" t="str">
            <v>4902468819032</v>
          </cell>
        </row>
        <row r="458">
          <cell r="A458">
            <v>2026</v>
          </cell>
          <cell r="B458">
            <v>6</v>
          </cell>
          <cell r="C458">
            <v>46200</v>
          </cell>
          <cell r="D458" t="str">
            <v>1. SKK store</v>
          </cell>
          <cell r="E458" t="str">
            <v>S1005</v>
          </cell>
          <cell r="F458" t="str">
            <v>SKK  Thái Hà</v>
          </cell>
          <cell r="G458" t="str">
            <v>0906286878</v>
          </cell>
          <cell r="H458" t="str">
            <v>Chị Cầm</v>
          </cell>
          <cell r="I458" t="str">
            <v>Khách cũ</v>
          </cell>
          <cell r="J458" t="str">
            <v>Đơn bán</v>
          </cell>
          <cell r="K458" t="str">
            <v>SAKUKO827753</v>
          </cell>
          <cell r="L458" t="str">
            <v>THỰC PHẨM</v>
          </cell>
          <cell r="M458" t="str">
            <v>MỲ, MIẾN</v>
          </cell>
          <cell r="N458" t="str">
            <v>MỲ ĂN LIỀN</v>
          </cell>
          <cell r="O458" t="str">
            <v>154198</v>
          </cell>
          <cell r="P458" t="str">
            <v>4979397000145</v>
          </cell>
          <cell r="Q458" t="str">
            <v>YAMAMOTO_Mì ramen ăn liền vị miso 90g*5</v>
          </cell>
          <cell r="R458">
            <v>99000</v>
          </cell>
          <cell r="S458">
            <v>1</v>
          </cell>
          <cell r="T458">
            <v>99000</v>
          </cell>
          <cell r="U458">
            <v>0</v>
          </cell>
          <cell r="V458">
            <v>99000</v>
          </cell>
          <cell r="W458" t="str">
            <v>4979397000145</v>
          </cell>
        </row>
        <row r="459">
          <cell r="A459">
            <v>2026</v>
          </cell>
          <cell r="B459">
            <v>6</v>
          </cell>
          <cell r="C459">
            <v>46200</v>
          </cell>
          <cell r="D459" t="str">
            <v>1. SKK store</v>
          </cell>
          <cell r="E459" t="str">
            <v>S1005</v>
          </cell>
          <cell r="F459" t="str">
            <v>SKK  Thái Hà</v>
          </cell>
          <cell r="G459" t="str">
            <v>0913225840</v>
          </cell>
          <cell r="H459" t="str">
            <v>chus đông</v>
          </cell>
          <cell r="I459" t="str">
            <v>Khách cũ</v>
          </cell>
          <cell r="J459" t="str">
            <v>Đơn bán</v>
          </cell>
          <cell r="K459" t="str">
            <v>SAKUKO826857</v>
          </cell>
          <cell r="L459" t="str">
            <v>THỰC PHẨM</v>
          </cell>
          <cell r="M459" t="str">
            <v>MỲ, MIẾN</v>
          </cell>
          <cell r="N459" t="str">
            <v>MỲ CHẾ BIẾN</v>
          </cell>
          <cell r="O459" t="str">
            <v>154249</v>
          </cell>
          <cell r="P459" t="str">
            <v>4517244004627</v>
          </cell>
          <cell r="Q459" t="str">
            <v>ASAHI_Mì udon khô 400g</v>
          </cell>
          <cell r="R459">
            <v>69000</v>
          </cell>
          <cell r="S459">
            <v>2</v>
          </cell>
          <cell r="T459">
            <v>138000</v>
          </cell>
          <cell r="U459">
            <v>0</v>
          </cell>
          <cell r="V459">
            <v>138000</v>
          </cell>
          <cell r="W459" t="str">
            <v>4517244004627</v>
          </cell>
        </row>
        <row r="460">
          <cell r="A460">
            <v>2026</v>
          </cell>
          <cell r="B460">
            <v>6</v>
          </cell>
          <cell r="C460">
            <v>46200</v>
          </cell>
          <cell r="D460" t="str">
            <v>1. SKK store</v>
          </cell>
          <cell r="E460" t="str">
            <v>S1005</v>
          </cell>
          <cell r="F460" t="str">
            <v>SKK  Thái Hà</v>
          </cell>
          <cell r="G460" t="str">
            <v>0913225840</v>
          </cell>
          <cell r="H460" t="str">
            <v>chus đông</v>
          </cell>
          <cell r="I460" t="str">
            <v>Khách cũ</v>
          </cell>
          <cell r="J460" t="str">
            <v>Đơn bán</v>
          </cell>
          <cell r="K460" t="str">
            <v>SAKUKO826857</v>
          </cell>
          <cell r="L460" t="str">
            <v>THỰC PHẨM</v>
          </cell>
          <cell r="M460" t="str">
            <v>MỲ, MIẾN</v>
          </cell>
          <cell r="N460" t="str">
            <v>MỲ CHẾ BIẾN</v>
          </cell>
          <cell r="O460" t="str">
            <v>174948</v>
          </cell>
          <cell r="P460" t="str">
            <v>4582114354119</v>
          </cell>
          <cell r="Q460" t="str">
            <v>SANUKISHISEI- Mì soumen 300g</v>
          </cell>
          <cell r="R460">
            <v>35000</v>
          </cell>
          <cell r="S460">
            <v>1</v>
          </cell>
          <cell r="T460">
            <v>35000</v>
          </cell>
          <cell r="U460">
            <v>0</v>
          </cell>
          <cell r="V460">
            <v>35000</v>
          </cell>
          <cell r="W460" t="str">
            <v>4582114354119</v>
          </cell>
        </row>
        <row r="461">
          <cell r="A461">
            <v>2026</v>
          </cell>
          <cell r="B461">
            <v>6</v>
          </cell>
          <cell r="C461">
            <v>46200</v>
          </cell>
          <cell r="D461" t="str">
            <v>1. SKK store</v>
          </cell>
          <cell r="E461" t="str">
            <v>S1005</v>
          </cell>
          <cell r="F461" t="str">
            <v>SKK  Thái Hà</v>
          </cell>
          <cell r="G461" t="str">
            <v>0982738105</v>
          </cell>
          <cell r="H461" t="str">
            <v>C HANH</v>
          </cell>
          <cell r="I461" t="str">
            <v>Khách cũ</v>
          </cell>
          <cell r="J461" t="str">
            <v>Đơn bán</v>
          </cell>
          <cell r="K461" t="str">
            <v>SAKUKO827695</v>
          </cell>
          <cell r="L461" t="str">
            <v>CHĂM SÓC SẮC ĐẸP</v>
          </cell>
          <cell r="M461" t="str">
            <v>CHĂM SÓC CƠ THỂ</v>
          </cell>
          <cell r="N461" t="str">
            <v>CHỐNG NẮNG</v>
          </cell>
          <cell r="O461" t="str">
            <v>102422</v>
          </cell>
          <cell r="P461" t="str">
            <v>4902468297151</v>
          </cell>
          <cell r="Q461" t="str">
            <v>MEISHOU- KCN tone hồng cho da nhạy cảm 40g</v>
          </cell>
          <cell r="R461">
            <v>435000</v>
          </cell>
          <cell r="S461">
            <v>1</v>
          </cell>
          <cell r="T461">
            <v>435000</v>
          </cell>
          <cell r="U461">
            <v>0</v>
          </cell>
          <cell r="V461">
            <v>435000</v>
          </cell>
          <cell r="W461" t="str">
            <v>4902468297151</v>
          </cell>
        </row>
        <row r="462">
          <cell r="A462">
            <v>2026</v>
          </cell>
          <cell r="B462">
            <v>6</v>
          </cell>
          <cell r="C462">
            <v>46200</v>
          </cell>
          <cell r="D462" t="str">
            <v>1. SKK store</v>
          </cell>
          <cell r="E462" t="str">
            <v>S1005</v>
          </cell>
          <cell r="F462" t="str">
            <v>SKK  Thái Hà</v>
          </cell>
          <cell r="G462" t="str">
            <v>0982738105</v>
          </cell>
          <cell r="H462" t="str">
            <v>C HANH</v>
          </cell>
          <cell r="I462" t="str">
            <v>Khách cũ</v>
          </cell>
          <cell r="J462" t="str">
            <v>Đơn bán</v>
          </cell>
          <cell r="K462" t="str">
            <v>SAKUKO827695</v>
          </cell>
          <cell r="L462" t="str">
            <v>CHĂM SÓC SẮC ĐẸP</v>
          </cell>
          <cell r="M462" t="str">
            <v>CHĂM SÓC DA</v>
          </cell>
          <cell r="N462" t="str">
            <v>RỬA MẶT</v>
          </cell>
          <cell r="O462" t="str">
            <v>102421</v>
          </cell>
          <cell r="P462" t="str">
            <v>4902468819032</v>
          </cell>
          <cell r="Q462" t="str">
            <v>MEISHOU- Sữa rửa mặt làm sạch thuần chay 100g</v>
          </cell>
          <cell r="R462">
            <v>295000</v>
          </cell>
          <cell r="S462">
            <v>1</v>
          </cell>
          <cell r="T462">
            <v>295000</v>
          </cell>
          <cell r="U462">
            <v>0</v>
          </cell>
          <cell r="V462">
            <v>295000</v>
          </cell>
          <cell r="W462" t="str">
            <v>4902468819032</v>
          </cell>
        </row>
        <row r="463">
          <cell r="A463">
            <v>2026</v>
          </cell>
          <cell r="B463">
            <v>6</v>
          </cell>
          <cell r="C463">
            <v>46200</v>
          </cell>
          <cell r="D463" t="str">
            <v>1. SKK store</v>
          </cell>
          <cell r="E463" t="str">
            <v>S1006</v>
          </cell>
          <cell r="F463" t="str">
            <v>SKK Trần Đăng Ninh</v>
          </cell>
          <cell r="G463" t="str">
            <v>0862954688</v>
          </cell>
          <cell r="H463" t="str">
            <v>KLTDN</v>
          </cell>
          <cell r="I463" t="str">
            <v>Khách vãng lai</v>
          </cell>
          <cell r="J463" t="str">
            <v>Đơn bán</v>
          </cell>
          <cell r="K463" t="str">
            <v>SAKUKO827330</v>
          </cell>
          <cell r="L463" t="str">
            <v>THỰC PHẨM</v>
          </cell>
          <cell r="M463" t="str">
            <v>BÁNH KẸO, ĐỒ ĂN VẶT</v>
          </cell>
          <cell r="N463" t="str">
            <v>KẸO CAO SU</v>
          </cell>
          <cell r="O463" t="str">
            <v>153932</v>
          </cell>
          <cell r="P463" t="str">
            <v>4903333241651</v>
          </cell>
          <cell r="Q463" t="str">
            <v>LOTTE - Kẹo cao su black black ít đường 133g</v>
          </cell>
          <cell r="R463">
            <v>235000</v>
          </cell>
          <cell r="S463">
            <v>1</v>
          </cell>
          <cell r="T463">
            <v>235000</v>
          </cell>
          <cell r="U463">
            <v>0</v>
          </cell>
          <cell r="V463">
            <v>235000</v>
          </cell>
          <cell r="W463" t="str">
            <v>4903333241651</v>
          </cell>
        </row>
        <row r="464">
          <cell r="A464">
            <v>2026</v>
          </cell>
          <cell r="B464">
            <v>6</v>
          </cell>
          <cell r="C464">
            <v>46200</v>
          </cell>
          <cell r="D464" t="str">
            <v>1. SKK store</v>
          </cell>
          <cell r="E464" t="str">
            <v>S1006</v>
          </cell>
          <cell r="F464" t="str">
            <v>SKK Trần Đăng Ninh</v>
          </cell>
          <cell r="G464" t="str">
            <v>0912364622</v>
          </cell>
          <cell r="H464" t="str">
            <v>Nguyễn Thị Bình</v>
          </cell>
          <cell r="I464" t="str">
            <v>Khách cũ</v>
          </cell>
          <cell r="J464" t="str">
            <v>Đơn bán</v>
          </cell>
          <cell r="K464" t="str">
            <v>SAKUKO826996</v>
          </cell>
          <cell r="L464" t="str">
            <v>CHĂM SÓC SẮC ĐẸP</v>
          </cell>
          <cell r="M464" t="str">
            <v>CHĂM SÓC DA</v>
          </cell>
          <cell r="N464" t="str">
            <v>CHĂM SÓC DA KHÁC</v>
          </cell>
          <cell r="O464" t="str">
            <v>102387</v>
          </cell>
          <cell r="P464" t="str">
            <v>8935006542907</v>
          </cell>
          <cell r="Q464" t="str">
            <v>HADA LABO- Bộ sản phẩm dưỡng ẩm (travel kit)47g</v>
          </cell>
          <cell r="R464">
            <v>129000</v>
          </cell>
          <cell r="S464">
            <v>1</v>
          </cell>
          <cell r="T464">
            <v>129000</v>
          </cell>
          <cell r="U464">
            <v>20000</v>
          </cell>
          <cell r="V464">
            <v>109000</v>
          </cell>
          <cell r="W464" t="str">
            <v>8935006542907</v>
          </cell>
        </row>
        <row r="465">
          <cell r="A465">
            <v>2026</v>
          </cell>
          <cell r="B465">
            <v>6</v>
          </cell>
          <cell r="C465">
            <v>46200</v>
          </cell>
          <cell r="D465" t="str">
            <v>1. SKK store</v>
          </cell>
          <cell r="E465" t="str">
            <v>S1006</v>
          </cell>
          <cell r="F465" t="str">
            <v>SKK Trần Đăng Ninh</v>
          </cell>
          <cell r="G465" t="str">
            <v>0976150099</v>
          </cell>
          <cell r="H465" t="str">
            <v>chị dung</v>
          </cell>
          <cell r="I465" t="str">
            <v>Khách cũ</v>
          </cell>
          <cell r="J465" t="str">
            <v>Đơn bán</v>
          </cell>
          <cell r="K465" t="str">
            <v>SAKUKO826708</v>
          </cell>
          <cell r="L465" t="str">
            <v>THỰC PHẨM</v>
          </cell>
          <cell r="M465" t="str">
            <v>BÁNH KẸO, ĐỒ ĂN VẶT</v>
          </cell>
          <cell r="N465" t="str">
            <v>KẸO CAO SU</v>
          </cell>
          <cell r="O465" t="str">
            <v>154653</v>
          </cell>
          <cell r="P465" t="str">
            <v>4547894156650</v>
          </cell>
          <cell r="Q465" t="str">
            <v>MONDELEZ JAPAN - Kẹo cao su vị bưởi hồng 130g</v>
          </cell>
          <cell r="R465">
            <v>235000</v>
          </cell>
          <cell r="S465">
            <v>1</v>
          </cell>
          <cell r="T465">
            <v>235000</v>
          </cell>
          <cell r="U465">
            <v>0</v>
          </cell>
          <cell r="V465">
            <v>235000</v>
          </cell>
          <cell r="W465" t="str">
            <v>4547894156650</v>
          </cell>
        </row>
        <row r="466">
          <cell r="A466">
            <v>2026</v>
          </cell>
          <cell r="B466">
            <v>6</v>
          </cell>
          <cell r="C466">
            <v>46200</v>
          </cell>
          <cell r="D466" t="str">
            <v>1. SKK store</v>
          </cell>
          <cell r="E466" t="str">
            <v>S1006</v>
          </cell>
          <cell r="F466" t="str">
            <v>SKK Trần Đăng Ninh</v>
          </cell>
          <cell r="G466" t="str">
            <v>0979829177</v>
          </cell>
          <cell r="H466" t="str">
            <v>Chị Nguyễn Thị Minh Châu</v>
          </cell>
          <cell r="I466" t="str">
            <v>Khách cũ</v>
          </cell>
          <cell r="J466" t="str">
            <v>Đơn bán</v>
          </cell>
          <cell r="K466" t="str">
            <v>SAKUKO826809</v>
          </cell>
          <cell r="L466" t="str">
            <v>THỰC PHẨM</v>
          </cell>
          <cell r="M466" t="str">
            <v>MỲ, MIẾN</v>
          </cell>
          <cell r="N466" t="str">
            <v>MỲ ĂN LIỀN</v>
          </cell>
          <cell r="O466" t="str">
            <v>154359</v>
          </cell>
          <cell r="P466" t="str">
            <v>4979397000138</v>
          </cell>
          <cell r="Q466" t="str">
            <v>YAMAMOTO- Mì ramen ăn liền hải sản thịt heo 88g*5</v>
          </cell>
          <cell r="R466">
            <v>99000</v>
          </cell>
          <cell r="S466">
            <v>1</v>
          </cell>
          <cell r="T466">
            <v>99000</v>
          </cell>
          <cell r="U466">
            <v>0</v>
          </cell>
          <cell r="V466">
            <v>99000</v>
          </cell>
          <cell r="W466" t="str">
            <v>4979397000138</v>
          </cell>
        </row>
        <row r="467">
          <cell r="A467">
            <v>2026</v>
          </cell>
          <cell r="B467">
            <v>6</v>
          </cell>
          <cell r="C467">
            <v>46200</v>
          </cell>
          <cell r="D467" t="str">
            <v>1. SKK store</v>
          </cell>
          <cell r="E467" t="str">
            <v>S1006</v>
          </cell>
          <cell r="F467" t="str">
            <v>SKK Trần Đăng Ninh</v>
          </cell>
          <cell r="G467" t="str">
            <v>0988122473</v>
          </cell>
          <cell r="H467" t="str">
            <v>anh linh</v>
          </cell>
          <cell r="I467" t="str">
            <v>Khách cũ</v>
          </cell>
          <cell r="J467" t="str">
            <v>Đơn bán</v>
          </cell>
          <cell r="K467" t="str">
            <v>SAKUKO826744</v>
          </cell>
          <cell r="L467" t="str">
            <v>THỰC PHẨM</v>
          </cell>
          <cell r="M467" t="str">
            <v>BÁNH KẸO, ĐỒ ĂN VẶT</v>
          </cell>
          <cell r="N467" t="str">
            <v>KẸO CAO SU</v>
          </cell>
          <cell r="O467" t="str">
            <v>231377</v>
          </cell>
          <cell r="P467" t="str">
            <v>4903333200375</v>
          </cell>
          <cell r="Q467" t="str">
            <v>LOTTE-Kẹo cao su tổng hợp dạng lọ 114g</v>
          </cell>
          <cell r="R467">
            <v>235000</v>
          </cell>
          <cell r="S467">
            <v>1</v>
          </cell>
          <cell r="T467">
            <v>235000</v>
          </cell>
          <cell r="U467">
            <v>0</v>
          </cell>
          <cell r="V467">
            <v>235000</v>
          </cell>
          <cell r="W467" t="str">
            <v>4903333200375</v>
          </cell>
        </row>
        <row r="468">
          <cell r="A468">
            <v>2026</v>
          </cell>
          <cell r="B468">
            <v>6</v>
          </cell>
          <cell r="C468">
            <v>46200</v>
          </cell>
          <cell r="D468" t="str">
            <v>1. SKK store</v>
          </cell>
          <cell r="E468" t="str">
            <v>S1007</v>
          </cell>
          <cell r="F468" t="str">
            <v>SKK  Nguyễn Du</v>
          </cell>
          <cell r="G468" t="str">
            <v>0862954339</v>
          </cell>
          <cell r="H468" t="str">
            <v>Klnd</v>
          </cell>
          <cell r="I468" t="str">
            <v>Khách vãng lai</v>
          </cell>
          <cell r="J468" t="str">
            <v>Đơn bán</v>
          </cell>
          <cell r="K468" t="str">
            <v>SAKUKO826462</v>
          </cell>
          <cell r="L468" t="str">
            <v>CHĂM SÓC SẮC ĐẸP</v>
          </cell>
          <cell r="M468" t="str">
            <v>CHĂM SÓC DA</v>
          </cell>
          <cell r="N468" t="str">
            <v>RỬA MẶT</v>
          </cell>
          <cell r="O468" t="str">
            <v>230849</v>
          </cell>
          <cell r="P468" t="str">
            <v>4902806102048</v>
          </cell>
          <cell r="Q468" t="str">
            <v>GATSBY- SRM than hoạt tính sạch sâu 130g</v>
          </cell>
          <cell r="R468">
            <v>125000</v>
          </cell>
          <cell r="S468">
            <v>1</v>
          </cell>
          <cell r="T468">
            <v>125000</v>
          </cell>
          <cell r="U468">
            <v>12500</v>
          </cell>
          <cell r="V468">
            <v>112500</v>
          </cell>
          <cell r="W468" t="str">
            <v>4902806102048</v>
          </cell>
        </row>
        <row r="469">
          <cell r="A469">
            <v>2026</v>
          </cell>
          <cell r="B469">
            <v>6</v>
          </cell>
          <cell r="C469">
            <v>46200</v>
          </cell>
          <cell r="D469" t="str">
            <v>1. SKK store</v>
          </cell>
          <cell r="E469" t="str">
            <v>S1007</v>
          </cell>
          <cell r="F469" t="str">
            <v>SKK  Nguyễn Du</v>
          </cell>
          <cell r="G469" t="str">
            <v>0862954339</v>
          </cell>
          <cell r="H469" t="str">
            <v>Klnd</v>
          </cell>
          <cell r="I469" t="str">
            <v>Khách vãng lai</v>
          </cell>
          <cell r="J469" t="str">
            <v>Đơn bán</v>
          </cell>
          <cell r="K469" t="str">
            <v>SAKUKO826511</v>
          </cell>
          <cell r="L469" t="str">
            <v>CHĂM SÓC SẮC ĐẸP</v>
          </cell>
          <cell r="M469" t="str">
            <v>CHĂM SÓC DA</v>
          </cell>
          <cell r="N469" t="str">
            <v>RỬA MẶT</v>
          </cell>
          <cell r="O469" t="str">
            <v>102386</v>
          </cell>
          <cell r="P469" t="str">
            <v>4902468816062</v>
          </cell>
          <cell r="Q469" t="str">
            <v>MEISHOKU- Sữa rửa mặt sáng da Cvita 100g</v>
          </cell>
          <cell r="R469">
            <v>290000</v>
          </cell>
          <cell r="S469">
            <v>1</v>
          </cell>
          <cell r="T469">
            <v>290000</v>
          </cell>
          <cell r="U469">
            <v>23200</v>
          </cell>
          <cell r="V469">
            <v>266800</v>
          </cell>
          <cell r="W469" t="str">
            <v>4902468816062</v>
          </cell>
        </row>
        <row r="470">
          <cell r="A470">
            <v>2026</v>
          </cell>
          <cell r="B470">
            <v>6</v>
          </cell>
          <cell r="C470">
            <v>46200</v>
          </cell>
          <cell r="D470" t="str">
            <v>1. SKK store</v>
          </cell>
          <cell r="E470" t="str">
            <v>S1007</v>
          </cell>
          <cell r="F470" t="str">
            <v>SKK  Nguyễn Du</v>
          </cell>
          <cell r="G470" t="str">
            <v>0912823383</v>
          </cell>
          <cell r="H470" t="str">
            <v>Chị Xuân Anh</v>
          </cell>
          <cell r="I470" t="str">
            <v>Khách cũ</v>
          </cell>
          <cell r="J470" t="str">
            <v>Đơn bán</v>
          </cell>
          <cell r="K470" t="str">
            <v>SAKUKO827376</v>
          </cell>
          <cell r="L470" t="str">
            <v>CHĂM SÓC SẮC ĐẸP</v>
          </cell>
          <cell r="M470" t="str">
            <v>CHĂM SÓC DA</v>
          </cell>
          <cell r="N470" t="str">
            <v>RỬA MẶT</v>
          </cell>
          <cell r="O470" t="str">
            <v>230269</v>
          </cell>
          <cell r="P470" t="str">
            <v>4987241173242</v>
          </cell>
          <cell r="Q470" t="str">
            <v>ROHTO- SRM Melano CC mờ thâm nám (130g)</v>
          </cell>
          <cell r="R470">
            <v>294000</v>
          </cell>
          <cell r="S470">
            <v>1</v>
          </cell>
          <cell r="T470">
            <v>294000</v>
          </cell>
          <cell r="U470">
            <v>117600</v>
          </cell>
          <cell r="V470">
            <v>176400</v>
          </cell>
          <cell r="W470" t="str">
            <v>4987241173242</v>
          </cell>
        </row>
        <row r="471">
          <cell r="A471">
            <v>2026</v>
          </cell>
          <cell r="B471">
            <v>6</v>
          </cell>
          <cell r="C471">
            <v>46200</v>
          </cell>
          <cell r="D471" t="str">
            <v>1. SKK store</v>
          </cell>
          <cell r="E471" t="str">
            <v>S1007</v>
          </cell>
          <cell r="F471" t="str">
            <v>SKK  Nguyễn Du</v>
          </cell>
          <cell r="G471" t="str">
            <v>0919215619</v>
          </cell>
          <cell r="H471" t="str">
            <v>Hồ Thị Thu Trang</v>
          </cell>
          <cell r="I471" t="str">
            <v>Khách cũ</v>
          </cell>
          <cell r="J471" t="str">
            <v>Đơn bán</v>
          </cell>
          <cell r="K471" t="str">
            <v>SAKUKO827160</v>
          </cell>
          <cell r="L471" t="str">
            <v>THỰC PHẨM</v>
          </cell>
          <cell r="M471" t="str">
            <v>BÁNH KẸO, ĐỒ ĂN VẶT</v>
          </cell>
          <cell r="N471" t="str">
            <v>KẸO CAO SU</v>
          </cell>
          <cell r="O471" t="str">
            <v>153932</v>
          </cell>
          <cell r="P471" t="str">
            <v>4903333241651</v>
          </cell>
          <cell r="Q471" t="str">
            <v>LOTTE - Kẹo cao su black black ít đường 133g</v>
          </cell>
          <cell r="R471">
            <v>235000</v>
          </cell>
          <cell r="S471">
            <v>1</v>
          </cell>
          <cell r="T471">
            <v>235000</v>
          </cell>
          <cell r="U471">
            <v>0</v>
          </cell>
          <cell r="V471">
            <v>235000</v>
          </cell>
          <cell r="W471" t="str">
            <v>4903333241651</v>
          </cell>
        </row>
        <row r="472">
          <cell r="A472">
            <v>2026</v>
          </cell>
          <cell r="B472">
            <v>6</v>
          </cell>
          <cell r="C472">
            <v>46200</v>
          </cell>
          <cell r="D472" t="str">
            <v>1. SKK store</v>
          </cell>
          <cell r="E472" t="str">
            <v>S1008</v>
          </cell>
          <cell r="F472" t="str">
            <v>SKK  Hàng Bông</v>
          </cell>
          <cell r="G472" t="str">
            <v>02466810202</v>
          </cell>
          <cell r="H472" t="str">
            <v>KH Tây</v>
          </cell>
          <cell r="I472" t="str">
            <v>Khách vãng lai</v>
          </cell>
          <cell r="J472" t="str">
            <v>Đơn bán</v>
          </cell>
          <cell r="K472" t="str">
            <v>SAKUKO826571</v>
          </cell>
          <cell r="L472" t="str">
            <v>CHĂM SÓC SẮC ĐẸP</v>
          </cell>
          <cell r="M472" t="str">
            <v>CHĂM SÓC CƠ THỂ</v>
          </cell>
          <cell r="N472" t="str">
            <v>CHỐNG NẮNG</v>
          </cell>
          <cell r="O472" t="str">
            <v>102417</v>
          </cell>
          <cell r="P472" t="str">
            <v>4902468816093</v>
          </cell>
          <cell r="Q472" t="str">
            <v>MEISHOKU- Kem chống nắng C Vita 100g</v>
          </cell>
          <cell r="R472">
            <v>535000</v>
          </cell>
          <cell r="S472">
            <v>1</v>
          </cell>
          <cell r="T472">
            <v>535000</v>
          </cell>
          <cell r="U472">
            <v>0</v>
          </cell>
          <cell r="V472">
            <v>535000</v>
          </cell>
          <cell r="W472" t="str">
            <v>4902468816093</v>
          </cell>
        </row>
        <row r="473">
          <cell r="A473">
            <v>2026</v>
          </cell>
          <cell r="B473">
            <v>6</v>
          </cell>
          <cell r="C473">
            <v>46200</v>
          </cell>
          <cell r="D473" t="str">
            <v>1. SKK store</v>
          </cell>
          <cell r="E473" t="str">
            <v>S1008</v>
          </cell>
          <cell r="F473" t="str">
            <v>SKK  Hàng Bông</v>
          </cell>
          <cell r="G473" t="str">
            <v>0916614646</v>
          </cell>
          <cell r="H473" t="str">
            <v>TRAN HOANG LAN</v>
          </cell>
          <cell r="I473" t="str">
            <v>Khách cũ</v>
          </cell>
          <cell r="J473" t="str">
            <v>Đơn bán</v>
          </cell>
          <cell r="K473" t="str">
            <v>SAKUKO826725</v>
          </cell>
          <cell r="L473" t="str">
            <v>ĐỒ CHO MẸ BÉ</v>
          </cell>
          <cell r="M473" t="str">
            <v>CHĂM SÓC CƠ THỂ BÉ</v>
          </cell>
          <cell r="N473" t="str">
            <v>THỰC PHẨM CHỨC NĂNG CHO BÉ</v>
          </cell>
          <cell r="O473" t="str">
            <v>121666</v>
          </cell>
          <cell r="P473" t="str">
            <v>8436036591441</v>
          </cell>
          <cell r="Q473" t="str">
            <v>NEO KIDS-TPBVSK Gummies Omega 3 DHA 150g</v>
          </cell>
          <cell r="R473">
            <v>360000</v>
          </cell>
          <cell r="S473">
            <v>1</v>
          </cell>
          <cell r="T473">
            <v>360000</v>
          </cell>
          <cell r="U473">
            <v>0</v>
          </cell>
          <cell r="V473">
            <v>360000</v>
          </cell>
          <cell r="W473" t="str">
            <v>8436036591441</v>
          </cell>
        </row>
        <row r="474">
          <cell r="A474">
            <v>2026</v>
          </cell>
          <cell r="B474">
            <v>6</v>
          </cell>
          <cell r="C474">
            <v>46200</v>
          </cell>
          <cell r="D474" t="str">
            <v>1. SKK store</v>
          </cell>
          <cell r="E474" t="str">
            <v>S1015</v>
          </cell>
          <cell r="F474" t="str">
            <v>SKK Hàm Nghi</v>
          </cell>
          <cell r="G474" t="str">
            <v>0843221111</v>
          </cell>
          <cell r="H474" t="str">
            <v>Chị Hà</v>
          </cell>
          <cell r="I474" t="str">
            <v>Khách cũ</v>
          </cell>
          <cell r="J474" t="str">
            <v>Đơn bán</v>
          </cell>
          <cell r="K474" t="str">
            <v>SAKUKO827536</v>
          </cell>
          <cell r="L474" t="str">
            <v>THỰC PHẨM</v>
          </cell>
          <cell r="M474" t="str">
            <v>MỲ, MIẾN</v>
          </cell>
          <cell r="N474" t="str">
            <v>MỲ CHẾ BIẾN</v>
          </cell>
          <cell r="O474" t="str">
            <v>175435</v>
          </cell>
          <cell r="P474" t="str">
            <v>4901726014752</v>
          </cell>
          <cell r="Q474" t="str">
            <v>ITSUKI FOODS- Mì soumen rau củ ngũ sắc320g</v>
          </cell>
          <cell r="R474">
            <v>76000</v>
          </cell>
          <cell r="S474">
            <v>1</v>
          </cell>
          <cell r="T474">
            <v>76000</v>
          </cell>
          <cell r="U474">
            <v>0</v>
          </cell>
          <cell r="V474">
            <v>76000</v>
          </cell>
          <cell r="W474" t="str">
            <v>4901726014752</v>
          </cell>
        </row>
        <row r="475">
          <cell r="A475">
            <v>2026</v>
          </cell>
          <cell r="B475">
            <v>6</v>
          </cell>
          <cell r="C475">
            <v>46200</v>
          </cell>
          <cell r="D475" t="str">
            <v>1. SKK store</v>
          </cell>
          <cell r="E475" t="str">
            <v>S1018</v>
          </cell>
          <cell r="F475" t="str">
            <v>SKK Nguyễn Tuân</v>
          </cell>
          <cell r="G475" t="str">
            <v>0902249166</v>
          </cell>
          <cell r="H475" t="str">
            <v>Anh Sơn</v>
          </cell>
          <cell r="I475" t="str">
            <v>Khách cũ</v>
          </cell>
          <cell r="J475" t="str">
            <v>Đơn bán</v>
          </cell>
          <cell r="K475" t="str">
            <v>SAKUKO827591</v>
          </cell>
          <cell r="L475" t="str">
            <v>THỰC PHẨM</v>
          </cell>
          <cell r="M475" t="str">
            <v>MỲ, MIẾN</v>
          </cell>
          <cell r="N475" t="str">
            <v>MỲ ĂN LIỀN</v>
          </cell>
          <cell r="O475" t="str">
            <v>154198</v>
          </cell>
          <cell r="P475" t="str">
            <v>4979397000145</v>
          </cell>
          <cell r="Q475" t="str">
            <v>YAMAMOTO_Mì ramen ăn liền vị miso 90g*5</v>
          </cell>
          <cell r="R475">
            <v>99000</v>
          </cell>
          <cell r="S475">
            <v>1</v>
          </cell>
          <cell r="T475">
            <v>99000</v>
          </cell>
          <cell r="U475">
            <v>0</v>
          </cell>
          <cell r="V475">
            <v>99000</v>
          </cell>
          <cell r="W475" t="str">
            <v>4979397000145</v>
          </cell>
        </row>
        <row r="476">
          <cell r="A476">
            <v>2026</v>
          </cell>
          <cell r="B476">
            <v>6</v>
          </cell>
          <cell r="C476">
            <v>46200</v>
          </cell>
          <cell r="D476" t="str">
            <v>1. SKK store</v>
          </cell>
          <cell r="E476" t="str">
            <v>S1018</v>
          </cell>
          <cell r="F476" t="str">
            <v>SKK Nguyễn Tuân</v>
          </cell>
          <cell r="G476" t="str">
            <v>0902249166</v>
          </cell>
          <cell r="H476" t="str">
            <v>Anh Sơn</v>
          </cell>
          <cell r="I476" t="str">
            <v>Khách cũ</v>
          </cell>
          <cell r="J476" t="str">
            <v>Đơn bán</v>
          </cell>
          <cell r="K476" t="str">
            <v>SAKUKO827591</v>
          </cell>
          <cell r="L476" t="str">
            <v>THỰC PHẨM</v>
          </cell>
          <cell r="M476" t="str">
            <v>MỲ, MIẾN</v>
          </cell>
          <cell r="N476" t="str">
            <v>MỲ ĂN LIỀN</v>
          </cell>
          <cell r="O476" t="str">
            <v>154359</v>
          </cell>
          <cell r="P476" t="str">
            <v>4979397000138</v>
          </cell>
          <cell r="Q476" t="str">
            <v>YAMAMOTO- Mì ramen ăn liền hải sản thịt heo 88g*5</v>
          </cell>
          <cell r="R476">
            <v>99000</v>
          </cell>
          <cell r="S476">
            <v>1</v>
          </cell>
          <cell r="T476">
            <v>99000</v>
          </cell>
          <cell r="U476">
            <v>0</v>
          </cell>
          <cell r="V476">
            <v>99000</v>
          </cell>
          <cell r="W476" t="str">
            <v>4979397000138</v>
          </cell>
        </row>
        <row r="477">
          <cell r="A477">
            <v>2026</v>
          </cell>
          <cell r="B477">
            <v>6</v>
          </cell>
          <cell r="C477">
            <v>46200</v>
          </cell>
          <cell r="D477" t="str">
            <v>1. SKK store</v>
          </cell>
          <cell r="E477" t="str">
            <v>S1018</v>
          </cell>
          <cell r="F477" t="str">
            <v>SKK Nguyễn Tuân</v>
          </cell>
          <cell r="G477" t="str">
            <v>0912726182</v>
          </cell>
          <cell r="H477" t="str">
            <v>Nhung</v>
          </cell>
          <cell r="I477" t="str">
            <v>Khách cũ</v>
          </cell>
          <cell r="J477" t="str">
            <v>Đơn bán</v>
          </cell>
          <cell r="K477" t="str">
            <v>SAKUKO827702</v>
          </cell>
          <cell r="L477" t="str">
            <v>THỰC PHẨM</v>
          </cell>
          <cell r="M477" t="str">
            <v>MỲ, MIẾN</v>
          </cell>
          <cell r="N477" t="str">
            <v>MỲ CHẾ BIẾN</v>
          </cell>
          <cell r="O477" t="str">
            <v>175435</v>
          </cell>
          <cell r="P477" t="str">
            <v>4901726014752</v>
          </cell>
          <cell r="Q477" t="str">
            <v>ITSUKI FOODS- Mì soumen rau củ ngũ sắc320g</v>
          </cell>
          <cell r="R477">
            <v>76000</v>
          </cell>
          <cell r="S477">
            <v>1</v>
          </cell>
          <cell r="T477">
            <v>76000</v>
          </cell>
          <cell r="U477">
            <v>0</v>
          </cell>
          <cell r="V477">
            <v>76000</v>
          </cell>
          <cell r="W477" t="str">
            <v>4901726014752</v>
          </cell>
        </row>
        <row r="478">
          <cell r="A478">
            <v>2026</v>
          </cell>
          <cell r="B478">
            <v>6</v>
          </cell>
          <cell r="C478">
            <v>46200</v>
          </cell>
          <cell r="D478" t="str">
            <v>1. SKK store</v>
          </cell>
          <cell r="E478" t="str">
            <v>S1018</v>
          </cell>
          <cell r="F478" t="str">
            <v>SKK Nguyễn Tuân</v>
          </cell>
          <cell r="G478" t="str">
            <v>0915725060</v>
          </cell>
          <cell r="H478" t="str">
            <v>Chị Kim Ngọc</v>
          </cell>
          <cell r="I478" t="str">
            <v>Khách cũ</v>
          </cell>
          <cell r="J478" t="str">
            <v>Đơn bán</v>
          </cell>
          <cell r="K478" t="str">
            <v>SAKUKO826387</v>
          </cell>
          <cell r="L478" t="str">
            <v>ĐỒ CHO MẸ BÉ</v>
          </cell>
          <cell r="M478" t="str">
            <v>GIẤY ƯỚT</v>
          </cell>
          <cell r="N478" t="str">
            <v>GIẤY ƯỚT CHO BÉ</v>
          </cell>
          <cell r="O478" t="str">
            <v>121662</v>
          </cell>
          <cell r="P478" t="str">
            <v>8934755035036</v>
          </cell>
          <cell r="Q478" t="str">
            <v>FRESSI- Khăn ướt Care For All 20 miếng</v>
          </cell>
          <cell r="R478">
            <v>14000</v>
          </cell>
          <cell r="S478">
            <v>1</v>
          </cell>
          <cell r="T478">
            <v>14000</v>
          </cell>
          <cell r="U478">
            <v>0</v>
          </cell>
          <cell r="V478">
            <v>14000</v>
          </cell>
          <cell r="W478" t="str">
            <v>8934755035036</v>
          </cell>
        </row>
        <row r="479">
          <cell r="A479">
            <v>2026</v>
          </cell>
          <cell r="B479">
            <v>6</v>
          </cell>
          <cell r="C479">
            <v>46199</v>
          </cell>
          <cell r="D479" t="str">
            <v>1. SKK store</v>
          </cell>
          <cell r="E479" t="str">
            <v>S1005</v>
          </cell>
          <cell r="F479" t="str">
            <v>SKK  Thái Hà</v>
          </cell>
          <cell r="G479" t="str">
            <v>0962221951</v>
          </cell>
          <cell r="H479" t="str">
            <v>Trang</v>
          </cell>
          <cell r="I479" t="str">
            <v>Khách cũ</v>
          </cell>
          <cell r="J479" t="str">
            <v>Đơn bán</v>
          </cell>
          <cell r="K479" t="str">
            <v>SAKUKO825619</v>
          </cell>
          <cell r="L479" t="str">
            <v>CHĂM SÓC SẮC ĐẸP</v>
          </cell>
          <cell r="M479" t="str">
            <v>Mỹ phẩm khác</v>
          </cell>
          <cell r="N479" t="str">
            <v>PHỤ KIỆN LÀM ĐẸP</v>
          </cell>
          <cell r="O479" t="str">
            <v>102389</v>
          </cell>
          <cell r="P479" t="str">
            <v>4969757110652</v>
          </cell>
          <cell r="Q479" t="str">
            <v>KYOWA- Gói bông tẩy trang 130 miếng</v>
          </cell>
          <cell r="R479">
            <v>49000</v>
          </cell>
          <cell r="S479">
            <v>1</v>
          </cell>
          <cell r="T479">
            <v>49000</v>
          </cell>
          <cell r="U479">
            <v>0</v>
          </cell>
          <cell r="V479">
            <v>49000</v>
          </cell>
          <cell r="W479" t="str">
            <v>4969757110652</v>
          </cell>
        </row>
        <row r="480">
          <cell r="A480">
            <v>2026</v>
          </cell>
          <cell r="B480">
            <v>6</v>
          </cell>
          <cell r="C480">
            <v>46199</v>
          </cell>
          <cell r="D480" t="str">
            <v>1. SKK store</v>
          </cell>
          <cell r="E480" t="str">
            <v>S1006</v>
          </cell>
          <cell r="F480" t="str">
            <v>SKK Trần Đăng Ninh</v>
          </cell>
          <cell r="G480" t="str">
            <v>0985137186</v>
          </cell>
          <cell r="H480" t="str">
            <v>Hoàng Xuân Ngọc</v>
          </cell>
          <cell r="I480" t="str">
            <v>Khách cũ</v>
          </cell>
          <cell r="J480" t="str">
            <v>Đơn bán</v>
          </cell>
          <cell r="K480" t="str">
            <v>SAKUKO825563</v>
          </cell>
          <cell r="L480" t="str">
            <v>CHĂM SÓC SẮC ĐẸP</v>
          </cell>
          <cell r="M480" t="str">
            <v>CHĂM SÓC DA</v>
          </cell>
          <cell r="N480" t="str">
            <v>RỬA MẶT</v>
          </cell>
          <cell r="O480" t="str">
            <v>102386</v>
          </cell>
          <cell r="P480" t="str">
            <v>4902468816062</v>
          </cell>
          <cell r="Q480" t="str">
            <v>MEISHOKU- Sữa rửa mặt sáng da Cvita 100g</v>
          </cell>
          <cell r="R480">
            <v>290000</v>
          </cell>
          <cell r="S480">
            <v>1</v>
          </cell>
          <cell r="T480">
            <v>290000</v>
          </cell>
          <cell r="U480">
            <v>23200</v>
          </cell>
          <cell r="V480">
            <v>266800</v>
          </cell>
          <cell r="W480" t="str">
            <v>4902468816062</v>
          </cell>
        </row>
        <row r="481">
          <cell r="A481">
            <v>2026</v>
          </cell>
          <cell r="B481">
            <v>6</v>
          </cell>
          <cell r="C481">
            <v>46199</v>
          </cell>
          <cell r="D481" t="str">
            <v>1. SKK store</v>
          </cell>
          <cell r="E481" t="str">
            <v>S1007</v>
          </cell>
          <cell r="F481" t="str">
            <v>SKK  Nguyễn Du</v>
          </cell>
          <cell r="G481" t="str">
            <v>0903443666</v>
          </cell>
          <cell r="H481" t="str">
            <v>Chị Đoàn Thu Nga</v>
          </cell>
          <cell r="I481" t="str">
            <v>Khách cũ</v>
          </cell>
          <cell r="J481" t="str">
            <v>Đơn bán</v>
          </cell>
          <cell r="K481" t="str">
            <v>SAKUKO825749</v>
          </cell>
          <cell r="L481" t="str">
            <v>NHÀ CỬA ĐỜI SỐNG</v>
          </cell>
          <cell r="M481" t="str">
            <v>ĐỒ DÙNG SINH HOẠT GIA ĐÌNH</v>
          </cell>
          <cell r="N481" t="str">
            <v>VẬT DỤNG SINH HOẠT KHÁC</v>
          </cell>
          <cell r="O481" t="str">
            <v>135039</v>
          </cell>
          <cell r="P481" t="str">
            <v>4968988074993</v>
          </cell>
          <cell r="Q481" t="str">
            <v>OMAICHI- Set 2 lọ chiết mỹ phẩm 40ml kèm hộp đựng</v>
          </cell>
          <cell r="R481">
            <v>52000</v>
          </cell>
          <cell r="S481">
            <v>1</v>
          </cell>
          <cell r="T481">
            <v>52000</v>
          </cell>
          <cell r="U481">
            <v>0</v>
          </cell>
          <cell r="V481">
            <v>52000</v>
          </cell>
          <cell r="W481" t="str">
            <v>4968988074993</v>
          </cell>
        </row>
        <row r="482">
          <cell r="A482">
            <v>2026</v>
          </cell>
          <cell r="B482">
            <v>6</v>
          </cell>
          <cell r="C482">
            <v>46199</v>
          </cell>
          <cell r="D482" t="str">
            <v>1. SKK store</v>
          </cell>
          <cell r="E482" t="str">
            <v>S1007</v>
          </cell>
          <cell r="F482" t="str">
            <v>SKK  Nguyễn Du</v>
          </cell>
          <cell r="G482" t="str">
            <v>0983220091</v>
          </cell>
          <cell r="H482" t="str">
            <v>Chị Hiền</v>
          </cell>
          <cell r="I482" t="str">
            <v>Khách cũ</v>
          </cell>
          <cell r="J482" t="str">
            <v>Đơn bán</v>
          </cell>
          <cell r="K482" t="str">
            <v>SAKUKO825661</v>
          </cell>
          <cell r="L482" t="str">
            <v>THỰC PHẨM</v>
          </cell>
          <cell r="M482" t="str">
            <v>MỲ, MIẾN</v>
          </cell>
          <cell r="N482" t="str">
            <v>MỲ ĂN LIỀN</v>
          </cell>
          <cell r="O482" t="str">
            <v>154359</v>
          </cell>
          <cell r="P482" t="str">
            <v>4979397000138</v>
          </cell>
          <cell r="Q482" t="str">
            <v>YAMAMOTO- Mì ramen ăn liền hải sản thịt heo 88g*5</v>
          </cell>
          <cell r="R482">
            <v>99000</v>
          </cell>
          <cell r="S482">
            <v>1</v>
          </cell>
          <cell r="T482">
            <v>99000</v>
          </cell>
          <cell r="U482">
            <v>0</v>
          </cell>
          <cell r="V482">
            <v>99000</v>
          </cell>
          <cell r="W482" t="str">
            <v>4979397000138</v>
          </cell>
        </row>
        <row r="483">
          <cell r="A483">
            <v>2026</v>
          </cell>
          <cell r="B483">
            <v>6</v>
          </cell>
          <cell r="C483">
            <v>46199</v>
          </cell>
          <cell r="D483" t="str">
            <v>1. SKK store</v>
          </cell>
          <cell r="E483" t="str">
            <v>S1007</v>
          </cell>
          <cell r="F483" t="str">
            <v>SKK  Nguyễn Du</v>
          </cell>
          <cell r="G483" t="str">
            <v>0983220091</v>
          </cell>
          <cell r="H483" t="str">
            <v>Chị Hiền</v>
          </cell>
          <cell r="I483" t="str">
            <v>Khách cũ</v>
          </cell>
          <cell r="J483" t="str">
            <v>Đơn bán</v>
          </cell>
          <cell r="K483" t="str">
            <v>SAKUKO825661</v>
          </cell>
          <cell r="L483" t="str">
            <v>THỰC PHẨM</v>
          </cell>
          <cell r="M483" t="str">
            <v>MỲ, MIẾN</v>
          </cell>
          <cell r="N483" t="str">
            <v>MỲ CHẾ BIẾN</v>
          </cell>
          <cell r="O483" t="str">
            <v>154249</v>
          </cell>
          <cell r="P483" t="str">
            <v>4517244004627</v>
          </cell>
          <cell r="Q483" t="str">
            <v>ASAHI_Mì udon khô 400g</v>
          </cell>
          <cell r="R483">
            <v>69000</v>
          </cell>
          <cell r="S483">
            <v>1</v>
          </cell>
          <cell r="T483">
            <v>69000</v>
          </cell>
          <cell r="U483">
            <v>0</v>
          </cell>
          <cell r="V483">
            <v>69000</v>
          </cell>
          <cell r="W483" t="str">
            <v>4517244004627</v>
          </cell>
        </row>
        <row r="484">
          <cell r="A484">
            <v>2026</v>
          </cell>
          <cell r="B484">
            <v>6</v>
          </cell>
          <cell r="C484">
            <v>46199</v>
          </cell>
          <cell r="D484" t="str">
            <v>1. SKK store</v>
          </cell>
          <cell r="E484" t="str">
            <v>S1008</v>
          </cell>
          <cell r="F484" t="str">
            <v>SKK  Hàng Bông</v>
          </cell>
          <cell r="G484" t="str">
            <v>0862947989</v>
          </cell>
          <cell r="H484" t="str">
            <v>KLHB</v>
          </cell>
          <cell r="I484" t="str">
            <v>Khách vãng lai</v>
          </cell>
          <cell r="J484" t="str">
            <v>Đơn bán</v>
          </cell>
          <cell r="K484" t="str">
            <v>SAKUKO825586</v>
          </cell>
          <cell r="L484" t="str">
            <v>THỰC PHẨM</v>
          </cell>
          <cell r="M484" t="str">
            <v>MỲ, MIẾN</v>
          </cell>
          <cell r="N484" t="str">
            <v>MỲ ĂN LIỀN</v>
          </cell>
          <cell r="O484" t="str">
            <v>154198</v>
          </cell>
          <cell r="P484" t="str">
            <v>4979397000145</v>
          </cell>
          <cell r="Q484" t="str">
            <v>YAMAMOTO_Mì ramen ăn liền vị miso 90g*5</v>
          </cell>
          <cell r="R484">
            <v>99000</v>
          </cell>
          <cell r="S484">
            <v>1</v>
          </cell>
          <cell r="T484">
            <v>99000</v>
          </cell>
          <cell r="U484">
            <v>0</v>
          </cell>
          <cell r="V484">
            <v>99000</v>
          </cell>
          <cell r="W484" t="str">
            <v>4979397000145</v>
          </cell>
        </row>
        <row r="485">
          <cell r="A485">
            <v>2026</v>
          </cell>
          <cell r="B485">
            <v>6</v>
          </cell>
          <cell r="C485">
            <v>46199</v>
          </cell>
          <cell r="D485" t="str">
            <v>1. SKK store</v>
          </cell>
          <cell r="E485" t="str">
            <v>S1008</v>
          </cell>
          <cell r="F485" t="str">
            <v>SKK  Hàng Bông</v>
          </cell>
          <cell r="G485" t="str">
            <v>0982688288</v>
          </cell>
          <cell r="H485" t="str">
            <v>CHI HA</v>
          </cell>
          <cell r="I485" t="str">
            <v>Khách cũ</v>
          </cell>
          <cell r="J485" t="str">
            <v>Đơn bán</v>
          </cell>
          <cell r="K485" t="str">
            <v>SAKUKO825343</v>
          </cell>
          <cell r="L485" t="str">
            <v>THỰC PHẨM</v>
          </cell>
          <cell r="M485" t="str">
            <v>MỲ, MIẾN</v>
          </cell>
          <cell r="N485" t="str">
            <v>MỲ ĂN LIỀN</v>
          </cell>
          <cell r="O485" t="str">
            <v>154359</v>
          </cell>
          <cell r="P485" t="str">
            <v>4979397000138</v>
          </cell>
          <cell r="Q485" t="str">
            <v>YAMAMOTO- Mì ramen ăn liền hải sản thịt heo 88g*5</v>
          </cell>
          <cell r="R485">
            <v>99000</v>
          </cell>
          <cell r="S485">
            <v>1</v>
          </cell>
          <cell r="T485">
            <v>99000</v>
          </cell>
          <cell r="U485">
            <v>0</v>
          </cell>
          <cell r="V485">
            <v>99000</v>
          </cell>
          <cell r="W485" t="str">
            <v>4979397000138</v>
          </cell>
        </row>
        <row r="486">
          <cell r="A486">
            <v>2026</v>
          </cell>
          <cell r="B486">
            <v>6</v>
          </cell>
          <cell r="C486">
            <v>46199</v>
          </cell>
          <cell r="D486" t="str">
            <v>1. SKK store</v>
          </cell>
          <cell r="E486" t="str">
            <v>S1018</v>
          </cell>
          <cell r="F486" t="str">
            <v>SKK Nguyễn Tuân</v>
          </cell>
          <cell r="G486" t="str">
            <v>0585839333</v>
          </cell>
          <cell r="H486" t="str">
            <v>Anh Huy</v>
          </cell>
          <cell r="I486" t="str">
            <v>Khách mới</v>
          </cell>
          <cell r="J486" t="str">
            <v>Đơn bán</v>
          </cell>
          <cell r="K486" t="str">
            <v>SAKUKO825486</v>
          </cell>
          <cell r="L486" t="str">
            <v>ĐỒ CHO MẸ BÉ</v>
          </cell>
          <cell r="M486" t="str">
            <v>GIẤY ƯỚT</v>
          </cell>
          <cell r="N486" t="str">
            <v>GIẤY ƯỚT CHO BÉ</v>
          </cell>
          <cell r="O486" t="str">
            <v>121663</v>
          </cell>
          <cell r="P486" t="str">
            <v>8934755035197</v>
          </cell>
          <cell r="Q486" t="str">
            <v>FRESSI- Khăn ướt Care For All 100 miếng</v>
          </cell>
          <cell r="R486">
            <v>49000</v>
          </cell>
          <cell r="S486">
            <v>1</v>
          </cell>
          <cell r="T486">
            <v>49000</v>
          </cell>
          <cell r="U486">
            <v>0</v>
          </cell>
          <cell r="V486">
            <v>49000</v>
          </cell>
          <cell r="W486" t="str">
            <v>8934755035197</v>
          </cell>
        </row>
        <row r="487">
          <cell r="A487">
            <v>2026</v>
          </cell>
          <cell r="B487">
            <v>6</v>
          </cell>
          <cell r="C487">
            <v>46199</v>
          </cell>
          <cell r="D487" t="str">
            <v>1. SKK store</v>
          </cell>
          <cell r="E487" t="str">
            <v>S1018</v>
          </cell>
          <cell r="F487" t="str">
            <v>SKK Nguyễn Tuân</v>
          </cell>
          <cell r="G487" t="str">
            <v>0903040489</v>
          </cell>
          <cell r="H487" t="str">
            <v>Chị Ngọc Anh</v>
          </cell>
          <cell r="I487" t="str">
            <v>Khách cũ</v>
          </cell>
          <cell r="J487" t="str">
            <v>Đơn bán</v>
          </cell>
          <cell r="K487" t="str">
            <v>SAKUKO825921</v>
          </cell>
          <cell r="L487" t="str">
            <v>THỰC PHẨM</v>
          </cell>
          <cell r="M487" t="str">
            <v>MỲ, MIẾN</v>
          </cell>
          <cell r="N487" t="str">
            <v>MỲ ĂN LIỀN</v>
          </cell>
          <cell r="O487" t="str">
            <v>154196</v>
          </cell>
          <cell r="P487" t="str">
            <v>4979397000152</v>
          </cell>
          <cell r="Q487" t="str">
            <v>YAMAMOTO_Mì xào kiểu Nhật 89g*5</v>
          </cell>
          <cell r="R487">
            <v>99000</v>
          </cell>
          <cell r="S487">
            <v>1</v>
          </cell>
          <cell r="T487">
            <v>99000</v>
          </cell>
          <cell r="U487">
            <v>0</v>
          </cell>
          <cell r="V487">
            <v>99000</v>
          </cell>
          <cell r="W487" t="str">
            <v>4979397000152</v>
          </cell>
        </row>
        <row r="488">
          <cell r="A488">
            <v>2026</v>
          </cell>
          <cell r="B488">
            <v>6</v>
          </cell>
          <cell r="C488">
            <v>46199</v>
          </cell>
          <cell r="D488" t="str">
            <v>1. SKK store</v>
          </cell>
          <cell r="E488" t="str">
            <v>S1018</v>
          </cell>
          <cell r="F488" t="str">
            <v>SKK Nguyễn Tuân</v>
          </cell>
          <cell r="G488" t="str">
            <v>0939436666</v>
          </cell>
          <cell r="H488" t="str">
            <v>anh Hiệp</v>
          </cell>
          <cell r="I488" t="str">
            <v>Khách cũ</v>
          </cell>
          <cell r="J488" t="str">
            <v>Đơn bán</v>
          </cell>
          <cell r="K488" t="str">
            <v>SAKUKO825666</v>
          </cell>
          <cell r="L488" t="str">
            <v>THỰC PHẨM</v>
          </cell>
          <cell r="M488" t="str">
            <v>MỲ, MIẾN</v>
          </cell>
          <cell r="N488" t="str">
            <v>MỲ ĂN LIỀN</v>
          </cell>
          <cell r="O488" t="str">
            <v>154196</v>
          </cell>
          <cell r="P488" t="str">
            <v>4979397000152</v>
          </cell>
          <cell r="Q488" t="str">
            <v>YAMAMOTO_Mì xào kiểu Nhật 89g*5</v>
          </cell>
          <cell r="R488">
            <v>99000</v>
          </cell>
          <cell r="S488">
            <v>1</v>
          </cell>
          <cell r="T488">
            <v>99000</v>
          </cell>
          <cell r="U488">
            <v>0</v>
          </cell>
          <cell r="V488">
            <v>99000</v>
          </cell>
          <cell r="W488" t="str">
            <v>4979397000152</v>
          </cell>
        </row>
        <row r="489">
          <cell r="A489">
            <v>2026</v>
          </cell>
          <cell r="B489">
            <v>6</v>
          </cell>
          <cell r="C489">
            <v>46199</v>
          </cell>
          <cell r="D489" t="str">
            <v>1. SKK store</v>
          </cell>
          <cell r="E489" t="str">
            <v>S1025</v>
          </cell>
          <cell r="F489" t="str">
            <v>SKK T6 Time City</v>
          </cell>
          <cell r="G489" t="str">
            <v>0963018718</v>
          </cell>
          <cell r="H489" t="str">
            <v>anh Phương</v>
          </cell>
          <cell r="I489" t="str">
            <v>Khách mới</v>
          </cell>
          <cell r="J489" t="str">
            <v>Đơn bán</v>
          </cell>
          <cell r="K489" t="str">
            <v>SAKUKO826016</v>
          </cell>
          <cell r="L489" t="str">
            <v>THỰC PHẨM</v>
          </cell>
          <cell r="M489" t="str">
            <v>BÁNH KẸO, ĐỒ ĂN VẶT</v>
          </cell>
          <cell r="N489" t="str">
            <v>KẸO CAO SU</v>
          </cell>
          <cell r="O489" t="str">
            <v>154105</v>
          </cell>
          <cell r="P489" t="str">
            <v>4547894156612</v>
          </cell>
          <cell r="Q489" t="str">
            <v>MONDELEZ JAPAN - Kẹo cao su 112g</v>
          </cell>
          <cell r="R489">
            <v>235000</v>
          </cell>
          <cell r="S489">
            <v>1</v>
          </cell>
          <cell r="T489">
            <v>235000</v>
          </cell>
          <cell r="U489">
            <v>0</v>
          </cell>
          <cell r="V489">
            <v>235000</v>
          </cell>
          <cell r="W489" t="str">
            <v>4547894156612</v>
          </cell>
        </row>
        <row r="490">
          <cell r="A490">
            <v>2026</v>
          </cell>
          <cell r="B490">
            <v>6</v>
          </cell>
          <cell r="C490">
            <v>46199</v>
          </cell>
          <cell r="D490" t="str">
            <v>1. SKK store</v>
          </cell>
          <cell r="E490" t="str">
            <v>S1025</v>
          </cell>
          <cell r="F490" t="str">
            <v>SKK T6 Time City</v>
          </cell>
          <cell r="G490" t="str">
            <v>0987260741</v>
          </cell>
          <cell r="H490" t="str">
            <v>chị vinh</v>
          </cell>
          <cell r="I490" t="str">
            <v>Khách cũ</v>
          </cell>
          <cell r="J490" t="str">
            <v>Đơn bán</v>
          </cell>
          <cell r="K490" t="str">
            <v>SAKUKO826010</v>
          </cell>
          <cell r="L490" t="str">
            <v>THỰC PHẨM</v>
          </cell>
          <cell r="M490" t="str">
            <v>MỲ, MIẾN</v>
          </cell>
          <cell r="N490" t="str">
            <v>MỲ ĂN LIỀN</v>
          </cell>
          <cell r="O490" t="str">
            <v>154198</v>
          </cell>
          <cell r="P490" t="str">
            <v>4979397000145</v>
          </cell>
          <cell r="Q490" t="str">
            <v>YAMAMOTO_Mì ramen ăn liền vị miso 90g*5</v>
          </cell>
          <cell r="R490">
            <v>99000</v>
          </cell>
          <cell r="S490">
            <v>1</v>
          </cell>
          <cell r="T490">
            <v>99000</v>
          </cell>
          <cell r="U490">
            <v>0</v>
          </cell>
          <cell r="V490">
            <v>99000</v>
          </cell>
          <cell r="W490" t="str">
            <v>4979397000145</v>
          </cell>
        </row>
        <row r="491">
          <cell r="A491">
            <v>2026</v>
          </cell>
          <cell r="B491">
            <v>6</v>
          </cell>
          <cell r="C491">
            <v>46198</v>
          </cell>
          <cell r="D491" t="str">
            <v>1. SKK store</v>
          </cell>
          <cell r="E491" t="str">
            <v>S1004</v>
          </cell>
          <cell r="F491" t="str">
            <v>SKK  Mandarin C1</v>
          </cell>
          <cell r="G491" t="str">
            <v>0975585998</v>
          </cell>
          <cell r="H491" t="str">
            <v>Chị Trương Thị Thu Hương 1613c1</v>
          </cell>
          <cell r="I491" t="str">
            <v>Khách cũ</v>
          </cell>
          <cell r="J491" t="str">
            <v>Đơn bán</v>
          </cell>
          <cell r="K491" t="str">
            <v>SAKUKO824813</v>
          </cell>
          <cell r="L491" t="str">
            <v>NHÀ CỬA ĐỜI SỐNG</v>
          </cell>
          <cell r="M491" t="str">
            <v>ĐỒ DÙNG SINH HOẠT GIA ĐÌNH</v>
          </cell>
          <cell r="N491" t="str">
            <v>VẬT DỤNG SINH HOẠT KHÁC</v>
          </cell>
          <cell r="O491" t="str">
            <v>135039</v>
          </cell>
          <cell r="P491" t="str">
            <v>4968988074993</v>
          </cell>
          <cell r="Q491" t="str">
            <v>OMAICHI- Set 2 lọ chiết mỹ phẩm 40ml kèm hộp đựng</v>
          </cell>
          <cell r="R491">
            <v>52000</v>
          </cell>
          <cell r="S491">
            <v>1</v>
          </cell>
          <cell r="T491">
            <v>52000</v>
          </cell>
          <cell r="U491">
            <v>0</v>
          </cell>
          <cell r="V491">
            <v>52000</v>
          </cell>
          <cell r="W491" t="str">
            <v>4968988074993</v>
          </cell>
        </row>
        <row r="492">
          <cell r="A492">
            <v>2026</v>
          </cell>
          <cell r="B492">
            <v>6</v>
          </cell>
          <cell r="C492">
            <v>46198</v>
          </cell>
          <cell r="D492" t="str">
            <v>1. SKK store</v>
          </cell>
          <cell r="E492" t="str">
            <v>S1005</v>
          </cell>
          <cell r="F492" t="str">
            <v>SKK  Thái Hà</v>
          </cell>
          <cell r="G492" t="str">
            <v>0369148979</v>
          </cell>
          <cell r="H492" t="str">
            <v>CO Thu hiền</v>
          </cell>
          <cell r="I492" t="str">
            <v>Khách cũ</v>
          </cell>
          <cell r="J492" t="str">
            <v>Đơn bán</v>
          </cell>
          <cell r="K492" t="str">
            <v>SAKUKO823827</v>
          </cell>
          <cell r="L492" t="str">
            <v>CHĂM SÓC SẮC ĐẸP</v>
          </cell>
          <cell r="M492" t="str">
            <v>CHĂM SÓC DA</v>
          </cell>
          <cell r="N492" t="str">
            <v>RỬA MẶT</v>
          </cell>
          <cell r="O492" t="str">
            <v>230269</v>
          </cell>
          <cell r="P492" t="str">
            <v>4987241173242</v>
          </cell>
          <cell r="Q492" t="str">
            <v>ROHTO- SRM Melano CC mờ thâm nám (130g)</v>
          </cell>
          <cell r="R492">
            <v>294000</v>
          </cell>
          <cell r="S492">
            <v>1</v>
          </cell>
          <cell r="T492">
            <v>294000</v>
          </cell>
          <cell r="U492">
            <v>117600</v>
          </cell>
          <cell r="V492">
            <v>176400</v>
          </cell>
          <cell r="W492" t="str">
            <v>4987241173242</v>
          </cell>
        </row>
        <row r="493">
          <cell r="A493">
            <v>2026</v>
          </cell>
          <cell r="B493">
            <v>6</v>
          </cell>
          <cell r="C493">
            <v>46198</v>
          </cell>
          <cell r="D493" t="str">
            <v>1. SKK store</v>
          </cell>
          <cell r="E493" t="str">
            <v>S1005</v>
          </cell>
          <cell r="F493" t="str">
            <v>SKK  Thái Hà</v>
          </cell>
          <cell r="G493" t="str">
            <v>0904884496</v>
          </cell>
          <cell r="H493" t="str">
            <v>chị Đoàn Thị Loan</v>
          </cell>
          <cell r="I493" t="str">
            <v>Khách cũ</v>
          </cell>
          <cell r="J493" t="str">
            <v>Đơn bán</v>
          </cell>
          <cell r="K493" t="str">
            <v>SAKUKO824096</v>
          </cell>
          <cell r="L493" t="str">
            <v>CHĂM SÓC SẮC ĐẸP</v>
          </cell>
          <cell r="M493" t="str">
            <v>CHĂM SÓC DA</v>
          </cell>
          <cell r="N493" t="str">
            <v>CHĂM SÓC DA KHÁC</v>
          </cell>
          <cell r="O493" t="str">
            <v>102387</v>
          </cell>
          <cell r="P493" t="str">
            <v>8935006542907</v>
          </cell>
          <cell r="Q493" t="str">
            <v>HADA LABO- Bộ sản phẩm dưỡng ẩm (travel kit)47g</v>
          </cell>
          <cell r="R493">
            <v>129000</v>
          </cell>
          <cell r="S493">
            <v>1</v>
          </cell>
          <cell r="T493">
            <v>129000</v>
          </cell>
          <cell r="U493">
            <v>20000</v>
          </cell>
          <cell r="V493">
            <v>109000</v>
          </cell>
          <cell r="W493" t="str">
            <v>8935006542907</v>
          </cell>
        </row>
        <row r="494">
          <cell r="A494">
            <v>2026</v>
          </cell>
          <cell r="B494">
            <v>6</v>
          </cell>
          <cell r="C494">
            <v>46198</v>
          </cell>
          <cell r="D494" t="str">
            <v>1. SKK store</v>
          </cell>
          <cell r="E494" t="str">
            <v>S1005</v>
          </cell>
          <cell r="F494" t="str">
            <v>SKK  Thái Hà</v>
          </cell>
          <cell r="G494" t="str">
            <v>0976636630</v>
          </cell>
          <cell r="H494" t="str">
            <v>chị Lan Anh</v>
          </cell>
          <cell r="I494" t="str">
            <v>Khách cũ</v>
          </cell>
          <cell r="J494" t="str">
            <v>Đơn bán</v>
          </cell>
          <cell r="K494" t="str">
            <v>SAKUKO824990</v>
          </cell>
          <cell r="L494" t="str">
            <v>THỰC PHẨM</v>
          </cell>
          <cell r="M494" t="str">
            <v>MỲ, MIẾN</v>
          </cell>
          <cell r="N494" t="str">
            <v>MỲ ĂN LIỀN</v>
          </cell>
          <cell r="O494" t="str">
            <v>154196</v>
          </cell>
          <cell r="P494" t="str">
            <v>4979397000152</v>
          </cell>
          <cell r="Q494" t="str">
            <v>YAMAMOTO_Mì xào kiểu Nhật 89g*5</v>
          </cell>
          <cell r="R494">
            <v>99000</v>
          </cell>
          <cell r="S494">
            <v>1</v>
          </cell>
          <cell r="T494">
            <v>99000</v>
          </cell>
          <cell r="U494">
            <v>0</v>
          </cell>
          <cell r="V494">
            <v>99000</v>
          </cell>
          <cell r="W494" t="str">
            <v>4979397000152</v>
          </cell>
        </row>
        <row r="495">
          <cell r="A495">
            <v>2026</v>
          </cell>
          <cell r="B495">
            <v>6</v>
          </cell>
          <cell r="C495">
            <v>46198</v>
          </cell>
          <cell r="D495" t="str">
            <v>1. SKK store</v>
          </cell>
          <cell r="E495" t="str">
            <v>S1005</v>
          </cell>
          <cell r="F495" t="str">
            <v>SKK  Thái Hà</v>
          </cell>
          <cell r="G495" t="str">
            <v>0976636630</v>
          </cell>
          <cell r="H495" t="str">
            <v>chị Lan Anh</v>
          </cell>
          <cell r="I495" t="str">
            <v>Khách cũ</v>
          </cell>
          <cell r="J495" t="str">
            <v>Đơn bán</v>
          </cell>
          <cell r="K495" t="str">
            <v>SAKUKO824990</v>
          </cell>
          <cell r="L495" t="str">
            <v>THỰC PHẨM</v>
          </cell>
          <cell r="M495" t="str">
            <v>MỲ, MIẾN</v>
          </cell>
          <cell r="N495" t="str">
            <v>MỲ ĂN LIỀN</v>
          </cell>
          <cell r="O495" t="str">
            <v>154359</v>
          </cell>
          <cell r="P495" t="str">
            <v>4979397000138</v>
          </cell>
          <cell r="Q495" t="str">
            <v>YAMAMOTO- Mì ramen ăn liền hải sản thịt heo 88g*5</v>
          </cell>
          <cell r="R495">
            <v>99000</v>
          </cell>
          <cell r="S495">
            <v>1</v>
          </cell>
          <cell r="T495">
            <v>99000</v>
          </cell>
          <cell r="U495">
            <v>0</v>
          </cell>
          <cell r="V495">
            <v>99000</v>
          </cell>
          <cell r="W495" t="str">
            <v>4979397000138</v>
          </cell>
        </row>
        <row r="496">
          <cell r="A496">
            <v>2026</v>
          </cell>
          <cell r="B496">
            <v>6</v>
          </cell>
          <cell r="C496">
            <v>46198</v>
          </cell>
          <cell r="D496" t="str">
            <v>1. SKK store</v>
          </cell>
          <cell r="E496" t="str">
            <v>S1006</v>
          </cell>
          <cell r="F496" t="str">
            <v>SKK Trần Đăng Ninh</v>
          </cell>
          <cell r="G496" t="str">
            <v>0862954688</v>
          </cell>
          <cell r="H496" t="str">
            <v>KLTDN</v>
          </cell>
          <cell r="I496" t="str">
            <v>Khách vãng lai</v>
          </cell>
          <cell r="J496" t="str">
            <v>Đơn bán</v>
          </cell>
          <cell r="K496" t="str">
            <v>SAKUKO824016</v>
          </cell>
          <cell r="L496" t="str">
            <v>ĐỒ CHO MẸ BÉ</v>
          </cell>
          <cell r="M496" t="str">
            <v>GIẤY ƯỚT</v>
          </cell>
          <cell r="N496" t="str">
            <v>GIẤY ƯỚT CHO BÉ</v>
          </cell>
          <cell r="O496" t="str">
            <v>121664</v>
          </cell>
          <cell r="P496" t="str">
            <v>8934755035074</v>
          </cell>
          <cell r="Q496" t="str">
            <v>BOBBY- Khăn ướt em bé có hương 100 miếng</v>
          </cell>
          <cell r="R496">
            <v>46000</v>
          </cell>
          <cell r="S496">
            <v>1</v>
          </cell>
          <cell r="T496">
            <v>46000</v>
          </cell>
          <cell r="U496">
            <v>0</v>
          </cell>
          <cell r="V496">
            <v>46000</v>
          </cell>
          <cell r="W496" t="str">
            <v>8934755035074</v>
          </cell>
        </row>
        <row r="497">
          <cell r="A497">
            <v>2026</v>
          </cell>
          <cell r="B497">
            <v>6</v>
          </cell>
          <cell r="C497">
            <v>46198</v>
          </cell>
          <cell r="D497" t="str">
            <v>1. SKK store</v>
          </cell>
          <cell r="E497" t="str">
            <v>S1006</v>
          </cell>
          <cell r="F497" t="str">
            <v>SKK Trần Đăng Ninh</v>
          </cell>
          <cell r="G497" t="str">
            <v>0862954688</v>
          </cell>
          <cell r="H497" t="str">
            <v>KLTDN</v>
          </cell>
          <cell r="I497" t="str">
            <v>Khách vãng lai</v>
          </cell>
          <cell r="J497" t="str">
            <v>Đơn bán</v>
          </cell>
          <cell r="K497" t="str">
            <v>SAKUKO824016</v>
          </cell>
          <cell r="L497" t="str">
            <v>ĐỒ CHO MẸ BÉ</v>
          </cell>
          <cell r="M497" t="str">
            <v>GIẤY ƯỚT</v>
          </cell>
          <cell r="N497" t="str">
            <v>GIẤY ƯỚT CHO BÉ</v>
          </cell>
          <cell r="O497" t="str">
            <v>121665</v>
          </cell>
          <cell r="P497" t="str">
            <v>8934755035289</v>
          </cell>
          <cell r="Q497" t="str">
            <v>BOBBY- Khăn ướt em bé không mùi 100 miếng</v>
          </cell>
          <cell r="R497">
            <v>46000</v>
          </cell>
          <cell r="S497">
            <v>1</v>
          </cell>
          <cell r="T497">
            <v>46000</v>
          </cell>
          <cell r="U497">
            <v>0</v>
          </cell>
          <cell r="V497">
            <v>46000</v>
          </cell>
          <cell r="W497" t="str">
            <v>8934755035289</v>
          </cell>
        </row>
        <row r="498">
          <cell r="A498">
            <v>2026</v>
          </cell>
          <cell r="B498">
            <v>6</v>
          </cell>
          <cell r="C498">
            <v>46198</v>
          </cell>
          <cell r="D498" t="str">
            <v>1. SKK store</v>
          </cell>
          <cell r="E498" t="str">
            <v>S1006</v>
          </cell>
          <cell r="F498" t="str">
            <v>SKK Trần Đăng Ninh</v>
          </cell>
          <cell r="G498" t="str">
            <v>0974542161</v>
          </cell>
          <cell r="H498" t="str">
            <v>Phạm Thị Diễm</v>
          </cell>
          <cell r="I498" t="str">
            <v>Khách cũ</v>
          </cell>
          <cell r="J498" t="str">
            <v>Đơn bán</v>
          </cell>
          <cell r="K498" t="str">
            <v>SAKUKO824771</v>
          </cell>
          <cell r="L498" t="str">
            <v>ĐỒ CHO MẸ BÉ</v>
          </cell>
          <cell r="M498" t="str">
            <v>GIẤY ƯỚT</v>
          </cell>
          <cell r="N498" t="str">
            <v>GIẤY ƯỚT CHO BÉ</v>
          </cell>
          <cell r="O498" t="str">
            <v>121665</v>
          </cell>
          <cell r="P498" t="str">
            <v>8934755035289</v>
          </cell>
          <cell r="Q498" t="str">
            <v>BOBBY- Khăn ướt em bé không mùi 100 miếng</v>
          </cell>
          <cell r="R498">
            <v>46000</v>
          </cell>
          <cell r="S498">
            <v>1</v>
          </cell>
          <cell r="T498">
            <v>46000</v>
          </cell>
          <cell r="U498">
            <v>0</v>
          </cell>
          <cell r="V498">
            <v>46000</v>
          </cell>
          <cell r="W498" t="str">
            <v>8934755035289</v>
          </cell>
        </row>
        <row r="499">
          <cell r="A499">
            <v>2026</v>
          </cell>
          <cell r="B499">
            <v>6</v>
          </cell>
          <cell r="C499">
            <v>46198</v>
          </cell>
          <cell r="D499" t="str">
            <v>1. SKK store</v>
          </cell>
          <cell r="E499" t="str">
            <v>S1007</v>
          </cell>
          <cell r="F499" t="str">
            <v>SKK  Nguyễn Du</v>
          </cell>
          <cell r="G499" t="str">
            <v>0983777303</v>
          </cell>
          <cell r="H499" t="str">
            <v>anh Nghĩa</v>
          </cell>
          <cell r="I499" t="str">
            <v>Khách mới</v>
          </cell>
          <cell r="J499" t="str">
            <v>Đơn bán</v>
          </cell>
          <cell r="K499" t="str">
            <v>SAKUKO824015</v>
          </cell>
          <cell r="L499" t="str">
            <v>THỰC PHẨM</v>
          </cell>
          <cell r="M499" t="str">
            <v>BÁNH KẸO, ĐỒ ĂN VẶT</v>
          </cell>
          <cell r="N499" t="str">
            <v>KẸO CAO SU</v>
          </cell>
          <cell r="O499" t="str">
            <v>154105</v>
          </cell>
          <cell r="P499" t="str">
            <v>4547894156612</v>
          </cell>
          <cell r="Q499" t="str">
            <v>MONDELEZ JAPAN - Kẹo cao su 112g</v>
          </cell>
          <cell r="R499">
            <v>235000</v>
          </cell>
          <cell r="S499">
            <v>1</v>
          </cell>
          <cell r="T499">
            <v>235000</v>
          </cell>
          <cell r="U499">
            <v>0</v>
          </cell>
          <cell r="V499">
            <v>235000</v>
          </cell>
          <cell r="W499" t="str">
            <v>4547894156612</v>
          </cell>
        </row>
        <row r="500">
          <cell r="A500">
            <v>2026</v>
          </cell>
          <cell r="B500">
            <v>6</v>
          </cell>
          <cell r="C500">
            <v>46198</v>
          </cell>
          <cell r="D500" t="str">
            <v>1. SKK store</v>
          </cell>
          <cell r="E500" t="str">
            <v>S1008</v>
          </cell>
          <cell r="F500" t="str">
            <v>SKK  Hàng Bông</v>
          </cell>
          <cell r="G500" t="str">
            <v>0386506306</v>
          </cell>
          <cell r="H500" t="str">
            <v>cô Vân</v>
          </cell>
          <cell r="I500" t="str">
            <v>Khách cũ</v>
          </cell>
          <cell r="J500" t="str">
            <v>Đơn bán</v>
          </cell>
          <cell r="K500" t="str">
            <v>SAKUKO824409</v>
          </cell>
          <cell r="L500" t="str">
            <v>NHÀ CỬA ĐỜI SỐNG</v>
          </cell>
          <cell r="M500" t="str">
            <v>ĐỒ DÙNG SINH HOẠT GIA ĐÌNH</v>
          </cell>
          <cell r="N500" t="str">
            <v>VẬT DỤNG SINH HOẠT KHÁC</v>
          </cell>
          <cell r="O500" t="str">
            <v>135039</v>
          </cell>
          <cell r="P500" t="str">
            <v>4968988074993</v>
          </cell>
          <cell r="Q500" t="str">
            <v>OMAICHI- Set 2 lọ chiết mỹ phẩm 40ml kèm hộp đựng</v>
          </cell>
          <cell r="R500">
            <v>52000</v>
          </cell>
          <cell r="S500">
            <v>1</v>
          </cell>
          <cell r="T500">
            <v>52000</v>
          </cell>
          <cell r="U500">
            <v>0</v>
          </cell>
          <cell r="V500">
            <v>52000</v>
          </cell>
          <cell r="W500" t="str">
            <v>4968988074993</v>
          </cell>
        </row>
        <row r="501">
          <cell r="A501">
            <v>2026</v>
          </cell>
          <cell r="B501">
            <v>6</v>
          </cell>
          <cell r="C501">
            <v>46198</v>
          </cell>
          <cell r="D501" t="str">
            <v>1. SKK store</v>
          </cell>
          <cell r="E501" t="str">
            <v>S1008</v>
          </cell>
          <cell r="F501" t="str">
            <v>SKK  Hàng Bông</v>
          </cell>
          <cell r="G501" t="str">
            <v>0904380655</v>
          </cell>
          <cell r="H501" t="str">
            <v>C Thoa</v>
          </cell>
          <cell r="I501" t="str">
            <v>Khách cũ</v>
          </cell>
          <cell r="J501" t="str">
            <v>Đơn bán</v>
          </cell>
          <cell r="K501" t="str">
            <v>SAKUKO824690</v>
          </cell>
          <cell r="L501" t="str">
            <v>THỰC PHẨM</v>
          </cell>
          <cell r="M501" t="str">
            <v>MỲ, MIẾN</v>
          </cell>
          <cell r="N501" t="str">
            <v>MỲ CHẾ BIẾN</v>
          </cell>
          <cell r="O501" t="str">
            <v>154251</v>
          </cell>
          <cell r="P501" t="str">
            <v>4560159440776</v>
          </cell>
          <cell r="Q501" t="str">
            <v>SATO_Mì soba khô 800g</v>
          </cell>
          <cell r="R501">
            <v>104000</v>
          </cell>
          <cell r="S501">
            <v>1</v>
          </cell>
          <cell r="T501">
            <v>104000</v>
          </cell>
          <cell r="U501">
            <v>31200</v>
          </cell>
          <cell r="V501">
            <v>72800</v>
          </cell>
          <cell r="W501" t="str">
            <v>4560159440776</v>
          </cell>
        </row>
        <row r="502">
          <cell r="A502">
            <v>2026</v>
          </cell>
          <cell r="B502">
            <v>6</v>
          </cell>
          <cell r="C502">
            <v>46198</v>
          </cell>
          <cell r="D502" t="str">
            <v>1. SKK store</v>
          </cell>
          <cell r="E502" t="str">
            <v>S1008</v>
          </cell>
          <cell r="F502" t="str">
            <v>SKK  Hàng Bông</v>
          </cell>
          <cell r="G502" t="str">
            <v>0982290575</v>
          </cell>
          <cell r="H502" t="str">
            <v>chị liên</v>
          </cell>
          <cell r="I502" t="str">
            <v>Khách cũ</v>
          </cell>
          <cell r="J502" t="str">
            <v>Đơn bán</v>
          </cell>
          <cell r="K502" t="str">
            <v>SAKUKO823935</v>
          </cell>
          <cell r="L502" t="str">
            <v>CHĂM SÓC SẮC ĐẸP</v>
          </cell>
          <cell r="M502" t="str">
            <v>CHĂM SÓC DA</v>
          </cell>
          <cell r="N502" t="str">
            <v>CHĂM SÓC DA KHÁC</v>
          </cell>
          <cell r="O502" t="str">
            <v>102388</v>
          </cell>
          <cell r="P502" t="str">
            <v>8935006542914</v>
          </cell>
          <cell r="Q502" t="str">
            <v>HADA LABO- Bộ sản phẩm dưỡng trắng (travel kit)47g</v>
          </cell>
          <cell r="R502">
            <v>135000</v>
          </cell>
          <cell r="S502">
            <v>1</v>
          </cell>
          <cell r="T502">
            <v>135000</v>
          </cell>
          <cell r="U502">
            <v>26000</v>
          </cell>
          <cell r="V502">
            <v>109000</v>
          </cell>
          <cell r="W502" t="str">
            <v>8935006542914</v>
          </cell>
        </row>
        <row r="503">
          <cell r="A503">
            <v>2026</v>
          </cell>
          <cell r="B503">
            <v>6</v>
          </cell>
          <cell r="C503">
            <v>46198</v>
          </cell>
          <cell r="D503" t="str">
            <v>1. SKK store</v>
          </cell>
          <cell r="E503" t="str">
            <v>S1008</v>
          </cell>
          <cell r="F503" t="str">
            <v>SKK  Hàng Bông</v>
          </cell>
          <cell r="G503" t="str">
            <v>0983536321</v>
          </cell>
          <cell r="H503" t="str">
            <v>chị Hằng</v>
          </cell>
          <cell r="I503" t="str">
            <v>Khách cũ</v>
          </cell>
          <cell r="J503" t="str">
            <v>Đơn bán</v>
          </cell>
          <cell r="K503" t="str">
            <v>SAKUKO824394</v>
          </cell>
          <cell r="L503" t="str">
            <v>THỰC PHẨM</v>
          </cell>
          <cell r="M503" t="str">
            <v>MỲ, MIẾN</v>
          </cell>
          <cell r="N503" t="str">
            <v>MỲ ĂN LIỀN</v>
          </cell>
          <cell r="O503" t="str">
            <v>154196</v>
          </cell>
          <cell r="P503" t="str">
            <v>4979397000152</v>
          </cell>
          <cell r="Q503" t="str">
            <v>YAMAMOTO_Mì xào kiểu Nhật 89g*5</v>
          </cell>
          <cell r="R503">
            <v>99000</v>
          </cell>
          <cell r="S503">
            <v>1</v>
          </cell>
          <cell r="T503">
            <v>99000</v>
          </cell>
          <cell r="U503">
            <v>0</v>
          </cell>
          <cell r="V503">
            <v>99000</v>
          </cell>
          <cell r="W503" t="str">
            <v>4979397000152</v>
          </cell>
        </row>
        <row r="504">
          <cell r="A504">
            <v>2026</v>
          </cell>
          <cell r="B504">
            <v>6</v>
          </cell>
          <cell r="C504">
            <v>46198</v>
          </cell>
          <cell r="D504" t="str">
            <v>1. SKK store</v>
          </cell>
          <cell r="E504" t="str">
            <v>S1008</v>
          </cell>
          <cell r="F504" t="str">
            <v>SKK  Hàng Bông</v>
          </cell>
          <cell r="G504" t="str">
            <v>0983536321</v>
          </cell>
          <cell r="H504" t="str">
            <v>chị Hằng</v>
          </cell>
          <cell r="I504" t="str">
            <v>Khách cũ</v>
          </cell>
          <cell r="J504" t="str">
            <v>Đơn bán</v>
          </cell>
          <cell r="K504" t="str">
            <v>SAKUKO824394</v>
          </cell>
          <cell r="L504" t="str">
            <v>THỰC PHẨM</v>
          </cell>
          <cell r="M504" t="str">
            <v>MỲ, MIẾN</v>
          </cell>
          <cell r="N504" t="str">
            <v>MỲ ĂN LIỀN</v>
          </cell>
          <cell r="O504" t="str">
            <v>154333</v>
          </cell>
          <cell r="P504" t="str">
            <v>4901990325547</v>
          </cell>
          <cell r="Q504" t="str">
            <v>MARUCHAN-Mì hộp ramen hoành thánh nước tương 117g</v>
          </cell>
          <cell r="R504">
            <v>45000</v>
          </cell>
          <cell r="S504">
            <v>2</v>
          </cell>
          <cell r="T504">
            <v>90000</v>
          </cell>
          <cell r="U504">
            <v>0</v>
          </cell>
          <cell r="V504">
            <v>90000</v>
          </cell>
          <cell r="W504" t="str">
            <v>4901990325547</v>
          </cell>
        </row>
        <row r="505">
          <cell r="A505">
            <v>2026</v>
          </cell>
          <cell r="B505">
            <v>6</v>
          </cell>
          <cell r="C505">
            <v>46198</v>
          </cell>
          <cell r="D505" t="str">
            <v>1. SKK store</v>
          </cell>
          <cell r="E505" t="str">
            <v>S1015</v>
          </cell>
          <cell r="F505" t="str">
            <v>SKK Hàm Nghi</v>
          </cell>
          <cell r="G505" t="str">
            <v>0359979949</v>
          </cell>
          <cell r="H505" t="str">
            <v>chị Kim Anh</v>
          </cell>
          <cell r="I505" t="str">
            <v>Khách cũ</v>
          </cell>
          <cell r="J505" t="str">
            <v>Đơn bán</v>
          </cell>
          <cell r="K505" t="str">
            <v>SAKUKO824904</v>
          </cell>
          <cell r="L505" t="str">
            <v>THỰC PHẨM</v>
          </cell>
          <cell r="M505" t="str">
            <v>MỲ, MIẾN</v>
          </cell>
          <cell r="N505" t="str">
            <v>MỲ ĂN LIỀN</v>
          </cell>
          <cell r="O505" t="str">
            <v>154359</v>
          </cell>
          <cell r="P505" t="str">
            <v>4979397000138</v>
          </cell>
          <cell r="Q505" t="str">
            <v>YAMAMOTO- Mì ramen ăn liền hải sản thịt heo 88g*5</v>
          </cell>
          <cell r="R505">
            <v>99000</v>
          </cell>
          <cell r="S505">
            <v>1</v>
          </cell>
          <cell r="T505">
            <v>99000</v>
          </cell>
          <cell r="U505">
            <v>0</v>
          </cell>
          <cell r="V505">
            <v>99000</v>
          </cell>
          <cell r="W505" t="str">
            <v>4979397000138</v>
          </cell>
        </row>
        <row r="506">
          <cell r="A506">
            <v>2026</v>
          </cell>
          <cell r="B506">
            <v>6</v>
          </cell>
          <cell r="C506">
            <v>46198</v>
          </cell>
          <cell r="D506" t="str">
            <v>1. SKK store</v>
          </cell>
          <cell r="E506" t="str">
            <v>S1015</v>
          </cell>
          <cell r="F506" t="str">
            <v>SKK Hàm Nghi</v>
          </cell>
          <cell r="G506" t="str">
            <v>0983093058</v>
          </cell>
          <cell r="H506" t="str">
            <v>c minh</v>
          </cell>
          <cell r="I506" t="str">
            <v>Khách cũ</v>
          </cell>
          <cell r="J506" t="str">
            <v>Đơn bán</v>
          </cell>
          <cell r="K506" t="str">
            <v>SAKUKO824540</v>
          </cell>
          <cell r="L506" t="str">
            <v>CHĂM SÓC SẮC ĐẸP</v>
          </cell>
          <cell r="M506" t="str">
            <v>CHĂM SÓC CƠ THỂ</v>
          </cell>
          <cell r="N506" t="str">
            <v>CHỐNG NẮNG</v>
          </cell>
          <cell r="O506" t="str">
            <v>102419</v>
          </cell>
          <cell r="P506" t="str">
            <v>4902468297045</v>
          </cell>
          <cell r="Q506" t="str">
            <v>MEISHOKU- Kem chống nắng cho da nhạy cảm 40g</v>
          </cell>
          <cell r="R506">
            <v>435000</v>
          </cell>
          <cell r="S506">
            <v>1</v>
          </cell>
          <cell r="T506">
            <v>435000</v>
          </cell>
          <cell r="U506">
            <v>0</v>
          </cell>
          <cell r="V506">
            <v>435000</v>
          </cell>
          <cell r="W506" t="str">
            <v>4902468297045</v>
          </cell>
        </row>
        <row r="507">
          <cell r="A507">
            <v>2026</v>
          </cell>
          <cell r="B507">
            <v>6</v>
          </cell>
          <cell r="C507">
            <v>46198</v>
          </cell>
          <cell r="D507" t="str">
            <v>1. SKK store</v>
          </cell>
          <cell r="E507" t="str">
            <v>S1018</v>
          </cell>
          <cell r="F507" t="str">
            <v>SKK Nguyễn Tuân</v>
          </cell>
          <cell r="G507" t="str">
            <v>0904925936</v>
          </cell>
          <cell r="H507" t="str">
            <v>Chị Mai Thị Bình</v>
          </cell>
          <cell r="I507" t="str">
            <v>Khách cũ</v>
          </cell>
          <cell r="J507" t="str">
            <v>Đơn bán</v>
          </cell>
          <cell r="K507" t="str">
            <v>SAKUKO824302</v>
          </cell>
          <cell r="L507" t="str">
            <v>ĐỒ CHO MẸ BÉ</v>
          </cell>
          <cell r="M507" t="str">
            <v>GIẤY ƯỚT</v>
          </cell>
          <cell r="N507" t="str">
            <v>GIẤY ƯỚT CHO BÉ</v>
          </cell>
          <cell r="O507" t="str">
            <v>121677</v>
          </cell>
          <cell r="P507" t="str">
            <v>8801260608836</v>
          </cell>
          <cell r="Q507" t="str">
            <v>KLEANNARA- Khăn ướt 5 tinh chất (có nắp) 100 tờ</v>
          </cell>
          <cell r="R507">
            <v>52000</v>
          </cell>
          <cell r="S507">
            <v>1</v>
          </cell>
          <cell r="T507">
            <v>52000</v>
          </cell>
          <cell r="U507">
            <v>0</v>
          </cell>
          <cell r="V507">
            <v>52000</v>
          </cell>
          <cell r="W507" t="str">
            <v>8801260608836</v>
          </cell>
        </row>
        <row r="508">
          <cell r="A508">
            <v>2026</v>
          </cell>
          <cell r="B508">
            <v>6</v>
          </cell>
          <cell r="C508">
            <v>46198</v>
          </cell>
          <cell r="D508" t="str">
            <v>1. SKK store</v>
          </cell>
          <cell r="E508" t="str">
            <v>S1018</v>
          </cell>
          <cell r="F508" t="str">
            <v>SKK Nguyễn Tuân</v>
          </cell>
          <cell r="G508" t="str">
            <v>0988563569</v>
          </cell>
          <cell r="H508" t="str">
            <v>Chị oanh</v>
          </cell>
          <cell r="I508" t="str">
            <v>Khách cũ</v>
          </cell>
          <cell r="J508" t="str">
            <v>Đơn bán</v>
          </cell>
          <cell r="K508" t="str">
            <v>SAKUKO824986</v>
          </cell>
          <cell r="L508" t="str">
            <v>NHÀ CỬA ĐỜI SỐNG</v>
          </cell>
          <cell r="M508" t="str">
            <v>ĐỒ DÙNG SINH HOẠT GIA ĐÌNH</v>
          </cell>
          <cell r="N508" t="str">
            <v>VẬT DỤNG SINH HOẠT KHÁC</v>
          </cell>
          <cell r="O508" t="str">
            <v>135039</v>
          </cell>
          <cell r="P508" t="str">
            <v>4968988074993</v>
          </cell>
          <cell r="Q508" t="str">
            <v>OMAICHI- Set 2 lọ chiết mỹ phẩm 40ml kèm hộp đựng</v>
          </cell>
          <cell r="R508">
            <v>52000</v>
          </cell>
          <cell r="S508">
            <v>2</v>
          </cell>
          <cell r="T508">
            <v>104000</v>
          </cell>
          <cell r="U508">
            <v>0</v>
          </cell>
          <cell r="V508">
            <v>104000</v>
          </cell>
          <cell r="W508" t="str">
            <v>4968988074993</v>
          </cell>
        </row>
        <row r="509">
          <cell r="A509">
            <v>2026</v>
          </cell>
          <cell r="B509">
            <v>6</v>
          </cell>
          <cell r="C509">
            <v>46198</v>
          </cell>
          <cell r="D509" t="str">
            <v>1. SKK store</v>
          </cell>
          <cell r="E509" t="str">
            <v>S1025</v>
          </cell>
          <cell r="F509" t="str">
            <v>SKK T6 Time City</v>
          </cell>
          <cell r="G509" t="str">
            <v>0366396315</v>
          </cell>
          <cell r="H509" t="str">
            <v>chị mai</v>
          </cell>
          <cell r="I509" t="str">
            <v>Khách mới</v>
          </cell>
          <cell r="J509" t="str">
            <v>Đơn bán</v>
          </cell>
          <cell r="K509" t="str">
            <v>SAKUKO824806</v>
          </cell>
          <cell r="L509" t="str">
            <v>NHÀ CỬA ĐỜI SỐNG</v>
          </cell>
          <cell r="M509" t="str">
            <v>ĐỒ DÙNG SINH HOẠT GIA ĐÌNH</v>
          </cell>
          <cell r="N509" t="str">
            <v>VẬT DỤNG SINH HOẠT KHÁC</v>
          </cell>
          <cell r="O509" t="str">
            <v>135039</v>
          </cell>
          <cell r="P509" t="str">
            <v>4968988074993</v>
          </cell>
          <cell r="Q509" t="str">
            <v>OMAICHI- Set 2 lọ chiết mỹ phẩm 40ml kèm hộp đựng</v>
          </cell>
          <cell r="R509">
            <v>52000</v>
          </cell>
          <cell r="S509">
            <v>1</v>
          </cell>
          <cell r="T509">
            <v>52000</v>
          </cell>
          <cell r="U509">
            <v>0</v>
          </cell>
          <cell r="V509">
            <v>52000</v>
          </cell>
          <cell r="W509" t="str">
            <v>4968988074993</v>
          </cell>
        </row>
        <row r="510">
          <cell r="A510">
            <v>2026</v>
          </cell>
          <cell r="B510">
            <v>6</v>
          </cell>
          <cell r="C510">
            <v>46198</v>
          </cell>
          <cell r="D510" t="str">
            <v>1. SKK store</v>
          </cell>
          <cell r="E510" t="str">
            <v>S1025</v>
          </cell>
          <cell r="F510" t="str">
            <v>SKK T6 Time City</v>
          </cell>
          <cell r="G510" t="str">
            <v>0906172525</v>
          </cell>
          <cell r="H510" t="str">
            <v>Mr. Masaoka</v>
          </cell>
          <cell r="I510" t="str">
            <v>Khách cũ</v>
          </cell>
          <cell r="J510" t="str">
            <v>Đơn bán</v>
          </cell>
          <cell r="K510" t="str">
            <v>SAKUKO824728</v>
          </cell>
          <cell r="L510" t="str">
            <v>THỰC PHẨM</v>
          </cell>
          <cell r="M510" t="str">
            <v>MỲ, MIẾN</v>
          </cell>
          <cell r="N510" t="str">
            <v>MỲ ĂN LIỀN</v>
          </cell>
          <cell r="O510" t="str">
            <v>154198</v>
          </cell>
          <cell r="P510" t="str">
            <v>4979397000145</v>
          </cell>
          <cell r="Q510" t="str">
            <v>YAMAMOTO_Mì ramen ăn liền vị miso 90g*5</v>
          </cell>
          <cell r="R510">
            <v>99000</v>
          </cell>
          <cell r="S510">
            <v>1</v>
          </cell>
          <cell r="T510">
            <v>99000</v>
          </cell>
          <cell r="U510">
            <v>0</v>
          </cell>
          <cell r="V510">
            <v>99000</v>
          </cell>
          <cell r="W510" t="str">
            <v>4979397000145</v>
          </cell>
        </row>
        <row r="511">
          <cell r="A511">
            <v>2026</v>
          </cell>
          <cell r="B511">
            <v>6</v>
          </cell>
          <cell r="C511">
            <v>46197</v>
          </cell>
          <cell r="D511" t="str">
            <v>1. SKK store</v>
          </cell>
          <cell r="E511" t="str">
            <v>S1004</v>
          </cell>
          <cell r="F511" t="str">
            <v>SKK  Mandarin C1</v>
          </cell>
          <cell r="G511" t="str">
            <v>02466810404</v>
          </cell>
          <cell r="H511" t="str">
            <v>klhmg</v>
          </cell>
          <cell r="I511" t="str">
            <v>Khách vãng lai</v>
          </cell>
          <cell r="J511" t="str">
            <v>Đơn bán</v>
          </cell>
          <cell r="K511" t="str">
            <v>SAKUKO822931</v>
          </cell>
          <cell r="L511" t="str">
            <v>THỰC PHẨM</v>
          </cell>
          <cell r="M511" t="str">
            <v>MỲ, MIẾN</v>
          </cell>
          <cell r="N511" t="str">
            <v>MỲ CHẾ BIẾN</v>
          </cell>
          <cell r="O511" t="str">
            <v>174948</v>
          </cell>
          <cell r="P511" t="str">
            <v>4582114354119</v>
          </cell>
          <cell r="Q511" t="str">
            <v>SANUKISHISEI- Mì soumen 300g</v>
          </cell>
          <cell r="R511">
            <v>35000</v>
          </cell>
          <cell r="S511">
            <v>1</v>
          </cell>
          <cell r="T511">
            <v>35000</v>
          </cell>
          <cell r="U511">
            <v>0</v>
          </cell>
          <cell r="V511">
            <v>35000</v>
          </cell>
          <cell r="W511" t="str">
            <v>4582114354119</v>
          </cell>
        </row>
        <row r="512">
          <cell r="A512">
            <v>2026</v>
          </cell>
          <cell r="B512">
            <v>6</v>
          </cell>
          <cell r="C512">
            <v>46197</v>
          </cell>
          <cell r="D512" t="str">
            <v>1. SKK store</v>
          </cell>
          <cell r="E512" t="str">
            <v>S1004</v>
          </cell>
          <cell r="F512" t="str">
            <v>SKK  Mandarin C1</v>
          </cell>
          <cell r="G512" t="str">
            <v>02466810404</v>
          </cell>
          <cell r="H512" t="str">
            <v>klhmg</v>
          </cell>
          <cell r="I512" t="str">
            <v>Khách vãng lai</v>
          </cell>
          <cell r="J512" t="str">
            <v>Đơn bán</v>
          </cell>
          <cell r="K512" t="str">
            <v>SAKUKO822931</v>
          </cell>
          <cell r="L512" t="str">
            <v>THỰC PHẨM</v>
          </cell>
          <cell r="M512" t="str">
            <v>MỲ, MIẾN</v>
          </cell>
          <cell r="N512" t="str">
            <v>MỲ CHẾ BIẾN</v>
          </cell>
          <cell r="O512" t="str">
            <v>175435</v>
          </cell>
          <cell r="P512" t="str">
            <v>4901726014752</v>
          </cell>
          <cell r="Q512" t="str">
            <v>ITSUKI FOODS- Mì soumen rau củ ngũ sắc320g</v>
          </cell>
          <cell r="R512">
            <v>76000</v>
          </cell>
          <cell r="S512">
            <v>1</v>
          </cell>
          <cell r="T512">
            <v>76000</v>
          </cell>
          <cell r="U512">
            <v>0</v>
          </cell>
          <cell r="V512">
            <v>76000</v>
          </cell>
          <cell r="W512" t="str">
            <v>4901726014752</v>
          </cell>
        </row>
        <row r="513">
          <cell r="A513">
            <v>2026</v>
          </cell>
          <cell r="B513">
            <v>6</v>
          </cell>
          <cell r="C513">
            <v>46197</v>
          </cell>
          <cell r="D513" t="str">
            <v>1. SKK store</v>
          </cell>
          <cell r="E513" t="str">
            <v>S1004</v>
          </cell>
          <cell r="F513" t="str">
            <v>SKK  Mandarin C1</v>
          </cell>
          <cell r="G513" t="str">
            <v>0918860662</v>
          </cell>
          <cell r="H513" t="str">
            <v>chị thu</v>
          </cell>
          <cell r="I513" t="str">
            <v>Khách cũ</v>
          </cell>
          <cell r="J513" t="str">
            <v>Đơn bán</v>
          </cell>
          <cell r="K513" t="str">
            <v>SAKUKO823457</v>
          </cell>
          <cell r="L513" t="str">
            <v>THỰC PHẨM</v>
          </cell>
          <cell r="M513" t="str">
            <v>MỲ, MIẾN</v>
          </cell>
          <cell r="N513" t="str">
            <v>MỲ CHẾ BIẾN</v>
          </cell>
          <cell r="O513" t="str">
            <v>154247</v>
          </cell>
          <cell r="P513" t="str">
            <v>4902902105004</v>
          </cell>
          <cell r="Q513" t="str">
            <v>MALONY_Miến khoai tây 500g</v>
          </cell>
          <cell r="R513">
            <v>139000</v>
          </cell>
          <cell r="S513">
            <v>1</v>
          </cell>
          <cell r="T513">
            <v>139000</v>
          </cell>
          <cell r="U513">
            <v>41700</v>
          </cell>
          <cell r="V513">
            <v>97300</v>
          </cell>
          <cell r="W513" t="str">
            <v>4902902105004</v>
          </cell>
        </row>
        <row r="514">
          <cell r="A514">
            <v>2026</v>
          </cell>
          <cell r="B514">
            <v>6</v>
          </cell>
          <cell r="C514">
            <v>46197</v>
          </cell>
          <cell r="D514" t="str">
            <v>1. SKK store</v>
          </cell>
          <cell r="E514" t="str">
            <v>S1004</v>
          </cell>
          <cell r="F514" t="str">
            <v>SKK  Mandarin C1</v>
          </cell>
          <cell r="G514" t="str">
            <v>0934525618</v>
          </cell>
          <cell r="H514" t="str">
            <v>Chị Bùi Ngọc Linh</v>
          </cell>
          <cell r="I514" t="str">
            <v>Khách cũ</v>
          </cell>
          <cell r="J514" t="str">
            <v>Đơn bán</v>
          </cell>
          <cell r="K514" t="str">
            <v>SAKUKO823763</v>
          </cell>
          <cell r="L514" t="str">
            <v>THỰC PHẨM</v>
          </cell>
          <cell r="M514" t="str">
            <v>MỲ, MIẾN</v>
          </cell>
          <cell r="N514" t="str">
            <v>MỲ ĂN LIỀN</v>
          </cell>
          <cell r="O514" t="str">
            <v>154198</v>
          </cell>
          <cell r="P514" t="str">
            <v>4979397000145</v>
          </cell>
          <cell r="Q514" t="str">
            <v>YAMAMOTO_Mì ramen ăn liền vị miso 90g*5</v>
          </cell>
          <cell r="R514">
            <v>99000</v>
          </cell>
          <cell r="S514">
            <v>1</v>
          </cell>
          <cell r="T514">
            <v>99000</v>
          </cell>
          <cell r="U514">
            <v>0</v>
          </cell>
          <cell r="V514">
            <v>99000</v>
          </cell>
          <cell r="W514" t="str">
            <v>4979397000145</v>
          </cell>
        </row>
        <row r="515">
          <cell r="A515">
            <v>2026</v>
          </cell>
          <cell r="B515">
            <v>6</v>
          </cell>
          <cell r="C515">
            <v>46197</v>
          </cell>
          <cell r="D515" t="str">
            <v>1. SKK store</v>
          </cell>
          <cell r="E515" t="str">
            <v>S1004</v>
          </cell>
          <cell r="F515" t="str">
            <v>SKK  Mandarin C1</v>
          </cell>
          <cell r="G515" t="str">
            <v>0986869668</v>
          </cell>
          <cell r="H515" t="str">
            <v>C Liên 1807d2</v>
          </cell>
          <cell r="I515" t="str">
            <v>Khách cũ</v>
          </cell>
          <cell r="J515" t="str">
            <v>Đơn bán</v>
          </cell>
          <cell r="K515" t="str">
            <v>SAKUKO822854</v>
          </cell>
          <cell r="L515" t="str">
            <v>THỰC PHẨM</v>
          </cell>
          <cell r="M515" t="str">
            <v>MỲ, MIẾN</v>
          </cell>
          <cell r="N515" t="str">
            <v>MỲ ĂN LIỀN</v>
          </cell>
          <cell r="O515" t="str">
            <v>154198</v>
          </cell>
          <cell r="P515" t="str">
            <v>4979397000145</v>
          </cell>
          <cell r="Q515" t="str">
            <v>YAMAMOTO_Mì ramen ăn liền vị miso 90g*5</v>
          </cell>
          <cell r="R515">
            <v>99000</v>
          </cell>
          <cell r="S515">
            <v>1</v>
          </cell>
          <cell r="T515">
            <v>99000</v>
          </cell>
          <cell r="U515">
            <v>0</v>
          </cell>
          <cell r="V515">
            <v>99000</v>
          </cell>
          <cell r="W515" t="str">
            <v>4979397000145</v>
          </cell>
        </row>
        <row r="516">
          <cell r="A516">
            <v>2026</v>
          </cell>
          <cell r="B516">
            <v>6</v>
          </cell>
          <cell r="C516">
            <v>46197</v>
          </cell>
          <cell r="D516" t="str">
            <v>1. SKK store</v>
          </cell>
          <cell r="E516" t="str">
            <v>S1004</v>
          </cell>
          <cell r="F516" t="str">
            <v>SKK  Mandarin C1</v>
          </cell>
          <cell r="G516" t="str">
            <v>0986869668</v>
          </cell>
          <cell r="H516" t="str">
            <v>C Liên 1807d2</v>
          </cell>
          <cell r="I516" t="str">
            <v>Khách cũ</v>
          </cell>
          <cell r="J516" t="str">
            <v>Đơn bán</v>
          </cell>
          <cell r="K516" t="str">
            <v>SAKUKO822854</v>
          </cell>
          <cell r="L516" t="str">
            <v>THỰC PHẨM</v>
          </cell>
          <cell r="M516" t="str">
            <v>MỲ, MIẾN</v>
          </cell>
          <cell r="N516" t="str">
            <v>MỲ ĂN LIỀN</v>
          </cell>
          <cell r="O516" t="str">
            <v>154359</v>
          </cell>
          <cell r="P516" t="str">
            <v>4979397000138</v>
          </cell>
          <cell r="Q516" t="str">
            <v>YAMAMOTO- Mì ramen ăn liền hải sản thịt heo 88g*5</v>
          </cell>
          <cell r="R516">
            <v>99000</v>
          </cell>
          <cell r="S516">
            <v>1</v>
          </cell>
          <cell r="T516">
            <v>99000</v>
          </cell>
          <cell r="U516">
            <v>0</v>
          </cell>
          <cell r="V516">
            <v>99000</v>
          </cell>
          <cell r="W516" t="str">
            <v>4979397000138</v>
          </cell>
        </row>
        <row r="517">
          <cell r="A517">
            <v>2026</v>
          </cell>
          <cell r="B517">
            <v>6</v>
          </cell>
          <cell r="C517">
            <v>46197</v>
          </cell>
          <cell r="D517" t="str">
            <v>1. SKK store</v>
          </cell>
          <cell r="E517" t="str">
            <v>S1005</v>
          </cell>
          <cell r="F517" t="str">
            <v>SKK  Thái Hà</v>
          </cell>
          <cell r="G517" t="str">
            <v>0354928796</v>
          </cell>
          <cell r="H517" t="str">
            <v>Hoàn Nguyễn</v>
          </cell>
          <cell r="I517" t="str">
            <v>Khách cũ</v>
          </cell>
          <cell r="J517" t="str">
            <v>Đơn bán</v>
          </cell>
          <cell r="K517" t="str">
            <v>SAKUKO823543</v>
          </cell>
          <cell r="L517" t="str">
            <v>THỰC PHẨM</v>
          </cell>
          <cell r="M517" t="str">
            <v>BÁNH KẸO, ĐỒ ĂN VẶT</v>
          </cell>
          <cell r="N517" t="str">
            <v>KẸO CAO SU</v>
          </cell>
          <cell r="O517" t="str">
            <v>231377</v>
          </cell>
          <cell r="P517" t="str">
            <v>4903333200375</v>
          </cell>
          <cell r="Q517" t="str">
            <v>LOTTE-Kẹo cao su tổng hợp dạng lọ 114g</v>
          </cell>
          <cell r="R517">
            <v>235000</v>
          </cell>
          <cell r="S517">
            <v>1</v>
          </cell>
          <cell r="T517">
            <v>235000</v>
          </cell>
          <cell r="U517">
            <v>0</v>
          </cell>
          <cell r="V517">
            <v>235000</v>
          </cell>
          <cell r="W517" t="str">
            <v>4903333200375</v>
          </cell>
        </row>
        <row r="518">
          <cell r="A518">
            <v>2026</v>
          </cell>
          <cell r="B518">
            <v>6</v>
          </cell>
          <cell r="C518">
            <v>46197</v>
          </cell>
          <cell r="D518" t="str">
            <v>1. SKK store</v>
          </cell>
          <cell r="E518" t="str">
            <v>S1005</v>
          </cell>
          <cell r="F518" t="str">
            <v>SKK  Thái Hà</v>
          </cell>
          <cell r="G518" t="str">
            <v>0936962767</v>
          </cell>
          <cell r="H518" t="str">
            <v>Cô Dương Thị Oanh</v>
          </cell>
          <cell r="I518" t="str">
            <v>Khách cũ</v>
          </cell>
          <cell r="J518" t="str">
            <v>Đơn bán</v>
          </cell>
          <cell r="K518" t="str">
            <v>SAKUKO823657</v>
          </cell>
          <cell r="L518" t="str">
            <v>THỰC PHẨM</v>
          </cell>
          <cell r="M518" t="str">
            <v>MỲ, MIẾN</v>
          </cell>
          <cell r="N518" t="str">
            <v>MỲ CHẾ BIẾN</v>
          </cell>
          <cell r="O518" t="str">
            <v>175435</v>
          </cell>
          <cell r="P518" t="str">
            <v>4901726014752</v>
          </cell>
          <cell r="Q518" t="str">
            <v>ITSUKI FOODS- Mì soumen rau củ ngũ sắc320g</v>
          </cell>
          <cell r="R518">
            <v>76000</v>
          </cell>
          <cell r="S518">
            <v>2</v>
          </cell>
          <cell r="T518">
            <v>152000</v>
          </cell>
          <cell r="U518">
            <v>0</v>
          </cell>
          <cell r="V518">
            <v>152000</v>
          </cell>
          <cell r="W518" t="str">
            <v>4901726014752</v>
          </cell>
        </row>
        <row r="519">
          <cell r="A519">
            <v>2026</v>
          </cell>
          <cell r="B519">
            <v>6</v>
          </cell>
          <cell r="C519">
            <v>46197</v>
          </cell>
          <cell r="D519" t="str">
            <v>1. SKK store</v>
          </cell>
          <cell r="E519" t="str">
            <v>S1005</v>
          </cell>
          <cell r="F519" t="str">
            <v>SKK  Thái Hà</v>
          </cell>
          <cell r="G519" t="str">
            <v>0967428273</v>
          </cell>
          <cell r="H519" t="str">
            <v>a Hùng</v>
          </cell>
          <cell r="I519" t="str">
            <v>Khách cũ</v>
          </cell>
          <cell r="J519" t="str">
            <v>Đơn bán</v>
          </cell>
          <cell r="K519" t="str">
            <v>SAKUKO822913</v>
          </cell>
          <cell r="L519" t="str">
            <v>THỰC PHẨM</v>
          </cell>
          <cell r="M519" t="str">
            <v>BÁNH KẸO, ĐỒ ĂN VẶT</v>
          </cell>
          <cell r="N519" t="str">
            <v>KẸO CAO SU</v>
          </cell>
          <cell r="O519" t="str">
            <v>154653</v>
          </cell>
          <cell r="P519" t="str">
            <v>4547894156650</v>
          </cell>
          <cell r="Q519" t="str">
            <v>MONDELEZ JAPAN - Kẹo cao su vị bưởi hồng 130g</v>
          </cell>
          <cell r="R519">
            <v>235000</v>
          </cell>
          <cell r="S519">
            <v>1</v>
          </cell>
          <cell r="T519">
            <v>235000</v>
          </cell>
          <cell r="U519">
            <v>0</v>
          </cell>
          <cell r="V519">
            <v>235000</v>
          </cell>
          <cell r="W519" t="str">
            <v>4547894156650</v>
          </cell>
        </row>
        <row r="520">
          <cell r="A520">
            <v>2026</v>
          </cell>
          <cell r="B520">
            <v>6</v>
          </cell>
          <cell r="C520">
            <v>46197</v>
          </cell>
          <cell r="D520" t="str">
            <v>1. SKK store</v>
          </cell>
          <cell r="E520" t="str">
            <v>S1006</v>
          </cell>
          <cell r="F520" t="str">
            <v>SKK Trần Đăng Ninh</v>
          </cell>
          <cell r="G520" t="str">
            <v>0913876688</v>
          </cell>
          <cell r="H520" t="str">
            <v>chị phương</v>
          </cell>
          <cell r="I520" t="str">
            <v>Khách cũ</v>
          </cell>
          <cell r="J520" t="str">
            <v>Đơn bán</v>
          </cell>
          <cell r="K520" t="str">
            <v>SAKUKO823590</v>
          </cell>
          <cell r="L520" t="str">
            <v>CHĂM SÓC SẮC ĐẸP</v>
          </cell>
          <cell r="M520" t="str">
            <v>CHĂM SÓC DA</v>
          </cell>
          <cell r="N520" t="str">
            <v>KEM DƯỠNG</v>
          </cell>
          <cell r="O520" t="str">
            <v>102384</v>
          </cell>
          <cell r="P520" t="str">
            <v>4902468820014</v>
          </cell>
          <cell r="Q520" t="str">
            <v>MEISHOKU- Kem gel dưỡng ẩm phục hồi chuyên sâu 50g</v>
          </cell>
          <cell r="R520">
            <v>575000</v>
          </cell>
          <cell r="S520">
            <v>1</v>
          </cell>
          <cell r="T520">
            <v>575000</v>
          </cell>
          <cell r="U520">
            <v>46000</v>
          </cell>
          <cell r="V520">
            <v>529000</v>
          </cell>
          <cell r="W520" t="str">
            <v>4902468820014</v>
          </cell>
        </row>
        <row r="521">
          <cell r="A521">
            <v>2026</v>
          </cell>
          <cell r="B521">
            <v>6</v>
          </cell>
          <cell r="C521">
            <v>46197</v>
          </cell>
          <cell r="D521" t="str">
            <v>1. SKK store</v>
          </cell>
          <cell r="E521" t="str">
            <v>S1007</v>
          </cell>
          <cell r="F521" t="str">
            <v>SKK  Nguyễn Du</v>
          </cell>
          <cell r="G521" t="str">
            <v>0349101974</v>
          </cell>
          <cell r="H521" t="str">
            <v>Chú Thanh</v>
          </cell>
          <cell r="I521" t="str">
            <v>Khách cũ</v>
          </cell>
          <cell r="J521" t="str">
            <v>Đơn bán</v>
          </cell>
          <cell r="K521" t="str">
            <v>SAKUKO822813</v>
          </cell>
          <cell r="L521" t="str">
            <v>THỰC PHẨM</v>
          </cell>
          <cell r="M521" t="str">
            <v>MỲ, MIẾN</v>
          </cell>
          <cell r="N521" t="str">
            <v>MỲ ĂN LIỀN</v>
          </cell>
          <cell r="O521" t="str">
            <v>154359</v>
          </cell>
          <cell r="P521" t="str">
            <v>4979397000138</v>
          </cell>
          <cell r="Q521" t="str">
            <v>YAMAMOTO- Mì ramen ăn liền hải sản thịt heo 88g*5</v>
          </cell>
          <cell r="R521">
            <v>99000</v>
          </cell>
          <cell r="S521">
            <v>1</v>
          </cell>
          <cell r="T521">
            <v>99000</v>
          </cell>
          <cell r="U521">
            <v>0</v>
          </cell>
          <cell r="V521">
            <v>99000</v>
          </cell>
          <cell r="W521" t="str">
            <v>4979397000138</v>
          </cell>
        </row>
        <row r="522">
          <cell r="A522">
            <v>2026</v>
          </cell>
          <cell r="B522">
            <v>6</v>
          </cell>
          <cell r="C522">
            <v>46197</v>
          </cell>
          <cell r="D522" t="str">
            <v>1. SKK store</v>
          </cell>
          <cell r="E522" t="str">
            <v>S1007</v>
          </cell>
          <cell r="F522" t="str">
            <v>SKK  Nguyễn Du</v>
          </cell>
          <cell r="G522" t="str">
            <v>0934459906</v>
          </cell>
          <cell r="H522" t="str">
            <v>chị mai vân anh</v>
          </cell>
          <cell r="I522" t="str">
            <v>Khách cũ</v>
          </cell>
          <cell r="J522" t="str">
            <v>Đơn bán</v>
          </cell>
          <cell r="K522" t="str">
            <v>SAKUKO822784</v>
          </cell>
          <cell r="L522" t="str">
            <v>THỰC PHẨM</v>
          </cell>
          <cell r="M522" t="str">
            <v>MỲ, MIẾN</v>
          </cell>
          <cell r="N522" t="str">
            <v>MỲ ĂN LIỀN</v>
          </cell>
          <cell r="O522" t="str">
            <v>154359</v>
          </cell>
          <cell r="P522" t="str">
            <v>4979397000138</v>
          </cell>
          <cell r="Q522" t="str">
            <v>YAMAMOTO- Mì ramen ăn liền hải sản thịt heo 88g*5</v>
          </cell>
          <cell r="R522">
            <v>99000</v>
          </cell>
          <cell r="S522">
            <v>1</v>
          </cell>
          <cell r="T522">
            <v>99000</v>
          </cell>
          <cell r="U522">
            <v>0</v>
          </cell>
          <cell r="V522">
            <v>99000</v>
          </cell>
          <cell r="W522" t="str">
            <v>4979397000138</v>
          </cell>
        </row>
        <row r="523">
          <cell r="A523">
            <v>2026</v>
          </cell>
          <cell r="B523">
            <v>6</v>
          </cell>
          <cell r="C523">
            <v>46197</v>
          </cell>
          <cell r="D523" t="str">
            <v>1. SKK store</v>
          </cell>
          <cell r="E523" t="str">
            <v>S1008</v>
          </cell>
          <cell r="F523" t="str">
            <v>SKK  Hàng Bông</v>
          </cell>
          <cell r="G523" t="str">
            <v>0903418987</v>
          </cell>
          <cell r="H523" t="str">
            <v>anh đức</v>
          </cell>
          <cell r="I523" t="str">
            <v>Khách cũ</v>
          </cell>
          <cell r="J523" t="str">
            <v>Đơn bán</v>
          </cell>
          <cell r="K523" t="str">
            <v>SAKUKO823691</v>
          </cell>
          <cell r="L523" t="str">
            <v>CHĂM SÓC SẮC ĐẸP</v>
          </cell>
          <cell r="M523" t="str">
            <v>CHĂM SÓC DA</v>
          </cell>
          <cell r="N523" t="str">
            <v>RỬA MẶT</v>
          </cell>
          <cell r="O523" t="str">
            <v>230849</v>
          </cell>
          <cell r="P523" t="str">
            <v>4902806102048</v>
          </cell>
          <cell r="Q523" t="str">
            <v>GATSBY- SRM than hoạt tính sạch sâu 130g</v>
          </cell>
          <cell r="R523">
            <v>125000</v>
          </cell>
          <cell r="S523">
            <v>1</v>
          </cell>
          <cell r="T523">
            <v>125000</v>
          </cell>
          <cell r="U523">
            <v>12500</v>
          </cell>
          <cell r="V523">
            <v>112500</v>
          </cell>
          <cell r="W523" t="str">
            <v>4902806102048</v>
          </cell>
        </row>
        <row r="524">
          <cell r="A524">
            <v>2026</v>
          </cell>
          <cell r="B524">
            <v>6</v>
          </cell>
          <cell r="C524">
            <v>46197</v>
          </cell>
          <cell r="D524" t="str">
            <v>1. SKK store</v>
          </cell>
          <cell r="E524" t="str">
            <v>S1008</v>
          </cell>
          <cell r="F524" t="str">
            <v>SKK  Hàng Bông</v>
          </cell>
          <cell r="G524" t="str">
            <v>0977879362</v>
          </cell>
          <cell r="H524" t="str">
            <v>Chị Hiền</v>
          </cell>
          <cell r="I524" t="str">
            <v>Khách mới</v>
          </cell>
          <cell r="J524" t="str">
            <v>Đơn bán</v>
          </cell>
          <cell r="K524" t="str">
            <v>SAKUKO823383</v>
          </cell>
          <cell r="L524" t="str">
            <v>CHĂM SÓC SẮC ĐẸP</v>
          </cell>
          <cell r="M524" t="str">
            <v>CHĂM SÓC DA</v>
          </cell>
          <cell r="N524" t="str">
            <v>RỬA MẶT</v>
          </cell>
          <cell r="O524" t="str">
            <v>230269</v>
          </cell>
          <cell r="P524" t="str">
            <v>4987241173242</v>
          </cell>
          <cell r="Q524" t="str">
            <v>ROHTO- SRM Melano CC mờ thâm nám (130g)</v>
          </cell>
          <cell r="R524">
            <v>294000</v>
          </cell>
          <cell r="S524">
            <v>1</v>
          </cell>
          <cell r="T524">
            <v>294000</v>
          </cell>
          <cell r="U524">
            <v>117600</v>
          </cell>
          <cell r="V524">
            <v>176400</v>
          </cell>
          <cell r="W524" t="str">
            <v>4987241173242</v>
          </cell>
        </row>
        <row r="525">
          <cell r="A525">
            <v>2026</v>
          </cell>
          <cell r="B525">
            <v>6</v>
          </cell>
          <cell r="C525">
            <v>46197</v>
          </cell>
          <cell r="D525" t="str">
            <v>1. SKK store</v>
          </cell>
          <cell r="E525" t="str">
            <v>S1008</v>
          </cell>
          <cell r="F525" t="str">
            <v>SKK  Hàng Bông</v>
          </cell>
          <cell r="G525" t="str">
            <v>0983200299</v>
          </cell>
          <cell r="H525" t="str">
            <v>anh Lã Duy Quang</v>
          </cell>
          <cell r="I525" t="str">
            <v>Khách cũ</v>
          </cell>
          <cell r="J525" t="str">
            <v>Đơn bán</v>
          </cell>
          <cell r="K525" t="str">
            <v>SAKUKO823300</v>
          </cell>
          <cell r="L525" t="str">
            <v>CHĂM SÓC SẮC ĐẸP</v>
          </cell>
          <cell r="M525" t="str">
            <v>CHĂM SÓC DA</v>
          </cell>
          <cell r="N525" t="str">
            <v>RỬA MẶT</v>
          </cell>
          <cell r="O525" t="str">
            <v>102448</v>
          </cell>
          <cell r="P525" t="str">
            <v>4902806470642</v>
          </cell>
          <cell r="Q525" t="str">
            <v>GATSBY- SRM sạch bụi &amp; dầu nhờn 130g</v>
          </cell>
          <cell r="R525">
            <v>100000</v>
          </cell>
          <cell r="S525">
            <v>1</v>
          </cell>
          <cell r="T525">
            <v>100000</v>
          </cell>
          <cell r="U525">
            <v>10000</v>
          </cell>
          <cell r="V525">
            <v>90000</v>
          </cell>
          <cell r="W525" t="str">
            <v>4902806470642</v>
          </cell>
        </row>
        <row r="526">
          <cell r="A526">
            <v>2026</v>
          </cell>
          <cell r="B526">
            <v>6</v>
          </cell>
          <cell r="C526">
            <v>46197</v>
          </cell>
          <cell r="D526" t="str">
            <v>1. SKK store</v>
          </cell>
          <cell r="E526" t="str">
            <v>S1015</v>
          </cell>
          <cell r="F526" t="str">
            <v>SKK Hàm Nghi</v>
          </cell>
          <cell r="G526" t="str">
            <v>02422409595</v>
          </cell>
          <cell r="H526" t="str">
            <v>klhn</v>
          </cell>
          <cell r="I526" t="str">
            <v>Khách vãng lai</v>
          </cell>
          <cell r="J526" t="str">
            <v>Đơn bán</v>
          </cell>
          <cell r="K526" t="str">
            <v>SAKUKO823642</v>
          </cell>
          <cell r="L526" t="str">
            <v>THỰC PHẨM</v>
          </cell>
          <cell r="M526" t="str">
            <v>BÁNH KẸO, ĐỒ ĂN VẶT</v>
          </cell>
          <cell r="N526" t="str">
            <v>KẸO CAO SU</v>
          </cell>
          <cell r="O526" t="str">
            <v>231376</v>
          </cell>
          <cell r="P526" t="str">
            <v>4903333228577</v>
          </cell>
          <cell r="Q526" t="str">
            <v>LOTTE-Kẹo cao su tổng hợp 7 loại dạng lọ 133g</v>
          </cell>
          <cell r="R526">
            <v>235000</v>
          </cell>
          <cell r="S526">
            <v>1</v>
          </cell>
          <cell r="T526">
            <v>235000</v>
          </cell>
          <cell r="U526">
            <v>0</v>
          </cell>
          <cell r="V526">
            <v>235000</v>
          </cell>
          <cell r="W526" t="str">
            <v>4903333228577</v>
          </cell>
        </row>
        <row r="527">
          <cell r="A527">
            <v>2026</v>
          </cell>
          <cell r="B527">
            <v>6</v>
          </cell>
          <cell r="C527">
            <v>46197</v>
          </cell>
          <cell r="D527" t="str">
            <v>1. SKK store</v>
          </cell>
          <cell r="E527" t="str">
            <v>S1015</v>
          </cell>
          <cell r="F527" t="str">
            <v>SKK Hàm Nghi</v>
          </cell>
          <cell r="G527" t="str">
            <v>02422409595</v>
          </cell>
          <cell r="H527" t="str">
            <v>klhn</v>
          </cell>
          <cell r="I527" t="str">
            <v>Khách vãng lai</v>
          </cell>
          <cell r="J527" t="str">
            <v>Đơn bán</v>
          </cell>
          <cell r="K527" t="str">
            <v>SAKUKO823642</v>
          </cell>
          <cell r="L527" t="str">
            <v>THỰC PHẨM</v>
          </cell>
          <cell r="M527" t="str">
            <v>BÁNH KẸO, ĐỒ ĂN VẶT</v>
          </cell>
          <cell r="N527" t="str">
            <v>KẸO CAO SU</v>
          </cell>
          <cell r="O527" t="str">
            <v>231377</v>
          </cell>
          <cell r="P527" t="str">
            <v>4903333200375</v>
          </cell>
          <cell r="Q527" t="str">
            <v>LOTTE-Kẹo cao su tổng hợp dạng lọ 114g</v>
          </cell>
          <cell r="R527">
            <v>235000</v>
          </cell>
          <cell r="S527">
            <v>1</v>
          </cell>
          <cell r="T527">
            <v>235000</v>
          </cell>
          <cell r="U527">
            <v>0</v>
          </cell>
          <cell r="V527">
            <v>235000</v>
          </cell>
          <cell r="W527" t="str">
            <v>4903333200375</v>
          </cell>
        </row>
        <row r="528">
          <cell r="A528">
            <v>2026</v>
          </cell>
          <cell r="B528">
            <v>6</v>
          </cell>
          <cell r="C528">
            <v>46197</v>
          </cell>
          <cell r="D528" t="str">
            <v>1. SKK store</v>
          </cell>
          <cell r="E528" t="str">
            <v>S1018</v>
          </cell>
          <cell r="F528" t="str">
            <v>SKK Nguyễn Tuân</v>
          </cell>
          <cell r="G528" t="str">
            <v>0913034500</v>
          </cell>
          <cell r="H528" t="str">
            <v>Chị Minh</v>
          </cell>
          <cell r="I528" t="str">
            <v>Khách cũ</v>
          </cell>
          <cell r="J528" t="str">
            <v>Đơn bán</v>
          </cell>
          <cell r="K528" t="str">
            <v>SAKUKO823387</v>
          </cell>
          <cell r="L528" t="str">
            <v>THỰC PHẨM</v>
          </cell>
          <cell r="M528" t="str">
            <v>MỲ, MIẾN</v>
          </cell>
          <cell r="N528" t="str">
            <v>MỲ ĂN LIỀN</v>
          </cell>
          <cell r="O528" t="str">
            <v>154196</v>
          </cell>
          <cell r="P528" t="str">
            <v>4979397000152</v>
          </cell>
          <cell r="Q528" t="str">
            <v>YAMAMOTO_Mì xào kiểu Nhật 89g*5</v>
          </cell>
          <cell r="R528">
            <v>99000</v>
          </cell>
          <cell r="S528">
            <v>1</v>
          </cell>
          <cell r="T528">
            <v>99000</v>
          </cell>
          <cell r="U528">
            <v>0</v>
          </cell>
          <cell r="V528">
            <v>99000</v>
          </cell>
          <cell r="W528" t="str">
            <v>4979397000152</v>
          </cell>
        </row>
        <row r="529">
          <cell r="A529">
            <v>2026</v>
          </cell>
          <cell r="B529">
            <v>6</v>
          </cell>
          <cell r="C529">
            <v>46197</v>
          </cell>
          <cell r="D529" t="str">
            <v>1. SKK store</v>
          </cell>
          <cell r="E529" t="str">
            <v>S1018</v>
          </cell>
          <cell r="F529" t="str">
            <v>SKK Nguyễn Tuân</v>
          </cell>
          <cell r="G529" t="str">
            <v>0913209446</v>
          </cell>
          <cell r="H529" t="str">
            <v>chú bình</v>
          </cell>
          <cell r="I529" t="str">
            <v>Khách cũ</v>
          </cell>
          <cell r="J529" t="str">
            <v>Đơn bán</v>
          </cell>
          <cell r="K529" t="str">
            <v>SAKUKO823479</v>
          </cell>
          <cell r="L529" t="str">
            <v>ĐỒ CHO MẸ BÉ</v>
          </cell>
          <cell r="M529" t="str">
            <v>GIẤY ƯỚT</v>
          </cell>
          <cell r="N529" t="str">
            <v>GIẤY ƯỚT CHO BÉ</v>
          </cell>
          <cell r="O529" t="str">
            <v>121677</v>
          </cell>
          <cell r="P529" t="str">
            <v>8801260608836</v>
          </cell>
          <cell r="Q529" t="str">
            <v>KLEANNARA- Khăn ướt 5 tinh chất (có nắp) 100 tờ</v>
          </cell>
          <cell r="R529">
            <v>52000</v>
          </cell>
          <cell r="S529">
            <v>1</v>
          </cell>
          <cell r="T529">
            <v>52000</v>
          </cell>
          <cell r="U529">
            <v>0</v>
          </cell>
          <cell r="V529">
            <v>52000</v>
          </cell>
          <cell r="W529" t="str">
            <v>8801260608836</v>
          </cell>
        </row>
        <row r="530">
          <cell r="A530">
            <v>2026</v>
          </cell>
          <cell r="B530">
            <v>6</v>
          </cell>
          <cell r="C530">
            <v>46197</v>
          </cell>
          <cell r="D530" t="str">
            <v>1. SKK store</v>
          </cell>
          <cell r="E530" t="str">
            <v>S1025</v>
          </cell>
          <cell r="F530" t="str">
            <v>SKK T6 Time City</v>
          </cell>
          <cell r="G530" t="str">
            <v>0965681877</v>
          </cell>
          <cell r="H530" t="str">
            <v>c thảo</v>
          </cell>
          <cell r="I530" t="str">
            <v>Khách cũ</v>
          </cell>
          <cell r="J530" t="str">
            <v>Đơn bán</v>
          </cell>
          <cell r="K530" t="str">
            <v>SAKUKO822727</v>
          </cell>
          <cell r="L530" t="str">
            <v>THỰC PHẨM</v>
          </cell>
          <cell r="M530" t="str">
            <v>MỲ, MIẾN</v>
          </cell>
          <cell r="N530" t="str">
            <v>MỲ ĂN LIỀN</v>
          </cell>
          <cell r="O530" t="str">
            <v>154198</v>
          </cell>
          <cell r="P530" t="str">
            <v>4979397000145</v>
          </cell>
          <cell r="Q530" t="str">
            <v>YAMAMOTO_Mì ramen ăn liền vị miso 90g*5</v>
          </cell>
          <cell r="R530">
            <v>99000</v>
          </cell>
          <cell r="S530">
            <v>1</v>
          </cell>
          <cell r="T530">
            <v>99000</v>
          </cell>
          <cell r="U530">
            <v>0</v>
          </cell>
          <cell r="V530">
            <v>99000</v>
          </cell>
          <cell r="W530" t="str">
            <v>4979397000145</v>
          </cell>
        </row>
        <row r="531">
          <cell r="A531">
            <v>2026</v>
          </cell>
          <cell r="B531">
            <v>6</v>
          </cell>
          <cell r="C531">
            <v>46196</v>
          </cell>
          <cell r="D531" t="str">
            <v>1. SKK store</v>
          </cell>
          <cell r="E531" t="str">
            <v>S1004</v>
          </cell>
          <cell r="F531" t="str">
            <v>SKK  Mandarin C1</v>
          </cell>
          <cell r="G531" t="str">
            <v>0912610758</v>
          </cell>
          <cell r="H531" t="str">
            <v>Chú Trần Hoàng Khánh</v>
          </cell>
          <cell r="I531" t="str">
            <v>Khách cũ</v>
          </cell>
          <cell r="J531" t="str">
            <v>Đơn bán</v>
          </cell>
          <cell r="K531" t="str">
            <v>SAKUKO822438</v>
          </cell>
          <cell r="L531" t="str">
            <v>THỰC PHẨM</v>
          </cell>
          <cell r="M531" t="str">
            <v>MỲ, MIẾN</v>
          </cell>
          <cell r="N531" t="str">
            <v>MỲ ĂN LIỀN</v>
          </cell>
          <cell r="O531" t="str">
            <v>154359</v>
          </cell>
          <cell r="P531" t="str">
            <v>4979397000138</v>
          </cell>
          <cell r="Q531" t="str">
            <v>YAMAMOTO- Mì ramen ăn liền hải sản thịt heo 88g*5</v>
          </cell>
          <cell r="R531">
            <v>99000</v>
          </cell>
          <cell r="S531">
            <v>1</v>
          </cell>
          <cell r="T531">
            <v>99000</v>
          </cell>
          <cell r="U531">
            <v>0</v>
          </cell>
          <cell r="V531">
            <v>99000</v>
          </cell>
          <cell r="W531" t="str">
            <v>4979397000138</v>
          </cell>
        </row>
        <row r="532">
          <cell r="A532">
            <v>2026</v>
          </cell>
          <cell r="B532">
            <v>6</v>
          </cell>
          <cell r="C532">
            <v>46196</v>
          </cell>
          <cell r="D532" t="str">
            <v>1. SKK store</v>
          </cell>
          <cell r="E532" t="str">
            <v>S1005</v>
          </cell>
          <cell r="F532" t="str">
            <v>SKK  Thái Hà</v>
          </cell>
          <cell r="G532" t="str">
            <v>0328752772</v>
          </cell>
          <cell r="H532" t="str">
            <v>chị giang</v>
          </cell>
          <cell r="I532" t="str">
            <v>Khách cũ</v>
          </cell>
          <cell r="J532" t="str">
            <v>Đơn bán</v>
          </cell>
          <cell r="K532" t="str">
            <v>SAKUKO822256</v>
          </cell>
          <cell r="L532" t="str">
            <v>THỰC PHẨM</v>
          </cell>
          <cell r="M532" t="str">
            <v>MỲ, MIẾN</v>
          </cell>
          <cell r="N532" t="str">
            <v>MỲ ĂN LIỀN</v>
          </cell>
          <cell r="O532" t="str">
            <v>154198</v>
          </cell>
          <cell r="P532" t="str">
            <v>4979397000145</v>
          </cell>
          <cell r="Q532" t="str">
            <v>YAMAMOTO_Mì ramen ăn liền vị miso 90g*5</v>
          </cell>
          <cell r="R532">
            <v>99000</v>
          </cell>
          <cell r="S532">
            <v>1</v>
          </cell>
          <cell r="T532">
            <v>99000</v>
          </cell>
          <cell r="U532">
            <v>0</v>
          </cell>
          <cell r="V532">
            <v>99000</v>
          </cell>
          <cell r="W532" t="str">
            <v>4979397000145</v>
          </cell>
        </row>
        <row r="533">
          <cell r="A533">
            <v>2026</v>
          </cell>
          <cell r="B533">
            <v>6</v>
          </cell>
          <cell r="C533">
            <v>46196</v>
          </cell>
          <cell r="D533" t="str">
            <v>1. SKK store</v>
          </cell>
          <cell r="E533" t="str">
            <v>S1005</v>
          </cell>
          <cell r="F533" t="str">
            <v>SKK  Thái Hà</v>
          </cell>
          <cell r="G533" t="str">
            <v>0916326928</v>
          </cell>
          <cell r="H533" t="str">
            <v>anh dương</v>
          </cell>
          <cell r="I533" t="str">
            <v>Khách cũ</v>
          </cell>
          <cell r="J533" t="str">
            <v>Đơn bán</v>
          </cell>
          <cell r="K533" t="str">
            <v>SAKUKO822200</v>
          </cell>
          <cell r="L533" t="str">
            <v>THỰC PHẨM</v>
          </cell>
          <cell r="M533" t="str">
            <v>MỲ, MIẾN</v>
          </cell>
          <cell r="N533" t="str">
            <v>MỲ ĂN LIỀN</v>
          </cell>
          <cell r="O533" t="str">
            <v>154359</v>
          </cell>
          <cell r="P533" t="str">
            <v>4979397000138</v>
          </cell>
          <cell r="Q533" t="str">
            <v>YAMAMOTO- Mì ramen ăn liền hải sản thịt heo 88g*5</v>
          </cell>
          <cell r="R533">
            <v>99000</v>
          </cell>
          <cell r="S533">
            <v>1</v>
          </cell>
          <cell r="T533">
            <v>99000</v>
          </cell>
          <cell r="U533">
            <v>0</v>
          </cell>
          <cell r="V533">
            <v>99000</v>
          </cell>
          <cell r="W533" t="str">
            <v>4979397000138</v>
          </cell>
        </row>
        <row r="534">
          <cell r="A534">
            <v>2026</v>
          </cell>
          <cell r="B534">
            <v>6</v>
          </cell>
          <cell r="C534">
            <v>46196</v>
          </cell>
          <cell r="D534" t="str">
            <v>1. SKK store</v>
          </cell>
          <cell r="E534" t="str">
            <v>S1006</v>
          </cell>
          <cell r="F534" t="str">
            <v>SKK Trần Đăng Ninh</v>
          </cell>
          <cell r="G534" t="str">
            <v>0913307168</v>
          </cell>
          <cell r="H534" t="str">
            <v>Cô Nguyễn Thị Hồng Mai</v>
          </cell>
          <cell r="I534" t="str">
            <v>Khách cũ</v>
          </cell>
          <cell r="J534" t="str">
            <v>Đơn bán</v>
          </cell>
          <cell r="K534" t="str">
            <v>SAKUKO821610</v>
          </cell>
          <cell r="L534" t="str">
            <v>CHĂM SÓC SẮC ĐẸP</v>
          </cell>
          <cell r="M534" t="str">
            <v>CHĂM SÓC DA</v>
          </cell>
          <cell r="N534" t="str">
            <v>KEM DƯỠNG</v>
          </cell>
          <cell r="O534" t="str">
            <v>102384</v>
          </cell>
          <cell r="P534" t="str">
            <v>4902468820014</v>
          </cell>
          <cell r="Q534" t="str">
            <v>MEISHOKU- Kem gel dưỡng ẩm phục hồi chuyên sâu 50g</v>
          </cell>
          <cell r="R534">
            <v>575000</v>
          </cell>
          <cell r="S534">
            <v>1</v>
          </cell>
          <cell r="T534">
            <v>575000</v>
          </cell>
          <cell r="U534">
            <v>46000</v>
          </cell>
          <cell r="V534">
            <v>529000</v>
          </cell>
          <cell r="W534" t="str">
            <v>4902468820014</v>
          </cell>
        </row>
        <row r="535">
          <cell r="A535">
            <v>2026</v>
          </cell>
          <cell r="B535">
            <v>6</v>
          </cell>
          <cell r="C535">
            <v>46196</v>
          </cell>
          <cell r="D535" t="str">
            <v>1. SKK store</v>
          </cell>
          <cell r="E535" t="str">
            <v>S1007</v>
          </cell>
          <cell r="F535" t="str">
            <v>SKK  Nguyễn Du</v>
          </cell>
          <cell r="G535" t="str">
            <v>0862954339</v>
          </cell>
          <cell r="H535" t="str">
            <v>Klnd</v>
          </cell>
          <cell r="I535" t="str">
            <v>Khách vãng lai</v>
          </cell>
          <cell r="J535" t="str">
            <v>Đơn bán</v>
          </cell>
          <cell r="K535" t="str">
            <v>SAKUKO821986</v>
          </cell>
          <cell r="L535" t="str">
            <v>ĐỒ CHO MẸ BÉ</v>
          </cell>
          <cell r="M535" t="str">
            <v>GIẤY ƯỚT</v>
          </cell>
          <cell r="N535" t="str">
            <v>GIẤY ƯỚT CHO BÉ</v>
          </cell>
          <cell r="O535" t="str">
            <v>121665</v>
          </cell>
          <cell r="P535" t="str">
            <v>8934755035289</v>
          </cell>
          <cell r="Q535" t="str">
            <v>BOBBY- Khăn ướt em bé không mùi 100 miếng</v>
          </cell>
          <cell r="R535">
            <v>46000</v>
          </cell>
          <cell r="S535">
            <v>1</v>
          </cell>
          <cell r="T535">
            <v>46000</v>
          </cell>
          <cell r="U535">
            <v>0</v>
          </cell>
          <cell r="V535">
            <v>46000</v>
          </cell>
          <cell r="W535" t="str">
            <v>8934755035289</v>
          </cell>
        </row>
        <row r="536">
          <cell r="A536">
            <v>2026</v>
          </cell>
          <cell r="B536">
            <v>6</v>
          </cell>
          <cell r="C536">
            <v>46196</v>
          </cell>
          <cell r="D536" t="str">
            <v>1. SKK store</v>
          </cell>
          <cell r="E536" t="str">
            <v>S1008</v>
          </cell>
          <cell r="F536" t="str">
            <v>SKK  Hàng Bông</v>
          </cell>
          <cell r="G536" t="str">
            <v>0918006886</v>
          </cell>
          <cell r="H536" t="str">
            <v>chị nguyễn thị hoa</v>
          </cell>
          <cell r="I536" t="str">
            <v>Khách cũ</v>
          </cell>
          <cell r="J536" t="str">
            <v>Đơn bán</v>
          </cell>
          <cell r="K536" t="str">
            <v>SAKUKO821835</v>
          </cell>
          <cell r="L536" t="str">
            <v>CHĂM SÓC SẮC ĐẸP</v>
          </cell>
          <cell r="M536" t="str">
            <v>CHĂM SÓC DA</v>
          </cell>
          <cell r="N536" t="str">
            <v>CHĂM SÓC DA KHÁC</v>
          </cell>
          <cell r="O536" t="str">
            <v>102388</v>
          </cell>
          <cell r="P536" t="str">
            <v>8935006542914</v>
          </cell>
          <cell r="Q536" t="str">
            <v>HADA LABO- Bộ sản phẩm dưỡng trắng (travel kit)47g</v>
          </cell>
          <cell r="R536">
            <v>135000</v>
          </cell>
          <cell r="S536">
            <v>1</v>
          </cell>
          <cell r="T536">
            <v>135000</v>
          </cell>
          <cell r="U536">
            <v>26000</v>
          </cell>
          <cell r="V536">
            <v>109000</v>
          </cell>
          <cell r="W536" t="str">
            <v>8935006542914</v>
          </cell>
        </row>
        <row r="537">
          <cell r="A537">
            <v>2026</v>
          </cell>
          <cell r="B537">
            <v>6</v>
          </cell>
          <cell r="C537">
            <v>46196</v>
          </cell>
          <cell r="D537" t="str">
            <v>1. SKK store</v>
          </cell>
          <cell r="E537" t="str">
            <v>S1015</v>
          </cell>
          <cell r="F537" t="str">
            <v>SKK Hàm Nghi</v>
          </cell>
          <cell r="G537" t="str">
            <v>0399554682</v>
          </cell>
          <cell r="H537" t="str">
            <v>cô bảo</v>
          </cell>
          <cell r="I537" t="str">
            <v>Khách mới</v>
          </cell>
          <cell r="J537" t="str">
            <v>Đơn bán</v>
          </cell>
          <cell r="K537" t="str">
            <v>SAKUKO821618</v>
          </cell>
          <cell r="L537" t="str">
            <v>THỰC PHẨM</v>
          </cell>
          <cell r="M537" t="str">
            <v>MỲ, MIẾN</v>
          </cell>
          <cell r="N537" t="str">
            <v>MỲ ĂN LIỀN</v>
          </cell>
          <cell r="O537" t="str">
            <v>154198</v>
          </cell>
          <cell r="P537" t="str">
            <v>4979397000145</v>
          </cell>
          <cell r="Q537" t="str">
            <v>YAMAMOTO_Mì ramen ăn liền vị miso 90g*5</v>
          </cell>
          <cell r="R537">
            <v>99000</v>
          </cell>
          <cell r="S537">
            <v>1</v>
          </cell>
          <cell r="T537">
            <v>99000</v>
          </cell>
          <cell r="U537">
            <v>0</v>
          </cell>
          <cell r="V537">
            <v>99000</v>
          </cell>
          <cell r="W537" t="str">
            <v>4979397000145</v>
          </cell>
        </row>
        <row r="538">
          <cell r="A538">
            <v>2026</v>
          </cell>
          <cell r="B538">
            <v>6</v>
          </cell>
          <cell r="C538">
            <v>46196</v>
          </cell>
          <cell r="D538" t="str">
            <v>1. SKK store</v>
          </cell>
          <cell r="E538" t="str">
            <v>S1015</v>
          </cell>
          <cell r="F538" t="str">
            <v>SKK Hàm Nghi</v>
          </cell>
          <cell r="G538" t="str">
            <v>0906706688</v>
          </cell>
          <cell r="H538" t="str">
            <v>Cô oanh</v>
          </cell>
          <cell r="I538" t="str">
            <v>Khách cũ</v>
          </cell>
          <cell r="J538" t="str">
            <v>Đơn bán</v>
          </cell>
          <cell r="K538" t="str">
            <v>SAKUKO821525</v>
          </cell>
          <cell r="L538" t="str">
            <v>THỰC PHẨM</v>
          </cell>
          <cell r="M538" t="str">
            <v>MỲ, MIẾN</v>
          </cell>
          <cell r="N538" t="str">
            <v>MỲ ĂN LIỀN</v>
          </cell>
          <cell r="O538" t="str">
            <v>154359</v>
          </cell>
          <cell r="P538" t="str">
            <v>4979397000138</v>
          </cell>
          <cell r="Q538" t="str">
            <v>YAMAMOTO- Mì ramen ăn liền hải sản thịt heo 88g*5</v>
          </cell>
          <cell r="R538">
            <v>99000</v>
          </cell>
          <cell r="S538">
            <v>1</v>
          </cell>
          <cell r="T538">
            <v>99000</v>
          </cell>
          <cell r="U538">
            <v>0</v>
          </cell>
          <cell r="V538">
            <v>99000</v>
          </cell>
          <cell r="W538" t="str">
            <v>4979397000138</v>
          </cell>
        </row>
        <row r="539">
          <cell r="A539">
            <v>2026</v>
          </cell>
          <cell r="B539">
            <v>6</v>
          </cell>
          <cell r="C539">
            <v>46196</v>
          </cell>
          <cell r="D539" t="str">
            <v>1. SKK store</v>
          </cell>
          <cell r="E539" t="str">
            <v>S1018</v>
          </cell>
          <cell r="F539" t="str">
            <v>SKK Nguyễn Tuân</v>
          </cell>
          <cell r="G539" t="str">
            <v>02422174499</v>
          </cell>
          <cell r="H539" t="str">
            <v>klnt</v>
          </cell>
          <cell r="I539" t="str">
            <v>Khách vãng lai</v>
          </cell>
          <cell r="J539" t="str">
            <v>Đơn bán</v>
          </cell>
          <cell r="K539" t="str">
            <v>SAKUKO822457</v>
          </cell>
          <cell r="L539" t="str">
            <v>CHĂM SÓC SẮC ĐẸP</v>
          </cell>
          <cell r="M539" t="str">
            <v>CHĂM SÓC TÓC</v>
          </cell>
          <cell r="N539" t="str">
            <v>TẠO KIỂU TÓC</v>
          </cell>
          <cell r="O539" t="str">
            <v>101904</v>
          </cell>
          <cell r="P539" t="str">
            <v>45131639</v>
          </cell>
          <cell r="Q539" t="str">
            <v>GATSBY- Sáp vuốt tóc tạo kiểu vuốt đứng 80g</v>
          </cell>
          <cell r="R539">
            <v>150000</v>
          </cell>
          <cell r="S539">
            <v>1</v>
          </cell>
          <cell r="T539">
            <v>150000</v>
          </cell>
          <cell r="U539">
            <v>15000</v>
          </cell>
          <cell r="V539">
            <v>135000</v>
          </cell>
          <cell r="W539" t="str">
            <v>45131639</v>
          </cell>
        </row>
        <row r="540">
          <cell r="A540">
            <v>2026</v>
          </cell>
          <cell r="B540">
            <v>6</v>
          </cell>
          <cell r="C540">
            <v>46196</v>
          </cell>
          <cell r="D540" t="str">
            <v>1. SKK store</v>
          </cell>
          <cell r="E540" t="str">
            <v>S1025</v>
          </cell>
          <cell r="F540" t="str">
            <v>SKK T6 Time City</v>
          </cell>
          <cell r="G540" t="str">
            <v>0943663303</v>
          </cell>
          <cell r="H540" t="str">
            <v>CHỊ LINH</v>
          </cell>
          <cell r="I540" t="str">
            <v>Khách cũ</v>
          </cell>
          <cell r="J540" t="str">
            <v>Đơn bán</v>
          </cell>
          <cell r="K540" t="str">
            <v>SAKUKO821582</v>
          </cell>
          <cell r="L540" t="str">
            <v>ĐỒ CHO MẸ BÉ</v>
          </cell>
          <cell r="M540" t="str">
            <v>CHĂM SÓC CƠ THỂ BÉ</v>
          </cell>
          <cell r="N540" t="str">
            <v>THỰC PHẨM CHỨC NĂNG CHO BÉ</v>
          </cell>
          <cell r="O540" t="str">
            <v>121669</v>
          </cell>
          <cell r="P540" t="str">
            <v>8436036591915</v>
          </cell>
          <cell r="Q540" t="str">
            <v>NEO KIDS-TPBVSK Omega 3 DHA 150ml</v>
          </cell>
          <cell r="R540">
            <v>275000</v>
          </cell>
          <cell r="S540">
            <v>1</v>
          </cell>
          <cell r="T540">
            <v>275000</v>
          </cell>
          <cell r="U540">
            <v>0</v>
          </cell>
          <cell r="V540">
            <v>275000</v>
          </cell>
          <cell r="W540" t="str">
            <v>8436036591915</v>
          </cell>
        </row>
        <row r="541">
          <cell r="A541">
            <v>2026</v>
          </cell>
          <cell r="B541">
            <v>6</v>
          </cell>
          <cell r="C541">
            <v>46195</v>
          </cell>
          <cell r="D541" t="str">
            <v>1. SKK store</v>
          </cell>
          <cell r="E541" t="str">
            <v>S1004</v>
          </cell>
          <cell r="F541" t="str">
            <v>SKK  Mandarin C1</v>
          </cell>
          <cell r="G541" t="str">
            <v>0906885293</v>
          </cell>
          <cell r="H541" t="str">
            <v>chị phượng</v>
          </cell>
          <cell r="I541" t="str">
            <v>Khách cũ</v>
          </cell>
          <cell r="J541" t="str">
            <v>Đơn bán</v>
          </cell>
          <cell r="K541" t="str">
            <v>SAKUKO821432</v>
          </cell>
          <cell r="L541" t="str">
            <v>CHĂM SÓC SẮC ĐẸP</v>
          </cell>
          <cell r="M541" t="str">
            <v>CHĂM SÓC DA</v>
          </cell>
          <cell r="N541" t="str">
            <v>RỬA MẶT</v>
          </cell>
          <cell r="O541" t="str">
            <v>230849</v>
          </cell>
          <cell r="P541" t="str">
            <v>4902806102048</v>
          </cell>
          <cell r="Q541" t="str">
            <v>GATSBY- SRM than hoạt tính sạch sâu 130g</v>
          </cell>
          <cell r="R541">
            <v>125000</v>
          </cell>
          <cell r="S541">
            <v>1</v>
          </cell>
          <cell r="T541">
            <v>125000</v>
          </cell>
          <cell r="U541">
            <v>12500</v>
          </cell>
          <cell r="V541">
            <v>112500</v>
          </cell>
          <cell r="W541" t="str">
            <v>4902806102048</v>
          </cell>
        </row>
        <row r="542">
          <cell r="A542">
            <v>2026</v>
          </cell>
          <cell r="B542">
            <v>6</v>
          </cell>
          <cell r="C542">
            <v>46195</v>
          </cell>
          <cell r="D542" t="str">
            <v>1. SKK store</v>
          </cell>
          <cell r="E542" t="str">
            <v>S1004</v>
          </cell>
          <cell r="F542" t="str">
            <v>SKK  Mandarin C1</v>
          </cell>
          <cell r="G542" t="str">
            <v>0912748677</v>
          </cell>
          <cell r="H542" t="str">
            <v>Chị Nguyên</v>
          </cell>
          <cell r="I542" t="str">
            <v>Khách cũ</v>
          </cell>
          <cell r="J542" t="str">
            <v>Đơn bán</v>
          </cell>
          <cell r="K542" t="str">
            <v>SAKUKO820402</v>
          </cell>
          <cell r="L542" t="str">
            <v>CHĂM SÓC SẮC ĐẸP</v>
          </cell>
          <cell r="M542" t="str">
            <v>CHĂM SÓC DA</v>
          </cell>
          <cell r="N542" t="str">
            <v>KEM DƯỠNG</v>
          </cell>
          <cell r="O542" t="str">
            <v>102384</v>
          </cell>
          <cell r="P542" t="str">
            <v>4902468820014</v>
          </cell>
          <cell r="Q542" t="str">
            <v>MEISHOKU- Kem gel dưỡng ẩm phục hồi chuyên sâu 50g</v>
          </cell>
          <cell r="R542">
            <v>575000</v>
          </cell>
          <cell r="S542">
            <v>1</v>
          </cell>
          <cell r="T542">
            <v>575000</v>
          </cell>
          <cell r="U542">
            <v>46000</v>
          </cell>
          <cell r="V542">
            <v>529000</v>
          </cell>
          <cell r="W542" t="str">
            <v>4902468820014</v>
          </cell>
        </row>
        <row r="543">
          <cell r="A543">
            <v>2026</v>
          </cell>
          <cell r="B543">
            <v>6</v>
          </cell>
          <cell r="C543">
            <v>46195</v>
          </cell>
          <cell r="D543" t="str">
            <v>1. SKK store</v>
          </cell>
          <cell r="E543" t="str">
            <v>S1004</v>
          </cell>
          <cell r="F543" t="str">
            <v>SKK  Mandarin C1</v>
          </cell>
          <cell r="G543" t="str">
            <v>0966628999</v>
          </cell>
          <cell r="H543" t="str">
            <v>CHI HA</v>
          </cell>
          <cell r="I543" t="str">
            <v>Khách cũ</v>
          </cell>
          <cell r="J543" t="str">
            <v>Đơn bán</v>
          </cell>
          <cell r="K543" t="str">
            <v>SAKUKO821138</v>
          </cell>
          <cell r="L543" t="str">
            <v>CHĂM SÓC SẮC ĐẸP</v>
          </cell>
          <cell r="M543" t="str">
            <v>CHĂM SÓC TÓC</v>
          </cell>
          <cell r="N543" t="str">
            <v>TẠO KIỂU TÓC</v>
          </cell>
          <cell r="O543" t="str">
            <v>100160</v>
          </cell>
          <cell r="P543" t="str">
            <v>45131677</v>
          </cell>
          <cell r="Q543" t="str">
            <v>GATSBY- Sáp vuốt tóc giữ nếp 80g</v>
          </cell>
          <cell r="R543">
            <v>150000</v>
          </cell>
          <cell r="S543">
            <v>1</v>
          </cell>
          <cell r="T543">
            <v>150000</v>
          </cell>
          <cell r="U543">
            <v>15000</v>
          </cell>
          <cell r="V543">
            <v>135000</v>
          </cell>
          <cell r="W543" t="str">
            <v>45131677</v>
          </cell>
        </row>
        <row r="544">
          <cell r="A544">
            <v>2026</v>
          </cell>
          <cell r="B544">
            <v>6</v>
          </cell>
          <cell r="C544">
            <v>46195</v>
          </cell>
          <cell r="D544" t="str">
            <v>1. SKK store</v>
          </cell>
          <cell r="E544" t="str">
            <v>S1004</v>
          </cell>
          <cell r="F544" t="str">
            <v>SKK  Mandarin C1</v>
          </cell>
          <cell r="G544" t="str">
            <v>0989017458</v>
          </cell>
          <cell r="H544" t="str">
            <v>c yến</v>
          </cell>
          <cell r="I544" t="str">
            <v>Khách cũ</v>
          </cell>
          <cell r="J544" t="str">
            <v>Đơn bán</v>
          </cell>
          <cell r="K544" t="str">
            <v>SAKUKO820379</v>
          </cell>
          <cell r="L544" t="str">
            <v>THỰC PHẨM</v>
          </cell>
          <cell r="M544" t="str">
            <v>BÁNH KẸO, ĐỒ ĂN VẶT</v>
          </cell>
          <cell r="N544" t="str">
            <v>KẸO CAO SU</v>
          </cell>
          <cell r="O544" t="str">
            <v>231377</v>
          </cell>
          <cell r="P544" t="str">
            <v>4903333200375</v>
          </cell>
          <cell r="Q544" t="str">
            <v>LOTTE-Kẹo cao su tổng hợp dạng lọ 114g</v>
          </cell>
          <cell r="R544">
            <v>235000</v>
          </cell>
          <cell r="S544">
            <v>1</v>
          </cell>
          <cell r="T544">
            <v>235000</v>
          </cell>
          <cell r="U544">
            <v>0</v>
          </cell>
          <cell r="V544">
            <v>235000</v>
          </cell>
          <cell r="W544" t="str">
            <v>4903333200375</v>
          </cell>
        </row>
        <row r="545">
          <cell r="A545">
            <v>2026</v>
          </cell>
          <cell r="B545">
            <v>6</v>
          </cell>
          <cell r="C545">
            <v>46195</v>
          </cell>
          <cell r="D545" t="str">
            <v>1. SKK store</v>
          </cell>
          <cell r="E545" t="str">
            <v>S1005</v>
          </cell>
          <cell r="F545" t="str">
            <v>SKK  Thái Hà</v>
          </cell>
          <cell r="G545" t="str">
            <v>02466810505</v>
          </cell>
          <cell r="H545" t="str">
            <v>klth</v>
          </cell>
          <cell r="I545" t="str">
            <v>Khách vãng lai</v>
          </cell>
          <cell r="J545" t="str">
            <v>Đơn bán</v>
          </cell>
          <cell r="K545" t="str">
            <v>SAKUKO821450</v>
          </cell>
          <cell r="L545" t="str">
            <v>CHĂM SÓC SẮC ĐẸP</v>
          </cell>
          <cell r="M545" t="str">
            <v>CHĂM SÓC DA</v>
          </cell>
          <cell r="N545" t="str">
            <v>CHĂM SÓC DA KHÁC</v>
          </cell>
          <cell r="O545" t="str">
            <v>102388</v>
          </cell>
          <cell r="P545" t="str">
            <v>8935006542914</v>
          </cell>
          <cell r="Q545" t="str">
            <v>HADA LABO- Bộ sản phẩm dưỡng trắng (travel kit)47g</v>
          </cell>
          <cell r="R545">
            <v>135000</v>
          </cell>
          <cell r="S545">
            <v>1</v>
          </cell>
          <cell r="T545">
            <v>135000</v>
          </cell>
          <cell r="U545">
            <v>26000</v>
          </cell>
          <cell r="V545">
            <v>109000</v>
          </cell>
          <cell r="W545" t="str">
            <v>8935006542914</v>
          </cell>
        </row>
        <row r="546">
          <cell r="A546">
            <v>2026</v>
          </cell>
          <cell r="B546">
            <v>6</v>
          </cell>
          <cell r="C546">
            <v>46195</v>
          </cell>
          <cell r="D546" t="str">
            <v>1. SKK store</v>
          </cell>
          <cell r="E546" t="str">
            <v>S1005</v>
          </cell>
          <cell r="F546" t="str">
            <v>SKK  Thái Hà</v>
          </cell>
          <cell r="G546" t="str">
            <v>0913236211</v>
          </cell>
          <cell r="H546" t="str">
            <v>CO NGOC</v>
          </cell>
          <cell r="I546" t="str">
            <v>Khách cũ</v>
          </cell>
          <cell r="J546" t="str">
            <v>Đơn bán</v>
          </cell>
          <cell r="K546" t="str">
            <v>SAKUKO820341</v>
          </cell>
          <cell r="L546" t="str">
            <v>THỰC PHẨM</v>
          </cell>
          <cell r="M546" t="str">
            <v>MỲ, MIẾN</v>
          </cell>
          <cell r="N546" t="str">
            <v>MỲ ĂN LIỀN</v>
          </cell>
          <cell r="O546" t="str">
            <v>154359</v>
          </cell>
          <cell r="P546" t="str">
            <v>4979397000138</v>
          </cell>
          <cell r="Q546" t="str">
            <v>YAMAMOTO- Mì ramen ăn liền hải sản thịt heo 88g*5</v>
          </cell>
          <cell r="R546">
            <v>99000</v>
          </cell>
          <cell r="S546">
            <v>3</v>
          </cell>
          <cell r="T546">
            <v>297000</v>
          </cell>
          <cell r="U546">
            <v>0</v>
          </cell>
          <cell r="V546">
            <v>297000</v>
          </cell>
          <cell r="W546" t="str">
            <v>4979397000138</v>
          </cell>
        </row>
        <row r="547">
          <cell r="A547">
            <v>2026</v>
          </cell>
          <cell r="B547">
            <v>6</v>
          </cell>
          <cell r="C547">
            <v>46195</v>
          </cell>
          <cell r="D547" t="str">
            <v>1. SKK store</v>
          </cell>
          <cell r="E547" t="str">
            <v>S1005</v>
          </cell>
          <cell r="F547" t="str">
            <v>SKK  Thái Hà</v>
          </cell>
          <cell r="G547" t="str">
            <v>0944808113</v>
          </cell>
          <cell r="H547" t="str">
            <v>Chị Yên</v>
          </cell>
          <cell r="I547" t="str">
            <v>Khách mới</v>
          </cell>
          <cell r="J547" t="str">
            <v>Đơn bán</v>
          </cell>
          <cell r="K547" t="str">
            <v>SAKUKO820759</v>
          </cell>
          <cell r="L547" t="str">
            <v>THỰC PHẨM</v>
          </cell>
          <cell r="M547" t="str">
            <v>MỲ, MIẾN</v>
          </cell>
          <cell r="N547" t="str">
            <v>MỲ ĂN LIỀN</v>
          </cell>
          <cell r="O547" t="str">
            <v>154196</v>
          </cell>
          <cell r="P547" t="str">
            <v>4979397000152</v>
          </cell>
          <cell r="Q547" t="str">
            <v>YAMAMOTO_Mì xào kiểu Nhật 89g*5</v>
          </cell>
          <cell r="R547">
            <v>99000</v>
          </cell>
          <cell r="S547">
            <v>1</v>
          </cell>
          <cell r="T547">
            <v>99000</v>
          </cell>
          <cell r="U547">
            <v>0</v>
          </cell>
          <cell r="V547">
            <v>99000</v>
          </cell>
          <cell r="W547" t="str">
            <v>4979397000152</v>
          </cell>
        </row>
        <row r="548">
          <cell r="A548">
            <v>2026</v>
          </cell>
          <cell r="B548">
            <v>6</v>
          </cell>
          <cell r="C548">
            <v>46195</v>
          </cell>
          <cell r="D548" t="str">
            <v>1. SKK store</v>
          </cell>
          <cell r="E548" t="str">
            <v>S1005</v>
          </cell>
          <cell r="F548" t="str">
            <v>SKK  Thái Hà</v>
          </cell>
          <cell r="G548" t="str">
            <v>0989418984</v>
          </cell>
          <cell r="H548" t="str">
            <v>C Mai</v>
          </cell>
          <cell r="I548" t="str">
            <v>Khách cũ</v>
          </cell>
          <cell r="J548" t="str">
            <v>Đơn bán</v>
          </cell>
          <cell r="K548" t="str">
            <v>SAKUKO821468</v>
          </cell>
          <cell r="L548" t="str">
            <v>NHÀ CỬA ĐỜI SỐNG</v>
          </cell>
          <cell r="M548" t="str">
            <v>KHĂN</v>
          </cell>
          <cell r="N548" t="str">
            <v>KHĂN MẶT</v>
          </cell>
          <cell r="O548" t="str">
            <v>102390</v>
          </cell>
          <cell r="P548" t="str">
            <v>4906327905980</v>
          </cell>
          <cell r="Q548" t="str">
            <v>KOMODA - Khăn mặt khô dùng 1 lần 46m 20x20cm</v>
          </cell>
          <cell r="R548">
            <v>52000</v>
          </cell>
          <cell r="S548">
            <v>1</v>
          </cell>
          <cell r="T548">
            <v>52000</v>
          </cell>
          <cell r="U548">
            <v>0</v>
          </cell>
          <cell r="V548">
            <v>52000</v>
          </cell>
          <cell r="W548" t="str">
            <v>4906327905980</v>
          </cell>
        </row>
        <row r="549">
          <cell r="A549">
            <v>2026</v>
          </cell>
          <cell r="B549">
            <v>6</v>
          </cell>
          <cell r="C549">
            <v>46195</v>
          </cell>
          <cell r="D549" t="str">
            <v>1. SKK store</v>
          </cell>
          <cell r="E549" t="str">
            <v>S1006</v>
          </cell>
          <cell r="F549" t="str">
            <v>SKK Trần Đăng Ninh</v>
          </cell>
          <cell r="G549" t="str">
            <v>0862954688</v>
          </cell>
          <cell r="H549" t="str">
            <v>KLTDN</v>
          </cell>
          <cell r="I549" t="str">
            <v>Khách vãng lai</v>
          </cell>
          <cell r="J549" t="str">
            <v>Đơn bán</v>
          </cell>
          <cell r="K549" t="str">
            <v>SAKUKO821213</v>
          </cell>
          <cell r="L549" t="str">
            <v>THỰC PHẨM</v>
          </cell>
          <cell r="M549" t="str">
            <v>MỲ, MIẾN</v>
          </cell>
          <cell r="N549" t="str">
            <v>MỲ CHẾ BIẾN</v>
          </cell>
          <cell r="O549" t="str">
            <v>154251</v>
          </cell>
          <cell r="P549" t="str">
            <v>4560159440776</v>
          </cell>
          <cell r="Q549" t="str">
            <v>SATO_Mì soba khô 800g</v>
          </cell>
          <cell r="R549">
            <v>104000</v>
          </cell>
          <cell r="S549">
            <v>1</v>
          </cell>
          <cell r="T549">
            <v>104000</v>
          </cell>
          <cell r="U549">
            <v>31200</v>
          </cell>
          <cell r="V549">
            <v>72800</v>
          </cell>
          <cell r="W549" t="str">
            <v>4560159440776</v>
          </cell>
        </row>
        <row r="550">
          <cell r="A550">
            <v>2026</v>
          </cell>
          <cell r="B550">
            <v>6</v>
          </cell>
          <cell r="C550">
            <v>46195</v>
          </cell>
          <cell r="D550" t="str">
            <v>1. SKK store</v>
          </cell>
          <cell r="E550" t="str">
            <v>S1006</v>
          </cell>
          <cell r="F550" t="str">
            <v>SKK Trần Đăng Ninh</v>
          </cell>
          <cell r="G550" t="str">
            <v>0912345842</v>
          </cell>
          <cell r="H550" t="str">
            <v>Bùi Thu Hoà</v>
          </cell>
          <cell r="I550" t="str">
            <v>Khách cũ</v>
          </cell>
          <cell r="J550" t="str">
            <v>Đơn bán</v>
          </cell>
          <cell r="K550" t="str">
            <v>SAKUKO820388</v>
          </cell>
          <cell r="L550" t="str">
            <v>THỰC PHẨM</v>
          </cell>
          <cell r="M550" t="str">
            <v>MỲ, MIẾN</v>
          </cell>
          <cell r="N550" t="str">
            <v>MỲ ĂN LIỀN</v>
          </cell>
          <cell r="O550" t="str">
            <v>154198</v>
          </cell>
          <cell r="P550" t="str">
            <v>4979397000145</v>
          </cell>
          <cell r="Q550" t="str">
            <v>YAMAMOTO_Mì ramen ăn liền vị miso 90g*5</v>
          </cell>
          <cell r="R550">
            <v>99000</v>
          </cell>
          <cell r="S550">
            <v>1</v>
          </cell>
          <cell r="T550">
            <v>99000</v>
          </cell>
          <cell r="U550">
            <v>0</v>
          </cell>
          <cell r="V550">
            <v>99000</v>
          </cell>
          <cell r="W550" t="str">
            <v>4979397000145</v>
          </cell>
        </row>
        <row r="551">
          <cell r="A551">
            <v>2026</v>
          </cell>
          <cell r="B551">
            <v>6</v>
          </cell>
          <cell r="C551">
            <v>46195</v>
          </cell>
          <cell r="D551" t="str">
            <v>1. SKK store</v>
          </cell>
          <cell r="E551" t="str">
            <v>S1006</v>
          </cell>
          <cell r="F551" t="str">
            <v>SKK Trần Đăng Ninh</v>
          </cell>
          <cell r="G551" t="str">
            <v>0983890066</v>
          </cell>
          <cell r="H551" t="str">
            <v>Chị Trần Thị Kim Cúc</v>
          </cell>
          <cell r="I551" t="str">
            <v>Khách cũ</v>
          </cell>
          <cell r="J551" t="str">
            <v>Đơn bán</v>
          </cell>
          <cell r="K551" t="str">
            <v>SAKUKO821077</v>
          </cell>
          <cell r="L551" t="str">
            <v>THỰC PHẨM</v>
          </cell>
          <cell r="M551" t="str">
            <v>MỲ, MIẾN</v>
          </cell>
          <cell r="N551" t="str">
            <v>MỲ ĂN LIỀN</v>
          </cell>
          <cell r="O551" t="str">
            <v>154359</v>
          </cell>
          <cell r="P551" t="str">
            <v>4979397000138</v>
          </cell>
          <cell r="Q551" t="str">
            <v>YAMAMOTO- Mì ramen ăn liền hải sản thịt heo 88g*5</v>
          </cell>
          <cell r="R551">
            <v>99000</v>
          </cell>
          <cell r="S551">
            <v>1</v>
          </cell>
          <cell r="T551">
            <v>99000</v>
          </cell>
          <cell r="U551">
            <v>0</v>
          </cell>
          <cell r="V551">
            <v>99000</v>
          </cell>
          <cell r="W551" t="str">
            <v>4979397000138</v>
          </cell>
        </row>
        <row r="552">
          <cell r="A552">
            <v>2026</v>
          </cell>
          <cell r="B552">
            <v>6</v>
          </cell>
          <cell r="C552">
            <v>46195</v>
          </cell>
          <cell r="D552" t="str">
            <v>1. SKK store</v>
          </cell>
          <cell r="E552" t="str">
            <v>S1007</v>
          </cell>
          <cell r="F552" t="str">
            <v>SKK  Nguyễn Du</v>
          </cell>
          <cell r="G552" t="str">
            <v>0862954339</v>
          </cell>
          <cell r="H552" t="str">
            <v>Klnd</v>
          </cell>
          <cell r="I552" t="str">
            <v>Khách vãng lai</v>
          </cell>
          <cell r="J552" t="str">
            <v>Đơn bán</v>
          </cell>
          <cell r="K552" t="str">
            <v>SAKUKO820629</v>
          </cell>
          <cell r="L552" t="str">
            <v>ĐỒ CHO MẸ BÉ</v>
          </cell>
          <cell r="M552" t="str">
            <v>GIẤY ƯỚT</v>
          </cell>
          <cell r="N552" t="str">
            <v>GIẤY ƯỚT CHO BÉ</v>
          </cell>
          <cell r="O552" t="str">
            <v>121664</v>
          </cell>
          <cell r="P552" t="str">
            <v>8934755035074</v>
          </cell>
          <cell r="Q552" t="str">
            <v>BOBBY- Khăn ướt em bé có hương 100 miếng</v>
          </cell>
          <cell r="R552">
            <v>46000</v>
          </cell>
          <cell r="S552">
            <v>1</v>
          </cell>
          <cell r="T552">
            <v>46000</v>
          </cell>
          <cell r="U552">
            <v>0</v>
          </cell>
          <cell r="V552">
            <v>46000</v>
          </cell>
          <cell r="W552" t="str">
            <v>8934755035074</v>
          </cell>
        </row>
        <row r="553">
          <cell r="A553">
            <v>2026</v>
          </cell>
          <cell r="B553">
            <v>6</v>
          </cell>
          <cell r="C553">
            <v>46195</v>
          </cell>
          <cell r="D553" t="str">
            <v>1. SKK store</v>
          </cell>
          <cell r="E553" t="str">
            <v>S1007</v>
          </cell>
          <cell r="F553" t="str">
            <v>SKK  Nguyễn Du</v>
          </cell>
          <cell r="G553" t="str">
            <v>0862954339</v>
          </cell>
          <cell r="H553" t="str">
            <v>Klnd</v>
          </cell>
          <cell r="I553" t="str">
            <v>Khách vãng lai</v>
          </cell>
          <cell r="J553" t="str">
            <v>Đơn bán</v>
          </cell>
          <cell r="K553" t="str">
            <v>SAKUKO820749</v>
          </cell>
          <cell r="L553" t="str">
            <v>THỰC PHẨM</v>
          </cell>
          <cell r="M553" t="str">
            <v>MỲ, MIẾN</v>
          </cell>
          <cell r="N553" t="str">
            <v>MỲ ĂN LIỀN</v>
          </cell>
          <cell r="O553" t="str">
            <v>154359</v>
          </cell>
          <cell r="P553" t="str">
            <v>4979397000138</v>
          </cell>
          <cell r="Q553" t="str">
            <v>YAMAMOTO- Mì ramen ăn liền hải sản thịt heo 88g*5</v>
          </cell>
          <cell r="R553">
            <v>99000</v>
          </cell>
          <cell r="S553">
            <v>1</v>
          </cell>
          <cell r="T553">
            <v>99000</v>
          </cell>
          <cell r="U553">
            <v>0</v>
          </cell>
          <cell r="V553">
            <v>99000</v>
          </cell>
          <cell r="W553" t="str">
            <v>4979397000138</v>
          </cell>
        </row>
        <row r="554">
          <cell r="A554">
            <v>2026</v>
          </cell>
          <cell r="B554">
            <v>6</v>
          </cell>
          <cell r="C554">
            <v>46195</v>
          </cell>
          <cell r="D554" t="str">
            <v>1. SKK store</v>
          </cell>
          <cell r="E554" t="str">
            <v>S1007</v>
          </cell>
          <cell r="F554" t="str">
            <v>SKK  Nguyễn Du</v>
          </cell>
          <cell r="G554" t="str">
            <v>0982980580</v>
          </cell>
          <cell r="H554" t="str">
            <v>Ha Thi Hanh</v>
          </cell>
          <cell r="I554" t="str">
            <v>Khách cũ</v>
          </cell>
          <cell r="J554" t="str">
            <v>Đơn bán</v>
          </cell>
          <cell r="K554" t="str">
            <v>SAKUKO820818</v>
          </cell>
          <cell r="L554" t="str">
            <v>THỰC PHẨM</v>
          </cell>
          <cell r="M554" t="str">
            <v>MỲ, MIẾN</v>
          </cell>
          <cell r="N554" t="str">
            <v>MỲ CHẾ BIẾN</v>
          </cell>
          <cell r="O554" t="str">
            <v>175435</v>
          </cell>
          <cell r="P554" t="str">
            <v>4901726014752</v>
          </cell>
          <cell r="Q554" t="str">
            <v>ITSUKI FOODS- Mì soumen rau củ ngũ sắc320g</v>
          </cell>
          <cell r="R554">
            <v>76000</v>
          </cell>
          <cell r="S554">
            <v>1</v>
          </cell>
          <cell r="T554">
            <v>76000</v>
          </cell>
          <cell r="U554">
            <v>0</v>
          </cell>
          <cell r="V554">
            <v>76000</v>
          </cell>
          <cell r="W554" t="str">
            <v>4901726014752</v>
          </cell>
        </row>
        <row r="555">
          <cell r="A555">
            <v>2026</v>
          </cell>
          <cell r="B555">
            <v>6</v>
          </cell>
          <cell r="C555">
            <v>46195</v>
          </cell>
          <cell r="D555" t="str">
            <v>1. SKK store</v>
          </cell>
          <cell r="E555" t="str">
            <v>S1007</v>
          </cell>
          <cell r="F555" t="str">
            <v>SKK  Nguyễn Du</v>
          </cell>
          <cell r="G555" t="str">
            <v>0989197921</v>
          </cell>
          <cell r="H555" t="str">
            <v>C THU TRANG</v>
          </cell>
          <cell r="I555" t="str">
            <v>Khách cũ</v>
          </cell>
          <cell r="J555" t="str">
            <v>Đơn bán</v>
          </cell>
          <cell r="K555" t="str">
            <v>SAKUKO820531</v>
          </cell>
          <cell r="L555" t="str">
            <v>THỰC PHẨM</v>
          </cell>
          <cell r="M555" t="str">
            <v>MỲ, MIẾN</v>
          </cell>
          <cell r="N555" t="str">
            <v>MỲ ĂN LIỀN</v>
          </cell>
          <cell r="O555" t="str">
            <v>154359</v>
          </cell>
          <cell r="P555" t="str">
            <v>4979397000138</v>
          </cell>
          <cell r="Q555" t="str">
            <v>YAMAMOTO- Mì ramen ăn liền hải sản thịt heo 88g*5</v>
          </cell>
          <cell r="R555">
            <v>99000</v>
          </cell>
          <cell r="S555">
            <v>1</v>
          </cell>
          <cell r="T555">
            <v>99000</v>
          </cell>
          <cell r="U555">
            <v>0</v>
          </cell>
          <cell r="V555">
            <v>99000</v>
          </cell>
          <cell r="W555" t="str">
            <v>4979397000138</v>
          </cell>
        </row>
        <row r="556">
          <cell r="A556">
            <v>2026</v>
          </cell>
          <cell r="B556">
            <v>6</v>
          </cell>
          <cell r="C556">
            <v>46195</v>
          </cell>
          <cell r="D556" t="str">
            <v>1. SKK store</v>
          </cell>
          <cell r="E556" t="str">
            <v>S1008</v>
          </cell>
          <cell r="F556" t="str">
            <v>SKK  Hàng Bông</v>
          </cell>
          <cell r="G556" t="str">
            <v>0912666445</v>
          </cell>
          <cell r="H556" t="str">
            <v>c hạnh</v>
          </cell>
          <cell r="I556" t="str">
            <v>Khách cũ</v>
          </cell>
          <cell r="J556" t="str">
            <v>Đơn bán</v>
          </cell>
          <cell r="K556" t="str">
            <v>SAKUKO820819</v>
          </cell>
          <cell r="L556" t="str">
            <v>THỰC PHẨM</v>
          </cell>
          <cell r="M556" t="str">
            <v>MỲ, MIẾN</v>
          </cell>
          <cell r="N556" t="str">
            <v>MỲ ĂN LIỀN</v>
          </cell>
          <cell r="O556" t="str">
            <v>154359</v>
          </cell>
          <cell r="P556" t="str">
            <v>4979397000138</v>
          </cell>
          <cell r="Q556" t="str">
            <v>YAMAMOTO- Mì ramen ăn liền hải sản thịt heo 88g*5</v>
          </cell>
          <cell r="R556">
            <v>99000</v>
          </cell>
          <cell r="S556">
            <v>1</v>
          </cell>
          <cell r="T556">
            <v>99000</v>
          </cell>
          <cell r="U556">
            <v>0</v>
          </cell>
          <cell r="V556">
            <v>99000</v>
          </cell>
          <cell r="W556" t="str">
            <v>4979397000138</v>
          </cell>
        </row>
        <row r="557">
          <cell r="A557">
            <v>2026</v>
          </cell>
          <cell r="B557">
            <v>6</v>
          </cell>
          <cell r="C557">
            <v>46195</v>
          </cell>
          <cell r="D557" t="str">
            <v>1. SKK store</v>
          </cell>
          <cell r="E557" t="str">
            <v>S1015</v>
          </cell>
          <cell r="F557" t="str">
            <v>SKK Hàm Nghi</v>
          </cell>
          <cell r="G557" t="str">
            <v>0977217962</v>
          </cell>
          <cell r="H557" t="str">
            <v>a hiếu</v>
          </cell>
          <cell r="I557" t="str">
            <v>Khách cũ</v>
          </cell>
          <cell r="J557" t="str">
            <v>Đơn bán</v>
          </cell>
          <cell r="K557" t="str">
            <v>SAKUKO820643</v>
          </cell>
          <cell r="L557" t="str">
            <v>ĐỒ CHO MẸ BÉ</v>
          </cell>
          <cell r="M557" t="str">
            <v>GIẤY ƯỚT</v>
          </cell>
          <cell r="N557" t="str">
            <v>GIẤY ƯỚT CHO BÉ</v>
          </cell>
          <cell r="O557" t="str">
            <v>121662</v>
          </cell>
          <cell r="P557" t="str">
            <v>8934755035036</v>
          </cell>
          <cell r="Q557" t="str">
            <v>FRESSI- Khăn ướt Care For All 20 miếng</v>
          </cell>
          <cell r="R557">
            <v>14000</v>
          </cell>
          <cell r="S557">
            <v>3</v>
          </cell>
          <cell r="T557">
            <v>42000</v>
          </cell>
          <cell r="U557">
            <v>0</v>
          </cell>
          <cell r="V557">
            <v>42000</v>
          </cell>
          <cell r="W557" t="str">
            <v>8934755035036</v>
          </cell>
        </row>
        <row r="558">
          <cell r="A558">
            <v>2026</v>
          </cell>
          <cell r="B558">
            <v>6</v>
          </cell>
          <cell r="C558">
            <v>46195</v>
          </cell>
          <cell r="D558" t="str">
            <v>1. SKK store</v>
          </cell>
          <cell r="E558" t="str">
            <v>S1025</v>
          </cell>
          <cell r="F558" t="str">
            <v>SKK T6 Time City</v>
          </cell>
          <cell r="G558" t="str">
            <v>0913236832</v>
          </cell>
          <cell r="H558" t="str">
            <v>chú Quân</v>
          </cell>
          <cell r="I558" t="str">
            <v>Khách cũ</v>
          </cell>
          <cell r="J558" t="str">
            <v>Đơn bán</v>
          </cell>
          <cell r="K558" t="str">
            <v>SAKUKO820376</v>
          </cell>
          <cell r="L558" t="str">
            <v>CHĂM SÓC SẮC ĐẸP</v>
          </cell>
          <cell r="M558" t="str">
            <v>CHĂM SÓC TÓC</v>
          </cell>
          <cell r="N558" t="str">
            <v>TẠO KIỂU TÓC</v>
          </cell>
          <cell r="O558" t="str">
            <v>100160</v>
          </cell>
          <cell r="P558" t="str">
            <v>45131677</v>
          </cell>
          <cell r="Q558" t="str">
            <v>GATSBY- Sáp vuốt tóc giữ nếp 80g</v>
          </cell>
          <cell r="R558">
            <v>150000</v>
          </cell>
          <cell r="S558">
            <v>1</v>
          </cell>
          <cell r="T558">
            <v>150000</v>
          </cell>
          <cell r="U558">
            <v>15000</v>
          </cell>
          <cell r="V558">
            <v>135000</v>
          </cell>
          <cell r="W558" t="str">
            <v>45131677</v>
          </cell>
        </row>
        <row r="559">
          <cell r="A559">
            <v>2026</v>
          </cell>
          <cell r="B559">
            <v>6</v>
          </cell>
          <cell r="C559">
            <v>46195</v>
          </cell>
          <cell r="D559" t="str">
            <v>1. SKK store</v>
          </cell>
          <cell r="E559" t="str">
            <v>S1025</v>
          </cell>
          <cell r="F559" t="str">
            <v>SKK T6 Time City</v>
          </cell>
          <cell r="G559" t="str">
            <v>0942462609</v>
          </cell>
          <cell r="H559" t="str">
            <v>Chị Ngọc</v>
          </cell>
          <cell r="I559" t="str">
            <v>Khách cũ</v>
          </cell>
          <cell r="J559" t="str">
            <v>Đơn bán</v>
          </cell>
          <cell r="K559" t="str">
            <v>SAKUKO821440</v>
          </cell>
          <cell r="L559" t="str">
            <v>THỰC PHẨM</v>
          </cell>
          <cell r="M559" t="str">
            <v>MỲ, MIẾN</v>
          </cell>
          <cell r="N559" t="str">
            <v>MỲ ĂN LIỀN</v>
          </cell>
          <cell r="O559" t="str">
            <v>154198</v>
          </cell>
          <cell r="P559" t="str">
            <v>4979397000145</v>
          </cell>
          <cell r="Q559" t="str">
            <v>YAMAMOTO_Mì ramen ăn liền vị miso 90g*5</v>
          </cell>
          <cell r="R559">
            <v>99000</v>
          </cell>
          <cell r="S559">
            <v>1</v>
          </cell>
          <cell r="T559">
            <v>99000</v>
          </cell>
          <cell r="U559">
            <v>0</v>
          </cell>
          <cell r="V559">
            <v>99000</v>
          </cell>
          <cell r="W559" t="str">
            <v>4979397000145</v>
          </cell>
        </row>
        <row r="560">
          <cell r="A560">
            <v>2026</v>
          </cell>
          <cell r="B560">
            <v>6</v>
          </cell>
          <cell r="C560">
            <v>46195</v>
          </cell>
          <cell r="D560" t="str">
            <v>1. SKK store</v>
          </cell>
          <cell r="E560" t="str">
            <v>S1025</v>
          </cell>
          <cell r="F560" t="str">
            <v>SKK T6 Time City</v>
          </cell>
          <cell r="G560" t="str">
            <v>0942462609</v>
          </cell>
          <cell r="H560" t="str">
            <v>Chị Ngọc</v>
          </cell>
          <cell r="I560" t="str">
            <v>Khách cũ</v>
          </cell>
          <cell r="J560" t="str">
            <v>Đơn bán</v>
          </cell>
          <cell r="K560" t="str">
            <v>SAKUKO821440</v>
          </cell>
          <cell r="L560" t="str">
            <v>THỰC PHẨM</v>
          </cell>
          <cell r="M560" t="str">
            <v>MỲ, MIẾN</v>
          </cell>
          <cell r="N560" t="str">
            <v>MỲ ĂN LIỀN</v>
          </cell>
          <cell r="O560" t="str">
            <v>154359</v>
          </cell>
          <cell r="P560" t="str">
            <v>4979397000138</v>
          </cell>
          <cell r="Q560" t="str">
            <v>YAMAMOTO- Mì ramen ăn liền hải sản thịt heo 88g*5</v>
          </cell>
          <cell r="R560">
            <v>99000</v>
          </cell>
          <cell r="S560">
            <v>1</v>
          </cell>
          <cell r="T560">
            <v>99000</v>
          </cell>
          <cell r="U560">
            <v>0</v>
          </cell>
          <cell r="V560">
            <v>99000</v>
          </cell>
          <cell r="W560" t="str">
            <v>4979397000138</v>
          </cell>
        </row>
        <row r="561">
          <cell r="A561">
            <v>2026</v>
          </cell>
          <cell r="B561">
            <v>6</v>
          </cell>
          <cell r="C561">
            <v>46194</v>
          </cell>
          <cell r="D561" t="str">
            <v>1. SKK store</v>
          </cell>
          <cell r="E561" t="str">
            <v>S1004</v>
          </cell>
          <cell r="F561" t="str">
            <v>SKK  Mandarin C1</v>
          </cell>
          <cell r="G561" t="str">
            <v>0935906123</v>
          </cell>
          <cell r="H561" t="str">
            <v>c hiền</v>
          </cell>
          <cell r="I561" t="str">
            <v>Khách cũ</v>
          </cell>
          <cell r="J561" t="str">
            <v>Đơn bán</v>
          </cell>
          <cell r="K561" t="str">
            <v>SAKUKO819752</v>
          </cell>
          <cell r="L561" t="str">
            <v>ĐỒ CHO MẸ BÉ</v>
          </cell>
          <cell r="M561" t="str">
            <v>GIẤY ƯỚT</v>
          </cell>
          <cell r="N561" t="str">
            <v>GIẤY ƯỚT CHO BÉ</v>
          </cell>
          <cell r="O561" t="str">
            <v>121663</v>
          </cell>
          <cell r="P561" t="str">
            <v>8934755035197</v>
          </cell>
          <cell r="Q561" t="str">
            <v>FRESSI- Khăn ướt Care For All 100 miếng</v>
          </cell>
          <cell r="R561">
            <v>49000</v>
          </cell>
          <cell r="S561">
            <v>1</v>
          </cell>
          <cell r="T561">
            <v>49000</v>
          </cell>
          <cell r="U561">
            <v>0</v>
          </cell>
          <cell r="V561">
            <v>49000</v>
          </cell>
          <cell r="W561" t="str">
            <v>8934755035197</v>
          </cell>
        </row>
        <row r="562">
          <cell r="A562">
            <v>2026</v>
          </cell>
          <cell r="B562">
            <v>6</v>
          </cell>
          <cell r="C562">
            <v>46194</v>
          </cell>
          <cell r="D562" t="str">
            <v>1. SKK store</v>
          </cell>
          <cell r="E562" t="str">
            <v>S1004</v>
          </cell>
          <cell r="F562" t="str">
            <v>SKK  Mandarin C1</v>
          </cell>
          <cell r="G562" t="str">
            <v>0935906123</v>
          </cell>
          <cell r="H562" t="str">
            <v>c hiền</v>
          </cell>
          <cell r="I562" t="str">
            <v>Khách cũ</v>
          </cell>
          <cell r="J562" t="str">
            <v>Đơn bán</v>
          </cell>
          <cell r="K562" t="str">
            <v>SAKUKO819752</v>
          </cell>
          <cell r="L562" t="str">
            <v>ĐỒ CHO MẸ BÉ</v>
          </cell>
          <cell r="M562" t="str">
            <v>GIẤY ƯỚT</v>
          </cell>
          <cell r="N562" t="str">
            <v>GIẤY ƯỚT CHO BÉ</v>
          </cell>
          <cell r="O562" t="str">
            <v>121664</v>
          </cell>
          <cell r="P562" t="str">
            <v>8934755035074</v>
          </cell>
          <cell r="Q562" t="str">
            <v>BOBBY- Khăn ướt em bé có hương 100 miếng</v>
          </cell>
          <cell r="R562">
            <v>46000</v>
          </cell>
          <cell r="S562">
            <v>1</v>
          </cell>
          <cell r="T562">
            <v>46000</v>
          </cell>
          <cell r="U562">
            <v>0</v>
          </cell>
          <cell r="V562">
            <v>46000</v>
          </cell>
          <cell r="W562" t="str">
            <v>8934755035074</v>
          </cell>
        </row>
        <row r="563">
          <cell r="A563">
            <v>2026</v>
          </cell>
          <cell r="B563">
            <v>6</v>
          </cell>
          <cell r="C563">
            <v>46194</v>
          </cell>
          <cell r="D563" t="str">
            <v>1. SKK store</v>
          </cell>
          <cell r="E563" t="str">
            <v>S1004</v>
          </cell>
          <cell r="F563" t="str">
            <v>SKK  Mandarin C1</v>
          </cell>
          <cell r="G563" t="str">
            <v>0983409599</v>
          </cell>
          <cell r="H563" t="str">
            <v>Chị Nguyễn Hải Yến</v>
          </cell>
          <cell r="I563" t="str">
            <v>Khách cũ</v>
          </cell>
          <cell r="J563" t="str">
            <v>Đơn bán</v>
          </cell>
          <cell r="K563" t="str">
            <v>SAKUKO819576</v>
          </cell>
          <cell r="L563" t="str">
            <v>ĐỒ CHO MẸ BÉ</v>
          </cell>
          <cell r="M563" t="str">
            <v>GIẤY ƯỚT</v>
          </cell>
          <cell r="N563" t="str">
            <v>GIẤY ƯỚT CHO BÉ</v>
          </cell>
          <cell r="O563" t="str">
            <v>121663</v>
          </cell>
          <cell r="P563" t="str">
            <v>8934755035197</v>
          </cell>
          <cell r="Q563" t="str">
            <v>FRESSI- Khăn ướt Care For All 100 miếng</v>
          </cell>
          <cell r="R563">
            <v>49000</v>
          </cell>
          <cell r="S563">
            <v>1</v>
          </cell>
          <cell r="T563">
            <v>49000</v>
          </cell>
          <cell r="U563">
            <v>0</v>
          </cell>
          <cell r="V563">
            <v>49000</v>
          </cell>
          <cell r="W563" t="str">
            <v>8934755035197</v>
          </cell>
        </row>
        <row r="564">
          <cell r="A564">
            <v>2026</v>
          </cell>
          <cell r="B564">
            <v>6</v>
          </cell>
          <cell r="C564">
            <v>46194</v>
          </cell>
          <cell r="D564" t="str">
            <v>1. SKK store</v>
          </cell>
          <cell r="E564" t="str">
            <v>S1004</v>
          </cell>
          <cell r="F564" t="str">
            <v>SKK  Mandarin C1</v>
          </cell>
          <cell r="G564" t="str">
            <v>0983409599</v>
          </cell>
          <cell r="H564" t="str">
            <v>Chị Nguyễn Hải Yến</v>
          </cell>
          <cell r="I564" t="str">
            <v>Khách cũ</v>
          </cell>
          <cell r="J564" t="str">
            <v>Đơn bán</v>
          </cell>
          <cell r="K564" t="str">
            <v>SAKUKO819576</v>
          </cell>
          <cell r="L564" t="str">
            <v>ĐỒ CHO MẸ BÉ</v>
          </cell>
          <cell r="M564" t="str">
            <v>GIẤY ƯỚT</v>
          </cell>
          <cell r="N564" t="str">
            <v>GIẤY ƯỚT CHO BÉ</v>
          </cell>
          <cell r="O564" t="str">
            <v>121664</v>
          </cell>
          <cell r="P564" t="str">
            <v>8934755035074</v>
          </cell>
          <cell r="Q564" t="str">
            <v>BOBBY- Khăn ướt em bé có hương 100 miếng</v>
          </cell>
          <cell r="R564">
            <v>46000</v>
          </cell>
          <cell r="S564">
            <v>1</v>
          </cell>
          <cell r="T564">
            <v>46000</v>
          </cell>
          <cell r="U564">
            <v>0</v>
          </cell>
          <cell r="V564">
            <v>46000</v>
          </cell>
          <cell r="W564" t="str">
            <v>8934755035074</v>
          </cell>
        </row>
        <row r="565">
          <cell r="A565">
            <v>2026</v>
          </cell>
          <cell r="B565">
            <v>6</v>
          </cell>
          <cell r="C565">
            <v>46194</v>
          </cell>
          <cell r="D565" t="str">
            <v>1. SKK store</v>
          </cell>
          <cell r="E565" t="str">
            <v>S1005</v>
          </cell>
          <cell r="F565" t="str">
            <v>SKK  Thái Hà</v>
          </cell>
          <cell r="G565" t="str">
            <v>02466810505</v>
          </cell>
          <cell r="H565" t="str">
            <v>klth</v>
          </cell>
          <cell r="I565" t="str">
            <v>Khách vãng lai</v>
          </cell>
          <cell r="J565" t="str">
            <v>Đơn bán</v>
          </cell>
          <cell r="K565" t="str">
            <v>SAKUKO819189</v>
          </cell>
          <cell r="L565" t="str">
            <v>CHĂM SÓC SẮC ĐẸP</v>
          </cell>
          <cell r="M565" t="str">
            <v>CHĂM SÓC TÓC</v>
          </cell>
          <cell r="N565" t="str">
            <v>TẠO KIỂU TÓC</v>
          </cell>
          <cell r="O565" t="str">
            <v>101906</v>
          </cell>
          <cell r="P565" t="str">
            <v>4902806108781</v>
          </cell>
          <cell r="Q565" t="str">
            <v>GATSBY-  Sáp vuốt tóc tạo độ phồng 80g</v>
          </cell>
          <cell r="R565">
            <v>150000</v>
          </cell>
          <cell r="S565">
            <v>1</v>
          </cell>
          <cell r="T565">
            <v>150000</v>
          </cell>
          <cell r="U565">
            <v>15000</v>
          </cell>
          <cell r="V565">
            <v>135000</v>
          </cell>
          <cell r="W565" t="str">
            <v>4902806108781</v>
          </cell>
        </row>
        <row r="566">
          <cell r="A566">
            <v>2026</v>
          </cell>
          <cell r="B566">
            <v>6</v>
          </cell>
          <cell r="C566">
            <v>46194</v>
          </cell>
          <cell r="D566" t="str">
            <v>1. SKK store</v>
          </cell>
          <cell r="E566" t="str">
            <v>S1005</v>
          </cell>
          <cell r="F566" t="str">
            <v>SKK  Thái Hà</v>
          </cell>
          <cell r="G566" t="str">
            <v>0971518888</v>
          </cell>
          <cell r="H566" t="str">
            <v>Anh Nguyễn Hồng Nhật</v>
          </cell>
          <cell r="I566" t="str">
            <v>Khách cũ</v>
          </cell>
          <cell r="J566" t="str">
            <v>Đơn bán</v>
          </cell>
          <cell r="K566" t="str">
            <v>SAKUKO819348</v>
          </cell>
          <cell r="L566" t="str">
            <v>CHĂM SÓC SẮC ĐẸP</v>
          </cell>
          <cell r="M566" t="str">
            <v>CHĂM SÓC DA</v>
          </cell>
          <cell r="N566" t="str">
            <v>KEM DƯỠNG</v>
          </cell>
          <cell r="O566" t="str">
            <v>102384</v>
          </cell>
          <cell r="P566" t="str">
            <v>4902468820014</v>
          </cell>
          <cell r="Q566" t="str">
            <v>MEISHOKU- Kem gel dưỡng ẩm phục hồi chuyên sâu 50g</v>
          </cell>
          <cell r="R566">
            <v>575000</v>
          </cell>
          <cell r="S566">
            <v>1</v>
          </cell>
          <cell r="T566">
            <v>575000</v>
          </cell>
          <cell r="U566">
            <v>76000</v>
          </cell>
          <cell r="V566">
            <v>499000</v>
          </cell>
          <cell r="W566" t="str">
            <v>4902468820014</v>
          </cell>
        </row>
        <row r="567">
          <cell r="A567">
            <v>2026</v>
          </cell>
          <cell r="B567">
            <v>6</v>
          </cell>
          <cell r="C567">
            <v>46194</v>
          </cell>
          <cell r="D567" t="str">
            <v>1. SKK store</v>
          </cell>
          <cell r="E567" t="str">
            <v>S1005</v>
          </cell>
          <cell r="F567" t="str">
            <v>SKK  Thái Hà</v>
          </cell>
          <cell r="G567" t="str">
            <v>0971518888</v>
          </cell>
          <cell r="H567" t="str">
            <v>Anh Nguyễn Hồng Nhật</v>
          </cell>
          <cell r="I567" t="str">
            <v>Khách cũ</v>
          </cell>
          <cell r="J567" t="str">
            <v>Đơn bán</v>
          </cell>
          <cell r="K567" t="str">
            <v>SAKUKO819348</v>
          </cell>
          <cell r="L567" t="str">
            <v>CHĂM SÓC SẮC ĐẸP</v>
          </cell>
          <cell r="M567" t="str">
            <v>CHĂM SÓC DA</v>
          </cell>
          <cell r="N567" t="str">
            <v>KEM DƯỠNG</v>
          </cell>
          <cell r="O567" t="str">
            <v>102420</v>
          </cell>
          <cell r="P567" t="str">
            <v>4902468820007</v>
          </cell>
          <cell r="Q567" t="str">
            <v>MEISHOKU- Tinh chất dưỡng ẩm chuyên sâu 30ml</v>
          </cell>
          <cell r="R567">
            <v>555000</v>
          </cell>
          <cell r="S567">
            <v>1</v>
          </cell>
          <cell r="T567">
            <v>555000</v>
          </cell>
          <cell r="U567">
            <v>55000</v>
          </cell>
          <cell r="V567">
            <v>500000</v>
          </cell>
          <cell r="W567" t="str">
            <v>4902468820007</v>
          </cell>
        </row>
        <row r="568">
          <cell r="A568">
            <v>2026</v>
          </cell>
          <cell r="B568">
            <v>6</v>
          </cell>
          <cell r="C568">
            <v>46194</v>
          </cell>
          <cell r="D568" t="str">
            <v>1. SKK store</v>
          </cell>
          <cell r="E568" t="str">
            <v>S1005</v>
          </cell>
          <cell r="F568" t="str">
            <v>SKK  Thái Hà</v>
          </cell>
          <cell r="G568" t="str">
            <v>0971518888</v>
          </cell>
          <cell r="H568" t="str">
            <v>Anh Nguyễn Hồng Nhật</v>
          </cell>
          <cell r="I568" t="str">
            <v>Khách cũ</v>
          </cell>
          <cell r="J568" t="str">
            <v>Đơn bán</v>
          </cell>
          <cell r="K568" t="str">
            <v>SAKUKO819348</v>
          </cell>
          <cell r="L568" t="str">
            <v>THỰC PHẨM</v>
          </cell>
          <cell r="M568" t="str">
            <v>BÁNH KẸO, ĐỒ ĂN VẶT</v>
          </cell>
          <cell r="N568" t="str">
            <v>KẸO CAO SU</v>
          </cell>
          <cell r="O568" t="str">
            <v>154105</v>
          </cell>
          <cell r="P568" t="str">
            <v>4547894156612</v>
          </cell>
          <cell r="Q568" t="str">
            <v>MONDELEZ JAPAN - Kẹo cao su 112g</v>
          </cell>
          <cell r="R568">
            <v>235000</v>
          </cell>
          <cell r="S568">
            <v>1</v>
          </cell>
          <cell r="T568">
            <v>235000</v>
          </cell>
          <cell r="U568">
            <v>0</v>
          </cell>
          <cell r="V568">
            <v>235000</v>
          </cell>
          <cell r="W568" t="str">
            <v>4547894156612</v>
          </cell>
        </row>
        <row r="569">
          <cell r="A569">
            <v>2026</v>
          </cell>
          <cell r="B569">
            <v>6</v>
          </cell>
          <cell r="C569">
            <v>46194</v>
          </cell>
          <cell r="D569" t="str">
            <v>1. SKK store</v>
          </cell>
          <cell r="E569" t="str">
            <v>S1006</v>
          </cell>
          <cell r="F569" t="str">
            <v>SKK Trần Đăng Ninh</v>
          </cell>
          <cell r="G569" t="str">
            <v>0975597077</v>
          </cell>
          <cell r="H569" t="str">
            <v>hoàng tuấn vũ</v>
          </cell>
          <cell r="I569" t="str">
            <v>Khách cũ</v>
          </cell>
          <cell r="J569" t="str">
            <v>Đơn bán</v>
          </cell>
          <cell r="K569" t="str">
            <v>SAKUKO819638</v>
          </cell>
          <cell r="L569" t="str">
            <v>THỰC PHẨM</v>
          </cell>
          <cell r="M569" t="str">
            <v>MỲ, MIẾN</v>
          </cell>
          <cell r="N569" t="str">
            <v>MỲ ĂN LIỀN</v>
          </cell>
          <cell r="O569" t="str">
            <v>154359</v>
          </cell>
          <cell r="P569" t="str">
            <v>4979397000138</v>
          </cell>
          <cell r="Q569" t="str">
            <v>YAMAMOTO- Mì ramen ăn liền hải sản thịt heo 88g*5</v>
          </cell>
          <cell r="R569">
            <v>99000</v>
          </cell>
          <cell r="S569">
            <v>2</v>
          </cell>
          <cell r="T569">
            <v>198000</v>
          </cell>
          <cell r="U569">
            <v>0</v>
          </cell>
          <cell r="V569">
            <v>198000</v>
          </cell>
          <cell r="W569" t="str">
            <v>4979397000138</v>
          </cell>
        </row>
        <row r="570">
          <cell r="A570">
            <v>2026</v>
          </cell>
          <cell r="B570">
            <v>6</v>
          </cell>
          <cell r="C570">
            <v>46194</v>
          </cell>
          <cell r="D570" t="str">
            <v>1. SKK store</v>
          </cell>
          <cell r="E570" t="str">
            <v>S1006</v>
          </cell>
          <cell r="F570" t="str">
            <v>SKK Trần Đăng Ninh</v>
          </cell>
          <cell r="G570" t="str">
            <v>0977471111</v>
          </cell>
          <cell r="H570" t="str">
            <v>Nguyễn Thị Thương</v>
          </cell>
          <cell r="I570" t="str">
            <v>Khách cũ</v>
          </cell>
          <cell r="J570" t="str">
            <v>Đơn bán</v>
          </cell>
          <cell r="K570" t="str">
            <v>SAKUKO819137</v>
          </cell>
          <cell r="L570" t="str">
            <v>CHĂM SÓC SẮC ĐẸP</v>
          </cell>
          <cell r="M570" t="str">
            <v>CHĂM SÓC DA</v>
          </cell>
          <cell r="N570" t="str">
            <v>KEM DƯỠNG</v>
          </cell>
          <cell r="O570" t="str">
            <v>102384</v>
          </cell>
          <cell r="P570" t="str">
            <v>4902468820014</v>
          </cell>
          <cell r="Q570" t="str">
            <v>MEISHOKU- Kem gel dưỡng ẩm phục hồi chuyên sâu 50g</v>
          </cell>
          <cell r="R570">
            <v>575000</v>
          </cell>
          <cell r="S570">
            <v>1</v>
          </cell>
          <cell r="T570">
            <v>575000</v>
          </cell>
          <cell r="U570">
            <v>76000</v>
          </cell>
          <cell r="V570">
            <v>499000</v>
          </cell>
          <cell r="W570" t="str">
            <v>4902468820014</v>
          </cell>
        </row>
        <row r="571">
          <cell r="A571">
            <v>2026</v>
          </cell>
          <cell r="B571">
            <v>6</v>
          </cell>
          <cell r="C571">
            <v>46194</v>
          </cell>
          <cell r="D571" t="str">
            <v>1. SKK store</v>
          </cell>
          <cell r="E571" t="str">
            <v>S1006</v>
          </cell>
          <cell r="F571" t="str">
            <v>SKK Trần Đăng Ninh</v>
          </cell>
          <cell r="G571" t="str">
            <v>0977471111</v>
          </cell>
          <cell r="H571" t="str">
            <v>Nguyễn Thị Thương</v>
          </cell>
          <cell r="I571" t="str">
            <v>Khách cũ</v>
          </cell>
          <cell r="J571" t="str">
            <v>Đơn bán</v>
          </cell>
          <cell r="K571" t="str">
            <v>SAKUKO819137</v>
          </cell>
          <cell r="L571" t="str">
            <v>CHĂM SÓC SẮC ĐẸP</v>
          </cell>
          <cell r="M571" t="str">
            <v>CHĂM SÓC DA</v>
          </cell>
          <cell r="N571" t="str">
            <v>KEM DƯỠNG</v>
          </cell>
          <cell r="O571" t="str">
            <v>102420</v>
          </cell>
          <cell r="P571" t="str">
            <v>4902468820007</v>
          </cell>
          <cell r="Q571" t="str">
            <v>MEISHOKU- Tinh chất dưỡng ẩm chuyên sâu 30ml</v>
          </cell>
          <cell r="R571">
            <v>555000</v>
          </cell>
          <cell r="S571">
            <v>1</v>
          </cell>
          <cell r="T571">
            <v>555000</v>
          </cell>
          <cell r="U571">
            <v>55000</v>
          </cell>
          <cell r="V571">
            <v>500000</v>
          </cell>
          <cell r="W571" t="str">
            <v>4902468820007</v>
          </cell>
        </row>
        <row r="572">
          <cell r="A572">
            <v>2026</v>
          </cell>
          <cell r="B572">
            <v>6</v>
          </cell>
          <cell r="C572">
            <v>46194</v>
          </cell>
          <cell r="D572" t="str">
            <v>1. SKK store</v>
          </cell>
          <cell r="E572" t="str">
            <v>S1006</v>
          </cell>
          <cell r="F572" t="str">
            <v>SKK Trần Đăng Ninh</v>
          </cell>
          <cell r="G572" t="str">
            <v>0977502727</v>
          </cell>
          <cell r="H572" t="str">
            <v>chị Thanh</v>
          </cell>
          <cell r="I572" t="str">
            <v>Khách mới</v>
          </cell>
          <cell r="J572" t="str">
            <v>Đơn bán</v>
          </cell>
          <cell r="K572" t="str">
            <v>SAKUKO819241</v>
          </cell>
          <cell r="L572" t="str">
            <v>THỰC PHẨM</v>
          </cell>
          <cell r="M572" t="str">
            <v>MỲ, MIẾN</v>
          </cell>
          <cell r="N572" t="str">
            <v>MỲ ĂN LIỀN</v>
          </cell>
          <cell r="O572" t="str">
            <v>154196</v>
          </cell>
          <cell r="P572" t="str">
            <v>4979397000152</v>
          </cell>
          <cell r="Q572" t="str">
            <v>YAMAMOTO_Mì xào kiểu Nhật 89g*5</v>
          </cell>
          <cell r="R572">
            <v>99000</v>
          </cell>
          <cell r="S572">
            <v>3</v>
          </cell>
          <cell r="T572">
            <v>297000</v>
          </cell>
          <cell r="U572">
            <v>0</v>
          </cell>
          <cell r="V572">
            <v>297000</v>
          </cell>
          <cell r="W572" t="str">
            <v>4979397000152</v>
          </cell>
        </row>
        <row r="573">
          <cell r="A573">
            <v>2026</v>
          </cell>
          <cell r="B573">
            <v>6</v>
          </cell>
          <cell r="C573">
            <v>46194</v>
          </cell>
          <cell r="D573" t="str">
            <v>1. SKK store</v>
          </cell>
          <cell r="E573" t="str">
            <v>S1007</v>
          </cell>
          <cell r="F573" t="str">
            <v>SKK  Nguyễn Du</v>
          </cell>
          <cell r="G573" t="str">
            <v>0913778960</v>
          </cell>
          <cell r="H573" t="str">
            <v>chú chất</v>
          </cell>
          <cell r="I573" t="str">
            <v>Khách cũ</v>
          </cell>
          <cell r="J573" t="str">
            <v>Đơn bán</v>
          </cell>
          <cell r="K573" t="str">
            <v>SAKUKO819347</v>
          </cell>
          <cell r="L573" t="str">
            <v>NHÀ CỬA ĐỜI SỐNG</v>
          </cell>
          <cell r="M573" t="str">
            <v>PHÒNG CHỐNG CÔN TRÙNG</v>
          </cell>
          <cell r="N573" t="str">
            <v>DIỆT CÔN TRÙNG</v>
          </cell>
          <cell r="O573" t="str">
            <v>230476</v>
          </cell>
          <cell r="P573" t="str">
            <v>4987115105874</v>
          </cell>
          <cell r="Q573" t="str">
            <v>KINCHO- XỊT DIỆT MUỖI HƯƠNG HOA HỒNG 45ML</v>
          </cell>
          <cell r="R573">
            <v>320000</v>
          </cell>
          <cell r="S573">
            <v>2</v>
          </cell>
          <cell r="T573">
            <v>640000</v>
          </cell>
          <cell r="U573">
            <v>192000</v>
          </cell>
          <cell r="V573">
            <v>448000</v>
          </cell>
          <cell r="W573" t="str">
            <v>4987115105874</v>
          </cell>
        </row>
        <row r="574">
          <cell r="A574">
            <v>2026</v>
          </cell>
          <cell r="B574">
            <v>6</v>
          </cell>
          <cell r="C574">
            <v>46194</v>
          </cell>
          <cell r="D574" t="str">
            <v>1. SKK store</v>
          </cell>
          <cell r="E574" t="str">
            <v>S1008</v>
          </cell>
          <cell r="F574" t="str">
            <v>SKK  Hàng Bông</v>
          </cell>
          <cell r="G574" t="str">
            <v>02466810202</v>
          </cell>
          <cell r="H574" t="str">
            <v>KH Tây</v>
          </cell>
          <cell r="I574" t="str">
            <v>Khách vãng lai</v>
          </cell>
          <cell r="J574" t="str">
            <v>Đơn bán</v>
          </cell>
          <cell r="K574" t="str">
            <v>SAKUKO819307</v>
          </cell>
          <cell r="L574" t="str">
            <v>NHÀ CỬA ĐỜI SỐNG</v>
          </cell>
          <cell r="M574" t="str">
            <v>ĐỒ DÙNG SINH HOẠT GIA ĐÌNH</v>
          </cell>
          <cell r="N574" t="str">
            <v>VẬT DỤNG SINH HOẠT KHÁC</v>
          </cell>
          <cell r="O574" t="str">
            <v>135039</v>
          </cell>
          <cell r="P574" t="str">
            <v>4968988074993</v>
          </cell>
          <cell r="Q574" t="str">
            <v>OMAICHI- Set 2 lọ chiết mỹ phẩm 40ml kèm hộp đựng</v>
          </cell>
          <cell r="R574">
            <v>52000</v>
          </cell>
          <cell r="S574">
            <v>1</v>
          </cell>
          <cell r="T574">
            <v>52000</v>
          </cell>
          <cell r="U574">
            <v>0</v>
          </cell>
          <cell r="V574">
            <v>52000</v>
          </cell>
          <cell r="W574" t="str">
            <v>4968988074993</v>
          </cell>
        </row>
        <row r="575">
          <cell r="A575">
            <v>2026</v>
          </cell>
          <cell r="B575">
            <v>6</v>
          </cell>
          <cell r="C575">
            <v>46194</v>
          </cell>
          <cell r="D575" t="str">
            <v>1. SKK store</v>
          </cell>
          <cell r="E575" t="str">
            <v>S1008</v>
          </cell>
          <cell r="F575" t="str">
            <v>SKK  Hàng Bông</v>
          </cell>
          <cell r="G575" t="str">
            <v>02466810202</v>
          </cell>
          <cell r="H575" t="str">
            <v>KH Tây</v>
          </cell>
          <cell r="I575" t="str">
            <v>Khách vãng lai</v>
          </cell>
          <cell r="J575" t="str">
            <v>Đơn bán</v>
          </cell>
          <cell r="K575" t="str">
            <v>SAKUKO820099</v>
          </cell>
          <cell r="L575" t="str">
            <v>CHĂM SÓC SẮC ĐẸP</v>
          </cell>
          <cell r="M575" t="str">
            <v>CHĂM SÓC DA</v>
          </cell>
          <cell r="N575" t="str">
            <v>CHĂM SÓC DA KHÁC</v>
          </cell>
          <cell r="O575" t="str">
            <v>102387</v>
          </cell>
          <cell r="P575" t="str">
            <v>8935006542907</v>
          </cell>
          <cell r="Q575" t="str">
            <v>HADA LABO- Bộ sản phẩm dưỡng ẩm (travel kit)47g</v>
          </cell>
          <cell r="R575">
            <v>129000</v>
          </cell>
          <cell r="S575">
            <v>2</v>
          </cell>
          <cell r="T575">
            <v>258000</v>
          </cell>
          <cell r="U575">
            <v>40000</v>
          </cell>
          <cell r="V575">
            <v>218000</v>
          </cell>
          <cell r="W575" t="str">
            <v>8935006542907</v>
          </cell>
        </row>
        <row r="576">
          <cell r="A576">
            <v>2026</v>
          </cell>
          <cell r="B576">
            <v>6</v>
          </cell>
          <cell r="C576">
            <v>46194</v>
          </cell>
          <cell r="D576" t="str">
            <v>1. SKK store</v>
          </cell>
          <cell r="E576" t="str">
            <v>S1008</v>
          </cell>
          <cell r="F576" t="str">
            <v>SKK  Hàng Bông</v>
          </cell>
          <cell r="G576" t="str">
            <v>0906223491</v>
          </cell>
          <cell r="H576" t="str">
            <v>Nguyễn Linh Hiếu</v>
          </cell>
          <cell r="I576" t="str">
            <v>Khách cũ</v>
          </cell>
          <cell r="J576" t="str">
            <v>Đơn bán</v>
          </cell>
          <cell r="K576" t="str">
            <v>SAKUKO820171</v>
          </cell>
          <cell r="L576" t="str">
            <v>THỰC PHẨM</v>
          </cell>
          <cell r="M576" t="str">
            <v>MỲ, MIẾN</v>
          </cell>
          <cell r="N576" t="str">
            <v>MỲ ĂN LIỀN</v>
          </cell>
          <cell r="O576" t="str">
            <v>154333</v>
          </cell>
          <cell r="P576" t="str">
            <v>4901990325547</v>
          </cell>
          <cell r="Q576" t="str">
            <v>MARUCHAN-Mì hộp ramen hoành thánh nước tương 117g</v>
          </cell>
          <cell r="R576">
            <v>45000</v>
          </cell>
          <cell r="S576">
            <v>1</v>
          </cell>
          <cell r="T576">
            <v>45000</v>
          </cell>
          <cell r="U576">
            <v>0</v>
          </cell>
          <cell r="V576">
            <v>45000</v>
          </cell>
          <cell r="W576" t="str">
            <v>4901990325547</v>
          </cell>
        </row>
        <row r="577">
          <cell r="A577">
            <v>2026</v>
          </cell>
          <cell r="B577">
            <v>6</v>
          </cell>
          <cell r="C577">
            <v>46194</v>
          </cell>
          <cell r="D577" t="str">
            <v>1. SKK store</v>
          </cell>
          <cell r="E577" t="str">
            <v>S1008</v>
          </cell>
          <cell r="F577" t="str">
            <v>SKK  Hàng Bông</v>
          </cell>
          <cell r="G577" t="str">
            <v>0972182819</v>
          </cell>
          <cell r="H577" t="str">
            <v>C.TRANG</v>
          </cell>
          <cell r="I577" t="str">
            <v>Khách cũ</v>
          </cell>
          <cell r="J577" t="str">
            <v>Đơn bán</v>
          </cell>
          <cell r="K577" t="str">
            <v>SAKUKO820104</v>
          </cell>
          <cell r="L577" t="str">
            <v>CHĂM SÓC SẮC ĐẸP</v>
          </cell>
          <cell r="M577" t="str">
            <v>CHĂM SÓC DA</v>
          </cell>
          <cell r="N577" t="str">
            <v>RỬA MẶT</v>
          </cell>
          <cell r="O577" t="str">
            <v>102386</v>
          </cell>
          <cell r="P577" t="str">
            <v>4902468816062</v>
          </cell>
          <cell r="Q577" t="str">
            <v>MEISHOKU- Sữa rửa mặt sáng da Cvita 100g</v>
          </cell>
          <cell r="R577">
            <v>290000</v>
          </cell>
          <cell r="S577">
            <v>1</v>
          </cell>
          <cell r="T577">
            <v>290000</v>
          </cell>
          <cell r="U577">
            <v>23200</v>
          </cell>
          <cell r="V577">
            <v>266800</v>
          </cell>
          <cell r="W577" t="str">
            <v>4902468816062</v>
          </cell>
        </row>
        <row r="578">
          <cell r="A578">
            <v>2026</v>
          </cell>
          <cell r="B578">
            <v>6</v>
          </cell>
          <cell r="C578">
            <v>46194</v>
          </cell>
          <cell r="D578" t="str">
            <v>1. SKK store</v>
          </cell>
          <cell r="E578" t="str">
            <v>S1015</v>
          </cell>
          <cell r="F578" t="str">
            <v>SKK Hàm Nghi</v>
          </cell>
          <cell r="G578" t="str">
            <v>0964111134</v>
          </cell>
          <cell r="H578" t="str">
            <v>chị mỹ bình</v>
          </cell>
          <cell r="I578" t="str">
            <v>Khách cũ</v>
          </cell>
          <cell r="J578" t="str">
            <v>Đơn bán</v>
          </cell>
          <cell r="K578" t="str">
            <v>SAKUKO820005</v>
          </cell>
          <cell r="L578" t="str">
            <v>CHĂM SÓC SẮC ĐẸP</v>
          </cell>
          <cell r="M578" t="str">
            <v>CHĂM SÓC DA</v>
          </cell>
          <cell r="N578" t="str">
            <v>RỬA MẶT</v>
          </cell>
          <cell r="O578" t="str">
            <v>102448</v>
          </cell>
          <cell r="P578" t="str">
            <v>4902806470642</v>
          </cell>
          <cell r="Q578" t="str">
            <v>GATSBY- SRM sạch bụi &amp; dầu nhờn 130g</v>
          </cell>
          <cell r="R578">
            <v>100000</v>
          </cell>
          <cell r="S578">
            <v>2</v>
          </cell>
          <cell r="T578">
            <v>200000</v>
          </cell>
          <cell r="U578">
            <v>20000</v>
          </cell>
          <cell r="V578">
            <v>180000</v>
          </cell>
          <cell r="W578" t="str">
            <v>4902806470642</v>
          </cell>
        </row>
        <row r="579">
          <cell r="A579">
            <v>2026</v>
          </cell>
          <cell r="B579">
            <v>6</v>
          </cell>
          <cell r="C579">
            <v>46194</v>
          </cell>
          <cell r="D579" t="str">
            <v>1. SKK store</v>
          </cell>
          <cell r="E579" t="str">
            <v>S1015</v>
          </cell>
          <cell r="F579" t="str">
            <v>SKK Hàm Nghi</v>
          </cell>
          <cell r="G579" t="str">
            <v>0988000257</v>
          </cell>
          <cell r="H579" t="str">
            <v>anh quân</v>
          </cell>
          <cell r="I579" t="str">
            <v>Khách cũ</v>
          </cell>
          <cell r="J579" t="str">
            <v>Đơn bán</v>
          </cell>
          <cell r="K579" t="str">
            <v>SAKUKO819150</v>
          </cell>
          <cell r="L579" t="str">
            <v>CHĂM SÓC SẮC ĐẸP</v>
          </cell>
          <cell r="M579" t="str">
            <v>CHĂM SÓC CƠ THỂ</v>
          </cell>
          <cell r="N579" t="str">
            <v>CHỐNG NẮNG</v>
          </cell>
          <cell r="O579" t="str">
            <v>102422</v>
          </cell>
          <cell r="P579" t="str">
            <v>4902468297151</v>
          </cell>
          <cell r="Q579" t="str">
            <v>MEISHOU- KCN tone hồng cho da nhạy cảm 40g</v>
          </cell>
          <cell r="R579">
            <v>435000</v>
          </cell>
          <cell r="S579">
            <v>1</v>
          </cell>
          <cell r="T579">
            <v>435000</v>
          </cell>
          <cell r="U579">
            <v>0</v>
          </cell>
          <cell r="V579">
            <v>435000</v>
          </cell>
          <cell r="W579" t="str">
            <v>4902468297151</v>
          </cell>
        </row>
        <row r="580">
          <cell r="A580">
            <v>2026</v>
          </cell>
          <cell r="B580">
            <v>6</v>
          </cell>
          <cell r="C580">
            <v>46194</v>
          </cell>
          <cell r="D580" t="str">
            <v>1. SKK store</v>
          </cell>
          <cell r="E580" t="str">
            <v>S1018</v>
          </cell>
          <cell r="F580" t="str">
            <v>SKK Nguyễn Tuân</v>
          </cell>
          <cell r="G580" t="str">
            <v>0912120246</v>
          </cell>
          <cell r="H580" t="str">
            <v>Anh Bút</v>
          </cell>
          <cell r="I580" t="str">
            <v>Khách cũ</v>
          </cell>
          <cell r="J580" t="str">
            <v>Đơn bán</v>
          </cell>
          <cell r="K580" t="str">
            <v>SAKUKO819270</v>
          </cell>
          <cell r="L580" t="str">
            <v>CHĂM SÓC SẮC ĐẸP</v>
          </cell>
          <cell r="M580" t="str">
            <v>CHĂM SÓC DA</v>
          </cell>
          <cell r="N580" t="str">
            <v>RỬA MẶT</v>
          </cell>
          <cell r="O580" t="str">
            <v>230849</v>
          </cell>
          <cell r="P580" t="str">
            <v>4902806102048</v>
          </cell>
          <cell r="Q580" t="str">
            <v>GATSBY- SRM than hoạt tính sạch sâu 130g</v>
          </cell>
          <cell r="R580">
            <v>125000</v>
          </cell>
          <cell r="S580">
            <v>1</v>
          </cell>
          <cell r="T580">
            <v>125000</v>
          </cell>
          <cell r="U580">
            <v>12500</v>
          </cell>
          <cell r="V580">
            <v>112500</v>
          </cell>
          <cell r="W580" t="str">
            <v>4902806102048</v>
          </cell>
        </row>
        <row r="581">
          <cell r="A581">
            <v>2026</v>
          </cell>
          <cell r="B581">
            <v>6</v>
          </cell>
          <cell r="C581">
            <v>46194</v>
          </cell>
          <cell r="D581" t="str">
            <v>1. SKK store</v>
          </cell>
          <cell r="E581" t="str">
            <v>S1018</v>
          </cell>
          <cell r="F581" t="str">
            <v>SKK Nguyễn Tuân</v>
          </cell>
          <cell r="G581" t="str">
            <v>0975562835</v>
          </cell>
          <cell r="H581" t="str">
            <v>cô Sâm</v>
          </cell>
          <cell r="I581" t="str">
            <v>Khách cũ</v>
          </cell>
          <cell r="J581" t="str">
            <v>Đơn bán</v>
          </cell>
          <cell r="K581" t="str">
            <v>SAKUKO819378</v>
          </cell>
          <cell r="L581" t="str">
            <v>CHĂM SÓC SẮC ĐẸP</v>
          </cell>
          <cell r="M581" t="str">
            <v>Mỹ phẩm khác</v>
          </cell>
          <cell r="N581" t="str">
            <v>PHỤ KIỆN LÀM ĐẸP</v>
          </cell>
          <cell r="O581" t="str">
            <v>102389</v>
          </cell>
          <cell r="P581" t="str">
            <v>4969757110652</v>
          </cell>
          <cell r="Q581" t="str">
            <v>KYOWA- Gói bông tẩy trang 130 miếng</v>
          </cell>
          <cell r="R581">
            <v>49000</v>
          </cell>
          <cell r="S581">
            <v>2</v>
          </cell>
          <cell r="T581">
            <v>98000</v>
          </cell>
          <cell r="U581">
            <v>0</v>
          </cell>
          <cell r="V581">
            <v>98000</v>
          </cell>
          <cell r="W581" t="str">
            <v>4969757110652</v>
          </cell>
        </row>
        <row r="582">
          <cell r="A582">
            <v>2026</v>
          </cell>
          <cell r="B582">
            <v>6</v>
          </cell>
          <cell r="C582">
            <v>46194</v>
          </cell>
          <cell r="D582" t="str">
            <v>1. SKK store</v>
          </cell>
          <cell r="E582" t="str">
            <v>S1018</v>
          </cell>
          <cell r="F582" t="str">
            <v>SKK Nguyễn Tuân</v>
          </cell>
          <cell r="G582" t="str">
            <v>0984447959</v>
          </cell>
          <cell r="H582" t="str">
            <v>Chị Thoa</v>
          </cell>
          <cell r="I582" t="str">
            <v>Khách cũ</v>
          </cell>
          <cell r="J582" t="str">
            <v>Đơn bán</v>
          </cell>
          <cell r="K582" t="str">
            <v>SAKUKO819533</v>
          </cell>
          <cell r="L582" t="str">
            <v>CHĂM SÓC SẮC ĐẸP</v>
          </cell>
          <cell r="M582" t="str">
            <v>CHĂM SÓC DA</v>
          </cell>
          <cell r="N582" t="str">
            <v>CHĂM SÓC DA KHÁC</v>
          </cell>
          <cell r="O582" t="str">
            <v>102387</v>
          </cell>
          <cell r="P582" t="str">
            <v>8935006542907</v>
          </cell>
          <cell r="Q582" t="str">
            <v>HADA LABO- Bộ sản phẩm dưỡng ẩm (travel kit)47g</v>
          </cell>
          <cell r="R582">
            <v>129000</v>
          </cell>
          <cell r="S582">
            <v>2</v>
          </cell>
          <cell r="T582">
            <v>258000</v>
          </cell>
          <cell r="U582">
            <v>40000</v>
          </cell>
          <cell r="V582">
            <v>218000</v>
          </cell>
          <cell r="W582" t="str">
            <v>8935006542907</v>
          </cell>
        </row>
        <row r="583">
          <cell r="A583">
            <v>2026</v>
          </cell>
          <cell r="B583">
            <v>6</v>
          </cell>
          <cell r="C583">
            <v>46194</v>
          </cell>
          <cell r="D583" t="str">
            <v>1. SKK store</v>
          </cell>
          <cell r="E583" t="str">
            <v>S1018</v>
          </cell>
          <cell r="F583" t="str">
            <v>SKK Nguyễn Tuân</v>
          </cell>
          <cell r="G583" t="str">
            <v>0988773247</v>
          </cell>
          <cell r="H583" t="str">
            <v>Phan Tiến dũng</v>
          </cell>
          <cell r="I583" t="str">
            <v>Khách cũ</v>
          </cell>
          <cell r="J583" t="str">
            <v>Đơn bán</v>
          </cell>
          <cell r="K583" t="str">
            <v>SAKUKO820087</v>
          </cell>
          <cell r="L583" t="str">
            <v>NHÀ CỬA ĐỜI SỐNG</v>
          </cell>
          <cell r="M583" t="str">
            <v>ĐỒ DÙNG SINH HOẠT GIA ĐÌNH</v>
          </cell>
          <cell r="N583" t="str">
            <v>VẬT DỤNG SINH HOẠT KHÁC</v>
          </cell>
          <cell r="O583" t="str">
            <v>135039</v>
          </cell>
          <cell r="P583" t="str">
            <v>4968988074993</v>
          </cell>
          <cell r="Q583" t="str">
            <v>OMAICHI- Set 2 lọ chiết mỹ phẩm 40ml kèm hộp đựng</v>
          </cell>
          <cell r="R583">
            <v>52000</v>
          </cell>
          <cell r="S583">
            <v>3</v>
          </cell>
          <cell r="T583">
            <v>156000</v>
          </cell>
          <cell r="U583">
            <v>0</v>
          </cell>
          <cell r="V583">
            <v>156000</v>
          </cell>
          <cell r="W583" t="str">
            <v>4968988074993</v>
          </cell>
        </row>
        <row r="584">
          <cell r="A584">
            <v>2026</v>
          </cell>
          <cell r="B584">
            <v>6</v>
          </cell>
          <cell r="C584">
            <v>46194</v>
          </cell>
          <cell r="D584" t="str">
            <v>1. SKK store</v>
          </cell>
          <cell r="E584" t="str">
            <v>S1025</v>
          </cell>
          <cell r="F584" t="str">
            <v>SKK T6 Time City</v>
          </cell>
          <cell r="G584" t="str">
            <v>0919622539</v>
          </cell>
          <cell r="H584" t="str">
            <v>Chị PHƯƠNG MAI</v>
          </cell>
          <cell r="I584" t="str">
            <v>Khách cũ</v>
          </cell>
          <cell r="J584" t="str">
            <v>Đơn bán</v>
          </cell>
          <cell r="K584" t="str">
            <v>SAKUKO819956</v>
          </cell>
          <cell r="L584" t="str">
            <v>THỰC PHẨM</v>
          </cell>
          <cell r="M584" t="str">
            <v>BÁNH KẸO, ĐỒ ĂN VẶT</v>
          </cell>
          <cell r="N584" t="str">
            <v>KẸO CAO SU</v>
          </cell>
          <cell r="O584" t="str">
            <v>231374</v>
          </cell>
          <cell r="P584" t="str">
            <v>4547894156315</v>
          </cell>
          <cell r="Q584" t="str">
            <v>CLORETS-Kẹo cao su hương vị 4 mùa 140g</v>
          </cell>
          <cell r="R584">
            <v>235000</v>
          </cell>
          <cell r="S584">
            <v>1</v>
          </cell>
          <cell r="T584">
            <v>235000</v>
          </cell>
          <cell r="U584">
            <v>0</v>
          </cell>
          <cell r="V584">
            <v>235000</v>
          </cell>
          <cell r="W584" t="str">
            <v>4547894156315</v>
          </cell>
        </row>
        <row r="585">
          <cell r="A585">
            <v>2026</v>
          </cell>
          <cell r="B585">
            <v>6</v>
          </cell>
          <cell r="C585">
            <v>46194</v>
          </cell>
          <cell r="D585" t="str">
            <v>1. SKK store</v>
          </cell>
          <cell r="E585" t="str">
            <v>S1025</v>
          </cell>
          <cell r="F585" t="str">
            <v>SKK T6 Time City</v>
          </cell>
          <cell r="G585" t="str">
            <v>0962188626</v>
          </cell>
          <cell r="H585" t="str">
            <v>chị Hằng</v>
          </cell>
          <cell r="I585" t="str">
            <v>Khách cũ</v>
          </cell>
          <cell r="J585" t="str">
            <v>Đơn bán</v>
          </cell>
          <cell r="K585" t="str">
            <v>SAKUKO819523</v>
          </cell>
          <cell r="L585" t="str">
            <v>THỰC PHẨM</v>
          </cell>
          <cell r="M585" t="str">
            <v>MỲ, MIẾN</v>
          </cell>
          <cell r="N585" t="str">
            <v>MỲ CHẾ BIẾN</v>
          </cell>
          <cell r="O585" t="str">
            <v>154247</v>
          </cell>
          <cell r="P585" t="str">
            <v>4902902105004</v>
          </cell>
          <cell r="Q585" t="str">
            <v>MALONY_Miến khoai tây 500g</v>
          </cell>
          <cell r="R585">
            <v>139000</v>
          </cell>
          <cell r="S585">
            <v>1</v>
          </cell>
          <cell r="T585">
            <v>139000</v>
          </cell>
          <cell r="U585">
            <v>41700</v>
          </cell>
          <cell r="V585">
            <v>97300</v>
          </cell>
          <cell r="W585" t="str">
            <v>4902902105004</v>
          </cell>
        </row>
        <row r="586">
          <cell r="A586">
            <v>2026</v>
          </cell>
          <cell r="B586">
            <v>6</v>
          </cell>
          <cell r="C586">
            <v>46193</v>
          </cell>
          <cell r="D586" t="str">
            <v>1. SKK store</v>
          </cell>
          <cell r="E586" t="str">
            <v>S1004</v>
          </cell>
          <cell r="F586" t="str">
            <v>SKK  Mandarin C1</v>
          </cell>
          <cell r="G586" t="str">
            <v>0947017898</v>
          </cell>
          <cell r="H586" t="str">
            <v>Cô Mai</v>
          </cell>
          <cell r="I586" t="str">
            <v>Khách cũ</v>
          </cell>
          <cell r="J586" t="str">
            <v>Đơn bán</v>
          </cell>
          <cell r="K586" t="str">
            <v>SAKUKO817957</v>
          </cell>
          <cell r="L586" t="str">
            <v>THỰC PHẨM</v>
          </cell>
          <cell r="M586" t="str">
            <v>MỲ, MIẾN</v>
          </cell>
          <cell r="N586" t="str">
            <v>MỲ CHẾ BIẾN</v>
          </cell>
          <cell r="O586" t="str">
            <v>174948</v>
          </cell>
          <cell r="P586" t="str">
            <v>4582114354119</v>
          </cell>
          <cell r="Q586" t="str">
            <v>SANUKISHISEI- Mì soumen 300g</v>
          </cell>
          <cell r="R586">
            <v>35000</v>
          </cell>
          <cell r="S586">
            <v>1</v>
          </cell>
          <cell r="T586">
            <v>35000</v>
          </cell>
          <cell r="U586">
            <v>0</v>
          </cell>
          <cell r="V586">
            <v>35000</v>
          </cell>
          <cell r="W586" t="str">
            <v>4582114354119</v>
          </cell>
        </row>
        <row r="587">
          <cell r="A587">
            <v>2026</v>
          </cell>
          <cell r="B587">
            <v>6</v>
          </cell>
          <cell r="C587">
            <v>46193</v>
          </cell>
          <cell r="D587" t="str">
            <v>1. SKK store</v>
          </cell>
          <cell r="E587" t="str">
            <v>S1005</v>
          </cell>
          <cell r="F587" t="str">
            <v>SKK  Thái Hà</v>
          </cell>
          <cell r="G587" t="str">
            <v>0857723330</v>
          </cell>
          <cell r="H587" t="str">
            <v>chị thi từ</v>
          </cell>
          <cell r="I587" t="str">
            <v>Khách cũ</v>
          </cell>
          <cell r="J587" t="str">
            <v>Đơn bán</v>
          </cell>
          <cell r="K587" t="str">
            <v>SAKUKO818558</v>
          </cell>
          <cell r="L587" t="str">
            <v>THỰC PHẨM</v>
          </cell>
          <cell r="M587" t="str">
            <v>MỲ, MIẾN</v>
          </cell>
          <cell r="N587" t="str">
            <v>MỲ ĂN LIỀN</v>
          </cell>
          <cell r="O587" t="str">
            <v>154198</v>
          </cell>
          <cell r="P587" t="str">
            <v>4979397000145</v>
          </cell>
          <cell r="Q587" t="str">
            <v>YAMAMOTO_Mì ramen ăn liền vị miso 90g*5</v>
          </cell>
          <cell r="R587">
            <v>99000</v>
          </cell>
          <cell r="S587">
            <v>1</v>
          </cell>
          <cell r="T587">
            <v>99000</v>
          </cell>
          <cell r="U587">
            <v>0</v>
          </cell>
          <cell r="V587">
            <v>99000</v>
          </cell>
          <cell r="W587" t="str">
            <v>4979397000145</v>
          </cell>
        </row>
        <row r="588">
          <cell r="A588">
            <v>2026</v>
          </cell>
          <cell r="B588">
            <v>6</v>
          </cell>
          <cell r="C588">
            <v>46193</v>
          </cell>
          <cell r="D588" t="str">
            <v>1. SKK store</v>
          </cell>
          <cell r="E588" t="str">
            <v>S1005</v>
          </cell>
          <cell r="F588" t="str">
            <v>SKK  Thái Hà</v>
          </cell>
          <cell r="G588" t="str">
            <v>0946281919</v>
          </cell>
          <cell r="H588" t="str">
            <v>Chị Lộc</v>
          </cell>
          <cell r="I588" t="str">
            <v>Khách cũ</v>
          </cell>
          <cell r="J588" t="str">
            <v>Đơn bán</v>
          </cell>
          <cell r="K588" t="str">
            <v>SAKUKO818148</v>
          </cell>
          <cell r="L588" t="str">
            <v>CHĂM SÓC SẮC ĐẸP</v>
          </cell>
          <cell r="M588" t="str">
            <v>CHĂM SÓC DA</v>
          </cell>
          <cell r="N588" t="str">
            <v>CHĂM SÓC DA KHÁC</v>
          </cell>
          <cell r="O588" t="str">
            <v>102388</v>
          </cell>
          <cell r="P588" t="str">
            <v>8935006542914</v>
          </cell>
          <cell r="Q588" t="str">
            <v>HADA LABO- Bộ sản phẩm dưỡng trắng (travel kit)47g</v>
          </cell>
          <cell r="R588">
            <v>135000</v>
          </cell>
          <cell r="S588">
            <v>1</v>
          </cell>
          <cell r="T588">
            <v>135000</v>
          </cell>
          <cell r="U588">
            <v>26000</v>
          </cell>
          <cell r="V588">
            <v>109000</v>
          </cell>
          <cell r="W588" t="str">
            <v>8935006542914</v>
          </cell>
        </row>
        <row r="589">
          <cell r="A589">
            <v>2026</v>
          </cell>
          <cell r="B589">
            <v>6</v>
          </cell>
          <cell r="C589">
            <v>46193</v>
          </cell>
          <cell r="D589" t="str">
            <v>1. SKK store</v>
          </cell>
          <cell r="E589" t="str">
            <v>S1005</v>
          </cell>
          <cell r="F589" t="str">
            <v>SKK  Thái Hà</v>
          </cell>
          <cell r="G589" t="str">
            <v>0985893086</v>
          </cell>
          <cell r="H589" t="str">
            <v>anh hạnh</v>
          </cell>
          <cell r="I589" t="str">
            <v>Khách cũ</v>
          </cell>
          <cell r="J589" t="str">
            <v>Đơn bán</v>
          </cell>
          <cell r="K589" t="str">
            <v>SAKUKO817889</v>
          </cell>
          <cell r="L589" t="str">
            <v>CHĂM SÓC SẮC ĐẸP</v>
          </cell>
          <cell r="M589" t="str">
            <v>CHĂM SÓC DA</v>
          </cell>
          <cell r="N589" t="str">
            <v>RỬA MẶT</v>
          </cell>
          <cell r="O589" t="str">
            <v>102448</v>
          </cell>
          <cell r="P589" t="str">
            <v>4902806470642</v>
          </cell>
          <cell r="Q589" t="str">
            <v>GATSBY- SRM sạch bụi &amp; dầu nhờn 130g</v>
          </cell>
          <cell r="R589">
            <v>100000</v>
          </cell>
          <cell r="S589">
            <v>1</v>
          </cell>
          <cell r="T589">
            <v>100000</v>
          </cell>
          <cell r="U589">
            <v>10000</v>
          </cell>
          <cell r="V589">
            <v>90000</v>
          </cell>
          <cell r="W589" t="str">
            <v>4902806470642</v>
          </cell>
        </row>
        <row r="590">
          <cell r="A590">
            <v>2026</v>
          </cell>
          <cell r="B590">
            <v>6</v>
          </cell>
          <cell r="C590">
            <v>46193</v>
          </cell>
          <cell r="D590" t="str">
            <v>1. SKK store</v>
          </cell>
          <cell r="E590" t="str">
            <v>S1006</v>
          </cell>
          <cell r="F590" t="str">
            <v>SKK Trần Đăng Ninh</v>
          </cell>
          <cell r="G590" t="str">
            <v>0913082744</v>
          </cell>
          <cell r="H590" t="str">
            <v>Chị Lê Lan Phương</v>
          </cell>
          <cell r="I590" t="str">
            <v>Khách cũ</v>
          </cell>
          <cell r="J590" t="str">
            <v>Đơn bán</v>
          </cell>
          <cell r="K590" t="str">
            <v>SAKUKO817935</v>
          </cell>
          <cell r="L590" t="str">
            <v>THỰC PHẨM</v>
          </cell>
          <cell r="M590" t="str">
            <v>MỲ, MIẾN</v>
          </cell>
          <cell r="N590" t="str">
            <v>MỲ ĂN LIỀN</v>
          </cell>
          <cell r="O590" t="str">
            <v>154198</v>
          </cell>
          <cell r="P590" t="str">
            <v>4979397000145</v>
          </cell>
          <cell r="Q590" t="str">
            <v>YAMAMOTO_Mì ramen ăn liền vị miso 90g*5</v>
          </cell>
          <cell r="R590">
            <v>99000</v>
          </cell>
          <cell r="S590">
            <v>1</v>
          </cell>
          <cell r="T590">
            <v>99000</v>
          </cell>
          <cell r="U590">
            <v>0</v>
          </cell>
          <cell r="V590">
            <v>99000</v>
          </cell>
          <cell r="W590" t="str">
            <v>4979397000145</v>
          </cell>
        </row>
        <row r="591">
          <cell r="A591">
            <v>2026</v>
          </cell>
          <cell r="B591">
            <v>6</v>
          </cell>
          <cell r="C591">
            <v>46193</v>
          </cell>
          <cell r="D591" t="str">
            <v>1. SKK store</v>
          </cell>
          <cell r="E591" t="str">
            <v>S1006</v>
          </cell>
          <cell r="F591" t="str">
            <v>SKK Trần Đăng Ninh</v>
          </cell>
          <cell r="G591" t="str">
            <v>0944798398</v>
          </cell>
          <cell r="H591" t="str">
            <v>anh thắng</v>
          </cell>
          <cell r="I591" t="str">
            <v>Khách mới</v>
          </cell>
          <cell r="J591" t="str">
            <v>Đơn bán</v>
          </cell>
          <cell r="K591" t="str">
            <v>SAKUKO818258</v>
          </cell>
          <cell r="L591" t="str">
            <v>THỰC PHẨM</v>
          </cell>
          <cell r="M591" t="str">
            <v>BÁNH KẸO, ĐỒ ĂN VẶT</v>
          </cell>
          <cell r="N591" t="str">
            <v>KẸO CAO SU</v>
          </cell>
          <cell r="O591" t="str">
            <v>231377</v>
          </cell>
          <cell r="P591" t="str">
            <v>4903333200375</v>
          </cell>
          <cell r="Q591" t="str">
            <v>LOTTE-Kẹo cao su tổng hợp dạng lọ 114g</v>
          </cell>
          <cell r="R591">
            <v>235000</v>
          </cell>
          <cell r="S591">
            <v>3</v>
          </cell>
          <cell r="T591">
            <v>705000</v>
          </cell>
          <cell r="U591">
            <v>0</v>
          </cell>
          <cell r="V591">
            <v>705000</v>
          </cell>
          <cell r="W591" t="str">
            <v>4903333200375</v>
          </cell>
        </row>
        <row r="592">
          <cell r="A592">
            <v>2026</v>
          </cell>
          <cell r="B592">
            <v>6</v>
          </cell>
          <cell r="C592">
            <v>46193</v>
          </cell>
          <cell r="D592" t="str">
            <v>1. SKK store</v>
          </cell>
          <cell r="E592" t="str">
            <v>S1006</v>
          </cell>
          <cell r="F592" t="str">
            <v>SKK Trần Đăng Ninh</v>
          </cell>
          <cell r="G592" t="str">
            <v>0988993382</v>
          </cell>
          <cell r="H592" t="str">
            <v>C Thiện</v>
          </cell>
          <cell r="I592" t="str">
            <v>Khách cũ</v>
          </cell>
          <cell r="J592" t="str">
            <v>Đơn bán</v>
          </cell>
          <cell r="K592" t="str">
            <v>SAKUKO818024</v>
          </cell>
          <cell r="L592" t="str">
            <v>CHĂM SÓC SẮC ĐẸP</v>
          </cell>
          <cell r="M592" t="str">
            <v>CHĂM SÓC DA</v>
          </cell>
          <cell r="N592" t="str">
            <v>KEM DƯỠNG</v>
          </cell>
          <cell r="O592" t="str">
            <v>102420</v>
          </cell>
          <cell r="P592" t="str">
            <v>4902468820007</v>
          </cell>
          <cell r="Q592" t="str">
            <v>MEISHOKU- Tinh chất dưỡng ẩm chuyên sâu 30ml</v>
          </cell>
          <cell r="R592">
            <v>555000</v>
          </cell>
          <cell r="S592">
            <v>1</v>
          </cell>
          <cell r="T592">
            <v>555000</v>
          </cell>
          <cell r="U592">
            <v>44400</v>
          </cell>
          <cell r="V592">
            <v>510600</v>
          </cell>
          <cell r="W592" t="str">
            <v>4902468820007</v>
          </cell>
        </row>
        <row r="593">
          <cell r="A593">
            <v>2026</v>
          </cell>
          <cell r="B593">
            <v>6</v>
          </cell>
          <cell r="C593">
            <v>46193</v>
          </cell>
          <cell r="D593" t="str">
            <v>1. SKK store</v>
          </cell>
          <cell r="E593" t="str">
            <v>S1006</v>
          </cell>
          <cell r="F593" t="str">
            <v>SKK Trần Đăng Ninh</v>
          </cell>
          <cell r="G593" t="str">
            <v>0988993382</v>
          </cell>
          <cell r="H593" t="str">
            <v>C Thiện</v>
          </cell>
          <cell r="I593" t="str">
            <v>Khách cũ</v>
          </cell>
          <cell r="J593" t="str">
            <v>Đơn bán</v>
          </cell>
          <cell r="K593" t="str">
            <v>SAKUKO818024</v>
          </cell>
          <cell r="L593" t="str">
            <v>CHĂM SÓC SẮC ĐẸP</v>
          </cell>
          <cell r="M593" t="str">
            <v>CHĂM SÓC DA</v>
          </cell>
          <cell r="N593" t="str">
            <v>RỬA MẶT</v>
          </cell>
          <cell r="O593" t="str">
            <v>102386</v>
          </cell>
          <cell r="P593" t="str">
            <v>4902468816062</v>
          </cell>
          <cell r="Q593" t="str">
            <v>MEISHOKU- Sữa rửa mặt sáng da Cvita 100g</v>
          </cell>
          <cell r="R593">
            <v>290000</v>
          </cell>
          <cell r="S593">
            <v>1</v>
          </cell>
          <cell r="T593">
            <v>290000</v>
          </cell>
          <cell r="U593">
            <v>23200</v>
          </cell>
          <cell r="V593">
            <v>266800</v>
          </cell>
          <cell r="W593" t="str">
            <v>4902468816062</v>
          </cell>
        </row>
        <row r="594">
          <cell r="A594">
            <v>2026</v>
          </cell>
          <cell r="B594">
            <v>6</v>
          </cell>
          <cell r="C594">
            <v>46193</v>
          </cell>
          <cell r="D594" t="str">
            <v>1. SKK store</v>
          </cell>
          <cell r="E594" t="str">
            <v>S1007</v>
          </cell>
          <cell r="F594" t="str">
            <v>SKK  Nguyễn Du</v>
          </cell>
          <cell r="G594" t="str">
            <v>0912538589</v>
          </cell>
          <cell r="H594" t="str">
            <v>Anh Mai Xuân Hà</v>
          </cell>
          <cell r="I594" t="str">
            <v>Khách cũ</v>
          </cell>
          <cell r="J594" t="str">
            <v>Đơn bán</v>
          </cell>
          <cell r="K594" t="str">
            <v>SAKUKO817679</v>
          </cell>
          <cell r="L594" t="str">
            <v>THỰC PHẨM</v>
          </cell>
          <cell r="M594" t="str">
            <v>BÁNH KẸO, ĐỒ ĂN VẶT</v>
          </cell>
          <cell r="N594" t="str">
            <v>KẸO CAO SU</v>
          </cell>
          <cell r="O594" t="str">
            <v>231377</v>
          </cell>
          <cell r="P594" t="str">
            <v>4903333200375</v>
          </cell>
          <cell r="Q594" t="str">
            <v>LOTTE-Kẹo cao su tổng hợp dạng lọ 114g</v>
          </cell>
          <cell r="R594">
            <v>235000</v>
          </cell>
          <cell r="S594">
            <v>1</v>
          </cell>
          <cell r="T594">
            <v>235000</v>
          </cell>
          <cell r="U594">
            <v>0</v>
          </cell>
          <cell r="V594">
            <v>235000</v>
          </cell>
          <cell r="W594" t="str">
            <v>4903333200375</v>
          </cell>
        </row>
        <row r="595">
          <cell r="A595">
            <v>2026</v>
          </cell>
          <cell r="B595">
            <v>6</v>
          </cell>
          <cell r="C595">
            <v>46193</v>
          </cell>
          <cell r="D595" t="str">
            <v>1. SKK store</v>
          </cell>
          <cell r="E595" t="str">
            <v>S1008</v>
          </cell>
          <cell r="F595" t="str">
            <v>SKK  Hàng Bông</v>
          </cell>
          <cell r="G595" t="str">
            <v>02466810202</v>
          </cell>
          <cell r="H595" t="str">
            <v>KH Tây</v>
          </cell>
          <cell r="I595" t="str">
            <v>Khách vãng lai</v>
          </cell>
          <cell r="J595" t="str">
            <v>Đơn bán</v>
          </cell>
          <cell r="K595" t="str">
            <v>SAKUKO818801</v>
          </cell>
          <cell r="L595" t="str">
            <v>CHĂM SÓC SẮC ĐẸP</v>
          </cell>
          <cell r="M595" t="str">
            <v>CHĂM SÓC DA</v>
          </cell>
          <cell r="N595" t="str">
            <v>KEM DƯỠNG</v>
          </cell>
          <cell r="O595" t="str">
            <v>102384</v>
          </cell>
          <cell r="P595" t="str">
            <v>4902468820014</v>
          </cell>
          <cell r="Q595" t="str">
            <v>MEISHOKU- Kem gel dưỡng ẩm phục hồi chuyên sâu 50g</v>
          </cell>
          <cell r="R595">
            <v>575000</v>
          </cell>
          <cell r="S595">
            <v>1</v>
          </cell>
          <cell r="T595">
            <v>575000</v>
          </cell>
          <cell r="U595">
            <v>46000</v>
          </cell>
          <cell r="V595">
            <v>529000</v>
          </cell>
          <cell r="W595" t="str">
            <v>4902468820014</v>
          </cell>
        </row>
        <row r="596">
          <cell r="A596">
            <v>2026</v>
          </cell>
          <cell r="B596">
            <v>6</v>
          </cell>
          <cell r="C596">
            <v>46193</v>
          </cell>
          <cell r="D596" t="str">
            <v>1. SKK store</v>
          </cell>
          <cell r="E596" t="str">
            <v>S1008</v>
          </cell>
          <cell r="F596" t="str">
            <v>SKK  Hàng Bông</v>
          </cell>
          <cell r="G596" t="str">
            <v>0839639536</v>
          </cell>
          <cell r="H596" t="str">
            <v>cô huyền</v>
          </cell>
          <cell r="I596" t="str">
            <v>Khách cũ</v>
          </cell>
          <cell r="J596" t="str">
            <v>Đơn bán</v>
          </cell>
          <cell r="K596" t="str">
            <v>SAKUKO818318</v>
          </cell>
          <cell r="L596" t="str">
            <v>CHĂM SÓC SẮC ĐẸP</v>
          </cell>
          <cell r="M596" t="str">
            <v>CHĂM SÓC DA</v>
          </cell>
          <cell r="N596" t="str">
            <v>RỬA MẶT</v>
          </cell>
          <cell r="O596" t="str">
            <v>230269</v>
          </cell>
          <cell r="P596" t="str">
            <v>4987241173242</v>
          </cell>
          <cell r="Q596" t="str">
            <v>ROHTO- SRM Melano CC mờ thâm nám (130g)</v>
          </cell>
          <cell r="R596">
            <v>294000</v>
          </cell>
          <cell r="S596">
            <v>1</v>
          </cell>
          <cell r="T596">
            <v>294000</v>
          </cell>
          <cell r="U596">
            <v>117600</v>
          </cell>
          <cell r="V596">
            <v>176400</v>
          </cell>
          <cell r="W596" t="str">
            <v>4987241173242</v>
          </cell>
        </row>
        <row r="597">
          <cell r="A597">
            <v>2026</v>
          </cell>
          <cell r="B597">
            <v>6</v>
          </cell>
          <cell r="C597">
            <v>46193</v>
          </cell>
          <cell r="D597" t="str">
            <v>1. SKK store</v>
          </cell>
          <cell r="E597" t="str">
            <v>S1008</v>
          </cell>
          <cell r="F597" t="str">
            <v>SKK  Hàng Bông</v>
          </cell>
          <cell r="G597" t="str">
            <v>0862947989</v>
          </cell>
          <cell r="H597" t="str">
            <v>KLHB</v>
          </cell>
          <cell r="I597" t="str">
            <v>Khách vãng lai</v>
          </cell>
          <cell r="J597" t="str">
            <v>Đơn bán</v>
          </cell>
          <cell r="K597" t="str">
            <v>SAKUKO818130</v>
          </cell>
          <cell r="L597" t="str">
            <v>CHĂM SÓC SẮC ĐẸP</v>
          </cell>
          <cell r="M597" t="str">
            <v>CHĂM SÓC TÓC</v>
          </cell>
          <cell r="N597" t="str">
            <v>TẠO KIỂU TÓC</v>
          </cell>
          <cell r="O597" t="str">
            <v>101906</v>
          </cell>
          <cell r="P597" t="str">
            <v>4902806108781</v>
          </cell>
          <cell r="Q597" t="str">
            <v>GATSBY-  Sáp vuốt tóc tạo độ phồng 80g</v>
          </cell>
          <cell r="R597">
            <v>150000</v>
          </cell>
          <cell r="S597">
            <v>1</v>
          </cell>
          <cell r="T597">
            <v>150000</v>
          </cell>
          <cell r="U597">
            <v>15000</v>
          </cell>
          <cell r="V597">
            <v>135000</v>
          </cell>
          <cell r="W597" t="str">
            <v>4902806108781</v>
          </cell>
        </row>
        <row r="598">
          <cell r="A598">
            <v>2026</v>
          </cell>
          <cell r="B598">
            <v>6</v>
          </cell>
          <cell r="C598">
            <v>46193</v>
          </cell>
          <cell r="D598" t="str">
            <v>1. SKK store</v>
          </cell>
          <cell r="E598" t="str">
            <v>S1008</v>
          </cell>
          <cell r="F598" t="str">
            <v>SKK  Hàng Bông</v>
          </cell>
          <cell r="G598" t="str">
            <v>0862947989</v>
          </cell>
          <cell r="H598" t="str">
            <v>KLHB</v>
          </cell>
          <cell r="I598" t="str">
            <v>Khách vãng lai</v>
          </cell>
          <cell r="J598" t="str">
            <v>Đơn bán</v>
          </cell>
          <cell r="K598" t="str">
            <v>SAKUKO818429</v>
          </cell>
          <cell r="L598" t="str">
            <v>THỰC PHẨM</v>
          </cell>
          <cell r="M598" t="str">
            <v>MỲ, MIẾN</v>
          </cell>
          <cell r="N598" t="str">
            <v>MỲ ĂN LIỀN</v>
          </cell>
          <cell r="O598" t="str">
            <v>154359</v>
          </cell>
          <cell r="P598" t="str">
            <v>4979397000138</v>
          </cell>
          <cell r="Q598" t="str">
            <v>YAMAMOTO- Mì ramen ăn liền hải sản thịt heo 88g*5</v>
          </cell>
          <cell r="R598">
            <v>99000</v>
          </cell>
          <cell r="S598">
            <v>1</v>
          </cell>
          <cell r="T598">
            <v>99000</v>
          </cell>
          <cell r="U598">
            <v>0</v>
          </cell>
          <cell r="V598">
            <v>99000</v>
          </cell>
          <cell r="W598" t="str">
            <v>4979397000138</v>
          </cell>
        </row>
        <row r="599">
          <cell r="A599">
            <v>2026</v>
          </cell>
          <cell r="B599">
            <v>6</v>
          </cell>
          <cell r="C599">
            <v>46193</v>
          </cell>
          <cell r="D599" t="str">
            <v>1. SKK store</v>
          </cell>
          <cell r="E599" t="str">
            <v>S1008</v>
          </cell>
          <cell r="F599" t="str">
            <v>SKK  Hàng Bông</v>
          </cell>
          <cell r="G599" t="str">
            <v>0915091977</v>
          </cell>
          <cell r="H599" t="str">
            <v>anh Hiệp</v>
          </cell>
          <cell r="I599" t="str">
            <v>Khách cũ</v>
          </cell>
          <cell r="J599" t="str">
            <v>Đơn bán</v>
          </cell>
          <cell r="K599" t="str">
            <v>SAKUKO818367</v>
          </cell>
          <cell r="L599" t="str">
            <v>THỰC PHẨM</v>
          </cell>
          <cell r="M599" t="str">
            <v>MỲ, MIẾN</v>
          </cell>
          <cell r="N599" t="str">
            <v>MỲ ĂN LIỀN</v>
          </cell>
          <cell r="O599" t="str">
            <v>154196</v>
          </cell>
          <cell r="P599" t="str">
            <v>4979397000152</v>
          </cell>
          <cell r="Q599" t="str">
            <v>YAMAMOTO_Mì xào kiểu Nhật 89g*5</v>
          </cell>
          <cell r="R599">
            <v>99000</v>
          </cell>
          <cell r="S599">
            <v>1</v>
          </cell>
          <cell r="T599">
            <v>99000</v>
          </cell>
          <cell r="U599">
            <v>0</v>
          </cell>
          <cell r="V599">
            <v>99000</v>
          </cell>
          <cell r="W599" t="str">
            <v>4979397000152</v>
          </cell>
        </row>
        <row r="600">
          <cell r="A600">
            <v>2026</v>
          </cell>
          <cell r="B600">
            <v>6</v>
          </cell>
          <cell r="C600">
            <v>46193</v>
          </cell>
          <cell r="D600" t="str">
            <v>1. SKK store</v>
          </cell>
          <cell r="E600" t="str">
            <v>S1008</v>
          </cell>
          <cell r="F600" t="str">
            <v>SKK  Hàng Bông</v>
          </cell>
          <cell r="G600" t="str">
            <v>0982003142</v>
          </cell>
          <cell r="H600" t="str">
            <v>c phuong</v>
          </cell>
          <cell r="I600" t="str">
            <v>Khách cũ</v>
          </cell>
          <cell r="J600" t="str">
            <v>Đơn bán</v>
          </cell>
          <cell r="K600" t="str">
            <v>SAKUKO818176</v>
          </cell>
          <cell r="L600" t="str">
            <v>NHÀ CỬA ĐỜI SỐNG</v>
          </cell>
          <cell r="M600" t="str">
            <v>ĐỒ DÙNG SINH HOẠT GIA ĐÌNH</v>
          </cell>
          <cell r="N600" t="str">
            <v>VẬT DỤNG SINH HOẠT KHÁC</v>
          </cell>
          <cell r="O600" t="str">
            <v>135039</v>
          </cell>
          <cell r="P600" t="str">
            <v>4968988074993</v>
          </cell>
          <cell r="Q600" t="str">
            <v>OMAICHI- Set 2 lọ chiết mỹ phẩm 40ml kèm hộp đựng</v>
          </cell>
          <cell r="R600">
            <v>52000</v>
          </cell>
          <cell r="S600">
            <v>1</v>
          </cell>
          <cell r="T600">
            <v>52000</v>
          </cell>
          <cell r="U600">
            <v>0</v>
          </cell>
          <cell r="V600">
            <v>52000</v>
          </cell>
          <cell r="W600" t="str">
            <v>4968988074993</v>
          </cell>
        </row>
        <row r="601">
          <cell r="A601">
            <v>2026</v>
          </cell>
          <cell r="B601">
            <v>6</v>
          </cell>
          <cell r="C601">
            <v>46193</v>
          </cell>
          <cell r="D601" t="str">
            <v>1. SKK store</v>
          </cell>
          <cell r="E601" t="str">
            <v>S1015</v>
          </cell>
          <cell r="F601" t="str">
            <v>SKK Hàm Nghi</v>
          </cell>
          <cell r="G601" t="str">
            <v>02422409595</v>
          </cell>
          <cell r="H601" t="str">
            <v>klhn</v>
          </cell>
          <cell r="I601" t="str">
            <v>Khách vãng lai</v>
          </cell>
          <cell r="J601" t="str">
            <v>Đơn bán</v>
          </cell>
          <cell r="K601" t="str">
            <v>SAKUKO818147</v>
          </cell>
          <cell r="L601" t="str">
            <v>ĐỒ CHO MẸ BÉ</v>
          </cell>
          <cell r="M601" t="str">
            <v>GIẤY ƯỚT</v>
          </cell>
          <cell r="N601" t="str">
            <v>GIẤY ƯỚT CHO BÉ</v>
          </cell>
          <cell r="O601" t="str">
            <v>121662</v>
          </cell>
          <cell r="P601" t="str">
            <v>8934755035036</v>
          </cell>
          <cell r="Q601" t="str">
            <v>FRESSI- Khăn ướt Care For All 20 miếng</v>
          </cell>
          <cell r="R601">
            <v>14000</v>
          </cell>
          <cell r="S601">
            <v>1</v>
          </cell>
          <cell r="T601">
            <v>14000</v>
          </cell>
          <cell r="U601">
            <v>0</v>
          </cell>
          <cell r="V601">
            <v>14000</v>
          </cell>
          <cell r="W601" t="str">
            <v>8934755035036</v>
          </cell>
        </row>
        <row r="602">
          <cell r="A602">
            <v>2026</v>
          </cell>
          <cell r="B602">
            <v>6</v>
          </cell>
          <cell r="C602">
            <v>46193</v>
          </cell>
          <cell r="D602" t="str">
            <v>1. SKK store</v>
          </cell>
          <cell r="E602" t="str">
            <v>S1015</v>
          </cell>
          <cell r="F602" t="str">
            <v>SKK Hàm Nghi</v>
          </cell>
          <cell r="G602" t="str">
            <v>0943929908</v>
          </cell>
          <cell r="H602" t="str">
            <v>Liên</v>
          </cell>
          <cell r="I602" t="str">
            <v>Khách cũ</v>
          </cell>
          <cell r="J602" t="str">
            <v>Đơn bán</v>
          </cell>
          <cell r="K602" t="str">
            <v>SAKUKO818612</v>
          </cell>
          <cell r="L602" t="str">
            <v>CHĂM SÓC SẮC ĐẸP</v>
          </cell>
          <cell r="M602" t="str">
            <v>CHĂM SÓC DA</v>
          </cell>
          <cell r="N602" t="str">
            <v>RỬA MẶT</v>
          </cell>
          <cell r="O602" t="str">
            <v>230269</v>
          </cell>
          <cell r="P602" t="str">
            <v>4987241173242</v>
          </cell>
          <cell r="Q602" t="str">
            <v>ROHTO- SRM Melano CC mờ thâm nám (130g)</v>
          </cell>
          <cell r="R602">
            <v>294000</v>
          </cell>
          <cell r="S602">
            <v>1</v>
          </cell>
          <cell r="T602">
            <v>294000</v>
          </cell>
          <cell r="U602">
            <v>117600</v>
          </cell>
          <cell r="V602">
            <v>176400</v>
          </cell>
          <cell r="W602" t="str">
            <v>4987241173242</v>
          </cell>
        </row>
        <row r="603">
          <cell r="A603">
            <v>2026</v>
          </cell>
          <cell r="B603">
            <v>6</v>
          </cell>
          <cell r="C603">
            <v>46193</v>
          </cell>
          <cell r="D603" t="str">
            <v>1. SKK store</v>
          </cell>
          <cell r="E603" t="str">
            <v>S1025</v>
          </cell>
          <cell r="F603" t="str">
            <v>SKK T6 Time City</v>
          </cell>
          <cell r="G603" t="str">
            <v>0858682124</v>
          </cell>
          <cell r="H603" t="str">
            <v>Chị Hiền</v>
          </cell>
          <cell r="I603" t="str">
            <v>Khách cũ</v>
          </cell>
          <cell r="J603" t="str">
            <v>Đơn bán</v>
          </cell>
          <cell r="K603" t="str">
            <v>SAKUKO817875</v>
          </cell>
          <cell r="L603" t="str">
            <v>THỰC PHẨM</v>
          </cell>
          <cell r="M603" t="str">
            <v>MỲ, MIẾN</v>
          </cell>
          <cell r="N603" t="str">
            <v>MỲ CHẾ BIẾN</v>
          </cell>
          <cell r="O603" t="str">
            <v>175435</v>
          </cell>
          <cell r="P603" t="str">
            <v>4901726014752</v>
          </cell>
          <cell r="Q603" t="str">
            <v>ITSUKI FOODS- Mì soumen rau củ ngũ sắc320g</v>
          </cell>
          <cell r="R603">
            <v>76000</v>
          </cell>
          <cell r="S603">
            <v>1</v>
          </cell>
          <cell r="T603">
            <v>76000</v>
          </cell>
          <cell r="U603">
            <v>0</v>
          </cell>
          <cell r="V603">
            <v>76000</v>
          </cell>
          <cell r="W603" t="str">
            <v>4901726014752</v>
          </cell>
        </row>
        <row r="604">
          <cell r="A604">
            <v>2026</v>
          </cell>
          <cell r="B604">
            <v>6</v>
          </cell>
          <cell r="C604">
            <v>46193</v>
          </cell>
          <cell r="D604" t="str">
            <v>1. SKK store</v>
          </cell>
          <cell r="E604" t="str">
            <v>S1025</v>
          </cell>
          <cell r="F604" t="str">
            <v>SKK T6 Time City</v>
          </cell>
          <cell r="G604" t="str">
            <v>0985738740</v>
          </cell>
          <cell r="H604" t="str">
            <v>Chị Hạnh</v>
          </cell>
          <cell r="I604" t="str">
            <v>Khách cũ</v>
          </cell>
          <cell r="J604" t="str">
            <v>Đơn bán</v>
          </cell>
          <cell r="K604" t="str">
            <v>SAKUKO818543</v>
          </cell>
          <cell r="L604" t="str">
            <v>CHĂM SÓC SẮC ĐẸP</v>
          </cell>
          <cell r="M604" t="str">
            <v>CHĂM SÓC CƠ THỂ</v>
          </cell>
          <cell r="N604" t="str">
            <v>CHỐNG NẮNG</v>
          </cell>
          <cell r="O604" t="str">
            <v>102422</v>
          </cell>
          <cell r="P604" t="str">
            <v>4902468297151</v>
          </cell>
          <cell r="Q604" t="str">
            <v>MEISHOU- KCN tone hồng cho da nhạy cảm 40g</v>
          </cell>
          <cell r="R604">
            <v>435000</v>
          </cell>
          <cell r="S604">
            <v>1</v>
          </cell>
          <cell r="T604">
            <v>435000</v>
          </cell>
          <cell r="U604">
            <v>0</v>
          </cell>
          <cell r="V604">
            <v>435000</v>
          </cell>
          <cell r="W604" t="str">
            <v>4902468297151</v>
          </cell>
        </row>
        <row r="605">
          <cell r="A605">
            <v>2026</v>
          </cell>
          <cell r="B605">
            <v>6</v>
          </cell>
          <cell r="C605">
            <v>46192</v>
          </cell>
          <cell r="D605" t="str">
            <v>1. SKK store</v>
          </cell>
          <cell r="E605" t="str">
            <v>S1004</v>
          </cell>
          <cell r="F605" t="str">
            <v>SKK  Mandarin C1</v>
          </cell>
          <cell r="G605" t="str">
            <v>0343911991</v>
          </cell>
          <cell r="H605" t="str">
            <v>c phuong</v>
          </cell>
          <cell r="I605" t="str">
            <v>Khách cũ</v>
          </cell>
          <cell r="J605" t="str">
            <v>Đơn bán</v>
          </cell>
          <cell r="K605" t="str">
            <v>SAKUKO817551</v>
          </cell>
          <cell r="L605" t="str">
            <v>ĐỒ CHO MẸ BÉ</v>
          </cell>
          <cell r="M605" t="str">
            <v>CHĂM SÓC CƠ THỂ BÉ</v>
          </cell>
          <cell r="N605" t="str">
            <v>THỰC PHẨM CHỨC NĂNG CHO BÉ</v>
          </cell>
          <cell r="O605" t="str">
            <v>121674</v>
          </cell>
          <cell r="P605" t="str">
            <v>3830056330953</v>
          </cell>
          <cell r="Q605" t="str">
            <v>LINEABON- TPBVSK K2+D3 Spray 10ml</v>
          </cell>
          <cell r="R605">
            <v>330000</v>
          </cell>
          <cell r="S605">
            <v>1</v>
          </cell>
          <cell r="T605">
            <v>330000</v>
          </cell>
          <cell r="U605">
            <v>0</v>
          </cell>
          <cell r="V605">
            <v>330000</v>
          </cell>
          <cell r="W605" t="str">
            <v>3830056330953</v>
          </cell>
        </row>
        <row r="606">
          <cell r="A606">
            <v>2026</v>
          </cell>
          <cell r="B606">
            <v>6</v>
          </cell>
          <cell r="C606">
            <v>46192</v>
          </cell>
          <cell r="D606" t="str">
            <v>1. SKK store</v>
          </cell>
          <cell r="E606" t="str">
            <v>S1004</v>
          </cell>
          <cell r="F606" t="str">
            <v>SKK  Mandarin C1</v>
          </cell>
          <cell r="G606" t="str">
            <v>0389870844</v>
          </cell>
          <cell r="H606" t="str">
            <v>chị Bích Thu</v>
          </cell>
          <cell r="I606" t="str">
            <v>Khách cũ</v>
          </cell>
          <cell r="J606" t="str">
            <v>Đơn bán</v>
          </cell>
          <cell r="K606" t="str">
            <v>SAKUKO817149</v>
          </cell>
          <cell r="L606" t="str">
            <v>THỰC PHẨM</v>
          </cell>
          <cell r="M606" t="str">
            <v>MỲ, MIẾN</v>
          </cell>
          <cell r="N606" t="str">
            <v>MỲ CHẾ BIẾN</v>
          </cell>
          <cell r="O606" t="str">
            <v>154251</v>
          </cell>
          <cell r="P606" t="str">
            <v>4560159440776</v>
          </cell>
          <cell r="Q606" t="str">
            <v>SATO_Mì soba khô 800g</v>
          </cell>
          <cell r="R606">
            <v>104000</v>
          </cell>
          <cell r="S606">
            <v>1</v>
          </cell>
          <cell r="T606">
            <v>104000</v>
          </cell>
          <cell r="U606">
            <v>31200</v>
          </cell>
          <cell r="V606">
            <v>72800</v>
          </cell>
          <cell r="W606" t="str">
            <v>4560159440776</v>
          </cell>
        </row>
        <row r="607">
          <cell r="A607">
            <v>2026</v>
          </cell>
          <cell r="B607">
            <v>6</v>
          </cell>
          <cell r="C607">
            <v>46192</v>
          </cell>
          <cell r="D607" t="str">
            <v>1. SKK store</v>
          </cell>
          <cell r="E607" t="str">
            <v>S1004</v>
          </cell>
          <cell r="F607" t="str">
            <v>SKK  Mandarin C1</v>
          </cell>
          <cell r="G607" t="str">
            <v>0988246888</v>
          </cell>
          <cell r="H607" t="str">
            <v>Chị Kiều Thị hương</v>
          </cell>
          <cell r="I607" t="str">
            <v>Khách cũ</v>
          </cell>
          <cell r="J607" t="str">
            <v>Đơn bán</v>
          </cell>
          <cell r="K607" t="str">
            <v>SAKUKO817334</v>
          </cell>
          <cell r="L607" t="str">
            <v>THỰC PHẨM</v>
          </cell>
          <cell r="M607" t="str">
            <v>MỲ, MIẾN</v>
          </cell>
          <cell r="N607" t="str">
            <v>MỲ ĂN LIỀN</v>
          </cell>
          <cell r="O607" t="str">
            <v>154359</v>
          </cell>
          <cell r="P607" t="str">
            <v>4979397000138</v>
          </cell>
          <cell r="Q607" t="str">
            <v>YAMAMOTO- Mì ramen ăn liền hải sản thịt heo 88g*5</v>
          </cell>
          <cell r="R607">
            <v>99000</v>
          </cell>
          <cell r="S607">
            <v>1</v>
          </cell>
          <cell r="T607">
            <v>99000</v>
          </cell>
          <cell r="U607">
            <v>0</v>
          </cell>
          <cell r="V607">
            <v>99000</v>
          </cell>
          <cell r="W607" t="str">
            <v>4979397000138</v>
          </cell>
        </row>
        <row r="608">
          <cell r="A608">
            <v>2026</v>
          </cell>
          <cell r="B608">
            <v>6</v>
          </cell>
          <cell r="C608">
            <v>46192</v>
          </cell>
          <cell r="D608" t="str">
            <v>1. SKK store</v>
          </cell>
          <cell r="E608" t="str">
            <v>S1005</v>
          </cell>
          <cell r="F608" t="str">
            <v>SKK  Thái Hà</v>
          </cell>
          <cell r="G608" t="str">
            <v>0392538093</v>
          </cell>
          <cell r="H608" t="str">
            <v>c q. anh</v>
          </cell>
          <cell r="I608" t="str">
            <v>Khách cũ</v>
          </cell>
          <cell r="J608" t="str">
            <v>Đơn bán</v>
          </cell>
          <cell r="K608" t="str">
            <v>SAKUKO816778</v>
          </cell>
          <cell r="L608" t="str">
            <v>THỰC PHẨM</v>
          </cell>
          <cell r="M608" t="str">
            <v>MỲ, MIẾN</v>
          </cell>
          <cell r="N608" t="str">
            <v>MỲ CHẾ BIẾN</v>
          </cell>
          <cell r="O608" t="str">
            <v>174948</v>
          </cell>
          <cell r="P608" t="str">
            <v>4582114354119</v>
          </cell>
          <cell r="Q608" t="str">
            <v>SANUKISHISEI- Mì soumen 300g</v>
          </cell>
          <cell r="R608">
            <v>35000</v>
          </cell>
          <cell r="S608">
            <v>1</v>
          </cell>
          <cell r="T608">
            <v>35000</v>
          </cell>
          <cell r="U608">
            <v>0</v>
          </cell>
          <cell r="V608">
            <v>35000</v>
          </cell>
          <cell r="W608" t="str">
            <v>4582114354119</v>
          </cell>
        </row>
        <row r="609">
          <cell r="A609">
            <v>2026</v>
          </cell>
          <cell r="B609">
            <v>6</v>
          </cell>
          <cell r="C609">
            <v>46192</v>
          </cell>
          <cell r="D609" t="str">
            <v>1. SKK store</v>
          </cell>
          <cell r="E609" t="str">
            <v>S1005</v>
          </cell>
          <cell r="F609" t="str">
            <v>SKK  Thái Hà</v>
          </cell>
          <cell r="G609" t="str">
            <v>0902187707</v>
          </cell>
          <cell r="H609" t="str">
            <v>E Phương Loan</v>
          </cell>
          <cell r="I609" t="str">
            <v>Khách cũ</v>
          </cell>
          <cell r="J609" t="str">
            <v>Đơn bán</v>
          </cell>
          <cell r="K609" t="str">
            <v>SAKUKO816712</v>
          </cell>
          <cell r="L609" t="str">
            <v>THỰC PHẨM</v>
          </cell>
          <cell r="M609" t="str">
            <v>MỲ, MIẾN</v>
          </cell>
          <cell r="N609" t="str">
            <v>MỲ CHẾ BIẾN</v>
          </cell>
          <cell r="O609" t="str">
            <v>154251</v>
          </cell>
          <cell r="P609" t="str">
            <v>4560159440776</v>
          </cell>
          <cell r="Q609" t="str">
            <v>SATO_Mì soba khô 800g</v>
          </cell>
          <cell r="R609">
            <v>104000</v>
          </cell>
          <cell r="S609">
            <v>1</v>
          </cell>
          <cell r="T609">
            <v>104000</v>
          </cell>
          <cell r="U609">
            <v>31200</v>
          </cell>
          <cell r="V609">
            <v>72800</v>
          </cell>
          <cell r="W609" t="str">
            <v>4560159440776</v>
          </cell>
        </row>
        <row r="610">
          <cell r="A610">
            <v>2026</v>
          </cell>
          <cell r="B610">
            <v>6</v>
          </cell>
          <cell r="C610">
            <v>46192</v>
          </cell>
          <cell r="D610" t="str">
            <v>1. SKK store</v>
          </cell>
          <cell r="E610" t="str">
            <v>S1005</v>
          </cell>
          <cell r="F610" t="str">
            <v>SKK  Thái Hà</v>
          </cell>
          <cell r="G610" t="str">
            <v>0982442828</v>
          </cell>
          <cell r="H610" t="str">
            <v>c Thuy</v>
          </cell>
          <cell r="I610" t="str">
            <v>Khách mới</v>
          </cell>
          <cell r="J610" t="str">
            <v>Đơn bán</v>
          </cell>
          <cell r="K610" t="str">
            <v>SAKUKO816852</v>
          </cell>
          <cell r="L610" t="str">
            <v>THỰC PHẨM</v>
          </cell>
          <cell r="M610" t="str">
            <v>MỲ, MIẾN</v>
          </cell>
          <cell r="N610" t="str">
            <v>MỲ ĂN LIỀN</v>
          </cell>
          <cell r="O610" t="str">
            <v>154196</v>
          </cell>
          <cell r="P610" t="str">
            <v>4979397000152</v>
          </cell>
          <cell r="Q610" t="str">
            <v>YAMAMOTO_Mì xào kiểu Nhật 89g*5</v>
          </cell>
          <cell r="R610">
            <v>99000</v>
          </cell>
          <cell r="S610">
            <v>2</v>
          </cell>
          <cell r="T610">
            <v>198000</v>
          </cell>
          <cell r="U610">
            <v>0</v>
          </cell>
          <cell r="V610">
            <v>198000</v>
          </cell>
          <cell r="W610" t="str">
            <v>4979397000152</v>
          </cell>
        </row>
        <row r="611">
          <cell r="A611">
            <v>2026</v>
          </cell>
          <cell r="B611">
            <v>6</v>
          </cell>
          <cell r="C611">
            <v>46192</v>
          </cell>
          <cell r="D611" t="str">
            <v>1. SKK store</v>
          </cell>
          <cell r="E611" t="str">
            <v>S1005</v>
          </cell>
          <cell r="F611" t="str">
            <v>SKK  Thái Hà</v>
          </cell>
          <cell r="G611" t="str">
            <v>0982442828</v>
          </cell>
          <cell r="H611" t="str">
            <v>c Thuy</v>
          </cell>
          <cell r="I611" t="str">
            <v>Khách mới</v>
          </cell>
          <cell r="J611" t="str">
            <v>Đơn bán</v>
          </cell>
          <cell r="K611" t="str">
            <v>SAKUKO816852</v>
          </cell>
          <cell r="L611" t="str">
            <v>THỰC PHẨM</v>
          </cell>
          <cell r="M611" t="str">
            <v>MỲ, MIẾN</v>
          </cell>
          <cell r="N611" t="str">
            <v>MỲ ĂN LIỀN</v>
          </cell>
          <cell r="O611" t="str">
            <v>154198</v>
          </cell>
          <cell r="P611" t="str">
            <v>4979397000145</v>
          </cell>
          <cell r="Q611" t="str">
            <v>YAMAMOTO_Mì ramen ăn liền vị miso 90g*5</v>
          </cell>
          <cell r="R611">
            <v>99000</v>
          </cell>
          <cell r="S611">
            <v>1</v>
          </cell>
          <cell r="T611">
            <v>99000</v>
          </cell>
          <cell r="U611">
            <v>0</v>
          </cell>
          <cell r="V611">
            <v>99000</v>
          </cell>
          <cell r="W611" t="str">
            <v>4979397000145</v>
          </cell>
        </row>
        <row r="612">
          <cell r="A612">
            <v>2026</v>
          </cell>
          <cell r="B612">
            <v>6</v>
          </cell>
          <cell r="C612">
            <v>46192</v>
          </cell>
          <cell r="D612" t="str">
            <v>1. SKK store</v>
          </cell>
          <cell r="E612" t="str">
            <v>S1006</v>
          </cell>
          <cell r="F612" t="str">
            <v>SKK Trần Đăng Ninh</v>
          </cell>
          <cell r="G612" t="str">
            <v>0904220715</v>
          </cell>
          <cell r="H612" t="str">
            <v>anh Luận</v>
          </cell>
          <cell r="I612" t="str">
            <v>Khách cũ</v>
          </cell>
          <cell r="J612" t="str">
            <v>Đơn bán</v>
          </cell>
          <cell r="K612" t="str">
            <v>SAKUKO817547</v>
          </cell>
          <cell r="L612" t="str">
            <v>CHĂM SÓC SẮC ĐẸP</v>
          </cell>
          <cell r="M612" t="str">
            <v>CHĂM SÓC CƠ THỂ</v>
          </cell>
          <cell r="N612" t="str">
            <v>CHỐNG NẮNG</v>
          </cell>
          <cell r="O612" t="str">
            <v>102419</v>
          </cell>
          <cell r="P612" t="str">
            <v>4902468297045</v>
          </cell>
          <cell r="Q612" t="str">
            <v>MEISHOKU- Kem chống nắng cho da nhạy cảm 40g</v>
          </cell>
          <cell r="R612">
            <v>435000</v>
          </cell>
          <cell r="S612">
            <v>1</v>
          </cell>
          <cell r="T612">
            <v>435000</v>
          </cell>
          <cell r="U612">
            <v>0</v>
          </cell>
          <cell r="V612">
            <v>435000</v>
          </cell>
          <cell r="W612" t="str">
            <v>4902468297045</v>
          </cell>
        </row>
        <row r="613">
          <cell r="A613">
            <v>2026</v>
          </cell>
          <cell r="B613">
            <v>6</v>
          </cell>
          <cell r="C613">
            <v>46192</v>
          </cell>
          <cell r="D613" t="str">
            <v>1. SKK store</v>
          </cell>
          <cell r="E613" t="str">
            <v>S1006</v>
          </cell>
          <cell r="F613" t="str">
            <v>SKK Trần Đăng Ninh</v>
          </cell>
          <cell r="G613" t="str">
            <v>0913593379</v>
          </cell>
          <cell r="H613" t="str">
            <v>Cô Võ Thị Huệ</v>
          </cell>
          <cell r="I613" t="str">
            <v>Khách cũ</v>
          </cell>
          <cell r="J613" t="str">
            <v>Đơn bán</v>
          </cell>
          <cell r="K613" t="str">
            <v>SAKUKO816550</v>
          </cell>
          <cell r="L613" t="str">
            <v>THỰC PHẨM</v>
          </cell>
          <cell r="M613" t="str">
            <v>MỲ, MIẾN</v>
          </cell>
          <cell r="N613" t="str">
            <v>MỲ ĂN LIỀN</v>
          </cell>
          <cell r="O613" t="str">
            <v>154359</v>
          </cell>
          <cell r="P613" t="str">
            <v>4979397000138</v>
          </cell>
          <cell r="Q613" t="str">
            <v>YAMAMOTO- Mì ramen ăn liền hải sản thịt heo 88g*5</v>
          </cell>
          <cell r="R613">
            <v>99000</v>
          </cell>
          <cell r="S613">
            <v>1</v>
          </cell>
          <cell r="T613">
            <v>99000</v>
          </cell>
          <cell r="U613">
            <v>0</v>
          </cell>
          <cell r="V613">
            <v>99000</v>
          </cell>
          <cell r="W613" t="str">
            <v>4979397000138</v>
          </cell>
        </row>
        <row r="614">
          <cell r="A614">
            <v>2026</v>
          </cell>
          <cell r="B614">
            <v>6</v>
          </cell>
          <cell r="C614">
            <v>46192</v>
          </cell>
          <cell r="D614" t="str">
            <v>1. SKK store</v>
          </cell>
          <cell r="E614" t="str">
            <v>S1006</v>
          </cell>
          <cell r="F614" t="str">
            <v>SKK Trần Đăng Ninh</v>
          </cell>
          <cell r="G614" t="str">
            <v>0988707077</v>
          </cell>
          <cell r="H614" t="str">
            <v>chị nga</v>
          </cell>
          <cell r="I614" t="str">
            <v>Khách cũ</v>
          </cell>
          <cell r="J614" t="str">
            <v>Đơn bán</v>
          </cell>
          <cell r="K614" t="str">
            <v>SAKUKO817466</v>
          </cell>
          <cell r="L614" t="str">
            <v>CHĂM SÓC SẮC ĐẸP</v>
          </cell>
          <cell r="M614" t="str">
            <v>Mỹ phẩm khác</v>
          </cell>
          <cell r="N614" t="str">
            <v>PHỤ KIỆN LÀM ĐẸP</v>
          </cell>
          <cell r="O614" t="str">
            <v>102389</v>
          </cell>
          <cell r="P614" t="str">
            <v>4969757110652</v>
          </cell>
          <cell r="Q614" t="str">
            <v>KYOWA- Gói bông tẩy trang 130 miếng</v>
          </cell>
          <cell r="R614">
            <v>49000</v>
          </cell>
          <cell r="S614">
            <v>1</v>
          </cell>
          <cell r="T614">
            <v>49000</v>
          </cell>
          <cell r="U614">
            <v>0</v>
          </cell>
          <cell r="V614">
            <v>49000</v>
          </cell>
          <cell r="W614" t="str">
            <v>4969757110652</v>
          </cell>
        </row>
        <row r="615">
          <cell r="A615">
            <v>2026</v>
          </cell>
          <cell r="B615">
            <v>6</v>
          </cell>
          <cell r="C615">
            <v>46192</v>
          </cell>
          <cell r="D615" t="str">
            <v>1. SKK store</v>
          </cell>
          <cell r="E615" t="str">
            <v>S1007</v>
          </cell>
          <cell r="F615" t="str">
            <v>SKK  Nguyễn Du</v>
          </cell>
          <cell r="G615" t="str">
            <v>0904226899</v>
          </cell>
          <cell r="H615" t="str">
            <v>c khách</v>
          </cell>
          <cell r="I615" t="str">
            <v>Khách cũ</v>
          </cell>
          <cell r="J615" t="str">
            <v>Đơn bán</v>
          </cell>
          <cell r="K615" t="str">
            <v>SAKUKO816863</v>
          </cell>
          <cell r="L615" t="str">
            <v>THỰC PHẨM</v>
          </cell>
          <cell r="M615" t="str">
            <v>MỲ, MIẾN</v>
          </cell>
          <cell r="N615" t="str">
            <v>MỲ ĂN LIỀN</v>
          </cell>
          <cell r="O615" t="str">
            <v>154198</v>
          </cell>
          <cell r="P615" t="str">
            <v>4979397000145</v>
          </cell>
          <cell r="Q615" t="str">
            <v>YAMAMOTO_Mì ramen ăn liền vị miso 90g*5</v>
          </cell>
          <cell r="R615">
            <v>99000</v>
          </cell>
          <cell r="S615">
            <v>1</v>
          </cell>
          <cell r="T615">
            <v>99000</v>
          </cell>
          <cell r="U615">
            <v>0</v>
          </cell>
          <cell r="V615">
            <v>99000</v>
          </cell>
          <cell r="W615" t="str">
            <v>4979397000145</v>
          </cell>
        </row>
        <row r="616">
          <cell r="A616">
            <v>2026</v>
          </cell>
          <cell r="B616">
            <v>6</v>
          </cell>
          <cell r="C616">
            <v>46192</v>
          </cell>
          <cell r="D616" t="str">
            <v>1. SKK store</v>
          </cell>
          <cell r="E616" t="str">
            <v>S1008</v>
          </cell>
          <cell r="F616" t="str">
            <v>SKK  Hàng Bông</v>
          </cell>
          <cell r="G616" t="str">
            <v>0913201130</v>
          </cell>
          <cell r="H616" t="str">
            <v>nguyễn thành minh</v>
          </cell>
          <cell r="I616" t="str">
            <v>Khách cũ</v>
          </cell>
          <cell r="J616" t="str">
            <v>Đơn bán</v>
          </cell>
          <cell r="K616" t="str">
            <v>SAKUKO817343</v>
          </cell>
          <cell r="L616" t="str">
            <v>THỰC PHẨM</v>
          </cell>
          <cell r="M616" t="str">
            <v>MỲ, MIẾN</v>
          </cell>
          <cell r="N616" t="str">
            <v>MỲ CHẾ BIẾN</v>
          </cell>
          <cell r="O616" t="str">
            <v>154247</v>
          </cell>
          <cell r="P616" t="str">
            <v>4902902105004</v>
          </cell>
          <cell r="Q616" t="str">
            <v>MALONY_Miến khoai tây 500g</v>
          </cell>
          <cell r="R616">
            <v>139000</v>
          </cell>
          <cell r="S616">
            <v>1</v>
          </cell>
          <cell r="T616">
            <v>139000</v>
          </cell>
          <cell r="U616">
            <v>41700</v>
          </cell>
          <cell r="V616">
            <v>97300</v>
          </cell>
          <cell r="W616" t="str">
            <v>4902902105004</v>
          </cell>
        </row>
        <row r="617">
          <cell r="A617">
            <v>2026</v>
          </cell>
          <cell r="B617">
            <v>6</v>
          </cell>
          <cell r="C617">
            <v>46192</v>
          </cell>
          <cell r="D617" t="str">
            <v>1. SKK store</v>
          </cell>
          <cell r="E617" t="str">
            <v>S1008</v>
          </cell>
          <cell r="F617" t="str">
            <v>SKK  Hàng Bông</v>
          </cell>
          <cell r="G617" t="str">
            <v>0973037999</v>
          </cell>
          <cell r="H617" t="str">
            <v>cô Phương</v>
          </cell>
          <cell r="I617" t="str">
            <v>Khách cũ</v>
          </cell>
          <cell r="J617" t="str">
            <v>Đơn bán</v>
          </cell>
          <cell r="K617" t="str">
            <v>SAKUKO816979</v>
          </cell>
          <cell r="L617" t="str">
            <v>THỰC PHẨM</v>
          </cell>
          <cell r="M617" t="str">
            <v>MỲ, MIẾN</v>
          </cell>
          <cell r="N617" t="str">
            <v>MỲ ĂN LIỀN</v>
          </cell>
          <cell r="O617" t="str">
            <v>154198</v>
          </cell>
          <cell r="P617" t="str">
            <v>4979397000145</v>
          </cell>
          <cell r="Q617" t="str">
            <v>YAMAMOTO_Mì ramen ăn liền vị miso 90g*5</v>
          </cell>
          <cell r="R617">
            <v>49500</v>
          </cell>
          <cell r="S617">
            <v>1</v>
          </cell>
          <cell r="T617">
            <v>49500</v>
          </cell>
          <cell r="U617">
            <v>0</v>
          </cell>
          <cell r="V617">
            <v>49500</v>
          </cell>
          <cell r="W617" t="str">
            <v>4979397000145</v>
          </cell>
        </row>
        <row r="618">
          <cell r="A618">
            <v>2026</v>
          </cell>
          <cell r="B618">
            <v>6</v>
          </cell>
          <cell r="C618">
            <v>46192</v>
          </cell>
          <cell r="D618" t="str">
            <v>1. SKK store</v>
          </cell>
          <cell r="E618" t="str">
            <v>S1008</v>
          </cell>
          <cell r="F618" t="str">
            <v>SKK  Hàng Bông</v>
          </cell>
          <cell r="G618" t="str">
            <v>0989532199</v>
          </cell>
          <cell r="H618" t="str">
            <v>chị phương</v>
          </cell>
          <cell r="I618" t="str">
            <v>Khách cũ</v>
          </cell>
          <cell r="J618" t="str">
            <v>Đơn bán</v>
          </cell>
          <cell r="K618" t="str">
            <v>SAKUKO816444</v>
          </cell>
          <cell r="L618" t="str">
            <v>THỰC PHẨM</v>
          </cell>
          <cell r="M618" t="str">
            <v>MỲ, MIẾN</v>
          </cell>
          <cell r="N618" t="str">
            <v>MỲ ĂN LIỀN</v>
          </cell>
          <cell r="O618" t="str">
            <v>154359</v>
          </cell>
          <cell r="P618" t="str">
            <v>4979397000138</v>
          </cell>
          <cell r="Q618" t="str">
            <v>YAMAMOTO- Mì ramen ăn liền hải sản thịt heo 88g*5</v>
          </cell>
          <cell r="R618">
            <v>99000</v>
          </cell>
          <cell r="S618">
            <v>1</v>
          </cell>
          <cell r="T618">
            <v>99000</v>
          </cell>
          <cell r="U618">
            <v>0</v>
          </cell>
          <cell r="V618">
            <v>99000</v>
          </cell>
          <cell r="W618" t="str">
            <v>4979397000138</v>
          </cell>
        </row>
        <row r="619">
          <cell r="A619">
            <v>2026</v>
          </cell>
          <cell r="B619">
            <v>6</v>
          </cell>
          <cell r="C619">
            <v>46192</v>
          </cell>
          <cell r="D619" t="str">
            <v>1. SKK store</v>
          </cell>
          <cell r="E619" t="str">
            <v>S1015</v>
          </cell>
          <cell r="F619" t="str">
            <v>SKK Hàm Nghi</v>
          </cell>
          <cell r="G619" t="str">
            <v>0989665357</v>
          </cell>
          <cell r="H619" t="str">
            <v>chị thủy</v>
          </cell>
          <cell r="I619" t="str">
            <v>Khách cũ</v>
          </cell>
          <cell r="J619" t="str">
            <v>Đơn bán</v>
          </cell>
          <cell r="K619" t="str">
            <v>SAKUKO817163</v>
          </cell>
          <cell r="L619" t="str">
            <v>ĐỒ CHO MẸ BÉ</v>
          </cell>
          <cell r="M619" t="str">
            <v>GIẤY ƯỚT</v>
          </cell>
          <cell r="N619" t="str">
            <v>GIẤY ƯỚT CHO BÉ</v>
          </cell>
          <cell r="O619" t="str">
            <v>121677</v>
          </cell>
          <cell r="P619" t="str">
            <v>8801260608836</v>
          </cell>
          <cell r="Q619" t="str">
            <v>KLEANNARA- Khăn ướt 5 tinh chất (có nắp) 100 tờ</v>
          </cell>
          <cell r="R619">
            <v>52000</v>
          </cell>
          <cell r="S619">
            <v>1</v>
          </cell>
          <cell r="T619">
            <v>52000</v>
          </cell>
          <cell r="U619">
            <v>0</v>
          </cell>
          <cell r="V619">
            <v>52000</v>
          </cell>
          <cell r="W619" t="str">
            <v>8801260608836</v>
          </cell>
        </row>
        <row r="620">
          <cell r="A620">
            <v>2026</v>
          </cell>
          <cell r="B620">
            <v>6</v>
          </cell>
          <cell r="C620">
            <v>46192</v>
          </cell>
          <cell r="D620" t="str">
            <v>1. SKK store</v>
          </cell>
          <cell r="E620" t="str">
            <v>S1018</v>
          </cell>
          <cell r="F620" t="str">
            <v>SKK Nguyễn Tuân</v>
          </cell>
          <cell r="G620" t="str">
            <v>0862984587</v>
          </cell>
          <cell r="H620" t="str">
            <v>chị hương</v>
          </cell>
          <cell r="I620" t="str">
            <v>Khách mới</v>
          </cell>
          <cell r="J620" t="str">
            <v>Đơn bán</v>
          </cell>
          <cell r="K620" t="str">
            <v>SAKUKO816504</v>
          </cell>
          <cell r="L620" t="str">
            <v>CHĂM SÓC SẮC ĐẸP</v>
          </cell>
          <cell r="M620" t="str">
            <v>Mỹ phẩm khác</v>
          </cell>
          <cell r="N620" t="str">
            <v>PHỤ KIỆN LÀM ĐẸP</v>
          </cell>
          <cell r="O620" t="str">
            <v>102389</v>
          </cell>
          <cell r="P620" t="str">
            <v>4969757110652</v>
          </cell>
          <cell r="Q620" t="str">
            <v>KYOWA- Gói bông tẩy trang 130 miếng</v>
          </cell>
          <cell r="R620">
            <v>49000</v>
          </cell>
          <cell r="S620">
            <v>1</v>
          </cell>
          <cell r="T620">
            <v>49000</v>
          </cell>
          <cell r="U620">
            <v>0</v>
          </cell>
          <cell r="V620">
            <v>49000</v>
          </cell>
          <cell r="W620" t="str">
            <v>4969757110652</v>
          </cell>
        </row>
        <row r="621">
          <cell r="A621">
            <v>2026</v>
          </cell>
          <cell r="B621">
            <v>6</v>
          </cell>
          <cell r="C621">
            <v>46192</v>
          </cell>
          <cell r="D621" t="str">
            <v>1. SKK store</v>
          </cell>
          <cell r="E621" t="str">
            <v>S1025</v>
          </cell>
          <cell r="F621" t="str">
            <v>SKK T6 Time City</v>
          </cell>
          <cell r="G621" t="str">
            <v>0962605665</v>
          </cell>
          <cell r="H621" t="str">
            <v>Chị Hà</v>
          </cell>
          <cell r="I621" t="str">
            <v>Khách cũ</v>
          </cell>
          <cell r="J621" t="str">
            <v>Đơn bán</v>
          </cell>
          <cell r="K621" t="str">
            <v>SAKUKO817436</v>
          </cell>
          <cell r="L621" t="str">
            <v>NHÀ CỬA ĐỜI SỐNG</v>
          </cell>
          <cell r="M621" t="str">
            <v>KHĂN</v>
          </cell>
          <cell r="N621" t="str">
            <v>KHĂN MẶT</v>
          </cell>
          <cell r="O621" t="str">
            <v>102390</v>
          </cell>
          <cell r="P621" t="str">
            <v>4906327905980</v>
          </cell>
          <cell r="Q621" t="str">
            <v>KOMODA - Khăn mặt khô dùng 1 lần 46m 20x20cm</v>
          </cell>
          <cell r="R621">
            <v>52000</v>
          </cell>
          <cell r="S621">
            <v>1</v>
          </cell>
          <cell r="T621">
            <v>52000</v>
          </cell>
          <cell r="U621">
            <v>0</v>
          </cell>
          <cell r="V621">
            <v>52000</v>
          </cell>
          <cell r="W621" t="str">
            <v>4906327905980</v>
          </cell>
        </row>
        <row r="622">
          <cell r="A622">
            <v>2026</v>
          </cell>
          <cell r="B622">
            <v>6</v>
          </cell>
          <cell r="C622">
            <v>46191</v>
          </cell>
          <cell r="D622" t="str">
            <v>1. SKK store</v>
          </cell>
          <cell r="E622" t="str">
            <v>S1004</v>
          </cell>
          <cell r="F622" t="str">
            <v>SKK  Mandarin C1</v>
          </cell>
          <cell r="G622" t="str">
            <v>0889305103</v>
          </cell>
          <cell r="H622" t="str">
            <v>chị phương</v>
          </cell>
          <cell r="I622" t="str">
            <v>Khách cũ</v>
          </cell>
          <cell r="J622" t="str">
            <v>Đơn bán</v>
          </cell>
          <cell r="K622" t="str">
            <v>SAKUKO816062</v>
          </cell>
          <cell r="L622" t="str">
            <v>NHÀ CỬA ĐỜI SỐNG</v>
          </cell>
          <cell r="M622" t="str">
            <v>ĐỒ DÙNG SINH HOẠT GIA ĐÌNH</v>
          </cell>
          <cell r="N622" t="str">
            <v>VẬT DỤNG SINH HOẠT KHÁC</v>
          </cell>
          <cell r="O622" t="str">
            <v>135039</v>
          </cell>
          <cell r="P622" t="str">
            <v>4968988074993</v>
          </cell>
          <cell r="Q622" t="str">
            <v>OMAICHI- Set 2 lọ chiết mỹ phẩm 40ml kèm hộp đựng</v>
          </cell>
          <cell r="R622">
            <v>52000</v>
          </cell>
          <cell r="S622">
            <v>1</v>
          </cell>
          <cell r="T622">
            <v>52000</v>
          </cell>
          <cell r="U622">
            <v>0</v>
          </cell>
          <cell r="V622">
            <v>52000</v>
          </cell>
          <cell r="W622" t="str">
            <v>4968988074993</v>
          </cell>
        </row>
        <row r="623">
          <cell r="A623">
            <v>2026</v>
          </cell>
          <cell r="B623">
            <v>6</v>
          </cell>
          <cell r="C623">
            <v>46191</v>
          </cell>
          <cell r="D623" t="str">
            <v>1. SKK store</v>
          </cell>
          <cell r="E623" t="str">
            <v>S1004</v>
          </cell>
          <cell r="F623" t="str">
            <v>SKK  Mandarin C1</v>
          </cell>
          <cell r="G623" t="str">
            <v>0982511365</v>
          </cell>
          <cell r="H623" t="str">
            <v>cô Phương</v>
          </cell>
          <cell r="I623" t="str">
            <v>Khách cũ</v>
          </cell>
          <cell r="J623" t="str">
            <v>Đơn bán</v>
          </cell>
          <cell r="K623" t="str">
            <v>SAKUKO816105</v>
          </cell>
          <cell r="L623" t="str">
            <v>ĐỒ CHO MẸ BÉ</v>
          </cell>
          <cell r="M623" t="str">
            <v>GIẤY ƯỚT</v>
          </cell>
          <cell r="N623" t="str">
            <v>GIẤY ƯỚT CHO BÉ</v>
          </cell>
          <cell r="O623" t="str">
            <v>121677</v>
          </cell>
          <cell r="P623" t="str">
            <v>8801260608836</v>
          </cell>
          <cell r="Q623" t="str">
            <v>KLEANNARA- Khăn ướt 5 tinh chất (có nắp) 100 tờ</v>
          </cell>
          <cell r="R623">
            <v>52000</v>
          </cell>
          <cell r="S623">
            <v>3</v>
          </cell>
          <cell r="T623">
            <v>156000</v>
          </cell>
          <cell r="U623">
            <v>0</v>
          </cell>
          <cell r="V623">
            <v>156000</v>
          </cell>
          <cell r="W623" t="str">
            <v>8801260608836</v>
          </cell>
        </row>
        <row r="624">
          <cell r="A624">
            <v>2026</v>
          </cell>
          <cell r="B624">
            <v>6</v>
          </cell>
          <cell r="C624">
            <v>46191</v>
          </cell>
          <cell r="D624" t="str">
            <v>1. SKK store</v>
          </cell>
          <cell r="E624" t="str">
            <v>S1004</v>
          </cell>
          <cell r="F624" t="str">
            <v>SKK  Mandarin C1</v>
          </cell>
          <cell r="G624" t="str">
            <v>0986161634</v>
          </cell>
          <cell r="H624" t="str">
            <v>Chị Hiền</v>
          </cell>
          <cell r="I624" t="str">
            <v>Khách cũ</v>
          </cell>
          <cell r="J624" t="str">
            <v>Đơn bán</v>
          </cell>
          <cell r="K624" t="str">
            <v>SAKUKO815712</v>
          </cell>
          <cell r="L624" t="str">
            <v>THỰC PHẨM</v>
          </cell>
          <cell r="M624" t="str">
            <v>BÁNH KẸO, ĐỒ ĂN VẶT</v>
          </cell>
          <cell r="N624" t="str">
            <v>KẸO CAO SU</v>
          </cell>
          <cell r="O624" t="str">
            <v>231377</v>
          </cell>
          <cell r="P624" t="str">
            <v>4903333200375</v>
          </cell>
          <cell r="Q624" t="str">
            <v>LOTTE-Kẹo cao su tổng hợp dạng lọ 114g</v>
          </cell>
          <cell r="R624">
            <v>235000</v>
          </cell>
          <cell r="S624">
            <v>1</v>
          </cell>
          <cell r="T624">
            <v>235000</v>
          </cell>
          <cell r="U624">
            <v>0</v>
          </cell>
          <cell r="V624">
            <v>235000</v>
          </cell>
          <cell r="W624" t="str">
            <v>4903333200375</v>
          </cell>
        </row>
        <row r="625">
          <cell r="A625">
            <v>2026</v>
          </cell>
          <cell r="B625">
            <v>6</v>
          </cell>
          <cell r="C625">
            <v>46191</v>
          </cell>
          <cell r="D625" t="str">
            <v>1. SKK store</v>
          </cell>
          <cell r="E625" t="str">
            <v>S1005</v>
          </cell>
          <cell r="F625" t="str">
            <v>SKK  Thái Hà</v>
          </cell>
          <cell r="G625" t="str">
            <v>0911256685</v>
          </cell>
          <cell r="H625" t="str">
            <v>anh minh</v>
          </cell>
          <cell r="I625" t="str">
            <v>Khách cũ</v>
          </cell>
          <cell r="J625" t="str">
            <v>Đơn bán</v>
          </cell>
          <cell r="K625" t="str">
            <v>SAKUKO815720</v>
          </cell>
          <cell r="L625" t="str">
            <v>CHĂM SÓC SẮC ĐẸP</v>
          </cell>
          <cell r="M625" t="str">
            <v>CHĂM SÓC DA</v>
          </cell>
          <cell r="N625" t="str">
            <v>CHĂM SÓC DA KHÁC</v>
          </cell>
          <cell r="O625" t="str">
            <v>102388</v>
          </cell>
          <cell r="P625" t="str">
            <v>8935006542914</v>
          </cell>
          <cell r="Q625" t="str">
            <v>HADA LABO- Bộ sản phẩm dưỡng trắng (travel kit)47g</v>
          </cell>
          <cell r="R625">
            <v>135000</v>
          </cell>
          <cell r="S625">
            <v>1</v>
          </cell>
          <cell r="T625">
            <v>135000</v>
          </cell>
          <cell r="U625">
            <v>26000</v>
          </cell>
          <cell r="V625">
            <v>109000</v>
          </cell>
          <cell r="W625" t="str">
            <v>8935006542914</v>
          </cell>
        </row>
        <row r="626">
          <cell r="A626">
            <v>2026</v>
          </cell>
          <cell r="B626">
            <v>6</v>
          </cell>
          <cell r="C626">
            <v>46191</v>
          </cell>
          <cell r="D626" t="str">
            <v>1. SKK store</v>
          </cell>
          <cell r="E626" t="str">
            <v>S1005</v>
          </cell>
          <cell r="F626" t="str">
            <v>SKK  Thái Hà</v>
          </cell>
          <cell r="G626" t="str">
            <v>0989004895</v>
          </cell>
          <cell r="H626" t="str">
            <v>c ngân</v>
          </cell>
          <cell r="I626" t="str">
            <v>Khách cũ</v>
          </cell>
          <cell r="J626" t="str">
            <v>Đơn bán</v>
          </cell>
          <cell r="K626" t="str">
            <v>SAKUKO815284</v>
          </cell>
          <cell r="L626" t="str">
            <v>CHĂM SÓC SẮC ĐẸP</v>
          </cell>
          <cell r="M626" t="str">
            <v>Mỹ phẩm khác</v>
          </cell>
          <cell r="N626" t="str">
            <v>PHỤ KIỆN LÀM ĐẸP</v>
          </cell>
          <cell r="O626" t="str">
            <v>102389</v>
          </cell>
          <cell r="P626" t="str">
            <v>4969757110652</v>
          </cell>
          <cell r="Q626" t="str">
            <v>KYOWA- Gói bông tẩy trang 130 miếng</v>
          </cell>
          <cell r="R626">
            <v>49000</v>
          </cell>
          <cell r="S626">
            <v>1</v>
          </cell>
          <cell r="T626">
            <v>49000</v>
          </cell>
          <cell r="U626">
            <v>0</v>
          </cell>
          <cell r="V626">
            <v>49000</v>
          </cell>
          <cell r="W626" t="str">
            <v>4969757110652</v>
          </cell>
        </row>
        <row r="627">
          <cell r="A627">
            <v>2026</v>
          </cell>
          <cell r="B627">
            <v>6</v>
          </cell>
          <cell r="C627">
            <v>46191</v>
          </cell>
          <cell r="D627" t="str">
            <v>1. SKK store</v>
          </cell>
          <cell r="E627" t="str">
            <v>S1006</v>
          </cell>
          <cell r="F627" t="str">
            <v>SKK Trần Đăng Ninh</v>
          </cell>
          <cell r="G627" t="str">
            <v>0963938556</v>
          </cell>
          <cell r="H627" t="str">
            <v>Cô Vinh</v>
          </cell>
          <cell r="I627" t="str">
            <v>Khách cũ</v>
          </cell>
          <cell r="J627" t="str">
            <v>Đơn bán</v>
          </cell>
          <cell r="K627" t="str">
            <v>SAKUKO816102</v>
          </cell>
          <cell r="L627" t="str">
            <v>THỰC PHẨM</v>
          </cell>
          <cell r="M627" t="str">
            <v>MỲ, MIẾN</v>
          </cell>
          <cell r="N627" t="str">
            <v>MỲ ĂN LIỀN</v>
          </cell>
          <cell r="O627" t="str">
            <v>154359</v>
          </cell>
          <cell r="P627" t="str">
            <v>4979397000138</v>
          </cell>
          <cell r="Q627" t="str">
            <v>YAMAMOTO- Mì ramen ăn liền hải sản thịt heo 88g*5</v>
          </cell>
          <cell r="R627">
            <v>99000</v>
          </cell>
          <cell r="S627">
            <v>1</v>
          </cell>
          <cell r="T627">
            <v>99000</v>
          </cell>
          <cell r="U627">
            <v>0</v>
          </cell>
          <cell r="V627">
            <v>99000</v>
          </cell>
          <cell r="W627" t="str">
            <v>4979397000138</v>
          </cell>
        </row>
        <row r="628">
          <cell r="A628">
            <v>2026</v>
          </cell>
          <cell r="B628">
            <v>6</v>
          </cell>
          <cell r="C628">
            <v>46191</v>
          </cell>
          <cell r="D628" t="str">
            <v>1. SKK store</v>
          </cell>
          <cell r="E628" t="str">
            <v>S1006</v>
          </cell>
          <cell r="F628" t="str">
            <v>SKK Trần Đăng Ninh</v>
          </cell>
          <cell r="G628" t="str">
            <v>0979132017</v>
          </cell>
          <cell r="H628" t="str">
            <v>Vân Anh</v>
          </cell>
          <cell r="I628" t="str">
            <v>Khách cũ</v>
          </cell>
          <cell r="J628" t="str">
            <v>Đơn bán</v>
          </cell>
          <cell r="K628" t="str">
            <v>SAKUKO815089</v>
          </cell>
          <cell r="L628" t="str">
            <v>THỰC PHẨM</v>
          </cell>
          <cell r="M628" t="str">
            <v>BÁNH KẸO, ĐỒ ĂN VẶT</v>
          </cell>
          <cell r="N628" t="str">
            <v>KẸO CAO SU</v>
          </cell>
          <cell r="O628" t="str">
            <v>231377</v>
          </cell>
          <cell r="P628" t="str">
            <v>4903333200375</v>
          </cell>
          <cell r="Q628" t="str">
            <v>LOTTE-Kẹo cao su tổng hợp dạng lọ 114g</v>
          </cell>
          <cell r="R628">
            <v>235000</v>
          </cell>
          <cell r="S628">
            <v>1</v>
          </cell>
          <cell r="T628">
            <v>235000</v>
          </cell>
          <cell r="U628">
            <v>0</v>
          </cell>
          <cell r="V628">
            <v>235000</v>
          </cell>
          <cell r="W628" t="str">
            <v>4903333200375</v>
          </cell>
        </row>
        <row r="629">
          <cell r="A629">
            <v>2026</v>
          </cell>
          <cell r="B629">
            <v>6</v>
          </cell>
          <cell r="C629">
            <v>46191</v>
          </cell>
          <cell r="D629" t="str">
            <v>1. SKK store</v>
          </cell>
          <cell r="E629" t="str">
            <v>S1006</v>
          </cell>
          <cell r="F629" t="str">
            <v>SKK Trần Đăng Ninh</v>
          </cell>
          <cell r="G629" t="str">
            <v>0983169999</v>
          </cell>
          <cell r="H629" t="str">
            <v>Anh Nam</v>
          </cell>
          <cell r="I629" t="str">
            <v>Khách cũ</v>
          </cell>
          <cell r="J629" t="str">
            <v>Đơn bán</v>
          </cell>
          <cell r="K629" t="str">
            <v>SAKUKO815812</v>
          </cell>
          <cell r="L629" t="str">
            <v>THỰC PHẨM</v>
          </cell>
          <cell r="M629" t="str">
            <v>BÁNH KẸO, ĐỒ ĂN VẶT</v>
          </cell>
          <cell r="N629" t="str">
            <v>KẸO CAO SU</v>
          </cell>
          <cell r="O629" t="str">
            <v>231376</v>
          </cell>
          <cell r="P629" t="str">
            <v>4903333228577</v>
          </cell>
          <cell r="Q629" t="str">
            <v>LOTTE-Kẹo cao su tổng hợp 7 loại dạng lọ 133g</v>
          </cell>
          <cell r="R629">
            <v>235000</v>
          </cell>
          <cell r="S629">
            <v>1</v>
          </cell>
          <cell r="T629">
            <v>235000</v>
          </cell>
          <cell r="U629">
            <v>0</v>
          </cell>
          <cell r="V629">
            <v>235000</v>
          </cell>
          <cell r="W629" t="str">
            <v>4903333228577</v>
          </cell>
        </row>
        <row r="630">
          <cell r="A630">
            <v>2026</v>
          </cell>
          <cell r="B630">
            <v>6</v>
          </cell>
          <cell r="C630">
            <v>46191</v>
          </cell>
          <cell r="D630" t="str">
            <v>1. SKK store</v>
          </cell>
          <cell r="E630" t="str">
            <v>S1007</v>
          </cell>
          <cell r="F630" t="str">
            <v>SKK  Nguyễn Du</v>
          </cell>
          <cell r="G630" t="str">
            <v>0904344341</v>
          </cell>
          <cell r="H630" t="str">
            <v>cô Dung</v>
          </cell>
          <cell r="I630" t="str">
            <v>Khách cũ</v>
          </cell>
          <cell r="J630" t="str">
            <v>Đơn bán</v>
          </cell>
          <cell r="K630" t="str">
            <v>SAKUKO815008</v>
          </cell>
          <cell r="L630" t="str">
            <v>THỰC PHẨM</v>
          </cell>
          <cell r="M630" t="str">
            <v>MỲ, MIẾN</v>
          </cell>
          <cell r="N630" t="str">
            <v>MỲ ĂN LIỀN</v>
          </cell>
          <cell r="O630" t="str">
            <v>154359</v>
          </cell>
          <cell r="P630" t="str">
            <v>4979397000138</v>
          </cell>
          <cell r="Q630" t="str">
            <v>YAMAMOTO- Mì ramen ăn liền hải sản thịt heo 88g*5</v>
          </cell>
          <cell r="R630">
            <v>99000</v>
          </cell>
          <cell r="S630">
            <v>1</v>
          </cell>
          <cell r="T630">
            <v>99000</v>
          </cell>
          <cell r="U630">
            <v>0</v>
          </cell>
          <cell r="V630">
            <v>99000</v>
          </cell>
          <cell r="W630" t="str">
            <v>4979397000138</v>
          </cell>
        </row>
        <row r="631">
          <cell r="A631">
            <v>2026</v>
          </cell>
          <cell r="B631">
            <v>6</v>
          </cell>
          <cell r="C631">
            <v>46191</v>
          </cell>
          <cell r="D631" t="str">
            <v>1. SKK store</v>
          </cell>
          <cell r="E631" t="str">
            <v>S1007</v>
          </cell>
          <cell r="F631" t="str">
            <v>SKK  Nguyễn Du</v>
          </cell>
          <cell r="G631" t="str">
            <v>0912260922</v>
          </cell>
          <cell r="H631" t="str">
            <v>Chị Nguyễn Thị Kim Anh</v>
          </cell>
          <cell r="I631" t="str">
            <v>Khách cũ</v>
          </cell>
          <cell r="J631" t="str">
            <v>Đơn bán</v>
          </cell>
          <cell r="K631" t="str">
            <v>SAKUKO815267</v>
          </cell>
          <cell r="L631" t="str">
            <v>CHĂM SÓC SẮC ĐẸP</v>
          </cell>
          <cell r="M631" t="str">
            <v>CHĂM SÓC DA</v>
          </cell>
          <cell r="N631" t="str">
            <v>RỬA MẶT</v>
          </cell>
          <cell r="O631" t="str">
            <v>230849</v>
          </cell>
          <cell r="P631" t="str">
            <v>4902806102048</v>
          </cell>
          <cell r="Q631" t="str">
            <v>GATSBY- SRM than hoạt tính sạch sâu 130g</v>
          </cell>
          <cell r="R631">
            <v>125000</v>
          </cell>
          <cell r="S631">
            <v>1</v>
          </cell>
          <cell r="T631">
            <v>125000</v>
          </cell>
          <cell r="U631">
            <v>12500</v>
          </cell>
          <cell r="V631">
            <v>112500</v>
          </cell>
          <cell r="W631" t="str">
            <v>4902806102048</v>
          </cell>
        </row>
        <row r="632">
          <cell r="A632">
            <v>2026</v>
          </cell>
          <cell r="B632">
            <v>6</v>
          </cell>
          <cell r="C632">
            <v>46191</v>
          </cell>
          <cell r="D632" t="str">
            <v>1. SKK store</v>
          </cell>
          <cell r="E632" t="str">
            <v>S1007</v>
          </cell>
          <cell r="F632" t="str">
            <v>SKK  Nguyễn Du</v>
          </cell>
          <cell r="G632" t="str">
            <v>0976020396</v>
          </cell>
          <cell r="H632" t="str">
            <v>chị quynh</v>
          </cell>
          <cell r="I632" t="str">
            <v>Khách mới</v>
          </cell>
          <cell r="J632" t="str">
            <v>Đơn bán</v>
          </cell>
          <cell r="K632" t="str">
            <v>SAKUKO815180</v>
          </cell>
          <cell r="L632" t="str">
            <v>THỰC PHẨM</v>
          </cell>
          <cell r="M632" t="str">
            <v>MỲ, MIẾN</v>
          </cell>
          <cell r="N632" t="str">
            <v>MỲ ĂN LIỀN</v>
          </cell>
          <cell r="O632" t="str">
            <v>154198</v>
          </cell>
          <cell r="P632" t="str">
            <v>4979397000145</v>
          </cell>
          <cell r="Q632" t="str">
            <v>YAMAMOTO_Mì ramen ăn liền vị miso 90g*5</v>
          </cell>
          <cell r="R632">
            <v>99000</v>
          </cell>
          <cell r="S632">
            <v>1</v>
          </cell>
          <cell r="T632">
            <v>99000</v>
          </cell>
          <cell r="U632">
            <v>0</v>
          </cell>
          <cell r="V632">
            <v>99000</v>
          </cell>
          <cell r="W632" t="str">
            <v>4979397000145</v>
          </cell>
        </row>
        <row r="633">
          <cell r="A633">
            <v>2026</v>
          </cell>
          <cell r="B633">
            <v>6</v>
          </cell>
          <cell r="C633">
            <v>46191</v>
          </cell>
          <cell r="D633" t="str">
            <v>1. SKK store</v>
          </cell>
          <cell r="E633" t="str">
            <v>S1007</v>
          </cell>
          <cell r="F633" t="str">
            <v>SKK  Nguyễn Du</v>
          </cell>
          <cell r="G633" t="str">
            <v>0978333351</v>
          </cell>
          <cell r="H633" t="str">
            <v>C LÂM</v>
          </cell>
          <cell r="I633" t="str">
            <v>Khách mới</v>
          </cell>
          <cell r="J633" t="str">
            <v>Đơn bán</v>
          </cell>
          <cell r="K633" t="str">
            <v>SAKUKO815885</v>
          </cell>
          <cell r="L633" t="str">
            <v>THỰC PHẨM</v>
          </cell>
          <cell r="M633" t="str">
            <v>MỲ, MIẾN</v>
          </cell>
          <cell r="N633" t="str">
            <v>MỲ ĂN LIỀN</v>
          </cell>
          <cell r="O633" t="str">
            <v>154198</v>
          </cell>
          <cell r="P633" t="str">
            <v>4979397000145</v>
          </cell>
          <cell r="Q633" t="str">
            <v>YAMAMOTO_Mì ramen ăn liền vị miso 90g*5</v>
          </cell>
          <cell r="R633">
            <v>99000</v>
          </cell>
          <cell r="S633">
            <v>1</v>
          </cell>
          <cell r="T633">
            <v>99000</v>
          </cell>
          <cell r="U633">
            <v>0</v>
          </cell>
          <cell r="V633">
            <v>99000</v>
          </cell>
          <cell r="W633" t="str">
            <v>4979397000145</v>
          </cell>
        </row>
        <row r="634">
          <cell r="A634">
            <v>2026</v>
          </cell>
          <cell r="B634">
            <v>6</v>
          </cell>
          <cell r="C634">
            <v>46191</v>
          </cell>
          <cell r="D634" t="str">
            <v>1. SKK store</v>
          </cell>
          <cell r="E634" t="str">
            <v>S1007</v>
          </cell>
          <cell r="F634" t="str">
            <v>SKK  Nguyễn Du</v>
          </cell>
          <cell r="G634" t="str">
            <v>0978333351</v>
          </cell>
          <cell r="H634" t="str">
            <v>C LÂM</v>
          </cell>
          <cell r="I634" t="str">
            <v>Khách mới</v>
          </cell>
          <cell r="J634" t="str">
            <v>Đơn bán</v>
          </cell>
          <cell r="K634" t="str">
            <v>SAKUKO815885</v>
          </cell>
          <cell r="L634" t="str">
            <v>THỰC PHẨM</v>
          </cell>
          <cell r="M634" t="str">
            <v>MỲ, MIẾN</v>
          </cell>
          <cell r="N634" t="str">
            <v>MỲ ĂN LIỀN</v>
          </cell>
          <cell r="O634" t="str">
            <v>154359</v>
          </cell>
          <cell r="P634" t="str">
            <v>4979397000138</v>
          </cell>
          <cell r="Q634" t="str">
            <v>YAMAMOTO- Mì ramen ăn liền hải sản thịt heo 88g*5</v>
          </cell>
          <cell r="R634">
            <v>99000</v>
          </cell>
          <cell r="S634">
            <v>1</v>
          </cell>
          <cell r="T634">
            <v>99000</v>
          </cell>
          <cell r="U634">
            <v>0</v>
          </cell>
          <cell r="V634">
            <v>99000</v>
          </cell>
          <cell r="W634" t="str">
            <v>4979397000138</v>
          </cell>
        </row>
        <row r="635">
          <cell r="A635">
            <v>2026</v>
          </cell>
          <cell r="B635">
            <v>6</v>
          </cell>
          <cell r="C635">
            <v>46191</v>
          </cell>
          <cell r="D635" t="str">
            <v>1. SKK store</v>
          </cell>
          <cell r="E635" t="str">
            <v>S1008</v>
          </cell>
          <cell r="F635" t="str">
            <v>SKK  Hàng Bông</v>
          </cell>
          <cell r="G635" t="str">
            <v>02466810202</v>
          </cell>
          <cell r="H635" t="str">
            <v>KH Tây</v>
          </cell>
          <cell r="I635" t="str">
            <v>Khách vãng lai</v>
          </cell>
          <cell r="J635" t="str">
            <v>Đơn bán</v>
          </cell>
          <cell r="K635" t="str">
            <v>SAKUKO816114</v>
          </cell>
          <cell r="L635" t="str">
            <v>CHĂM SÓC SẮC ĐẸP</v>
          </cell>
          <cell r="M635" t="str">
            <v>CHĂM SÓC DA</v>
          </cell>
          <cell r="N635" t="str">
            <v>CHĂM SÓC DA KHÁC</v>
          </cell>
          <cell r="O635" t="str">
            <v>102387</v>
          </cell>
          <cell r="P635" t="str">
            <v>8935006542907</v>
          </cell>
          <cell r="Q635" t="str">
            <v>HADA LABO- Bộ sản phẩm dưỡng ẩm (travel kit)47g</v>
          </cell>
          <cell r="R635">
            <v>129000</v>
          </cell>
          <cell r="S635">
            <v>1</v>
          </cell>
          <cell r="T635">
            <v>129000</v>
          </cell>
          <cell r="U635">
            <v>20000</v>
          </cell>
          <cell r="V635">
            <v>109000</v>
          </cell>
          <cell r="W635" t="str">
            <v>8935006542907</v>
          </cell>
        </row>
        <row r="636">
          <cell r="A636">
            <v>2026</v>
          </cell>
          <cell r="B636">
            <v>6</v>
          </cell>
          <cell r="C636">
            <v>46191</v>
          </cell>
          <cell r="D636" t="str">
            <v>1. SKK store</v>
          </cell>
          <cell r="E636" t="str">
            <v>S1008</v>
          </cell>
          <cell r="F636" t="str">
            <v>SKK  Hàng Bông</v>
          </cell>
          <cell r="G636" t="str">
            <v>0915111616</v>
          </cell>
          <cell r="H636" t="str">
            <v>C Chi</v>
          </cell>
          <cell r="I636" t="str">
            <v>Khách cũ</v>
          </cell>
          <cell r="J636" t="str">
            <v>Đơn bán</v>
          </cell>
          <cell r="K636" t="str">
            <v>SAKUKO815280</v>
          </cell>
          <cell r="L636" t="str">
            <v>THỰC PHẨM</v>
          </cell>
          <cell r="M636" t="str">
            <v>MỲ, MIẾN</v>
          </cell>
          <cell r="N636" t="str">
            <v>MỲ ĂN LIỀN</v>
          </cell>
          <cell r="O636" t="str">
            <v>154196</v>
          </cell>
          <cell r="P636" t="str">
            <v>4979397000152</v>
          </cell>
          <cell r="Q636" t="str">
            <v>YAMAMOTO_Mì xào kiểu Nhật 89g*5</v>
          </cell>
          <cell r="R636">
            <v>99000</v>
          </cell>
          <cell r="S636">
            <v>1</v>
          </cell>
          <cell r="T636">
            <v>99000</v>
          </cell>
          <cell r="U636">
            <v>0</v>
          </cell>
          <cell r="V636">
            <v>99000</v>
          </cell>
          <cell r="W636" t="str">
            <v>4979397000152</v>
          </cell>
        </row>
        <row r="637">
          <cell r="A637">
            <v>2026</v>
          </cell>
          <cell r="B637">
            <v>6</v>
          </cell>
          <cell r="C637">
            <v>46191</v>
          </cell>
          <cell r="D637" t="str">
            <v>1. SKK store</v>
          </cell>
          <cell r="E637" t="str">
            <v>S1008</v>
          </cell>
          <cell r="F637" t="str">
            <v>SKK  Hàng Bông</v>
          </cell>
          <cell r="G637" t="str">
            <v>0915111616</v>
          </cell>
          <cell r="H637" t="str">
            <v>C Chi</v>
          </cell>
          <cell r="I637" t="str">
            <v>Khách cũ</v>
          </cell>
          <cell r="J637" t="str">
            <v>Đơn bán</v>
          </cell>
          <cell r="K637" t="str">
            <v>SAKUKO815280</v>
          </cell>
          <cell r="L637" t="str">
            <v>THỰC PHẨM</v>
          </cell>
          <cell r="M637" t="str">
            <v>MỲ, MIẾN</v>
          </cell>
          <cell r="N637" t="str">
            <v>MỲ ĂN LIỀN</v>
          </cell>
          <cell r="O637" t="str">
            <v>154198</v>
          </cell>
          <cell r="P637" t="str">
            <v>4979397000145</v>
          </cell>
          <cell r="Q637" t="str">
            <v>YAMAMOTO_Mì ramen ăn liền vị miso 90g*5</v>
          </cell>
          <cell r="R637">
            <v>99000</v>
          </cell>
          <cell r="S637">
            <v>1</v>
          </cell>
          <cell r="T637">
            <v>99000</v>
          </cell>
          <cell r="U637">
            <v>0</v>
          </cell>
          <cell r="V637">
            <v>99000</v>
          </cell>
          <cell r="W637" t="str">
            <v>4979397000145</v>
          </cell>
        </row>
        <row r="638">
          <cell r="A638">
            <v>2026</v>
          </cell>
          <cell r="B638">
            <v>6</v>
          </cell>
          <cell r="C638">
            <v>46191</v>
          </cell>
          <cell r="D638" t="str">
            <v>1. SKK store</v>
          </cell>
          <cell r="E638" t="str">
            <v>S1008</v>
          </cell>
          <cell r="F638" t="str">
            <v>SKK  Hàng Bông</v>
          </cell>
          <cell r="G638" t="str">
            <v>0915111616</v>
          </cell>
          <cell r="H638" t="str">
            <v>C Chi</v>
          </cell>
          <cell r="I638" t="str">
            <v>Khách cũ</v>
          </cell>
          <cell r="J638" t="str">
            <v>Đơn bán</v>
          </cell>
          <cell r="K638" t="str">
            <v>SAKUKO815280</v>
          </cell>
          <cell r="L638" t="str">
            <v>THỰC PHẨM</v>
          </cell>
          <cell r="M638" t="str">
            <v>MỲ, MIẾN</v>
          </cell>
          <cell r="N638" t="str">
            <v>MỲ ĂN LIỀN</v>
          </cell>
          <cell r="O638" t="str">
            <v>154359</v>
          </cell>
          <cell r="P638" t="str">
            <v>4979397000138</v>
          </cell>
          <cell r="Q638" t="str">
            <v>YAMAMOTO- Mì ramen ăn liền hải sản thịt heo 88g*5</v>
          </cell>
          <cell r="R638">
            <v>99000</v>
          </cell>
          <cell r="S638">
            <v>1</v>
          </cell>
          <cell r="T638">
            <v>99000</v>
          </cell>
          <cell r="U638">
            <v>0</v>
          </cell>
          <cell r="V638">
            <v>99000</v>
          </cell>
          <cell r="W638" t="str">
            <v>4979397000138</v>
          </cell>
        </row>
        <row r="639">
          <cell r="A639">
            <v>2026</v>
          </cell>
          <cell r="B639">
            <v>6</v>
          </cell>
          <cell r="C639">
            <v>46191</v>
          </cell>
          <cell r="D639" t="str">
            <v>1. SKK store</v>
          </cell>
          <cell r="E639" t="str">
            <v>S1008</v>
          </cell>
          <cell r="F639" t="str">
            <v>SKK  Hàng Bông</v>
          </cell>
          <cell r="G639" t="str">
            <v>0981212919</v>
          </cell>
          <cell r="H639" t="str">
            <v>chị liên</v>
          </cell>
          <cell r="I639" t="str">
            <v>Khách cũ</v>
          </cell>
          <cell r="J639" t="str">
            <v>Đơn bán</v>
          </cell>
          <cell r="K639" t="str">
            <v>SAKUKO815778</v>
          </cell>
          <cell r="L639" t="str">
            <v>THỰC PHẨM</v>
          </cell>
          <cell r="M639" t="str">
            <v>MỲ, MIẾN</v>
          </cell>
          <cell r="N639" t="str">
            <v>MỲ ĂN LIỀN</v>
          </cell>
          <cell r="O639" t="str">
            <v>154196</v>
          </cell>
          <cell r="P639" t="str">
            <v>4979397000152</v>
          </cell>
          <cell r="Q639" t="str">
            <v>YAMAMOTO_Mì xào kiểu Nhật 89g*5</v>
          </cell>
          <cell r="R639">
            <v>99000</v>
          </cell>
          <cell r="S639">
            <v>1</v>
          </cell>
          <cell r="T639">
            <v>99000</v>
          </cell>
          <cell r="U639">
            <v>0</v>
          </cell>
          <cell r="V639">
            <v>99000</v>
          </cell>
          <cell r="W639" t="str">
            <v>4979397000152</v>
          </cell>
        </row>
        <row r="640">
          <cell r="A640">
            <v>2026</v>
          </cell>
          <cell r="B640">
            <v>6</v>
          </cell>
          <cell r="C640">
            <v>46191</v>
          </cell>
          <cell r="D640" t="str">
            <v>1. SKK store</v>
          </cell>
          <cell r="E640" t="str">
            <v>S1008</v>
          </cell>
          <cell r="F640" t="str">
            <v>SKK  Hàng Bông</v>
          </cell>
          <cell r="G640" t="str">
            <v>0981212919</v>
          </cell>
          <cell r="H640" t="str">
            <v>chị liên</v>
          </cell>
          <cell r="I640" t="str">
            <v>Khách cũ</v>
          </cell>
          <cell r="J640" t="str">
            <v>Đơn bán</v>
          </cell>
          <cell r="K640" t="str">
            <v>SAKUKO815778</v>
          </cell>
          <cell r="L640" t="str">
            <v>THỰC PHẨM</v>
          </cell>
          <cell r="M640" t="str">
            <v>MỲ, MIẾN</v>
          </cell>
          <cell r="N640" t="str">
            <v>MỲ ĂN LIỀN</v>
          </cell>
          <cell r="O640" t="str">
            <v>154359</v>
          </cell>
          <cell r="P640" t="str">
            <v>4979397000138</v>
          </cell>
          <cell r="Q640" t="str">
            <v>YAMAMOTO- Mì ramen ăn liền hải sản thịt heo 88g*5</v>
          </cell>
          <cell r="R640">
            <v>99000</v>
          </cell>
          <cell r="S640">
            <v>1</v>
          </cell>
          <cell r="T640">
            <v>99000</v>
          </cell>
          <cell r="U640">
            <v>0</v>
          </cell>
          <cell r="V640">
            <v>99000</v>
          </cell>
          <cell r="W640" t="str">
            <v>4979397000138</v>
          </cell>
        </row>
        <row r="641">
          <cell r="A641">
            <v>2026</v>
          </cell>
          <cell r="B641">
            <v>6</v>
          </cell>
          <cell r="C641">
            <v>46191</v>
          </cell>
          <cell r="D641" t="str">
            <v>1. SKK store</v>
          </cell>
          <cell r="E641" t="str">
            <v>S1018</v>
          </cell>
          <cell r="F641" t="str">
            <v>SKK Nguyễn Tuân</v>
          </cell>
          <cell r="G641" t="str">
            <v>0963030171</v>
          </cell>
          <cell r="H641" t="str">
            <v>chị huyền</v>
          </cell>
          <cell r="I641" t="str">
            <v>Khách mới</v>
          </cell>
          <cell r="J641" t="str">
            <v>Đơn bán</v>
          </cell>
          <cell r="K641" t="str">
            <v>SAKUKO816215</v>
          </cell>
          <cell r="L641" t="str">
            <v>CHĂM SÓC SẮC ĐẸP</v>
          </cell>
          <cell r="M641" t="str">
            <v>CHĂM SÓC TÓC</v>
          </cell>
          <cell r="N641" t="str">
            <v>TẠO KIỂU TÓC</v>
          </cell>
          <cell r="O641" t="str">
            <v>101906</v>
          </cell>
          <cell r="P641" t="str">
            <v>4902806108781</v>
          </cell>
          <cell r="Q641" t="str">
            <v>GATSBY-  Sáp vuốt tóc tạo độ phồng 80g</v>
          </cell>
          <cell r="R641">
            <v>150000</v>
          </cell>
          <cell r="S641">
            <v>1</v>
          </cell>
          <cell r="T641">
            <v>150000</v>
          </cell>
          <cell r="U641">
            <v>15000</v>
          </cell>
          <cell r="V641">
            <v>135000</v>
          </cell>
          <cell r="W641" t="str">
            <v>4902806108781</v>
          </cell>
        </row>
        <row r="642">
          <cell r="A642">
            <v>2026</v>
          </cell>
          <cell r="B642">
            <v>6</v>
          </cell>
          <cell r="C642">
            <v>46191</v>
          </cell>
          <cell r="D642" t="str">
            <v>1. SKK store</v>
          </cell>
          <cell r="E642" t="str">
            <v>S1018</v>
          </cell>
          <cell r="F642" t="str">
            <v>SKK Nguyễn Tuân</v>
          </cell>
          <cell r="G642" t="str">
            <v>0963254714</v>
          </cell>
          <cell r="H642" t="str">
            <v>Bạn Tùng</v>
          </cell>
          <cell r="I642" t="str">
            <v>Khách mới</v>
          </cell>
          <cell r="J642" t="str">
            <v>Đơn bán</v>
          </cell>
          <cell r="K642" t="str">
            <v>SAKUKO815495</v>
          </cell>
          <cell r="L642" t="str">
            <v>CHĂM SÓC SẮC ĐẸP</v>
          </cell>
          <cell r="M642" t="str">
            <v>CHĂM SÓC TÓC</v>
          </cell>
          <cell r="N642" t="str">
            <v>TẠO KIỂU TÓC</v>
          </cell>
          <cell r="O642" t="str">
            <v>101904</v>
          </cell>
          <cell r="P642" t="str">
            <v>45131639</v>
          </cell>
          <cell r="Q642" t="str">
            <v>GATSBY- Sáp vuốt tóc tạo kiểu vuốt đứng 80g</v>
          </cell>
          <cell r="R642">
            <v>150000</v>
          </cell>
          <cell r="S642">
            <v>1</v>
          </cell>
          <cell r="T642">
            <v>150000</v>
          </cell>
          <cell r="U642">
            <v>15000</v>
          </cell>
          <cell r="V642">
            <v>135000</v>
          </cell>
          <cell r="W642" t="str">
            <v>45131639</v>
          </cell>
        </row>
        <row r="643">
          <cell r="A643">
            <v>2026</v>
          </cell>
          <cell r="B643">
            <v>6</v>
          </cell>
          <cell r="C643">
            <v>46190</v>
          </cell>
          <cell r="D643" t="str">
            <v>1. SKK store</v>
          </cell>
          <cell r="E643" t="str">
            <v>S1004</v>
          </cell>
          <cell r="F643" t="str">
            <v>SKK  Mandarin C1</v>
          </cell>
          <cell r="G643" t="str">
            <v>0904265886</v>
          </cell>
          <cell r="H643" t="str">
            <v>Le Thi Phuong Lan</v>
          </cell>
          <cell r="I643" t="str">
            <v>Khách cũ</v>
          </cell>
          <cell r="J643" t="str">
            <v>Đơn bán</v>
          </cell>
          <cell r="K643" t="str">
            <v>SAKUKO814469</v>
          </cell>
          <cell r="L643" t="str">
            <v>THỰC PHẨM</v>
          </cell>
          <cell r="M643" t="str">
            <v>MỲ, MIẾN</v>
          </cell>
          <cell r="N643" t="str">
            <v>MỲ CHẾ BIẾN</v>
          </cell>
          <cell r="O643" t="str">
            <v>154251</v>
          </cell>
          <cell r="P643" t="str">
            <v>4560159440776</v>
          </cell>
          <cell r="Q643" t="str">
            <v>SATO_Mì soba khô 800g</v>
          </cell>
          <cell r="R643">
            <v>104000</v>
          </cell>
          <cell r="S643">
            <v>1</v>
          </cell>
          <cell r="T643">
            <v>104000</v>
          </cell>
          <cell r="U643">
            <v>31200</v>
          </cell>
          <cell r="V643">
            <v>72800</v>
          </cell>
          <cell r="W643" t="str">
            <v>4560159440776</v>
          </cell>
        </row>
        <row r="644">
          <cell r="A644">
            <v>2026</v>
          </cell>
          <cell r="B644">
            <v>6</v>
          </cell>
          <cell r="C644">
            <v>46190</v>
          </cell>
          <cell r="D644" t="str">
            <v>1. SKK store</v>
          </cell>
          <cell r="E644" t="str">
            <v>S1004</v>
          </cell>
          <cell r="F644" t="str">
            <v>SKK  Mandarin C1</v>
          </cell>
          <cell r="G644" t="str">
            <v>0932279877</v>
          </cell>
          <cell r="H644" t="str">
            <v>anh Kiên</v>
          </cell>
          <cell r="I644" t="str">
            <v>Khách cũ</v>
          </cell>
          <cell r="J644" t="str">
            <v>Đơn bán</v>
          </cell>
          <cell r="K644" t="str">
            <v>SAKUKO814176</v>
          </cell>
          <cell r="L644" t="str">
            <v>ĐỒ CHO MẸ BÉ</v>
          </cell>
          <cell r="M644" t="str">
            <v>GIẤY ƯỚT</v>
          </cell>
          <cell r="N644" t="str">
            <v>GIẤY ƯỚT CHO BÉ</v>
          </cell>
          <cell r="O644" t="str">
            <v>121665</v>
          </cell>
          <cell r="P644" t="str">
            <v>8934755035289</v>
          </cell>
          <cell r="Q644" t="str">
            <v>BOBBY- Khăn ướt em bé không mùi 100 miếng</v>
          </cell>
          <cell r="R644">
            <v>46000</v>
          </cell>
          <cell r="S644">
            <v>1</v>
          </cell>
          <cell r="T644">
            <v>46000</v>
          </cell>
          <cell r="U644">
            <v>0</v>
          </cell>
          <cell r="V644">
            <v>46000</v>
          </cell>
          <cell r="W644" t="str">
            <v>8934755035289</v>
          </cell>
        </row>
        <row r="645">
          <cell r="A645">
            <v>2026</v>
          </cell>
          <cell r="B645">
            <v>6</v>
          </cell>
          <cell r="C645">
            <v>46190</v>
          </cell>
          <cell r="D645" t="str">
            <v>1. SKK store</v>
          </cell>
          <cell r="E645" t="str">
            <v>S1005</v>
          </cell>
          <cell r="F645" t="str">
            <v>SKK  Thái Hà</v>
          </cell>
          <cell r="G645" t="str">
            <v>0886382899</v>
          </cell>
          <cell r="H645" t="str">
            <v>Chị Cầm</v>
          </cell>
          <cell r="I645" t="str">
            <v>Khách cũ</v>
          </cell>
          <cell r="J645" t="str">
            <v>Đơn bán</v>
          </cell>
          <cell r="K645" t="str">
            <v>SAKUKO813715</v>
          </cell>
          <cell r="L645" t="str">
            <v>THỰC PHẨM</v>
          </cell>
          <cell r="M645" t="str">
            <v>BÁNH KẸO, ĐỒ ĂN VẶT</v>
          </cell>
          <cell r="N645" t="str">
            <v>KẸO CAO SU</v>
          </cell>
          <cell r="O645" t="str">
            <v>231374</v>
          </cell>
          <cell r="P645" t="str">
            <v>4547894156315</v>
          </cell>
          <cell r="Q645" t="str">
            <v>CLORETS-Kẹo cao su hương vị 4 mùa 140g</v>
          </cell>
          <cell r="R645">
            <v>235000</v>
          </cell>
          <cell r="S645">
            <v>1</v>
          </cell>
          <cell r="T645">
            <v>235000</v>
          </cell>
          <cell r="U645">
            <v>0</v>
          </cell>
          <cell r="V645">
            <v>235000</v>
          </cell>
          <cell r="W645" t="str">
            <v>4547894156315</v>
          </cell>
        </row>
        <row r="646">
          <cell r="A646">
            <v>2026</v>
          </cell>
          <cell r="B646">
            <v>6</v>
          </cell>
          <cell r="C646">
            <v>46190</v>
          </cell>
          <cell r="D646" t="str">
            <v>1. SKK store</v>
          </cell>
          <cell r="E646" t="str">
            <v>S1005</v>
          </cell>
          <cell r="F646" t="str">
            <v>SKK  Thái Hà</v>
          </cell>
          <cell r="G646" t="str">
            <v>0886382899</v>
          </cell>
          <cell r="H646" t="str">
            <v>Chị Cầm</v>
          </cell>
          <cell r="I646" t="str">
            <v>Khách cũ</v>
          </cell>
          <cell r="J646" t="str">
            <v>Đơn bán</v>
          </cell>
          <cell r="K646" t="str">
            <v>SAKUKO813715</v>
          </cell>
          <cell r="L646" t="str">
            <v>THỰC PHẨM</v>
          </cell>
          <cell r="M646" t="str">
            <v>BÁNH KẸO, ĐỒ ĂN VẶT</v>
          </cell>
          <cell r="N646" t="str">
            <v>KẸO CAO SU</v>
          </cell>
          <cell r="O646" t="str">
            <v>231377</v>
          </cell>
          <cell r="P646" t="str">
            <v>4903333200375</v>
          </cell>
          <cell r="Q646" t="str">
            <v>LOTTE-Kẹo cao su tổng hợp dạng lọ 114g</v>
          </cell>
          <cell r="R646">
            <v>235000</v>
          </cell>
          <cell r="S646">
            <v>1</v>
          </cell>
          <cell r="T646">
            <v>235000</v>
          </cell>
          <cell r="U646">
            <v>0</v>
          </cell>
          <cell r="V646">
            <v>235000</v>
          </cell>
          <cell r="W646" t="str">
            <v>4903333200375</v>
          </cell>
        </row>
        <row r="647">
          <cell r="A647">
            <v>2026</v>
          </cell>
          <cell r="B647">
            <v>6</v>
          </cell>
          <cell r="C647">
            <v>46190</v>
          </cell>
          <cell r="D647" t="str">
            <v>1. SKK store</v>
          </cell>
          <cell r="E647" t="str">
            <v>S1006</v>
          </cell>
          <cell r="F647" t="str">
            <v>SKK Trần Đăng Ninh</v>
          </cell>
          <cell r="G647" t="str">
            <v>0398166122</v>
          </cell>
          <cell r="H647" t="str">
            <v>c giag</v>
          </cell>
          <cell r="I647" t="str">
            <v>Khách cũ</v>
          </cell>
          <cell r="J647" t="str">
            <v>Đơn bán</v>
          </cell>
          <cell r="K647" t="str">
            <v>SAKUKO814246</v>
          </cell>
          <cell r="L647" t="str">
            <v>ĐỒ CHO MẸ BÉ</v>
          </cell>
          <cell r="M647" t="str">
            <v>GIẤY ƯỚT</v>
          </cell>
          <cell r="N647" t="str">
            <v>GIẤY ƯỚT CHO BÉ</v>
          </cell>
          <cell r="O647" t="str">
            <v>121662</v>
          </cell>
          <cell r="P647" t="str">
            <v>8934755035036</v>
          </cell>
          <cell r="Q647" t="str">
            <v>FRESSI- Khăn ướt Care For All 20 miếng</v>
          </cell>
          <cell r="R647">
            <v>14000</v>
          </cell>
          <cell r="S647">
            <v>1</v>
          </cell>
          <cell r="T647">
            <v>14000</v>
          </cell>
          <cell r="U647">
            <v>0</v>
          </cell>
          <cell r="V647">
            <v>14000</v>
          </cell>
          <cell r="W647" t="str">
            <v>8934755035036</v>
          </cell>
        </row>
        <row r="648">
          <cell r="A648">
            <v>2026</v>
          </cell>
          <cell r="B648">
            <v>6</v>
          </cell>
          <cell r="C648">
            <v>46190</v>
          </cell>
          <cell r="D648" t="str">
            <v>1. SKK store</v>
          </cell>
          <cell r="E648" t="str">
            <v>S1006</v>
          </cell>
          <cell r="F648" t="str">
            <v>SKK Trần Đăng Ninh</v>
          </cell>
          <cell r="G648" t="str">
            <v>0912311663</v>
          </cell>
          <cell r="H648" t="str">
            <v>chị hương</v>
          </cell>
          <cell r="I648" t="str">
            <v>Khách cũ</v>
          </cell>
          <cell r="J648" t="str">
            <v>Đơn bán</v>
          </cell>
          <cell r="K648" t="str">
            <v>SAKUKO813955</v>
          </cell>
          <cell r="L648" t="str">
            <v>THỰC PHẨM</v>
          </cell>
          <cell r="M648" t="str">
            <v>BÁNH KẸO, ĐỒ ĂN VẶT</v>
          </cell>
          <cell r="N648" t="str">
            <v>KẸO CAO SU</v>
          </cell>
          <cell r="O648" t="str">
            <v>231376</v>
          </cell>
          <cell r="P648" t="str">
            <v>4903333228577</v>
          </cell>
          <cell r="Q648" t="str">
            <v>LOTTE-Kẹo cao su tổng hợp 7 loại dạng lọ 133g</v>
          </cell>
          <cell r="R648">
            <v>235000</v>
          </cell>
          <cell r="S648">
            <v>1</v>
          </cell>
          <cell r="T648">
            <v>235000</v>
          </cell>
          <cell r="U648">
            <v>0</v>
          </cell>
          <cell r="V648">
            <v>235000</v>
          </cell>
          <cell r="W648" t="str">
            <v>4903333228577</v>
          </cell>
        </row>
        <row r="649">
          <cell r="A649">
            <v>2026</v>
          </cell>
          <cell r="B649">
            <v>6</v>
          </cell>
          <cell r="C649">
            <v>46190</v>
          </cell>
          <cell r="D649" t="str">
            <v>1. SKK store</v>
          </cell>
          <cell r="E649" t="str">
            <v>S1006</v>
          </cell>
          <cell r="F649" t="str">
            <v>SKK Trần Đăng Ninh</v>
          </cell>
          <cell r="G649" t="str">
            <v>0933883385</v>
          </cell>
          <cell r="H649" t="str">
            <v>Chị oanh</v>
          </cell>
          <cell r="I649" t="str">
            <v>Khách cũ</v>
          </cell>
          <cell r="J649" t="str">
            <v>Đơn bán</v>
          </cell>
          <cell r="K649" t="str">
            <v>SAKUKO814618</v>
          </cell>
          <cell r="L649" t="str">
            <v>THỰC PHẨM</v>
          </cell>
          <cell r="M649" t="str">
            <v>BÁNH KẸO, ĐỒ ĂN VẶT</v>
          </cell>
          <cell r="N649" t="str">
            <v>KẸO CAO SU</v>
          </cell>
          <cell r="O649" t="str">
            <v>231374</v>
          </cell>
          <cell r="P649" t="str">
            <v>4547894156315</v>
          </cell>
          <cell r="Q649" t="str">
            <v>CLORETS-Kẹo cao su hương vị 4 mùa 140g</v>
          </cell>
          <cell r="R649">
            <v>235000</v>
          </cell>
          <cell r="S649">
            <v>1</v>
          </cell>
          <cell r="T649">
            <v>235000</v>
          </cell>
          <cell r="U649">
            <v>0</v>
          </cell>
          <cell r="V649">
            <v>235000</v>
          </cell>
          <cell r="W649" t="str">
            <v>4547894156315</v>
          </cell>
        </row>
        <row r="650">
          <cell r="A650">
            <v>2026</v>
          </cell>
          <cell r="B650">
            <v>6</v>
          </cell>
          <cell r="C650">
            <v>46190</v>
          </cell>
          <cell r="D650" t="str">
            <v>1. SKK store</v>
          </cell>
          <cell r="E650" t="str">
            <v>S1006</v>
          </cell>
          <cell r="F650" t="str">
            <v>SKK Trần Đăng Ninh</v>
          </cell>
          <cell r="G650" t="str">
            <v>0936357099</v>
          </cell>
          <cell r="H650" t="str">
            <v>Chi Hang</v>
          </cell>
          <cell r="I650" t="str">
            <v>Khách cũ</v>
          </cell>
          <cell r="J650" t="str">
            <v>Đơn bán</v>
          </cell>
          <cell r="K650" t="str">
            <v>SAKUKO813849</v>
          </cell>
          <cell r="L650" t="str">
            <v>CHĂM SÓC SẮC ĐẸP</v>
          </cell>
          <cell r="M650" t="str">
            <v>CHĂM SÓC DA</v>
          </cell>
          <cell r="N650" t="str">
            <v>CHĂM SÓC DA KHÁC</v>
          </cell>
          <cell r="O650" t="str">
            <v>102388</v>
          </cell>
          <cell r="P650" t="str">
            <v>8935006542914</v>
          </cell>
          <cell r="Q650" t="str">
            <v>HADA LABO- Bộ sản phẩm dưỡng trắng (travel kit)47g</v>
          </cell>
          <cell r="R650">
            <v>135000</v>
          </cell>
          <cell r="S650">
            <v>1</v>
          </cell>
          <cell r="T650">
            <v>135000</v>
          </cell>
          <cell r="U650">
            <v>26000</v>
          </cell>
          <cell r="V650">
            <v>109000</v>
          </cell>
          <cell r="W650" t="str">
            <v>8935006542914</v>
          </cell>
        </row>
        <row r="651">
          <cell r="A651">
            <v>2026</v>
          </cell>
          <cell r="B651">
            <v>6</v>
          </cell>
          <cell r="C651">
            <v>46190</v>
          </cell>
          <cell r="D651" t="str">
            <v>1. SKK store</v>
          </cell>
          <cell r="E651" t="str">
            <v>S1006</v>
          </cell>
          <cell r="F651" t="str">
            <v>SKK Trần Đăng Ninh</v>
          </cell>
          <cell r="G651" t="str">
            <v>0987729329</v>
          </cell>
          <cell r="H651" t="str">
            <v>chij van</v>
          </cell>
          <cell r="I651" t="str">
            <v>Khách cũ</v>
          </cell>
          <cell r="J651" t="str">
            <v>Đơn bán</v>
          </cell>
          <cell r="K651" t="str">
            <v>SAKUKO814603</v>
          </cell>
          <cell r="L651" t="str">
            <v>CHĂM SÓC SẮC ĐẸP</v>
          </cell>
          <cell r="M651" t="str">
            <v>CHĂM SÓC DA</v>
          </cell>
          <cell r="N651" t="str">
            <v>CHĂM SÓC DA KHÁC</v>
          </cell>
          <cell r="O651" t="str">
            <v>102387</v>
          </cell>
          <cell r="P651" t="str">
            <v>8935006542907</v>
          </cell>
          <cell r="Q651" t="str">
            <v>HADA LABO- Bộ sản phẩm dưỡng ẩm (travel kit)47g</v>
          </cell>
          <cell r="R651">
            <v>129000</v>
          </cell>
          <cell r="S651">
            <v>1</v>
          </cell>
          <cell r="T651">
            <v>129000</v>
          </cell>
          <cell r="U651">
            <v>20000</v>
          </cell>
          <cell r="V651">
            <v>109000</v>
          </cell>
          <cell r="W651" t="str">
            <v>8935006542907</v>
          </cell>
        </row>
        <row r="652">
          <cell r="A652">
            <v>2026</v>
          </cell>
          <cell r="B652">
            <v>6</v>
          </cell>
          <cell r="C652">
            <v>46190</v>
          </cell>
          <cell r="D652" t="str">
            <v>1. SKK store</v>
          </cell>
          <cell r="E652" t="str">
            <v>S1007</v>
          </cell>
          <cell r="F652" t="str">
            <v>SKK  Nguyễn Du</v>
          </cell>
          <cell r="G652" t="str">
            <v>0862954339</v>
          </cell>
          <cell r="H652" t="str">
            <v>Klnd</v>
          </cell>
          <cell r="I652" t="str">
            <v>Khách vãng lai</v>
          </cell>
          <cell r="J652" t="str">
            <v>Đơn bán</v>
          </cell>
          <cell r="K652" t="str">
            <v>SAKUKO814684</v>
          </cell>
          <cell r="L652" t="str">
            <v>THỰC PHẨM</v>
          </cell>
          <cell r="M652" t="str">
            <v>MỲ, MIẾN</v>
          </cell>
          <cell r="N652" t="str">
            <v>MỲ CHẾ BIẾN</v>
          </cell>
          <cell r="O652" t="str">
            <v>154251</v>
          </cell>
          <cell r="P652" t="str">
            <v>4560159440776</v>
          </cell>
          <cell r="Q652" t="str">
            <v>SATO_Mì soba khô 800g</v>
          </cell>
          <cell r="R652">
            <v>104000</v>
          </cell>
          <cell r="S652">
            <v>1</v>
          </cell>
          <cell r="T652">
            <v>104000</v>
          </cell>
          <cell r="U652">
            <v>31200</v>
          </cell>
          <cell r="V652">
            <v>72800</v>
          </cell>
          <cell r="W652" t="str">
            <v>4560159440776</v>
          </cell>
        </row>
        <row r="653">
          <cell r="A653">
            <v>2026</v>
          </cell>
          <cell r="B653">
            <v>6</v>
          </cell>
          <cell r="C653">
            <v>46190</v>
          </cell>
          <cell r="D653" t="str">
            <v>1. SKK store</v>
          </cell>
          <cell r="E653" t="str">
            <v>S1007</v>
          </cell>
          <cell r="F653" t="str">
            <v>SKK  Nguyễn Du</v>
          </cell>
          <cell r="G653" t="str">
            <v>0904307076</v>
          </cell>
          <cell r="H653" t="str">
            <v>c Hương</v>
          </cell>
          <cell r="I653" t="str">
            <v>Khách cũ</v>
          </cell>
          <cell r="J653" t="str">
            <v>Đơn bán</v>
          </cell>
          <cell r="K653" t="str">
            <v>SAKUKO814560</v>
          </cell>
          <cell r="L653" t="str">
            <v>THỰC PHẨM</v>
          </cell>
          <cell r="M653" t="str">
            <v>MỲ, MIẾN</v>
          </cell>
          <cell r="N653" t="str">
            <v>MỲ ĂN LIỀN</v>
          </cell>
          <cell r="O653" t="str">
            <v>154198</v>
          </cell>
          <cell r="P653" t="str">
            <v>4979397000145</v>
          </cell>
          <cell r="Q653" t="str">
            <v>YAMAMOTO_Mì ramen ăn liền vị miso 90g*5</v>
          </cell>
          <cell r="R653">
            <v>99000</v>
          </cell>
          <cell r="S653">
            <v>2</v>
          </cell>
          <cell r="T653">
            <v>198000</v>
          </cell>
          <cell r="U653">
            <v>0</v>
          </cell>
          <cell r="V653">
            <v>198000</v>
          </cell>
          <cell r="W653" t="str">
            <v>4979397000145</v>
          </cell>
        </row>
        <row r="654">
          <cell r="A654">
            <v>2026</v>
          </cell>
          <cell r="B654">
            <v>6</v>
          </cell>
          <cell r="C654">
            <v>46190</v>
          </cell>
          <cell r="D654" t="str">
            <v>1. SKK store</v>
          </cell>
          <cell r="E654" t="str">
            <v>S1007</v>
          </cell>
          <cell r="F654" t="str">
            <v>SKK  Nguyễn Du</v>
          </cell>
          <cell r="G654" t="str">
            <v>0904307076</v>
          </cell>
          <cell r="H654" t="str">
            <v>c Hương</v>
          </cell>
          <cell r="I654" t="str">
            <v>Khách cũ</v>
          </cell>
          <cell r="J654" t="str">
            <v>Đơn bán</v>
          </cell>
          <cell r="K654" t="str">
            <v>SAKUKO814560</v>
          </cell>
          <cell r="L654" t="str">
            <v>THỰC PHẨM</v>
          </cell>
          <cell r="M654" t="str">
            <v>MỲ, MIẾN</v>
          </cell>
          <cell r="N654" t="str">
            <v>MỲ ĂN LIỀN</v>
          </cell>
          <cell r="O654" t="str">
            <v>154359</v>
          </cell>
          <cell r="P654" t="str">
            <v>4979397000138</v>
          </cell>
          <cell r="Q654" t="str">
            <v>YAMAMOTO- Mì ramen ăn liền hải sản thịt heo 88g*5</v>
          </cell>
          <cell r="R654">
            <v>99000</v>
          </cell>
          <cell r="S654">
            <v>1</v>
          </cell>
          <cell r="T654">
            <v>99000</v>
          </cell>
          <cell r="U654">
            <v>0</v>
          </cell>
          <cell r="V654">
            <v>99000</v>
          </cell>
          <cell r="W654" t="str">
            <v>4979397000138</v>
          </cell>
        </row>
        <row r="655">
          <cell r="A655">
            <v>2026</v>
          </cell>
          <cell r="B655">
            <v>6</v>
          </cell>
          <cell r="C655">
            <v>46190</v>
          </cell>
          <cell r="D655" t="str">
            <v>1. SKK store</v>
          </cell>
          <cell r="E655" t="str">
            <v>S1007</v>
          </cell>
          <cell r="F655" t="str">
            <v>SKK  Nguyễn Du</v>
          </cell>
          <cell r="G655" t="str">
            <v>0936358897</v>
          </cell>
          <cell r="H655" t="str">
            <v>CHI VAN ANH</v>
          </cell>
          <cell r="I655" t="str">
            <v>Khách cũ</v>
          </cell>
          <cell r="J655" t="str">
            <v>Đơn bán</v>
          </cell>
          <cell r="K655" t="str">
            <v>SAKUKO814055</v>
          </cell>
          <cell r="L655" t="str">
            <v>THỰC PHẨM</v>
          </cell>
          <cell r="M655" t="str">
            <v>BÁNH KẸO, ĐỒ ĂN VẶT</v>
          </cell>
          <cell r="N655" t="str">
            <v>KẸO CAO SU</v>
          </cell>
          <cell r="O655" t="str">
            <v>231376</v>
          </cell>
          <cell r="P655" t="str">
            <v>4903333228577</v>
          </cell>
          <cell r="Q655" t="str">
            <v>LOTTE-Kẹo cao su tổng hợp 7 loại dạng lọ 133g</v>
          </cell>
          <cell r="R655">
            <v>235000</v>
          </cell>
          <cell r="S655">
            <v>1</v>
          </cell>
          <cell r="T655">
            <v>235000</v>
          </cell>
          <cell r="U655">
            <v>0</v>
          </cell>
          <cell r="V655">
            <v>235000</v>
          </cell>
          <cell r="W655" t="str">
            <v>4903333228577</v>
          </cell>
        </row>
        <row r="656">
          <cell r="A656">
            <v>2026</v>
          </cell>
          <cell r="B656">
            <v>6</v>
          </cell>
          <cell r="C656">
            <v>46190</v>
          </cell>
          <cell r="D656" t="str">
            <v>1. SKK store</v>
          </cell>
          <cell r="E656" t="str">
            <v>S1008</v>
          </cell>
          <cell r="F656" t="str">
            <v>SKK  Hàng Bông</v>
          </cell>
          <cell r="G656" t="str">
            <v>0903473509</v>
          </cell>
          <cell r="H656" t="str">
            <v>Chị Đông</v>
          </cell>
          <cell r="I656" t="str">
            <v>Khách cũ</v>
          </cell>
          <cell r="J656" t="str">
            <v>Đơn bán</v>
          </cell>
          <cell r="K656" t="str">
            <v>SAKUKO814155</v>
          </cell>
          <cell r="L656" t="str">
            <v>ĐỒ CHO MẸ BÉ</v>
          </cell>
          <cell r="M656" t="str">
            <v>GIẤY ƯỚT</v>
          </cell>
          <cell r="N656" t="str">
            <v>GIẤY ƯỚT CHO BÉ</v>
          </cell>
          <cell r="O656" t="str">
            <v>121662</v>
          </cell>
          <cell r="P656" t="str">
            <v>8934755035036</v>
          </cell>
          <cell r="Q656" t="str">
            <v>FRESSI- Khăn ướt Care For All 20 miếng</v>
          </cell>
          <cell r="R656">
            <v>14000</v>
          </cell>
          <cell r="S656">
            <v>1</v>
          </cell>
          <cell r="T656">
            <v>14000</v>
          </cell>
          <cell r="U656">
            <v>0</v>
          </cell>
          <cell r="V656">
            <v>14000</v>
          </cell>
          <cell r="W656" t="str">
            <v>8934755035036</v>
          </cell>
        </row>
        <row r="657">
          <cell r="A657">
            <v>2026</v>
          </cell>
          <cell r="B657">
            <v>6</v>
          </cell>
          <cell r="C657">
            <v>46190</v>
          </cell>
          <cell r="D657" t="str">
            <v>1. SKK store</v>
          </cell>
          <cell r="E657" t="str">
            <v>S1008</v>
          </cell>
          <cell r="F657" t="str">
            <v>SKK  Hàng Bông</v>
          </cell>
          <cell r="G657" t="str">
            <v>0903473509</v>
          </cell>
          <cell r="H657" t="str">
            <v>Chị Đông</v>
          </cell>
          <cell r="I657" t="str">
            <v>Khách cũ</v>
          </cell>
          <cell r="J657" t="str">
            <v>Đơn bán</v>
          </cell>
          <cell r="K657" t="str">
            <v>SAKUKO814155</v>
          </cell>
          <cell r="L657" t="str">
            <v>ĐỒ CHO MẸ BÉ</v>
          </cell>
          <cell r="M657" t="str">
            <v>GIẤY ƯỚT</v>
          </cell>
          <cell r="N657" t="str">
            <v>GIẤY ƯỚT CHO BÉ</v>
          </cell>
          <cell r="O657" t="str">
            <v>121663</v>
          </cell>
          <cell r="P657" t="str">
            <v>8934755035197</v>
          </cell>
          <cell r="Q657" t="str">
            <v>FRESSI- Khăn ướt Care For All 100 miếng</v>
          </cell>
          <cell r="R657">
            <v>49000</v>
          </cell>
          <cell r="S657">
            <v>1</v>
          </cell>
          <cell r="T657">
            <v>49000</v>
          </cell>
          <cell r="U657">
            <v>0</v>
          </cell>
          <cell r="V657">
            <v>49000</v>
          </cell>
          <cell r="W657" t="str">
            <v>8934755035197</v>
          </cell>
        </row>
        <row r="658">
          <cell r="A658">
            <v>2026</v>
          </cell>
          <cell r="B658">
            <v>6</v>
          </cell>
          <cell r="C658">
            <v>46190</v>
          </cell>
          <cell r="D658" t="str">
            <v>1. SKK store</v>
          </cell>
          <cell r="E658" t="str">
            <v>S1015</v>
          </cell>
          <cell r="F658" t="str">
            <v>SKK Hàm Nghi</v>
          </cell>
          <cell r="G658" t="str">
            <v>0901022025</v>
          </cell>
          <cell r="H658" t="str">
            <v>Anh</v>
          </cell>
          <cell r="I658" t="str">
            <v>Khách mới</v>
          </cell>
          <cell r="J658" t="str">
            <v>Đơn bán</v>
          </cell>
          <cell r="K658" t="str">
            <v>SAKUKO814413</v>
          </cell>
          <cell r="L658" t="str">
            <v>CHĂM SÓC SẮC ĐẸP</v>
          </cell>
          <cell r="M658" t="str">
            <v>CHĂM SÓC DA</v>
          </cell>
          <cell r="N658" t="str">
            <v>RỬA MẶT</v>
          </cell>
          <cell r="O658" t="str">
            <v>102448</v>
          </cell>
          <cell r="P658" t="str">
            <v>4902806470642</v>
          </cell>
          <cell r="Q658" t="str">
            <v>GATSBY- SRM sạch bụi &amp; dầu nhờn 130g</v>
          </cell>
          <cell r="R658">
            <v>100000</v>
          </cell>
          <cell r="S658">
            <v>1</v>
          </cell>
          <cell r="T658">
            <v>100000</v>
          </cell>
          <cell r="U658">
            <v>10000</v>
          </cell>
          <cell r="V658">
            <v>90000</v>
          </cell>
          <cell r="W658" t="str">
            <v>4902806470642</v>
          </cell>
        </row>
        <row r="659">
          <cell r="A659">
            <v>2026</v>
          </cell>
          <cell r="B659">
            <v>6</v>
          </cell>
          <cell r="C659">
            <v>46190</v>
          </cell>
          <cell r="D659" t="str">
            <v>1. SKK store</v>
          </cell>
          <cell r="E659" t="str">
            <v>S1018</v>
          </cell>
          <cell r="F659" t="str">
            <v>SKK Nguyễn Tuân</v>
          </cell>
          <cell r="G659" t="str">
            <v>02422174499</v>
          </cell>
          <cell r="H659" t="str">
            <v>klnt</v>
          </cell>
          <cell r="I659" t="str">
            <v>Khách vãng lai</v>
          </cell>
          <cell r="J659" t="str">
            <v>Đơn bán</v>
          </cell>
          <cell r="K659" t="str">
            <v>SAKUKO813978</v>
          </cell>
          <cell r="L659" t="str">
            <v>CHĂM SÓC SẮC ĐẸP</v>
          </cell>
          <cell r="M659" t="str">
            <v>CHĂM SÓC TÓC</v>
          </cell>
          <cell r="N659" t="str">
            <v>TẠO KIỂU TÓC</v>
          </cell>
          <cell r="O659" t="str">
            <v>101904</v>
          </cell>
          <cell r="P659" t="str">
            <v>45131639</v>
          </cell>
          <cell r="Q659" t="str">
            <v>GATSBY- Sáp vuốt tóc tạo kiểu vuốt đứng 80g</v>
          </cell>
          <cell r="R659">
            <v>150000</v>
          </cell>
          <cell r="S659">
            <v>1</v>
          </cell>
          <cell r="T659">
            <v>150000</v>
          </cell>
          <cell r="U659">
            <v>15000</v>
          </cell>
          <cell r="V659">
            <v>135000</v>
          </cell>
          <cell r="W659" t="str">
            <v>45131639</v>
          </cell>
        </row>
        <row r="660">
          <cell r="A660">
            <v>2026</v>
          </cell>
          <cell r="B660">
            <v>6</v>
          </cell>
          <cell r="C660">
            <v>46189</v>
          </cell>
          <cell r="D660" t="str">
            <v>1. SKK store</v>
          </cell>
          <cell r="E660" t="str">
            <v>S1004</v>
          </cell>
          <cell r="F660" t="str">
            <v>SKK  Mandarin C1</v>
          </cell>
          <cell r="G660" t="str">
            <v>0366652910</v>
          </cell>
          <cell r="H660" t="str">
            <v>Anh Long</v>
          </cell>
          <cell r="I660" t="str">
            <v>Khách mới</v>
          </cell>
          <cell r="J660" t="str">
            <v>Đơn bán</v>
          </cell>
          <cell r="K660" t="str">
            <v>SAKUKO813282</v>
          </cell>
          <cell r="L660" t="str">
            <v>CHĂM SÓC SẮC ĐẸP</v>
          </cell>
          <cell r="M660" t="str">
            <v>CHĂM SÓC DA</v>
          </cell>
          <cell r="N660" t="str">
            <v>RỬA MẶT</v>
          </cell>
          <cell r="O660" t="str">
            <v>102448</v>
          </cell>
          <cell r="P660" t="str">
            <v>4902806470642</v>
          </cell>
          <cell r="Q660" t="str">
            <v>GATSBY- SRM sạch bụi &amp; dầu nhờn 130g</v>
          </cell>
          <cell r="R660">
            <v>100000</v>
          </cell>
          <cell r="S660">
            <v>1</v>
          </cell>
          <cell r="T660">
            <v>100000</v>
          </cell>
          <cell r="U660">
            <v>10000</v>
          </cell>
          <cell r="V660">
            <v>90000</v>
          </cell>
          <cell r="W660" t="str">
            <v>4902806470642</v>
          </cell>
        </row>
        <row r="661">
          <cell r="A661">
            <v>2026</v>
          </cell>
          <cell r="B661">
            <v>6</v>
          </cell>
          <cell r="C661">
            <v>46189</v>
          </cell>
          <cell r="D661" t="str">
            <v>1. SKK store</v>
          </cell>
          <cell r="E661" t="str">
            <v>S1005</v>
          </cell>
          <cell r="F661" t="str">
            <v>SKK  Thái Hà</v>
          </cell>
          <cell r="G661" t="str">
            <v>02466810505</v>
          </cell>
          <cell r="H661" t="str">
            <v>klth</v>
          </cell>
          <cell r="I661" t="str">
            <v>Khách vãng lai</v>
          </cell>
          <cell r="J661" t="str">
            <v>Đơn bán</v>
          </cell>
          <cell r="K661" t="str">
            <v>SAKUKO812832</v>
          </cell>
          <cell r="L661" t="str">
            <v>THỰC PHẨM</v>
          </cell>
          <cell r="M661" t="str">
            <v>BÁNH KẸO, ĐỒ ĂN VẶT</v>
          </cell>
          <cell r="N661" t="str">
            <v>KẸO CAO SU</v>
          </cell>
          <cell r="O661" t="str">
            <v>231374</v>
          </cell>
          <cell r="P661" t="str">
            <v>4547894156315</v>
          </cell>
          <cell r="Q661" t="str">
            <v>CLORETS-Kẹo cao su hương vị 4 mùa 140g</v>
          </cell>
          <cell r="R661">
            <v>235000</v>
          </cell>
          <cell r="S661">
            <v>1</v>
          </cell>
          <cell r="T661">
            <v>235000</v>
          </cell>
          <cell r="U661">
            <v>0</v>
          </cell>
          <cell r="V661">
            <v>235000</v>
          </cell>
          <cell r="W661" t="str">
            <v>4547894156315</v>
          </cell>
        </row>
        <row r="662">
          <cell r="A662">
            <v>2026</v>
          </cell>
          <cell r="B662">
            <v>6</v>
          </cell>
          <cell r="C662">
            <v>46189</v>
          </cell>
          <cell r="D662" t="str">
            <v>1. SKK store</v>
          </cell>
          <cell r="E662" t="str">
            <v>S1005</v>
          </cell>
          <cell r="F662" t="str">
            <v>SKK  Thái Hà</v>
          </cell>
          <cell r="G662" t="str">
            <v>02466810505</v>
          </cell>
          <cell r="H662" t="str">
            <v>klth</v>
          </cell>
          <cell r="I662" t="str">
            <v>Khách vãng lai</v>
          </cell>
          <cell r="J662" t="str">
            <v>Đơn bán</v>
          </cell>
          <cell r="K662" t="str">
            <v>SAKUKO813308</v>
          </cell>
          <cell r="L662" t="str">
            <v>NHÀ CỬA ĐỜI SỐNG</v>
          </cell>
          <cell r="M662" t="str">
            <v>KHĂN</v>
          </cell>
          <cell r="N662" t="str">
            <v>KHĂN MẶT</v>
          </cell>
          <cell r="O662" t="str">
            <v>102390</v>
          </cell>
          <cell r="P662" t="str">
            <v>4906327905980</v>
          </cell>
          <cell r="Q662" t="str">
            <v>KOMODA - Khăn mặt khô dùng 1 lần 46m 20x20cm</v>
          </cell>
          <cell r="R662">
            <v>52000</v>
          </cell>
          <cell r="S662">
            <v>1</v>
          </cell>
          <cell r="T662">
            <v>52000</v>
          </cell>
          <cell r="U662">
            <v>0</v>
          </cell>
          <cell r="V662">
            <v>52000</v>
          </cell>
          <cell r="W662" t="str">
            <v>4906327905980</v>
          </cell>
        </row>
        <row r="663">
          <cell r="A663">
            <v>2026</v>
          </cell>
          <cell r="B663">
            <v>6</v>
          </cell>
          <cell r="C663">
            <v>46189</v>
          </cell>
          <cell r="D663" t="str">
            <v>1. SKK store</v>
          </cell>
          <cell r="E663" t="str">
            <v>S1005</v>
          </cell>
          <cell r="F663" t="str">
            <v>SKK  Thái Hà</v>
          </cell>
          <cell r="G663" t="str">
            <v>0913360966</v>
          </cell>
          <cell r="H663" t="str">
            <v>C Mai</v>
          </cell>
          <cell r="I663" t="str">
            <v>Khách cũ</v>
          </cell>
          <cell r="J663" t="str">
            <v>Đơn bán</v>
          </cell>
          <cell r="K663" t="str">
            <v>SAKUKO812939</v>
          </cell>
          <cell r="L663" t="str">
            <v>THỰC PHẨM</v>
          </cell>
          <cell r="M663" t="str">
            <v>BÁNH KẸO, ĐỒ ĂN VẶT</v>
          </cell>
          <cell r="N663" t="str">
            <v>KẸO CAO SU</v>
          </cell>
          <cell r="O663" t="str">
            <v>154105</v>
          </cell>
          <cell r="P663" t="str">
            <v>4547894156612</v>
          </cell>
          <cell r="Q663" t="str">
            <v>MONDELEZ JAPAN - Kẹo cao su 112g</v>
          </cell>
          <cell r="R663">
            <v>235000</v>
          </cell>
          <cell r="S663">
            <v>1</v>
          </cell>
          <cell r="T663">
            <v>235000</v>
          </cell>
          <cell r="U663">
            <v>0</v>
          </cell>
          <cell r="V663">
            <v>235000</v>
          </cell>
          <cell r="W663" t="str">
            <v>4547894156612</v>
          </cell>
        </row>
        <row r="664">
          <cell r="A664">
            <v>2026</v>
          </cell>
          <cell r="B664">
            <v>6</v>
          </cell>
          <cell r="C664">
            <v>46189</v>
          </cell>
          <cell r="D664" t="str">
            <v>1. SKK store</v>
          </cell>
          <cell r="E664" t="str">
            <v>S1006</v>
          </cell>
          <cell r="F664" t="str">
            <v>SKK Trần Đăng Ninh</v>
          </cell>
          <cell r="G664" t="str">
            <v>0912343234</v>
          </cell>
          <cell r="H664" t="str">
            <v>Cô thanh thuý</v>
          </cell>
          <cell r="I664" t="str">
            <v>Khách cũ</v>
          </cell>
          <cell r="J664" t="str">
            <v>Đơn bán</v>
          </cell>
          <cell r="K664" t="str">
            <v>SAKUKO812681</v>
          </cell>
          <cell r="L664" t="str">
            <v>THỰC PHẨM</v>
          </cell>
          <cell r="M664" t="str">
            <v>MỲ, MIẾN</v>
          </cell>
          <cell r="N664" t="str">
            <v>MỲ CHẾ BIẾN</v>
          </cell>
          <cell r="O664" t="str">
            <v>174948</v>
          </cell>
          <cell r="P664" t="str">
            <v>4582114354119</v>
          </cell>
          <cell r="Q664" t="str">
            <v>SANUKISHISEI- Mì soumen 300g</v>
          </cell>
          <cell r="R664">
            <v>35000</v>
          </cell>
          <cell r="S664">
            <v>1</v>
          </cell>
          <cell r="T664">
            <v>35000</v>
          </cell>
          <cell r="U664">
            <v>0</v>
          </cell>
          <cell r="V664">
            <v>35000</v>
          </cell>
          <cell r="W664" t="str">
            <v>4582114354119</v>
          </cell>
        </row>
        <row r="665">
          <cell r="A665">
            <v>2026</v>
          </cell>
          <cell r="B665">
            <v>6</v>
          </cell>
          <cell r="C665">
            <v>46189</v>
          </cell>
          <cell r="D665" t="str">
            <v>1. SKK store</v>
          </cell>
          <cell r="E665" t="str">
            <v>S1006</v>
          </cell>
          <cell r="F665" t="str">
            <v>SKK Trần Đăng Ninh</v>
          </cell>
          <cell r="G665" t="str">
            <v>0912343234</v>
          </cell>
          <cell r="H665" t="str">
            <v>Cô thanh thuý</v>
          </cell>
          <cell r="I665" t="str">
            <v>Khách cũ</v>
          </cell>
          <cell r="J665" t="str">
            <v>Đơn bán</v>
          </cell>
          <cell r="K665" t="str">
            <v>SAKUKO812681</v>
          </cell>
          <cell r="L665" t="str">
            <v>THỰC PHẨM</v>
          </cell>
          <cell r="M665" t="str">
            <v>MỲ, MIẾN</v>
          </cell>
          <cell r="N665" t="str">
            <v>MỲ CHẾ BIẾN</v>
          </cell>
          <cell r="O665" t="str">
            <v>175435</v>
          </cell>
          <cell r="P665" t="str">
            <v>4901726014752</v>
          </cell>
          <cell r="Q665" t="str">
            <v>ITSUKI FOODS- Mì soumen rau củ ngũ sắc320g</v>
          </cell>
          <cell r="R665">
            <v>76000</v>
          </cell>
          <cell r="S665">
            <v>3</v>
          </cell>
          <cell r="T665">
            <v>228000</v>
          </cell>
          <cell r="U665">
            <v>0</v>
          </cell>
          <cell r="V665">
            <v>228000</v>
          </cell>
          <cell r="W665" t="str">
            <v>4901726014752</v>
          </cell>
        </row>
        <row r="666">
          <cell r="A666">
            <v>2026</v>
          </cell>
          <cell r="B666">
            <v>6</v>
          </cell>
          <cell r="C666">
            <v>46189</v>
          </cell>
          <cell r="D666" t="str">
            <v>1. SKK store</v>
          </cell>
          <cell r="E666" t="str">
            <v>S1006</v>
          </cell>
          <cell r="F666" t="str">
            <v>SKK Trần Đăng Ninh</v>
          </cell>
          <cell r="G666" t="str">
            <v>0935336868</v>
          </cell>
          <cell r="H666" t="str">
            <v>anh nguyễn lê anh</v>
          </cell>
          <cell r="I666" t="str">
            <v>Khách cũ</v>
          </cell>
          <cell r="J666" t="str">
            <v>Đơn bán</v>
          </cell>
          <cell r="K666" t="str">
            <v>SAKUKO813462</v>
          </cell>
          <cell r="L666" t="str">
            <v>THỰC PHẨM</v>
          </cell>
          <cell r="M666" t="str">
            <v>BÁNH KẸO, ĐỒ ĂN VẶT</v>
          </cell>
          <cell r="N666" t="str">
            <v>KẸO CAO SU</v>
          </cell>
          <cell r="O666" t="str">
            <v>231377</v>
          </cell>
          <cell r="P666" t="str">
            <v>4903333200375</v>
          </cell>
          <cell r="Q666" t="str">
            <v>LOTTE-Kẹo cao su tổng hợp dạng lọ 114g</v>
          </cell>
          <cell r="R666">
            <v>235000</v>
          </cell>
          <cell r="S666">
            <v>1</v>
          </cell>
          <cell r="T666">
            <v>235000</v>
          </cell>
          <cell r="U666">
            <v>0</v>
          </cell>
          <cell r="V666">
            <v>235000</v>
          </cell>
          <cell r="W666" t="str">
            <v>4903333200375</v>
          </cell>
        </row>
        <row r="667">
          <cell r="A667">
            <v>2026</v>
          </cell>
          <cell r="B667">
            <v>6</v>
          </cell>
          <cell r="C667">
            <v>46189</v>
          </cell>
          <cell r="D667" t="str">
            <v>1. SKK store</v>
          </cell>
          <cell r="E667" t="str">
            <v>S1006</v>
          </cell>
          <cell r="F667" t="str">
            <v>SKK Trần Đăng Ninh</v>
          </cell>
          <cell r="G667" t="str">
            <v>0965114888</v>
          </cell>
          <cell r="H667" t="str">
            <v>a Hiền</v>
          </cell>
          <cell r="I667" t="str">
            <v>Khách cũ</v>
          </cell>
          <cell r="J667" t="str">
            <v>Đơn bán</v>
          </cell>
          <cell r="K667" t="str">
            <v>SAKUKO812524</v>
          </cell>
          <cell r="L667" t="str">
            <v>CHĂM SÓC SẮC ĐẸP</v>
          </cell>
          <cell r="M667" t="str">
            <v>Mỹ phẩm khác</v>
          </cell>
          <cell r="N667" t="str">
            <v>PHỤ KIỆN LÀM ĐẸP</v>
          </cell>
          <cell r="O667" t="str">
            <v>102389</v>
          </cell>
          <cell r="P667" t="str">
            <v>4969757110652</v>
          </cell>
          <cell r="Q667" t="str">
            <v>KYOWA- Gói bông tẩy trang 130 miếng</v>
          </cell>
          <cell r="R667">
            <v>49000</v>
          </cell>
          <cell r="S667">
            <v>1</v>
          </cell>
          <cell r="T667">
            <v>49000</v>
          </cell>
          <cell r="U667">
            <v>0</v>
          </cell>
          <cell r="V667">
            <v>49000</v>
          </cell>
          <cell r="W667" t="str">
            <v>4969757110652</v>
          </cell>
        </row>
        <row r="668">
          <cell r="A668">
            <v>2026</v>
          </cell>
          <cell r="B668">
            <v>6</v>
          </cell>
          <cell r="C668">
            <v>46189</v>
          </cell>
          <cell r="D668" t="str">
            <v>1. SKK store</v>
          </cell>
          <cell r="E668" t="str">
            <v>S1006</v>
          </cell>
          <cell r="F668" t="str">
            <v>SKK Trần Đăng Ninh</v>
          </cell>
          <cell r="G668" t="str">
            <v>0983536044</v>
          </cell>
          <cell r="H668" t="str">
            <v>c Liên</v>
          </cell>
          <cell r="I668" t="str">
            <v>Khách cũ</v>
          </cell>
          <cell r="J668" t="str">
            <v>Đơn bán</v>
          </cell>
          <cell r="K668" t="str">
            <v>SAKUKO813609</v>
          </cell>
          <cell r="L668" t="str">
            <v>CHĂM SÓC SẮC ĐẸP</v>
          </cell>
          <cell r="M668" t="str">
            <v>Mỹ phẩm khác</v>
          </cell>
          <cell r="N668" t="str">
            <v>PHỤ KIỆN LÀM ĐẸP</v>
          </cell>
          <cell r="O668" t="str">
            <v>102389</v>
          </cell>
          <cell r="P668" t="str">
            <v>4969757110652</v>
          </cell>
          <cell r="Q668" t="str">
            <v>KYOWA- Gói bông tẩy trang 130 miếng</v>
          </cell>
          <cell r="R668">
            <v>49000</v>
          </cell>
          <cell r="S668">
            <v>1</v>
          </cell>
          <cell r="T668">
            <v>49000</v>
          </cell>
          <cell r="U668">
            <v>0</v>
          </cell>
          <cell r="V668">
            <v>49000</v>
          </cell>
          <cell r="W668" t="str">
            <v>4969757110652</v>
          </cell>
        </row>
        <row r="669">
          <cell r="A669">
            <v>2026</v>
          </cell>
          <cell r="B669">
            <v>6</v>
          </cell>
          <cell r="C669">
            <v>46189</v>
          </cell>
          <cell r="D669" t="str">
            <v>1. SKK store</v>
          </cell>
          <cell r="E669" t="str">
            <v>S1006</v>
          </cell>
          <cell r="F669" t="str">
            <v>SKK Trần Đăng Ninh</v>
          </cell>
          <cell r="G669" t="str">
            <v>0984877226</v>
          </cell>
          <cell r="H669" t="str">
            <v>Chị Nhuỵ</v>
          </cell>
          <cell r="I669" t="str">
            <v>Khách cũ</v>
          </cell>
          <cell r="J669" t="str">
            <v>Đơn bán</v>
          </cell>
          <cell r="K669" t="str">
            <v>SAKUKO813620</v>
          </cell>
          <cell r="L669" t="str">
            <v>THỰC PHẨM</v>
          </cell>
          <cell r="M669" t="str">
            <v>BÁNH KẸO, ĐỒ ĂN VẶT</v>
          </cell>
          <cell r="N669" t="str">
            <v>KẸO CAO SU</v>
          </cell>
          <cell r="O669" t="str">
            <v>231376</v>
          </cell>
          <cell r="P669" t="str">
            <v>4903333228577</v>
          </cell>
          <cell r="Q669" t="str">
            <v>LOTTE-Kẹo cao su tổng hợp 7 loại dạng lọ 133g</v>
          </cell>
          <cell r="R669">
            <v>235000</v>
          </cell>
          <cell r="S669">
            <v>1</v>
          </cell>
          <cell r="T669">
            <v>235000</v>
          </cell>
          <cell r="U669">
            <v>0</v>
          </cell>
          <cell r="V669">
            <v>235000</v>
          </cell>
          <cell r="W669" t="str">
            <v>4903333228577</v>
          </cell>
        </row>
        <row r="670">
          <cell r="A670">
            <v>2026</v>
          </cell>
          <cell r="B670">
            <v>6</v>
          </cell>
          <cell r="C670">
            <v>46189</v>
          </cell>
          <cell r="D670" t="str">
            <v>1. SKK store</v>
          </cell>
          <cell r="E670" t="str">
            <v>S1006</v>
          </cell>
          <cell r="F670" t="str">
            <v>SKK Trần Đăng Ninh</v>
          </cell>
          <cell r="G670" t="str">
            <v>0987607630</v>
          </cell>
          <cell r="H670" t="str">
            <v>Cô Linh</v>
          </cell>
          <cell r="I670" t="str">
            <v>Khách cũ</v>
          </cell>
          <cell r="J670" t="str">
            <v>Đơn bán</v>
          </cell>
          <cell r="K670" t="str">
            <v>SAKUKO812619</v>
          </cell>
          <cell r="L670" t="str">
            <v>CHĂM SÓC SẮC ĐẸP</v>
          </cell>
          <cell r="M670" t="str">
            <v>Mỹ phẩm khác</v>
          </cell>
          <cell r="N670" t="str">
            <v>PHỤ KIỆN LÀM ĐẸP</v>
          </cell>
          <cell r="O670" t="str">
            <v>102389</v>
          </cell>
          <cell r="P670" t="str">
            <v>4969757110652</v>
          </cell>
          <cell r="Q670" t="str">
            <v>KYOWA- Gói bông tẩy trang 130 miếng</v>
          </cell>
          <cell r="R670">
            <v>49000</v>
          </cell>
          <cell r="S670">
            <v>1</v>
          </cell>
          <cell r="T670">
            <v>49000</v>
          </cell>
          <cell r="U670">
            <v>0</v>
          </cell>
          <cell r="V670">
            <v>49000</v>
          </cell>
          <cell r="W670" t="str">
            <v>4969757110652</v>
          </cell>
        </row>
        <row r="671">
          <cell r="A671">
            <v>2026</v>
          </cell>
          <cell r="B671">
            <v>6</v>
          </cell>
          <cell r="C671">
            <v>46189</v>
          </cell>
          <cell r="D671" t="str">
            <v>1. SKK store</v>
          </cell>
          <cell r="E671" t="str">
            <v>S1006</v>
          </cell>
          <cell r="F671" t="str">
            <v>SKK Trần Đăng Ninh</v>
          </cell>
          <cell r="G671" t="str">
            <v>0989091536</v>
          </cell>
          <cell r="H671" t="str">
            <v>Nguyễn Hồng Nga</v>
          </cell>
          <cell r="I671" t="str">
            <v>Khách cũ</v>
          </cell>
          <cell r="J671" t="str">
            <v>Đơn bán</v>
          </cell>
          <cell r="K671" t="str">
            <v>SAKUKO813175</v>
          </cell>
          <cell r="L671" t="str">
            <v>THỰC PHẨM</v>
          </cell>
          <cell r="M671" t="str">
            <v>BÁNH KẸO, ĐỒ ĂN VẶT</v>
          </cell>
          <cell r="N671" t="str">
            <v>KẸO CAO SU</v>
          </cell>
          <cell r="O671" t="str">
            <v>231377</v>
          </cell>
          <cell r="P671" t="str">
            <v>4903333200375</v>
          </cell>
          <cell r="Q671" t="str">
            <v>LOTTE-Kẹo cao su tổng hợp dạng lọ 114g</v>
          </cell>
          <cell r="R671">
            <v>235000</v>
          </cell>
          <cell r="S671">
            <v>1</v>
          </cell>
          <cell r="T671">
            <v>235000</v>
          </cell>
          <cell r="U671">
            <v>0</v>
          </cell>
          <cell r="V671">
            <v>235000</v>
          </cell>
          <cell r="W671" t="str">
            <v>4903333200375</v>
          </cell>
        </row>
        <row r="672">
          <cell r="A672">
            <v>2026</v>
          </cell>
          <cell r="B672">
            <v>6</v>
          </cell>
          <cell r="C672">
            <v>46189</v>
          </cell>
          <cell r="D672" t="str">
            <v>1. SKK store</v>
          </cell>
          <cell r="E672" t="str">
            <v>S1007</v>
          </cell>
          <cell r="F672" t="str">
            <v>SKK  Nguyễn Du</v>
          </cell>
          <cell r="G672" t="str">
            <v>0912750396</v>
          </cell>
          <cell r="H672" t="str">
            <v>chị trần thị ngọc anh</v>
          </cell>
          <cell r="I672" t="str">
            <v>Khách cũ</v>
          </cell>
          <cell r="J672" t="str">
            <v>Đơn bán</v>
          </cell>
          <cell r="K672" t="str">
            <v>SAKUKO812356</v>
          </cell>
          <cell r="L672" t="str">
            <v>ĐỒ CHO MẸ BÉ</v>
          </cell>
          <cell r="M672" t="str">
            <v>GIẤY ƯỚT</v>
          </cell>
          <cell r="N672" t="str">
            <v>GIẤY ƯỚT CHO BÉ</v>
          </cell>
          <cell r="O672" t="str">
            <v>121662</v>
          </cell>
          <cell r="P672" t="str">
            <v>8934755035036</v>
          </cell>
          <cell r="Q672" t="str">
            <v>FRESSI- Khăn ướt Care For All 20 miếng</v>
          </cell>
          <cell r="R672">
            <v>14000</v>
          </cell>
          <cell r="S672">
            <v>2</v>
          </cell>
          <cell r="T672">
            <v>28000</v>
          </cell>
          <cell r="U672">
            <v>0</v>
          </cell>
          <cell r="V672">
            <v>28000</v>
          </cell>
          <cell r="W672" t="str">
            <v>8934755035036</v>
          </cell>
        </row>
        <row r="673">
          <cell r="A673">
            <v>2026</v>
          </cell>
          <cell r="B673">
            <v>6</v>
          </cell>
          <cell r="C673">
            <v>46189</v>
          </cell>
          <cell r="D673" t="str">
            <v>1. SKK store</v>
          </cell>
          <cell r="E673" t="str">
            <v>S1007</v>
          </cell>
          <cell r="F673" t="str">
            <v>SKK  Nguyễn Du</v>
          </cell>
          <cell r="G673" t="str">
            <v>0933993935</v>
          </cell>
          <cell r="H673" t="str">
            <v>Cô Thảo</v>
          </cell>
          <cell r="I673" t="str">
            <v>Khách cũ</v>
          </cell>
          <cell r="J673" t="str">
            <v>Đơn bán</v>
          </cell>
          <cell r="K673" t="str">
            <v>SAKUKO812695</v>
          </cell>
          <cell r="L673" t="str">
            <v>THỰC PHẨM</v>
          </cell>
          <cell r="M673" t="str">
            <v>BÁNH KẸO, ĐỒ ĂN VẶT</v>
          </cell>
          <cell r="N673" t="str">
            <v>KẸO CAO SU</v>
          </cell>
          <cell r="O673" t="str">
            <v>153932</v>
          </cell>
          <cell r="P673" t="str">
            <v>4903333241651</v>
          </cell>
          <cell r="Q673" t="str">
            <v>LOTTE - Kẹo cao su black black ít đường 133g</v>
          </cell>
          <cell r="R673">
            <v>235000</v>
          </cell>
          <cell r="S673">
            <v>2</v>
          </cell>
          <cell r="T673">
            <v>470000</v>
          </cell>
          <cell r="U673">
            <v>0</v>
          </cell>
          <cell r="V673">
            <v>470000</v>
          </cell>
          <cell r="W673" t="str">
            <v>4903333241651</v>
          </cell>
        </row>
        <row r="674">
          <cell r="A674">
            <v>2026</v>
          </cell>
          <cell r="B674">
            <v>6</v>
          </cell>
          <cell r="C674">
            <v>46189</v>
          </cell>
          <cell r="D674" t="str">
            <v>1. SKK store</v>
          </cell>
          <cell r="E674" t="str">
            <v>S1008</v>
          </cell>
          <cell r="F674" t="str">
            <v>SKK  Hàng Bông</v>
          </cell>
          <cell r="G674" t="str">
            <v>02466810202</v>
          </cell>
          <cell r="H674" t="str">
            <v>KH Tây</v>
          </cell>
          <cell r="I674" t="str">
            <v>Khách vãng lai</v>
          </cell>
          <cell r="J674" t="str">
            <v>Đơn bán</v>
          </cell>
          <cell r="K674" t="str">
            <v>SAKUKO813131</v>
          </cell>
          <cell r="L674" t="str">
            <v>NHÀ CỬA ĐỜI SỐNG</v>
          </cell>
          <cell r="M674" t="str">
            <v>ĐỒ DÙNG SINH HOẠT GIA ĐÌNH</v>
          </cell>
          <cell r="N674" t="str">
            <v>VẬT DỤNG SINH HOẠT KHÁC</v>
          </cell>
          <cell r="O674" t="str">
            <v>135039</v>
          </cell>
          <cell r="P674" t="str">
            <v>4968988074993</v>
          </cell>
          <cell r="Q674" t="str">
            <v>OMAICHI- Set 2 lọ chiết mỹ phẩm 40ml kèm hộp đựng</v>
          </cell>
          <cell r="R674">
            <v>52000</v>
          </cell>
          <cell r="S674">
            <v>1</v>
          </cell>
          <cell r="T674">
            <v>52000</v>
          </cell>
          <cell r="U674">
            <v>0</v>
          </cell>
          <cell r="V674">
            <v>52000</v>
          </cell>
          <cell r="W674" t="str">
            <v>4968988074993</v>
          </cell>
        </row>
        <row r="675">
          <cell r="A675">
            <v>2026</v>
          </cell>
          <cell r="B675">
            <v>6</v>
          </cell>
          <cell r="C675">
            <v>46189</v>
          </cell>
          <cell r="D675" t="str">
            <v>1. SKK store</v>
          </cell>
          <cell r="E675" t="str">
            <v>S1008</v>
          </cell>
          <cell r="F675" t="str">
            <v>SKK  Hàng Bông</v>
          </cell>
          <cell r="G675" t="str">
            <v>0912003567</v>
          </cell>
          <cell r="H675" t="str">
            <v>C HANG</v>
          </cell>
          <cell r="I675" t="str">
            <v>Khách cũ</v>
          </cell>
          <cell r="J675" t="str">
            <v>Đơn bán</v>
          </cell>
          <cell r="K675" t="str">
            <v>SAKUKO813159</v>
          </cell>
          <cell r="L675" t="str">
            <v>THỰC PHẨM</v>
          </cell>
          <cell r="M675" t="str">
            <v>MỲ, MIẾN</v>
          </cell>
          <cell r="N675" t="str">
            <v>MỲ ĂN LIỀN</v>
          </cell>
          <cell r="O675" t="str">
            <v>154198</v>
          </cell>
          <cell r="P675" t="str">
            <v>4979397000145</v>
          </cell>
          <cell r="Q675" t="str">
            <v>YAMAMOTO_Mì ramen ăn liền vị miso 90g*5</v>
          </cell>
          <cell r="R675">
            <v>99000</v>
          </cell>
          <cell r="S675">
            <v>1</v>
          </cell>
          <cell r="T675">
            <v>99000</v>
          </cell>
          <cell r="U675">
            <v>0</v>
          </cell>
          <cell r="V675">
            <v>99000</v>
          </cell>
          <cell r="W675" t="str">
            <v>4979397000145</v>
          </cell>
        </row>
        <row r="676">
          <cell r="A676">
            <v>2026</v>
          </cell>
          <cell r="B676">
            <v>6</v>
          </cell>
          <cell r="C676">
            <v>46189</v>
          </cell>
          <cell r="D676" t="str">
            <v>1. SKK store</v>
          </cell>
          <cell r="E676" t="str">
            <v>S1008</v>
          </cell>
          <cell r="F676" t="str">
            <v>SKK  Hàng Bông</v>
          </cell>
          <cell r="G676" t="str">
            <v>0913010311</v>
          </cell>
          <cell r="H676" t="str">
            <v>Chị Nguyễn Thị Nội</v>
          </cell>
          <cell r="I676" t="str">
            <v>Khách cũ</v>
          </cell>
          <cell r="J676" t="str">
            <v>Đơn bán</v>
          </cell>
          <cell r="K676" t="str">
            <v>SAKUKO812876</v>
          </cell>
          <cell r="L676" t="str">
            <v>THỰC PHẨM</v>
          </cell>
          <cell r="M676" t="str">
            <v>MỲ, MIẾN</v>
          </cell>
          <cell r="N676" t="str">
            <v>MỲ ĂN LIỀN</v>
          </cell>
          <cell r="O676" t="str">
            <v>154359</v>
          </cell>
          <cell r="P676" t="str">
            <v>4979397000138</v>
          </cell>
          <cell r="Q676" t="str">
            <v>YAMAMOTO- Mì ramen ăn liền hải sản thịt heo 88g*5</v>
          </cell>
          <cell r="R676">
            <v>99000</v>
          </cell>
          <cell r="S676">
            <v>1</v>
          </cell>
          <cell r="T676">
            <v>99000</v>
          </cell>
          <cell r="U676">
            <v>0</v>
          </cell>
          <cell r="V676">
            <v>99000</v>
          </cell>
          <cell r="W676" t="str">
            <v>4979397000138</v>
          </cell>
        </row>
        <row r="677">
          <cell r="A677">
            <v>2026</v>
          </cell>
          <cell r="B677">
            <v>6</v>
          </cell>
          <cell r="C677">
            <v>46189</v>
          </cell>
          <cell r="D677" t="str">
            <v>1. SKK store</v>
          </cell>
          <cell r="E677" t="str">
            <v>S1018</v>
          </cell>
          <cell r="F677" t="str">
            <v>SKK Nguyễn Tuân</v>
          </cell>
          <cell r="G677" t="str">
            <v>02422174499</v>
          </cell>
          <cell r="H677" t="str">
            <v>klnt</v>
          </cell>
          <cell r="I677" t="str">
            <v>Khách vãng lai</v>
          </cell>
          <cell r="J677" t="str">
            <v>Đơn bán</v>
          </cell>
          <cell r="K677" t="str">
            <v>SAKUKO812920</v>
          </cell>
          <cell r="L677" t="str">
            <v>CHĂM SÓC SẮC ĐẸP</v>
          </cell>
          <cell r="M677" t="str">
            <v>CHĂM SÓC DA</v>
          </cell>
          <cell r="N677" t="str">
            <v>RỬA MẶT</v>
          </cell>
          <cell r="O677" t="str">
            <v>230849</v>
          </cell>
          <cell r="P677" t="str">
            <v>4902806102048</v>
          </cell>
          <cell r="Q677" t="str">
            <v>GATSBY- SRM than hoạt tính sạch sâu 130g</v>
          </cell>
          <cell r="R677">
            <v>125000</v>
          </cell>
          <cell r="S677">
            <v>2</v>
          </cell>
          <cell r="T677">
            <v>250000</v>
          </cell>
          <cell r="U677">
            <v>25000</v>
          </cell>
          <cell r="V677">
            <v>225000</v>
          </cell>
          <cell r="W677" t="str">
            <v>4902806102048</v>
          </cell>
        </row>
        <row r="678">
          <cell r="A678">
            <v>2026</v>
          </cell>
          <cell r="B678">
            <v>6</v>
          </cell>
          <cell r="C678">
            <v>46189</v>
          </cell>
          <cell r="D678" t="str">
            <v>1. SKK store</v>
          </cell>
          <cell r="E678" t="str">
            <v>S1018</v>
          </cell>
          <cell r="F678" t="str">
            <v>SKK Nguyễn Tuân</v>
          </cell>
          <cell r="G678" t="str">
            <v>0983045042</v>
          </cell>
          <cell r="H678" t="str">
            <v>Cô Tuyết</v>
          </cell>
          <cell r="I678" t="str">
            <v>Khách cũ</v>
          </cell>
          <cell r="J678" t="str">
            <v>Đơn bán</v>
          </cell>
          <cell r="K678" t="str">
            <v>SAKUKO812537</v>
          </cell>
          <cell r="L678" t="str">
            <v>THỰC PHẨM</v>
          </cell>
          <cell r="M678" t="str">
            <v>MỲ, MIẾN</v>
          </cell>
          <cell r="N678" t="str">
            <v>MỲ ĂN LIỀN</v>
          </cell>
          <cell r="O678" t="str">
            <v>154196</v>
          </cell>
          <cell r="P678" t="str">
            <v>4979397000152</v>
          </cell>
          <cell r="Q678" t="str">
            <v>YAMAMOTO_Mì xào kiểu Nhật 89g*5</v>
          </cell>
          <cell r="R678">
            <v>99000</v>
          </cell>
          <cell r="S678">
            <v>1</v>
          </cell>
          <cell r="T678">
            <v>99000</v>
          </cell>
          <cell r="U678">
            <v>0</v>
          </cell>
          <cell r="V678">
            <v>99000</v>
          </cell>
          <cell r="W678" t="str">
            <v>4979397000152</v>
          </cell>
        </row>
        <row r="679">
          <cell r="A679">
            <v>2026</v>
          </cell>
          <cell r="B679">
            <v>6</v>
          </cell>
          <cell r="C679">
            <v>46189</v>
          </cell>
          <cell r="D679" t="str">
            <v>1. SKK store</v>
          </cell>
          <cell r="E679" t="str">
            <v>S1025</v>
          </cell>
          <cell r="F679" t="str">
            <v>SKK T6 Time City</v>
          </cell>
          <cell r="G679" t="str">
            <v>0941285666</v>
          </cell>
          <cell r="H679" t="str">
            <v>chị chika</v>
          </cell>
          <cell r="I679" t="str">
            <v>Khách cũ</v>
          </cell>
          <cell r="J679" t="str">
            <v>Đơn bán</v>
          </cell>
          <cell r="K679" t="str">
            <v>SAKUKO813687</v>
          </cell>
          <cell r="L679" t="str">
            <v>CHĂM SÓC SẮC ĐẸP</v>
          </cell>
          <cell r="M679" t="str">
            <v>Mỹ phẩm khác</v>
          </cell>
          <cell r="N679" t="str">
            <v>PHỤ KIỆN LÀM ĐẸP</v>
          </cell>
          <cell r="O679" t="str">
            <v>102389</v>
          </cell>
          <cell r="P679" t="str">
            <v>4969757110652</v>
          </cell>
          <cell r="Q679" t="str">
            <v>KYOWA- Gói bông tẩy trang 130 miếng</v>
          </cell>
          <cell r="R679">
            <v>49000</v>
          </cell>
          <cell r="S679">
            <v>1</v>
          </cell>
          <cell r="T679">
            <v>49000</v>
          </cell>
          <cell r="U679">
            <v>0</v>
          </cell>
          <cell r="V679">
            <v>49000</v>
          </cell>
          <cell r="W679" t="str">
            <v>4969757110652</v>
          </cell>
        </row>
        <row r="680">
          <cell r="A680">
            <v>2026</v>
          </cell>
          <cell r="B680">
            <v>6</v>
          </cell>
          <cell r="C680">
            <v>46188</v>
          </cell>
          <cell r="D680" t="str">
            <v>1. SKK store</v>
          </cell>
          <cell r="E680" t="str">
            <v>S1005</v>
          </cell>
          <cell r="F680" t="str">
            <v>SKK  Thái Hà</v>
          </cell>
          <cell r="G680" t="str">
            <v>0904993323</v>
          </cell>
          <cell r="H680" t="str">
            <v>c mai sinh</v>
          </cell>
          <cell r="I680" t="str">
            <v>Khách cũ</v>
          </cell>
          <cell r="J680" t="str">
            <v>Đơn bán</v>
          </cell>
          <cell r="K680" t="str">
            <v>SAKUKO812145</v>
          </cell>
          <cell r="L680" t="str">
            <v>ĐỒ CHO MẸ BÉ</v>
          </cell>
          <cell r="M680" t="str">
            <v>GIẤY ƯỚT</v>
          </cell>
          <cell r="N680" t="str">
            <v>GIẤY ƯỚT CHO BÉ</v>
          </cell>
          <cell r="O680" t="str">
            <v>121662</v>
          </cell>
          <cell r="P680" t="str">
            <v>8934755035036</v>
          </cell>
          <cell r="Q680" t="str">
            <v>FRESSI- Khăn ướt Care For All 20 miếng</v>
          </cell>
          <cell r="R680">
            <v>14000</v>
          </cell>
          <cell r="S680">
            <v>1</v>
          </cell>
          <cell r="T680">
            <v>14000</v>
          </cell>
          <cell r="U680">
            <v>0</v>
          </cell>
          <cell r="V680">
            <v>14000</v>
          </cell>
          <cell r="W680" t="str">
            <v>8934755035036</v>
          </cell>
        </row>
        <row r="681">
          <cell r="A681">
            <v>2026</v>
          </cell>
          <cell r="B681">
            <v>6</v>
          </cell>
          <cell r="C681">
            <v>46188</v>
          </cell>
          <cell r="D681" t="str">
            <v>1. SKK store</v>
          </cell>
          <cell r="E681" t="str">
            <v>S1005</v>
          </cell>
          <cell r="F681" t="str">
            <v>SKK  Thái Hà</v>
          </cell>
          <cell r="G681" t="str">
            <v>0912696898</v>
          </cell>
          <cell r="H681" t="str">
            <v>C Ngoc</v>
          </cell>
          <cell r="I681" t="str">
            <v>Khách cũ</v>
          </cell>
          <cell r="J681" t="str">
            <v>Đơn bán</v>
          </cell>
          <cell r="K681" t="str">
            <v>SAKUKO811547</v>
          </cell>
          <cell r="L681" t="str">
            <v>ĐỒ CHO MẸ BÉ</v>
          </cell>
          <cell r="M681" t="str">
            <v>GIẤY ƯỚT</v>
          </cell>
          <cell r="N681" t="str">
            <v>GIẤY ƯỚT CHO BÉ</v>
          </cell>
          <cell r="O681" t="str">
            <v>121663</v>
          </cell>
          <cell r="P681" t="str">
            <v>8934755035197</v>
          </cell>
          <cell r="Q681" t="str">
            <v>FRESSI- Khăn ướt Care For All 100 miếng</v>
          </cell>
          <cell r="R681">
            <v>49000</v>
          </cell>
          <cell r="S681">
            <v>1</v>
          </cell>
          <cell r="T681">
            <v>49000</v>
          </cell>
          <cell r="U681">
            <v>0</v>
          </cell>
          <cell r="V681">
            <v>49000</v>
          </cell>
          <cell r="W681" t="str">
            <v>8934755035197</v>
          </cell>
        </row>
        <row r="682">
          <cell r="A682">
            <v>2026</v>
          </cell>
          <cell r="B682">
            <v>6</v>
          </cell>
          <cell r="C682">
            <v>46188</v>
          </cell>
          <cell r="D682" t="str">
            <v>1. SKK store</v>
          </cell>
          <cell r="E682" t="str">
            <v>S1006</v>
          </cell>
          <cell r="F682" t="str">
            <v>SKK Trần Đăng Ninh</v>
          </cell>
          <cell r="G682" t="str">
            <v>0904299089</v>
          </cell>
          <cell r="H682" t="str">
            <v>Anh Đặng Chung</v>
          </cell>
          <cell r="I682" t="str">
            <v>Khách cũ</v>
          </cell>
          <cell r="J682" t="str">
            <v>Đơn bán</v>
          </cell>
          <cell r="K682" t="str">
            <v>SAKUKO811892</v>
          </cell>
          <cell r="L682" t="str">
            <v>ĐỒ CHO MẸ BÉ</v>
          </cell>
          <cell r="M682" t="str">
            <v>GIẤY ƯỚT</v>
          </cell>
          <cell r="N682" t="str">
            <v>GIẤY ƯỚT CHO BÉ</v>
          </cell>
          <cell r="O682" t="str">
            <v>121677</v>
          </cell>
          <cell r="P682" t="str">
            <v>8801260608836</v>
          </cell>
          <cell r="Q682" t="str">
            <v>KLEANNARA- Khăn ướt 5 tinh chất (có nắp) 100 tờ</v>
          </cell>
          <cell r="R682">
            <v>52000</v>
          </cell>
          <cell r="S682">
            <v>1</v>
          </cell>
          <cell r="T682">
            <v>52000</v>
          </cell>
          <cell r="U682">
            <v>0</v>
          </cell>
          <cell r="V682">
            <v>52000</v>
          </cell>
          <cell r="W682" t="str">
            <v>8801260608836</v>
          </cell>
        </row>
        <row r="683">
          <cell r="A683">
            <v>2026</v>
          </cell>
          <cell r="B683">
            <v>6</v>
          </cell>
          <cell r="C683">
            <v>46188</v>
          </cell>
          <cell r="D683" t="str">
            <v>1. SKK store</v>
          </cell>
          <cell r="E683" t="str">
            <v>S1006</v>
          </cell>
          <cell r="F683" t="str">
            <v>SKK Trần Đăng Ninh</v>
          </cell>
          <cell r="G683" t="str">
            <v>0913253987</v>
          </cell>
          <cell r="H683" t="str">
            <v>Cô Nguyễn Thị Kim Liên</v>
          </cell>
          <cell r="I683" t="str">
            <v>Khách cũ</v>
          </cell>
          <cell r="J683" t="str">
            <v>Đơn bán</v>
          </cell>
          <cell r="K683" t="str">
            <v>SAKUKO811364</v>
          </cell>
          <cell r="L683" t="str">
            <v>THỰC PHẨM</v>
          </cell>
          <cell r="M683" t="str">
            <v>MỲ, MIẾN</v>
          </cell>
          <cell r="N683" t="str">
            <v>MỲ ĂN LIỀN</v>
          </cell>
          <cell r="O683" t="str">
            <v>154333</v>
          </cell>
          <cell r="P683" t="str">
            <v>4901990325547</v>
          </cell>
          <cell r="Q683" t="str">
            <v>MARUCHAN-Mì hộp ramen hoành thánh nước tương 117g</v>
          </cell>
          <cell r="R683">
            <v>45000</v>
          </cell>
          <cell r="S683">
            <v>2</v>
          </cell>
          <cell r="T683">
            <v>90000</v>
          </cell>
          <cell r="U683">
            <v>0</v>
          </cell>
          <cell r="V683">
            <v>90000</v>
          </cell>
          <cell r="W683" t="str">
            <v>4901990325547</v>
          </cell>
        </row>
        <row r="684">
          <cell r="A684">
            <v>2026</v>
          </cell>
          <cell r="B684">
            <v>6</v>
          </cell>
          <cell r="C684">
            <v>46188</v>
          </cell>
          <cell r="D684" t="str">
            <v>1. SKK store</v>
          </cell>
          <cell r="E684" t="str">
            <v>S1006</v>
          </cell>
          <cell r="F684" t="str">
            <v>SKK Trần Đăng Ninh</v>
          </cell>
          <cell r="G684" t="str">
            <v>0949787273</v>
          </cell>
          <cell r="H684" t="str">
            <v>A Sơn</v>
          </cell>
          <cell r="I684" t="str">
            <v>Khách cũ</v>
          </cell>
          <cell r="J684" t="str">
            <v>Đơn bán</v>
          </cell>
          <cell r="K684" t="str">
            <v>SAKUKO811530</v>
          </cell>
          <cell r="L684" t="str">
            <v>ĐỒ CHO MẸ BÉ</v>
          </cell>
          <cell r="M684" t="str">
            <v>GIẤY ƯỚT</v>
          </cell>
          <cell r="N684" t="str">
            <v>GIẤY ƯỚT CHO BÉ</v>
          </cell>
          <cell r="O684" t="str">
            <v>121662</v>
          </cell>
          <cell r="P684" t="str">
            <v>8934755035036</v>
          </cell>
          <cell r="Q684" t="str">
            <v>FRESSI- Khăn ướt Care For All 20 miếng</v>
          </cell>
          <cell r="R684">
            <v>14000</v>
          </cell>
          <cell r="S684">
            <v>2</v>
          </cell>
          <cell r="T684">
            <v>28000</v>
          </cell>
          <cell r="U684">
            <v>0</v>
          </cell>
          <cell r="V684">
            <v>28000</v>
          </cell>
          <cell r="W684" t="str">
            <v>8934755035036</v>
          </cell>
        </row>
        <row r="685">
          <cell r="A685">
            <v>2026</v>
          </cell>
          <cell r="B685">
            <v>6</v>
          </cell>
          <cell r="C685">
            <v>46188</v>
          </cell>
          <cell r="D685" t="str">
            <v>1. SKK store</v>
          </cell>
          <cell r="E685" t="str">
            <v>S1006</v>
          </cell>
          <cell r="F685" t="str">
            <v>SKK Trần Đăng Ninh</v>
          </cell>
          <cell r="G685" t="str">
            <v>0988918277</v>
          </cell>
          <cell r="H685" t="str">
            <v>Tân Hường</v>
          </cell>
          <cell r="I685" t="str">
            <v>Khách cũ</v>
          </cell>
          <cell r="J685" t="str">
            <v>Đơn bán</v>
          </cell>
          <cell r="K685" t="str">
            <v>SAKUKO812320</v>
          </cell>
          <cell r="L685" t="str">
            <v>ĐỒ CHO MẸ BÉ</v>
          </cell>
          <cell r="M685" t="str">
            <v>GIẤY ƯỚT</v>
          </cell>
          <cell r="N685" t="str">
            <v>GIẤY ƯỚT CHO BÉ</v>
          </cell>
          <cell r="O685" t="str">
            <v>121665</v>
          </cell>
          <cell r="P685" t="str">
            <v>8934755035289</v>
          </cell>
          <cell r="Q685" t="str">
            <v>BOBBY- Khăn ướt em bé không mùi 100 miếng</v>
          </cell>
          <cell r="R685">
            <v>46000</v>
          </cell>
          <cell r="S685">
            <v>1</v>
          </cell>
          <cell r="T685">
            <v>46000</v>
          </cell>
          <cell r="U685">
            <v>0</v>
          </cell>
          <cell r="V685">
            <v>46000</v>
          </cell>
          <cell r="W685" t="str">
            <v>8934755035289</v>
          </cell>
        </row>
        <row r="686">
          <cell r="A686">
            <v>2026</v>
          </cell>
          <cell r="B686">
            <v>6</v>
          </cell>
          <cell r="C686">
            <v>46188</v>
          </cell>
          <cell r="D686" t="str">
            <v>1. SKK store</v>
          </cell>
          <cell r="E686" t="str">
            <v>S1007</v>
          </cell>
          <cell r="F686" t="str">
            <v>SKK  Nguyễn Du</v>
          </cell>
          <cell r="G686" t="str">
            <v>0375872633</v>
          </cell>
          <cell r="H686" t="str">
            <v>chị huyền</v>
          </cell>
          <cell r="I686" t="str">
            <v>Khách mới</v>
          </cell>
          <cell r="J686" t="str">
            <v>Đơn bán</v>
          </cell>
          <cell r="K686" t="str">
            <v>SAKUKO811851</v>
          </cell>
          <cell r="L686" t="str">
            <v>CHĂM SÓC SẮC ĐẸP</v>
          </cell>
          <cell r="M686" t="str">
            <v>CHĂM SÓC CƠ THỂ</v>
          </cell>
          <cell r="N686" t="str">
            <v>CHỐNG NẮNG</v>
          </cell>
          <cell r="O686" t="str">
            <v>102422</v>
          </cell>
          <cell r="P686" t="str">
            <v>4902468297151</v>
          </cell>
          <cell r="Q686" t="str">
            <v>MEISHOU- KCN tone hồng cho da nhạy cảm 40g</v>
          </cell>
          <cell r="R686">
            <v>435000</v>
          </cell>
          <cell r="S686">
            <v>1</v>
          </cell>
          <cell r="T686">
            <v>435000</v>
          </cell>
          <cell r="U686">
            <v>0</v>
          </cell>
          <cell r="V686">
            <v>435000</v>
          </cell>
          <cell r="W686" t="str">
            <v>4902468297151</v>
          </cell>
        </row>
        <row r="687">
          <cell r="A687">
            <v>2026</v>
          </cell>
          <cell r="B687">
            <v>6</v>
          </cell>
          <cell r="C687">
            <v>46188</v>
          </cell>
          <cell r="D687" t="str">
            <v>1. SKK store</v>
          </cell>
          <cell r="E687" t="str">
            <v>S1007</v>
          </cell>
          <cell r="F687" t="str">
            <v>SKK  Nguyễn Du</v>
          </cell>
          <cell r="G687" t="str">
            <v>0862954339</v>
          </cell>
          <cell r="H687" t="str">
            <v>Klnd</v>
          </cell>
          <cell r="I687" t="str">
            <v>Khách vãng lai</v>
          </cell>
          <cell r="J687" t="str">
            <v>Đơn bán</v>
          </cell>
          <cell r="K687" t="str">
            <v>SAKUKO811605</v>
          </cell>
          <cell r="L687" t="str">
            <v>ĐỒ CHO MẸ BÉ</v>
          </cell>
          <cell r="M687" t="str">
            <v>GIẤY ƯỚT</v>
          </cell>
          <cell r="N687" t="str">
            <v>GIẤY ƯỚT CHO BÉ</v>
          </cell>
          <cell r="O687" t="str">
            <v>121665</v>
          </cell>
          <cell r="P687" t="str">
            <v>8934755035289</v>
          </cell>
          <cell r="Q687" t="str">
            <v>BOBBY- Khăn ướt em bé không mùi 100 miếng</v>
          </cell>
          <cell r="R687">
            <v>46000</v>
          </cell>
          <cell r="S687">
            <v>1</v>
          </cell>
          <cell r="T687">
            <v>46000</v>
          </cell>
          <cell r="U687">
            <v>0</v>
          </cell>
          <cell r="V687">
            <v>46000</v>
          </cell>
          <cell r="W687" t="str">
            <v>8934755035289</v>
          </cell>
        </row>
        <row r="688">
          <cell r="A688">
            <v>2026</v>
          </cell>
          <cell r="B688">
            <v>6</v>
          </cell>
          <cell r="C688">
            <v>46188</v>
          </cell>
          <cell r="D688" t="str">
            <v>1. SKK store</v>
          </cell>
          <cell r="E688" t="str">
            <v>S1008</v>
          </cell>
          <cell r="F688" t="str">
            <v>SKK  Hàng Bông</v>
          </cell>
          <cell r="G688" t="str">
            <v>0862947989</v>
          </cell>
          <cell r="H688" t="str">
            <v>KLHB</v>
          </cell>
          <cell r="I688" t="str">
            <v>Khách vãng lai</v>
          </cell>
          <cell r="J688" t="str">
            <v>Đơn bán</v>
          </cell>
          <cell r="K688" t="str">
            <v>SAKUKO811594</v>
          </cell>
          <cell r="L688" t="str">
            <v>ĐỒ CHO MẸ BÉ</v>
          </cell>
          <cell r="M688" t="str">
            <v>GIẤY ƯỚT</v>
          </cell>
          <cell r="N688" t="str">
            <v>GIẤY ƯỚT CHO BÉ</v>
          </cell>
          <cell r="O688" t="str">
            <v>121664</v>
          </cell>
          <cell r="P688" t="str">
            <v>8934755035074</v>
          </cell>
          <cell r="Q688" t="str">
            <v>BOBBY- Khăn ướt em bé có hương 100 miếng</v>
          </cell>
          <cell r="R688">
            <v>46000</v>
          </cell>
          <cell r="S688">
            <v>1</v>
          </cell>
          <cell r="T688">
            <v>46000</v>
          </cell>
          <cell r="U688">
            <v>0</v>
          </cell>
          <cell r="V688">
            <v>46000</v>
          </cell>
          <cell r="W688" t="str">
            <v>8934755035074</v>
          </cell>
        </row>
        <row r="689">
          <cell r="A689">
            <v>2026</v>
          </cell>
          <cell r="B689">
            <v>6</v>
          </cell>
          <cell r="C689">
            <v>46188</v>
          </cell>
          <cell r="D689" t="str">
            <v>1. SKK store</v>
          </cell>
          <cell r="E689" t="str">
            <v>S1015</v>
          </cell>
          <cell r="F689" t="str">
            <v>SKK Hàm Nghi</v>
          </cell>
          <cell r="G689" t="str">
            <v>02422409595</v>
          </cell>
          <cell r="H689" t="str">
            <v>klhn</v>
          </cell>
          <cell r="I689" t="str">
            <v>Khách vãng lai</v>
          </cell>
          <cell r="J689" t="str">
            <v>Đơn bán</v>
          </cell>
          <cell r="K689" t="str">
            <v>SAKUKO811624</v>
          </cell>
          <cell r="L689" t="str">
            <v>THỰC PHẨM</v>
          </cell>
          <cell r="M689" t="str">
            <v>BÁNH KẸO, ĐỒ ĂN VẶT</v>
          </cell>
          <cell r="N689" t="str">
            <v>KẸO CAO SU</v>
          </cell>
          <cell r="O689" t="str">
            <v>154105</v>
          </cell>
          <cell r="P689" t="str">
            <v>4547894156612</v>
          </cell>
          <cell r="Q689" t="str">
            <v>MONDELEZ JAPAN - Kẹo cao su 112g</v>
          </cell>
          <cell r="R689">
            <v>235000</v>
          </cell>
          <cell r="S689">
            <v>2</v>
          </cell>
          <cell r="T689">
            <v>470000</v>
          </cell>
          <cell r="U689">
            <v>0</v>
          </cell>
          <cell r="V689">
            <v>470000</v>
          </cell>
          <cell r="W689" t="str">
            <v>4547894156612</v>
          </cell>
        </row>
        <row r="690">
          <cell r="A690">
            <v>2026</v>
          </cell>
          <cell r="B690">
            <v>6</v>
          </cell>
          <cell r="C690">
            <v>46188</v>
          </cell>
          <cell r="D690" t="str">
            <v>1. SKK store</v>
          </cell>
          <cell r="E690" t="str">
            <v>S1015</v>
          </cell>
          <cell r="F690" t="str">
            <v>SKK Hàm Nghi</v>
          </cell>
          <cell r="G690" t="str">
            <v>0945386677</v>
          </cell>
          <cell r="H690" t="str">
            <v>chị khương quỳnh anh</v>
          </cell>
          <cell r="I690" t="str">
            <v>Khách cũ</v>
          </cell>
          <cell r="J690" t="str">
            <v>Đơn bán</v>
          </cell>
          <cell r="K690" t="str">
            <v>SAKUKO811552</v>
          </cell>
          <cell r="L690" t="str">
            <v>THỰC PHẨM</v>
          </cell>
          <cell r="M690" t="str">
            <v>MỲ, MIẾN</v>
          </cell>
          <cell r="N690" t="str">
            <v>MỲ CHẾ BIẾN</v>
          </cell>
          <cell r="O690" t="str">
            <v>174948</v>
          </cell>
          <cell r="P690" t="str">
            <v>4582114354119</v>
          </cell>
          <cell r="Q690" t="str">
            <v>SANUKISHISEI- Mì soumen 300g</v>
          </cell>
          <cell r="R690">
            <v>35000</v>
          </cell>
          <cell r="S690">
            <v>1</v>
          </cell>
          <cell r="T690">
            <v>35000</v>
          </cell>
          <cell r="U690">
            <v>0</v>
          </cell>
          <cell r="V690">
            <v>35000</v>
          </cell>
          <cell r="W690" t="str">
            <v>4582114354119</v>
          </cell>
        </row>
        <row r="691">
          <cell r="A691">
            <v>2026</v>
          </cell>
          <cell r="B691">
            <v>6</v>
          </cell>
          <cell r="C691">
            <v>46188</v>
          </cell>
          <cell r="D691" t="str">
            <v>1. SKK store</v>
          </cell>
          <cell r="E691" t="str">
            <v>S1015</v>
          </cell>
          <cell r="F691" t="str">
            <v>SKK Hàm Nghi</v>
          </cell>
          <cell r="G691" t="str">
            <v>0945386677</v>
          </cell>
          <cell r="H691" t="str">
            <v>chị khương quỳnh anh</v>
          </cell>
          <cell r="I691" t="str">
            <v>Khách cũ</v>
          </cell>
          <cell r="J691" t="str">
            <v>Đơn bán</v>
          </cell>
          <cell r="K691" t="str">
            <v>SAKUKO811552</v>
          </cell>
          <cell r="L691" t="str">
            <v>THỰC PHẨM</v>
          </cell>
          <cell r="M691" t="str">
            <v>MỲ, MIẾN</v>
          </cell>
          <cell r="N691" t="str">
            <v>MỲ CHẾ BIẾN</v>
          </cell>
          <cell r="O691" t="str">
            <v>175435</v>
          </cell>
          <cell r="P691" t="str">
            <v>4901726014752</v>
          </cell>
          <cell r="Q691" t="str">
            <v>ITSUKI FOODS- Mì soumen rau củ ngũ sắc320g</v>
          </cell>
          <cell r="R691">
            <v>76000</v>
          </cell>
          <cell r="S691">
            <v>1</v>
          </cell>
          <cell r="T691">
            <v>76000</v>
          </cell>
          <cell r="U691">
            <v>0</v>
          </cell>
          <cell r="V691">
            <v>76000</v>
          </cell>
          <cell r="W691" t="str">
            <v>4901726014752</v>
          </cell>
        </row>
        <row r="692">
          <cell r="A692">
            <v>2026</v>
          </cell>
          <cell r="B692">
            <v>6</v>
          </cell>
          <cell r="C692">
            <v>46188</v>
          </cell>
          <cell r="D692" t="str">
            <v>1. SKK store</v>
          </cell>
          <cell r="E692" t="str">
            <v>S1015</v>
          </cell>
          <cell r="F692" t="str">
            <v>SKK Hàm Nghi</v>
          </cell>
          <cell r="G692" t="str">
            <v>0963736536</v>
          </cell>
          <cell r="H692" t="str">
            <v>chị nga</v>
          </cell>
          <cell r="I692" t="str">
            <v>Khách mới</v>
          </cell>
          <cell r="J692" t="str">
            <v>Đơn bán</v>
          </cell>
          <cell r="K692" t="str">
            <v>SAKUKO811473</v>
          </cell>
          <cell r="L692" t="str">
            <v>THỰC PHẨM</v>
          </cell>
          <cell r="M692" t="str">
            <v>MỲ, MIẾN</v>
          </cell>
          <cell r="N692" t="str">
            <v>MỲ ĂN LIỀN</v>
          </cell>
          <cell r="O692" t="str">
            <v>154359</v>
          </cell>
          <cell r="P692" t="str">
            <v>4979397000138</v>
          </cell>
          <cell r="Q692" t="str">
            <v>YAMAMOTO- Mì ramen ăn liền hải sản thịt heo 88g*5</v>
          </cell>
          <cell r="R692">
            <v>99000</v>
          </cell>
          <cell r="S692">
            <v>1</v>
          </cell>
          <cell r="T692">
            <v>99000</v>
          </cell>
          <cell r="U692">
            <v>0</v>
          </cell>
          <cell r="V692">
            <v>99000</v>
          </cell>
          <cell r="W692" t="str">
            <v>4979397000138</v>
          </cell>
        </row>
        <row r="693">
          <cell r="A693">
            <v>2026</v>
          </cell>
          <cell r="B693">
            <v>6</v>
          </cell>
          <cell r="C693">
            <v>46188</v>
          </cell>
          <cell r="D693" t="str">
            <v>1. SKK store</v>
          </cell>
          <cell r="E693" t="str">
            <v>S1018</v>
          </cell>
          <cell r="F693" t="str">
            <v>SKK Nguyễn Tuân</v>
          </cell>
          <cell r="G693" t="str">
            <v>0913045745</v>
          </cell>
          <cell r="H693" t="str">
            <v>cô Hòa</v>
          </cell>
          <cell r="I693" t="str">
            <v>Khách cũ</v>
          </cell>
          <cell r="J693" t="str">
            <v>Đơn bán</v>
          </cell>
          <cell r="K693" t="str">
            <v>SAKUKO811468</v>
          </cell>
          <cell r="L693" t="str">
            <v>THỰC PHẨM</v>
          </cell>
          <cell r="M693" t="str">
            <v>MỲ, MIẾN</v>
          </cell>
          <cell r="N693" t="str">
            <v>MỲ CHẾ BIẾN</v>
          </cell>
          <cell r="O693" t="str">
            <v>154251</v>
          </cell>
          <cell r="P693" t="str">
            <v>4560159440776</v>
          </cell>
          <cell r="Q693" t="str">
            <v>SATO_Mì soba khô 800g</v>
          </cell>
          <cell r="R693">
            <v>104000</v>
          </cell>
          <cell r="S693">
            <v>1</v>
          </cell>
          <cell r="T693">
            <v>104000</v>
          </cell>
          <cell r="U693">
            <v>31200</v>
          </cell>
          <cell r="V693">
            <v>72800</v>
          </cell>
          <cell r="W693" t="str">
            <v>4560159440776</v>
          </cell>
        </row>
        <row r="694">
          <cell r="A694">
            <v>2026</v>
          </cell>
          <cell r="B694">
            <v>6</v>
          </cell>
          <cell r="C694">
            <v>46188</v>
          </cell>
          <cell r="D694" t="str">
            <v>1. SKK store</v>
          </cell>
          <cell r="E694" t="str">
            <v>S1025</v>
          </cell>
          <cell r="F694" t="str">
            <v>SKK T6 Time City</v>
          </cell>
          <cell r="G694" t="str">
            <v>0967569658</v>
          </cell>
          <cell r="H694" t="str">
            <v>KLT6</v>
          </cell>
          <cell r="I694" t="str">
            <v>Khách vãng lai</v>
          </cell>
          <cell r="J694" t="str">
            <v>Đơn bán</v>
          </cell>
          <cell r="K694" t="str">
            <v>SAKUKO812049</v>
          </cell>
          <cell r="L694" t="str">
            <v>CHĂM SÓC SẮC ĐẸP</v>
          </cell>
          <cell r="M694" t="str">
            <v>CHĂM SÓC DA</v>
          </cell>
          <cell r="N694" t="str">
            <v>RỬA MẶT</v>
          </cell>
          <cell r="O694" t="str">
            <v>230849</v>
          </cell>
          <cell r="P694" t="str">
            <v>4902806102048</v>
          </cell>
          <cell r="Q694" t="str">
            <v>GATSBY- SRM than hoạt tính sạch sâu 130g</v>
          </cell>
          <cell r="R694">
            <v>125000</v>
          </cell>
          <cell r="S694">
            <v>1</v>
          </cell>
          <cell r="T694">
            <v>125000</v>
          </cell>
          <cell r="U694">
            <v>12500</v>
          </cell>
          <cell r="V694">
            <v>112500</v>
          </cell>
          <cell r="W694" t="str">
            <v>4902806102048</v>
          </cell>
        </row>
        <row r="695">
          <cell r="A695">
            <v>2026</v>
          </cell>
          <cell r="B695">
            <v>6</v>
          </cell>
          <cell r="C695">
            <v>46187</v>
          </cell>
          <cell r="D695" t="str">
            <v>1. SKK store</v>
          </cell>
          <cell r="E695" t="str">
            <v>S1004</v>
          </cell>
          <cell r="F695" t="str">
            <v>SKK  Mandarin C1</v>
          </cell>
          <cell r="G695" t="str">
            <v>0916918686</v>
          </cell>
          <cell r="H695" t="str">
            <v>chị hương</v>
          </cell>
          <cell r="I695" t="str">
            <v>Khách cũ</v>
          </cell>
          <cell r="J695" t="str">
            <v>Đơn bán</v>
          </cell>
          <cell r="K695" t="str">
            <v>SAKUKO811211</v>
          </cell>
          <cell r="L695" t="str">
            <v>THỰC PHẨM</v>
          </cell>
          <cell r="M695" t="str">
            <v>BÁNH KẸO, ĐỒ ĂN VẶT</v>
          </cell>
          <cell r="N695" t="str">
            <v>KẸO CAO SU</v>
          </cell>
          <cell r="O695" t="str">
            <v>231374</v>
          </cell>
          <cell r="P695" t="str">
            <v>4547894156315</v>
          </cell>
          <cell r="Q695" t="str">
            <v>CLORETS-Kẹo cao su hương vị 4 mùa 140g</v>
          </cell>
          <cell r="R695">
            <v>235000</v>
          </cell>
          <cell r="S695">
            <v>1</v>
          </cell>
          <cell r="T695">
            <v>235000</v>
          </cell>
          <cell r="U695">
            <v>0</v>
          </cell>
          <cell r="V695">
            <v>235000</v>
          </cell>
          <cell r="W695" t="str">
            <v>4547894156315</v>
          </cell>
        </row>
        <row r="696">
          <cell r="A696">
            <v>2026</v>
          </cell>
          <cell r="B696">
            <v>6</v>
          </cell>
          <cell r="C696">
            <v>46187</v>
          </cell>
          <cell r="D696" t="str">
            <v>1. SKK store</v>
          </cell>
          <cell r="E696" t="str">
            <v>S1004</v>
          </cell>
          <cell r="F696" t="str">
            <v>SKK  Mandarin C1</v>
          </cell>
          <cell r="G696" t="str">
            <v>0916918686</v>
          </cell>
          <cell r="H696" t="str">
            <v>chị hương</v>
          </cell>
          <cell r="I696" t="str">
            <v>Khách cũ</v>
          </cell>
          <cell r="J696" t="str">
            <v>Đơn bán</v>
          </cell>
          <cell r="K696" t="str">
            <v>SAKUKO811211</v>
          </cell>
          <cell r="L696" t="str">
            <v>THỰC PHẨM</v>
          </cell>
          <cell r="M696" t="str">
            <v>BÁNH KẸO, ĐỒ ĂN VẶT</v>
          </cell>
          <cell r="N696" t="str">
            <v>KẸO CAO SU</v>
          </cell>
          <cell r="O696" t="str">
            <v>231376</v>
          </cell>
          <cell r="P696" t="str">
            <v>4903333228577</v>
          </cell>
          <cell r="Q696" t="str">
            <v>LOTTE-Kẹo cao su tổng hợp 7 loại dạng lọ 133g</v>
          </cell>
          <cell r="R696">
            <v>235000</v>
          </cell>
          <cell r="S696">
            <v>2</v>
          </cell>
          <cell r="T696">
            <v>470000</v>
          </cell>
          <cell r="U696">
            <v>0</v>
          </cell>
          <cell r="V696">
            <v>470000</v>
          </cell>
          <cell r="W696" t="str">
            <v>4903333228577</v>
          </cell>
        </row>
        <row r="697">
          <cell r="A697">
            <v>2026</v>
          </cell>
          <cell r="B697">
            <v>6</v>
          </cell>
          <cell r="C697">
            <v>46187</v>
          </cell>
          <cell r="D697" t="str">
            <v>1. SKK store</v>
          </cell>
          <cell r="E697" t="str">
            <v>S1004</v>
          </cell>
          <cell r="F697" t="str">
            <v>SKK  Mandarin C1</v>
          </cell>
          <cell r="G697" t="str">
            <v>0945838377</v>
          </cell>
          <cell r="H697" t="str">
            <v>c linh</v>
          </cell>
          <cell r="I697" t="str">
            <v>Khách cũ</v>
          </cell>
          <cell r="J697" t="str">
            <v>Đơn bán</v>
          </cell>
          <cell r="K697" t="str">
            <v>SAKUKO810811</v>
          </cell>
          <cell r="L697" t="str">
            <v>THỰC PHẨM</v>
          </cell>
          <cell r="M697" t="str">
            <v>MỲ, MIẾN</v>
          </cell>
          <cell r="N697" t="str">
            <v>MỲ ĂN LIỀN</v>
          </cell>
          <cell r="O697" t="str">
            <v>154359</v>
          </cell>
          <cell r="P697" t="str">
            <v>4979397000138</v>
          </cell>
          <cell r="Q697" t="str">
            <v>YAMAMOTO- Mì ramen ăn liền hải sản thịt heo 88g*5</v>
          </cell>
          <cell r="R697">
            <v>99000</v>
          </cell>
          <cell r="S697">
            <v>1</v>
          </cell>
          <cell r="T697">
            <v>99000</v>
          </cell>
          <cell r="U697">
            <v>0</v>
          </cell>
          <cell r="V697">
            <v>99000</v>
          </cell>
          <cell r="W697" t="str">
            <v>4979397000138</v>
          </cell>
        </row>
        <row r="698">
          <cell r="A698">
            <v>2026</v>
          </cell>
          <cell r="B698">
            <v>6</v>
          </cell>
          <cell r="C698">
            <v>46187</v>
          </cell>
          <cell r="D698" t="str">
            <v>1. SKK store</v>
          </cell>
          <cell r="E698" t="str">
            <v>S1004</v>
          </cell>
          <cell r="F698" t="str">
            <v>SKK  Mandarin C1</v>
          </cell>
          <cell r="G698" t="str">
            <v>0976863866</v>
          </cell>
          <cell r="H698" t="str">
            <v>chị hồng anh</v>
          </cell>
          <cell r="I698" t="str">
            <v>Khách cũ</v>
          </cell>
          <cell r="J698" t="str">
            <v>Đơn bán</v>
          </cell>
          <cell r="K698" t="str">
            <v>SAKUKO810909</v>
          </cell>
          <cell r="L698" t="str">
            <v>NHÀ CỬA ĐỜI SỐNG</v>
          </cell>
          <cell r="M698" t="str">
            <v>ĐỒ DÙNG SINH HOẠT GIA ĐÌNH</v>
          </cell>
          <cell r="N698" t="str">
            <v>VẬT DỤNG SINH HOẠT KHÁC</v>
          </cell>
          <cell r="O698" t="str">
            <v>135039</v>
          </cell>
          <cell r="P698" t="str">
            <v>4968988074993</v>
          </cell>
          <cell r="Q698" t="str">
            <v>OMAICHI- Set 2 lọ chiết mỹ phẩm 40ml kèm hộp đựng</v>
          </cell>
          <cell r="R698">
            <v>52000</v>
          </cell>
          <cell r="S698">
            <v>1</v>
          </cell>
          <cell r="T698">
            <v>52000</v>
          </cell>
          <cell r="U698">
            <v>0</v>
          </cell>
          <cell r="V698">
            <v>52000</v>
          </cell>
          <cell r="W698" t="str">
            <v>4968988074993</v>
          </cell>
        </row>
        <row r="699">
          <cell r="A699">
            <v>2026</v>
          </cell>
          <cell r="B699">
            <v>6</v>
          </cell>
          <cell r="C699">
            <v>46187</v>
          </cell>
          <cell r="D699" t="str">
            <v>1. SKK store</v>
          </cell>
          <cell r="E699" t="str">
            <v>S1005</v>
          </cell>
          <cell r="F699" t="str">
            <v>SKK  Thái Hà</v>
          </cell>
          <cell r="G699" t="str">
            <v>02466810505</v>
          </cell>
          <cell r="H699" t="str">
            <v>klth</v>
          </cell>
          <cell r="I699" t="str">
            <v>Khách vãng lai</v>
          </cell>
          <cell r="J699" t="str">
            <v>Đơn bán</v>
          </cell>
          <cell r="K699" t="str">
            <v>SAKUKO810828</v>
          </cell>
          <cell r="L699" t="str">
            <v>THỰC PHẨM</v>
          </cell>
          <cell r="M699" t="str">
            <v>MỲ, MIẾN</v>
          </cell>
          <cell r="N699" t="str">
            <v>MỲ ĂN LIỀN</v>
          </cell>
          <cell r="O699" t="str">
            <v>154198</v>
          </cell>
          <cell r="P699" t="str">
            <v>4979397000145</v>
          </cell>
          <cell r="Q699" t="str">
            <v>YAMAMOTO_Mì ramen ăn liền vị miso 90g*5</v>
          </cell>
          <cell r="R699">
            <v>99000</v>
          </cell>
          <cell r="S699">
            <v>1</v>
          </cell>
          <cell r="T699">
            <v>99000</v>
          </cell>
          <cell r="U699">
            <v>0</v>
          </cell>
          <cell r="V699">
            <v>99000</v>
          </cell>
          <cell r="W699" t="str">
            <v>4979397000145</v>
          </cell>
        </row>
        <row r="700">
          <cell r="A700">
            <v>2026</v>
          </cell>
          <cell r="B700">
            <v>6</v>
          </cell>
          <cell r="C700">
            <v>46187</v>
          </cell>
          <cell r="D700" t="str">
            <v>1. SKK store</v>
          </cell>
          <cell r="E700" t="str">
            <v>S1005</v>
          </cell>
          <cell r="F700" t="str">
            <v>SKK  Thái Hà</v>
          </cell>
          <cell r="G700" t="str">
            <v>02466810505</v>
          </cell>
          <cell r="H700" t="str">
            <v>klth</v>
          </cell>
          <cell r="I700" t="str">
            <v>Khách vãng lai</v>
          </cell>
          <cell r="J700" t="str">
            <v>Đơn bán</v>
          </cell>
          <cell r="K700" t="str">
            <v>SAKUKO810848</v>
          </cell>
          <cell r="L700" t="str">
            <v>THỰC PHẨM</v>
          </cell>
          <cell r="M700" t="str">
            <v>MỲ, MIẾN</v>
          </cell>
          <cell r="N700" t="str">
            <v>MỲ ĂN LIỀN</v>
          </cell>
          <cell r="O700" t="str">
            <v>154359</v>
          </cell>
          <cell r="P700" t="str">
            <v>4979397000138</v>
          </cell>
          <cell r="Q700" t="str">
            <v>YAMAMOTO- Mì ramen ăn liền hải sản thịt heo 88g*5</v>
          </cell>
          <cell r="R700">
            <v>99000</v>
          </cell>
          <cell r="S700">
            <v>1</v>
          </cell>
          <cell r="T700">
            <v>99000</v>
          </cell>
          <cell r="U700">
            <v>0</v>
          </cell>
          <cell r="V700">
            <v>99000</v>
          </cell>
          <cell r="W700" t="str">
            <v>4979397000138</v>
          </cell>
        </row>
        <row r="701">
          <cell r="A701">
            <v>2026</v>
          </cell>
          <cell r="B701">
            <v>6</v>
          </cell>
          <cell r="C701">
            <v>46187</v>
          </cell>
          <cell r="D701" t="str">
            <v>1. SKK store</v>
          </cell>
          <cell r="E701" t="str">
            <v>S1005</v>
          </cell>
          <cell r="F701" t="str">
            <v>SKK  Thái Hà</v>
          </cell>
          <cell r="G701" t="str">
            <v>0983051277</v>
          </cell>
          <cell r="H701" t="str">
            <v>Chị Nguyễn Thái Quỳnh Chi</v>
          </cell>
          <cell r="I701" t="str">
            <v>Khách cũ</v>
          </cell>
          <cell r="J701" t="str">
            <v>Đơn bán</v>
          </cell>
          <cell r="K701" t="str">
            <v>SAKUKO810665</v>
          </cell>
          <cell r="L701" t="str">
            <v>ĐỒ CHO MẸ BÉ</v>
          </cell>
          <cell r="M701" t="str">
            <v>GIẤY ƯỚT</v>
          </cell>
          <cell r="N701" t="str">
            <v>GIẤY ƯỚT CHO BÉ</v>
          </cell>
          <cell r="O701" t="str">
            <v>121663</v>
          </cell>
          <cell r="P701" t="str">
            <v>8934755035197</v>
          </cell>
          <cell r="Q701" t="str">
            <v>FRESSI- Khăn ướt Care For All 100 miếng</v>
          </cell>
          <cell r="R701">
            <v>49000</v>
          </cell>
          <cell r="S701">
            <v>1</v>
          </cell>
          <cell r="T701">
            <v>49000</v>
          </cell>
          <cell r="U701">
            <v>0</v>
          </cell>
          <cell r="V701">
            <v>49000</v>
          </cell>
          <cell r="W701" t="str">
            <v>8934755035197</v>
          </cell>
        </row>
        <row r="702">
          <cell r="A702">
            <v>2026</v>
          </cell>
          <cell r="B702">
            <v>6</v>
          </cell>
          <cell r="C702">
            <v>46187</v>
          </cell>
          <cell r="D702" t="str">
            <v>1. SKK store</v>
          </cell>
          <cell r="E702" t="str">
            <v>S1006</v>
          </cell>
          <cell r="F702" t="str">
            <v>SKK Trần Đăng Ninh</v>
          </cell>
          <cell r="G702" t="str">
            <v>0904950164</v>
          </cell>
          <cell r="H702" t="str">
            <v>Cô Mai</v>
          </cell>
          <cell r="I702" t="str">
            <v>Khách cũ</v>
          </cell>
          <cell r="J702" t="str">
            <v>Đơn bán</v>
          </cell>
          <cell r="K702" t="str">
            <v>SAKUKO810267</v>
          </cell>
          <cell r="L702" t="str">
            <v>THỰC PHẨM</v>
          </cell>
          <cell r="M702" t="str">
            <v>MỲ, MIẾN</v>
          </cell>
          <cell r="N702" t="str">
            <v>MỲ ĂN LIỀN</v>
          </cell>
          <cell r="O702" t="str">
            <v>154196</v>
          </cell>
          <cell r="P702" t="str">
            <v>4979397000152</v>
          </cell>
          <cell r="Q702" t="str">
            <v>YAMAMOTO_Mì xào kiểu Nhật 89g*5</v>
          </cell>
          <cell r="R702">
            <v>99000</v>
          </cell>
          <cell r="S702">
            <v>1</v>
          </cell>
          <cell r="T702">
            <v>99000</v>
          </cell>
          <cell r="U702">
            <v>0</v>
          </cell>
          <cell r="V702">
            <v>99000</v>
          </cell>
          <cell r="W702" t="str">
            <v>4979397000152</v>
          </cell>
        </row>
        <row r="703">
          <cell r="A703">
            <v>2026</v>
          </cell>
          <cell r="B703">
            <v>6</v>
          </cell>
          <cell r="C703">
            <v>46187</v>
          </cell>
          <cell r="D703" t="str">
            <v>1. SKK store</v>
          </cell>
          <cell r="E703" t="str">
            <v>S1006</v>
          </cell>
          <cell r="F703" t="str">
            <v>SKK Trần Đăng Ninh</v>
          </cell>
          <cell r="G703" t="str">
            <v>0904950164</v>
          </cell>
          <cell r="H703" t="str">
            <v>Cô Mai</v>
          </cell>
          <cell r="I703" t="str">
            <v>Khách cũ</v>
          </cell>
          <cell r="J703" t="str">
            <v>Đơn bán</v>
          </cell>
          <cell r="K703" t="str">
            <v>SAKUKO810267</v>
          </cell>
          <cell r="L703" t="str">
            <v>THỰC PHẨM</v>
          </cell>
          <cell r="M703" t="str">
            <v>MỲ, MIẾN</v>
          </cell>
          <cell r="N703" t="str">
            <v>MỲ ĂN LIỀN</v>
          </cell>
          <cell r="O703" t="str">
            <v>154359</v>
          </cell>
          <cell r="P703" t="str">
            <v>4979397000138</v>
          </cell>
          <cell r="Q703" t="str">
            <v>YAMAMOTO- Mì ramen ăn liền hải sản thịt heo 88g*5</v>
          </cell>
          <cell r="R703">
            <v>99000</v>
          </cell>
          <cell r="S703">
            <v>1</v>
          </cell>
          <cell r="T703">
            <v>99000</v>
          </cell>
          <cell r="U703">
            <v>0</v>
          </cell>
          <cell r="V703">
            <v>99000</v>
          </cell>
          <cell r="W703" t="str">
            <v>4979397000138</v>
          </cell>
        </row>
        <row r="704">
          <cell r="A704">
            <v>2026</v>
          </cell>
          <cell r="B704">
            <v>6</v>
          </cell>
          <cell r="C704">
            <v>46187</v>
          </cell>
          <cell r="D704" t="str">
            <v>1. SKK store</v>
          </cell>
          <cell r="E704" t="str">
            <v>S1006</v>
          </cell>
          <cell r="F704" t="str">
            <v>SKK Trần Đăng Ninh</v>
          </cell>
          <cell r="G704" t="str">
            <v>0906139386</v>
          </cell>
          <cell r="H704" t="str">
            <v>Vũ Thị Anh Thơ</v>
          </cell>
          <cell r="I704" t="str">
            <v>Khách cũ</v>
          </cell>
          <cell r="J704" t="str">
            <v>Đơn bán</v>
          </cell>
          <cell r="K704" t="str">
            <v>SAKUKO810183</v>
          </cell>
          <cell r="L704" t="str">
            <v>THỰC PHẨM</v>
          </cell>
          <cell r="M704" t="str">
            <v>BÁNH KẸO, ĐỒ ĂN VẶT</v>
          </cell>
          <cell r="N704" t="str">
            <v>KẸO CAO SU</v>
          </cell>
          <cell r="O704" t="str">
            <v>231376</v>
          </cell>
          <cell r="P704" t="str">
            <v>4903333228577</v>
          </cell>
          <cell r="Q704" t="str">
            <v>LOTTE-Kẹo cao su tổng hợp 7 loại dạng lọ 133g</v>
          </cell>
          <cell r="R704">
            <v>235000</v>
          </cell>
          <cell r="S704">
            <v>1</v>
          </cell>
          <cell r="T704">
            <v>235000</v>
          </cell>
          <cell r="U704">
            <v>0</v>
          </cell>
          <cell r="V704">
            <v>235000</v>
          </cell>
          <cell r="W704" t="str">
            <v>4903333228577</v>
          </cell>
        </row>
        <row r="705">
          <cell r="A705">
            <v>2026</v>
          </cell>
          <cell r="B705">
            <v>6</v>
          </cell>
          <cell r="C705">
            <v>46187</v>
          </cell>
          <cell r="D705" t="str">
            <v>1. SKK store</v>
          </cell>
          <cell r="E705" t="str">
            <v>S1006</v>
          </cell>
          <cell r="F705" t="str">
            <v>SKK Trần Đăng Ninh</v>
          </cell>
          <cell r="G705" t="str">
            <v>0912442692</v>
          </cell>
          <cell r="H705" t="str">
            <v>Cô Hợp</v>
          </cell>
          <cell r="I705" t="str">
            <v>Khách cũ</v>
          </cell>
          <cell r="J705" t="str">
            <v>Đơn bán</v>
          </cell>
          <cell r="K705" t="str">
            <v>SAKUKO811036</v>
          </cell>
          <cell r="L705" t="str">
            <v>THỰC PHẨM</v>
          </cell>
          <cell r="M705" t="str">
            <v>MỲ, MIẾN</v>
          </cell>
          <cell r="N705" t="str">
            <v>MỲ CHẾ BIẾN</v>
          </cell>
          <cell r="O705" t="str">
            <v>154251</v>
          </cell>
          <cell r="P705" t="str">
            <v>4560159440776</v>
          </cell>
          <cell r="Q705" t="str">
            <v>SATO_Mì soba khô 800g</v>
          </cell>
          <cell r="R705">
            <v>104000</v>
          </cell>
          <cell r="S705">
            <v>1</v>
          </cell>
          <cell r="T705">
            <v>104000</v>
          </cell>
          <cell r="U705">
            <v>31200</v>
          </cell>
          <cell r="V705">
            <v>72800</v>
          </cell>
          <cell r="W705" t="str">
            <v>4560159440776</v>
          </cell>
        </row>
        <row r="706">
          <cell r="A706">
            <v>2026</v>
          </cell>
          <cell r="B706">
            <v>6</v>
          </cell>
          <cell r="C706">
            <v>46187</v>
          </cell>
          <cell r="D706" t="str">
            <v>1. SKK store</v>
          </cell>
          <cell r="E706" t="str">
            <v>S1006</v>
          </cell>
          <cell r="F706" t="str">
            <v>SKK Trần Đăng Ninh</v>
          </cell>
          <cell r="G706" t="str">
            <v>0915384447</v>
          </cell>
          <cell r="H706" t="str">
            <v>CHI THƠ</v>
          </cell>
          <cell r="I706" t="str">
            <v>Khách cũ</v>
          </cell>
          <cell r="J706" t="str">
            <v>Đơn bán</v>
          </cell>
          <cell r="K706" t="str">
            <v>SAKUKO810536</v>
          </cell>
          <cell r="L706" t="str">
            <v>THỰC PHẨM</v>
          </cell>
          <cell r="M706" t="str">
            <v>MỲ, MIẾN</v>
          </cell>
          <cell r="N706" t="str">
            <v>MỲ CHẾ BIẾN</v>
          </cell>
          <cell r="O706" t="str">
            <v>154251</v>
          </cell>
          <cell r="P706" t="str">
            <v>4560159440776</v>
          </cell>
          <cell r="Q706" t="str">
            <v>SATO_Mì soba khô 800g</v>
          </cell>
          <cell r="R706">
            <v>104000</v>
          </cell>
          <cell r="S706">
            <v>1</v>
          </cell>
          <cell r="T706">
            <v>104000</v>
          </cell>
          <cell r="U706">
            <v>31200</v>
          </cell>
          <cell r="V706">
            <v>72800</v>
          </cell>
          <cell r="W706" t="str">
            <v>4560159440776</v>
          </cell>
        </row>
        <row r="707">
          <cell r="A707">
            <v>2026</v>
          </cell>
          <cell r="B707">
            <v>6</v>
          </cell>
          <cell r="C707">
            <v>46187</v>
          </cell>
          <cell r="D707" t="str">
            <v>1. SKK store</v>
          </cell>
          <cell r="E707" t="str">
            <v>S1006</v>
          </cell>
          <cell r="F707" t="str">
            <v>SKK Trần Đăng Ninh</v>
          </cell>
          <cell r="G707" t="str">
            <v>0919605533</v>
          </cell>
          <cell r="H707" t="str">
            <v>anh dong</v>
          </cell>
          <cell r="I707" t="str">
            <v>Khách cũ</v>
          </cell>
          <cell r="J707" t="str">
            <v>Đơn bán</v>
          </cell>
          <cell r="K707" t="str">
            <v>SAKUKO811056</v>
          </cell>
          <cell r="L707" t="str">
            <v>CHĂM SÓC SẮC ĐẸP</v>
          </cell>
          <cell r="M707" t="str">
            <v>Mỹ phẩm khác</v>
          </cell>
          <cell r="N707" t="str">
            <v>PHỤ KIỆN LÀM ĐẸP</v>
          </cell>
          <cell r="O707" t="str">
            <v>102389</v>
          </cell>
          <cell r="P707" t="str">
            <v>4969757110652</v>
          </cell>
          <cell r="Q707" t="str">
            <v>KYOWA- Gói bông tẩy trang 130 miếng</v>
          </cell>
          <cell r="R707">
            <v>49000</v>
          </cell>
          <cell r="S707">
            <v>1</v>
          </cell>
          <cell r="T707">
            <v>49000</v>
          </cell>
          <cell r="U707">
            <v>0</v>
          </cell>
          <cell r="V707">
            <v>49000</v>
          </cell>
          <cell r="W707" t="str">
            <v>4969757110652</v>
          </cell>
        </row>
        <row r="708">
          <cell r="A708">
            <v>2026</v>
          </cell>
          <cell r="B708">
            <v>6</v>
          </cell>
          <cell r="C708">
            <v>46187</v>
          </cell>
          <cell r="D708" t="str">
            <v>1. SKK store</v>
          </cell>
          <cell r="E708" t="str">
            <v>S1006</v>
          </cell>
          <cell r="F708" t="str">
            <v>SKK Trần Đăng Ninh</v>
          </cell>
          <cell r="G708" t="str">
            <v>0948653181</v>
          </cell>
          <cell r="H708" t="str">
            <v>C Phuong Lan</v>
          </cell>
          <cell r="I708" t="str">
            <v>Khách cũ</v>
          </cell>
          <cell r="J708" t="str">
            <v>Đơn bán</v>
          </cell>
          <cell r="K708" t="str">
            <v>SAKUKO810638</v>
          </cell>
          <cell r="L708" t="str">
            <v>THỰC PHẨM</v>
          </cell>
          <cell r="M708" t="str">
            <v>BÁNH KẸO, ĐỒ ĂN VẶT</v>
          </cell>
          <cell r="N708" t="str">
            <v>KẸO CAO SU</v>
          </cell>
          <cell r="O708" t="str">
            <v>231376</v>
          </cell>
          <cell r="P708" t="str">
            <v>4903333228577</v>
          </cell>
          <cell r="Q708" t="str">
            <v>LOTTE-Kẹo cao su tổng hợp 7 loại dạng lọ 133g</v>
          </cell>
          <cell r="R708">
            <v>235000</v>
          </cell>
          <cell r="S708">
            <v>1</v>
          </cell>
          <cell r="T708">
            <v>235000</v>
          </cell>
          <cell r="U708">
            <v>0</v>
          </cell>
          <cell r="V708">
            <v>235000</v>
          </cell>
          <cell r="W708" t="str">
            <v>4903333228577</v>
          </cell>
        </row>
        <row r="709">
          <cell r="A709">
            <v>2026</v>
          </cell>
          <cell r="B709">
            <v>6</v>
          </cell>
          <cell r="C709">
            <v>46187</v>
          </cell>
          <cell r="D709" t="str">
            <v>1. SKK store</v>
          </cell>
          <cell r="E709" t="str">
            <v>S1006</v>
          </cell>
          <cell r="F709" t="str">
            <v>SKK Trần Đăng Ninh</v>
          </cell>
          <cell r="G709" t="str">
            <v>0982770896</v>
          </cell>
          <cell r="H709" t="str">
            <v>A chị Ánh Hồng</v>
          </cell>
          <cell r="I709" t="str">
            <v>Khách cũ</v>
          </cell>
          <cell r="J709" t="str">
            <v>Đơn bán</v>
          </cell>
          <cell r="K709" t="str">
            <v>SAKUKO810789</v>
          </cell>
          <cell r="L709" t="str">
            <v>THỰC PHẨM</v>
          </cell>
          <cell r="M709" t="str">
            <v>MỲ, MIẾN</v>
          </cell>
          <cell r="N709" t="str">
            <v>MỲ ĂN LIỀN</v>
          </cell>
          <cell r="O709" t="str">
            <v>154198</v>
          </cell>
          <cell r="P709" t="str">
            <v>4979397000145</v>
          </cell>
          <cell r="Q709" t="str">
            <v>YAMAMOTO_Mì ramen ăn liền vị miso 90g*5</v>
          </cell>
          <cell r="R709">
            <v>99000</v>
          </cell>
          <cell r="S709">
            <v>1</v>
          </cell>
          <cell r="T709">
            <v>99000</v>
          </cell>
          <cell r="U709">
            <v>0</v>
          </cell>
          <cell r="V709">
            <v>99000</v>
          </cell>
          <cell r="W709" t="str">
            <v>4979397000145</v>
          </cell>
        </row>
        <row r="710">
          <cell r="A710">
            <v>2026</v>
          </cell>
          <cell r="B710">
            <v>6</v>
          </cell>
          <cell r="C710">
            <v>46187</v>
          </cell>
          <cell r="D710" t="str">
            <v>1. SKK store</v>
          </cell>
          <cell r="E710" t="str">
            <v>S1006</v>
          </cell>
          <cell r="F710" t="str">
            <v>SKK Trần Đăng Ninh</v>
          </cell>
          <cell r="G710" t="str">
            <v>0989601085</v>
          </cell>
          <cell r="H710" t="str">
            <v>a Tuyển</v>
          </cell>
          <cell r="I710" t="str">
            <v>Khách cũ</v>
          </cell>
          <cell r="J710" t="str">
            <v>Đơn bán</v>
          </cell>
          <cell r="K710" t="str">
            <v>SAKUKO810473</v>
          </cell>
          <cell r="L710" t="str">
            <v>ĐỒ CHO MẸ BÉ</v>
          </cell>
          <cell r="M710" t="str">
            <v>GIẤY ƯỚT</v>
          </cell>
          <cell r="N710" t="str">
            <v>GIẤY ƯỚT CHO BÉ</v>
          </cell>
          <cell r="O710" t="str">
            <v>121677</v>
          </cell>
          <cell r="P710" t="str">
            <v>8801260608836</v>
          </cell>
          <cell r="Q710" t="str">
            <v>KLEANNARA- Khăn ướt 5 tinh chất (có nắp) 100 tờ</v>
          </cell>
          <cell r="R710">
            <v>52000</v>
          </cell>
          <cell r="S710">
            <v>1</v>
          </cell>
          <cell r="T710">
            <v>52000</v>
          </cell>
          <cell r="U710">
            <v>0</v>
          </cell>
          <cell r="V710">
            <v>52000</v>
          </cell>
          <cell r="W710" t="str">
            <v>8801260608836</v>
          </cell>
        </row>
        <row r="711">
          <cell r="A711">
            <v>2026</v>
          </cell>
          <cell r="B711">
            <v>6</v>
          </cell>
          <cell r="C711">
            <v>46187</v>
          </cell>
          <cell r="D711" t="str">
            <v>1. SKK store</v>
          </cell>
          <cell r="E711" t="str">
            <v>S1007</v>
          </cell>
          <cell r="F711" t="str">
            <v>SKK  Nguyễn Du</v>
          </cell>
          <cell r="G711" t="str">
            <v>0862954339</v>
          </cell>
          <cell r="H711" t="str">
            <v>Klnd</v>
          </cell>
          <cell r="I711" t="str">
            <v>Khách vãng lai</v>
          </cell>
          <cell r="J711" t="str">
            <v>Đơn bán</v>
          </cell>
          <cell r="K711" t="str">
            <v>SAKUKO810015</v>
          </cell>
          <cell r="L711" t="str">
            <v>NHÀ CỬA ĐỜI SỐNG</v>
          </cell>
          <cell r="M711" t="str">
            <v>ĐỒ DÙNG SINH HOẠT GIA ĐÌNH</v>
          </cell>
          <cell r="N711" t="str">
            <v>VẬT DỤNG SINH HOẠT KHÁC</v>
          </cell>
          <cell r="O711" t="str">
            <v>135039</v>
          </cell>
          <cell r="P711" t="str">
            <v>4968988074993</v>
          </cell>
          <cell r="Q711" t="str">
            <v>OMAICHI- Set 2 lọ chiết mỹ phẩm 40ml kèm hộp đựng</v>
          </cell>
          <cell r="R711">
            <v>52000</v>
          </cell>
          <cell r="S711">
            <v>1</v>
          </cell>
          <cell r="T711">
            <v>52000</v>
          </cell>
          <cell r="U711">
            <v>0</v>
          </cell>
          <cell r="V711">
            <v>52000</v>
          </cell>
          <cell r="W711" t="str">
            <v>4968988074993</v>
          </cell>
        </row>
        <row r="712">
          <cell r="A712">
            <v>2026</v>
          </cell>
          <cell r="B712">
            <v>6</v>
          </cell>
          <cell r="C712">
            <v>46187</v>
          </cell>
          <cell r="D712" t="str">
            <v>1. SKK store</v>
          </cell>
          <cell r="E712" t="str">
            <v>S1008</v>
          </cell>
          <cell r="F712" t="str">
            <v>SKK  Hàng Bông</v>
          </cell>
          <cell r="G712" t="str">
            <v>02466810202</v>
          </cell>
          <cell r="H712" t="str">
            <v>KH Tây</v>
          </cell>
          <cell r="I712" t="str">
            <v>Khách vãng lai</v>
          </cell>
          <cell r="J712" t="str">
            <v>Đơn bán</v>
          </cell>
          <cell r="K712" t="str">
            <v>SAKUKO811299</v>
          </cell>
          <cell r="L712" t="str">
            <v>ĐỒ CHO MẸ BÉ</v>
          </cell>
          <cell r="M712" t="str">
            <v>GIẤY ƯỚT</v>
          </cell>
          <cell r="N712" t="str">
            <v>GIẤY ƯỚT CHO BÉ</v>
          </cell>
          <cell r="O712" t="str">
            <v>121662</v>
          </cell>
          <cell r="P712" t="str">
            <v>8934755035036</v>
          </cell>
          <cell r="Q712" t="str">
            <v>FRESSI- Khăn ướt Care For All 20 miếng</v>
          </cell>
          <cell r="R712">
            <v>14000</v>
          </cell>
          <cell r="S712">
            <v>1</v>
          </cell>
          <cell r="T712">
            <v>14000</v>
          </cell>
          <cell r="U712">
            <v>0</v>
          </cell>
          <cell r="V712">
            <v>14000</v>
          </cell>
          <cell r="W712" t="str">
            <v>8934755035036</v>
          </cell>
        </row>
        <row r="713">
          <cell r="A713">
            <v>2026</v>
          </cell>
          <cell r="B713">
            <v>6</v>
          </cell>
          <cell r="C713">
            <v>46187</v>
          </cell>
          <cell r="D713" t="str">
            <v>1. SKK store</v>
          </cell>
          <cell r="E713" t="str">
            <v>S1008</v>
          </cell>
          <cell r="F713" t="str">
            <v>SKK  Hàng Bông</v>
          </cell>
          <cell r="G713" t="str">
            <v>0983552192</v>
          </cell>
          <cell r="H713" t="str">
            <v>Chị Tuyết</v>
          </cell>
          <cell r="I713" t="str">
            <v>Khách mới</v>
          </cell>
          <cell r="J713" t="str">
            <v>Đơn bán</v>
          </cell>
          <cell r="K713" t="str">
            <v>SAKUKO810471</v>
          </cell>
          <cell r="L713" t="str">
            <v>NHÀ CỬA ĐỜI SỐNG</v>
          </cell>
          <cell r="M713" t="str">
            <v>KHĂN</v>
          </cell>
          <cell r="N713" t="str">
            <v>KHĂN MẶT</v>
          </cell>
          <cell r="O713" t="str">
            <v>102390</v>
          </cell>
          <cell r="P713" t="str">
            <v>4906327905980</v>
          </cell>
          <cell r="Q713" t="str">
            <v>KOMODA - Khăn mặt khô dùng 1 lần 46m 20x20cm</v>
          </cell>
          <cell r="R713">
            <v>52000</v>
          </cell>
          <cell r="S713">
            <v>1</v>
          </cell>
          <cell r="T713">
            <v>52000</v>
          </cell>
          <cell r="U713">
            <v>0</v>
          </cell>
          <cell r="V713">
            <v>52000</v>
          </cell>
          <cell r="W713" t="str">
            <v>4906327905980</v>
          </cell>
        </row>
        <row r="714">
          <cell r="A714">
            <v>2026</v>
          </cell>
          <cell r="B714">
            <v>6</v>
          </cell>
          <cell r="C714">
            <v>46187</v>
          </cell>
          <cell r="D714" t="str">
            <v>1. SKK store</v>
          </cell>
          <cell r="E714" t="str">
            <v>S1015</v>
          </cell>
          <cell r="F714" t="str">
            <v>SKK Hàm Nghi</v>
          </cell>
          <cell r="G714" t="str">
            <v>0972652190</v>
          </cell>
          <cell r="H714" t="str">
            <v>c huong</v>
          </cell>
          <cell r="I714" t="str">
            <v>Khách cũ</v>
          </cell>
          <cell r="J714" t="str">
            <v>Đơn bán</v>
          </cell>
          <cell r="K714" t="str">
            <v>SAKUKO810167</v>
          </cell>
          <cell r="L714" t="str">
            <v>ĐỒ CHO MẸ BÉ</v>
          </cell>
          <cell r="M714" t="str">
            <v>GIẤY ƯỚT</v>
          </cell>
          <cell r="N714" t="str">
            <v>GIẤY ƯỚT CHO BÉ</v>
          </cell>
          <cell r="O714" t="str">
            <v>121662</v>
          </cell>
          <cell r="P714" t="str">
            <v>8934755035036</v>
          </cell>
          <cell r="Q714" t="str">
            <v>FRESSI- Khăn ướt Care For All 20 miếng</v>
          </cell>
          <cell r="R714">
            <v>14000</v>
          </cell>
          <cell r="S714">
            <v>1</v>
          </cell>
          <cell r="T714">
            <v>14000</v>
          </cell>
          <cell r="U714">
            <v>0</v>
          </cell>
          <cell r="V714">
            <v>14000</v>
          </cell>
          <cell r="W714" t="str">
            <v>8934755035036</v>
          </cell>
        </row>
        <row r="715">
          <cell r="A715">
            <v>2026</v>
          </cell>
          <cell r="B715">
            <v>6</v>
          </cell>
          <cell r="C715">
            <v>46187</v>
          </cell>
          <cell r="D715" t="str">
            <v>1. SKK store</v>
          </cell>
          <cell r="E715" t="str">
            <v>S1015</v>
          </cell>
          <cell r="F715" t="str">
            <v>SKK Hàm Nghi</v>
          </cell>
          <cell r="G715" t="str">
            <v>0986866466</v>
          </cell>
          <cell r="H715" t="str">
            <v>Chị Nguyễn Thị Mai Hạnh</v>
          </cell>
          <cell r="I715" t="str">
            <v>Khách cũ</v>
          </cell>
          <cell r="J715" t="str">
            <v>Đơn bán</v>
          </cell>
          <cell r="K715" t="str">
            <v>SAKUKO810196</v>
          </cell>
          <cell r="L715" t="str">
            <v>NHÀ CỬA ĐỜI SỐNG</v>
          </cell>
          <cell r="M715" t="str">
            <v>PHÒNG CHỐNG CÔN TRÙNG</v>
          </cell>
          <cell r="N715" t="str">
            <v>CHỐNG CÔN TRÙNG</v>
          </cell>
          <cell r="O715" t="str">
            <v>133079</v>
          </cell>
          <cell r="P715" t="str">
            <v>4987115545946</v>
          </cell>
          <cell r="Q715" t="str">
            <v>KINCHO-Dung dịch khử mùi đuổi côn trùng hương hoa</v>
          </cell>
          <cell r="R715">
            <v>199000</v>
          </cell>
          <cell r="S715">
            <v>2</v>
          </cell>
          <cell r="T715">
            <v>398000</v>
          </cell>
          <cell r="U715">
            <v>119400</v>
          </cell>
          <cell r="V715">
            <v>278600</v>
          </cell>
          <cell r="W715" t="str">
            <v>4987115545946</v>
          </cell>
        </row>
        <row r="716">
          <cell r="A716">
            <v>2026</v>
          </cell>
          <cell r="B716">
            <v>6</v>
          </cell>
          <cell r="C716">
            <v>46187</v>
          </cell>
          <cell r="D716" t="str">
            <v>1. SKK store</v>
          </cell>
          <cell r="E716" t="str">
            <v>S1018</v>
          </cell>
          <cell r="F716" t="str">
            <v>SKK Nguyễn Tuân</v>
          </cell>
          <cell r="G716" t="str">
            <v>0917906640</v>
          </cell>
          <cell r="H716" t="str">
            <v>Chị Thúy</v>
          </cell>
          <cell r="I716" t="str">
            <v>Khách cũ</v>
          </cell>
          <cell r="J716" t="str">
            <v>Đơn bán</v>
          </cell>
          <cell r="K716" t="str">
            <v>SAKUKO810599</v>
          </cell>
          <cell r="L716" t="str">
            <v>CHĂM SÓC SẮC ĐẸP</v>
          </cell>
          <cell r="M716" t="str">
            <v>CHĂM SÓC DA</v>
          </cell>
          <cell r="N716" t="str">
            <v>RỬA MẶT</v>
          </cell>
          <cell r="O716" t="str">
            <v>230269</v>
          </cell>
          <cell r="P716" t="str">
            <v>4987241173242</v>
          </cell>
          <cell r="Q716" t="str">
            <v>ROHTO- SRM Melano CC mờ thâm nám (130g)</v>
          </cell>
          <cell r="R716">
            <v>294000</v>
          </cell>
          <cell r="S716">
            <v>1</v>
          </cell>
          <cell r="T716">
            <v>294000</v>
          </cell>
          <cell r="U716">
            <v>117600</v>
          </cell>
          <cell r="V716">
            <v>176400</v>
          </cell>
          <cell r="W716" t="str">
            <v>4987241173242</v>
          </cell>
        </row>
        <row r="717">
          <cell r="A717">
            <v>2026</v>
          </cell>
          <cell r="B717">
            <v>6</v>
          </cell>
          <cell r="C717">
            <v>46187</v>
          </cell>
          <cell r="D717" t="str">
            <v>1. SKK store</v>
          </cell>
          <cell r="E717" t="str">
            <v>S1025</v>
          </cell>
          <cell r="F717" t="str">
            <v>SKK T6 Time City</v>
          </cell>
          <cell r="G717" t="str">
            <v>0941082255</v>
          </cell>
          <cell r="H717" t="str">
            <v>Anh Sơn</v>
          </cell>
          <cell r="I717" t="str">
            <v>Khách mới</v>
          </cell>
          <cell r="J717" t="str">
            <v>Đơn bán</v>
          </cell>
          <cell r="K717" t="str">
            <v>SAKUKO811295</v>
          </cell>
          <cell r="L717" t="str">
            <v>THỰC PHẨM</v>
          </cell>
          <cell r="M717" t="str">
            <v>BÁNH KẸO, ĐỒ ĂN VẶT</v>
          </cell>
          <cell r="N717" t="str">
            <v>KẸO CAO SU</v>
          </cell>
          <cell r="O717" t="str">
            <v>231376</v>
          </cell>
          <cell r="P717" t="str">
            <v>4903333228577</v>
          </cell>
          <cell r="Q717" t="str">
            <v>LOTTE-Kẹo cao su tổng hợp 7 loại dạng lọ 133g</v>
          </cell>
          <cell r="R717">
            <v>235000</v>
          </cell>
          <cell r="S717">
            <v>1</v>
          </cell>
          <cell r="T717">
            <v>235000</v>
          </cell>
          <cell r="U717">
            <v>0</v>
          </cell>
          <cell r="V717">
            <v>235000</v>
          </cell>
          <cell r="W717" t="str">
            <v>4903333228577</v>
          </cell>
        </row>
        <row r="718">
          <cell r="A718">
            <v>2026</v>
          </cell>
          <cell r="B718">
            <v>6</v>
          </cell>
          <cell r="C718">
            <v>46186</v>
          </cell>
          <cell r="D718" t="str">
            <v>1. SKK store</v>
          </cell>
          <cell r="E718" t="str">
            <v>S1004</v>
          </cell>
          <cell r="F718" t="str">
            <v>SKK  Mandarin C1</v>
          </cell>
          <cell r="G718" t="str">
            <v>0974053998</v>
          </cell>
          <cell r="H718" t="str">
            <v>Cô Hiền</v>
          </cell>
          <cell r="I718" t="str">
            <v>Khách cũ</v>
          </cell>
          <cell r="J718" t="str">
            <v>Đơn bán</v>
          </cell>
          <cell r="K718" t="str">
            <v>SAKUKO809179</v>
          </cell>
          <cell r="L718" t="str">
            <v>CHĂM SÓC SẮC ĐẸP</v>
          </cell>
          <cell r="M718" t="str">
            <v>CHĂM SÓC DA</v>
          </cell>
          <cell r="N718" t="str">
            <v>RỬA MẶT</v>
          </cell>
          <cell r="O718" t="str">
            <v>102421</v>
          </cell>
          <cell r="P718" t="str">
            <v>4902468819032</v>
          </cell>
          <cell r="Q718" t="str">
            <v>MEISHOU- Sữa rửa mặt làm sạch thuần chay 100g</v>
          </cell>
          <cell r="R718">
            <v>295000</v>
          </cell>
          <cell r="S718">
            <v>1</v>
          </cell>
          <cell r="T718">
            <v>295000</v>
          </cell>
          <cell r="U718">
            <v>0</v>
          </cell>
          <cell r="V718">
            <v>295000</v>
          </cell>
          <cell r="W718" t="str">
            <v>4902468819032</v>
          </cell>
        </row>
        <row r="719">
          <cell r="A719">
            <v>2026</v>
          </cell>
          <cell r="B719">
            <v>6</v>
          </cell>
          <cell r="C719">
            <v>46186</v>
          </cell>
          <cell r="D719" t="str">
            <v>1. SKK store</v>
          </cell>
          <cell r="E719" t="str">
            <v>S1005</v>
          </cell>
          <cell r="F719" t="str">
            <v>SKK  Thái Hà</v>
          </cell>
          <cell r="G719" t="str">
            <v>0904967633</v>
          </cell>
          <cell r="H719" t="str">
            <v>Chị Nguyễn Hải Vân</v>
          </cell>
          <cell r="I719" t="str">
            <v>Khách cũ</v>
          </cell>
          <cell r="J719" t="str">
            <v>Đơn bán</v>
          </cell>
          <cell r="K719" t="str">
            <v>SAKUKO809226</v>
          </cell>
          <cell r="L719" t="str">
            <v>THỰC PHẨM</v>
          </cell>
          <cell r="M719" t="str">
            <v>MỲ, MIẾN</v>
          </cell>
          <cell r="N719" t="str">
            <v>MỲ ĂN LIỀN</v>
          </cell>
          <cell r="O719" t="str">
            <v>154196</v>
          </cell>
          <cell r="P719" t="str">
            <v>4979397000152</v>
          </cell>
          <cell r="Q719" t="str">
            <v>YAMAMOTO_Mì xào kiểu Nhật 89g*5</v>
          </cell>
          <cell r="R719">
            <v>99000</v>
          </cell>
          <cell r="S719">
            <v>1</v>
          </cell>
          <cell r="T719">
            <v>99000</v>
          </cell>
          <cell r="U719">
            <v>0</v>
          </cell>
          <cell r="V719">
            <v>99000</v>
          </cell>
          <cell r="W719" t="str">
            <v>4979397000152</v>
          </cell>
        </row>
        <row r="720">
          <cell r="A720">
            <v>2026</v>
          </cell>
          <cell r="B720">
            <v>6</v>
          </cell>
          <cell r="C720">
            <v>46186</v>
          </cell>
          <cell r="D720" t="str">
            <v>1. SKK store</v>
          </cell>
          <cell r="E720" t="str">
            <v>S1006</v>
          </cell>
          <cell r="F720" t="str">
            <v>SKK Trần Đăng Ninh</v>
          </cell>
          <cell r="G720" t="str">
            <v>0363776787</v>
          </cell>
          <cell r="H720" t="str">
            <v>c Thu Hằng</v>
          </cell>
          <cell r="I720" t="str">
            <v>Khách cũ</v>
          </cell>
          <cell r="J720" t="str">
            <v>Đơn bán</v>
          </cell>
          <cell r="K720" t="str">
            <v>SAKUKO809444</v>
          </cell>
          <cell r="L720" t="str">
            <v>CHĂM SÓC SẮC ĐẸP</v>
          </cell>
          <cell r="M720" t="str">
            <v>CHĂM SÓC DA</v>
          </cell>
          <cell r="N720" t="str">
            <v>CHĂM SÓC DA KHÁC</v>
          </cell>
          <cell r="O720" t="str">
            <v>102387</v>
          </cell>
          <cell r="P720" t="str">
            <v>8935006542907</v>
          </cell>
          <cell r="Q720" t="str">
            <v>HADA LABO- Bộ sản phẩm dưỡng ẩm (travel kit)47g</v>
          </cell>
          <cell r="R720">
            <v>129000</v>
          </cell>
          <cell r="S720">
            <v>1</v>
          </cell>
          <cell r="T720">
            <v>129000</v>
          </cell>
          <cell r="U720">
            <v>20000</v>
          </cell>
          <cell r="V720">
            <v>109000</v>
          </cell>
          <cell r="W720" t="str">
            <v>8935006542907</v>
          </cell>
        </row>
        <row r="721">
          <cell r="A721">
            <v>2026</v>
          </cell>
          <cell r="B721">
            <v>6</v>
          </cell>
          <cell r="C721">
            <v>46186</v>
          </cell>
          <cell r="D721" t="str">
            <v>1. SKK store</v>
          </cell>
          <cell r="E721" t="str">
            <v>S1006</v>
          </cell>
          <cell r="F721" t="str">
            <v>SKK Trần Đăng Ninh</v>
          </cell>
          <cell r="G721" t="str">
            <v>0867681354</v>
          </cell>
          <cell r="H721" t="str">
            <v>Chị Ngân</v>
          </cell>
          <cell r="I721" t="str">
            <v>Khách cũ</v>
          </cell>
          <cell r="J721" t="str">
            <v>Đơn bán</v>
          </cell>
          <cell r="K721" t="str">
            <v>SAKUKO809658</v>
          </cell>
          <cell r="L721" t="str">
            <v>ĐỒ CHO MẸ BÉ</v>
          </cell>
          <cell r="M721" t="str">
            <v>GIẤY ƯỚT</v>
          </cell>
          <cell r="N721" t="str">
            <v>GIẤY ƯỚT CHO BÉ</v>
          </cell>
          <cell r="O721" t="str">
            <v>121663</v>
          </cell>
          <cell r="P721" t="str">
            <v>8934755035197</v>
          </cell>
          <cell r="Q721" t="str">
            <v>FRESSI- Khăn ướt Care For All 100 miếng</v>
          </cell>
          <cell r="R721">
            <v>49000</v>
          </cell>
          <cell r="S721">
            <v>1</v>
          </cell>
          <cell r="T721">
            <v>49000</v>
          </cell>
          <cell r="U721">
            <v>0</v>
          </cell>
          <cell r="V721">
            <v>49000</v>
          </cell>
          <cell r="W721" t="str">
            <v>8934755035197</v>
          </cell>
        </row>
        <row r="722">
          <cell r="A722">
            <v>2026</v>
          </cell>
          <cell r="B722">
            <v>6</v>
          </cell>
          <cell r="C722">
            <v>46186</v>
          </cell>
          <cell r="D722" t="str">
            <v>1. SKK store</v>
          </cell>
          <cell r="E722" t="str">
            <v>S1006</v>
          </cell>
          <cell r="F722" t="str">
            <v>SKK Trần Đăng Ninh</v>
          </cell>
          <cell r="G722" t="str">
            <v>0903479808</v>
          </cell>
          <cell r="H722" t="str">
            <v>Lê Hồng Điệp</v>
          </cell>
          <cell r="I722" t="str">
            <v>Khách cũ</v>
          </cell>
          <cell r="J722" t="str">
            <v>Đơn bán</v>
          </cell>
          <cell r="K722" t="str">
            <v>SAKUKO808910</v>
          </cell>
          <cell r="L722" t="str">
            <v>THỰC PHẨM</v>
          </cell>
          <cell r="M722" t="str">
            <v>MỲ, MIẾN</v>
          </cell>
          <cell r="N722" t="str">
            <v>MỲ ĂN LIỀN</v>
          </cell>
          <cell r="O722" t="str">
            <v>154198</v>
          </cell>
          <cell r="P722" t="str">
            <v>4979397000145</v>
          </cell>
          <cell r="Q722" t="str">
            <v>YAMAMOTO_Mì ramen ăn liền vị miso 90g*5</v>
          </cell>
          <cell r="R722">
            <v>99000</v>
          </cell>
          <cell r="S722">
            <v>2</v>
          </cell>
          <cell r="T722">
            <v>198000</v>
          </cell>
          <cell r="U722">
            <v>0</v>
          </cell>
          <cell r="V722">
            <v>198000</v>
          </cell>
          <cell r="W722" t="str">
            <v>4979397000145</v>
          </cell>
        </row>
        <row r="723">
          <cell r="A723">
            <v>2026</v>
          </cell>
          <cell r="B723">
            <v>6</v>
          </cell>
          <cell r="C723">
            <v>46186</v>
          </cell>
          <cell r="D723" t="str">
            <v>1. SKK store</v>
          </cell>
          <cell r="E723" t="str">
            <v>S1006</v>
          </cell>
          <cell r="F723" t="str">
            <v>SKK Trần Đăng Ninh</v>
          </cell>
          <cell r="G723" t="str">
            <v>0917138221</v>
          </cell>
          <cell r="H723" t="str">
            <v>chú Ono</v>
          </cell>
          <cell r="I723" t="str">
            <v>Khách cũ</v>
          </cell>
          <cell r="J723" t="str">
            <v>Đơn bán</v>
          </cell>
          <cell r="K723" t="str">
            <v>SAKUKO808828</v>
          </cell>
          <cell r="L723" t="str">
            <v>NHÀ CỬA ĐỜI SỐNG</v>
          </cell>
          <cell r="M723" t="str">
            <v>PHÒNG CHỐNG CÔN TRÙNG</v>
          </cell>
          <cell r="N723" t="str">
            <v>DIỆT CÔN TRÙNG</v>
          </cell>
          <cell r="O723" t="str">
            <v>230476</v>
          </cell>
          <cell r="P723" t="str">
            <v>4987115105874</v>
          </cell>
          <cell r="Q723" t="str">
            <v>KINCHO- XỊT DIỆT MUỖI HƯƠNG HOA HỒNG 45ML</v>
          </cell>
          <cell r="R723">
            <v>320000</v>
          </cell>
          <cell r="S723">
            <v>1</v>
          </cell>
          <cell r="T723">
            <v>320000</v>
          </cell>
          <cell r="U723">
            <v>96000</v>
          </cell>
          <cell r="V723">
            <v>224000</v>
          </cell>
          <cell r="W723" t="str">
            <v>4987115105874</v>
          </cell>
        </row>
        <row r="724">
          <cell r="A724">
            <v>2026</v>
          </cell>
          <cell r="B724">
            <v>6</v>
          </cell>
          <cell r="C724">
            <v>46186</v>
          </cell>
          <cell r="D724" t="str">
            <v>1. SKK store</v>
          </cell>
          <cell r="E724" t="str">
            <v>S1006</v>
          </cell>
          <cell r="F724" t="str">
            <v>SKK Trần Đăng Ninh</v>
          </cell>
          <cell r="G724" t="str">
            <v>0977951941</v>
          </cell>
          <cell r="H724" t="str">
            <v>c hà</v>
          </cell>
          <cell r="I724" t="str">
            <v>Khách mới</v>
          </cell>
          <cell r="J724" t="str">
            <v>Đơn bán</v>
          </cell>
          <cell r="K724" t="str">
            <v>SAKUKO809706</v>
          </cell>
          <cell r="L724" t="str">
            <v>CHĂM SÓC SẮC ĐẸP</v>
          </cell>
          <cell r="M724" t="str">
            <v>CHĂM SÓC DA</v>
          </cell>
          <cell r="N724" t="str">
            <v>RỬA MẶT</v>
          </cell>
          <cell r="O724" t="str">
            <v>102386</v>
          </cell>
          <cell r="P724" t="str">
            <v>4902468816062</v>
          </cell>
          <cell r="Q724" t="str">
            <v>MEISHOKU- Sữa rửa mặt sáng da Cvita 100g</v>
          </cell>
          <cell r="R724">
            <v>290000</v>
          </cell>
          <cell r="S724">
            <v>1</v>
          </cell>
          <cell r="T724">
            <v>290000</v>
          </cell>
          <cell r="U724">
            <v>23200</v>
          </cell>
          <cell r="V724">
            <v>266800</v>
          </cell>
          <cell r="W724" t="str">
            <v>4902468816062</v>
          </cell>
        </row>
        <row r="725">
          <cell r="A725">
            <v>2026</v>
          </cell>
          <cell r="B725">
            <v>6</v>
          </cell>
          <cell r="C725">
            <v>46186</v>
          </cell>
          <cell r="D725" t="str">
            <v>1. SKK store</v>
          </cell>
          <cell r="E725" t="str">
            <v>S1006</v>
          </cell>
          <cell r="F725" t="str">
            <v>SKK Trần Đăng Ninh</v>
          </cell>
          <cell r="G725" t="str">
            <v>0978488766</v>
          </cell>
          <cell r="H725" t="str">
            <v>chị Hằng</v>
          </cell>
          <cell r="I725" t="str">
            <v>Khách cũ</v>
          </cell>
          <cell r="J725" t="str">
            <v>Đơn bán</v>
          </cell>
          <cell r="K725" t="str">
            <v>SAKUKO808642</v>
          </cell>
          <cell r="L725" t="str">
            <v>THỰC PHẨM</v>
          </cell>
          <cell r="M725" t="str">
            <v>MỲ, MIẾN</v>
          </cell>
          <cell r="N725" t="str">
            <v>MỲ ĂN LIỀN</v>
          </cell>
          <cell r="O725" t="str">
            <v>154196</v>
          </cell>
          <cell r="P725" t="str">
            <v>4979397000152</v>
          </cell>
          <cell r="Q725" t="str">
            <v>YAMAMOTO_Mì xào kiểu Nhật 89g*5</v>
          </cell>
          <cell r="R725">
            <v>99000</v>
          </cell>
          <cell r="S725">
            <v>1</v>
          </cell>
          <cell r="T725">
            <v>99000</v>
          </cell>
          <cell r="U725">
            <v>0</v>
          </cell>
          <cell r="V725">
            <v>99000</v>
          </cell>
          <cell r="W725" t="str">
            <v>4979397000152</v>
          </cell>
        </row>
        <row r="726">
          <cell r="A726">
            <v>2026</v>
          </cell>
          <cell r="B726">
            <v>6</v>
          </cell>
          <cell r="C726">
            <v>46186</v>
          </cell>
          <cell r="D726" t="str">
            <v>1. SKK store</v>
          </cell>
          <cell r="E726" t="str">
            <v>S1006</v>
          </cell>
          <cell r="F726" t="str">
            <v>SKK Trần Đăng Ninh</v>
          </cell>
          <cell r="G726" t="str">
            <v>0984876456</v>
          </cell>
          <cell r="H726" t="str">
            <v>Chị Trần thị Phương</v>
          </cell>
          <cell r="I726" t="str">
            <v>Khách cũ</v>
          </cell>
          <cell r="J726" t="str">
            <v>Đơn bán</v>
          </cell>
          <cell r="K726" t="str">
            <v>SAKUKO809864</v>
          </cell>
          <cell r="L726" t="str">
            <v>CHĂM SÓC SẮC ĐẸP</v>
          </cell>
          <cell r="M726" t="str">
            <v>CHĂM SÓC DA</v>
          </cell>
          <cell r="N726" t="str">
            <v>RỬA MẶT</v>
          </cell>
          <cell r="O726" t="str">
            <v>230849</v>
          </cell>
          <cell r="P726" t="str">
            <v>4902806102048</v>
          </cell>
          <cell r="Q726" t="str">
            <v>GATSBY- SRM than hoạt tính sạch sâu 130g</v>
          </cell>
          <cell r="R726">
            <v>125000</v>
          </cell>
          <cell r="S726">
            <v>1</v>
          </cell>
          <cell r="T726">
            <v>125000</v>
          </cell>
          <cell r="U726">
            <v>12500</v>
          </cell>
          <cell r="V726">
            <v>112500</v>
          </cell>
          <cell r="W726" t="str">
            <v>4902806102048</v>
          </cell>
        </row>
        <row r="727">
          <cell r="A727">
            <v>2026</v>
          </cell>
          <cell r="B727">
            <v>6</v>
          </cell>
          <cell r="C727">
            <v>46186</v>
          </cell>
          <cell r="D727" t="str">
            <v>1. SKK store</v>
          </cell>
          <cell r="E727" t="str">
            <v>S1006</v>
          </cell>
          <cell r="F727" t="str">
            <v>SKK Trần Đăng Ninh</v>
          </cell>
          <cell r="G727" t="str">
            <v>0989207365</v>
          </cell>
          <cell r="H727" t="str">
            <v>co ha</v>
          </cell>
          <cell r="I727" t="str">
            <v>Khách cũ</v>
          </cell>
          <cell r="J727" t="str">
            <v>Đơn bán</v>
          </cell>
          <cell r="K727" t="str">
            <v>SAKUKO808581</v>
          </cell>
          <cell r="L727" t="str">
            <v>NHÀ CỬA ĐỜI SỐNG</v>
          </cell>
          <cell r="M727" t="str">
            <v>ĐỒ DÙNG SINH HOẠT GIA ĐÌNH</v>
          </cell>
          <cell r="N727" t="str">
            <v>VẬT DỤNG SINH HOẠT KHÁC</v>
          </cell>
          <cell r="O727" t="str">
            <v>135039</v>
          </cell>
          <cell r="P727" t="str">
            <v>4968988074993</v>
          </cell>
          <cell r="Q727" t="str">
            <v>OMAICHI- Set 2 lọ chiết mỹ phẩm 40ml kèm hộp đựng</v>
          </cell>
          <cell r="R727">
            <v>52000</v>
          </cell>
          <cell r="S727">
            <v>1</v>
          </cell>
          <cell r="T727">
            <v>52000</v>
          </cell>
          <cell r="U727">
            <v>0</v>
          </cell>
          <cell r="V727">
            <v>52000</v>
          </cell>
          <cell r="W727" t="str">
            <v>4968988074993</v>
          </cell>
        </row>
        <row r="728">
          <cell r="A728">
            <v>2026</v>
          </cell>
          <cell r="B728">
            <v>6</v>
          </cell>
          <cell r="C728">
            <v>46186</v>
          </cell>
          <cell r="D728" t="str">
            <v>1. SKK store</v>
          </cell>
          <cell r="E728" t="str">
            <v>S1007</v>
          </cell>
          <cell r="F728" t="str">
            <v>SKK  Nguyễn Du</v>
          </cell>
          <cell r="G728" t="str">
            <v>0931775286</v>
          </cell>
          <cell r="H728" t="str">
            <v>Chị Nhung</v>
          </cell>
          <cell r="I728" t="str">
            <v>Khách cũ</v>
          </cell>
          <cell r="J728" t="str">
            <v>Đơn bán</v>
          </cell>
          <cell r="K728" t="str">
            <v>SAKUKO808811</v>
          </cell>
          <cell r="L728" t="str">
            <v>THỰC PHẨM</v>
          </cell>
          <cell r="M728" t="str">
            <v>BÁNH KẸO, ĐỒ ĂN VẶT</v>
          </cell>
          <cell r="N728" t="str">
            <v>KẸO CAO SU</v>
          </cell>
          <cell r="O728" t="str">
            <v>231376</v>
          </cell>
          <cell r="P728" t="str">
            <v>4903333228577</v>
          </cell>
          <cell r="Q728" t="str">
            <v>LOTTE-Kẹo cao su tổng hợp 7 loại dạng lọ 133g</v>
          </cell>
          <cell r="R728">
            <v>235000</v>
          </cell>
          <cell r="S728">
            <v>1</v>
          </cell>
          <cell r="T728">
            <v>235000</v>
          </cell>
          <cell r="U728">
            <v>0</v>
          </cell>
          <cell r="V728">
            <v>235000</v>
          </cell>
          <cell r="W728" t="str">
            <v>4903333228577</v>
          </cell>
        </row>
        <row r="729">
          <cell r="A729">
            <v>2026</v>
          </cell>
          <cell r="B729">
            <v>6</v>
          </cell>
          <cell r="C729">
            <v>46186</v>
          </cell>
          <cell r="D729" t="str">
            <v>1. SKK store</v>
          </cell>
          <cell r="E729" t="str">
            <v>S1007</v>
          </cell>
          <cell r="F729" t="str">
            <v>SKK  Nguyễn Du</v>
          </cell>
          <cell r="G729" t="str">
            <v>0989390277</v>
          </cell>
          <cell r="H729" t="str">
            <v>Chị Trần Phương Anh</v>
          </cell>
          <cell r="I729" t="str">
            <v>Khách cũ</v>
          </cell>
          <cell r="J729" t="str">
            <v>Đơn bán</v>
          </cell>
          <cell r="K729" t="str">
            <v>SAKUKO809310</v>
          </cell>
          <cell r="L729" t="str">
            <v>CHĂM SÓC SẮC ĐẸP</v>
          </cell>
          <cell r="M729" t="str">
            <v>CHĂM SÓC DA</v>
          </cell>
          <cell r="N729" t="str">
            <v>RỬA MẶT</v>
          </cell>
          <cell r="O729" t="str">
            <v>102412</v>
          </cell>
          <cell r="P729" t="str">
            <v>4902468802126</v>
          </cell>
          <cell r="Q729" t="str">
            <v>MEISHOKU- SRM ngăn ngừa mụn Bigan 80g</v>
          </cell>
          <cell r="R729">
            <v>255000</v>
          </cell>
          <cell r="S729">
            <v>2</v>
          </cell>
          <cell r="T729">
            <v>510000</v>
          </cell>
          <cell r="U729">
            <v>40800</v>
          </cell>
          <cell r="V729">
            <v>469200</v>
          </cell>
          <cell r="W729" t="str">
            <v>4902468802126</v>
          </cell>
        </row>
        <row r="730">
          <cell r="A730">
            <v>2026</v>
          </cell>
          <cell r="B730">
            <v>6</v>
          </cell>
          <cell r="C730">
            <v>46186</v>
          </cell>
          <cell r="D730" t="str">
            <v>1. SKK store</v>
          </cell>
          <cell r="E730" t="str">
            <v>S1007</v>
          </cell>
          <cell r="F730" t="str">
            <v>SKK  Nguyễn Du</v>
          </cell>
          <cell r="G730" t="str">
            <v>0989390277</v>
          </cell>
          <cell r="H730" t="str">
            <v>Chị Trần Phương Anh</v>
          </cell>
          <cell r="I730" t="str">
            <v>Khách cũ</v>
          </cell>
          <cell r="J730" t="str">
            <v>Đơn bán</v>
          </cell>
          <cell r="K730" t="str">
            <v>SAKUKO809310</v>
          </cell>
          <cell r="L730" t="str">
            <v>NHÀ CỬA ĐỜI SỐNG</v>
          </cell>
          <cell r="M730" t="str">
            <v>ĐỒ DÙNG SINH HOẠT GIA ĐÌNH</v>
          </cell>
          <cell r="N730" t="str">
            <v>VẬT DỤNG SINH HOẠT KHÁC</v>
          </cell>
          <cell r="O730" t="str">
            <v>135039</v>
          </cell>
          <cell r="P730" t="str">
            <v>4968988074993</v>
          </cell>
          <cell r="Q730" t="str">
            <v>OMAICHI- Set 2 lọ chiết mỹ phẩm 40ml kèm hộp đựng</v>
          </cell>
          <cell r="R730">
            <v>52000</v>
          </cell>
          <cell r="S730">
            <v>1</v>
          </cell>
          <cell r="T730">
            <v>52000</v>
          </cell>
          <cell r="U730">
            <v>0</v>
          </cell>
          <cell r="V730">
            <v>52000</v>
          </cell>
          <cell r="W730" t="str">
            <v>4968988074993</v>
          </cell>
        </row>
        <row r="731">
          <cell r="A731">
            <v>2026</v>
          </cell>
          <cell r="B731">
            <v>6</v>
          </cell>
          <cell r="C731">
            <v>46186</v>
          </cell>
          <cell r="D731" t="str">
            <v>1. SKK store</v>
          </cell>
          <cell r="E731" t="str">
            <v>S1008</v>
          </cell>
          <cell r="F731" t="str">
            <v>SKK  Hàng Bông</v>
          </cell>
          <cell r="G731" t="str">
            <v>0988084259</v>
          </cell>
          <cell r="H731" t="str">
            <v>Chú Khuê</v>
          </cell>
          <cell r="I731" t="str">
            <v>Khách cũ</v>
          </cell>
          <cell r="J731" t="str">
            <v>Đơn bán</v>
          </cell>
          <cell r="K731" t="str">
            <v>SAKUKO809221</v>
          </cell>
          <cell r="L731" t="str">
            <v>THỰC PHẨM</v>
          </cell>
          <cell r="M731" t="str">
            <v>MỲ, MIẾN</v>
          </cell>
          <cell r="N731" t="str">
            <v>MỲ ĂN LIỀN</v>
          </cell>
          <cell r="O731" t="str">
            <v>154196</v>
          </cell>
          <cell r="P731" t="str">
            <v>4979397000152</v>
          </cell>
          <cell r="Q731" t="str">
            <v>YAMAMOTO_Mì xào kiểu Nhật 89g*5</v>
          </cell>
          <cell r="R731">
            <v>99000</v>
          </cell>
          <cell r="S731">
            <v>1</v>
          </cell>
          <cell r="T731">
            <v>99000</v>
          </cell>
          <cell r="U731">
            <v>0</v>
          </cell>
          <cell r="V731">
            <v>99000</v>
          </cell>
          <cell r="W731" t="str">
            <v>4979397000152</v>
          </cell>
        </row>
        <row r="732">
          <cell r="A732">
            <v>2026</v>
          </cell>
          <cell r="B732">
            <v>6</v>
          </cell>
          <cell r="C732">
            <v>46186</v>
          </cell>
          <cell r="D732" t="str">
            <v>1. SKK store</v>
          </cell>
          <cell r="E732" t="str">
            <v>S1015</v>
          </cell>
          <cell r="F732" t="str">
            <v>SKK Hàm Nghi</v>
          </cell>
          <cell r="G732" t="str">
            <v>0966612276</v>
          </cell>
          <cell r="H732" t="str">
            <v>chị thủy</v>
          </cell>
          <cell r="I732" t="str">
            <v>Khách cũ</v>
          </cell>
          <cell r="J732" t="str">
            <v>Đơn bán</v>
          </cell>
          <cell r="K732" t="str">
            <v>SAKUKO809230</v>
          </cell>
          <cell r="L732" t="str">
            <v>CHĂM SÓC SẮC ĐẸP</v>
          </cell>
          <cell r="M732" t="str">
            <v>CHĂM SÓC DA</v>
          </cell>
          <cell r="N732" t="str">
            <v>CHĂM SÓC DA KHÁC</v>
          </cell>
          <cell r="O732" t="str">
            <v>102387</v>
          </cell>
          <cell r="P732" t="str">
            <v>8935006542907</v>
          </cell>
          <cell r="Q732" t="str">
            <v>HADA LABO- Bộ sản phẩm dưỡng ẩm (travel kit)47g</v>
          </cell>
          <cell r="R732">
            <v>129000</v>
          </cell>
          <cell r="S732">
            <v>1</v>
          </cell>
          <cell r="T732">
            <v>129000</v>
          </cell>
          <cell r="U732">
            <v>20000</v>
          </cell>
          <cell r="V732">
            <v>109000</v>
          </cell>
          <cell r="W732" t="str">
            <v>8935006542907</v>
          </cell>
        </row>
        <row r="733">
          <cell r="A733">
            <v>2026</v>
          </cell>
          <cell r="B733">
            <v>6</v>
          </cell>
          <cell r="C733">
            <v>46186</v>
          </cell>
          <cell r="D733" t="str">
            <v>1. SKK store</v>
          </cell>
          <cell r="E733" t="str">
            <v>S1015</v>
          </cell>
          <cell r="F733" t="str">
            <v>SKK Hàm Nghi</v>
          </cell>
          <cell r="G733" t="str">
            <v>0976916762</v>
          </cell>
          <cell r="H733" t="str">
            <v>Chị Trâm</v>
          </cell>
          <cell r="I733" t="str">
            <v>Khách cũ</v>
          </cell>
          <cell r="J733" t="str">
            <v>Đơn bán</v>
          </cell>
          <cell r="K733" t="str">
            <v>SAKUKO809816</v>
          </cell>
          <cell r="L733" t="str">
            <v>CHĂM SÓC SẮC ĐẸP</v>
          </cell>
          <cell r="M733" t="str">
            <v>CHĂM SÓC DA</v>
          </cell>
          <cell r="N733" t="str">
            <v>RỬA MẶT</v>
          </cell>
          <cell r="O733" t="str">
            <v>230269</v>
          </cell>
          <cell r="P733" t="str">
            <v>4987241173242</v>
          </cell>
          <cell r="Q733" t="str">
            <v>ROHTO- SRM Melano CC mờ thâm nám (130g)</v>
          </cell>
          <cell r="R733">
            <v>294000</v>
          </cell>
          <cell r="S733">
            <v>1</v>
          </cell>
          <cell r="T733">
            <v>294000</v>
          </cell>
          <cell r="U733">
            <v>117600</v>
          </cell>
          <cell r="V733">
            <v>176400</v>
          </cell>
          <cell r="W733" t="str">
            <v>4987241173242</v>
          </cell>
        </row>
        <row r="734">
          <cell r="A734">
            <v>2026</v>
          </cell>
          <cell r="B734">
            <v>6</v>
          </cell>
          <cell r="C734">
            <v>46186</v>
          </cell>
          <cell r="D734" t="str">
            <v>1. SKK store</v>
          </cell>
          <cell r="E734" t="str">
            <v>S1015</v>
          </cell>
          <cell r="F734" t="str">
            <v>SKK Hàm Nghi</v>
          </cell>
          <cell r="G734" t="str">
            <v>0988744265</v>
          </cell>
          <cell r="H734" t="str">
            <v>c yến</v>
          </cell>
          <cell r="I734" t="str">
            <v>Khách cũ</v>
          </cell>
          <cell r="J734" t="str">
            <v>Đơn bán</v>
          </cell>
          <cell r="K734" t="str">
            <v>SAKUKO809539</v>
          </cell>
          <cell r="L734" t="str">
            <v>NHÀ CỬA ĐỜI SỐNG</v>
          </cell>
          <cell r="M734" t="str">
            <v>PHÒNG CHỐNG CÔN TRÙNG</v>
          </cell>
          <cell r="N734" t="str">
            <v>DIỆT CÔN TRÙNG</v>
          </cell>
          <cell r="O734" t="str">
            <v>230476</v>
          </cell>
          <cell r="P734" t="str">
            <v>4987115105874</v>
          </cell>
          <cell r="Q734" t="str">
            <v>KINCHO- XỊT DIỆT MUỖI HƯƠNG HOA HỒNG 45ML</v>
          </cell>
          <cell r="R734">
            <v>320000</v>
          </cell>
          <cell r="S734">
            <v>5</v>
          </cell>
          <cell r="T734">
            <v>1600000</v>
          </cell>
          <cell r="U734">
            <v>480000</v>
          </cell>
          <cell r="V734">
            <v>1120000</v>
          </cell>
          <cell r="W734" t="str">
            <v>4987115105874</v>
          </cell>
        </row>
        <row r="735">
          <cell r="A735">
            <v>2026</v>
          </cell>
          <cell r="B735">
            <v>6</v>
          </cell>
          <cell r="C735">
            <v>46186</v>
          </cell>
          <cell r="D735" t="str">
            <v>1. SKK store</v>
          </cell>
          <cell r="E735" t="str">
            <v>S1018</v>
          </cell>
          <cell r="F735" t="str">
            <v>SKK Nguyễn Tuân</v>
          </cell>
          <cell r="G735" t="str">
            <v>0961727069</v>
          </cell>
          <cell r="H735" t="str">
            <v>C Lê Thị Hằng Nga</v>
          </cell>
          <cell r="I735" t="str">
            <v>Khách cũ</v>
          </cell>
          <cell r="J735" t="str">
            <v>Đơn bán</v>
          </cell>
          <cell r="K735" t="str">
            <v>SAKUKO809355</v>
          </cell>
          <cell r="L735" t="str">
            <v>THỰC PHẨM</v>
          </cell>
          <cell r="M735" t="str">
            <v>MỲ, MIẾN</v>
          </cell>
          <cell r="N735" t="str">
            <v>MỲ CHẾ BIẾN</v>
          </cell>
          <cell r="O735" t="str">
            <v>154251</v>
          </cell>
          <cell r="P735" t="str">
            <v>4560159440776</v>
          </cell>
          <cell r="Q735" t="str">
            <v>SATO_Mì soba khô 800g</v>
          </cell>
          <cell r="R735">
            <v>104000</v>
          </cell>
          <cell r="S735">
            <v>1</v>
          </cell>
          <cell r="T735">
            <v>104000</v>
          </cell>
          <cell r="U735">
            <v>31200</v>
          </cell>
          <cell r="V735">
            <v>72800</v>
          </cell>
          <cell r="W735" t="str">
            <v>4560159440776</v>
          </cell>
        </row>
        <row r="736">
          <cell r="A736">
            <v>2026</v>
          </cell>
          <cell r="B736">
            <v>6</v>
          </cell>
          <cell r="C736">
            <v>46186</v>
          </cell>
          <cell r="D736" t="str">
            <v>1. SKK store</v>
          </cell>
          <cell r="E736" t="str">
            <v>S1025</v>
          </cell>
          <cell r="F736" t="str">
            <v>SKK T6 Time City</v>
          </cell>
          <cell r="G736" t="str">
            <v>0914380462</v>
          </cell>
          <cell r="H736" t="str">
            <v>Chị Vân</v>
          </cell>
          <cell r="I736" t="str">
            <v>Khách cũ</v>
          </cell>
          <cell r="J736" t="str">
            <v>Đơn bán</v>
          </cell>
          <cell r="K736" t="str">
            <v>SAKUKO808787</v>
          </cell>
          <cell r="L736" t="str">
            <v>CHĂM SÓC SẮC ĐẸP</v>
          </cell>
          <cell r="M736" t="str">
            <v>CHĂM SÓC TÓC</v>
          </cell>
          <cell r="N736" t="str">
            <v>TẠO KIỂU TÓC</v>
          </cell>
          <cell r="O736" t="str">
            <v>101904</v>
          </cell>
          <cell r="P736" t="str">
            <v>45131639</v>
          </cell>
          <cell r="Q736" t="str">
            <v>GATSBY- Sáp vuốt tóc tạo kiểu vuốt đứng 80g</v>
          </cell>
          <cell r="R736">
            <v>150000</v>
          </cell>
          <cell r="S736">
            <v>1</v>
          </cell>
          <cell r="T736">
            <v>150000</v>
          </cell>
          <cell r="U736">
            <v>15000</v>
          </cell>
          <cell r="V736">
            <v>135000</v>
          </cell>
          <cell r="W736" t="str">
            <v>45131639</v>
          </cell>
        </row>
        <row r="737">
          <cell r="A737">
            <v>2026</v>
          </cell>
          <cell r="B737">
            <v>6</v>
          </cell>
          <cell r="C737">
            <v>46186</v>
          </cell>
          <cell r="D737" t="str">
            <v>1. SKK store</v>
          </cell>
          <cell r="E737" t="str">
            <v>S1025</v>
          </cell>
          <cell r="F737" t="str">
            <v>SKK T6 Time City</v>
          </cell>
          <cell r="G737" t="str">
            <v>0984382057</v>
          </cell>
          <cell r="H737" t="str">
            <v>Lê Quang Hưng</v>
          </cell>
          <cell r="I737" t="str">
            <v>Khách cũ</v>
          </cell>
          <cell r="J737" t="str">
            <v>Đơn bán</v>
          </cell>
          <cell r="K737" t="str">
            <v>SAKUKO808814</v>
          </cell>
          <cell r="L737" t="str">
            <v>ĐỒ CHO MẸ BÉ</v>
          </cell>
          <cell r="M737" t="str">
            <v>CHĂM SÓC CƠ THỂ BÉ</v>
          </cell>
          <cell r="N737" t="str">
            <v>THỰC PHẨM CHỨC NĂNG CHO BÉ</v>
          </cell>
          <cell r="O737" t="str">
            <v>121666</v>
          </cell>
          <cell r="P737" t="str">
            <v>8436036591441</v>
          </cell>
          <cell r="Q737" t="str">
            <v>NEO KIDS-TPBVSK Gummies Omega 3 DHA 150g</v>
          </cell>
          <cell r="R737">
            <v>360000</v>
          </cell>
          <cell r="S737">
            <v>1</v>
          </cell>
          <cell r="T737">
            <v>360000</v>
          </cell>
          <cell r="U737">
            <v>0</v>
          </cell>
          <cell r="V737">
            <v>360000</v>
          </cell>
          <cell r="W737" t="str">
            <v>8436036591441</v>
          </cell>
        </row>
        <row r="738">
          <cell r="A738">
            <v>2026</v>
          </cell>
          <cell r="B738">
            <v>6</v>
          </cell>
          <cell r="C738">
            <v>46185</v>
          </cell>
          <cell r="D738" t="str">
            <v>1. SKK store</v>
          </cell>
          <cell r="E738" t="str">
            <v>S1004</v>
          </cell>
          <cell r="F738" t="str">
            <v>SKK  Mandarin C1</v>
          </cell>
          <cell r="G738" t="str">
            <v>0973465555</v>
          </cell>
          <cell r="H738" t="str">
            <v>chị Hằng</v>
          </cell>
          <cell r="I738" t="str">
            <v>Khách cũ</v>
          </cell>
          <cell r="J738" t="str">
            <v>Đơn bán</v>
          </cell>
          <cell r="K738" t="str">
            <v>SAKUKO807531</v>
          </cell>
          <cell r="L738" t="str">
            <v>THỰC PHẨM</v>
          </cell>
          <cell r="M738" t="str">
            <v>BÁNH KẸO, ĐỒ ĂN VẶT</v>
          </cell>
          <cell r="N738" t="str">
            <v>KẸO CAO SU</v>
          </cell>
          <cell r="O738" t="str">
            <v>231377</v>
          </cell>
          <cell r="P738" t="str">
            <v>4903333200375</v>
          </cell>
          <cell r="Q738" t="str">
            <v>LOTTE-Kẹo cao su tổng hợp dạng lọ 114g</v>
          </cell>
          <cell r="R738">
            <v>235000</v>
          </cell>
          <cell r="S738">
            <v>1</v>
          </cell>
          <cell r="T738">
            <v>235000</v>
          </cell>
          <cell r="U738">
            <v>0</v>
          </cell>
          <cell r="V738">
            <v>235000</v>
          </cell>
          <cell r="W738" t="str">
            <v>4903333200375</v>
          </cell>
        </row>
        <row r="739">
          <cell r="A739">
            <v>2026</v>
          </cell>
          <cell r="B739">
            <v>6</v>
          </cell>
          <cell r="C739">
            <v>46185</v>
          </cell>
          <cell r="D739" t="str">
            <v>1. SKK store</v>
          </cell>
          <cell r="E739" t="str">
            <v>S1005</v>
          </cell>
          <cell r="F739" t="str">
            <v>SKK  Thái Hà</v>
          </cell>
          <cell r="G739" t="str">
            <v>0903296135</v>
          </cell>
          <cell r="H739" t="str">
            <v>Cô Nguyễn Thị Nhã</v>
          </cell>
          <cell r="I739" t="str">
            <v>Khách cũ</v>
          </cell>
          <cell r="J739" t="str">
            <v>Đơn bán</v>
          </cell>
          <cell r="K739" t="str">
            <v>SAKUKO808086</v>
          </cell>
          <cell r="L739" t="str">
            <v>THỰC PHẨM</v>
          </cell>
          <cell r="M739" t="str">
            <v>MỲ, MIẾN</v>
          </cell>
          <cell r="N739" t="str">
            <v>MỲ ĂN LIỀN</v>
          </cell>
          <cell r="O739" t="str">
            <v>154333</v>
          </cell>
          <cell r="P739" t="str">
            <v>4901990325547</v>
          </cell>
          <cell r="Q739" t="str">
            <v>MARUCHAN-Mì hộp ramen hoành thánh nước tương 117g</v>
          </cell>
          <cell r="R739">
            <v>45000</v>
          </cell>
          <cell r="S739">
            <v>2</v>
          </cell>
          <cell r="T739">
            <v>90000</v>
          </cell>
          <cell r="U739">
            <v>0</v>
          </cell>
          <cell r="V739">
            <v>90000</v>
          </cell>
          <cell r="W739" t="str">
            <v>4901990325547</v>
          </cell>
        </row>
        <row r="740">
          <cell r="A740">
            <v>2026</v>
          </cell>
          <cell r="B740">
            <v>6</v>
          </cell>
          <cell r="C740">
            <v>46185</v>
          </cell>
          <cell r="D740" t="str">
            <v>1. SKK store</v>
          </cell>
          <cell r="E740" t="str">
            <v>S1005</v>
          </cell>
          <cell r="F740" t="str">
            <v>SKK  Thái Hà</v>
          </cell>
          <cell r="G740" t="str">
            <v>0934497426</v>
          </cell>
          <cell r="H740" t="str">
            <v>e uyeen</v>
          </cell>
          <cell r="I740" t="str">
            <v>Khách cũ</v>
          </cell>
          <cell r="J740" t="str">
            <v>Đơn bán</v>
          </cell>
          <cell r="K740" t="str">
            <v>SAKUKO807930</v>
          </cell>
          <cell r="L740" t="str">
            <v>CHĂM SÓC SẮC ĐẸP</v>
          </cell>
          <cell r="M740" t="str">
            <v>Mỹ phẩm khác</v>
          </cell>
          <cell r="N740" t="str">
            <v>PHỤ KIỆN LÀM ĐẸP</v>
          </cell>
          <cell r="O740" t="str">
            <v>102389</v>
          </cell>
          <cell r="P740" t="str">
            <v>4969757110652</v>
          </cell>
          <cell r="Q740" t="str">
            <v>KYOWA- Gói bông tẩy trang 130 miếng</v>
          </cell>
          <cell r="R740">
            <v>49000</v>
          </cell>
          <cell r="S740">
            <v>1</v>
          </cell>
          <cell r="T740">
            <v>49000</v>
          </cell>
          <cell r="U740">
            <v>0</v>
          </cell>
          <cell r="V740">
            <v>49000</v>
          </cell>
          <cell r="W740" t="str">
            <v>4969757110652</v>
          </cell>
        </row>
        <row r="741">
          <cell r="A741">
            <v>2026</v>
          </cell>
          <cell r="B741">
            <v>6</v>
          </cell>
          <cell r="C741">
            <v>46185</v>
          </cell>
          <cell r="D741" t="str">
            <v>1. SKK store</v>
          </cell>
          <cell r="E741" t="str">
            <v>S1006</v>
          </cell>
          <cell r="F741" t="str">
            <v>SKK Trần Đăng Ninh</v>
          </cell>
          <cell r="G741" t="str">
            <v>0836776888</v>
          </cell>
          <cell r="H741" t="str">
            <v>chị tuyết minh</v>
          </cell>
          <cell r="I741" t="str">
            <v>Khách cũ</v>
          </cell>
          <cell r="J741" t="str">
            <v>Đơn bán</v>
          </cell>
          <cell r="K741" t="str">
            <v>SAKUKO808346</v>
          </cell>
          <cell r="L741" t="str">
            <v>THỰC PHẨM</v>
          </cell>
          <cell r="M741" t="str">
            <v>MỲ, MIẾN</v>
          </cell>
          <cell r="N741" t="str">
            <v>MỲ ĂN LIỀN</v>
          </cell>
          <cell r="O741" t="str">
            <v>154198</v>
          </cell>
          <cell r="P741" t="str">
            <v>4979397000145</v>
          </cell>
          <cell r="Q741" t="str">
            <v>YAMAMOTO_Mì ramen ăn liền vị miso 90g*5</v>
          </cell>
          <cell r="R741">
            <v>99000</v>
          </cell>
          <cell r="S741">
            <v>1</v>
          </cell>
          <cell r="T741">
            <v>99000</v>
          </cell>
          <cell r="U741">
            <v>0</v>
          </cell>
          <cell r="V741">
            <v>99000</v>
          </cell>
          <cell r="W741" t="str">
            <v>4979397000145</v>
          </cell>
        </row>
        <row r="742">
          <cell r="A742">
            <v>2026</v>
          </cell>
          <cell r="B742">
            <v>6</v>
          </cell>
          <cell r="C742">
            <v>46185</v>
          </cell>
          <cell r="D742" t="str">
            <v>1. SKK store</v>
          </cell>
          <cell r="E742" t="str">
            <v>S1006</v>
          </cell>
          <cell r="F742" t="str">
            <v>SKK Trần Đăng Ninh</v>
          </cell>
          <cell r="G742" t="str">
            <v>0862954688</v>
          </cell>
          <cell r="H742" t="str">
            <v>KLTDN</v>
          </cell>
          <cell r="I742" t="str">
            <v>Khách vãng lai</v>
          </cell>
          <cell r="J742" t="str">
            <v>Đơn bán</v>
          </cell>
          <cell r="K742" t="str">
            <v>SAKUKO807729</v>
          </cell>
          <cell r="L742" t="str">
            <v>ĐỒ CHO MẸ BÉ</v>
          </cell>
          <cell r="M742" t="str">
            <v>GIẤY ƯỚT</v>
          </cell>
          <cell r="N742" t="str">
            <v>GIẤY ƯỚT CHO BÉ</v>
          </cell>
          <cell r="O742" t="str">
            <v>121662</v>
          </cell>
          <cell r="P742" t="str">
            <v>8934755035036</v>
          </cell>
          <cell r="Q742" t="str">
            <v>FRESSI- Khăn ướt Care For All 20 miếng</v>
          </cell>
          <cell r="R742">
            <v>14000</v>
          </cell>
          <cell r="S742">
            <v>1</v>
          </cell>
          <cell r="T742">
            <v>14000</v>
          </cell>
          <cell r="U742">
            <v>0</v>
          </cell>
          <cell r="V742">
            <v>14000</v>
          </cell>
          <cell r="W742" t="str">
            <v>8934755035036</v>
          </cell>
        </row>
        <row r="743">
          <cell r="A743">
            <v>2026</v>
          </cell>
          <cell r="B743">
            <v>6</v>
          </cell>
          <cell r="C743">
            <v>46185</v>
          </cell>
          <cell r="D743" t="str">
            <v>1. SKK store</v>
          </cell>
          <cell r="E743" t="str">
            <v>S1006</v>
          </cell>
          <cell r="F743" t="str">
            <v>SKK Trần Đăng Ninh</v>
          </cell>
          <cell r="G743" t="str">
            <v>0915147968</v>
          </cell>
          <cell r="H743" t="str">
            <v>Chị Dương</v>
          </cell>
          <cell r="I743" t="str">
            <v>Khách cũ</v>
          </cell>
          <cell r="J743" t="str">
            <v>Đơn bán</v>
          </cell>
          <cell r="K743" t="str">
            <v>SAKUKO808349</v>
          </cell>
          <cell r="L743" t="str">
            <v>CHĂM SÓC SẮC ĐẸP</v>
          </cell>
          <cell r="M743" t="str">
            <v>CHĂM SÓC DA</v>
          </cell>
          <cell r="N743" t="str">
            <v>RỬA MẶT</v>
          </cell>
          <cell r="O743" t="str">
            <v>102386</v>
          </cell>
          <cell r="P743" t="str">
            <v>4902468816062</v>
          </cell>
          <cell r="Q743" t="str">
            <v>MEISHOKU- Sữa rửa mặt sáng da Cvita 100g</v>
          </cell>
          <cell r="R743">
            <v>290000</v>
          </cell>
          <cell r="S743">
            <v>1</v>
          </cell>
          <cell r="T743">
            <v>290000</v>
          </cell>
          <cell r="U743">
            <v>23200</v>
          </cell>
          <cell r="V743">
            <v>266800</v>
          </cell>
          <cell r="W743" t="str">
            <v>4902468816062</v>
          </cell>
        </row>
        <row r="744">
          <cell r="A744">
            <v>2026</v>
          </cell>
          <cell r="B744">
            <v>6</v>
          </cell>
          <cell r="C744">
            <v>46185</v>
          </cell>
          <cell r="D744" t="str">
            <v>1. SKK store</v>
          </cell>
          <cell r="E744" t="str">
            <v>S1006</v>
          </cell>
          <cell r="F744" t="str">
            <v>SKK Trần Đăng Ninh</v>
          </cell>
          <cell r="G744" t="str">
            <v>0936327294</v>
          </cell>
          <cell r="H744" t="str">
            <v>Cô Huệ</v>
          </cell>
          <cell r="I744" t="str">
            <v>Khách mới</v>
          </cell>
          <cell r="J744" t="str">
            <v>Đơn bán</v>
          </cell>
          <cell r="K744" t="str">
            <v>SAKUKO807927</v>
          </cell>
          <cell r="L744" t="str">
            <v>THỰC PHẨM</v>
          </cell>
          <cell r="M744" t="str">
            <v>MỲ, MIẾN</v>
          </cell>
          <cell r="N744" t="str">
            <v>MỲ ĂN LIỀN</v>
          </cell>
          <cell r="O744" t="str">
            <v>154333</v>
          </cell>
          <cell r="P744" t="str">
            <v>4901990325547</v>
          </cell>
          <cell r="Q744" t="str">
            <v>MARUCHAN-Mì hộp ramen hoành thánh nước tương 117g</v>
          </cell>
          <cell r="R744">
            <v>45000</v>
          </cell>
          <cell r="S744">
            <v>1</v>
          </cell>
          <cell r="T744">
            <v>45000</v>
          </cell>
          <cell r="U744">
            <v>0</v>
          </cell>
          <cell r="V744">
            <v>45000</v>
          </cell>
          <cell r="W744" t="str">
            <v>4901990325547</v>
          </cell>
        </row>
        <row r="745">
          <cell r="A745">
            <v>2026</v>
          </cell>
          <cell r="B745">
            <v>6</v>
          </cell>
          <cell r="C745">
            <v>46185</v>
          </cell>
          <cell r="D745" t="str">
            <v>1. SKK store</v>
          </cell>
          <cell r="E745" t="str">
            <v>S1006</v>
          </cell>
          <cell r="F745" t="str">
            <v>SKK Trần Đăng Ninh</v>
          </cell>
          <cell r="G745" t="str">
            <v>0965532899</v>
          </cell>
          <cell r="H745" t="str">
            <v>a bình</v>
          </cell>
          <cell r="I745" t="str">
            <v>Khách cũ</v>
          </cell>
          <cell r="J745" t="str">
            <v>Đơn bán</v>
          </cell>
          <cell r="K745" t="str">
            <v>SAKUKO808018</v>
          </cell>
          <cell r="L745" t="str">
            <v>CHĂM SÓC SẮC ĐẸP</v>
          </cell>
          <cell r="M745" t="str">
            <v>CHĂM SÓC DA</v>
          </cell>
          <cell r="N745" t="str">
            <v>RỬA MẶT</v>
          </cell>
          <cell r="O745" t="str">
            <v>102412</v>
          </cell>
          <cell r="P745" t="str">
            <v>4902468802126</v>
          </cell>
          <cell r="Q745" t="str">
            <v>MEISHOKU- SRM ngăn ngừa mụn Bigan 80g</v>
          </cell>
          <cell r="R745">
            <v>255000</v>
          </cell>
          <cell r="S745">
            <v>1</v>
          </cell>
          <cell r="T745">
            <v>255000</v>
          </cell>
          <cell r="U745">
            <v>20400</v>
          </cell>
          <cell r="V745">
            <v>234600</v>
          </cell>
          <cell r="W745" t="str">
            <v>4902468802126</v>
          </cell>
        </row>
        <row r="746">
          <cell r="A746">
            <v>2026</v>
          </cell>
          <cell r="B746">
            <v>6</v>
          </cell>
          <cell r="C746">
            <v>46185</v>
          </cell>
          <cell r="D746" t="str">
            <v>1. SKK store</v>
          </cell>
          <cell r="E746" t="str">
            <v>S1006</v>
          </cell>
          <cell r="F746" t="str">
            <v>SKK Trần Đăng Ninh</v>
          </cell>
          <cell r="G746" t="str">
            <v>0967066888</v>
          </cell>
          <cell r="H746" t="str">
            <v>CHI XUAN</v>
          </cell>
          <cell r="I746" t="str">
            <v>Khách cũ</v>
          </cell>
          <cell r="J746" t="str">
            <v>Đơn bán</v>
          </cell>
          <cell r="K746" t="str">
            <v>SAKUKO807689</v>
          </cell>
          <cell r="L746" t="str">
            <v>THỰC PHẨM</v>
          </cell>
          <cell r="M746" t="str">
            <v>MỲ, MIẾN</v>
          </cell>
          <cell r="N746" t="str">
            <v>MỲ ĂN LIỀN</v>
          </cell>
          <cell r="O746" t="str">
            <v>154198</v>
          </cell>
          <cell r="P746" t="str">
            <v>4979397000145</v>
          </cell>
          <cell r="Q746" t="str">
            <v>YAMAMOTO_Mì ramen ăn liền vị miso 90g*5</v>
          </cell>
          <cell r="R746">
            <v>99000</v>
          </cell>
          <cell r="S746">
            <v>1</v>
          </cell>
          <cell r="T746">
            <v>99000</v>
          </cell>
          <cell r="U746">
            <v>0</v>
          </cell>
          <cell r="V746">
            <v>99000</v>
          </cell>
          <cell r="W746" t="str">
            <v>4979397000145</v>
          </cell>
        </row>
        <row r="747">
          <cell r="A747">
            <v>2026</v>
          </cell>
          <cell r="B747">
            <v>6</v>
          </cell>
          <cell r="C747">
            <v>46185</v>
          </cell>
          <cell r="D747" t="str">
            <v>1. SKK store</v>
          </cell>
          <cell r="E747" t="str">
            <v>S1008</v>
          </cell>
          <cell r="F747" t="str">
            <v>SKK  Hàng Bông</v>
          </cell>
          <cell r="G747" t="str">
            <v>0932412082</v>
          </cell>
          <cell r="H747" t="str">
            <v>c ngọc</v>
          </cell>
          <cell r="I747" t="str">
            <v>Khách cũ</v>
          </cell>
          <cell r="J747" t="str">
            <v>Đơn bán</v>
          </cell>
          <cell r="K747" t="str">
            <v>SAKUKO807883</v>
          </cell>
          <cell r="L747" t="str">
            <v>CHĂM SÓC SẮC ĐẸP</v>
          </cell>
          <cell r="M747" t="str">
            <v>CHĂM SÓC DA</v>
          </cell>
          <cell r="N747" t="str">
            <v>RỬA MẶT</v>
          </cell>
          <cell r="O747" t="str">
            <v>230269</v>
          </cell>
          <cell r="P747" t="str">
            <v>4987241173242</v>
          </cell>
          <cell r="Q747" t="str">
            <v>ROHTO- SRM Melano CC mờ thâm nám (130g)</v>
          </cell>
          <cell r="R747">
            <v>294000</v>
          </cell>
          <cell r="S747">
            <v>2</v>
          </cell>
          <cell r="T747">
            <v>588000</v>
          </cell>
          <cell r="U747">
            <v>235200</v>
          </cell>
          <cell r="V747">
            <v>352800</v>
          </cell>
          <cell r="W747" t="str">
            <v>4987241173242</v>
          </cell>
        </row>
        <row r="748">
          <cell r="A748">
            <v>2026</v>
          </cell>
          <cell r="B748">
            <v>6</v>
          </cell>
          <cell r="C748">
            <v>46185</v>
          </cell>
          <cell r="D748" t="str">
            <v>1. SKK store</v>
          </cell>
          <cell r="E748" t="str">
            <v>S1015</v>
          </cell>
          <cell r="F748" t="str">
            <v>SKK Hàm Nghi</v>
          </cell>
          <cell r="G748" t="str">
            <v>0779637729</v>
          </cell>
          <cell r="H748" t="str">
            <v>C NHẬT</v>
          </cell>
          <cell r="I748" t="str">
            <v>Khách cũ</v>
          </cell>
          <cell r="J748" t="str">
            <v>Đơn bán</v>
          </cell>
          <cell r="K748" t="str">
            <v>SAKUKO807807</v>
          </cell>
          <cell r="L748" t="str">
            <v>THỰC PHẨM</v>
          </cell>
          <cell r="M748" t="str">
            <v>MỲ, MIẾN</v>
          </cell>
          <cell r="N748" t="str">
            <v>MỲ CHẾ BIẾN</v>
          </cell>
          <cell r="O748" t="str">
            <v>174948</v>
          </cell>
          <cell r="P748" t="str">
            <v>4582114354119</v>
          </cell>
          <cell r="Q748" t="str">
            <v>SANUKISHISEI- Mì soumen 300g</v>
          </cell>
          <cell r="R748">
            <v>35000</v>
          </cell>
          <cell r="S748">
            <v>2</v>
          </cell>
          <cell r="T748">
            <v>70000</v>
          </cell>
          <cell r="U748">
            <v>0</v>
          </cell>
          <cell r="V748">
            <v>70000</v>
          </cell>
          <cell r="W748" t="str">
            <v>4582114354119</v>
          </cell>
        </row>
        <row r="749">
          <cell r="A749">
            <v>2026</v>
          </cell>
          <cell r="B749">
            <v>6</v>
          </cell>
          <cell r="C749">
            <v>46185</v>
          </cell>
          <cell r="D749" t="str">
            <v>1. SKK store</v>
          </cell>
          <cell r="E749" t="str">
            <v>S1015</v>
          </cell>
          <cell r="F749" t="str">
            <v>SKK Hàm Nghi</v>
          </cell>
          <cell r="G749" t="str">
            <v>0843221111</v>
          </cell>
          <cell r="H749" t="str">
            <v>Chị Hà</v>
          </cell>
          <cell r="I749" t="str">
            <v>Khách cũ</v>
          </cell>
          <cell r="J749" t="str">
            <v>Đơn bán</v>
          </cell>
          <cell r="K749" t="str">
            <v>SAKUKO808409</v>
          </cell>
          <cell r="L749" t="str">
            <v>ĐỒ CHO MẸ BÉ</v>
          </cell>
          <cell r="M749" t="str">
            <v>GIẤY ƯỚT</v>
          </cell>
          <cell r="N749" t="str">
            <v>GIẤY ƯỚT CHO BÉ</v>
          </cell>
          <cell r="O749" t="str">
            <v>121677</v>
          </cell>
          <cell r="P749" t="str">
            <v>8801260608836</v>
          </cell>
          <cell r="Q749" t="str">
            <v>KLEANNARA- Khăn ướt 5 tinh chất (có nắp) 100 tờ</v>
          </cell>
          <cell r="R749">
            <v>52000</v>
          </cell>
          <cell r="S749">
            <v>1</v>
          </cell>
          <cell r="T749">
            <v>52000</v>
          </cell>
          <cell r="U749">
            <v>0</v>
          </cell>
          <cell r="V749">
            <v>52000</v>
          </cell>
          <cell r="W749" t="str">
            <v>8801260608836</v>
          </cell>
        </row>
        <row r="750">
          <cell r="A750">
            <v>2026</v>
          </cell>
          <cell r="B750">
            <v>6</v>
          </cell>
          <cell r="C750">
            <v>46185</v>
          </cell>
          <cell r="D750" t="str">
            <v>1. SKK store</v>
          </cell>
          <cell r="E750" t="str">
            <v>S1015</v>
          </cell>
          <cell r="F750" t="str">
            <v>SKK Hàm Nghi</v>
          </cell>
          <cell r="G750" t="str">
            <v>0979751768</v>
          </cell>
          <cell r="H750" t="str">
            <v>Chị Nhất</v>
          </cell>
          <cell r="I750" t="str">
            <v>Khách cũ</v>
          </cell>
          <cell r="J750" t="str">
            <v>Đơn bán</v>
          </cell>
          <cell r="K750" t="str">
            <v>SAKUKO807595</v>
          </cell>
          <cell r="L750" t="str">
            <v>CHĂM SÓC SẮC ĐẸP</v>
          </cell>
          <cell r="M750" t="str">
            <v>CHĂM SÓC DA</v>
          </cell>
          <cell r="N750" t="str">
            <v>RỬA MẶT</v>
          </cell>
          <cell r="O750" t="str">
            <v>102412</v>
          </cell>
          <cell r="P750" t="str">
            <v>4902468802126</v>
          </cell>
          <cell r="Q750" t="str">
            <v>MEISHOKU- SRM ngăn ngừa mụn Bigan 80g</v>
          </cell>
          <cell r="R750">
            <v>255000</v>
          </cell>
          <cell r="S750">
            <v>1</v>
          </cell>
          <cell r="T750">
            <v>255000</v>
          </cell>
          <cell r="U750">
            <v>20400</v>
          </cell>
          <cell r="V750">
            <v>234600</v>
          </cell>
          <cell r="W750" t="str">
            <v>4902468802126</v>
          </cell>
        </row>
        <row r="751">
          <cell r="A751">
            <v>2026</v>
          </cell>
          <cell r="B751">
            <v>6</v>
          </cell>
          <cell r="C751">
            <v>46184</v>
          </cell>
          <cell r="D751" t="str">
            <v>1. SKK store</v>
          </cell>
          <cell r="E751" t="str">
            <v>S1004</v>
          </cell>
          <cell r="F751" t="str">
            <v>SKK  Mandarin C1</v>
          </cell>
          <cell r="G751" t="str">
            <v>0914627497</v>
          </cell>
          <cell r="H751" t="str">
            <v>chị Hồng</v>
          </cell>
          <cell r="I751" t="str">
            <v>Khách cũ</v>
          </cell>
          <cell r="J751" t="str">
            <v>Đơn bán</v>
          </cell>
          <cell r="K751" t="str">
            <v>SAKUKO806668</v>
          </cell>
          <cell r="L751" t="str">
            <v>THỰC PHẨM</v>
          </cell>
          <cell r="M751" t="str">
            <v>BÁNH KẸO, ĐỒ ĂN VẶT</v>
          </cell>
          <cell r="N751" t="str">
            <v>KẸO CAO SU</v>
          </cell>
          <cell r="O751" t="str">
            <v>154105</v>
          </cell>
          <cell r="P751" t="str">
            <v>4547894156612</v>
          </cell>
          <cell r="Q751" t="str">
            <v>MONDELEZ JAPAN - Kẹo cao su 112g</v>
          </cell>
          <cell r="R751">
            <v>235000</v>
          </cell>
          <cell r="S751">
            <v>1</v>
          </cell>
          <cell r="T751">
            <v>235000</v>
          </cell>
          <cell r="U751">
            <v>0</v>
          </cell>
          <cell r="V751">
            <v>235000</v>
          </cell>
          <cell r="W751" t="str">
            <v>4547894156612</v>
          </cell>
        </row>
        <row r="752">
          <cell r="A752">
            <v>2026</v>
          </cell>
          <cell r="B752">
            <v>6</v>
          </cell>
          <cell r="C752">
            <v>46184</v>
          </cell>
          <cell r="D752" t="str">
            <v>1. SKK store</v>
          </cell>
          <cell r="E752" t="str">
            <v>S1004</v>
          </cell>
          <cell r="F752" t="str">
            <v>SKK  Mandarin C1</v>
          </cell>
          <cell r="G752" t="str">
            <v>0919618323</v>
          </cell>
          <cell r="H752" t="str">
            <v>Cô Tâm</v>
          </cell>
          <cell r="I752" t="str">
            <v>Khách cũ</v>
          </cell>
          <cell r="J752" t="str">
            <v>Đơn bán</v>
          </cell>
          <cell r="K752" t="str">
            <v>SAKUKO807501</v>
          </cell>
          <cell r="L752" t="str">
            <v>THỰC PHẨM</v>
          </cell>
          <cell r="M752" t="str">
            <v>MỲ, MIẾN</v>
          </cell>
          <cell r="N752" t="str">
            <v>MỲ CHẾ BIẾN</v>
          </cell>
          <cell r="O752" t="str">
            <v>175435</v>
          </cell>
          <cell r="P752" t="str">
            <v>4901726014752</v>
          </cell>
          <cell r="Q752" t="str">
            <v>ITSUKI FOODS- Mì soumen rau củ ngũ sắc320g</v>
          </cell>
          <cell r="R752">
            <v>76000</v>
          </cell>
          <cell r="S752">
            <v>1</v>
          </cell>
          <cell r="T752">
            <v>76000</v>
          </cell>
          <cell r="U752">
            <v>0</v>
          </cell>
          <cell r="V752">
            <v>76000</v>
          </cell>
          <cell r="W752" t="str">
            <v>4901726014752</v>
          </cell>
        </row>
        <row r="753">
          <cell r="A753">
            <v>2026</v>
          </cell>
          <cell r="B753">
            <v>6</v>
          </cell>
          <cell r="C753">
            <v>46184</v>
          </cell>
          <cell r="D753" t="str">
            <v>1. SKK store</v>
          </cell>
          <cell r="E753" t="str">
            <v>S1005</v>
          </cell>
          <cell r="F753" t="str">
            <v>SKK  Thái Hà</v>
          </cell>
          <cell r="G753" t="str">
            <v>02466810505</v>
          </cell>
          <cell r="H753" t="str">
            <v>klth</v>
          </cell>
          <cell r="I753" t="str">
            <v>Khách vãng lai</v>
          </cell>
          <cell r="J753" t="str">
            <v>Đơn bán</v>
          </cell>
          <cell r="K753" t="str">
            <v>SAKUKO806572</v>
          </cell>
          <cell r="L753" t="str">
            <v>THỰC PHẨM</v>
          </cell>
          <cell r="M753" t="str">
            <v>BÁNH KẸO, ĐỒ ĂN VẶT</v>
          </cell>
          <cell r="N753" t="str">
            <v>KẸO CAO SU</v>
          </cell>
          <cell r="O753" t="str">
            <v>153932</v>
          </cell>
          <cell r="P753" t="str">
            <v>4903333241651</v>
          </cell>
          <cell r="Q753" t="str">
            <v>LOTTE - Kẹo cao su black black ít đường 133g</v>
          </cell>
          <cell r="R753">
            <v>235000</v>
          </cell>
          <cell r="S753">
            <v>1</v>
          </cell>
          <cell r="T753">
            <v>235000</v>
          </cell>
          <cell r="U753">
            <v>0</v>
          </cell>
          <cell r="V753">
            <v>235000</v>
          </cell>
          <cell r="W753" t="str">
            <v>4903333241651</v>
          </cell>
        </row>
        <row r="754">
          <cell r="A754">
            <v>2026</v>
          </cell>
          <cell r="B754">
            <v>6</v>
          </cell>
          <cell r="C754">
            <v>46184</v>
          </cell>
          <cell r="D754" t="str">
            <v>1. SKK store</v>
          </cell>
          <cell r="E754" t="str">
            <v>S1005</v>
          </cell>
          <cell r="F754" t="str">
            <v>SKK  Thái Hà</v>
          </cell>
          <cell r="G754" t="str">
            <v>0901735358</v>
          </cell>
          <cell r="H754" t="str">
            <v>Chị Tiên</v>
          </cell>
          <cell r="I754" t="str">
            <v>Khách cũ</v>
          </cell>
          <cell r="J754" t="str">
            <v>Đơn bán</v>
          </cell>
          <cell r="K754" t="str">
            <v>SAKUKO807016</v>
          </cell>
          <cell r="L754" t="str">
            <v>THỰC PHẨM</v>
          </cell>
          <cell r="M754" t="str">
            <v>MỲ, MIẾN</v>
          </cell>
          <cell r="N754" t="str">
            <v>MỲ CHẾ BIẾN</v>
          </cell>
          <cell r="O754" t="str">
            <v>174948</v>
          </cell>
          <cell r="P754" t="str">
            <v>4582114354119</v>
          </cell>
          <cell r="Q754" t="str">
            <v>SANUKISHISEI- Mì soumen 300g</v>
          </cell>
          <cell r="R754">
            <v>35000</v>
          </cell>
          <cell r="S754">
            <v>1</v>
          </cell>
          <cell r="T754">
            <v>35000</v>
          </cell>
          <cell r="U754">
            <v>0</v>
          </cell>
          <cell r="V754">
            <v>35000</v>
          </cell>
          <cell r="W754" t="str">
            <v>4582114354119</v>
          </cell>
        </row>
        <row r="755">
          <cell r="A755">
            <v>2026</v>
          </cell>
          <cell r="B755">
            <v>6</v>
          </cell>
          <cell r="C755">
            <v>46184</v>
          </cell>
          <cell r="D755" t="str">
            <v>1. SKK store</v>
          </cell>
          <cell r="E755" t="str">
            <v>S1005</v>
          </cell>
          <cell r="F755" t="str">
            <v>SKK  Thái Hà</v>
          </cell>
          <cell r="G755" t="str">
            <v>0901735358</v>
          </cell>
          <cell r="H755" t="str">
            <v>Chị Tiên</v>
          </cell>
          <cell r="I755" t="str">
            <v>Khách cũ</v>
          </cell>
          <cell r="J755" t="str">
            <v>Đơn bán</v>
          </cell>
          <cell r="K755" t="str">
            <v>SAKUKO807016</v>
          </cell>
          <cell r="L755" t="str">
            <v>THỰC PHẨM</v>
          </cell>
          <cell r="M755" t="str">
            <v>MỲ, MIẾN</v>
          </cell>
          <cell r="N755" t="str">
            <v>MỲ CHẾ BIẾN</v>
          </cell>
          <cell r="O755" t="str">
            <v>175435</v>
          </cell>
          <cell r="P755" t="str">
            <v>4901726014752</v>
          </cell>
          <cell r="Q755" t="str">
            <v>ITSUKI FOODS- Mì soumen rau củ ngũ sắc320g</v>
          </cell>
          <cell r="R755">
            <v>76000</v>
          </cell>
          <cell r="S755">
            <v>1</v>
          </cell>
          <cell r="T755">
            <v>76000</v>
          </cell>
          <cell r="U755">
            <v>0</v>
          </cell>
          <cell r="V755">
            <v>76000</v>
          </cell>
          <cell r="W755" t="str">
            <v>4901726014752</v>
          </cell>
        </row>
        <row r="756">
          <cell r="A756">
            <v>2026</v>
          </cell>
          <cell r="B756">
            <v>6</v>
          </cell>
          <cell r="C756">
            <v>46184</v>
          </cell>
          <cell r="D756" t="str">
            <v>1. SKK store</v>
          </cell>
          <cell r="E756" t="str">
            <v>S1005</v>
          </cell>
          <cell r="F756" t="str">
            <v>SKK  Thái Hà</v>
          </cell>
          <cell r="G756" t="str">
            <v>0903205225</v>
          </cell>
          <cell r="H756" t="str">
            <v>C TU</v>
          </cell>
          <cell r="I756" t="str">
            <v>Khách cũ</v>
          </cell>
          <cell r="J756" t="str">
            <v>Đơn bán</v>
          </cell>
          <cell r="K756" t="str">
            <v>SAKUKO806863</v>
          </cell>
          <cell r="L756" t="str">
            <v>CHĂM SÓC SẮC ĐẸP</v>
          </cell>
          <cell r="M756" t="str">
            <v>CHĂM SÓC DA</v>
          </cell>
          <cell r="N756" t="str">
            <v>CHĂM SÓC DA KHÁC</v>
          </cell>
          <cell r="O756" t="str">
            <v>102387</v>
          </cell>
          <cell r="P756" t="str">
            <v>8935006542907</v>
          </cell>
          <cell r="Q756" t="str">
            <v>HADA LABO- Bộ sản phẩm dưỡng ẩm (travel kit)47g</v>
          </cell>
          <cell r="R756">
            <v>129000</v>
          </cell>
          <cell r="S756">
            <v>1</v>
          </cell>
          <cell r="T756">
            <v>129000</v>
          </cell>
          <cell r="U756">
            <v>20000</v>
          </cell>
          <cell r="V756">
            <v>109000</v>
          </cell>
          <cell r="W756" t="str">
            <v>8935006542907</v>
          </cell>
        </row>
        <row r="757">
          <cell r="A757">
            <v>2026</v>
          </cell>
          <cell r="B757">
            <v>6</v>
          </cell>
          <cell r="C757">
            <v>46184</v>
          </cell>
          <cell r="D757" t="str">
            <v>1. SKK store</v>
          </cell>
          <cell r="E757" t="str">
            <v>S1005</v>
          </cell>
          <cell r="F757" t="str">
            <v>SKK  Thái Hà</v>
          </cell>
          <cell r="G757" t="str">
            <v>0913573271</v>
          </cell>
          <cell r="H757" t="str">
            <v>Chị Hiền</v>
          </cell>
          <cell r="I757" t="str">
            <v>Khách cũ</v>
          </cell>
          <cell r="J757" t="str">
            <v>Đơn bán</v>
          </cell>
          <cell r="K757" t="str">
            <v>SAKUKO806330</v>
          </cell>
          <cell r="L757" t="str">
            <v>THỰC PHẨM</v>
          </cell>
          <cell r="M757" t="str">
            <v>BÁNH KẸO, ĐỒ ĂN VẶT</v>
          </cell>
          <cell r="N757" t="str">
            <v>KẸO CAO SU</v>
          </cell>
          <cell r="O757" t="str">
            <v>153932</v>
          </cell>
          <cell r="P757" t="str">
            <v>4903333241651</v>
          </cell>
          <cell r="Q757" t="str">
            <v>LOTTE - Kẹo cao su black black ít đường 133g</v>
          </cell>
          <cell r="R757">
            <v>235000</v>
          </cell>
          <cell r="S757">
            <v>1</v>
          </cell>
          <cell r="T757">
            <v>235000</v>
          </cell>
          <cell r="U757">
            <v>0</v>
          </cell>
          <cell r="V757">
            <v>235000</v>
          </cell>
          <cell r="W757" t="str">
            <v>4903333241651</v>
          </cell>
        </row>
        <row r="758">
          <cell r="A758">
            <v>2026</v>
          </cell>
          <cell r="B758">
            <v>6</v>
          </cell>
          <cell r="C758">
            <v>46184</v>
          </cell>
          <cell r="D758" t="str">
            <v>1. SKK store</v>
          </cell>
          <cell r="E758" t="str">
            <v>S1005</v>
          </cell>
          <cell r="F758" t="str">
            <v>SKK  Thái Hà</v>
          </cell>
          <cell r="G758" t="str">
            <v>0939902222</v>
          </cell>
          <cell r="H758" t="str">
            <v>c ánh</v>
          </cell>
          <cell r="I758" t="str">
            <v>Khách mới</v>
          </cell>
          <cell r="J758" t="str">
            <v>Đơn bán</v>
          </cell>
          <cell r="K758" t="str">
            <v>SAKUKO806500</v>
          </cell>
          <cell r="L758" t="str">
            <v>THỰC PHẨM</v>
          </cell>
          <cell r="M758" t="str">
            <v>BÁNH KẸO, ĐỒ ĂN VẶT</v>
          </cell>
          <cell r="N758" t="str">
            <v>KẸO CAO SU</v>
          </cell>
          <cell r="O758" t="str">
            <v>231377</v>
          </cell>
          <cell r="P758" t="str">
            <v>4903333200375</v>
          </cell>
          <cell r="Q758" t="str">
            <v>LOTTE-Kẹo cao su tổng hợp dạng lọ 114g</v>
          </cell>
          <cell r="R758">
            <v>235000</v>
          </cell>
          <cell r="S758">
            <v>1</v>
          </cell>
          <cell r="T758">
            <v>235000</v>
          </cell>
          <cell r="U758">
            <v>0</v>
          </cell>
          <cell r="V758">
            <v>235000</v>
          </cell>
          <cell r="W758" t="str">
            <v>4903333200375</v>
          </cell>
        </row>
        <row r="759">
          <cell r="A759">
            <v>2026</v>
          </cell>
          <cell r="B759">
            <v>6</v>
          </cell>
          <cell r="C759">
            <v>46184</v>
          </cell>
          <cell r="D759" t="str">
            <v>1. SKK store</v>
          </cell>
          <cell r="E759" t="str">
            <v>S1005</v>
          </cell>
          <cell r="F759" t="str">
            <v>SKK  Thái Hà</v>
          </cell>
          <cell r="G759" t="str">
            <v>0978885770</v>
          </cell>
          <cell r="H759" t="str">
            <v>chị Mỵ</v>
          </cell>
          <cell r="I759" t="str">
            <v>Khách cũ</v>
          </cell>
          <cell r="J759" t="str">
            <v>Đơn bán</v>
          </cell>
          <cell r="K759" t="str">
            <v>SAKUKO807102</v>
          </cell>
          <cell r="L759" t="str">
            <v>CHĂM SÓC SẮC ĐẸP</v>
          </cell>
          <cell r="M759" t="str">
            <v>CHĂM SÓC DA</v>
          </cell>
          <cell r="N759" t="str">
            <v>RỬA MẶT</v>
          </cell>
          <cell r="O759" t="str">
            <v>230269</v>
          </cell>
          <cell r="P759" t="str">
            <v>4987241173242</v>
          </cell>
          <cell r="Q759" t="str">
            <v>ROHTO- SRM Melano CC mờ thâm nám (130g)</v>
          </cell>
          <cell r="R759">
            <v>294000</v>
          </cell>
          <cell r="S759">
            <v>1</v>
          </cell>
          <cell r="T759">
            <v>294000</v>
          </cell>
          <cell r="U759">
            <v>117600</v>
          </cell>
          <cell r="V759">
            <v>176400</v>
          </cell>
          <cell r="W759" t="str">
            <v>4987241173242</v>
          </cell>
        </row>
        <row r="760">
          <cell r="A760">
            <v>2026</v>
          </cell>
          <cell r="B760">
            <v>6</v>
          </cell>
          <cell r="C760">
            <v>46184</v>
          </cell>
          <cell r="D760" t="str">
            <v>1. SKK store</v>
          </cell>
          <cell r="E760" t="str">
            <v>S1006</v>
          </cell>
          <cell r="F760" t="str">
            <v>SKK Trần Đăng Ninh</v>
          </cell>
          <cell r="G760" t="str">
            <v>0364781991</v>
          </cell>
          <cell r="H760" t="str">
            <v>anh dũng</v>
          </cell>
          <cell r="I760" t="str">
            <v>Khách cũ</v>
          </cell>
          <cell r="J760" t="str">
            <v>Đơn bán</v>
          </cell>
          <cell r="K760" t="str">
            <v>SAKUKO807229</v>
          </cell>
          <cell r="L760" t="str">
            <v>CHĂM SÓC SẮC ĐẸP</v>
          </cell>
          <cell r="M760" t="str">
            <v>CHĂM SÓC DA</v>
          </cell>
          <cell r="N760" t="str">
            <v>RỬA MẶT</v>
          </cell>
          <cell r="O760" t="str">
            <v>230849</v>
          </cell>
          <cell r="P760" t="str">
            <v>4902806102048</v>
          </cell>
          <cell r="Q760" t="str">
            <v>GATSBY- SRM than hoạt tính sạch sâu 130g</v>
          </cell>
          <cell r="R760">
            <v>125000</v>
          </cell>
          <cell r="S760">
            <v>1</v>
          </cell>
          <cell r="T760">
            <v>125000</v>
          </cell>
          <cell r="U760">
            <v>12500</v>
          </cell>
          <cell r="V760">
            <v>112500</v>
          </cell>
          <cell r="W760" t="str">
            <v>4902806102048</v>
          </cell>
        </row>
        <row r="761">
          <cell r="A761">
            <v>2026</v>
          </cell>
          <cell r="B761">
            <v>6</v>
          </cell>
          <cell r="C761">
            <v>46184</v>
          </cell>
          <cell r="D761" t="str">
            <v>1. SKK store</v>
          </cell>
          <cell r="E761" t="str">
            <v>S1006</v>
          </cell>
          <cell r="F761" t="str">
            <v>SKK Trần Đăng Ninh</v>
          </cell>
          <cell r="G761" t="str">
            <v>0917291694</v>
          </cell>
          <cell r="H761" t="str">
            <v>Doãn Thị Chín</v>
          </cell>
          <cell r="I761" t="str">
            <v>Khách mới</v>
          </cell>
          <cell r="J761" t="str">
            <v>Đơn bán</v>
          </cell>
          <cell r="K761" t="str">
            <v>SAKUKO806790</v>
          </cell>
          <cell r="L761" t="str">
            <v>THỰC PHẨM</v>
          </cell>
          <cell r="M761" t="str">
            <v>MỲ, MIẾN</v>
          </cell>
          <cell r="N761" t="str">
            <v>MỲ ĂN LIỀN</v>
          </cell>
          <cell r="O761" t="str">
            <v>154333</v>
          </cell>
          <cell r="P761" t="str">
            <v>4901990325547</v>
          </cell>
          <cell r="Q761" t="str">
            <v>MARUCHAN-Mì hộp ramen hoành thánh nước tương 117g</v>
          </cell>
          <cell r="R761">
            <v>45000</v>
          </cell>
          <cell r="S761">
            <v>2</v>
          </cell>
          <cell r="T761">
            <v>90000</v>
          </cell>
          <cell r="U761">
            <v>0</v>
          </cell>
          <cell r="V761">
            <v>90000</v>
          </cell>
          <cell r="W761" t="str">
            <v>4901990325547</v>
          </cell>
        </row>
        <row r="762">
          <cell r="A762">
            <v>2026</v>
          </cell>
          <cell r="B762">
            <v>6</v>
          </cell>
          <cell r="C762">
            <v>46184</v>
          </cell>
          <cell r="D762" t="str">
            <v>1. SKK store</v>
          </cell>
          <cell r="E762" t="str">
            <v>S1006</v>
          </cell>
          <cell r="F762" t="str">
            <v>SKK Trần Đăng Ninh</v>
          </cell>
          <cell r="G762" t="str">
            <v>0932396999</v>
          </cell>
          <cell r="H762" t="str">
            <v>chị nga</v>
          </cell>
          <cell r="I762" t="str">
            <v>Khách cũ</v>
          </cell>
          <cell r="J762" t="str">
            <v>Đơn bán</v>
          </cell>
          <cell r="K762" t="str">
            <v>SAKUKO807239</v>
          </cell>
          <cell r="L762" t="str">
            <v>CHĂM SÓC SẮC ĐẸP</v>
          </cell>
          <cell r="M762" t="str">
            <v>CHĂM SÓC DA</v>
          </cell>
          <cell r="N762" t="str">
            <v>RỬA MẶT</v>
          </cell>
          <cell r="O762" t="str">
            <v>230849</v>
          </cell>
          <cell r="P762" t="str">
            <v>4902806102048</v>
          </cell>
          <cell r="Q762" t="str">
            <v>GATSBY- SRM than hoạt tính sạch sâu 130g</v>
          </cell>
          <cell r="R762">
            <v>125000</v>
          </cell>
          <cell r="S762">
            <v>2</v>
          </cell>
          <cell r="T762">
            <v>250000</v>
          </cell>
          <cell r="U762">
            <v>25000</v>
          </cell>
          <cell r="V762">
            <v>225000</v>
          </cell>
          <cell r="W762" t="str">
            <v>4902806102048</v>
          </cell>
        </row>
        <row r="763">
          <cell r="A763">
            <v>2026</v>
          </cell>
          <cell r="B763">
            <v>6</v>
          </cell>
          <cell r="C763">
            <v>46184</v>
          </cell>
          <cell r="D763" t="str">
            <v>1. SKK store</v>
          </cell>
          <cell r="E763" t="str">
            <v>S1006</v>
          </cell>
          <cell r="F763" t="str">
            <v>SKK Trần Đăng Ninh</v>
          </cell>
          <cell r="G763" t="str">
            <v>0972199967</v>
          </cell>
          <cell r="H763" t="str">
            <v>CHị TRần TUyết TRinh</v>
          </cell>
          <cell r="I763" t="str">
            <v>Khách cũ</v>
          </cell>
          <cell r="J763" t="str">
            <v>Đơn bán</v>
          </cell>
          <cell r="K763" t="str">
            <v>SAKUKO806588</v>
          </cell>
          <cell r="L763" t="str">
            <v>NHÀ CỬA ĐỜI SỐNG</v>
          </cell>
          <cell r="M763" t="str">
            <v>ĐỒ DÙNG SINH HOẠT GIA ĐÌNH</v>
          </cell>
          <cell r="N763" t="str">
            <v>VẬT DỤNG SINH HOẠT KHÁC</v>
          </cell>
          <cell r="O763" t="str">
            <v>135039</v>
          </cell>
          <cell r="P763" t="str">
            <v>4968988074993</v>
          </cell>
          <cell r="Q763" t="str">
            <v>OMAICHI- Set 2 lọ chiết mỹ phẩm 40ml kèm hộp đựng</v>
          </cell>
          <cell r="R763">
            <v>52000</v>
          </cell>
          <cell r="S763">
            <v>1</v>
          </cell>
          <cell r="T763">
            <v>52000</v>
          </cell>
          <cell r="U763">
            <v>0</v>
          </cell>
          <cell r="V763">
            <v>52000</v>
          </cell>
          <cell r="W763" t="str">
            <v>4968988074993</v>
          </cell>
        </row>
        <row r="764">
          <cell r="A764">
            <v>2026</v>
          </cell>
          <cell r="B764">
            <v>6</v>
          </cell>
          <cell r="C764">
            <v>46184</v>
          </cell>
          <cell r="D764" t="str">
            <v>1. SKK store</v>
          </cell>
          <cell r="E764" t="str">
            <v>S1006</v>
          </cell>
          <cell r="F764" t="str">
            <v>SKK Trần Đăng Ninh</v>
          </cell>
          <cell r="G764" t="str">
            <v>0987628248</v>
          </cell>
          <cell r="H764" t="str">
            <v>Chị Nguyễn Thị Phương Thanh</v>
          </cell>
          <cell r="I764" t="str">
            <v>Khách cũ</v>
          </cell>
          <cell r="J764" t="str">
            <v>Đơn bán</v>
          </cell>
          <cell r="K764" t="str">
            <v>SAKUKO806999</v>
          </cell>
          <cell r="L764" t="str">
            <v>THỰC PHẨM</v>
          </cell>
          <cell r="M764" t="str">
            <v>MỲ, MIẾN</v>
          </cell>
          <cell r="N764" t="str">
            <v>MỲ ĂN LIỀN</v>
          </cell>
          <cell r="O764" t="str">
            <v>154198</v>
          </cell>
          <cell r="P764" t="str">
            <v>4979397000145</v>
          </cell>
          <cell r="Q764" t="str">
            <v>YAMAMOTO_Mì ramen ăn liền vị miso 90g*5</v>
          </cell>
          <cell r="R764">
            <v>99000</v>
          </cell>
          <cell r="S764">
            <v>1</v>
          </cell>
          <cell r="T764">
            <v>99000</v>
          </cell>
          <cell r="U764">
            <v>0</v>
          </cell>
          <cell r="V764">
            <v>99000</v>
          </cell>
          <cell r="W764" t="str">
            <v>4979397000145</v>
          </cell>
        </row>
        <row r="765">
          <cell r="A765">
            <v>2026</v>
          </cell>
          <cell r="B765">
            <v>6</v>
          </cell>
          <cell r="C765">
            <v>46184</v>
          </cell>
          <cell r="D765" t="str">
            <v>1. SKK store</v>
          </cell>
          <cell r="E765" t="str">
            <v>S1007</v>
          </cell>
          <cell r="F765" t="str">
            <v>SKK  Nguyễn Du</v>
          </cell>
          <cell r="G765" t="str">
            <v>0862954339</v>
          </cell>
          <cell r="H765" t="str">
            <v>Klnd</v>
          </cell>
          <cell r="I765" t="str">
            <v>Khách vãng lai</v>
          </cell>
          <cell r="J765" t="str">
            <v>Đơn bán</v>
          </cell>
          <cell r="K765" t="str">
            <v>SAKUKO806422</v>
          </cell>
          <cell r="L765" t="str">
            <v>ĐỒ CHO MẸ BÉ</v>
          </cell>
          <cell r="M765" t="str">
            <v>GIẤY ƯỚT</v>
          </cell>
          <cell r="N765" t="str">
            <v>GIẤY ƯỚT CHO BÉ</v>
          </cell>
          <cell r="O765" t="str">
            <v>121677</v>
          </cell>
          <cell r="P765" t="str">
            <v>8801260608836</v>
          </cell>
          <cell r="Q765" t="str">
            <v>KLEANNARA- Khăn ướt 5 tinh chất (có nắp) 100 tờ</v>
          </cell>
          <cell r="R765">
            <v>52000</v>
          </cell>
          <cell r="S765">
            <v>1</v>
          </cell>
          <cell r="T765">
            <v>52000</v>
          </cell>
          <cell r="U765">
            <v>0</v>
          </cell>
          <cell r="V765">
            <v>52000</v>
          </cell>
          <cell r="W765" t="str">
            <v>8801260608836</v>
          </cell>
        </row>
        <row r="766">
          <cell r="A766">
            <v>2026</v>
          </cell>
          <cell r="B766">
            <v>6</v>
          </cell>
          <cell r="C766">
            <v>46184</v>
          </cell>
          <cell r="D766" t="str">
            <v>1. SKK store</v>
          </cell>
          <cell r="E766" t="str">
            <v>S1007</v>
          </cell>
          <cell r="F766" t="str">
            <v>SKK  Nguyễn Du</v>
          </cell>
          <cell r="G766" t="str">
            <v>0915560999</v>
          </cell>
          <cell r="H766" t="str">
            <v>chị Hải</v>
          </cell>
          <cell r="I766" t="str">
            <v>Khách mới</v>
          </cell>
          <cell r="J766" t="str">
            <v>Đơn bán</v>
          </cell>
          <cell r="K766" t="str">
            <v>SAKUKO806518</v>
          </cell>
          <cell r="L766" t="str">
            <v>CHĂM SÓC SẮC ĐẸP</v>
          </cell>
          <cell r="M766" t="str">
            <v>CHĂM SÓC DA</v>
          </cell>
          <cell r="N766" t="str">
            <v>CHĂM SÓC DA KHÁC</v>
          </cell>
          <cell r="O766" t="str">
            <v>102387</v>
          </cell>
          <cell r="P766" t="str">
            <v>8935006542907</v>
          </cell>
          <cell r="Q766" t="str">
            <v>HADA LABO- Bộ sản phẩm dưỡng ẩm (travel kit)47g</v>
          </cell>
          <cell r="R766">
            <v>129000</v>
          </cell>
          <cell r="S766">
            <v>1</v>
          </cell>
          <cell r="T766">
            <v>129000</v>
          </cell>
          <cell r="U766">
            <v>20000</v>
          </cell>
          <cell r="V766">
            <v>109000</v>
          </cell>
          <cell r="W766" t="str">
            <v>8935006542907</v>
          </cell>
        </row>
        <row r="767">
          <cell r="A767">
            <v>2026</v>
          </cell>
          <cell r="B767">
            <v>6</v>
          </cell>
          <cell r="C767">
            <v>46184</v>
          </cell>
          <cell r="D767" t="str">
            <v>1. SKK store</v>
          </cell>
          <cell r="E767" t="str">
            <v>S1007</v>
          </cell>
          <cell r="F767" t="str">
            <v>SKK  Nguyễn Du</v>
          </cell>
          <cell r="G767" t="str">
            <v>0964336393</v>
          </cell>
          <cell r="H767" t="str">
            <v>Chú Nguyễn Văn Hưng</v>
          </cell>
          <cell r="I767" t="str">
            <v>Khách cũ</v>
          </cell>
          <cell r="J767" t="str">
            <v>Đơn bán</v>
          </cell>
          <cell r="K767" t="str">
            <v>SAKUKO806341</v>
          </cell>
          <cell r="L767" t="str">
            <v>THỰC PHẨM</v>
          </cell>
          <cell r="M767" t="str">
            <v>MỲ, MIẾN</v>
          </cell>
          <cell r="N767" t="str">
            <v>MỲ CHẾ BIẾN</v>
          </cell>
          <cell r="O767" t="str">
            <v>154249</v>
          </cell>
          <cell r="P767" t="str">
            <v>4517244004627</v>
          </cell>
          <cell r="Q767" t="str">
            <v>ASAHI_Mì udon khô 400g</v>
          </cell>
          <cell r="R767">
            <v>69000</v>
          </cell>
          <cell r="S767">
            <v>1</v>
          </cell>
          <cell r="T767">
            <v>69000</v>
          </cell>
          <cell r="U767">
            <v>0</v>
          </cell>
          <cell r="V767">
            <v>69000</v>
          </cell>
          <cell r="W767" t="str">
            <v>4517244004627</v>
          </cell>
        </row>
        <row r="768">
          <cell r="A768">
            <v>2026</v>
          </cell>
          <cell r="B768">
            <v>6</v>
          </cell>
          <cell r="C768">
            <v>46184</v>
          </cell>
          <cell r="D768" t="str">
            <v>1. SKK store</v>
          </cell>
          <cell r="E768" t="str">
            <v>S1007</v>
          </cell>
          <cell r="F768" t="str">
            <v>SKK  Nguyễn Du</v>
          </cell>
          <cell r="G768" t="str">
            <v>0964336393</v>
          </cell>
          <cell r="H768" t="str">
            <v>Chú Nguyễn Văn Hưng</v>
          </cell>
          <cell r="I768" t="str">
            <v>Khách cũ</v>
          </cell>
          <cell r="J768" t="str">
            <v>Đơn bán</v>
          </cell>
          <cell r="K768" t="str">
            <v>SAKUKO806341</v>
          </cell>
          <cell r="L768" t="str">
            <v>THỰC PHẨM</v>
          </cell>
          <cell r="M768" t="str">
            <v>MỲ, MIẾN</v>
          </cell>
          <cell r="N768" t="str">
            <v>MỲ CHẾ BIẾN</v>
          </cell>
          <cell r="O768" t="str">
            <v>174948</v>
          </cell>
          <cell r="P768" t="str">
            <v>4582114354119</v>
          </cell>
          <cell r="Q768" t="str">
            <v>SANUKISHISEI- Mì soumen 300g</v>
          </cell>
          <cell r="R768">
            <v>35000</v>
          </cell>
          <cell r="S768">
            <v>1</v>
          </cell>
          <cell r="T768">
            <v>35000</v>
          </cell>
          <cell r="U768">
            <v>0</v>
          </cell>
          <cell r="V768">
            <v>35000</v>
          </cell>
          <cell r="W768" t="str">
            <v>4582114354119</v>
          </cell>
        </row>
        <row r="769">
          <cell r="A769">
            <v>2026</v>
          </cell>
          <cell r="B769">
            <v>6</v>
          </cell>
          <cell r="C769">
            <v>46184</v>
          </cell>
          <cell r="D769" t="str">
            <v>1. SKK store</v>
          </cell>
          <cell r="E769" t="str">
            <v>S1007</v>
          </cell>
          <cell r="F769" t="str">
            <v>SKK  Nguyễn Du</v>
          </cell>
          <cell r="G769" t="str">
            <v>0964336393</v>
          </cell>
          <cell r="H769" t="str">
            <v>Chú Nguyễn Văn Hưng</v>
          </cell>
          <cell r="I769" t="str">
            <v>Khách cũ</v>
          </cell>
          <cell r="J769" t="str">
            <v>Đơn bán</v>
          </cell>
          <cell r="K769" t="str">
            <v>SAKUKO806341</v>
          </cell>
          <cell r="L769" t="str">
            <v>THỰC PHẨM</v>
          </cell>
          <cell r="M769" t="str">
            <v>MỲ, MIẾN</v>
          </cell>
          <cell r="N769" t="str">
            <v>MỲ CHẾ BIẾN</v>
          </cell>
          <cell r="O769" t="str">
            <v>175435</v>
          </cell>
          <cell r="P769" t="str">
            <v>4901726014752</v>
          </cell>
          <cell r="Q769" t="str">
            <v>ITSUKI FOODS- Mì soumen rau củ ngũ sắc320g</v>
          </cell>
          <cell r="R769">
            <v>76000</v>
          </cell>
          <cell r="S769">
            <v>2</v>
          </cell>
          <cell r="T769">
            <v>152000</v>
          </cell>
          <cell r="U769">
            <v>0</v>
          </cell>
          <cell r="V769">
            <v>152000</v>
          </cell>
          <cell r="W769" t="str">
            <v>4901726014752</v>
          </cell>
        </row>
        <row r="770">
          <cell r="A770">
            <v>2026</v>
          </cell>
          <cell r="B770">
            <v>6</v>
          </cell>
          <cell r="C770">
            <v>46184</v>
          </cell>
          <cell r="D770" t="str">
            <v>1. SKK store</v>
          </cell>
          <cell r="E770" t="str">
            <v>S1007</v>
          </cell>
          <cell r="F770" t="str">
            <v>SKK  Nguyễn Du</v>
          </cell>
          <cell r="G770" t="str">
            <v>0983370509</v>
          </cell>
          <cell r="H770" t="str">
            <v>chi ngoc</v>
          </cell>
          <cell r="I770" t="str">
            <v>Khách cũ</v>
          </cell>
          <cell r="J770" t="str">
            <v>Đơn bán</v>
          </cell>
          <cell r="K770" t="str">
            <v>SAKUKO807083</v>
          </cell>
          <cell r="L770" t="str">
            <v>CHĂM SÓC SẮC ĐẸP</v>
          </cell>
          <cell r="M770" t="str">
            <v>CHĂM SÓC DA</v>
          </cell>
          <cell r="N770" t="str">
            <v>KEM DƯỠNG</v>
          </cell>
          <cell r="O770" t="str">
            <v>102384</v>
          </cell>
          <cell r="P770" t="str">
            <v>4902468820014</v>
          </cell>
          <cell r="Q770" t="str">
            <v>MEISHOKU- Kem gel dưỡng ẩm phục hồi chuyên sâu 50g</v>
          </cell>
          <cell r="R770">
            <v>575000</v>
          </cell>
          <cell r="S770">
            <v>1</v>
          </cell>
          <cell r="T770">
            <v>575000</v>
          </cell>
          <cell r="U770">
            <v>46000</v>
          </cell>
          <cell r="V770">
            <v>529000</v>
          </cell>
          <cell r="W770" t="str">
            <v>4902468820014</v>
          </cell>
        </row>
        <row r="771">
          <cell r="A771">
            <v>2026</v>
          </cell>
          <cell r="B771">
            <v>6</v>
          </cell>
          <cell r="C771">
            <v>46184</v>
          </cell>
          <cell r="D771" t="str">
            <v>1. SKK store</v>
          </cell>
          <cell r="E771" t="str">
            <v>S1008</v>
          </cell>
          <cell r="F771" t="str">
            <v>SKK  Hàng Bông</v>
          </cell>
          <cell r="G771" t="str">
            <v>0817239303</v>
          </cell>
          <cell r="H771" t="str">
            <v>chị huyền</v>
          </cell>
          <cell r="I771" t="str">
            <v>Khách mới</v>
          </cell>
          <cell r="J771" t="str">
            <v>Đơn bán</v>
          </cell>
          <cell r="K771" t="str">
            <v>SAKUKO806768</v>
          </cell>
          <cell r="L771" t="str">
            <v>CHĂM SÓC SẮC ĐẸP</v>
          </cell>
          <cell r="M771" t="str">
            <v>CHĂM SÓC DA</v>
          </cell>
          <cell r="N771" t="str">
            <v>KEM DƯỠNG</v>
          </cell>
          <cell r="O771" t="str">
            <v>102384</v>
          </cell>
          <cell r="P771" t="str">
            <v>4902468820014</v>
          </cell>
          <cell r="Q771" t="str">
            <v>MEISHOKU- Kem gel dưỡng ẩm phục hồi chuyên sâu 50g</v>
          </cell>
          <cell r="R771">
            <v>575000</v>
          </cell>
          <cell r="S771">
            <v>1</v>
          </cell>
          <cell r="T771">
            <v>575000</v>
          </cell>
          <cell r="U771">
            <v>76000</v>
          </cell>
          <cell r="V771">
            <v>499000</v>
          </cell>
          <cell r="W771" t="str">
            <v>4902468820014</v>
          </cell>
        </row>
        <row r="772">
          <cell r="A772">
            <v>2026</v>
          </cell>
          <cell r="B772">
            <v>6</v>
          </cell>
          <cell r="C772">
            <v>46184</v>
          </cell>
          <cell r="D772" t="str">
            <v>1. SKK store</v>
          </cell>
          <cell r="E772" t="str">
            <v>S1008</v>
          </cell>
          <cell r="F772" t="str">
            <v>SKK  Hàng Bông</v>
          </cell>
          <cell r="G772" t="str">
            <v>0817239303</v>
          </cell>
          <cell r="H772" t="str">
            <v>chị huyền</v>
          </cell>
          <cell r="I772" t="str">
            <v>Khách mới</v>
          </cell>
          <cell r="J772" t="str">
            <v>Đơn bán</v>
          </cell>
          <cell r="K772" t="str">
            <v>SAKUKO806768</v>
          </cell>
          <cell r="L772" t="str">
            <v>CHĂM SÓC SẮC ĐẸP</v>
          </cell>
          <cell r="M772" t="str">
            <v>CHĂM SÓC DA</v>
          </cell>
          <cell r="N772" t="str">
            <v>KEM DƯỠNG</v>
          </cell>
          <cell r="O772" t="str">
            <v>102420</v>
          </cell>
          <cell r="P772" t="str">
            <v>4902468820007</v>
          </cell>
          <cell r="Q772" t="str">
            <v>MEISHOKU- Tinh chất dưỡng ẩm chuyên sâu 30ml</v>
          </cell>
          <cell r="R772">
            <v>555000</v>
          </cell>
          <cell r="S772">
            <v>1</v>
          </cell>
          <cell r="T772">
            <v>555000</v>
          </cell>
          <cell r="U772">
            <v>55000</v>
          </cell>
          <cell r="V772">
            <v>500000</v>
          </cell>
          <cell r="W772" t="str">
            <v>4902468820007</v>
          </cell>
        </row>
        <row r="773">
          <cell r="A773">
            <v>2026</v>
          </cell>
          <cell r="B773">
            <v>6</v>
          </cell>
          <cell r="C773">
            <v>46184</v>
          </cell>
          <cell r="D773" t="str">
            <v>1. SKK store</v>
          </cell>
          <cell r="E773" t="str">
            <v>S1008</v>
          </cell>
          <cell r="F773" t="str">
            <v>SKK  Hàng Bông</v>
          </cell>
          <cell r="G773" t="str">
            <v>0904353568</v>
          </cell>
          <cell r="H773" t="str">
            <v>anh bình</v>
          </cell>
          <cell r="I773" t="str">
            <v>Khách cũ</v>
          </cell>
          <cell r="J773" t="str">
            <v>Đơn bán</v>
          </cell>
          <cell r="K773" t="str">
            <v>SAKUKO806286</v>
          </cell>
          <cell r="L773" t="str">
            <v>THỰC PHẨM</v>
          </cell>
          <cell r="M773" t="str">
            <v>MỲ, MIẾN</v>
          </cell>
          <cell r="N773" t="str">
            <v>MỲ ĂN LIỀN</v>
          </cell>
          <cell r="O773" t="str">
            <v>154333</v>
          </cell>
          <cell r="P773" t="str">
            <v>4901990325547</v>
          </cell>
          <cell r="Q773" t="str">
            <v>MARUCHAN-Mì hộp ramen hoành thánh nước tương 117g</v>
          </cell>
          <cell r="R773">
            <v>45000</v>
          </cell>
          <cell r="S773">
            <v>1</v>
          </cell>
          <cell r="T773">
            <v>45000</v>
          </cell>
          <cell r="U773">
            <v>0</v>
          </cell>
          <cell r="V773">
            <v>45000</v>
          </cell>
          <cell r="W773" t="str">
            <v>4901990325547</v>
          </cell>
        </row>
        <row r="774">
          <cell r="A774">
            <v>2026</v>
          </cell>
          <cell r="B774">
            <v>6</v>
          </cell>
          <cell r="C774">
            <v>46184</v>
          </cell>
          <cell r="D774" t="str">
            <v>1. SKK store</v>
          </cell>
          <cell r="E774" t="str">
            <v>S1008</v>
          </cell>
          <cell r="F774" t="str">
            <v>SKK  Hàng Bông</v>
          </cell>
          <cell r="G774" t="str">
            <v>0986711691</v>
          </cell>
          <cell r="H774" t="str">
            <v>CHỊ MAI ANH</v>
          </cell>
          <cell r="I774" t="str">
            <v>Khách cũ</v>
          </cell>
          <cell r="J774" t="str">
            <v>Đơn bán</v>
          </cell>
          <cell r="K774" t="str">
            <v>SAKUKO806567</v>
          </cell>
          <cell r="L774" t="str">
            <v>ĐỒ CHO MẸ BÉ</v>
          </cell>
          <cell r="M774" t="str">
            <v>GIẤY ƯỚT</v>
          </cell>
          <cell r="N774" t="str">
            <v>GIẤY ƯỚT CHO BÉ</v>
          </cell>
          <cell r="O774" t="str">
            <v>121663</v>
          </cell>
          <cell r="P774" t="str">
            <v>8934755035197</v>
          </cell>
          <cell r="Q774" t="str">
            <v>FRESSI- Khăn ướt Care For All 100 miếng</v>
          </cell>
          <cell r="R774">
            <v>49000</v>
          </cell>
          <cell r="S774">
            <v>1</v>
          </cell>
          <cell r="T774">
            <v>49000</v>
          </cell>
          <cell r="U774">
            <v>0</v>
          </cell>
          <cell r="V774">
            <v>49000</v>
          </cell>
          <cell r="W774" t="str">
            <v>8934755035197</v>
          </cell>
        </row>
        <row r="775">
          <cell r="A775">
            <v>2026</v>
          </cell>
          <cell r="B775">
            <v>6</v>
          </cell>
          <cell r="C775">
            <v>46184</v>
          </cell>
          <cell r="D775" t="str">
            <v>1. SKK store</v>
          </cell>
          <cell r="E775" t="str">
            <v>S1008</v>
          </cell>
          <cell r="F775" t="str">
            <v>SKK  Hàng Bông</v>
          </cell>
          <cell r="G775" t="str">
            <v>0989532199</v>
          </cell>
          <cell r="H775" t="str">
            <v>chị phương</v>
          </cell>
          <cell r="I775" t="str">
            <v>Khách cũ</v>
          </cell>
          <cell r="J775" t="str">
            <v>Đơn bán</v>
          </cell>
          <cell r="K775" t="str">
            <v>SAKUKO806349</v>
          </cell>
          <cell r="L775" t="str">
            <v>THỰC PHẨM</v>
          </cell>
          <cell r="M775" t="str">
            <v>MỲ, MIẾN</v>
          </cell>
          <cell r="N775" t="str">
            <v>MỲ ĂN LIỀN</v>
          </cell>
          <cell r="O775" t="str">
            <v>154359</v>
          </cell>
          <cell r="P775" t="str">
            <v>4979397000138</v>
          </cell>
          <cell r="Q775" t="str">
            <v>YAMAMOTO- Mì ramen ăn liền hải sản thịt heo 88g*5</v>
          </cell>
          <cell r="R775">
            <v>99000</v>
          </cell>
          <cell r="S775">
            <v>1</v>
          </cell>
          <cell r="T775">
            <v>99000</v>
          </cell>
          <cell r="U775">
            <v>0</v>
          </cell>
          <cell r="V775">
            <v>99000</v>
          </cell>
          <cell r="W775" t="str">
            <v>4979397000138</v>
          </cell>
        </row>
        <row r="776">
          <cell r="A776">
            <v>2026</v>
          </cell>
          <cell r="B776">
            <v>6</v>
          </cell>
          <cell r="C776">
            <v>46184</v>
          </cell>
          <cell r="D776" t="str">
            <v>1. SKK store</v>
          </cell>
          <cell r="E776" t="str">
            <v>S1018</v>
          </cell>
          <cell r="F776" t="str">
            <v>SKK Nguyễn Tuân</v>
          </cell>
          <cell r="G776" t="str">
            <v>0904272288</v>
          </cell>
          <cell r="H776" t="str">
            <v>CHI CUC</v>
          </cell>
          <cell r="I776" t="str">
            <v>Khách cũ</v>
          </cell>
          <cell r="J776" t="str">
            <v>Đơn bán</v>
          </cell>
          <cell r="K776" t="str">
            <v>SAKUKO806932</v>
          </cell>
          <cell r="L776" t="str">
            <v>THỰC PHẨM</v>
          </cell>
          <cell r="M776" t="str">
            <v>MỲ, MIẾN</v>
          </cell>
          <cell r="N776" t="str">
            <v>MỲ CHẾ BIẾN</v>
          </cell>
          <cell r="O776" t="str">
            <v>175435</v>
          </cell>
          <cell r="P776" t="str">
            <v>4901726014752</v>
          </cell>
          <cell r="Q776" t="str">
            <v>ITSUKI FOODS- Mì soumen rau củ ngũ sắc320g</v>
          </cell>
          <cell r="R776">
            <v>76000</v>
          </cell>
          <cell r="S776">
            <v>2</v>
          </cell>
          <cell r="T776">
            <v>152000</v>
          </cell>
          <cell r="U776">
            <v>0</v>
          </cell>
          <cell r="V776">
            <v>152000</v>
          </cell>
          <cell r="W776" t="str">
            <v>4901726014752</v>
          </cell>
        </row>
        <row r="777">
          <cell r="A777">
            <v>2026</v>
          </cell>
          <cell r="B777">
            <v>6</v>
          </cell>
          <cell r="C777">
            <v>46184</v>
          </cell>
          <cell r="D777" t="str">
            <v>1. SKK store</v>
          </cell>
          <cell r="E777" t="str">
            <v>S1025</v>
          </cell>
          <cell r="F777" t="str">
            <v>SKK T6 Time City</v>
          </cell>
          <cell r="G777" t="str">
            <v>0911263539</v>
          </cell>
          <cell r="H777" t="str">
            <v>anh Thuyên</v>
          </cell>
          <cell r="I777" t="str">
            <v>Khách mới</v>
          </cell>
          <cell r="J777" t="str">
            <v>Đơn bán</v>
          </cell>
          <cell r="K777" t="str">
            <v>SAKUKO806981</v>
          </cell>
          <cell r="L777" t="str">
            <v>THỰC PHẨM</v>
          </cell>
          <cell r="M777" t="str">
            <v>BÁNH KẸO, ĐỒ ĂN VẶT</v>
          </cell>
          <cell r="N777" t="str">
            <v>KẸO CAO SU</v>
          </cell>
          <cell r="O777" t="str">
            <v>154105</v>
          </cell>
          <cell r="P777" t="str">
            <v>4547894156612</v>
          </cell>
          <cell r="Q777" t="str">
            <v>MONDELEZ JAPAN - Kẹo cao su 112g</v>
          </cell>
          <cell r="R777">
            <v>235000</v>
          </cell>
          <cell r="S777">
            <v>1</v>
          </cell>
          <cell r="T777">
            <v>235000</v>
          </cell>
          <cell r="U777">
            <v>0</v>
          </cell>
          <cell r="V777">
            <v>235000</v>
          </cell>
          <cell r="W777" t="str">
            <v>4547894156612</v>
          </cell>
        </row>
        <row r="778">
          <cell r="A778">
            <v>2026</v>
          </cell>
          <cell r="B778">
            <v>6</v>
          </cell>
          <cell r="C778">
            <v>46184</v>
          </cell>
          <cell r="D778" t="str">
            <v>1. SKK store</v>
          </cell>
          <cell r="E778" t="str">
            <v>S1025</v>
          </cell>
          <cell r="F778" t="str">
            <v>SKK T6 Time City</v>
          </cell>
          <cell r="G778" t="str">
            <v>0967569658</v>
          </cell>
          <cell r="H778" t="str">
            <v>KLT6</v>
          </cell>
          <cell r="I778" t="str">
            <v>Khách vãng lai</v>
          </cell>
          <cell r="J778" t="str">
            <v>Đơn bán</v>
          </cell>
          <cell r="K778" t="str">
            <v>SAKUKO807416</v>
          </cell>
          <cell r="L778" t="str">
            <v>THỰC PHẨM</v>
          </cell>
          <cell r="M778" t="str">
            <v>MỲ, MIẾN</v>
          </cell>
          <cell r="N778" t="str">
            <v>MỲ CHẾ BIẾN</v>
          </cell>
          <cell r="O778" t="str">
            <v>154251</v>
          </cell>
          <cell r="P778" t="str">
            <v>4560159440776</v>
          </cell>
          <cell r="Q778" t="str">
            <v>SATO_Mì soba khô 800g</v>
          </cell>
          <cell r="R778">
            <v>104000</v>
          </cell>
          <cell r="S778">
            <v>1</v>
          </cell>
          <cell r="T778">
            <v>104000</v>
          </cell>
          <cell r="U778">
            <v>31200</v>
          </cell>
          <cell r="V778">
            <v>72800</v>
          </cell>
          <cell r="W778" t="str">
            <v>4560159440776</v>
          </cell>
        </row>
        <row r="779">
          <cell r="A779">
            <v>2026</v>
          </cell>
          <cell r="B779">
            <v>6</v>
          </cell>
          <cell r="C779">
            <v>46184</v>
          </cell>
          <cell r="D779" t="str">
            <v>1. SKK store</v>
          </cell>
          <cell r="E779" t="str">
            <v>S1025</v>
          </cell>
          <cell r="F779" t="str">
            <v>SKK T6 Time City</v>
          </cell>
          <cell r="G779" t="str">
            <v>0967569658</v>
          </cell>
          <cell r="H779" t="str">
            <v>KLT6</v>
          </cell>
          <cell r="I779" t="str">
            <v>Khách vãng lai</v>
          </cell>
          <cell r="J779" t="str">
            <v>Đơn bán</v>
          </cell>
          <cell r="K779" t="str">
            <v>SAKUKO807416</v>
          </cell>
          <cell r="L779" t="str">
            <v>THỰC PHẨM</v>
          </cell>
          <cell r="M779" t="str">
            <v>MỲ, MIẾN</v>
          </cell>
          <cell r="N779" t="str">
            <v>MỲ CHẾ BIẾN</v>
          </cell>
          <cell r="O779" t="str">
            <v>174948</v>
          </cell>
          <cell r="P779" t="str">
            <v>4582114354119</v>
          </cell>
          <cell r="Q779" t="str">
            <v>SANUKISHISEI- Mì soumen 300g</v>
          </cell>
          <cell r="R779">
            <v>35000</v>
          </cell>
          <cell r="S779">
            <v>1</v>
          </cell>
          <cell r="T779">
            <v>35000</v>
          </cell>
          <cell r="U779">
            <v>0</v>
          </cell>
          <cell r="V779">
            <v>35000</v>
          </cell>
          <cell r="W779" t="str">
            <v>4582114354119</v>
          </cell>
        </row>
        <row r="780">
          <cell r="A780">
            <v>2026</v>
          </cell>
          <cell r="B780">
            <v>6</v>
          </cell>
          <cell r="C780">
            <v>46183</v>
          </cell>
          <cell r="D780" t="str">
            <v>1. SKK store</v>
          </cell>
          <cell r="E780" t="str">
            <v>S1004</v>
          </cell>
          <cell r="F780" t="str">
            <v>SKK  Mandarin C1</v>
          </cell>
          <cell r="G780" t="str">
            <v>0931586868</v>
          </cell>
          <cell r="H780" t="str">
            <v>Chị Hà</v>
          </cell>
          <cell r="I780" t="str">
            <v>Khách cũ</v>
          </cell>
          <cell r="J780" t="str">
            <v>Đơn bán</v>
          </cell>
          <cell r="K780" t="str">
            <v>SAKUKO805949</v>
          </cell>
          <cell r="L780" t="str">
            <v>CHĂM SÓC SẮC ĐẸP</v>
          </cell>
          <cell r="M780" t="str">
            <v>CHĂM SÓC TÓC</v>
          </cell>
          <cell r="N780" t="str">
            <v>TẠO KIỂU TÓC</v>
          </cell>
          <cell r="O780" t="str">
            <v>100160</v>
          </cell>
          <cell r="P780" t="str">
            <v>45131677</v>
          </cell>
          <cell r="Q780" t="str">
            <v>GATSBY- Sáp vuốt tóc giữ nếp 80g</v>
          </cell>
          <cell r="R780">
            <v>150000</v>
          </cell>
          <cell r="S780">
            <v>1</v>
          </cell>
          <cell r="T780">
            <v>150000</v>
          </cell>
          <cell r="U780">
            <v>15000</v>
          </cell>
          <cell r="V780">
            <v>135000</v>
          </cell>
          <cell r="W780" t="str">
            <v>45131677</v>
          </cell>
        </row>
        <row r="781">
          <cell r="A781">
            <v>2026</v>
          </cell>
          <cell r="B781">
            <v>6</v>
          </cell>
          <cell r="C781">
            <v>46183</v>
          </cell>
          <cell r="D781" t="str">
            <v>1. SKK store</v>
          </cell>
          <cell r="E781" t="str">
            <v>S1004</v>
          </cell>
          <cell r="F781" t="str">
            <v>SKK  Mandarin C1</v>
          </cell>
          <cell r="G781" t="str">
            <v>0972920999</v>
          </cell>
          <cell r="H781" t="str">
            <v>C TRAM</v>
          </cell>
          <cell r="I781" t="str">
            <v>Khách cũ</v>
          </cell>
          <cell r="J781" t="str">
            <v>Đơn bán</v>
          </cell>
          <cell r="K781" t="str">
            <v>SAKUKO806152</v>
          </cell>
          <cell r="L781" t="str">
            <v>THỰC PHẨM</v>
          </cell>
          <cell r="M781" t="str">
            <v>MỲ, MIẾN</v>
          </cell>
          <cell r="N781" t="str">
            <v>MỲ ĂN LIỀN</v>
          </cell>
          <cell r="O781" t="str">
            <v>154198</v>
          </cell>
          <cell r="P781" t="str">
            <v>4979397000145</v>
          </cell>
          <cell r="Q781" t="str">
            <v>YAMAMOTO_Mì ramen ăn liền vị miso 90g*5</v>
          </cell>
          <cell r="R781">
            <v>99000</v>
          </cell>
          <cell r="S781">
            <v>2</v>
          </cell>
          <cell r="T781">
            <v>198000</v>
          </cell>
          <cell r="U781">
            <v>0</v>
          </cell>
          <cell r="V781">
            <v>198000</v>
          </cell>
          <cell r="W781" t="str">
            <v>4979397000145</v>
          </cell>
        </row>
        <row r="782">
          <cell r="A782">
            <v>2026</v>
          </cell>
          <cell r="B782">
            <v>6</v>
          </cell>
          <cell r="C782">
            <v>46183</v>
          </cell>
          <cell r="D782" t="str">
            <v>1. SKK store</v>
          </cell>
          <cell r="E782" t="str">
            <v>S1004</v>
          </cell>
          <cell r="F782" t="str">
            <v>SKK  Mandarin C1</v>
          </cell>
          <cell r="G782" t="str">
            <v>0972920999</v>
          </cell>
          <cell r="H782" t="str">
            <v>C TRAM</v>
          </cell>
          <cell r="I782" t="str">
            <v>Khách cũ</v>
          </cell>
          <cell r="J782" t="str">
            <v>Đơn bán</v>
          </cell>
          <cell r="K782" t="str">
            <v>SAKUKO806152</v>
          </cell>
          <cell r="L782" t="str">
            <v>THỰC PHẨM</v>
          </cell>
          <cell r="M782" t="str">
            <v>MỲ, MIẾN</v>
          </cell>
          <cell r="N782" t="str">
            <v>MỲ ĂN LIỀN</v>
          </cell>
          <cell r="O782" t="str">
            <v>154359</v>
          </cell>
          <cell r="P782" t="str">
            <v>4979397000138</v>
          </cell>
          <cell r="Q782" t="str">
            <v>YAMAMOTO- Mì ramen ăn liền hải sản thịt heo 88g*5</v>
          </cell>
          <cell r="R782">
            <v>99000</v>
          </cell>
          <cell r="S782">
            <v>2</v>
          </cell>
          <cell r="T782">
            <v>198000</v>
          </cell>
          <cell r="U782">
            <v>0</v>
          </cell>
          <cell r="V782">
            <v>198000</v>
          </cell>
          <cell r="W782" t="str">
            <v>4979397000138</v>
          </cell>
        </row>
        <row r="783">
          <cell r="A783">
            <v>2026</v>
          </cell>
          <cell r="B783">
            <v>6</v>
          </cell>
          <cell r="C783">
            <v>46183</v>
          </cell>
          <cell r="D783" t="str">
            <v>1. SKK store</v>
          </cell>
          <cell r="E783" t="str">
            <v>S1004</v>
          </cell>
          <cell r="F783" t="str">
            <v>SKK  Mandarin C1</v>
          </cell>
          <cell r="G783" t="str">
            <v>0979090599</v>
          </cell>
          <cell r="H783" t="str">
            <v>Trần Vân Hạnh</v>
          </cell>
          <cell r="I783" t="str">
            <v>Khách cũ</v>
          </cell>
          <cell r="J783" t="str">
            <v>Đơn bán</v>
          </cell>
          <cell r="K783" t="str">
            <v>SAKUKO806165</v>
          </cell>
          <cell r="L783" t="str">
            <v>NHÀ CỬA ĐỜI SỐNG</v>
          </cell>
          <cell r="M783" t="str">
            <v>ĐỒ DÙNG SINH HOẠT GIA ĐÌNH</v>
          </cell>
          <cell r="N783" t="str">
            <v>VẬT DỤNG SINH HOẠT KHÁC</v>
          </cell>
          <cell r="O783" t="str">
            <v>135039</v>
          </cell>
          <cell r="P783" t="str">
            <v>4968988074993</v>
          </cell>
          <cell r="Q783" t="str">
            <v>OMAICHI- Set 2 lọ chiết mỹ phẩm 40ml kèm hộp đựng</v>
          </cell>
          <cell r="R783">
            <v>52000</v>
          </cell>
          <cell r="S783">
            <v>1</v>
          </cell>
          <cell r="T783">
            <v>52000</v>
          </cell>
          <cell r="U783">
            <v>0</v>
          </cell>
          <cell r="V783">
            <v>52000</v>
          </cell>
          <cell r="W783" t="str">
            <v>4968988074993</v>
          </cell>
        </row>
        <row r="784">
          <cell r="A784">
            <v>2026</v>
          </cell>
          <cell r="B784">
            <v>6</v>
          </cell>
          <cell r="C784">
            <v>46183</v>
          </cell>
          <cell r="D784" t="str">
            <v>1. SKK store</v>
          </cell>
          <cell r="E784" t="str">
            <v>S1005</v>
          </cell>
          <cell r="F784" t="str">
            <v>SKK  Thái Hà</v>
          </cell>
          <cell r="G784" t="str">
            <v>0979248559</v>
          </cell>
          <cell r="H784" t="str">
            <v>c lan anh</v>
          </cell>
          <cell r="I784" t="str">
            <v>Khách cũ</v>
          </cell>
          <cell r="J784" t="str">
            <v>Đơn bán</v>
          </cell>
          <cell r="K784" t="str">
            <v>SAKUKO805550</v>
          </cell>
          <cell r="L784" t="str">
            <v>THỰC PHẨM</v>
          </cell>
          <cell r="M784" t="str">
            <v>MỲ, MIẾN</v>
          </cell>
          <cell r="N784" t="str">
            <v>MỲ ĂN LIỀN</v>
          </cell>
          <cell r="O784" t="str">
            <v>154198</v>
          </cell>
          <cell r="P784" t="str">
            <v>4979397000145</v>
          </cell>
          <cell r="Q784" t="str">
            <v>YAMAMOTO_Mì ramen ăn liền vị miso 90g*5</v>
          </cell>
          <cell r="R784">
            <v>99000</v>
          </cell>
          <cell r="S784">
            <v>1</v>
          </cell>
          <cell r="T784">
            <v>99000</v>
          </cell>
          <cell r="U784">
            <v>0</v>
          </cell>
          <cell r="V784">
            <v>99000</v>
          </cell>
          <cell r="W784" t="str">
            <v>4979397000145</v>
          </cell>
        </row>
        <row r="785">
          <cell r="A785">
            <v>2026</v>
          </cell>
          <cell r="B785">
            <v>6</v>
          </cell>
          <cell r="C785">
            <v>46183</v>
          </cell>
          <cell r="D785" t="str">
            <v>1. SKK store</v>
          </cell>
          <cell r="E785" t="str">
            <v>S1005</v>
          </cell>
          <cell r="F785" t="str">
            <v>SKK  Thái Hà</v>
          </cell>
          <cell r="G785" t="str">
            <v>0986528658</v>
          </cell>
          <cell r="H785" t="str">
            <v>c thu</v>
          </cell>
          <cell r="I785" t="str">
            <v>Khách mới</v>
          </cell>
          <cell r="J785" t="str">
            <v>Đơn bán</v>
          </cell>
          <cell r="K785" t="str">
            <v>SAKUKO806051</v>
          </cell>
          <cell r="L785" t="str">
            <v>THỰC PHẨM</v>
          </cell>
          <cell r="M785" t="str">
            <v>MỲ, MIẾN</v>
          </cell>
          <cell r="N785" t="str">
            <v>MỲ ĂN LIỀN</v>
          </cell>
          <cell r="O785" t="str">
            <v>154333</v>
          </cell>
          <cell r="P785" t="str">
            <v>4901990325547</v>
          </cell>
          <cell r="Q785" t="str">
            <v>MARUCHAN-Mì hộp ramen hoành thánh nước tương 117g</v>
          </cell>
          <cell r="R785">
            <v>45000</v>
          </cell>
          <cell r="S785">
            <v>1</v>
          </cell>
          <cell r="T785">
            <v>45000</v>
          </cell>
          <cell r="U785">
            <v>0</v>
          </cell>
          <cell r="V785">
            <v>45000</v>
          </cell>
          <cell r="W785" t="str">
            <v>4901990325547</v>
          </cell>
        </row>
        <row r="786">
          <cell r="A786">
            <v>2026</v>
          </cell>
          <cell r="B786">
            <v>6</v>
          </cell>
          <cell r="C786">
            <v>46183</v>
          </cell>
          <cell r="D786" t="str">
            <v>1. SKK store</v>
          </cell>
          <cell r="E786" t="str">
            <v>S1006</v>
          </cell>
          <cell r="F786" t="str">
            <v>SKK Trần Đăng Ninh</v>
          </cell>
          <cell r="G786" t="str">
            <v>0967175999</v>
          </cell>
          <cell r="H786" t="str">
            <v>CHI TRANG ANH</v>
          </cell>
          <cell r="I786" t="str">
            <v>Khách cũ</v>
          </cell>
          <cell r="J786" t="str">
            <v>Đơn bán</v>
          </cell>
          <cell r="K786" t="str">
            <v>SAKUKO806151</v>
          </cell>
          <cell r="L786" t="str">
            <v>CHĂM SÓC SẮC ĐẸP</v>
          </cell>
          <cell r="M786" t="str">
            <v>CHĂM SÓC TÓC</v>
          </cell>
          <cell r="N786" t="str">
            <v>TẠO KIỂU TÓC</v>
          </cell>
          <cell r="O786" t="str">
            <v>100160</v>
          </cell>
          <cell r="P786" t="str">
            <v>45131677</v>
          </cell>
          <cell r="Q786" t="str">
            <v>GATSBY- Sáp vuốt tóc giữ nếp 80g</v>
          </cell>
          <cell r="R786">
            <v>150000</v>
          </cell>
          <cell r="S786">
            <v>1</v>
          </cell>
          <cell r="T786">
            <v>150000</v>
          </cell>
          <cell r="U786">
            <v>15000</v>
          </cell>
          <cell r="V786">
            <v>135000</v>
          </cell>
          <cell r="W786" t="str">
            <v>45131677</v>
          </cell>
        </row>
        <row r="787">
          <cell r="A787">
            <v>2026</v>
          </cell>
          <cell r="B787">
            <v>6</v>
          </cell>
          <cell r="C787">
            <v>46183</v>
          </cell>
          <cell r="D787" t="str">
            <v>1. SKK store</v>
          </cell>
          <cell r="E787" t="str">
            <v>S1006</v>
          </cell>
          <cell r="F787" t="str">
            <v>SKK Trần Đăng Ninh</v>
          </cell>
          <cell r="G787" t="str">
            <v>0981041985</v>
          </cell>
          <cell r="H787" t="str">
            <v>Anh Hải</v>
          </cell>
          <cell r="I787" t="str">
            <v>Khách cũ</v>
          </cell>
          <cell r="J787" t="str">
            <v>Đơn bán</v>
          </cell>
          <cell r="K787" t="str">
            <v>SAKUKO805975</v>
          </cell>
          <cell r="L787" t="str">
            <v>THỰC PHẨM</v>
          </cell>
          <cell r="M787" t="str">
            <v>BÁNH KẸO, ĐỒ ĂN VẶT</v>
          </cell>
          <cell r="N787" t="str">
            <v>KẸO CAO SU</v>
          </cell>
          <cell r="O787" t="str">
            <v>231377</v>
          </cell>
          <cell r="P787" t="str">
            <v>4903333200375</v>
          </cell>
          <cell r="Q787" t="str">
            <v>LOTTE-Kẹo cao su tổng hợp dạng lọ 114g</v>
          </cell>
          <cell r="R787">
            <v>235000</v>
          </cell>
          <cell r="S787">
            <v>1</v>
          </cell>
          <cell r="T787">
            <v>235000</v>
          </cell>
          <cell r="U787">
            <v>0</v>
          </cell>
          <cell r="V787">
            <v>235000</v>
          </cell>
          <cell r="W787" t="str">
            <v>4903333200375</v>
          </cell>
        </row>
        <row r="788">
          <cell r="A788">
            <v>2026</v>
          </cell>
          <cell r="B788">
            <v>6</v>
          </cell>
          <cell r="C788">
            <v>46183</v>
          </cell>
          <cell r="D788" t="str">
            <v>1. SKK store</v>
          </cell>
          <cell r="E788" t="str">
            <v>S1006</v>
          </cell>
          <cell r="F788" t="str">
            <v>SKK Trần Đăng Ninh</v>
          </cell>
          <cell r="G788" t="str">
            <v>0982612761</v>
          </cell>
          <cell r="H788" t="str">
            <v>Chị Tuyết</v>
          </cell>
          <cell r="I788" t="str">
            <v>Khách cũ</v>
          </cell>
          <cell r="J788" t="str">
            <v>Đơn bán</v>
          </cell>
          <cell r="K788" t="str">
            <v>SAKUKO805206</v>
          </cell>
          <cell r="L788" t="str">
            <v>THỰC PHẨM</v>
          </cell>
          <cell r="M788" t="str">
            <v>MỲ, MIẾN</v>
          </cell>
          <cell r="N788" t="str">
            <v>MỲ CHẾ BIẾN</v>
          </cell>
          <cell r="O788" t="str">
            <v>154247</v>
          </cell>
          <cell r="P788" t="str">
            <v>4902902105004</v>
          </cell>
          <cell r="Q788" t="str">
            <v>MALONY_Miến khoai tây 500g</v>
          </cell>
          <cell r="R788">
            <v>139000</v>
          </cell>
          <cell r="S788">
            <v>1</v>
          </cell>
          <cell r="T788">
            <v>139000</v>
          </cell>
          <cell r="U788">
            <v>0</v>
          </cell>
          <cell r="V788">
            <v>139000</v>
          </cell>
          <cell r="W788" t="str">
            <v>4902902105004</v>
          </cell>
        </row>
        <row r="789">
          <cell r="A789">
            <v>2026</v>
          </cell>
          <cell r="B789">
            <v>6</v>
          </cell>
          <cell r="C789">
            <v>46183</v>
          </cell>
          <cell r="D789" t="str">
            <v>1. SKK store</v>
          </cell>
          <cell r="E789" t="str">
            <v>S1006</v>
          </cell>
          <cell r="F789" t="str">
            <v>SKK Trần Đăng Ninh</v>
          </cell>
          <cell r="G789" t="str">
            <v>0983926798</v>
          </cell>
          <cell r="H789" t="str">
            <v>Chị Dương Thị Thủy</v>
          </cell>
          <cell r="I789" t="str">
            <v>Khách cũ</v>
          </cell>
          <cell r="J789" t="str">
            <v>Đơn bán</v>
          </cell>
          <cell r="K789" t="str">
            <v>SAKUKO806046</v>
          </cell>
          <cell r="L789" t="str">
            <v>THỰC PHẨM</v>
          </cell>
          <cell r="M789" t="str">
            <v>MỲ, MIẾN</v>
          </cell>
          <cell r="N789" t="str">
            <v>MỲ ĂN LIỀN</v>
          </cell>
          <cell r="O789" t="str">
            <v>154196</v>
          </cell>
          <cell r="P789" t="str">
            <v>4979397000152</v>
          </cell>
          <cell r="Q789" t="str">
            <v>YAMAMOTO_Mì xào kiểu Nhật 89g*5</v>
          </cell>
          <cell r="R789">
            <v>99000</v>
          </cell>
          <cell r="S789">
            <v>1</v>
          </cell>
          <cell r="T789">
            <v>99000</v>
          </cell>
          <cell r="U789">
            <v>0</v>
          </cell>
          <cell r="V789">
            <v>99000</v>
          </cell>
          <cell r="W789" t="str">
            <v>4979397000152</v>
          </cell>
        </row>
        <row r="790">
          <cell r="A790">
            <v>2026</v>
          </cell>
          <cell r="B790">
            <v>6</v>
          </cell>
          <cell r="C790">
            <v>46183</v>
          </cell>
          <cell r="D790" t="str">
            <v>1. SKK store</v>
          </cell>
          <cell r="E790" t="str">
            <v>S1007</v>
          </cell>
          <cell r="F790" t="str">
            <v>SKK  Nguyễn Du</v>
          </cell>
          <cell r="G790" t="str">
            <v>0862954339</v>
          </cell>
          <cell r="H790" t="str">
            <v>Klnd</v>
          </cell>
          <cell r="I790" t="str">
            <v>Khách vãng lai</v>
          </cell>
          <cell r="J790" t="str">
            <v>Đơn bán</v>
          </cell>
          <cell r="K790" t="str">
            <v>SAKUKO805757</v>
          </cell>
          <cell r="L790" t="str">
            <v>CHĂM SÓC SẮC ĐẸP</v>
          </cell>
          <cell r="M790" t="str">
            <v>CHĂM SÓC DA</v>
          </cell>
          <cell r="N790" t="str">
            <v>RỬA MẶT</v>
          </cell>
          <cell r="O790" t="str">
            <v>102448</v>
          </cell>
          <cell r="P790" t="str">
            <v>4902806470642</v>
          </cell>
          <cell r="Q790" t="str">
            <v>GATSBY- SRM sạch bụi &amp; dầu nhờn 130g</v>
          </cell>
          <cell r="R790">
            <v>100000</v>
          </cell>
          <cell r="S790">
            <v>1</v>
          </cell>
          <cell r="T790">
            <v>100000</v>
          </cell>
          <cell r="U790">
            <v>10000</v>
          </cell>
          <cell r="V790">
            <v>90000</v>
          </cell>
          <cell r="W790" t="str">
            <v>4902806470642</v>
          </cell>
        </row>
        <row r="791">
          <cell r="A791">
            <v>2026</v>
          </cell>
          <cell r="B791">
            <v>6</v>
          </cell>
          <cell r="C791">
            <v>46183</v>
          </cell>
          <cell r="D791" t="str">
            <v>1. SKK store</v>
          </cell>
          <cell r="E791" t="str">
            <v>S1007</v>
          </cell>
          <cell r="F791" t="str">
            <v>SKK  Nguyễn Du</v>
          </cell>
          <cell r="G791" t="str">
            <v>0904792926</v>
          </cell>
          <cell r="H791" t="str">
            <v>ANh Vinh</v>
          </cell>
          <cell r="I791" t="str">
            <v>Khách mới</v>
          </cell>
          <cell r="J791" t="str">
            <v>Đơn bán</v>
          </cell>
          <cell r="K791" t="str">
            <v>SAKUKO806004</v>
          </cell>
          <cell r="L791" t="str">
            <v>CHĂM SÓC SẮC ĐẸP</v>
          </cell>
          <cell r="M791" t="str">
            <v>CHĂM SÓC TÓC</v>
          </cell>
          <cell r="N791" t="str">
            <v>TẠO KIỂU TÓC</v>
          </cell>
          <cell r="O791" t="str">
            <v>101906</v>
          </cell>
          <cell r="P791" t="str">
            <v>4902806108781</v>
          </cell>
          <cell r="Q791" t="str">
            <v>GATSBY-  Sáp vuốt tóc tạo độ phồng 80g</v>
          </cell>
          <cell r="R791">
            <v>150000</v>
          </cell>
          <cell r="S791">
            <v>1</v>
          </cell>
          <cell r="T791">
            <v>150000</v>
          </cell>
          <cell r="U791">
            <v>15000</v>
          </cell>
          <cell r="V791">
            <v>135000</v>
          </cell>
          <cell r="W791" t="str">
            <v>4902806108781</v>
          </cell>
        </row>
        <row r="792">
          <cell r="A792">
            <v>2026</v>
          </cell>
          <cell r="B792">
            <v>6</v>
          </cell>
          <cell r="C792">
            <v>46183</v>
          </cell>
          <cell r="D792" t="str">
            <v>1. SKK store</v>
          </cell>
          <cell r="E792" t="str">
            <v>S1007</v>
          </cell>
          <cell r="F792" t="str">
            <v>SKK  Nguyễn Du</v>
          </cell>
          <cell r="G792" t="str">
            <v>0972035868</v>
          </cell>
          <cell r="H792" t="str">
            <v>chi thao</v>
          </cell>
          <cell r="I792" t="str">
            <v>Khách cũ</v>
          </cell>
          <cell r="J792" t="str">
            <v>Đơn bán</v>
          </cell>
          <cell r="K792" t="str">
            <v>SAKUKO805481</v>
          </cell>
          <cell r="L792" t="str">
            <v>CHĂM SÓC SẮC ĐẸP</v>
          </cell>
          <cell r="M792" t="str">
            <v>CHĂM SÓC DA</v>
          </cell>
          <cell r="N792" t="str">
            <v>RỬA MẶT</v>
          </cell>
          <cell r="O792" t="str">
            <v>102412</v>
          </cell>
          <cell r="P792" t="str">
            <v>4902468802126</v>
          </cell>
          <cell r="Q792" t="str">
            <v>MEISHOKU- SRM ngăn ngừa mụn Bigan 80g</v>
          </cell>
          <cell r="R792">
            <v>255000</v>
          </cell>
          <cell r="S792">
            <v>1</v>
          </cell>
          <cell r="T792">
            <v>255000</v>
          </cell>
          <cell r="U792">
            <v>20400</v>
          </cell>
          <cell r="V792">
            <v>234600</v>
          </cell>
          <cell r="W792" t="str">
            <v>4902468802126</v>
          </cell>
        </row>
        <row r="793">
          <cell r="A793">
            <v>2026</v>
          </cell>
          <cell r="B793">
            <v>6</v>
          </cell>
          <cell r="C793">
            <v>46183</v>
          </cell>
          <cell r="D793" t="str">
            <v>1. SKK store</v>
          </cell>
          <cell r="E793" t="str">
            <v>S1008</v>
          </cell>
          <cell r="F793" t="str">
            <v>SKK  Hàng Bông</v>
          </cell>
          <cell r="G793" t="str">
            <v>0903275982</v>
          </cell>
          <cell r="H793" t="str">
            <v>Cô Vinh</v>
          </cell>
          <cell r="I793" t="str">
            <v>Khách cũ</v>
          </cell>
          <cell r="J793" t="str">
            <v>Đơn bán</v>
          </cell>
          <cell r="K793" t="str">
            <v>SAKUKO805950</v>
          </cell>
          <cell r="L793" t="str">
            <v>ĐỒ CHO MẸ BÉ</v>
          </cell>
          <cell r="M793" t="str">
            <v>GIẤY ƯỚT</v>
          </cell>
          <cell r="N793" t="str">
            <v>GIẤY ƯỚT CHO BÉ</v>
          </cell>
          <cell r="O793" t="str">
            <v>121664</v>
          </cell>
          <cell r="P793" t="str">
            <v>8934755035074</v>
          </cell>
          <cell r="Q793" t="str">
            <v>BOBBY- Khăn ướt em bé có hương 100 miếng</v>
          </cell>
          <cell r="R793">
            <v>46000</v>
          </cell>
          <cell r="S793">
            <v>1</v>
          </cell>
          <cell r="T793">
            <v>46000</v>
          </cell>
          <cell r="U793">
            <v>0</v>
          </cell>
          <cell r="V793">
            <v>46000</v>
          </cell>
          <cell r="W793" t="str">
            <v>8934755035074</v>
          </cell>
        </row>
        <row r="794">
          <cell r="A794">
            <v>2026</v>
          </cell>
          <cell r="B794">
            <v>6</v>
          </cell>
          <cell r="C794">
            <v>46183</v>
          </cell>
          <cell r="D794" t="str">
            <v>1. SKK store</v>
          </cell>
          <cell r="E794" t="str">
            <v>S1008</v>
          </cell>
          <cell r="F794" t="str">
            <v>SKK  Hàng Bông</v>
          </cell>
          <cell r="G794" t="str">
            <v>0903498368</v>
          </cell>
          <cell r="H794" t="str">
            <v>Chi Thư</v>
          </cell>
          <cell r="I794" t="str">
            <v>Khách cũ</v>
          </cell>
          <cell r="J794" t="str">
            <v>Đơn bán</v>
          </cell>
          <cell r="K794" t="str">
            <v>SAKUKO806024</v>
          </cell>
          <cell r="L794" t="str">
            <v>NHÀ CỬA ĐỜI SỐNG</v>
          </cell>
          <cell r="M794" t="str">
            <v>ĐỒ DÙNG SINH HOẠT GIA ĐÌNH</v>
          </cell>
          <cell r="N794" t="str">
            <v>VẬT DỤNG SINH HOẠT KHÁC</v>
          </cell>
          <cell r="O794" t="str">
            <v>135039</v>
          </cell>
          <cell r="P794" t="str">
            <v>4968988074993</v>
          </cell>
          <cell r="Q794" t="str">
            <v>OMAICHI- Set 2 lọ chiết mỹ phẩm 40ml kèm hộp đựng</v>
          </cell>
          <cell r="R794">
            <v>52000</v>
          </cell>
          <cell r="S794">
            <v>1</v>
          </cell>
          <cell r="T794">
            <v>52000</v>
          </cell>
          <cell r="U794">
            <v>0</v>
          </cell>
          <cell r="V794">
            <v>52000</v>
          </cell>
          <cell r="W794" t="str">
            <v>4968988074993</v>
          </cell>
        </row>
        <row r="795">
          <cell r="A795">
            <v>2026</v>
          </cell>
          <cell r="B795">
            <v>6</v>
          </cell>
          <cell r="C795">
            <v>46183</v>
          </cell>
          <cell r="D795" t="str">
            <v>1. SKK store</v>
          </cell>
          <cell r="E795" t="str">
            <v>S1008</v>
          </cell>
          <cell r="F795" t="str">
            <v>SKK  Hàng Bông</v>
          </cell>
          <cell r="G795" t="str">
            <v>0904551866</v>
          </cell>
          <cell r="H795" t="str">
            <v>cô an</v>
          </cell>
          <cell r="I795" t="str">
            <v>Khách cũ</v>
          </cell>
          <cell r="J795" t="str">
            <v>Đơn bán</v>
          </cell>
          <cell r="K795" t="str">
            <v>SAKUKO806007</v>
          </cell>
          <cell r="L795" t="str">
            <v>NHÀ CỬA ĐỜI SỐNG</v>
          </cell>
          <cell r="M795" t="str">
            <v>PHÒNG CHỐNG CÔN TRÙNG</v>
          </cell>
          <cell r="N795" t="str">
            <v>DIỆT CÔN TRÙNG</v>
          </cell>
          <cell r="O795" t="str">
            <v>134479</v>
          </cell>
          <cell r="P795" t="str">
            <v>4987115545892</v>
          </cell>
          <cell r="Q795" t="str">
            <v>KINCHO-DD làm thơm phòng và đuổi muỗi Hoa SIBERIAN</v>
          </cell>
          <cell r="R795">
            <v>239000</v>
          </cell>
          <cell r="S795">
            <v>1</v>
          </cell>
          <cell r="T795">
            <v>239000</v>
          </cell>
          <cell r="U795">
            <v>0</v>
          </cell>
          <cell r="V795">
            <v>239000</v>
          </cell>
          <cell r="W795" t="str">
            <v>4987115545892</v>
          </cell>
        </row>
        <row r="796">
          <cell r="A796">
            <v>2026</v>
          </cell>
          <cell r="B796">
            <v>6</v>
          </cell>
          <cell r="C796">
            <v>46183</v>
          </cell>
          <cell r="D796" t="str">
            <v>1. SKK store</v>
          </cell>
          <cell r="E796" t="str">
            <v>S1008</v>
          </cell>
          <cell r="F796" t="str">
            <v>SKK  Hàng Bông</v>
          </cell>
          <cell r="G796" t="str">
            <v>0989791718</v>
          </cell>
          <cell r="H796" t="str">
            <v>Chị Trang</v>
          </cell>
          <cell r="I796" t="str">
            <v>Khách cũ</v>
          </cell>
          <cell r="J796" t="str">
            <v>Đơn bán</v>
          </cell>
          <cell r="K796" t="str">
            <v>SAKUKO806170</v>
          </cell>
          <cell r="L796" t="str">
            <v>THỰC PHẨM</v>
          </cell>
          <cell r="M796" t="str">
            <v>BÁNH KẸO, ĐỒ ĂN VẶT</v>
          </cell>
          <cell r="N796" t="str">
            <v>KẸO CAO SU</v>
          </cell>
          <cell r="O796" t="str">
            <v>153932</v>
          </cell>
          <cell r="P796" t="str">
            <v>4903333241651</v>
          </cell>
          <cell r="Q796" t="str">
            <v>LOTTE - Kẹo cao su black black ít đường 133g</v>
          </cell>
          <cell r="R796">
            <v>235000</v>
          </cell>
          <cell r="S796">
            <v>1</v>
          </cell>
          <cell r="T796">
            <v>235000</v>
          </cell>
          <cell r="U796">
            <v>0</v>
          </cell>
          <cell r="V796">
            <v>235000</v>
          </cell>
          <cell r="W796" t="str">
            <v>4903333241651</v>
          </cell>
        </row>
        <row r="797">
          <cell r="A797">
            <v>2026</v>
          </cell>
          <cell r="B797">
            <v>6</v>
          </cell>
          <cell r="C797">
            <v>46183</v>
          </cell>
          <cell r="D797" t="str">
            <v>1. SKK store</v>
          </cell>
          <cell r="E797" t="str">
            <v>S1015</v>
          </cell>
          <cell r="F797" t="str">
            <v>SKK Hàm Nghi</v>
          </cell>
          <cell r="G797" t="str">
            <v>0376314720</v>
          </cell>
          <cell r="H797" t="str">
            <v>chị thu</v>
          </cell>
          <cell r="I797" t="str">
            <v>Khách cũ</v>
          </cell>
          <cell r="J797" t="str">
            <v>Đơn bán</v>
          </cell>
          <cell r="K797" t="str">
            <v>SAKUKO805181</v>
          </cell>
          <cell r="L797" t="str">
            <v>THỰC PHẨM</v>
          </cell>
          <cell r="M797" t="str">
            <v>MỲ, MIẾN</v>
          </cell>
          <cell r="N797" t="str">
            <v>MỲ CHẾ BIẾN</v>
          </cell>
          <cell r="O797" t="str">
            <v>174948</v>
          </cell>
          <cell r="P797" t="str">
            <v>4582114354119</v>
          </cell>
          <cell r="Q797" t="str">
            <v>SANUKISHISEI- Mì soumen 300g</v>
          </cell>
          <cell r="R797">
            <v>35000</v>
          </cell>
          <cell r="S797">
            <v>1</v>
          </cell>
          <cell r="T797">
            <v>35000</v>
          </cell>
          <cell r="U797">
            <v>0</v>
          </cell>
          <cell r="V797">
            <v>35000</v>
          </cell>
          <cell r="W797" t="str">
            <v>4582114354119</v>
          </cell>
        </row>
        <row r="798">
          <cell r="A798">
            <v>2026</v>
          </cell>
          <cell r="B798">
            <v>6</v>
          </cell>
          <cell r="C798">
            <v>46183</v>
          </cell>
          <cell r="D798" t="str">
            <v>1. SKK store</v>
          </cell>
          <cell r="E798" t="str">
            <v>S1015</v>
          </cell>
          <cell r="F798" t="str">
            <v>SKK Hàm Nghi</v>
          </cell>
          <cell r="G798" t="str">
            <v>0384438655</v>
          </cell>
          <cell r="H798" t="str">
            <v>chị song haiyan</v>
          </cell>
          <cell r="I798" t="str">
            <v>Khách cũ</v>
          </cell>
          <cell r="J798" t="str">
            <v>Đơn bán</v>
          </cell>
          <cell r="K798" t="str">
            <v>SAKUKO805291</v>
          </cell>
          <cell r="L798" t="str">
            <v>CHĂM SÓC SẮC ĐẸP</v>
          </cell>
          <cell r="M798" t="str">
            <v>CHĂM SÓC CƠ THỂ</v>
          </cell>
          <cell r="N798" t="str">
            <v>CHỐNG NẮNG</v>
          </cell>
          <cell r="O798" t="str">
            <v>102417</v>
          </cell>
          <cell r="P798" t="str">
            <v>4902468816093</v>
          </cell>
          <cell r="Q798" t="str">
            <v>MEISHOKU- Kem chống nắng C Vita 100g</v>
          </cell>
          <cell r="R798">
            <v>535000</v>
          </cell>
          <cell r="S798">
            <v>1</v>
          </cell>
          <cell r="T798">
            <v>535000</v>
          </cell>
          <cell r="U798">
            <v>0</v>
          </cell>
          <cell r="V798">
            <v>535000</v>
          </cell>
          <cell r="W798" t="str">
            <v>4902468816093</v>
          </cell>
        </row>
        <row r="799">
          <cell r="A799">
            <v>2026</v>
          </cell>
          <cell r="B799">
            <v>6</v>
          </cell>
          <cell r="C799">
            <v>46183</v>
          </cell>
          <cell r="D799" t="str">
            <v>1. SKK store</v>
          </cell>
          <cell r="E799" t="str">
            <v>S1015</v>
          </cell>
          <cell r="F799" t="str">
            <v>SKK Hàm Nghi</v>
          </cell>
          <cell r="G799" t="str">
            <v>0384438655</v>
          </cell>
          <cell r="H799" t="str">
            <v>chị song haiyan</v>
          </cell>
          <cell r="I799" t="str">
            <v>Khách cũ</v>
          </cell>
          <cell r="J799" t="str">
            <v>Đơn bán</v>
          </cell>
          <cell r="K799" t="str">
            <v>SAKUKO805291</v>
          </cell>
          <cell r="L799" t="str">
            <v>CHĂM SÓC SẮC ĐẸP</v>
          </cell>
          <cell r="M799" t="str">
            <v>CHĂM SÓC DA</v>
          </cell>
          <cell r="N799" t="str">
            <v>RỬA MẶT</v>
          </cell>
          <cell r="O799" t="str">
            <v>102386</v>
          </cell>
          <cell r="P799" t="str">
            <v>4902468816062</v>
          </cell>
          <cell r="Q799" t="str">
            <v>MEISHOKU- Sữa rửa mặt sáng da Cvita 100g</v>
          </cell>
          <cell r="R799">
            <v>290000</v>
          </cell>
          <cell r="S799">
            <v>1</v>
          </cell>
          <cell r="T799">
            <v>290000</v>
          </cell>
          <cell r="U799">
            <v>23200</v>
          </cell>
          <cell r="V799">
            <v>266800</v>
          </cell>
          <cell r="W799" t="str">
            <v>4902468816062</v>
          </cell>
        </row>
        <row r="800">
          <cell r="A800">
            <v>2026</v>
          </cell>
          <cell r="B800">
            <v>6</v>
          </cell>
          <cell r="C800">
            <v>46183</v>
          </cell>
          <cell r="D800" t="str">
            <v>1. SKK store</v>
          </cell>
          <cell r="E800" t="str">
            <v>S1015</v>
          </cell>
          <cell r="F800" t="str">
            <v>SKK Hàm Nghi</v>
          </cell>
          <cell r="G800" t="str">
            <v>0384438655</v>
          </cell>
          <cell r="H800" t="str">
            <v>chị song haiyan</v>
          </cell>
          <cell r="I800" t="str">
            <v>Khách cũ</v>
          </cell>
          <cell r="J800" t="str">
            <v>Đơn bán</v>
          </cell>
          <cell r="K800" t="str">
            <v>SAKUKO805291</v>
          </cell>
          <cell r="L800" t="str">
            <v>CHĂM SÓC SẮC ĐẸP</v>
          </cell>
          <cell r="M800" t="str">
            <v>CHĂM SÓC DA</v>
          </cell>
          <cell r="N800" t="str">
            <v>RỬA MẶT</v>
          </cell>
          <cell r="O800" t="str">
            <v>230269</v>
          </cell>
          <cell r="P800" t="str">
            <v>4987241173242</v>
          </cell>
          <cell r="Q800" t="str">
            <v>ROHTO- SRM Melano CC mờ thâm nám (130g)</v>
          </cell>
          <cell r="R800">
            <v>294000</v>
          </cell>
          <cell r="S800">
            <v>1</v>
          </cell>
          <cell r="T800">
            <v>294000</v>
          </cell>
          <cell r="U800">
            <v>117600</v>
          </cell>
          <cell r="V800">
            <v>176400</v>
          </cell>
          <cell r="W800" t="str">
            <v>4987241173242</v>
          </cell>
        </row>
        <row r="801">
          <cell r="A801">
            <v>2026</v>
          </cell>
          <cell r="B801">
            <v>6</v>
          </cell>
          <cell r="C801">
            <v>46183</v>
          </cell>
          <cell r="D801" t="str">
            <v>1. SKK store</v>
          </cell>
          <cell r="E801" t="str">
            <v>S1015</v>
          </cell>
          <cell r="F801" t="str">
            <v>SKK Hàm Nghi</v>
          </cell>
          <cell r="G801" t="str">
            <v>0389938971</v>
          </cell>
          <cell r="H801" t="str">
            <v>chị mai</v>
          </cell>
          <cell r="I801" t="str">
            <v>Khách cũ</v>
          </cell>
          <cell r="J801" t="str">
            <v>Đơn bán</v>
          </cell>
          <cell r="K801" t="str">
            <v>SAKUKO806098</v>
          </cell>
          <cell r="L801" t="str">
            <v>NHÀ CỬA ĐỜI SỐNG</v>
          </cell>
          <cell r="M801" t="str">
            <v>KHĂN</v>
          </cell>
          <cell r="N801" t="str">
            <v>KHĂN MẶT</v>
          </cell>
          <cell r="O801" t="str">
            <v>102390</v>
          </cell>
          <cell r="P801" t="str">
            <v>4906327905980</v>
          </cell>
          <cell r="Q801" t="str">
            <v>KOMODA - Khăn mặt khô dùng 1 lần 46m 20x20cm</v>
          </cell>
          <cell r="R801">
            <v>52000</v>
          </cell>
          <cell r="S801">
            <v>1</v>
          </cell>
          <cell r="T801">
            <v>52000</v>
          </cell>
          <cell r="U801">
            <v>0</v>
          </cell>
          <cell r="V801">
            <v>52000</v>
          </cell>
          <cell r="W801" t="str">
            <v>4906327905980</v>
          </cell>
        </row>
        <row r="802">
          <cell r="A802">
            <v>2026</v>
          </cell>
          <cell r="B802">
            <v>6</v>
          </cell>
          <cell r="C802">
            <v>46183</v>
          </cell>
          <cell r="D802" t="str">
            <v>1. SKK store</v>
          </cell>
          <cell r="E802" t="str">
            <v>S1018</v>
          </cell>
          <cell r="F802" t="str">
            <v>SKK Nguyễn Tuân</v>
          </cell>
          <cell r="G802" t="str">
            <v>0988123269</v>
          </cell>
          <cell r="H802" t="str">
            <v>chị Hải 170519</v>
          </cell>
          <cell r="I802" t="str">
            <v>Khách cũ</v>
          </cell>
          <cell r="J802" t="str">
            <v>Đơn bán</v>
          </cell>
          <cell r="K802" t="str">
            <v>SAKUKO805833</v>
          </cell>
          <cell r="L802" t="str">
            <v>CHĂM SÓC SẮC ĐẸP</v>
          </cell>
          <cell r="M802" t="str">
            <v>CHĂM SÓC TÓC</v>
          </cell>
          <cell r="N802" t="str">
            <v>TẠO KIỂU TÓC</v>
          </cell>
          <cell r="O802" t="str">
            <v>101904</v>
          </cell>
          <cell r="P802" t="str">
            <v>45131639</v>
          </cell>
          <cell r="Q802" t="str">
            <v>GATSBY- Sáp vuốt tóc tạo kiểu vuốt đứng 80g</v>
          </cell>
          <cell r="R802">
            <v>150000</v>
          </cell>
          <cell r="S802">
            <v>1</v>
          </cell>
          <cell r="T802">
            <v>150000</v>
          </cell>
          <cell r="U802">
            <v>15000</v>
          </cell>
          <cell r="V802">
            <v>135000</v>
          </cell>
          <cell r="W802" t="str">
            <v>45131639</v>
          </cell>
        </row>
        <row r="803">
          <cell r="A803">
            <v>2026</v>
          </cell>
          <cell r="B803">
            <v>6</v>
          </cell>
          <cell r="C803">
            <v>46182</v>
          </cell>
          <cell r="D803" t="str">
            <v>1. SKK store</v>
          </cell>
          <cell r="E803" t="str">
            <v>S1005</v>
          </cell>
          <cell r="F803" t="str">
            <v>SKK  Thái Hà</v>
          </cell>
          <cell r="G803" t="str">
            <v>0903296135</v>
          </cell>
          <cell r="H803" t="str">
            <v>Cô Nguyễn Thị Nhã</v>
          </cell>
          <cell r="I803" t="str">
            <v>Khách cũ</v>
          </cell>
          <cell r="J803" t="str">
            <v>Đơn bán</v>
          </cell>
          <cell r="K803" t="str">
            <v>SAKUKO804382</v>
          </cell>
          <cell r="L803" t="str">
            <v>THỰC PHẨM</v>
          </cell>
          <cell r="M803" t="str">
            <v>MỲ, MIẾN</v>
          </cell>
          <cell r="N803" t="str">
            <v>MỲ ĂN LIỀN</v>
          </cell>
          <cell r="O803" t="str">
            <v>154333</v>
          </cell>
          <cell r="P803" t="str">
            <v>4901990325547</v>
          </cell>
          <cell r="Q803" t="str">
            <v>MARUCHAN-Mì hộp ramen hoành thánh nước tương 117g</v>
          </cell>
          <cell r="R803">
            <v>45000</v>
          </cell>
          <cell r="S803">
            <v>2</v>
          </cell>
          <cell r="T803">
            <v>90000</v>
          </cell>
          <cell r="U803">
            <v>0</v>
          </cell>
          <cell r="V803">
            <v>90000</v>
          </cell>
          <cell r="W803" t="str">
            <v>4901990325547</v>
          </cell>
        </row>
        <row r="804">
          <cell r="A804">
            <v>2026</v>
          </cell>
          <cell r="B804">
            <v>6</v>
          </cell>
          <cell r="C804">
            <v>46182</v>
          </cell>
          <cell r="D804" t="str">
            <v>1. SKK store</v>
          </cell>
          <cell r="E804" t="str">
            <v>S1005</v>
          </cell>
          <cell r="F804" t="str">
            <v>SKK  Thái Hà</v>
          </cell>
          <cell r="G804" t="str">
            <v>0903296135</v>
          </cell>
          <cell r="H804" t="str">
            <v>Cô Nguyễn Thị Nhã</v>
          </cell>
          <cell r="I804" t="str">
            <v>Khách cũ</v>
          </cell>
          <cell r="J804" t="str">
            <v>Đơn bán</v>
          </cell>
          <cell r="K804" t="str">
            <v>SAKUKO804382</v>
          </cell>
          <cell r="L804" t="str">
            <v>THỰC PHẨM</v>
          </cell>
          <cell r="M804" t="str">
            <v>MỲ, MIẾN</v>
          </cell>
          <cell r="N804" t="str">
            <v>MỲ ĂN LIỀN</v>
          </cell>
          <cell r="O804" t="str">
            <v>154359</v>
          </cell>
          <cell r="P804" t="str">
            <v>4979397000138</v>
          </cell>
          <cell r="Q804" t="str">
            <v>YAMAMOTO- Mì ramen ăn liền hải sản thịt heo 88g*5</v>
          </cell>
          <cell r="R804">
            <v>99000</v>
          </cell>
          <cell r="S804">
            <v>1</v>
          </cell>
          <cell r="T804">
            <v>99000</v>
          </cell>
          <cell r="U804">
            <v>0</v>
          </cell>
          <cell r="V804">
            <v>99000</v>
          </cell>
          <cell r="W804" t="str">
            <v>4979397000138</v>
          </cell>
        </row>
        <row r="805">
          <cell r="A805">
            <v>2026</v>
          </cell>
          <cell r="B805">
            <v>6</v>
          </cell>
          <cell r="C805">
            <v>46182</v>
          </cell>
          <cell r="D805" t="str">
            <v>1. SKK store</v>
          </cell>
          <cell r="E805" t="str">
            <v>S1005</v>
          </cell>
          <cell r="F805" t="str">
            <v>SKK  Thái Hà</v>
          </cell>
          <cell r="G805" t="str">
            <v>0986877895</v>
          </cell>
          <cell r="H805" t="str">
            <v>c Giang</v>
          </cell>
          <cell r="I805" t="str">
            <v>Khách mới</v>
          </cell>
          <cell r="J805" t="str">
            <v>Đơn bán</v>
          </cell>
          <cell r="K805" t="str">
            <v>SAKUKO804235</v>
          </cell>
          <cell r="L805" t="str">
            <v>CHĂM SÓC SẮC ĐẸP</v>
          </cell>
          <cell r="M805" t="str">
            <v>Mỹ phẩm khác</v>
          </cell>
          <cell r="N805" t="str">
            <v>PHỤ KIỆN LÀM ĐẸP</v>
          </cell>
          <cell r="O805" t="str">
            <v>102389</v>
          </cell>
          <cell r="P805" t="str">
            <v>4969757110652</v>
          </cell>
          <cell r="Q805" t="str">
            <v>KYOWA- Gói bông tẩy trang 130 miếng</v>
          </cell>
          <cell r="R805">
            <v>49000</v>
          </cell>
          <cell r="S805">
            <v>1</v>
          </cell>
          <cell r="T805">
            <v>49000</v>
          </cell>
          <cell r="U805">
            <v>0</v>
          </cell>
          <cell r="V805">
            <v>49000</v>
          </cell>
          <cell r="W805" t="str">
            <v>4969757110652</v>
          </cell>
        </row>
        <row r="806">
          <cell r="A806">
            <v>2026</v>
          </cell>
          <cell r="B806">
            <v>6</v>
          </cell>
          <cell r="C806">
            <v>46182</v>
          </cell>
          <cell r="D806" t="str">
            <v>1. SKK store</v>
          </cell>
          <cell r="E806" t="str">
            <v>S1006</v>
          </cell>
          <cell r="F806" t="str">
            <v>SKK Trần Đăng Ninh</v>
          </cell>
          <cell r="G806" t="str">
            <v>0862954688</v>
          </cell>
          <cell r="H806" t="str">
            <v>KLTDN</v>
          </cell>
          <cell r="I806" t="str">
            <v>Khách vãng lai</v>
          </cell>
          <cell r="J806" t="str">
            <v>Đơn bán</v>
          </cell>
          <cell r="K806" t="str">
            <v>SAKUKO804136</v>
          </cell>
          <cell r="L806" t="str">
            <v>THỰC PHẨM</v>
          </cell>
          <cell r="M806" t="str">
            <v>BÁNH KẸO, ĐỒ ĂN VẶT</v>
          </cell>
          <cell r="N806" t="str">
            <v>KẸO CAO SU</v>
          </cell>
          <cell r="O806" t="str">
            <v>153932</v>
          </cell>
          <cell r="P806" t="str">
            <v>4903333241651</v>
          </cell>
          <cell r="Q806" t="str">
            <v>LOTTE - Kẹo cao su black black ít đường 133g</v>
          </cell>
          <cell r="R806">
            <v>235000</v>
          </cell>
          <cell r="S806">
            <v>1</v>
          </cell>
          <cell r="T806">
            <v>235000</v>
          </cell>
          <cell r="U806">
            <v>0</v>
          </cell>
          <cell r="V806">
            <v>235000</v>
          </cell>
          <cell r="W806" t="str">
            <v>4903333241651</v>
          </cell>
        </row>
        <row r="807">
          <cell r="A807">
            <v>2026</v>
          </cell>
          <cell r="B807">
            <v>6</v>
          </cell>
          <cell r="C807">
            <v>46182</v>
          </cell>
          <cell r="D807" t="str">
            <v>1. SKK store</v>
          </cell>
          <cell r="E807" t="str">
            <v>S1006</v>
          </cell>
          <cell r="F807" t="str">
            <v>SKK Trần Đăng Ninh</v>
          </cell>
          <cell r="G807" t="str">
            <v>0904255931</v>
          </cell>
          <cell r="H807" t="str">
            <v>chị Hằng</v>
          </cell>
          <cell r="I807" t="str">
            <v>Khách cũ</v>
          </cell>
          <cell r="J807" t="str">
            <v>Đơn bán</v>
          </cell>
          <cell r="K807" t="str">
            <v>SAKUKO804165</v>
          </cell>
          <cell r="L807" t="str">
            <v>THỰC PHẨM</v>
          </cell>
          <cell r="M807" t="str">
            <v>MỲ, MIẾN</v>
          </cell>
          <cell r="N807" t="str">
            <v>MỲ ĂN LIỀN</v>
          </cell>
          <cell r="O807" t="str">
            <v>154198</v>
          </cell>
          <cell r="P807" t="str">
            <v>4979397000145</v>
          </cell>
          <cell r="Q807" t="str">
            <v>YAMAMOTO_Mì ramen ăn liền vị miso 90g*5</v>
          </cell>
          <cell r="R807">
            <v>99000</v>
          </cell>
          <cell r="S807">
            <v>1</v>
          </cell>
          <cell r="T807">
            <v>99000</v>
          </cell>
          <cell r="U807">
            <v>0</v>
          </cell>
          <cell r="V807">
            <v>99000</v>
          </cell>
          <cell r="W807" t="str">
            <v>4979397000145</v>
          </cell>
        </row>
        <row r="808">
          <cell r="A808">
            <v>2026</v>
          </cell>
          <cell r="B808">
            <v>6</v>
          </cell>
          <cell r="C808">
            <v>46182</v>
          </cell>
          <cell r="D808" t="str">
            <v>1. SKK store</v>
          </cell>
          <cell r="E808" t="str">
            <v>S1006</v>
          </cell>
          <cell r="F808" t="str">
            <v>SKK Trần Đăng Ninh</v>
          </cell>
          <cell r="G808" t="str">
            <v>0971532525</v>
          </cell>
          <cell r="H808" t="str">
            <v>Chị Dương</v>
          </cell>
          <cell r="I808" t="str">
            <v>Khách cũ</v>
          </cell>
          <cell r="J808" t="str">
            <v>Đơn bán</v>
          </cell>
          <cell r="K808" t="str">
            <v>SAKUKO804576</v>
          </cell>
          <cell r="L808" t="str">
            <v>NHÀ CỬA ĐỜI SỐNG</v>
          </cell>
          <cell r="M808" t="str">
            <v>ĐỒ DÙNG SINH HOẠT GIA ĐÌNH</v>
          </cell>
          <cell r="N808" t="str">
            <v>VẬT DỤNG SINH HOẠT KHÁC</v>
          </cell>
          <cell r="O808" t="str">
            <v>135039</v>
          </cell>
          <cell r="P808" t="str">
            <v>4968988074993</v>
          </cell>
          <cell r="Q808" t="str">
            <v>OMAICHI- Set 2 lọ chiết mỹ phẩm 40ml kèm hộp đựng</v>
          </cell>
          <cell r="R808">
            <v>52000</v>
          </cell>
          <cell r="S808">
            <v>1</v>
          </cell>
          <cell r="T808">
            <v>52000</v>
          </cell>
          <cell r="U808">
            <v>0</v>
          </cell>
          <cell r="V808">
            <v>52000</v>
          </cell>
          <cell r="W808" t="str">
            <v>4968988074993</v>
          </cell>
        </row>
        <row r="809">
          <cell r="A809">
            <v>2026</v>
          </cell>
          <cell r="B809">
            <v>6</v>
          </cell>
          <cell r="C809">
            <v>46182</v>
          </cell>
          <cell r="D809" t="str">
            <v>1. SKK store</v>
          </cell>
          <cell r="E809" t="str">
            <v>S1006</v>
          </cell>
          <cell r="F809" t="str">
            <v>SKK Trần Đăng Ninh</v>
          </cell>
          <cell r="G809" t="str">
            <v>0972273232</v>
          </cell>
          <cell r="H809" t="str">
            <v>chị Duyên</v>
          </cell>
          <cell r="I809" t="str">
            <v>Khách cũ</v>
          </cell>
          <cell r="J809" t="str">
            <v>Đơn bán</v>
          </cell>
          <cell r="K809" t="str">
            <v>SAKUKO804147</v>
          </cell>
          <cell r="L809" t="str">
            <v>CHĂM SÓC SẮC ĐẸP</v>
          </cell>
          <cell r="M809" t="str">
            <v>CHĂM SÓC DA</v>
          </cell>
          <cell r="N809" t="str">
            <v>KEM DƯỠNG</v>
          </cell>
          <cell r="O809" t="str">
            <v>102420</v>
          </cell>
          <cell r="P809" t="str">
            <v>4902468820007</v>
          </cell>
          <cell r="Q809" t="str">
            <v>MEISHOKU- Tinh chất dưỡng ẩm chuyên sâu 30ml</v>
          </cell>
          <cell r="R809">
            <v>555000</v>
          </cell>
          <cell r="S809">
            <v>1</v>
          </cell>
          <cell r="T809">
            <v>555000</v>
          </cell>
          <cell r="U809">
            <v>44400</v>
          </cell>
          <cell r="V809">
            <v>510600</v>
          </cell>
          <cell r="W809" t="str">
            <v>4902468820007</v>
          </cell>
        </row>
        <row r="810">
          <cell r="A810">
            <v>2026</v>
          </cell>
          <cell r="B810">
            <v>6</v>
          </cell>
          <cell r="C810">
            <v>46182</v>
          </cell>
          <cell r="D810" t="str">
            <v>1. SKK store</v>
          </cell>
          <cell r="E810" t="str">
            <v>S1006</v>
          </cell>
          <cell r="F810" t="str">
            <v>SKK Trần Đăng Ninh</v>
          </cell>
          <cell r="G810" t="str">
            <v>0988465889</v>
          </cell>
          <cell r="H810" t="str">
            <v>chị dung</v>
          </cell>
          <cell r="I810" t="str">
            <v>Khách cũ</v>
          </cell>
          <cell r="J810" t="str">
            <v>Đơn bán</v>
          </cell>
          <cell r="K810" t="str">
            <v>SAKUKO804460</v>
          </cell>
          <cell r="L810" t="str">
            <v>CHĂM SÓC SẮC ĐẸP</v>
          </cell>
          <cell r="M810" t="str">
            <v>CHĂM SÓC CƠ THỂ</v>
          </cell>
          <cell r="N810" t="str">
            <v>CHỐNG NẮNG</v>
          </cell>
          <cell r="O810" t="str">
            <v>102422</v>
          </cell>
          <cell r="P810" t="str">
            <v>4902468297151</v>
          </cell>
          <cell r="Q810" t="str">
            <v>MEISHOU- KCN tone hồng cho da nhạy cảm 40g</v>
          </cell>
          <cell r="R810">
            <v>435000</v>
          </cell>
          <cell r="S810">
            <v>1</v>
          </cell>
          <cell r="T810">
            <v>435000</v>
          </cell>
          <cell r="U810">
            <v>0</v>
          </cell>
          <cell r="V810">
            <v>435000</v>
          </cell>
          <cell r="W810" t="str">
            <v>4902468297151</v>
          </cell>
        </row>
        <row r="811">
          <cell r="A811">
            <v>2026</v>
          </cell>
          <cell r="B811">
            <v>6</v>
          </cell>
          <cell r="C811">
            <v>46182</v>
          </cell>
          <cell r="D811" t="str">
            <v>1. SKK store</v>
          </cell>
          <cell r="E811" t="str">
            <v>S1006</v>
          </cell>
          <cell r="F811" t="str">
            <v>SKK Trần Đăng Ninh</v>
          </cell>
          <cell r="G811" t="str">
            <v>0988465889</v>
          </cell>
          <cell r="H811" t="str">
            <v>chị dung</v>
          </cell>
          <cell r="I811" t="str">
            <v>Khách cũ</v>
          </cell>
          <cell r="J811" t="str">
            <v>Đơn bán</v>
          </cell>
          <cell r="K811" t="str">
            <v>SAKUKO804460</v>
          </cell>
          <cell r="L811" t="str">
            <v>NHÀ CỬA ĐỜI SỐNG</v>
          </cell>
          <cell r="M811" t="str">
            <v>ĐỒ DÙNG SINH HOẠT GIA ĐÌNH</v>
          </cell>
          <cell r="N811" t="str">
            <v>VẬT DỤNG SINH HOẠT KHÁC</v>
          </cell>
          <cell r="O811" t="str">
            <v>135039</v>
          </cell>
          <cell r="P811" t="str">
            <v>4968988074993</v>
          </cell>
          <cell r="Q811" t="str">
            <v>OMAICHI- Set 2 lọ chiết mỹ phẩm 40ml kèm hộp đựng</v>
          </cell>
          <cell r="R811">
            <v>52000</v>
          </cell>
          <cell r="S811">
            <v>1</v>
          </cell>
          <cell r="T811">
            <v>52000</v>
          </cell>
          <cell r="U811">
            <v>0</v>
          </cell>
          <cell r="V811">
            <v>52000</v>
          </cell>
          <cell r="W811" t="str">
            <v>4968988074993</v>
          </cell>
        </row>
        <row r="812">
          <cell r="A812">
            <v>2026</v>
          </cell>
          <cell r="B812">
            <v>6</v>
          </cell>
          <cell r="C812">
            <v>46182</v>
          </cell>
          <cell r="D812" t="str">
            <v>1. SKK store</v>
          </cell>
          <cell r="E812" t="str">
            <v>S1007</v>
          </cell>
          <cell r="F812" t="str">
            <v>SKK  Nguyễn Du</v>
          </cell>
          <cell r="G812" t="str">
            <v>0862954339</v>
          </cell>
          <cell r="H812" t="str">
            <v>Klnd</v>
          </cell>
          <cell r="I812" t="str">
            <v>Khách vãng lai</v>
          </cell>
          <cell r="J812" t="str">
            <v>Đơn bán</v>
          </cell>
          <cell r="K812" t="str">
            <v>SAKUKO804921</v>
          </cell>
          <cell r="L812" t="str">
            <v>CHĂM SÓC SẮC ĐẸP</v>
          </cell>
          <cell r="M812" t="str">
            <v>CHĂM SÓC TÓC</v>
          </cell>
          <cell r="N812" t="str">
            <v>TẠO KIỂU TÓC</v>
          </cell>
          <cell r="O812" t="str">
            <v>101906</v>
          </cell>
          <cell r="P812" t="str">
            <v>4902806108781</v>
          </cell>
          <cell r="Q812" t="str">
            <v>GATSBY-  Sáp vuốt tóc tạo độ phồng 80g</v>
          </cell>
          <cell r="R812">
            <v>150000</v>
          </cell>
          <cell r="S812">
            <v>1</v>
          </cell>
          <cell r="T812">
            <v>150000</v>
          </cell>
          <cell r="U812">
            <v>15000</v>
          </cell>
          <cell r="V812">
            <v>135000</v>
          </cell>
          <cell r="W812" t="str">
            <v>4902806108781</v>
          </cell>
        </row>
        <row r="813">
          <cell r="A813">
            <v>2026</v>
          </cell>
          <cell r="B813">
            <v>6</v>
          </cell>
          <cell r="C813">
            <v>46182</v>
          </cell>
          <cell r="D813" t="str">
            <v>1. SKK store</v>
          </cell>
          <cell r="E813" t="str">
            <v>S1008</v>
          </cell>
          <cell r="F813" t="str">
            <v>SKK  Hàng Bông</v>
          </cell>
          <cell r="G813" t="str">
            <v>02466810202</v>
          </cell>
          <cell r="H813" t="str">
            <v>KH Tây</v>
          </cell>
          <cell r="I813" t="str">
            <v>Khách vãng lai</v>
          </cell>
          <cell r="J813" t="str">
            <v>Đơn bán</v>
          </cell>
          <cell r="K813" t="str">
            <v>SAKUKO804336</v>
          </cell>
          <cell r="L813" t="str">
            <v>CHĂM SÓC SẮC ĐẸP</v>
          </cell>
          <cell r="M813" t="str">
            <v>CHĂM SÓC DA</v>
          </cell>
          <cell r="N813" t="str">
            <v>KEM DƯỠNG</v>
          </cell>
          <cell r="O813" t="str">
            <v>102415</v>
          </cell>
          <cell r="P813" t="str">
            <v>4902468816024</v>
          </cell>
          <cell r="Q813" t="str">
            <v>MEISHOKU- Tinh chất dưỡng Cvita 30g</v>
          </cell>
          <cell r="R813">
            <v>535000</v>
          </cell>
          <cell r="S813">
            <v>1</v>
          </cell>
          <cell r="T813">
            <v>535000</v>
          </cell>
          <cell r="U813">
            <v>42800</v>
          </cell>
          <cell r="V813">
            <v>492200</v>
          </cell>
          <cell r="W813" t="str">
            <v>4902468816024</v>
          </cell>
        </row>
        <row r="814">
          <cell r="A814">
            <v>2026</v>
          </cell>
          <cell r="B814">
            <v>6</v>
          </cell>
          <cell r="C814">
            <v>46182</v>
          </cell>
          <cell r="D814" t="str">
            <v>1. SKK store</v>
          </cell>
          <cell r="E814" t="str">
            <v>S1008</v>
          </cell>
          <cell r="F814" t="str">
            <v>SKK  Hàng Bông</v>
          </cell>
          <cell r="G814" t="str">
            <v>02466810202</v>
          </cell>
          <cell r="H814" t="str">
            <v>KH Tây</v>
          </cell>
          <cell r="I814" t="str">
            <v>Khách vãng lai</v>
          </cell>
          <cell r="J814" t="str">
            <v>Đơn bán</v>
          </cell>
          <cell r="K814" t="str">
            <v>SAKUKO804862</v>
          </cell>
          <cell r="L814" t="str">
            <v>ĐỒ CHO MẸ BÉ</v>
          </cell>
          <cell r="M814" t="str">
            <v>GIẤY ƯỚT</v>
          </cell>
          <cell r="N814" t="str">
            <v>GIẤY ƯỚT CHO BÉ</v>
          </cell>
          <cell r="O814" t="str">
            <v>121662</v>
          </cell>
          <cell r="P814" t="str">
            <v>8934755035036</v>
          </cell>
          <cell r="Q814" t="str">
            <v>FRESSI- Khăn ướt Care For All 20 miếng</v>
          </cell>
          <cell r="R814">
            <v>14000</v>
          </cell>
          <cell r="S814">
            <v>2</v>
          </cell>
          <cell r="T814">
            <v>28000</v>
          </cell>
          <cell r="U814">
            <v>0</v>
          </cell>
          <cell r="V814">
            <v>28000</v>
          </cell>
          <cell r="W814" t="str">
            <v>8934755035036</v>
          </cell>
        </row>
        <row r="815">
          <cell r="A815">
            <v>2026</v>
          </cell>
          <cell r="B815">
            <v>6</v>
          </cell>
          <cell r="C815">
            <v>46182</v>
          </cell>
          <cell r="D815" t="str">
            <v>1. SKK store</v>
          </cell>
          <cell r="E815" t="str">
            <v>S1008</v>
          </cell>
          <cell r="F815" t="str">
            <v>SKK  Hàng Bông</v>
          </cell>
          <cell r="G815" t="str">
            <v>0369289865</v>
          </cell>
          <cell r="H815" t="str">
            <v>Cô Hương</v>
          </cell>
          <cell r="I815" t="str">
            <v>Khách cũ</v>
          </cell>
          <cell r="J815" t="str">
            <v>Đơn bán</v>
          </cell>
          <cell r="K815" t="str">
            <v>SAKUKO804086</v>
          </cell>
          <cell r="L815" t="str">
            <v>THỰC PHẨM</v>
          </cell>
          <cell r="M815" t="str">
            <v>MỲ, MIẾN</v>
          </cell>
          <cell r="N815" t="str">
            <v>MỲ ĂN LIỀN</v>
          </cell>
          <cell r="O815" t="str">
            <v>154333</v>
          </cell>
          <cell r="P815" t="str">
            <v>4901990325547</v>
          </cell>
          <cell r="Q815" t="str">
            <v>MARUCHAN-Mì hộp ramen hoành thánh nước tương 117g</v>
          </cell>
          <cell r="R815">
            <v>45000</v>
          </cell>
          <cell r="S815">
            <v>1</v>
          </cell>
          <cell r="T815">
            <v>45000</v>
          </cell>
          <cell r="U815">
            <v>0</v>
          </cell>
          <cell r="V815">
            <v>45000</v>
          </cell>
          <cell r="W815" t="str">
            <v>4901990325547</v>
          </cell>
        </row>
        <row r="816">
          <cell r="A816">
            <v>2026</v>
          </cell>
          <cell r="B816">
            <v>6</v>
          </cell>
          <cell r="C816">
            <v>46182</v>
          </cell>
          <cell r="D816" t="str">
            <v>1. SKK store</v>
          </cell>
          <cell r="E816" t="str">
            <v>S1008</v>
          </cell>
          <cell r="F816" t="str">
            <v>SKK  Hàng Bông</v>
          </cell>
          <cell r="G816" t="str">
            <v>0908200187</v>
          </cell>
          <cell r="H816" t="str">
            <v>CHI PHUONG HANH</v>
          </cell>
          <cell r="I816" t="str">
            <v>Khách cũ</v>
          </cell>
          <cell r="J816" t="str">
            <v>Đơn bán</v>
          </cell>
          <cell r="K816" t="str">
            <v>SAKUKO804870</v>
          </cell>
          <cell r="L816" t="str">
            <v>CHĂM SÓC SẮC ĐẸP</v>
          </cell>
          <cell r="M816" t="str">
            <v>Mỹ phẩm khác</v>
          </cell>
          <cell r="N816" t="str">
            <v>PHỤ KIỆN LÀM ĐẸP</v>
          </cell>
          <cell r="O816" t="str">
            <v>102389</v>
          </cell>
          <cell r="P816" t="str">
            <v>4969757110652</v>
          </cell>
          <cell r="Q816" t="str">
            <v>KYOWA- Gói bông tẩy trang 130 miếng</v>
          </cell>
          <cell r="R816">
            <v>49000</v>
          </cell>
          <cell r="S816">
            <v>2</v>
          </cell>
          <cell r="T816">
            <v>98000</v>
          </cell>
          <cell r="U816">
            <v>0</v>
          </cell>
          <cell r="V816">
            <v>98000</v>
          </cell>
          <cell r="W816" t="str">
            <v>4969757110652</v>
          </cell>
        </row>
        <row r="817">
          <cell r="A817">
            <v>2026</v>
          </cell>
          <cell r="B817">
            <v>6</v>
          </cell>
          <cell r="C817">
            <v>46182</v>
          </cell>
          <cell r="D817" t="str">
            <v>1. SKK store</v>
          </cell>
          <cell r="E817" t="str">
            <v>S1008</v>
          </cell>
          <cell r="F817" t="str">
            <v>SKK  Hàng Bông</v>
          </cell>
          <cell r="G817" t="str">
            <v>0913441004</v>
          </cell>
          <cell r="H817" t="str">
            <v>anh Hiệp</v>
          </cell>
          <cell r="I817" t="str">
            <v>Khách cũ</v>
          </cell>
          <cell r="J817" t="str">
            <v>Đơn bán</v>
          </cell>
          <cell r="K817" t="str">
            <v>SAKUKO804627</v>
          </cell>
          <cell r="L817" t="str">
            <v>CHĂM SÓC SẮC ĐẸP</v>
          </cell>
          <cell r="M817" t="str">
            <v>CHĂM SÓC DA</v>
          </cell>
          <cell r="N817" t="str">
            <v>CHĂM SÓC DA KHÁC</v>
          </cell>
          <cell r="O817" t="str">
            <v>102388</v>
          </cell>
          <cell r="P817" t="str">
            <v>8935006542914</v>
          </cell>
          <cell r="Q817" t="str">
            <v>HADA LABO- Bộ sản phẩm dưỡng trắng (travel kit)47g</v>
          </cell>
          <cell r="R817">
            <v>135000</v>
          </cell>
          <cell r="S817">
            <v>1</v>
          </cell>
          <cell r="T817">
            <v>135000</v>
          </cell>
          <cell r="U817">
            <v>26000</v>
          </cell>
          <cell r="V817">
            <v>109000</v>
          </cell>
          <cell r="W817" t="str">
            <v>8935006542914</v>
          </cell>
        </row>
        <row r="818">
          <cell r="A818">
            <v>2026</v>
          </cell>
          <cell r="B818">
            <v>6</v>
          </cell>
          <cell r="C818">
            <v>46182</v>
          </cell>
          <cell r="D818" t="str">
            <v>1. SKK store</v>
          </cell>
          <cell r="E818" t="str">
            <v>S1015</v>
          </cell>
          <cell r="F818" t="str">
            <v>SKK Hàm Nghi</v>
          </cell>
          <cell r="G818" t="str">
            <v>0945758662</v>
          </cell>
          <cell r="H818" t="str">
            <v>chị sang</v>
          </cell>
          <cell r="I818" t="str">
            <v>Khách cũ</v>
          </cell>
          <cell r="J818" t="str">
            <v>Đơn bán</v>
          </cell>
          <cell r="K818" t="str">
            <v>SAKUKO804742</v>
          </cell>
          <cell r="L818" t="str">
            <v>THỰC PHẨM</v>
          </cell>
          <cell r="M818" t="str">
            <v>MỲ, MIẾN</v>
          </cell>
          <cell r="N818" t="str">
            <v>MỲ ĂN LIỀN</v>
          </cell>
          <cell r="O818" t="str">
            <v>154359</v>
          </cell>
          <cell r="P818" t="str">
            <v>4979397000138</v>
          </cell>
          <cell r="Q818" t="str">
            <v>YAMAMOTO- Mì ramen ăn liền hải sản thịt heo 88g*5</v>
          </cell>
          <cell r="R818">
            <v>99000</v>
          </cell>
          <cell r="S818">
            <v>1</v>
          </cell>
          <cell r="T818">
            <v>99000</v>
          </cell>
          <cell r="U818">
            <v>0</v>
          </cell>
          <cell r="V818">
            <v>99000</v>
          </cell>
          <cell r="W818" t="str">
            <v>4979397000138</v>
          </cell>
        </row>
        <row r="819">
          <cell r="A819">
            <v>2026</v>
          </cell>
          <cell r="B819">
            <v>6</v>
          </cell>
          <cell r="C819">
            <v>46182</v>
          </cell>
          <cell r="D819" t="str">
            <v>1. SKK store</v>
          </cell>
          <cell r="E819" t="str">
            <v>S1015</v>
          </cell>
          <cell r="F819" t="str">
            <v>SKK Hàm Nghi</v>
          </cell>
          <cell r="G819" t="str">
            <v>0982508581</v>
          </cell>
          <cell r="H819" t="str">
            <v>c Quỳnh Anh</v>
          </cell>
          <cell r="I819" t="str">
            <v>Khách cũ</v>
          </cell>
          <cell r="J819" t="str">
            <v>Đơn bán</v>
          </cell>
          <cell r="K819" t="str">
            <v>SAKUKO804681</v>
          </cell>
          <cell r="L819" t="str">
            <v>THỰC PHẨM</v>
          </cell>
          <cell r="M819" t="str">
            <v>BÁNH KẸO, ĐỒ ĂN VẶT</v>
          </cell>
          <cell r="N819" t="str">
            <v>KẸO CAO SU</v>
          </cell>
          <cell r="O819" t="str">
            <v>231377</v>
          </cell>
          <cell r="P819" t="str">
            <v>4903333200375</v>
          </cell>
          <cell r="Q819" t="str">
            <v>LOTTE-Kẹo cao su tổng hợp dạng lọ 114g</v>
          </cell>
          <cell r="R819">
            <v>235000</v>
          </cell>
          <cell r="S819">
            <v>1</v>
          </cell>
          <cell r="T819">
            <v>235000</v>
          </cell>
          <cell r="U819">
            <v>0</v>
          </cell>
          <cell r="V819">
            <v>235000</v>
          </cell>
          <cell r="W819" t="str">
            <v>4903333200375</v>
          </cell>
        </row>
        <row r="820">
          <cell r="A820">
            <v>2026</v>
          </cell>
          <cell r="B820">
            <v>6</v>
          </cell>
          <cell r="C820">
            <v>46182</v>
          </cell>
          <cell r="D820" t="str">
            <v>1. SKK store</v>
          </cell>
          <cell r="E820" t="str">
            <v>S1015</v>
          </cell>
          <cell r="F820" t="str">
            <v>SKK Hàm Nghi</v>
          </cell>
          <cell r="G820" t="str">
            <v>0983231276</v>
          </cell>
          <cell r="H820" t="str">
            <v>Chị Thúy</v>
          </cell>
          <cell r="I820" t="str">
            <v>Khách cũ</v>
          </cell>
          <cell r="J820" t="str">
            <v>Đơn bán</v>
          </cell>
          <cell r="K820" t="str">
            <v>SAKUKO805062</v>
          </cell>
          <cell r="L820" t="str">
            <v>NHÀ CỬA ĐỜI SỐNG</v>
          </cell>
          <cell r="M820" t="str">
            <v>ĐỒ DÙNG SINH HOẠT GIA ĐÌNH</v>
          </cell>
          <cell r="N820" t="str">
            <v>VẬT DỤNG SINH HOẠT KHÁC</v>
          </cell>
          <cell r="O820" t="str">
            <v>135039</v>
          </cell>
          <cell r="P820" t="str">
            <v>4968988074993</v>
          </cell>
          <cell r="Q820" t="str">
            <v>OMAICHI- Set 2 lọ chiết mỹ phẩm 40ml kèm hộp đựng</v>
          </cell>
          <cell r="R820">
            <v>52000</v>
          </cell>
          <cell r="S820">
            <v>2</v>
          </cell>
          <cell r="T820">
            <v>104000</v>
          </cell>
          <cell r="U820">
            <v>0</v>
          </cell>
          <cell r="V820">
            <v>104000</v>
          </cell>
          <cell r="W820" t="str">
            <v>4968988074993</v>
          </cell>
        </row>
        <row r="821">
          <cell r="A821">
            <v>2026</v>
          </cell>
          <cell r="B821">
            <v>6</v>
          </cell>
          <cell r="C821">
            <v>46182</v>
          </cell>
          <cell r="D821" t="str">
            <v>1. SKK store</v>
          </cell>
          <cell r="E821" t="str">
            <v>S1018</v>
          </cell>
          <cell r="F821" t="str">
            <v>SKK Nguyễn Tuân</v>
          </cell>
          <cell r="G821" t="str">
            <v>02422174499</v>
          </cell>
          <cell r="H821" t="str">
            <v>klnt</v>
          </cell>
          <cell r="I821" t="str">
            <v>Khách vãng lai</v>
          </cell>
          <cell r="J821" t="str">
            <v>Đơn bán</v>
          </cell>
          <cell r="K821" t="str">
            <v>SAKUKO804327</v>
          </cell>
          <cell r="L821" t="str">
            <v>THỰC PHẨM</v>
          </cell>
          <cell r="M821" t="str">
            <v>MỲ, MIẾN</v>
          </cell>
          <cell r="N821" t="str">
            <v>MỲ CHẾ BIẾN</v>
          </cell>
          <cell r="O821" t="str">
            <v>154249</v>
          </cell>
          <cell r="P821" t="str">
            <v>4517244004627</v>
          </cell>
          <cell r="Q821" t="str">
            <v>ASAHI_Mì udon khô 400g</v>
          </cell>
          <cell r="R821">
            <v>69000</v>
          </cell>
          <cell r="S821">
            <v>1</v>
          </cell>
          <cell r="T821">
            <v>69000</v>
          </cell>
          <cell r="U821">
            <v>0</v>
          </cell>
          <cell r="V821">
            <v>69000</v>
          </cell>
          <cell r="W821" t="str">
            <v>4517244004627</v>
          </cell>
        </row>
        <row r="822">
          <cell r="A822">
            <v>2026</v>
          </cell>
          <cell r="B822">
            <v>6</v>
          </cell>
          <cell r="C822">
            <v>46182</v>
          </cell>
          <cell r="D822" t="str">
            <v>1. SKK store</v>
          </cell>
          <cell r="E822" t="str">
            <v>S1018</v>
          </cell>
          <cell r="F822" t="str">
            <v>SKK Nguyễn Tuân</v>
          </cell>
          <cell r="G822" t="str">
            <v>02422174499</v>
          </cell>
          <cell r="H822" t="str">
            <v>klnt</v>
          </cell>
          <cell r="I822" t="str">
            <v>Khách vãng lai</v>
          </cell>
          <cell r="J822" t="str">
            <v>Đơn bán</v>
          </cell>
          <cell r="K822" t="str">
            <v>SAKUKO804327</v>
          </cell>
          <cell r="L822" t="str">
            <v>THỰC PHẨM</v>
          </cell>
          <cell r="M822" t="str">
            <v>MỲ, MIẾN</v>
          </cell>
          <cell r="N822" t="str">
            <v>MỲ CHẾ BIẾN</v>
          </cell>
          <cell r="O822" t="str">
            <v>175435</v>
          </cell>
          <cell r="P822" t="str">
            <v>4901726014752</v>
          </cell>
          <cell r="Q822" t="str">
            <v>ITSUKI FOODS- Mì soumen rau củ ngũ sắc320g</v>
          </cell>
          <cell r="R822">
            <v>76000</v>
          </cell>
          <cell r="S822">
            <v>1</v>
          </cell>
          <cell r="T822">
            <v>76000</v>
          </cell>
          <cell r="U822">
            <v>0</v>
          </cell>
          <cell r="V822">
            <v>76000</v>
          </cell>
          <cell r="W822" t="str">
            <v>4901726014752</v>
          </cell>
        </row>
        <row r="823">
          <cell r="A823">
            <v>2026</v>
          </cell>
          <cell r="B823">
            <v>6</v>
          </cell>
          <cell r="C823">
            <v>46182</v>
          </cell>
          <cell r="D823" t="str">
            <v>1. SKK store</v>
          </cell>
          <cell r="E823" t="str">
            <v>S1018</v>
          </cell>
          <cell r="F823" t="str">
            <v>SKK Nguyễn Tuân</v>
          </cell>
          <cell r="G823" t="str">
            <v>0367130780</v>
          </cell>
          <cell r="H823" t="str">
            <v>chị Thanh</v>
          </cell>
          <cell r="I823" t="str">
            <v>Khách cũ</v>
          </cell>
          <cell r="J823" t="str">
            <v>Đơn bán</v>
          </cell>
          <cell r="K823" t="str">
            <v>SAKUKO804715</v>
          </cell>
          <cell r="L823" t="str">
            <v>THỰC PHẨM</v>
          </cell>
          <cell r="M823" t="str">
            <v>MỲ, MIẾN</v>
          </cell>
          <cell r="N823" t="str">
            <v>MỲ CHẾ BIẾN</v>
          </cell>
          <cell r="O823" t="str">
            <v>154249</v>
          </cell>
          <cell r="P823" t="str">
            <v>4517244004627</v>
          </cell>
          <cell r="Q823" t="str">
            <v>ASAHI_Mì udon khô 400g</v>
          </cell>
          <cell r="R823">
            <v>69000</v>
          </cell>
          <cell r="S823">
            <v>1</v>
          </cell>
          <cell r="T823">
            <v>69000</v>
          </cell>
          <cell r="U823">
            <v>0</v>
          </cell>
          <cell r="V823">
            <v>69000</v>
          </cell>
          <cell r="W823" t="str">
            <v>4517244004627</v>
          </cell>
        </row>
        <row r="824">
          <cell r="A824">
            <v>2026</v>
          </cell>
          <cell r="B824">
            <v>6</v>
          </cell>
          <cell r="C824">
            <v>46182</v>
          </cell>
          <cell r="D824" t="str">
            <v>1. SKK store</v>
          </cell>
          <cell r="E824" t="str">
            <v>S1018</v>
          </cell>
          <cell r="F824" t="str">
            <v>SKK Nguyễn Tuân</v>
          </cell>
          <cell r="G824" t="str">
            <v>0968608163</v>
          </cell>
          <cell r="H824" t="str">
            <v>chị mai</v>
          </cell>
          <cell r="I824" t="str">
            <v>Khách cũ</v>
          </cell>
          <cell r="J824" t="str">
            <v>Đơn bán</v>
          </cell>
          <cell r="K824" t="str">
            <v>SAKUKO803972</v>
          </cell>
          <cell r="L824" t="str">
            <v>THỰC PHẨM</v>
          </cell>
          <cell r="M824" t="str">
            <v>MỲ, MIẾN</v>
          </cell>
          <cell r="N824" t="str">
            <v>MỲ CHẾ BIẾN</v>
          </cell>
          <cell r="O824" t="str">
            <v>175435</v>
          </cell>
          <cell r="P824" t="str">
            <v>4901726014752</v>
          </cell>
          <cell r="Q824" t="str">
            <v>ITSUKI FOODS- Mì soumen rau củ ngũ sắc320g</v>
          </cell>
          <cell r="R824">
            <v>76000</v>
          </cell>
          <cell r="S824">
            <v>1</v>
          </cell>
          <cell r="T824">
            <v>76000</v>
          </cell>
          <cell r="U824">
            <v>0</v>
          </cell>
          <cell r="V824">
            <v>76000</v>
          </cell>
          <cell r="W824" t="str">
            <v>4901726014752</v>
          </cell>
        </row>
        <row r="825">
          <cell r="A825">
            <v>2026</v>
          </cell>
          <cell r="B825">
            <v>6</v>
          </cell>
          <cell r="C825">
            <v>46182</v>
          </cell>
          <cell r="D825" t="str">
            <v>1. SKK store</v>
          </cell>
          <cell r="E825" t="str">
            <v>S1025</v>
          </cell>
          <cell r="F825" t="str">
            <v>SKK T6 Time City</v>
          </cell>
          <cell r="G825" t="str">
            <v>0899450363</v>
          </cell>
          <cell r="H825" t="str">
            <v>A Zai</v>
          </cell>
          <cell r="I825" t="str">
            <v>Khách cũ</v>
          </cell>
          <cell r="J825" t="str">
            <v>Đơn bán</v>
          </cell>
          <cell r="K825" t="str">
            <v>SAKUKO804259</v>
          </cell>
          <cell r="L825" t="str">
            <v>ĐỒ CHO MẸ BÉ</v>
          </cell>
          <cell r="M825" t="str">
            <v>GIẤY ƯỚT</v>
          </cell>
          <cell r="N825" t="str">
            <v>GIẤY ƯỚT CHO BÉ</v>
          </cell>
          <cell r="O825" t="str">
            <v>121677</v>
          </cell>
          <cell r="P825" t="str">
            <v>8801260608836</v>
          </cell>
          <cell r="Q825" t="str">
            <v>KLEANNARA- Khăn ướt 5 tinh chất (có nắp) 100 tờ</v>
          </cell>
          <cell r="R825">
            <v>52000</v>
          </cell>
          <cell r="S825">
            <v>1</v>
          </cell>
          <cell r="T825">
            <v>52000</v>
          </cell>
          <cell r="U825">
            <v>0</v>
          </cell>
          <cell r="V825">
            <v>52000</v>
          </cell>
          <cell r="W825" t="str">
            <v>8801260608836</v>
          </cell>
        </row>
        <row r="826">
          <cell r="A826">
            <v>2026</v>
          </cell>
          <cell r="B826">
            <v>6</v>
          </cell>
          <cell r="C826">
            <v>46181</v>
          </cell>
          <cell r="D826" t="str">
            <v>1. SKK store</v>
          </cell>
          <cell r="E826" t="str">
            <v>S1005</v>
          </cell>
          <cell r="F826" t="str">
            <v>SKK  Thái Hà</v>
          </cell>
          <cell r="G826" t="str">
            <v>02466810505</v>
          </cell>
          <cell r="H826" t="str">
            <v>klth</v>
          </cell>
          <cell r="I826" t="str">
            <v>Khách vãng lai</v>
          </cell>
          <cell r="J826" t="str">
            <v>Đơn bán</v>
          </cell>
          <cell r="K826" t="str">
            <v>SAKUKO803838</v>
          </cell>
          <cell r="L826" t="str">
            <v>CHĂM SÓC SẮC ĐẸP</v>
          </cell>
          <cell r="M826" t="str">
            <v>CHĂM SÓC TÓC</v>
          </cell>
          <cell r="N826" t="str">
            <v>TẠO KIỂU TÓC</v>
          </cell>
          <cell r="O826" t="str">
            <v>101906</v>
          </cell>
          <cell r="P826" t="str">
            <v>4902806108781</v>
          </cell>
          <cell r="Q826" t="str">
            <v>GATSBY-  Sáp vuốt tóc tạo độ phồng 80g</v>
          </cell>
          <cell r="R826">
            <v>150000</v>
          </cell>
          <cell r="S826">
            <v>1</v>
          </cell>
          <cell r="T826">
            <v>150000</v>
          </cell>
          <cell r="U826">
            <v>15000</v>
          </cell>
          <cell r="V826">
            <v>135000</v>
          </cell>
          <cell r="W826" t="str">
            <v>4902806108781</v>
          </cell>
        </row>
        <row r="827">
          <cell r="A827">
            <v>2026</v>
          </cell>
          <cell r="B827">
            <v>6</v>
          </cell>
          <cell r="C827">
            <v>46181</v>
          </cell>
          <cell r="D827" t="str">
            <v>1. SKK store</v>
          </cell>
          <cell r="E827" t="str">
            <v>S1005</v>
          </cell>
          <cell r="F827" t="str">
            <v>SKK  Thái Hà</v>
          </cell>
          <cell r="G827" t="str">
            <v>0565876955</v>
          </cell>
          <cell r="H827" t="str">
            <v>Chị Trâm</v>
          </cell>
          <cell r="I827" t="str">
            <v>Khách cũ</v>
          </cell>
          <cell r="J827" t="str">
            <v>Đơn bán</v>
          </cell>
          <cell r="K827" t="str">
            <v>SAKUKO803367</v>
          </cell>
          <cell r="L827" t="str">
            <v>THỰC PHẨM</v>
          </cell>
          <cell r="M827" t="str">
            <v>MỲ, MIẾN</v>
          </cell>
          <cell r="N827" t="str">
            <v>MỲ CHẾ BIẾN</v>
          </cell>
          <cell r="O827" t="str">
            <v>174948</v>
          </cell>
          <cell r="P827" t="str">
            <v>4582114354119</v>
          </cell>
          <cell r="Q827" t="str">
            <v>SANUKISHISEI- Mì soumen 300g</v>
          </cell>
          <cell r="R827">
            <v>35000</v>
          </cell>
          <cell r="S827">
            <v>1</v>
          </cell>
          <cell r="T827">
            <v>35000</v>
          </cell>
          <cell r="U827">
            <v>0</v>
          </cell>
          <cell r="V827">
            <v>35000</v>
          </cell>
          <cell r="W827" t="str">
            <v>4582114354119</v>
          </cell>
        </row>
        <row r="828">
          <cell r="A828">
            <v>2026</v>
          </cell>
          <cell r="B828">
            <v>6</v>
          </cell>
          <cell r="C828">
            <v>46181</v>
          </cell>
          <cell r="D828" t="str">
            <v>1. SKK store</v>
          </cell>
          <cell r="E828" t="str">
            <v>S1005</v>
          </cell>
          <cell r="F828" t="str">
            <v>SKK  Thái Hà</v>
          </cell>
          <cell r="G828" t="str">
            <v>0985885816</v>
          </cell>
          <cell r="H828" t="str">
            <v>chị Hằng</v>
          </cell>
          <cell r="I828" t="str">
            <v>Khách cũ</v>
          </cell>
          <cell r="J828" t="str">
            <v>Đơn bán</v>
          </cell>
          <cell r="K828" t="str">
            <v>SAKUKO803353</v>
          </cell>
          <cell r="L828" t="str">
            <v>THỰC PHẨM</v>
          </cell>
          <cell r="M828" t="str">
            <v>MỲ, MIẾN</v>
          </cell>
          <cell r="N828" t="str">
            <v>MỲ ĂN LIỀN</v>
          </cell>
          <cell r="O828" t="str">
            <v>154359</v>
          </cell>
          <cell r="P828" t="str">
            <v>4979397000138</v>
          </cell>
          <cell r="Q828" t="str">
            <v>YAMAMOTO- Mì ramen ăn liền hải sản thịt heo 88g*5</v>
          </cell>
          <cell r="R828">
            <v>99000</v>
          </cell>
          <cell r="S828">
            <v>1</v>
          </cell>
          <cell r="T828">
            <v>99000</v>
          </cell>
          <cell r="U828">
            <v>0</v>
          </cell>
          <cell r="V828">
            <v>99000</v>
          </cell>
          <cell r="W828" t="str">
            <v>4979397000138</v>
          </cell>
        </row>
        <row r="829">
          <cell r="A829">
            <v>2026</v>
          </cell>
          <cell r="B829">
            <v>6</v>
          </cell>
          <cell r="C829">
            <v>46181</v>
          </cell>
          <cell r="D829" t="str">
            <v>1. SKK store</v>
          </cell>
          <cell r="E829" t="str">
            <v>S1005</v>
          </cell>
          <cell r="F829" t="str">
            <v>SKK  Thái Hà</v>
          </cell>
          <cell r="G829" t="str">
            <v>0985885816</v>
          </cell>
          <cell r="H829" t="str">
            <v>chị Hằng</v>
          </cell>
          <cell r="I829" t="str">
            <v>Khách cũ</v>
          </cell>
          <cell r="J829" t="str">
            <v>Đơn bán</v>
          </cell>
          <cell r="K829" t="str">
            <v>SAKUKO803353</v>
          </cell>
          <cell r="L829" t="str">
            <v>THỰC PHẨM</v>
          </cell>
          <cell r="M829" t="str">
            <v>MỲ, MIẾN</v>
          </cell>
          <cell r="N829" t="str">
            <v>MỲ CHẾ BIẾN</v>
          </cell>
          <cell r="O829" t="str">
            <v>174948</v>
          </cell>
          <cell r="P829" t="str">
            <v>4582114354119</v>
          </cell>
          <cell r="Q829" t="str">
            <v>SANUKISHISEI- Mì soumen 300g</v>
          </cell>
          <cell r="R829">
            <v>35000</v>
          </cell>
          <cell r="S829">
            <v>1</v>
          </cell>
          <cell r="T829">
            <v>35000</v>
          </cell>
          <cell r="U829">
            <v>0</v>
          </cell>
          <cell r="V829">
            <v>35000</v>
          </cell>
          <cell r="W829" t="str">
            <v>4582114354119</v>
          </cell>
        </row>
        <row r="830">
          <cell r="A830">
            <v>2026</v>
          </cell>
          <cell r="B830">
            <v>6</v>
          </cell>
          <cell r="C830">
            <v>46181</v>
          </cell>
          <cell r="D830" t="str">
            <v>1. SKK store</v>
          </cell>
          <cell r="E830" t="str">
            <v>S1006</v>
          </cell>
          <cell r="F830" t="str">
            <v>SKK Trần Đăng Ninh</v>
          </cell>
          <cell r="G830" t="str">
            <v>0917608078</v>
          </cell>
          <cell r="H830" t="str">
            <v>Anh Giang</v>
          </cell>
          <cell r="I830" t="str">
            <v>Khách mới</v>
          </cell>
          <cell r="J830" t="str">
            <v>Đơn bán</v>
          </cell>
          <cell r="K830" t="str">
            <v>SAKUKO803695</v>
          </cell>
          <cell r="L830" t="str">
            <v>THỰC PHẨM</v>
          </cell>
          <cell r="M830" t="str">
            <v>BÁNH KẸO, ĐỒ ĂN VẶT</v>
          </cell>
          <cell r="N830" t="str">
            <v>KẸO CAO SU</v>
          </cell>
          <cell r="O830" t="str">
            <v>153932</v>
          </cell>
          <cell r="P830" t="str">
            <v>4903333241651</v>
          </cell>
          <cell r="Q830" t="str">
            <v>LOTTE - Kẹo cao su black black ít đường 133g</v>
          </cell>
          <cell r="R830">
            <v>235000</v>
          </cell>
          <cell r="S830">
            <v>1</v>
          </cell>
          <cell r="T830">
            <v>235000</v>
          </cell>
          <cell r="U830">
            <v>0</v>
          </cell>
          <cell r="V830">
            <v>235000</v>
          </cell>
          <cell r="W830" t="str">
            <v>4903333241651</v>
          </cell>
        </row>
        <row r="831">
          <cell r="A831">
            <v>2026</v>
          </cell>
          <cell r="B831">
            <v>6</v>
          </cell>
          <cell r="C831">
            <v>46181</v>
          </cell>
          <cell r="D831" t="str">
            <v>1. SKK store</v>
          </cell>
          <cell r="E831" t="str">
            <v>S1006</v>
          </cell>
          <cell r="F831" t="str">
            <v>SKK Trần Đăng Ninh</v>
          </cell>
          <cell r="G831" t="str">
            <v>0967066888</v>
          </cell>
          <cell r="H831" t="str">
            <v>CHI XUAN</v>
          </cell>
          <cell r="I831" t="str">
            <v>Khách cũ</v>
          </cell>
          <cell r="J831" t="str">
            <v>Đơn bán</v>
          </cell>
          <cell r="K831" t="str">
            <v>SAKUKO803266</v>
          </cell>
          <cell r="L831" t="str">
            <v>THỰC PHẨM</v>
          </cell>
          <cell r="M831" t="str">
            <v>MỲ, MIẾN</v>
          </cell>
          <cell r="N831" t="str">
            <v>MỲ ĂN LIỀN</v>
          </cell>
          <cell r="O831" t="str">
            <v>154359</v>
          </cell>
          <cell r="P831" t="str">
            <v>4979397000138</v>
          </cell>
          <cell r="Q831" t="str">
            <v>YAMAMOTO- Mì ramen ăn liền hải sản thịt heo 88g*5</v>
          </cell>
          <cell r="R831">
            <v>99000</v>
          </cell>
          <cell r="S831">
            <v>1</v>
          </cell>
          <cell r="T831">
            <v>99000</v>
          </cell>
          <cell r="U831">
            <v>0</v>
          </cell>
          <cell r="V831">
            <v>99000</v>
          </cell>
          <cell r="W831" t="str">
            <v>4979397000138</v>
          </cell>
        </row>
        <row r="832">
          <cell r="A832">
            <v>2026</v>
          </cell>
          <cell r="B832">
            <v>6</v>
          </cell>
          <cell r="C832">
            <v>46181</v>
          </cell>
          <cell r="D832" t="str">
            <v>1. SKK store</v>
          </cell>
          <cell r="E832" t="str">
            <v>S1006</v>
          </cell>
          <cell r="F832" t="str">
            <v>SKK Trần Đăng Ninh</v>
          </cell>
          <cell r="G832" t="str">
            <v>0982243372</v>
          </cell>
          <cell r="H832" t="str">
            <v>Chị tâm</v>
          </cell>
          <cell r="I832" t="str">
            <v>Khách cũ</v>
          </cell>
          <cell r="J832" t="str">
            <v>Đơn bán</v>
          </cell>
          <cell r="K832" t="str">
            <v>SAKUKO803784</v>
          </cell>
          <cell r="L832" t="str">
            <v>CHĂM SÓC SẮC ĐẸP</v>
          </cell>
          <cell r="M832" t="str">
            <v>CHĂM SÓC DA</v>
          </cell>
          <cell r="N832" t="str">
            <v>RỬA MẶT</v>
          </cell>
          <cell r="O832" t="str">
            <v>230849</v>
          </cell>
          <cell r="P832" t="str">
            <v>4902806102048</v>
          </cell>
          <cell r="Q832" t="str">
            <v>GATSBY- SRM than hoạt tính sạch sâu 130g</v>
          </cell>
          <cell r="R832">
            <v>125000</v>
          </cell>
          <cell r="S832">
            <v>1</v>
          </cell>
          <cell r="T832">
            <v>125000</v>
          </cell>
          <cell r="U832">
            <v>12500</v>
          </cell>
          <cell r="V832">
            <v>112500</v>
          </cell>
          <cell r="W832" t="str">
            <v>4902806102048</v>
          </cell>
        </row>
        <row r="833">
          <cell r="A833">
            <v>2026</v>
          </cell>
          <cell r="B833">
            <v>6</v>
          </cell>
          <cell r="C833">
            <v>46181</v>
          </cell>
          <cell r="D833" t="str">
            <v>1. SKK store</v>
          </cell>
          <cell r="E833" t="str">
            <v>S1008</v>
          </cell>
          <cell r="F833" t="str">
            <v>SKK  Hàng Bông</v>
          </cell>
          <cell r="G833" t="str">
            <v>02466810202</v>
          </cell>
          <cell r="H833" t="str">
            <v>KH Tây</v>
          </cell>
          <cell r="I833" t="str">
            <v>Khách vãng lai</v>
          </cell>
          <cell r="J833" t="str">
            <v>Đơn bán</v>
          </cell>
          <cell r="K833" t="str">
            <v>SAKUKO803800</v>
          </cell>
          <cell r="L833" t="str">
            <v>NHÀ CỬA ĐỜI SỐNG</v>
          </cell>
          <cell r="M833" t="str">
            <v>KHĂN</v>
          </cell>
          <cell r="N833" t="str">
            <v>KHĂN MẶT</v>
          </cell>
          <cell r="O833" t="str">
            <v>102390</v>
          </cell>
          <cell r="P833" t="str">
            <v>4906327905980</v>
          </cell>
          <cell r="Q833" t="str">
            <v>KOMODA - Khăn mặt khô dùng 1 lần 46m 20x20cm</v>
          </cell>
          <cell r="R833">
            <v>52000</v>
          </cell>
          <cell r="S833">
            <v>2</v>
          </cell>
          <cell r="T833">
            <v>104000</v>
          </cell>
          <cell r="U833">
            <v>0</v>
          </cell>
          <cell r="V833">
            <v>104000</v>
          </cell>
          <cell r="W833" t="str">
            <v>4906327905980</v>
          </cell>
        </row>
        <row r="834">
          <cell r="A834">
            <v>2026</v>
          </cell>
          <cell r="B834">
            <v>6</v>
          </cell>
          <cell r="C834">
            <v>46181</v>
          </cell>
          <cell r="D834" t="str">
            <v>1. SKK store</v>
          </cell>
          <cell r="E834" t="str">
            <v>S1008</v>
          </cell>
          <cell r="F834" t="str">
            <v>SKK  Hàng Bông</v>
          </cell>
          <cell r="G834" t="str">
            <v>02466810202</v>
          </cell>
          <cell r="H834" t="str">
            <v>KH Tây</v>
          </cell>
          <cell r="I834" t="str">
            <v>Khách vãng lai</v>
          </cell>
          <cell r="J834" t="str">
            <v>Đơn bán</v>
          </cell>
          <cell r="K834" t="str">
            <v>SAKUKO803808</v>
          </cell>
          <cell r="L834" t="str">
            <v>ĐỒ CHO MẸ BÉ</v>
          </cell>
          <cell r="M834" t="str">
            <v>GIẤY ƯỚT</v>
          </cell>
          <cell r="N834" t="str">
            <v>GIẤY ƯỚT CHO BÉ</v>
          </cell>
          <cell r="O834" t="str">
            <v>121663</v>
          </cell>
          <cell r="P834" t="str">
            <v>8934755035197</v>
          </cell>
          <cell r="Q834" t="str">
            <v>FRESSI- Khăn ướt Care For All 100 miếng</v>
          </cell>
          <cell r="R834">
            <v>49000</v>
          </cell>
          <cell r="S834">
            <v>1</v>
          </cell>
          <cell r="T834">
            <v>49000</v>
          </cell>
          <cell r="U834">
            <v>0</v>
          </cell>
          <cell r="V834">
            <v>49000</v>
          </cell>
          <cell r="W834" t="str">
            <v>8934755035197</v>
          </cell>
        </row>
        <row r="835">
          <cell r="A835">
            <v>2026</v>
          </cell>
          <cell r="B835">
            <v>6</v>
          </cell>
          <cell r="C835">
            <v>46181</v>
          </cell>
          <cell r="D835" t="str">
            <v>1. SKK store</v>
          </cell>
          <cell r="E835" t="str">
            <v>S1008</v>
          </cell>
          <cell r="F835" t="str">
            <v>SKK  Hàng Bông</v>
          </cell>
          <cell r="G835" t="str">
            <v>0903696611</v>
          </cell>
          <cell r="H835" t="str">
            <v>anh Bảo</v>
          </cell>
          <cell r="I835" t="str">
            <v>Khách cũ</v>
          </cell>
          <cell r="J835" t="str">
            <v>Đơn bán</v>
          </cell>
          <cell r="K835" t="str">
            <v>SAKUKO803539</v>
          </cell>
          <cell r="L835" t="str">
            <v>CHĂM SÓC SẮC ĐẸP</v>
          </cell>
          <cell r="M835" t="str">
            <v>CHĂM SÓC DA</v>
          </cell>
          <cell r="N835" t="str">
            <v>RỬA MẶT</v>
          </cell>
          <cell r="O835" t="str">
            <v>230269</v>
          </cell>
          <cell r="P835" t="str">
            <v>4987241173242</v>
          </cell>
          <cell r="Q835" t="str">
            <v>ROHTO- SRM Melano CC mờ thâm nám (130g)</v>
          </cell>
          <cell r="R835">
            <v>294000</v>
          </cell>
          <cell r="S835">
            <v>1</v>
          </cell>
          <cell r="T835">
            <v>294000</v>
          </cell>
          <cell r="U835">
            <v>117600</v>
          </cell>
          <cell r="V835">
            <v>176400</v>
          </cell>
          <cell r="W835" t="str">
            <v>4987241173242</v>
          </cell>
        </row>
        <row r="836">
          <cell r="A836">
            <v>2026</v>
          </cell>
          <cell r="B836">
            <v>6</v>
          </cell>
          <cell r="C836">
            <v>46181</v>
          </cell>
          <cell r="D836" t="str">
            <v>1. SKK store</v>
          </cell>
          <cell r="E836" t="str">
            <v>S1008</v>
          </cell>
          <cell r="F836" t="str">
            <v>SKK  Hàng Bông</v>
          </cell>
          <cell r="G836" t="str">
            <v>0903696611</v>
          </cell>
          <cell r="H836" t="str">
            <v>anh Bảo</v>
          </cell>
          <cell r="I836" t="str">
            <v>Khách cũ</v>
          </cell>
          <cell r="J836" t="str">
            <v>Đơn bán</v>
          </cell>
          <cell r="K836" t="str">
            <v>SAKUKO803539</v>
          </cell>
          <cell r="L836" t="str">
            <v>NHÀ CỬA ĐỜI SỐNG</v>
          </cell>
          <cell r="M836" t="str">
            <v>ĐỒ DÙNG SINH HOẠT GIA ĐÌNH</v>
          </cell>
          <cell r="N836" t="str">
            <v>VẬT DỤNG SINH HOẠT KHÁC</v>
          </cell>
          <cell r="O836" t="str">
            <v>135039</v>
          </cell>
          <cell r="P836" t="str">
            <v>4968988074993</v>
          </cell>
          <cell r="Q836" t="str">
            <v>OMAICHI- Set 2 lọ chiết mỹ phẩm 40ml kèm hộp đựng</v>
          </cell>
          <cell r="R836">
            <v>52000</v>
          </cell>
          <cell r="S836">
            <v>1</v>
          </cell>
          <cell r="T836">
            <v>52000</v>
          </cell>
          <cell r="U836">
            <v>0</v>
          </cell>
          <cell r="V836">
            <v>52000</v>
          </cell>
          <cell r="W836" t="str">
            <v>4968988074993</v>
          </cell>
        </row>
        <row r="837">
          <cell r="A837">
            <v>2026</v>
          </cell>
          <cell r="B837">
            <v>6</v>
          </cell>
          <cell r="C837">
            <v>46181</v>
          </cell>
          <cell r="D837" t="str">
            <v>1. SKK store</v>
          </cell>
          <cell r="E837" t="str">
            <v>S1018</v>
          </cell>
          <cell r="F837" t="str">
            <v>SKK Nguyễn Tuân</v>
          </cell>
          <cell r="G837" t="str">
            <v>0936159679</v>
          </cell>
          <cell r="H837" t="str">
            <v>chị lê thúy hòa</v>
          </cell>
          <cell r="I837" t="str">
            <v>Khách cũ</v>
          </cell>
          <cell r="J837" t="str">
            <v>Đơn bán</v>
          </cell>
          <cell r="K837" t="str">
            <v>SAKUKO803545</v>
          </cell>
          <cell r="L837" t="str">
            <v>CHĂM SÓC SẮC ĐẸP</v>
          </cell>
          <cell r="M837" t="str">
            <v>CHĂM SÓC DA</v>
          </cell>
          <cell r="N837" t="str">
            <v>CHĂM SÓC DA KHÁC</v>
          </cell>
          <cell r="O837" t="str">
            <v>102387</v>
          </cell>
          <cell r="P837" t="str">
            <v>8935006542907</v>
          </cell>
          <cell r="Q837" t="str">
            <v>HADA LABO- Bộ sản phẩm dưỡng ẩm (travel kit)47g</v>
          </cell>
          <cell r="R837">
            <v>129000</v>
          </cell>
          <cell r="S837">
            <v>1</v>
          </cell>
          <cell r="T837">
            <v>129000</v>
          </cell>
          <cell r="U837">
            <v>20000</v>
          </cell>
          <cell r="V837">
            <v>109000</v>
          </cell>
          <cell r="W837" t="str">
            <v>8935006542907</v>
          </cell>
        </row>
        <row r="838">
          <cell r="A838">
            <v>2026</v>
          </cell>
          <cell r="B838">
            <v>6</v>
          </cell>
          <cell r="C838">
            <v>46181</v>
          </cell>
          <cell r="D838" t="str">
            <v>1. SKK store</v>
          </cell>
          <cell r="E838" t="str">
            <v>S1018</v>
          </cell>
          <cell r="F838" t="str">
            <v>SKK Nguyễn Tuân</v>
          </cell>
          <cell r="G838" t="str">
            <v>0986030436</v>
          </cell>
          <cell r="H838" t="str">
            <v>chị Lan</v>
          </cell>
          <cell r="I838" t="str">
            <v>Khách cũ</v>
          </cell>
          <cell r="J838" t="str">
            <v>Đơn bán</v>
          </cell>
          <cell r="K838" t="str">
            <v>SAKUKO803509</v>
          </cell>
          <cell r="L838" t="str">
            <v>THỰC PHẨM</v>
          </cell>
          <cell r="M838" t="str">
            <v>MỲ, MIẾN</v>
          </cell>
          <cell r="N838" t="str">
            <v>MỲ CHẾ BIẾN</v>
          </cell>
          <cell r="O838" t="str">
            <v>175435</v>
          </cell>
          <cell r="P838" t="str">
            <v>4901726014752</v>
          </cell>
          <cell r="Q838" t="str">
            <v>ITSUKI FOODS- Mì soumen rau củ ngũ sắc320g</v>
          </cell>
          <cell r="R838">
            <v>76000</v>
          </cell>
          <cell r="S838">
            <v>2</v>
          </cell>
          <cell r="T838">
            <v>152000</v>
          </cell>
          <cell r="U838">
            <v>0</v>
          </cell>
          <cell r="V838">
            <v>152000</v>
          </cell>
          <cell r="W838" t="str">
            <v>4901726014752</v>
          </cell>
        </row>
        <row r="839">
          <cell r="A839">
            <v>2026</v>
          </cell>
          <cell r="B839">
            <v>6</v>
          </cell>
          <cell r="C839">
            <v>46180</v>
          </cell>
          <cell r="D839" t="str">
            <v>1. SKK store</v>
          </cell>
          <cell r="E839" t="str">
            <v>S1004</v>
          </cell>
          <cell r="F839" t="str">
            <v>SKK  Mandarin C1</v>
          </cell>
          <cell r="G839" t="str">
            <v>0965638888</v>
          </cell>
          <cell r="H839" t="str">
            <v>cHỊ TÂM</v>
          </cell>
          <cell r="I839" t="str">
            <v>Khách cũ</v>
          </cell>
          <cell r="J839" t="str">
            <v>Đơn bán</v>
          </cell>
          <cell r="K839" t="str">
            <v>SAKUKO802189</v>
          </cell>
          <cell r="L839" t="str">
            <v>CHĂM SÓC SẮC ĐẸP</v>
          </cell>
          <cell r="M839" t="str">
            <v>CHĂM SÓC DA</v>
          </cell>
          <cell r="N839" t="str">
            <v>RỬA MẶT</v>
          </cell>
          <cell r="O839" t="str">
            <v>230849</v>
          </cell>
          <cell r="P839" t="str">
            <v>4902806102048</v>
          </cell>
          <cell r="Q839" t="str">
            <v>GATSBY- SRM than hoạt tính sạch sâu 130g</v>
          </cell>
          <cell r="R839">
            <v>125000</v>
          </cell>
          <cell r="S839">
            <v>1</v>
          </cell>
          <cell r="T839">
            <v>125000</v>
          </cell>
          <cell r="U839">
            <v>12500</v>
          </cell>
          <cell r="V839">
            <v>112500</v>
          </cell>
          <cell r="W839" t="str">
            <v>4902806102048</v>
          </cell>
        </row>
        <row r="840">
          <cell r="A840">
            <v>2026</v>
          </cell>
          <cell r="B840">
            <v>6</v>
          </cell>
          <cell r="C840">
            <v>46180</v>
          </cell>
          <cell r="D840" t="str">
            <v>1. SKK store</v>
          </cell>
          <cell r="E840" t="str">
            <v>S1005</v>
          </cell>
          <cell r="F840" t="str">
            <v>SKK  Thái Hà</v>
          </cell>
          <cell r="G840" t="str">
            <v>02466810505</v>
          </cell>
          <cell r="H840" t="str">
            <v>klth</v>
          </cell>
          <cell r="I840" t="str">
            <v>Khách vãng lai</v>
          </cell>
          <cell r="J840" t="str">
            <v>Đơn bán</v>
          </cell>
          <cell r="K840" t="str">
            <v>SAKUKO802096</v>
          </cell>
          <cell r="L840" t="str">
            <v>THỰC PHẨM</v>
          </cell>
          <cell r="M840" t="str">
            <v>BÁNH KẸO, ĐỒ ĂN VẶT</v>
          </cell>
          <cell r="N840" t="str">
            <v>KẸO CAO SU</v>
          </cell>
          <cell r="O840" t="str">
            <v>231376</v>
          </cell>
          <cell r="P840" t="str">
            <v>4903333228577</v>
          </cell>
          <cell r="Q840" t="str">
            <v>LOTTE-Kẹo cao su tổng hợp 7 loại dạng lọ 133g</v>
          </cell>
          <cell r="R840">
            <v>235000</v>
          </cell>
          <cell r="S840">
            <v>1</v>
          </cell>
          <cell r="T840">
            <v>235000</v>
          </cell>
          <cell r="U840">
            <v>0</v>
          </cell>
          <cell r="V840">
            <v>235000</v>
          </cell>
          <cell r="W840" t="str">
            <v>4903333228577</v>
          </cell>
        </row>
        <row r="841">
          <cell r="A841">
            <v>2026</v>
          </cell>
          <cell r="B841">
            <v>6</v>
          </cell>
          <cell r="C841">
            <v>46180</v>
          </cell>
          <cell r="D841" t="str">
            <v>1. SKK store</v>
          </cell>
          <cell r="E841" t="str">
            <v>S1006</v>
          </cell>
          <cell r="F841" t="str">
            <v>SKK Trần Đăng Ninh</v>
          </cell>
          <cell r="G841" t="str">
            <v>0912103103</v>
          </cell>
          <cell r="H841" t="str">
            <v>Le Ngoc Anh</v>
          </cell>
          <cell r="I841" t="str">
            <v>Khách cũ</v>
          </cell>
          <cell r="J841" t="str">
            <v>Đơn bán</v>
          </cell>
          <cell r="K841" t="str">
            <v>SAKUKO802371</v>
          </cell>
          <cell r="L841" t="str">
            <v>CHĂM SÓC SẮC ĐẸP</v>
          </cell>
          <cell r="M841" t="str">
            <v>CHĂM SÓC TÓC</v>
          </cell>
          <cell r="N841" t="str">
            <v>TẠO KIỂU TÓC</v>
          </cell>
          <cell r="O841" t="str">
            <v>100160</v>
          </cell>
          <cell r="P841" t="str">
            <v>45131677</v>
          </cell>
          <cell r="Q841" t="str">
            <v>GATSBY- Sáp vuốt tóc giữ nếp 80g</v>
          </cell>
          <cell r="R841">
            <v>150000</v>
          </cell>
          <cell r="S841">
            <v>1</v>
          </cell>
          <cell r="T841">
            <v>150000</v>
          </cell>
          <cell r="U841">
            <v>15000</v>
          </cell>
          <cell r="V841">
            <v>135000</v>
          </cell>
          <cell r="W841" t="str">
            <v>45131677</v>
          </cell>
        </row>
        <row r="842">
          <cell r="A842">
            <v>2026</v>
          </cell>
          <cell r="B842">
            <v>6</v>
          </cell>
          <cell r="C842">
            <v>46180</v>
          </cell>
          <cell r="D842" t="str">
            <v>1. SKK store</v>
          </cell>
          <cell r="E842" t="str">
            <v>S1006</v>
          </cell>
          <cell r="F842" t="str">
            <v>SKK Trần Đăng Ninh</v>
          </cell>
          <cell r="G842" t="str">
            <v>0913533343</v>
          </cell>
          <cell r="H842" t="str">
            <v>chị huyền</v>
          </cell>
          <cell r="I842" t="str">
            <v>Khách cũ</v>
          </cell>
          <cell r="J842" t="str">
            <v>Đơn bán</v>
          </cell>
          <cell r="K842" t="str">
            <v>SAKUKO802587</v>
          </cell>
          <cell r="L842" t="str">
            <v>THỰC PHẨM</v>
          </cell>
          <cell r="M842" t="str">
            <v>BÁNH KẸO, ĐỒ ĂN VẶT</v>
          </cell>
          <cell r="N842" t="str">
            <v>KẸO CAO SU</v>
          </cell>
          <cell r="O842" t="str">
            <v>231374</v>
          </cell>
          <cell r="P842" t="str">
            <v>4547894156315</v>
          </cell>
          <cell r="Q842" t="str">
            <v>CLORETS-Kẹo cao su hương vị 4 mùa 140g</v>
          </cell>
          <cell r="R842">
            <v>235000</v>
          </cell>
          <cell r="S842">
            <v>2</v>
          </cell>
          <cell r="T842">
            <v>470000</v>
          </cell>
          <cell r="U842">
            <v>0</v>
          </cell>
          <cell r="V842">
            <v>470000</v>
          </cell>
          <cell r="W842" t="str">
            <v>4547894156315</v>
          </cell>
        </row>
        <row r="843">
          <cell r="A843">
            <v>2026</v>
          </cell>
          <cell r="B843">
            <v>6</v>
          </cell>
          <cell r="C843">
            <v>46180</v>
          </cell>
          <cell r="D843" t="str">
            <v>1. SKK store</v>
          </cell>
          <cell r="E843" t="str">
            <v>S1006</v>
          </cell>
          <cell r="F843" t="str">
            <v>SKK Trần Đăng Ninh</v>
          </cell>
          <cell r="G843" t="str">
            <v>0987868964</v>
          </cell>
          <cell r="H843" t="str">
            <v>Chị Đỗ Thị Huyên</v>
          </cell>
          <cell r="I843" t="str">
            <v>Khách cũ</v>
          </cell>
          <cell r="J843" t="str">
            <v>Đơn bán</v>
          </cell>
          <cell r="K843" t="str">
            <v>SAKUKO802680</v>
          </cell>
          <cell r="L843" t="str">
            <v>CHĂM SÓC SẮC ĐẸP</v>
          </cell>
          <cell r="M843" t="str">
            <v>CHĂM SÓC DA</v>
          </cell>
          <cell r="N843" t="str">
            <v>RỬA MẶT</v>
          </cell>
          <cell r="O843" t="str">
            <v>230269</v>
          </cell>
          <cell r="P843" t="str">
            <v>4987241173242</v>
          </cell>
          <cell r="Q843" t="str">
            <v>ROHTO- SRM Melano CC mờ thâm nám (130g)</v>
          </cell>
          <cell r="R843">
            <v>294000</v>
          </cell>
          <cell r="S843">
            <v>1</v>
          </cell>
          <cell r="T843">
            <v>294000</v>
          </cell>
          <cell r="U843">
            <v>117600</v>
          </cell>
          <cell r="V843">
            <v>176400</v>
          </cell>
          <cell r="W843" t="str">
            <v>4987241173242</v>
          </cell>
        </row>
        <row r="844">
          <cell r="A844">
            <v>2026</v>
          </cell>
          <cell r="B844">
            <v>6</v>
          </cell>
          <cell r="C844">
            <v>46180</v>
          </cell>
          <cell r="D844" t="str">
            <v>1. SKK store</v>
          </cell>
          <cell r="E844" t="str">
            <v>S1007</v>
          </cell>
          <cell r="F844" t="str">
            <v>SKK  Nguyễn Du</v>
          </cell>
          <cell r="G844" t="str">
            <v>0588882768</v>
          </cell>
          <cell r="H844" t="str">
            <v>ANH TOÀN</v>
          </cell>
          <cell r="I844" t="str">
            <v>Khách mới</v>
          </cell>
          <cell r="J844" t="str">
            <v>Đơn bán</v>
          </cell>
          <cell r="K844" t="str">
            <v>SAKUKO802434</v>
          </cell>
          <cell r="L844" t="str">
            <v>THỰC PHẨM</v>
          </cell>
          <cell r="M844" t="str">
            <v>BÁNH KẸO, ĐỒ ĂN VẶT</v>
          </cell>
          <cell r="N844" t="str">
            <v>KẸO CAO SU</v>
          </cell>
          <cell r="O844" t="str">
            <v>231377</v>
          </cell>
          <cell r="P844" t="str">
            <v>4903333200375</v>
          </cell>
          <cell r="Q844" t="str">
            <v>LOTTE-Kẹo cao su tổng hợp dạng lọ 114g</v>
          </cell>
          <cell r="R844">
            <v>235000</v>
          </cell>
          <cell r="S844">
            <v>1</v>
          </cell>
          <cell r="T844">
            <v>235000</v>
          </cell>
          <cell r="U844">
            <v>0</v>
          </cell>
          <cell r="V844">
            <v>235000</v>
          </cell>
          <cell r="W844" t="str">
            <v>4903333200375</v>
          </cell>
        </row>
        <row r="845">
          <cell r="A845">
            <v>2026</v>
          </cell>
          <cell r="B845">
            <v>6</v>
          </cell>
          <cell r="C845">
            <v>46180</v>
          </cell>
          <cell r="D845" t="str">
            <v>1. SKK store</v>
          </cell>
          <cell r="E845" t="str">
            <v>S1007</v>
          </cell>
          <cell r="F845" t="str">
            <v>SKK  Nguyễn Du</v>
          </cell>
          <cell r="G845" t="str">
            <v>0868870058</v>
          </cell>
          <cell r="H845" t="str">
            <v>Chị Nhung</v>
          </cell>
          <cell r="I845" t="str">
            <v>Khách cũ</v>
          </cell>
          <cell r="J845" t="str">
            <v>Đơn bán</v>
          </cell>
          <cell r="K845" t="str">
            <v>SAKUKO802350</v>
          </cell>
          <cell r="L845" t="str">
            <v>THỰC PHẨM</v>
          </cell>
          <cell r="M845" t="str">
            <v>MỲ, MIẾN</v>
          </cell>
          <cell r="N845" t="str">
            <v>MỲ CHẾ BIẾN</v>
          </cell>
          <cell r="O845" t="str">
            <v>175435</v>
          </cell>
          <cell r="P845" t="str">
            <v>4901726014752</v>
          </cell>
          <cell r="Q845" t="str">
            <v>ITSUKI FOODS- Mì soumen rau củ ngũ sắc320g</v>
          </cell>
          <cell r="R845">
            <v>76000</v>
          </cell>
          <cell r="S845">
            <v>1</v>
          </cell>
          <cell r="T845">
            <v>76000</v>
          </cell>
          <cell r="U845">
            <v>0</v>
          </cell>
          <cell r="V845">
            <v>76000</v>
          </cell>
          <cell r="W845" t="str">
            <v>4901726014752</v>
          </cell>
        </row>
        <row r="846">
          <cell r="A846">
            <v>2026</v>
          </cell>
          <cell r="B846">
            <v>6</v>
          </cell>
          <cell r="C846">
            <v>46180</v>
          </cell>
          <cell r="D846" t="str">
            <v>1. SKK store</v>
          </cell>
          <cell r="E846" t="str">
            <v>S1008</v>
          </cell>
          <cell r="F846" t="str">
            <v>SKK  Hàng Bông</v>
          </cell>
          <cell r="G846" t="str">
            <v>0916526290</v>
          </cell>
          <cell r="H846" t="str">
            <v>CHỊ LINH</v>
          </cell>
          <cell r="I846" t="str">
            <v>Khách cũ</v>
          </cell>
          <cell r="J846" t="str">
            <v>Đơn bán</v>
          </cell>
          <cell r="K846" t="str">
            <v>SAKUKO803045</v>
          </cell>
          <cell r="L846" t="str">
            <v>CHĂM SÓC SẮC ĐẸP</v>
          </cell>
          <cell r="M846" t="str">
            <v>CHĂM SÓC DA</v>
          </cell>
          <cell r="N846" t="str">
            <v>CHĂM SÓC DA KHÁC</v>
          </cell>
          <cell r="O846" t="str">
            <v>102388</v>
          </cell>
          <cell r="P846" t="str">
            <v>8935006542914</v>
          </cell>
          <cell r="Q846" t="str">
            <v>HADA LABO- Bộ sản phẩm dưỡng trắng (travel kit)47g</v>
          </cell>
          <cell r="R846">
            <v>135000</v>
          </cell>
          <cell r="S846">
            <v>1</v>
          </cell>
          <cell r="T846">
            <v>135000</v>
          </cell>
          <cell r="U846">
            <v>26000</v>
          </cell>
          <cell r="V846">
            <v>109000</v>
          </cell>
          <cell r="W846" t="str">
            <v>8935006542914</v>
          </cell>
        </row>
        <row r="847">
          <cell r="A847">
            <v>2026</v>
          </cell>
          <cell r="B847">
            <v>6</v>
          </cell>
          <cell r="C847">
            <v>46180</v>
          </cell>
          <cell r="D847" t="str">
            <v>1. SKK store</v>
          </cell>
          <cell r="E847" t="str">
            <v>S1008</v>
          </cell>
          <cell r="F847" t="str">
            <v>SKK  Hàng Bông</v>
          </cell>
          <cell r="G847" t="str">
            <v>0983757548</v>
          </cell>
          <cell r="H847" t="str">
            <v>Chị Quý</v>
          </cell>
          <cell r="I847" t="str">
            <v>Khách cũ</v>
          </cell>
          <cell r="J847" t="str">
            <v>Đơn bán</v>
          </cell>
          <cell r="K847" t="str">
            <v>SAKUKO802891</v>
          </cell>
          <cell r="L847" t="str">
            <v>CHĂM SÓC SẮC ĐẸP</v>
          </cell>
          <cell r="M847" t="str">
            <v>CHĂM SÓC DA</v>
          </cell>
          <cell r="N847" t="str">
            <v>RỬA MẶT</v>
          </cell>
          <cell r="O847" t="str">
            <v>102421</v>
          </cell>
          <cell r="P847" t="str">
            <v>4902468819032</v>
          </cell>
          <cell r="Q847" t="str">
            <v>MEISHOU- Sữa rửa mặt làm sạch thuần chay 100g</v>
          </cell>
          <cell r="R847">
            <v>295000</v>
          </cell>
          <cell r="S847">
            <v>1</v>
          </cell>
          <cell r="T847">
            <v>295000</v>
          </cell>
          <cell r="U847">
            <v>0</v>
          </cell>
          <cell r="V847">
            <v>295000</v>
          </cell>
          <cell r="W847" t="str">
            <v>4902468819032</v>
          </cell>
        </row>
        <row r="848">
          <cell r="A848">
            <v>2026</v>
          </cell>
          <cell r="B848">
            <v>6</v>
          </cell>
          <cell r="C848">
            <v>46180</v>
          </cell>
          <cell r="D848" t="str">
            <v>1. SKK store</v>
          </cell>
          <cell r="E848" t="str">
            <v>S1015</v>
          </cell>
          <cell r="F848" t="str">
            <v>SKK Hàm Nghi</v>
          </cell>
          <cell r="G848" t="str">
            <v>0969748138</v>
          </cell>
          <cell r="H848" t="str">
            <v>chị Hằng</v>
          </cell>
          <cell r="I848" t="str">
            <v>Khách cũ</v>
          </cell>
          <cell r="J848" t="str">
            <v>Đơn bán</v>
          </cell>
          <cell r="K848" t="str">
            <v>SAKUKO802793</v>
          </cell>
          <cell r="L848" t="str">
            <v>CHĂM SÓC SẮC ĐẸP</v>
          </cell>
          <cell r="M848" t="str">
            <v>CHĂM SÓC DA</v>
          </cell>
          <cell r="N848" t="str">
            <v>KEM DƯỠNG</v>
          </cell>
          <cell r="O848" t="str">
            <v>102384</v>
          </cell>
          <cell r="P848" t="str">
            <v>4902468820014</v>
          </cell>
          <cell r="Q848" t="str">
            <v>MEISHOKU- Kem gel dưỡng ẩm phục hồi chuyên sâu 50g</v>
          </cell>
          <cell r="R848">
            <v>575000</v>
          </cell>
          <cell r="S848">
            <v>1</v>
          </cell>
          <cell r="T848">
            <v>575000</v>
          </cell>
          <cell r="U848">
            <v>76000</v>
          </cell>
          <cell r="V848">
            <v>499000</v>
          </cell>
          <cell r="W848" t="str">
            <v>4902468820014</v>
          </cell>
        </row>
        <row r="849">
          <cell r="A849">
            <v>2026</v>
          </cell>
          <cell r="B849">
            <v>6</v>
          </cell>
          <cell r="C849">
            <v>46180</v>
          </cell>
          <cell r="D849" t="str">
            <v>1. SKK store</v>
          </cell>
          <cell r="E849" t="str">
            <v>S1015</v>
          </cell>
          <cell r="F849" t="str">
            <v>SKK Hàm Nghi</v>
          </cell>
          <cell r="G849" t="str">
            <v>0969748138</v>
          </cell>
          <cell r="H849" t="str">
            <v>chị Hằng</v>
          </cell>
          <cell r="I849" t="str">
            <v>Khách cũ</v>
          </cell>
          <cell r="J849" t="str">
            <v>Đơn bán</v>
          </cell>
          <cell r="K849" t="str">
            <v>SAKUKO802793</v>
          </cell>
          <cell r="L849" t="str">
            <v>CHĂM SÓC SẮC ĐẸP</v>
          </cell>
          <cell r="M849" t="str">
            <v>CHĂM SÓC DA</v>
          </cell>
          <cell r="N849" t="str">
            <v>KEM DƯỠNG</v>
          </cell>
          <cell r="O849" t="str">
            <v>102420</v>
          </cell>
          <cell r="P849" t="str">
            <v>4902468820007</v>
          </cell>
          <cell r="Q849" t="str">
            <v>MEISHOKU- Tinh chất dưỡng ẩm chuyên sâu 30ml</v>
          </cell>
          <cell r="R849">
            <v>555000</v>
          </cell>
          <cell r="S849">
            <v>1</v>
          </cell>
          <cell r="T849">
            <v>555000</v>
          </cell>
          <cell r="U849">
            <v>55000</v>
          </cell>
          <cell r="V849">
            <v>500000</v>
          </cell>
          <cell r="W849" t="str">
            <v>4902468820007</v>
          </cell>
        </row>
        <row r="850">
          <cell r="A850">
            <v>2026</v>
          </cell>
          <cell r="B850">
            <v>6</v>
          </cell>
          <cell r="C850">
            <v>46180</v>
          </cell>
          <cell r="D850" t="str">
            <v>1. SKK store</v>
          </cell>
          <cell r="E850" t="str">
            <v>S1018</v>
          </cell>
          <cell r="F850" t="str">
            <v>SKK Nguyễn Tuân</v>
          </cell>
          <cell r="G850" t="str">
            <v>0983293464</v>
          </cell>
          <cell r="H850" t="str">
            <v>chị HÀ</v>
          </cell>
          <cell r="I850" t="str">
            <v>Khách cũ</v>
          </cell>
          <cell r="J850" t="str">
            <v>Đơn bán</v>
          </cell>
          <cell r="K850" t="str">
            <v>SAKUKO803124</v>
          </cell>
          <cell r="L850" t="str">
            <v>NHÀ CỬA ĐỜI SỐNG</v>
          </cell>
          <cell r="M850" t="str">
            <v>KHĂN</v>
          </cell>
          <cell r="N850" t="str">
            <v>KHĂN MẶT</v>
          </cell>
          <cell r="O850" t="str">
            <v>102390</v>
          </cell>
          <cell r="P850" t="str">
            <v>4906327905980</v>
          </cell>
          <cell r="Q850" t="str">
            <v>KOMODA - Khăn mặt khô dùng 1 lần 46m 20x20cm</v>
          </cell>
          <cell r="R850">
            <v>52000</v>
          </cell>
          <cell r="S850">
            <v>1</v>
          </cell>
          <cell r="T850">
            <v>52000</v>
          </cell>
          <cell r="U850">
            <v>0</v>
          </cell>
          <cell r="V850">
            <v>52000</v>
          </cell>
          <cell r="W850" t="str">
            <v>4906327905980</v>
          </cell>
        </row>
        <row r="851">
          <cell r="A851">
            <v>2026</v>
          </cell>
          <cell r="B851">
            <v>6</v>
          </cell>
          <cell r="C851">
            <v>46180</v>
          </cell>
          <cell r="D851" t="str">
            <v>1. SKK store</v>
          </cell>
          <cell r="E851" t="str">
            <v>S1025</v>
          </cell>
          <cell r="F851" t="str">
            <v>SKK T6 Time City</v>
          </cell>
          <cell r="G851" t="str">
            <v>0914627979</v>
          </cell>
          <cell r="H851" t="str">
            <v>CÔ LY</v>
          </cell>
          <cell r="I851" t="str">
            <v>Khách cũ</v>
          </cell>
          <cell r="J851" t="str">
            <v>Đơn bán</v>
          </cell>
          <cell r="K851" t="str">
            <v>SAKUKO802165</v>
          </cell>
          <cell r="L851" t="str">
            <v>ĐỒ CHO MẸ BÉ</v>
          </cell>
          <cell r="M851" t="str">
            <v>GIẤY ƯỚT</v>
          </cell>
          <cell r="N851" t="str">
            <v>GIẤY ƯỚT CHO BÉ</v>
          </cell>
          <cell r="O851" t="str">
            <v>121662</v>
          </cell>
          <cell r="P851" t="str">
            <v>8934755035036</v>
          </cell>
          <cell r="Q851" t="str">
            <v>FRESSI- Khăn ướt Care For All 20 miếng</v>
          </cell>
          <cell r="R851">
            <v>14000</v>
          </cell>
          <cell r="S851">
            <v>3</v>
          </cell>
          <cell r="T851">
            <v>42000</v>
          </cell>
          <cell r="U851">
            <v>0</v>
          </cell>
          <cell r="V851">
            <v>42000</v>
          </cell>
          <cell r="W851" t="str">
            <v>8934755035036</v>
          </cell>
        </row>
        <row r="852">
          <cell r="A852">
            <v>2026</v>
          </cell>
          <cell r="B852">
            <v>6</v>
          </cell>
          <cell r="C852">
            <v>46180</v>
          </cell>
          <cell r="D852" t="str">
            <v>1. SKK store</v>
          </cell>
          <cell r="E852" t="str">
            <v>S1025</v>
          </cell>
          <cell r="F852" t="str">
            <v>SKK T6 Time City</v>
          </cell>
          <cell r="G852" t="str">
            <v>0966436666</v>
          </cell>
          <cell r="H852" t="str">
            <v>chi Hà</v>
          </cell>
          <cell r="I852" t="str">
            <v>Khách cũ</v>
          </cell>
          <cell r="J852" t="str">
            <v>Đơn bán</v>
          </cell>
          <cell r="K852" t="str">
            <v>SAKUKO802823</v>
          </cell>
          <cell r="L852" t="str">
            <v>ĐỒ CHO MẸ BÉ</v>
          </cell>
          <cell r="M852" t="str">
            <v>CHĂM SÓC CƠ THỂ BÉ</v>
          </cell>
          <cell r="N852" t="str">
            <v>THỰC PHẨM CHỨC NĂNG CHO BÉ</v>
          </cell>
          <cell r="O852" t="str">
            <v>121666</v>
          </cell>
          <cell r="P852" t="str">
            <v>8436036591441</v>
          </cell>
          <cell r="Q852" t="str">
            <v>NEO KIDS-TPBVSK Gummies Omega 3 DHA 150g</v>
          </cell>
          <cell r="R852">
            <v>360000</v>
          </cell>
          <cell r="S852">
            <v>1</v>
          </cell>
          <cell r="T852">
            <v>360000</v>
          </cell>
          <cell r="U852">
            <v>0</v>
          </cell>
          <cell r="V852">
            <v>360000</v>
          </cell>
          <cell r="W852" t="str">
            <v>8436036591441</v>
          </cell>
        </row>
        <row r="853">
          <cell r="A853">
            <v>2026</v>
          </cell>
          <cell r="B853">
            <v>6</v>
          </cell>
          <cell r="C853">
            <v>46180</v>
          </cell>
          <cell r="D853" t="str">
            <v>1. SKK store</v>
          </cell>
          <cell r="E853" t="str">
            <v>S1025</v>
          </cell>
          <cell r="F853" t="str">
            <v>SKK T6 Time City</v>
          </cell>
          <cell r="G853" t="str">
            <v>0968564588</v>
          </cell>
          <cell r="H853" t="str">
            <v>c Kim DUNG</v>
          </cell>
          <cell r="I853" t="str">
            <v>Khách cũ</v>
          </cell>
          <cell r="J853" t="str">
            <v>Đơn bán</v>
          </cell>
          <cell r="K853" t="str">
            <v>SAKUKO802616</v>
          </cell>
          <cell r="L853" t="str">
            <v>ĐỒ CHO MẸ BÉ</v>
          </cell>
          <cell r="M853" t="str">
            <v>GIẤY ƯỚT</v>
          </cell>
          <cell r="N853" t="str">
            <v>GIẤY ƯỚT CHO BÉ</v>
          </cell>
          <cell r="O853" t="str">
            <v>121665</v>
          </cell>
          <cell r="P853" t="str">
            <v>8934755035289</v>
          </cell>
          <cell r="Q853" t="str">
            <v>BOBBY- Khăn ướt em bé không mùi 100 miếng</v>
          </cell>
          <cell r="R853">
            <v>46000</v>
          </cell>
          <cell r="S853">
            <v>1</v>
          </cell>
          <cell r="T853">
            <v>46000</v>
          </cell>
          <cell r="U853">
            <v>0</v>
          </cell>
          <cell r="V853">
            <v>46000</v>
          </cell>
          <cell r="W853" t="str">
            <v>8934755035289</v>
          </cell>
        </row>
        <row r="854">
          <cell r="A854">
            <v>2026</v>
          </cell>
          <cell r="B854">
            <v>6</v>
          </cell>
          <cell r="C854">
            <v>46180</v>
          </cell>
          <cell r="D854" t="str">
            <v>1. SKK store</v>
          </cell>
          <cell r="E854" t="str">
            <v>S1025</v>
          </cell>
          <cell r="F854" t="str">
            <v>SKK T6 Time City</v>
          </cell>
          <cell r="G854" t="str">
            <v>0968759738</v>
          </cell>
          <cell r="H854" t="str">
            <v>Khách nước ngoài NGĐ</v>
          </cell>
          <cell r="I854" t="str">
            <v>Khách cũ</v>
          </cell>
          <cell r="J854" t="str">
            <v>Đơn bán</v>
          </cell>
          <cell r="K854" t="str">
            <v>SAKUKO802939</v>
          </cell>
          <cell r="L854" t="str">
            <v>THỰC PHẨM</v>
          </cell>
          <cell r="M854" t="str">
            <v>MỲ, MIẾN</v>
          </cell>
          <cell r="N854" t="str">
            <v>MỲ CHẾ BIẾN</v>
          </cell>
          <cell r="O854" t="str">
            <v>154251</v>
          </cell>
          <cell r="P854" t="str">
            <v>4560159440776</v>
          </cell>
          <cell r="Q854" t="str">
            <v>SATO_Mì soba khô 800g</v>
          </cell>
          <cell r="R854">
            <v>104000</v>
          </cell>
          <cell r="S854">
            <v>1</v>
          </cell>
          <cell r="T854">
            <v>104000</v>
          </cell>
          <cell r="U854">
            <v>0</v>
          </cell>
          <cell r="V854">
            <v>104000</v>
          </cell>
          <cell r="W854" t="str">
            <v>4560159440776</v>
          </cell>
        </row>
        <row r="855">
          <cell r="A855">
            <v>2026</v>
          </cell>
          <cell r="B855">
            <v>6</v>
          </cell>
          <cell r="C855">
            <v>46179</v>
          </cell>
          <cell r="D855" t="str">
            <v>1. SKK store</v>
          </cell>
          <cell r="E855" t="str">
            <v>S1005</v>
          </cell>
          <cell r="F855" t="str">
            <v>SKK  Thái Hà</v>
          </cell>
          <cell r="G855" t="str">
            <v>0914325309</v>
          </cell>
          <cell r="H855" t="str">
            <v>chị Hằng</v>
          </cell>
          <cell r="I855" t="str">
            <v>Khách cũ</v>
          </cell>
          <cell r="J855" t="str">
            <v>Đơn bán</v>
          </cell>
          <cell r="K855" t="str">
            <v>SAKUKO801096</v>
          </cell>
          <cell r="L855" t="str">
            <v>NHÀ CỬA ĐỜI SỐNG</v>
          </cell>
          <cell r="M855" t="str">
            <v>ĐỒ DÙNG SINH HOẠT GIA ĐÌNH</v>
          </cell>
          <cell r="N855" t="str">
            <v>VẬT DỤNG SINH HOẠT KHÁC</v>
          </cell>
          <cell r="O855" t="str">
            <v>135039</v>
          </cell>
          <cell r="P855" t="str">
            <v>4968988074993</v>
          </cell>
          <cell r="Q855" t="str">
            <v>OMAICHI- Set 2 lọ chiết mỹ phẩm 40ml kèm hộp đựng</v>
          </cell>
          <cell r="R855">
            <v>52000</v>
          </cell>
          <cell r="S855">
            <v>2</v>
          </cell>
          <cell r="T855">
            <v>104000</v>
          </cell>
          <cell r="U855">
            <v>0</v>
          </cell>
          <cell r="V855">
            <v>104000</v>
          </cell>
          <cell r="W855" t="str">
            <v>4968988074993</v>
          </cell>
        </row>
        <row r="856">
          <cell r="A856">
            <v>2026</v>
          </cell>
          <cell r="B856">
            <v>6</v>
          </cell>
          <cell r="C856">
            <v>46179</v>
          </cell>
          <cell r="D856" t="str">
            <v>1. SKK store</v>
          </cell>
          <cell r="E856" t="str">
            <v>S1006</v>
          </cell>
          <cell r="F856" t="str">
            <v>SKK Trần Đăng Ninh</v>
          </cell>
          <cell r="G856" t="str">
            <v>0389910975</v>
          </cell>
          <cell r="H856" t="str">
            <v>Kim Thị Phương Oanh</v>
          </cell>
          <cell r="I856" t="str">
            <v>Khách cũ</v>
          </cell>
          <cell r="J856" t="str">
            <v>Đơn bán</v>
          </cell>
          <cell r="K856" t="str">
            <v>SAKUKO801305</v>
          </cell>
          <cell r="L856" t="str">
            <v>CHĂM SÓC SẮC ĐẸP</v>
          </cell>
          <cell r="M856" t="str">
            <v>CHĂM SÓC DA</v>
          </cell>
          <cell r="N856" t="str">
            <v>RỬA MẶT</v>
          </cell>
          <cell r="O856" t="str">
            <v>230269</v>
          </cell>
          <cell r="P856" t="str">
            <v>4987241173242</v>
          </cell>
          <cell r="Q856" t="str">
            <v>ROHTO- SRM Melano CC mờ thâm nám (130g)</v>
          </cell>
          <cell r="R856">
            <v>294000</v>
          </cell>
          <cell r="S856">
            <v>1</v>
          </cell>
          <cell r="T856">
            <v>294000</v>
          </cell>
          <cell r="U856">
            <v>117600</v>
          </cell>
          <cell r="V856">
            <v>176400</v>
          </cell>
          <cell r="W856" t="str">
            <v>4987241173242</v>
          </cell>
        </row>
        <row r="857">
          <cell r="A857">
            <v>2026</v>
          </cell>
          <cell r="B857">
            <v>6</v>
          </cell>
          <cell r="C857">
            <v>46179</v>
          </cell>
          <cell r="D857" t="str">
            <v>1. SKK store</v>
          </cell>
          <cell r="E857" t="str">
            <v>S1006</v>
          </cell>
          <cell r="F857" t="str">
            <v>SKK Trần Đăng Ninh</v>
          </cell>
          <cell r="G857" t="str">
            <v>0976100999</v>
          </cell>
          <cell r="H857" t="str">
            <v>aNH vIỆT</v>
          </cell>
          <cell r="I857" t="str">
            <v>Khách cũ</v>
          </cell>
          <cell r="J857" t="str">
            <v>Đơn bán</v>
          </cell>
          <cell r="K857" t="str">
            <v>SAKUKO801589</v>
          </cell>
          <cell r="L857" t="str">
            <v>THỰC PHẨM</v>
          </cell>
          <cell r="M857" t="str">
            <v>BÁNH KẸO, ĐỒ ĂN VẶT</v>
          </cell>
          <cell r="N857" t="str">
            <v>KẸO CAO SU</v>
          </cell>
          <cell r="O857" t="str">
            <v>231374</v>
          </cell>
          <cell r="P857" t="str">
            <v>4547894156315</v>
          </cell>
          <cell r="Q857" t="str">
            <v>CLORETS-Kẹo cao su hương vị 4 mùa 140g</v>
          </cell>
          <cell r="R857">
            <v>235000</v>
          </cell>
          <cell r="S857">
            <v>1</v>
          </cell>
          <cell r="T857">
            <v>235000</v>
          </cell>
          <cell r="U857">
            <v>0</v>
          </cell>
          <cell r="V857">
            <v>235000</v>
          </cell>
          <cell r="W857" t="str">
            <v>4547894156315</v>
          </cell>
        </row>
        <row r="858">
          <cell r="A858">
            <v>2026</v>
          </cell>
          <cell r="B858">
            <v>6</v>
          </cell>
          <cell r="C858">
            <v>46179</v>
          </cell>
          <cell r="D858" t="str">
            <v>1. SKK store</v>
          </cell>
          <cell r="E858" t="str">
            <v>S1006</v>
          </cell>
          <cell r="F858" t="str">
            <v>SKK Trần Đăng Ninh</v>
          </cell>
          <cell r="G858" t="str">
            <v>0989771666</v>
          </cell>
          <cell r="H858" t="str">
            <v>chú vũ</v>
          </cell>
          <cell r="I858" t="str">
            <v>Khách cũ</v>
          </cell>
          <cell r="J858" t="str">
            <v>Đơn bán</v>
          </cell>
          <cell r="K858" t="str">
            <v>SAKUKO800990</v>
          </cell>
          <cell r="L858" t="str">
            <v>NHÀ CỬA ĐỜI SỐNG</v>
          </cell>
          <cell r="M858" t="str">
            <v>PHÒNG CHỐNG CÔN TRÙNG</v>
          </cell>
          <cell r="N858" t="str">
            <v>DIỆT CÔN TRÙNG</v>
          </cell>
          <cell r="O858" t="str">
            <v>134479</v>
          </cell>
          <cell r="P858" t="str">
            <v>4987115545892</v>
          </cell>
          <cell r="Q858" t="str">
            <v>KINCHO-DD làm thơm phòng và đuổi muỗi Hoa SIBERIAN</v>
          </cell>
          <cell r="R858">
            <v>239000</v>
          </cell>
          <cell r="S858">
            <v>2</v>
          </cell>
          <cell r="T858">
            <v>478000</v>
          </cell>
          <cell r="U858">
            <v>0</v>
          </cell>
          <cell r="V858">
            <v>478000</v>
          </cell>
          <cell r="W858" t="str">
            <v>4987115545892</v>
          </cell>
        </row>
        <row r="859">
          <cell r="A859">
            <v>2026</v>
          </cell>
          <cell r="B859">
            <v>6</v>
          </cell>
          <cell r="C859">
            <v>46179</v>
          </cell>
          <cell r="D859" t="str">
            <v>1. SKK store</v>
          </cell>
          <cell r="E859" t="str">
            <v>S1007</v>
          </cell>
          <cell r="F859" t="str">
            <v>SKK  Nguyễn Du</v>
          </cell>
          <cell r="G859" t="str">
            <v>0862954339</v>
          </cell>
          <cell r="H859" t="str">
            <v>Klnd</v>
          </cell>
          <cell r="I859" t="str">
            <v>Khách vãng lai</v>
          </cell>
          <cell r="J859" t="str">
            <v>Đơn bán</v>
          </cell>
          <cell r="K859" t="str">
            <v>SAKUKO801707</v>
          </cell>
          <cell r="L859" t="str">
            <v>CHĂM SÓC SẮC ĐẸP</v>
          </cell>
          <cell r="M859" t="str">
            <v>CHĂM SÓC DA</v>
          </cell>
          <cell r="N859" t="str">
            <v>RỬA MẶT</v>
          </cell>
          <cell r="O859" t="str">
            <v>230849</v>
          </cell>
          <cell r="P859" t="str">
            <v>4902806102048</v>
          </cell>
          <cell r="Q859" t="str">
            <v>GATSBY- SRM than hoạt tính sạch sâu 130g</v>
          </cell>
          <cell r="R859">
            <v>125000</v>
          </cell>
          <cell r="S859">
            <v>1</v>
          </cell>
          <cell r="T859">
            <v>125000</v>
          </cell>
          <cell r="U859">
            <v>12500</v>
          </cell>
          <cell r="V859">
            <v>112500</v>
          </cell>
          <cell r="W859" t="str">
            <v>4902806102048</v>
          </cell>
        </row>
        <row r="860">
          <cell r="A860">
            <v>2026</v>
          </cell>
          <cell r="B860">
            <v>6</v>
          </cell>
          <cell r="C860">
            <v>46179</v>
          </cell>
          <cell r="D860" t="str">
            <v>1. SKK store</v>
          </cell>
          <cell r="E860" t="str">
            <v>S1007</v>
          </cell>
          <cell r="F860" t="str">
            <v>SKK  Nguyễn Du</v>
          </cell>
          <cell r="G860" t="str">
            <v>0912396560</v>
          </cell>
          <cell r="H860" t="str">
            <v>Cô lê Thị dung</v>
          </cell>
          <cell r="I860" t="str">
            <v>Khách cũ</v>
          </cell>
          <cell r="J860" t="str">
            <v>Đơn bán</v>
          </cell>
          <cell r="K860" t="str">
            <v>SAKUKO800991</v>
          </cell>
          <cell r="L860" t="str">
            <v>ĐỒ CHO MẸ BÉ</v>
          </cell>
          <cell r="M860" t="str">
            <v>GIẤY ƯỚT</v>
          </cell>
          <cell r="N860" t="str">
            <v>GIẤY ƯỚT CHO BÉ</v>
          </cell>
          <cell r="O860" t="str">
            <v>121662</v>
          </cell>
          <cell r="P860" t="str">
            <v>8934755035036</v>
          </cell>
          <cell r="Q860" t="str">
            <v>FRESSI- Khăn ướt Care For All 20 miếng</v>
          </cell>
          <cell r="R860">
            <v>14000</v>
          </cell>
          <cell r="S860">
            <v>2</v>
          </cell>
          <cell r="T860">
            <v>28000</v>
          </cell>
          <cell r="U860">
            <v>0</v>
          </cell>
          <cell r="V860">
            <v>28000</v>
          </cell>
          <cell r="W860" t="str">
            <v>8934755035036</v>
          </cell>
        </row>
        <row r="861">
          <cell r="A861">
            <v>2026</v>
          </cell>
          <cell r="B861">
            <v>6</v>
          </cell>
          <cell r="C861">
            <v>46179</v>
          </cell>
          <cell r="D861" t="str">
            <v>1. SKK store</v>
          </cell>
          <cell r="E861" t="str">
            <v>S1007</v>
          </cell>
          <cell r="F861" t="str">
            <v>SKK  Nguyễn Du</v>
          </cell>
          <cell r="G861" t="str">
            <v>0914272889</v>
          </cell>
          <cell r="H861" t="str">
            <v>Chị Đinh Thị Hồng Tâm</v>
          </cell>
          <cell r="I861" t="str">
            <v>Khách cũ</v>
          </cell>
          <cell r="J861" t="str">
            <v>Đơn bán</v>
          </cell>
          <cell r="K861" t="str">
            <v>SAKUKO801021</v>
          </cell>
          <cell r="L861" t="str">
            <v>CHĂM SÓC SẮC ĐẸP</v>
          </cell>
          <cell r="M861" t="str">
            <v>CHĂM SÓC DA</v>
          </cell>
          <cell r="N861" t="str">
            <v>CHĂM SÓC DA KHÁC</v>
          </cell>
          <cell r="O861" t="str">
            <v>102387</v>
          </cell>
          <cell r="P861" t="str">
            <v>8935006542907</v>
          </cell>
          <cell r="Q861" t="str">
            <v>HADA LABO- Bộ sản phẩm dưỡng ẩm (travel kit)47g</v>
          </cell>
          <cell r="R861">
            <v>129000</v>
          </cell>
          <cell r="S861">
            <v>1</v>
          </cell>
          <cell r="T861">
            <v>129000</v>
          </cell>
          <cell r="U861">
            <v>20000</v>
          </cell>
          <cell r="V861">
            <v>109000</v>
          </cell>
          <cell r="W861" t="str">
            <v>8935006542907</v>
          </cell>
        </row>
        <row r="862">
          <cell r="A862">
            <v>2026</v>
          </cell>
          <cell r="B862">
            <v>6</v>
          </cell>
          <cell r="C862">
            <v>46179</v>
          </cell>
          <cell r="D862" t="str">
            <v>1. SKK store</v>
          </cell>
          <cell r="E862" t="str">
            <v>S1007</v>
          </cell>
          <cell r="F862" t="str">
            <v>SKK  Nguyễn Du</v>
          </cell>
          <cell r="G862" t="str">
            <v>0982868785</v>
          </cell>
          <cell r="H862" t="str">
            <v>Chị Nguyễn Diệp Hương</v>
          </cell>
          <cell r="I862" t="str">
            <v>Khách cũ</v>
          </cell>
          <cell r="J862" t="str">
            <v>Đơn bán</v>
          </cell>
          <cell r="K862" t="str">
            <v>SAKUKO801956</v>
          </cell>
          <cell r="L862" t="str">
            <v>CHĂM SÓC SẮC ĐẸP</v>
          </cell>
          <cell r="M862" t="str">
            <v>CHĂM SÓC DA</v>
          </cell>
          <cell r="N862" t="str">
            <v>CHĂM SÓC DA KHÁC</v>
          </cell>
          <cell r="O862" t="str">
            <v>102388</v>
          </cell>
          <cell r="P862" t="str">
            <v>8935006542914</v>
          </cell>
          <cell r="Q862" t="str">
            <v>HADA LABO- Bộ sản phẩm dưỡng trắng (travel kit)47g</v>
          </cell>
          <cell r="R862">
            <v>135000</v>
          </cell>
          <cell r="S862">
            <v>1</v>
          </cell>
          <cell r="T862">
            <v>135000</v>
          </cell>
          <cell r="U862">
            <v>26000</v>
          </cell>
          <cell r="V862">
            <v>109000</v>
          </cell>
          <cell r="W862" t="str">
            <v>8935006542914</v>
          </cell>
        </row>
        <row r="863">
          <cell r="A863">
            <v>2026</v>
          </cell>
          <cell r="B863">
            <v>6</v>
          </cell>
          <cell r="C863">
            <v>46179</v>
          </cell>
          <cell r="D863" t="str">
            <v>1. SKK store</v>
          </cell>
          <cell r="E863" t="str">
            <v>S1007</v>
          </cell>
          <cell r="F863" t="str">
            <v>SKK  Nguyễn Du</v>
          </cell>
          <cell r="G863" t="str">
            <v>0984507881</v>
          </cell>
          <cell r="H863" t="str">
            <v>anh linh</v>
          </cell>
          <cell r="I863" t="str">
            <v>Khách cũ</v>
          </cell>
          <cell r="J863" t="str">
            <v>Đơn bán</v>
          </cell>
          <cell r="K863" t="str">
            <v>SAKUKO801498</v>
          </cell>
          <cell r="L863" t="str">
            <v>THỰC PHẨM</v>
          </cell>
          <cell r="M863" t="str">
            <v>BÁNH KẸO, ĐỒ ĂN VẶT</v>
          </cell>
          <cell r="N863" t="str">
            <v>KẸO CAO SU</v>
          </cell>
          <cell r="O863" t="str">
            <v>231376</v>
          </cell>
          <cell r="P863" t="str">
            <v>4903333228577</v>
          </cell>
          <cell r="Q863" t="str">
            <v>LOTTE-Kẹo cao su tổng hợp 7 loại dạng lọ 133g</v>
          </cell>
          <cell r="R863">
            <v>235000</v>
          </cell>
          <cell r="S863">
            <v>1</v>
          </cell>
          <cell r="T863">
            <v>235000</v>
          </cell>
          <cell r="U863">
            <v>0</v>
          </cell>
          <cell r="V863">
            <v>235000</v>
          </cell>
          <cell r="W863" t="str">
            <v>4903333228577</v>
          </cell>
        </row>
        <row r="864">
          <cell r="A864">
            <v>2026</v>
          </cell>
          <cell r="B864">
            <v>6</v>
          </cell>
          <cell r="C864">
            <v>46179</v>
          </cell>
          <cell r="D864" t="str">
            <v>1. SKK store</v>
          </cell>
          <cell r="E864" t="str">
            <v>S1008</v>
          </cell>
          <cell r="F864" t="str">
            <v>SKK  Hàng Bông</v>
          </cell>
          <cell r="G864" t="str">
            <v>0389929366</v>
          </cell>
          <cell r="H864" t="str">
            <v>Cô Huế</v>
          </cell>
          <cell r="I864" t="str">
            <v>Khách cũ</v>
          </cell>
          <cell r="J864" t="str">
            <v>Đơn bán</v>
          </cell>
          <cell r="K864" t="str">
            <v>SAKUKO801898</v>
          </cell>
          <cell r="L864" t="str">
            <v>CHĂM SÓC SẮC ĐẸP</v>
          </cell>
          <cell r="M864" t="str">
            <v>CHĂM SÓC DA</v>
          </cell>
          <cell r="N864" t="str">
            <v>KEM DƯỠNG</v>
          </cell>
          <cell r="O864" t="str">
            <v>102420</v>
          </cell>
          <cell r="P864" t="str">
            <v>4902468820007</v>
          </cell>
          <cell r="Q864" t="str">
            <v>MEISHOKU- Tinh chất dưỡng ẩm chuyên sâu 30ml</v>
          </cell>
          <cell r="R864">
            <v>555000</v>
          </cell>
          <cell r="S864">
            <v>1</v>
          </cell>
          <cell r="T864">
            <v>555000</v>
          </cell>
          <cell r="U864">
            <v>44400</v>
          </cell>
          <cell r="V864">
            <v>510600</v>
          </cell>
          <cell r="W864" t="str">
            <v>4902468820007</v>
          </cell>
        </row>
        <row r="865">
          <cell r="A865">
            <v>2026</v>
          </cell>
          <cell r="B865">
            <v>6</v>
          </cell>
          <cell r="C865">
            <v>46179</v>
          </cell>
          <cell r="D865" t="str">
            <v>1. SKK store</v>
          </cell>
          <cell r="E865" t="str">
            <v>S1008</v>
          </cell>
          <cell r="F865" t="str">
            <v>SKK  Hàng Bông</v>
          </cell>
          <cell r="G865" t="str">
            <v>0912134287</v>
          </cell>
          <cell r="H865" t="str">
            <v>A ĐỖ ĐỨC HẢI</v>
          </cell>
          <cell r="I865" t="str">
            <v>Khách cũ</v>
          </cell>
          <cell r="J865" t="str">
            <v>Đơn bán</v>
          </cell>
          <cell r="K865" t="str">
            <v>SAKUKO801464</v>
          </cell>
          <cell r="L865" t="str">
            <v>THỰC PHẨM</v>
          </cell>
          <cell r="M865" t="str">
            <v>MỲ, MIẾN</v>
          </cell>
          <cell r="N865" t="str">
            <v>MỲ CHẾ BIẾN</v>
          </cell>
          <cell r="O865" t="str">
            <v>154251</v>
          </cell>
          <cell r="P865" t="str">
            <v>4560159440776</v>
          </cell>
          <cell r="Q865" t="str">
            <v>SATO_Mì soba khô 800g</v>
          </cell>
          <cell r="R865">
            <v>104000</v>
          </cell>
          <cell r="S865">
            <v>10</v>
          </cell>
          <cell r="T865">
            <v>1040000</v>
          </cell>
          <cell r="U865">
            <v>0</v>
          </cell>
          <cell r="V865">
            <v>1040000</v>
          </cell>
          <cell r="W865" t="str">
            <v>4560159440776</v>
          </cell>
        </row>
        <row r="866">
          <cell r="A866">
            <v>2026</v>
          </cell>
          <cell r="B866">
            <v>6</v>
          </cell>
          <cell r="C866">
            <v>46179</v>
          </cell>
          <cell r="D866" t="str">
            <v>1. SKK store</v>
          </cell>
          <cell r="E866" t="str">
            <v>S1008</v>
          </cell>
          <cell r="F866" t="str">
            <v>SKK  Hàng Bông</v>
          </cell>
          <cell r="G866" t="str">
            <v>0912464768</v>
          </cell>
          <cell r="H866" t="str">
            <v>chị vũ ngọc anh</v>
          </cell>
          <cell r="I866" t="str">
            <v>Khách cũ</v>
          </cell>
          <cell r="J866" t="str">
            <v>Đơn bán</v>
          </cell>
          <cell r="K866" t="str">
            <v>SAKUKO801831</v>
          </cell>
          <cell r="L866" t="str">
            <v>CHĂM SÓC SẮC ĐẸP</v>
          </cell>
          <cell r="M866" t="str">
            <v>Mỹ phẩm khác</v>
          </cell>
          <cell r="N866" t="str">
            <v>PHỤ KIỆN LÀM ĐẸP</v>
          </cell>
          <cell r="O866" t="str">
            <v>102389</v>
          </cell>
          <cell r="P866" t="str">
            <v>4969757110652</v>
          </cell>
          <cell r="Q866" t="str">
            <v>KYOWA- Gói bông tẩy trang 130 miếng</v>
          </cell>
          <cell r="R866">
            <v>49000</v>
          </cell>
          <cell r="S866">
            <v>1</v>
          </cell>
          <cell r="T866">
            <v>49000</v>
          </cell>
          <cell r="U866">
            <v>0</v>
          </cell>
          <cell r="V866">
            <v>49000</v>
          </cell>
          <cell r="W866" t="str">
            <v>4969757110652</v>
          </cell>
        </row>
        <row r="867">
          <cell r="A867">
            <v>2026</v>
          </cell>
          <cell r="B867">
            <v>6</v>
          </cell>
          <cell r="C867">
            <v>46179</v>
          </cell>
          <cell r="D867" t="str">
            <v>1. SKK store</v>
          </cell>
          <cell r="E867" t="str">
            <v>S1015</v>
          </cell>
          <cell r="F867" t="str">
            <v>SKK Hàm Nghi</v>
          </cell>
          <cell r="G867" t="str">
            <v>0936291636</v>
          </cell>
          <cell r="H867" t="str">
            <v>Chị Nhàn</v>
          </cell>
          <cell r="I867" t="str">
            <v>Khách cũ</v>
          </cell>
          <cell r="J867" t="str">
            <v>Đơn bán</v>
          </cell>
          <cell r="K867" t="str">
            <v>SAKUKO801306</v>
          </cell>
          <cell r="L867" t="str">
            <v>THỰC PHẨM</v>
          </cell>
          <cell r="M867" t="str">
            <v>BÁNH KẸO, ĐỒ ĂN VẶT</v>
          </cell>
          <cell r="N867" t="str">
            <v>KẸO CAO SU</v>
          </cell>
          <cell r="O867" t="str">
            <v>231376</v>
          </cell>
          <cell r="P867" t="str">
            <v>4903333228577</v>
          </cell>
          <cell r="Q867" t="str">
            <v>LOTTE-Kẹo cao su tổng hợp 7 loại dạng lọ 133g</v>
          </cell>
          <cell r="R867">
            <v>235000</v>
          </cell>
          <cell r="S867">
            <v>1</v>
          </cell>
          <cell r="T867">
            <v>235000</v>
          </cell>
          <cell r="U867">
            <v>0</v>
          </cell>
          <cell r="V867">
            <v>235000</v>
          </cell>
          <cell r="W867" t="str">
            <v>4903333228577</v>
          </cell>
        </row>
        <row r="868">
          <cell r="A868">
            <v>2026</v>
          </cell>
          <cell r="B868">
            <v>6</v>
          </cell>
          <cell r="C868">
            <v>46179</v>
          </cell>
          <cell r="D868" t="str">
            <v>1. SKK store</v>
          </cell>
          <cell r="E868" t="str">
            <v>S1018</v>
          </cell>
          <cell r="F868" t="str">
            <v>SKK Nguyễn Tuân</v>
          </cell>
          <cell r="G868" t="str">
            <v>02422174499</v>
          </cell>
          <cell r="H868" t="str">
            <v>klnt</v>
          </cell>
          <cell r="I868" t="str">
            <v>Khách vãng lai</v>
          </cell>
          <cell r="J868" t="str">
            <v>Đơn bán</v>
          </cell>
          <cell r="K868" t="str">
            <v>SAKUKO801752</v>
          </cell>
          <cell r="L868" t="str">
            <v>ĐỒ CHO MẸ BÉ</v>
          </cell>
          <cell r="M868" t="str">
            <v>GIẤY ƯỚT</v>
          </cell>
          <cell r="N868" t="str">
            <v>GIẤY ƯỚT CHO BÉ</v>
          </cell>
          <cell r="O868" t="str">
            <v>121662</v>
          </cell>
          <cell r="P868" t="str">
            <v>8934755035036</v>
          </cell>
          <cell r="Q868" t="str">
            <v>FRESSI- Khăn ướt Care For All 20 miếng</v>
          </cell>
          <cell r="R868">
            <v>14000</v>
          </cell>
          <cell r="S868">
            <v>1</v>
          </cell>
          <cell r="T868">
            <v>14000</v>
          </cell>
          <cell r="U868">
            <v>0</v>
          </cell>
          <cell r="V868">
            <v>14000</v>
          </cell>
          <cell r="W868" t="str">
            <v>8934755035036</v>
          </cell>
        </row>
        <row r="869">
          <cell r="A869">
            <v>2026</v>
          </cell>
          <cell r="B869">
            <v>6</v>
          </cell>
          <cell r="C869">
            <v>46179</v>
          </cell>
          <cell r="D869" t="str">
            <v>1. SKK store</v>
          </cell>
          <cell r="E869" t="str">
            <v>S1018</v>
          </cell>
          <cell r="F869" t="str">
            <v>SKK Nguyễn Tuân</v>
          </cell>
          <cell r="G869" t="str">
            <v>02422174499</v>
          </cell>
          <cell r="H869" t="str">
            <v>klnt</v>
          </cell>
          <cell r="I869" t="str">
            <v>Khách vãng lai</v>
          </cell>
          <cell r="J869" t="str">
            <v>Đơn bán</v>
          </cell>
          <cell r="K869" t="str">
            <v>SAKUKO801752</v>
          </cell>
          <cell r="L869" t="str">
            <v>THỰC PHẨM</v>
          </cell>
          <cell r="M869" t="str">
            <v>BÁNH KẸO, ĐỒ ĂN VẶT</v>
          </cell>
          <cell r="N869" t="str">
            <v>KẸO CAO SU</v>
          </cell>
          <cell r="O869" t="str">
            <v>154653</v>
          </cell>
          <cell r="P869" t="str">
            <v>4547894156650</v>
          </cell>
          <cell r="Q869" t="str">
            <v>MONDELEZ JAPAN - Kẹo cao su vị bưởi hồng 130g</v>
          </cell>
          <cell r="R869">
            <v>235000</v>
          </cell>
          <cell r="S869">
            <v>1</v>
          </cell>
          <cell r="T869">
            <v>235000</v>
          </cell>
          <cell r="U869">
            <v>0</v>
          </cell>
          <cell r="V869">
            <v>235000</v>
          </cell>
          <cell r="W869" t="str">
            <v>4547894156650</v>
          </cell>
        </row>
        <row r="870">
          <cell r="A870">
            <v>2026</v>
          </cell>
          <cell r="B870">
            <v>6</v>
          </cell>
          <cell r="C870">
            <v>46179</v>
          </cell>
          <cell r="D870" t="str">
            <v>1. SKK store</v>
          </cell>
          <cell r="E870" t="str">
            <v>S1018</v>
          </cell>
          <cell r="F870" t="str">
            <v>SKK Nguyễn Tuân</v>
          </cell>
          <cell r="G870" t="str">
            <v>0936877386</v>
          </cell>
          <cell r="H870" t="str">
            <v>chị hương</v>
          </cell>
          <cell r="I870" t="str">
            <v>Khách cũ</v>
          </cell>
          <cell r="J870" t="str">
            <v>Đơn bán</v>
          </cell>
          <cell r="K870" t="str">
            <v>SAKUKO801945</v>
          </cell>
          <cell r="L870" t="str">
            <v>CHĂM SÓC SẮC ĐẸP</v>
          </cell>
          <cell r="M870" t="str">
            <v>CHĂM SÓC DA</v>
          </cell>
          <cell r="N870" t="str">
            <v>RỬA MẶT</v>
          </cell>
          <cell r="O870" t="str">
            <v>102448</v>
          </cell>
          <cell r="P870" t="str">
            <v>4902806470642</v>
          </cell>
          <cell r="Q870" t="str">
            <v>GATSBY- SRM sạch bụi &amp; dầu nhờn 130g</v>
          </cell>
          <cell r="R870">
            <v>100000</v>
          </cell>
          <cell r="S870">
            <v>1</v>
          </cell>
          <cell r="T870">
            <v>100000</v>
          </cell>
          <cell r="U870">
            <v>10000</v>
          </cell>
          <cell r="V870">
            <v>90000</v>
          </cell>
          <cell r="W870" t="str">
            <v>4902806470642</v>
          </cell>
        </row>
        <row r="871">
          <cell r="A871">
            <v>2026</v>
          </cell>
          <cell r="B871">
            <v>6</v>
          </cell>
          <cell r="C871">
            <v>46179</v>
          </cell>
          <cell r="D871" t="str">
            <v>1. SKK store</v>
          </cell>
          <cell r="E871" t="str">
            <v>S1018</v>
          </cell>
          <cell r="F871" t="str">
            <v>SKK Nguyễn Tuân</v>
          </cell>
          <cell r="G871" t="str">
            <v>0971514065</v>
          </cell>
          <cell r="H871" t="str">
            <v>chú Quân</v>
          </cell>
          <cell r="I871" t="str">
            <v>Khách mới</v>
          </cell>
          <cell r="J871" t="str">
            <v>Đơn bán</v>
          </cell>
          <cell r="K871" t="str">
            <v>SAKUKO801208</v>
          </cell>
          <cell r="L871" t="str">
            <v>THỰC PHẨM</v>
          </cell>
          <cell r="M871" t="str">
            <v>BÁNH KẸO, ĐỒ ĂN VẶT</v>
          </cell>
          <cell r="N871" t="str">
            <v>KẸO CAO SU</v>
          </cell>
          <cell r="O871" t="str">
            <v>231377</v>
          </cell>
          <cell r="P871" t="str">
            <v>4903333200375</v>
          </cell>
          <cell r="Q871" t="str">
            <v>LOTTE-Kẹo cao su tổng hợp dạng lọ 114g</v>
          </cell>
          <cell r="R871">
            <v>235000</v>
          </cell>
          <cell r="S871">
            <v>1</v>
          </cell>
          <cell r="T871">
            <v>235000</v>
          </cell>
          <cell r="U871">
            <v>0</v>
          </cell>
          <cell r="V871">
            <v>235000</v>
          </cell>
          <cell r="W871" t="str">
            <v>4903333200375</v>
          </cell>
        </row>
        <row r="872">
          <cell r="A872">
            <v>2026</v>
          </cell>
          <cell r="B872">
            <v>6</v>
          </cell>
          <cell r="C872">
            <v>46179</v>
          </cell>
          <cell r="D872" t="str">
            <v>1. SKK store</v>
          </cell>
          <cell r="E872" t="str">
            <v>S1025</v>
          </cell>
          <cell r="F872" t="str">
            <v>SKK T6 Time City</v>
          </cell>
          <cell r="G872" t="str">
            <v>0934985858</v>
          </cell>
          <cell r="H872" t="str">
            <v>Chị Ngân</v>
          </cell>
          <cell r="I872" t="str">
            <v>Khách mới</v>
          </cell>
          <cell r="J872" t="str">
            <v>Đơn bán</v>
          </cell>
          <cell r="K872" t="str">
            <v>SAKUKO801343</v>
          </cell>
          <cell r="L872" t="str">
            <v>ĐỒ CHO MẸ BÉ</v>
          </cell>
          <cell r="M872" t="str">
            <v>GIẤY ƯỚT</v>
          </cell>
          <cell r="N872" t="str">
            <v>GIẤY ƯỚT CHO BÉ</v>
          </cell>
          <cell r="O872" t="str">
            <v>121662</v>
          </cell>
          <cell r="P872" t="str">
            <v>8934755035036</v>
          </cell>
          <cell r="Q872" t="str">
            <v>FRESSI- Khăn ướt Care For All 20 miếng</v>
          </cell>
          <cell r="R872">
            <v>14000</v>
          </cell>
          <cell r="S872">
            <v>1</v>
          </cell>
          <cell r="T872">
            <v>14000</v>
          </cell>
          <cell r="U872">
            <v>0</v>
          </cell>
          <cell r="V872">
            <v>14000</v>
          </cell>
          <cell r="W872" t="str">
            <v>8934755035036</v>
          </cell>
        </row>
        <row r="873">
          <cell r="A873">
            <v>2026</v>
          </cell>
          <cell r="B873">
            <v>6</v>
          </cell>
          <cell r="C873">
            <v>46179</v>
          </cell>
          <cell r="D873" t="str">
            <v>1. SKK store</v>
          </cell>
          <cell r="E873" t="str">
            <v>S1025</v>
          </cell>
          <cell r="F873" t="str">
            <v>SKK T6 Time City</v>
          </cell>
          <cell r="G873" t="str">
            <v>0934985858</v>
          </cell>
          <cell r="H873" t="str">
            <v>Chị Ngân</v>
          </cell>
          <cell r="I873" t="str">
            <v>Khách mới</v>
          </cell>
          <cell r="J873" t="str">
            <v>Đơn bán</v>
          </cell>
          <cell r="K873" t="str">
            <v>SAKUKO801343</v>
          </cell>
          <cell r="L873" t="str">
            <v>THỰC PHẨM</v>
          </cell>
          <cell r="M873" t="str">
            <v>BÁNH KẸO, ĐỒ ĂN VẶT</v>
          </cell>
          <cell r="N873" t="str">
            <v>KẸO CAO SU</v>
          </cell>
          <cell r="O873" t="str">
            <v>154105</v>
          </cell>
          <cell r="P873" t="str">
            <v>4547894156612</v>
          </cell>
          <cell r="Q873" t="str">
            <v>MONDELEZ JAPAN - Kẹo cao su 112g</v>
          </cell>
          <cell r="R873">
            <v>235000</v>
          </cell>
          <cell r="S873">
            <v>1</v>
          </cell>
          <cell r="T873">
            <v>235000</v>
          </cell>
          <cell r="U873">
            <v>0</v>
          </cell>
          <cell r="V873">
            <v>235000</v>
          </cell>
          <cell r="W873" t="str">
            <v>4547894156612</v>
          </cell>
        </row>
        <row r="874">
          <cell r="A874">
            <v>2026</v>
          </cell>
          <cell r="B874">
            <v>6</v>
          </cell>
          <cell r="C874">
            <v>46179</v>
          </cell>
          <cell r="D874" t="str">
            <v>1. SKK store</v>
          </cell>
          <cell r="E874" t="str">
            <v>S1025</v>
          </cell>
          <cell r="F874" t="str">
            <v>SKK T6 Time City</v>
          </cell>
          <cell r="G874" t="str">
            <v>0985020886</v>
          </cell>
          <cell r="H874" t="str">
            <v>C. Thu Giang</v>
          </cell>
          <cell r="I874" t="str">
            <v>Khách cũ</v>
          </cell>
          <cell r="J874" t="str">
            <v>Đơn bán</v>
          </cell>
          <cell r="K874" t="str">
            <v>SAKUKO801396</v>
          </cell>
          <cell r="L874" t="str">
            <v>ĐỒ CHO MẸ BÉ</v>
          </cell>
          <cell r="M874" t="str">
            <v>GIẤY ƯỚT</v>
          </cell>
          <cell r="N874" t="str">
            <v>GIẤY ƯỚT CHO BÉ</v>
          </cell>
          <cell r="O874" t="str">
            <v>121664</v>
          </cell>
          <cell r="P874" t="str">
            <v>8934755035074</v>
          </cell>
          <cell r="Q874" t="str">
            <v>BOBBY- Khăn ướt em bé có hương 100 miếng</v>
          </cell>
          <cell r="R874">
            <v>46000</v>
          </cell>
          <cell r="S874">
            <v>1</v>
          </cell>
          <cell r="T874">
            <v>46000</v>
          </cell>
          <cell r="U874">
            <v>0</v>
          </cell>
          <cell r="V874">
            <v>46000</v>
          </cell>
          <cell r="W874" t="str">
            <v>8934755035074</v>
          </cell>
        </row>
        <row r="875">
          <cell r="A875">
            <v>2026</v>
          </cell>
          <cell r="B875">
            <v>6</v>
          </cell>
          <cell r="C875">
            <v>46179</v>
          </cell>
          <cell r="D875" t="str">
            <v>1. SKK store</v>
          </cell>
          <cell r="E875" t="str">
            <v>S1025</v>
          </cell>
          <cell r="F875" t="str">
            <v>SKK T6 Time City</v>
          </cell>
          <cell r="G875" t="str">
            <v>0985020886</v>
          </cell>
          <cell r="H875" t="str">
            <v>C. Thu Giang</v>
          </cell>
          <cell r="I875" t="str">
            <v>Khách cũ</v>
          </cell>
          <cell r="J875" t="str">
            <v>Đơn bán</v>
          </cell>
          <cell r="K875" t="str">
            <v>SAKUKO801396</v>
          </cell>
          <cell r="L875" t="str">
            <v>ĐỒ CHO MẸ BÉ</v>
          </cell>
          <cell r="M875" t="str">
            <v>GIẤY ƯỚT</v>
          </cell>
          <cell r="N875" t="str">
            <v>GIẤY ƯỚT CHO BÉ</v>
          </cell>
          <cell r="O875" t="str">
            <v>121665</v>
          </cell>
          <cell r="P875" t="str">
            <v>8934755035289</v>
          </cell>
          <cell r="Q875" t="str">
            <v>BOBBY- Khăn ướt em bé không mùi 100 miếng</v>
          </cell>
          <cell r="R875">
            <v>46000</v>
          </cell>
          <cell r="S875">
            <v>1</v>
          </cell>
          <cell r="T875">
            <v>46000</v>
          </cell>
          <cell r="U875">
            <v>0</v>
          </cell>
          <cell r="V875">
            <v>46000</v>
          </cell>
          <cell r="W875" t="str">
            <v>8934755035289</v>
          </cell>
        </row>
        <row r="876">
          <cell r="A876">
            <v>2026</v>
          </cell>
          <cell r="B876">
            <v>6</v>
          </cell>
          <cell r="C876">
            <v>46178</v>
          </cell>
          <cell r="D876" t="str">
            <v>1. SKK store</v>
          </cell>
          <cell r="E876" t="str">
            <v>S1005</v>
          </cell>
          <cell r="F876" t="str">
            <v>SKK  Thái Hà</v>
          </cell>
          <cell r="G876" t="str">
            <v>02466810505</v>
          </cell>
          <cell r="H876" t="str">
            <v>klth</v>
          </cell>
          <cell r="I876" t="str">
            <v>Khách vãng lai</v>
          </cell>
          <cell r="J876" t="str">
            <v>Đơn bán</v>
          </cell>
          <cell r="K876" t="str">
            <v>SAKUKO799785</v>
          </cell>
          <cell r="L876" t="str">
            <v>THỰC PHẨM</v>
          </cell>
          <cell r="M876" t="str">
            <v>BÁNH KẸO, ĐỒ ĂN VẶT</v>
          </cell>
          <cell r="N876" t="str">
            <v>KẸO CAO SU</v>
          </cell>
          <cell r="O876" t="str">
            <v>231376</v>
          </cell>
          <cell r="P876" t="str">
            <v>4903333228577</v>
          </cell>
          <cell r="Q876" t="str">
            <v>LOTTE-Kẹo cao su tổng hợp 7 loại dạng lọ 133g</v>
          </cell>
          <cell r="R876">
            <v>235000</v>
          </cell>
          <cell r="S876">
            <v>1</v>
          </cell>
          <cell r="T876">
            <v>235000</v>
          </cell>
          <cell r="U876">
            <v>0</v>
          </cell>
          <cell r="V876">
            <v>235000</v>
          </cell>
          <cell r="W876" t="str">
            <v>4903333228577</v>
          </cell>
        </row>
        <row r="877">
          <cell r="A877">
            <v>2026</v>
          </cell>
          <cell r="B877">
            <v>6</v>
          </cell>
          <cell r="C877">
            <v>46178</v>
          </cell>
          <cell r="D877" t="str">
            <v>1. SKK store</v>
          </cell>
          <cell r="E877" t="str">
            <v>S1005</v>
          </cell>
          <cell r="F877" t="str">
            <v>SKK  Thái Hà</v>
          </cell>
          <cell r="G877" t="str">
            <v>02466810505</v>
          </cell>
          <cell r="H877" t="str">
            <v>klth</v>
          </cell>
          <cell r="I877" t="str">
            <v>Khách vãng lai</v>
          </cell>
          <cell r="J877" t="str">
            <v>Đơn bán</v>
          </cell>
          <cell r="K877" t="str">
            <v>SAKUKO799785</v>
          </cell>
          <cell r="L877" t="str">
            <v>THỰC PHẨM</v>
          </cell>
          <cell r="M877" t="str">
            <v>BÁNH KẸO, ĐỒ ĂN VẶT</v>
          </cell>
          <cell r="N877" t="str">
            <v>KẸO CAO SU</v>
          </cell>
          <cell r="O877" t="str">
            <v>231377</v>
          </cell>
          <cell r="P877" t="str">
            <v>4903333200375</v>
          </cell>
          <cell r="Q877" t="str">
            <v>LOTTE-Kẹo cao su tổng hợp dạng lọ 114g</v>
          </cell>
          <cell r="R877">
            <v>235000</v>
          </cell>
          <cell r="S877">
            <v>1</v>
          </cell>
          <cell r="T877">
            <v>235000</v>
          </cell>
          <cell r="U877">
            <v>0</v>
          </cell>
          <cell r="V877">
            <v>235000</v>
          </cell>
          <cell r="W877" t="str">
            <v>4903333200375</v>
          </cell>
        </row>
        <row r="878">
          <cell r="A878">
            <v>2026</v>
          </cell>
          <cell r="B878">
            <v>6</v>
          </cell>
          <cell r="C878">
            <v>46178</v>
          </cell>
          <cell r="D878" t="str">
            <v>1. SKK store</v>
          </cell>
          <cell r="E878" t="str">
            <v>S1005</v>
          </cell>
          <cell r="F878" t="str">
            <v>SKK  Thái Hà</v>
          </cell>
          <cell r="G878" t="str">
            <v>0366789689</v>
          </cell>
          <cell r="H878" t="str">
            <v>Chị Trang</v>
          </cell>
          <cell r="I878" t="str">
            <v>Khách cũ</v>
          </cell>
          <cell r="J878" t="str">
            <v>Đơn bán</v>
          </cell>
          <cell r="K878" t="str">
            <v>SAKUKO799644</v>
          </cell>
          <cell r="L878" t="str">
            <v>THỰC PHẨM</v>
          </cell>
          <cell r="M878" t="str">
            <v>MỲ, MIẾN</v>
          </cell>
          <cell r="N878" t="str">
            <v>MỲ CHẾ BIẾN</v>
          </cell>
          <cell r="O878" t="str">
            <v>154249</v>
          </cell>
          <cell r="P878" t="str">
            <v>4517244004627</v>
          </cell>
          <cell r="Q878" t="str">
            <v>ASAHI_Mì udon khô 400g</v>
          </cell>
          <cell r="R878">
            <v>69000</v>
          </cell>
          <cell r="S878">
            <v>1</v>
          </cell>
          <cell r="T878">
            <v>69000</v>
          </cell>
          <cell r="U878">
            <v>0</v>
          </cell>
          <cell r="V878">
            <v>69000</v>
          </cell>
          <cell r="W878" t="str">
            <v>4517244004627</v>
          </cell>
        </row>
        <row r="879">
          <cell r="A879">
            <v>2026</v>
          </cell>
          <cell r="B879">
            <v>6</v>
          </cell>
          <cell r="C879">
            <v>46178</v>
          </cell>
          <cell r="D879" t="str">
            <v>1. SKK store</v>
          </cell>
          <cell r="E879" t="str">
            <v>S1005</v>
          </cell>
          <cell r="F879" t="str">
            <v>SKK  Thái Hà</v>
          </cell>
          <cell r="G879" t="str">
            <v>0366789689</v>
          </cell>
          <cell r="H879" t="str">
            <v>Chị Trang</v>
          </cell>
          <cell r="I879" t="str">
            <v>Khách cũ</v>
          </cell>
          <cell r="J879" t="str">
            <v>Đơn bán</v>
          </cell>
          <cell r="K879" t="str">
            <v>SAKUKO799644</v>
          </cell>
          <cell r="L879" t="str">
            <v>THỰC PHẨM</v>
          </cell>
          <cell r="M879" t="str">
            <v>MỲ, MIẾN</v>
          </cell>
          <cell r="N879" t="str">
            <v>MỲ CHẾ BIẾN</v>
          </cell>
          <cell r="O879" t="str">
            <v>154251</v>
          </cell>
          <cell r="P879" t="str">
            <v>4560159440776</v>
          </cell>
          <cell r="Q879" t="str">
            <v>SATO_Mì soba khô 800g</v>
          </cell>
          <cell r="R879">
            <v>104000</v>
          </cell>
          <cell r="S879">
            <v>1</v>
          </cell>
          <cell r="T879">
            <v>104000</v>
          </cell>
          <cell r="U879">
            <v>0</v>
          </cell>
          <cell r="V879">
            <v>104000</v>
          </cell>
          <cell r="W879" t="str">
            <v>4560159440776</v>
          </cell>
        </row>
        <row r="880">
          <cell r="A880">
            <v>2026</v>
          </cell>
          <cell r="B880">
            <v>6</v>
          </cell>
          <cell r="C880">
            <v>46178</v>
          </cell>
          <cell r="D880" t="str">
            <v>1. SKK store</v>
          </cell>
          <cell r="E880" t="str">
            <v>S1005</v>
          </cell>
          <cell r="F880" t="str">
            <v>SKK  Thái Hà</v>
          </cell>
          <cell r="G880" t="str">
            <v>0982280760</v>
          </cell>
          <cell r="H880" t="str">
            <v>Cô Hiển</v>
          </cell>
          <cell r="I880" t="str">
            <v>Khách cũ</v>
          </cell>
          <cell r="J880" t="str">
            <v>Đơn bán</v>
          </cell>
          <cell r="K880" t="str">
            <v>SAKUKO799610</v>
          </cell>
          <cell r="L880" t="str">
            <v>CHĂM SÓC SẮC ĐẸP</v>
          </cell>
          <cell r="M880" t="str">
            <v>Mỹ phẩm khác</v>
          </cell>
          <cell r="N880" t="str">
            <v>PHỤ KIỆN LÀM ĐẸP</v>
          </cell>
          <cell r="O880" t="str">
            <v>102389</v>
          </cell>
          <cell r="P880" t="str">
            <v>4969757110652</v>
          </cell>
          <cell r="Q880" t="str">
            <v>KYOWA- Gói bông tẩy trang 130 miếng</v>
          </cell>
          <cell r="R880">
            <v>49000</v>
          </cell>
          <cell r="S880">
            <v>1</v>
          </cell>
          <cell r="T880">
            <v>49000</v>
          </cell>
          <cell r="U880">
            <v>0</v>
          </cell>
          <cell r="V880">
            <v>49000</v>
          </cell>
          <cell r="W880" t="str">
            <v>4969757110652</v>
          </cell>
        </row>
        <row r="881">
          <cell r="A881">
            <v>2026</v>
          </cell>
          <cell r="B881">
            <v>6</v>
          </cell>
          <cell r="C881">
            <v>46178</v>
          </cell>
          <cell r="D881" t="str">
            <v>1. SKK store</v>
          </cell>
          <cell r="E881" t="str">
            <v>S1006</v>
          </cell>
          <cell r="F881" t="str">
            <v>SKK Trần Đăng Ninh</v>
          </cell>
          <cell r="G881" t="str">
            <v>0388984111</v>
          </cell>
          <cell r="H881" t="str">
            <v>Chị Chinh</v>
          </cell>
          <cell r="I881" t="str">
            <v>Khách cũ</v>
          </cell>
          <cell r="J881" t="str">
            <v>Đơn bán</v>
          </cell>
          <cell r="K881" t="str">
            <v>SAKUKO799865</v>
          </cell>
          <cell r="L881" t="str">
            <v>THỰC PHẨM</v>
          </cell>
          <cell r="M881" t="str">
            <v>MỲ, MIẾN</v>
          </cell>
          <cell r="N881" t="str">
            <v>MỲ CHẾ BIẾN</v>
          </cell>
          <cell r="O881" t="str">
            <v>175435</v>
          </cell>
          <cell r="P881" t="str">
            <v>4901726014752</v>
          </cell>
          <cell r="Q881" t="str">
            <v>ITSUKI FOODS- Mì soumen rau củ ngũ sắc320g</v>
          </cell>
          <cell r="R881">
            <v>76000</v>
          </cell>
          <cell r="S881">
            <v>1</v>
          </cell>
          <cell r="T881">
            <v>76000</v>
          </cell>
          <cell r="U881">
            <v>0</v>
          </cell>
          <cell r="V881">
            <v>76000</v>
          </cell>
          <cell r="W881" t="str">
            <v>4901726014752</v>
          </cell>
        </row>
        <row r="882">
          <cell r="A882">
            <v>2026</v>
          </cell>
          <cell r="B882">
            <v>6</v>
          </cell>
          <cell r="C882">
            <v>46178</v>
          </cell>
          <cell r="D882" t="str">
            <v>1. SKK store</v>
          </cell>
          <cell r="E882" t="str">
            <v>S1006</v>
          </cell>
          <cell r="F882" t="str">
            <v>SKK Trần Đăng Ninh</v>
          </cell>
          <cell r="G882" t="str">
            <v>0862954688</v>
          </cell>
          <cell r="H882" t="str">
            <v>KLTDN</v>
          </cell>
          <cell r="I882" t="str">
            <v>Khách vãng lai</v>
          </cell>
          <cell r="J882" t="str">
            <v>Đơn bán</v>
          </cell>
          <cell r="K882" t="str">
            <v>SAKUKO800466</v>
          </cell>
          <cell r="L882" t="str">
            <v>ĐỒ CHO MẸ BÉ</v>
          </cell>
          <cell r="M882" t="str">
            <v>GIẤY ƯỚT</v>
          </cell>
          <cell r="N882" t="str">
            <v>GIẤY ƯỚT CHO BÉ</v>
          </cell>
          <cell r="O882" t="str">
            <v>121663</v>
          </cell>
          <cell r="P882" t="str">
            <v>8934755035197</v>
          </cell>
          <cell r="Q882" t="str">
            <v>FRESSI- Khăn ướt Care For All 100 miếng</v>
          </cell>
          <cell r="R882">
            <v>49000</v>
          </cell>
          <cell r="S882">
            <v>1</v>
          </cell>
          <cell r="T882">
            <v>49000</v>
          </cell>
          <cell r="U882">
            <v>0</v>
          </cell>
          <cell r="V882">
            <v>49000</v>
          </cell>
          <cell r="W882" t="str">
            <v>8934755035197</v>
          </cell>
        </row>
        <row r="883">
          <cell r="A883">
            <v>2026</v>
          </cell>
          <cell r="B883">
            <v>6</v>
          </cell>
          <cell r="C883">
            <v>46178</v>
          </cell>
          <cell r="D883" t="str">
            <v>1. SKK store</v>
          </cell>
          <cell r="E883" t="str">
            <v>S1006</v>
          </cell>
          <cell r="F883" t="str">
            <v>SKK Trần Đăng Ninh</v>
          </cell>
          <cell r="G883" t="str">
            <v>0933210386</v>
          </cell>
          <cell r="H883" t="str">
            <v>C THANH</v>
          </cell>
          <cell r="I883" t="str">
            <v>Khách cũ</v>
          </cell>
          <cell r="J883" t="str">
            <v>Đơn bán</v>
          </cell>
          <cell r="K883" t="str">
            <v>SAKUKO800746</v>
          </cell>
          <cell r="L883" t="str">
            <v>CHĂM SÓC SẮC ĐẸP</v>
          </cell>
          <cell r="M883" t="str">
            <v>CHĂM SÓC DA</v>
          </cell>
          <cell r="N883" t="str">
            <v>RỬA MẶT</v>
          </cell>
          <cell r="O883" t="str">
            <v>102421</v>
          </cell>
          <cell r="P883" t="str">
            <v>4902468819032</v>
          </cell>
          <cell r="Q883" t="str">
            <v>MEISHOU- Sữa rửa mặt làm sạch thuần chay 100g</v>
          </cell>
          <cell r="R883">
            <v>295000</v>
          </cell>
          <cell r="S883">
            <v>1</v>
          </cell>
          <cell r="T883">
            <v>295000</v>
          </cell>
          <cell r="U883">
            <v>0</v>
          </cell>
          <cell r="V883">
            <v>295000</v>
          </cell>
          <cell r="W883" t="str">
            <v>4902468819032</v>
          </cell>
        </row>
        <row r="884">
          <cell r="A884">
            <v>2026</v>
          </cell>
          <cell r="B884">
            <v>6</v>
          </cell>
          <cell r="C884">
            <v>46178</v>
          </cell>
          <cell r="D884" t="str">
            <v>1. SKK store</v>
          </cell>
          <cell r="E884" t="str">
            <v>S1006</v>
          </cell>
          <cell r="F884" t="str">
            <v>SKK Trần Đăng Ninh</v>
          </cell>
          <cell r="G884" t="str">
            <v>0975645692</v>
          </cell>
          <cell r="H884" t="str">
            <v>Chị Lê Thị Thanh Nga</v>
          </cell>
          <cell r="I884" t="str">
            <v>Khách cũ</v>
          </cell>
          <cell r="J884" t="str">
            <v>Đơn bán</v>
          </cell>
          <cell r="K884" t="str">
            <v>SAKUKO799828</v>
          </cell>
          <cell r="L884" t="str">
            <v>CHĂM SÓC SẮC ĐẸP</v>
          </cell>
          <cell r="M884" t="str">
            <v>CHĂM SÓC DA</v>
          </cell>
          <cell r="N884" t="str">
            <v>RỬA MẶT</v>
          </cell>
          <cell r="O884" t="str">
            <v>102386</v>
          </cell>
          <cell r="P884" t="str">
            <v>4902468816062</v>
          </cell>
          <cell r="Q884" t="str">
            <v>MEISHOKU- Sữa rửa mặt sáng da Cvita 100g</v>
          </cell>
          <cell r="R884">
            <v>290000</v>
          </cell>
          <cell r="S884">
            <v>1</v>
          </cell>
          <cell r="T884">
            <v>290000</v>
          </cell>
          <cell r="U884">
            <v>23200</v>
          </cell>
          <cell r="V884">
            <v>266800</v>
          </cell>
          <cell r="W884" t="str">
            <v>4902468816062</v>
          </cell>
        </row>
        <row r="885">
          <cell r="A885">
            <v>2026</v>
          </cell>
          <cell r="B885">
            <v>6</v>
          </cell>
          <cell r="C885">
            <v>46178</v>
          </cell>
          <cell r="D885" t="str">
            <v>1. SKK store</v>
          </cell>
          <cell r="E885" t="str">
            <v>S1006</v>
          </cell>
          <cell r="F885" t="str">
            <v>SKK Trần Đăng Ninh</v>
          </cell>
          <cell r="G885" t="str">
            <v>0981216464</v>
          </cell>
          <cell r="H885" t="str">
            <v>Anh Ohnishi Naoki</v>
          </cell>
          <cell r="I885" t="str">
            <v>Khách cũ</v>
          </cell>
          <cell r="J885" t="str">
            <v>Đơn bán</v>
          </cell>
          <cell r="K885" t="str">
            <v>SAKUKO799993</v>
          </cell>
          <cell r="L885" t="str">
            <v>THỰC PHẨM</v>
          </cell>
          <cell r="M885" t="str">
            <v>MỲ, MIẾN</v>
          </cell>
          <cell r="N885" t="str">
            <v>MỲ CHẾ BIẾN</v>
          </cell>
          <cell r="O885" t="str">
            <v>154249</v>
          </cell>
          <cell r="P885" t="str">
            <v>4517244004627</v>
          </cell>
          <cell r="Q885" t="str">
            <v>ASAHI_Mì udon khô 400g</v>
          </cell>
          <cell r="R885">
            <v>69000</v>
          </cell>
          <cell r="S885">
            <v>1</v>
          </cell>
          <cell r="T885">
            <v>69000</v>
          </cell>
          <cell r="U885">
            <v>0</v>
          </cell>
          <cell r="V885">
            <v>69000</v>
          </cell>
          <cell r="W885" t="str">
            <v>4517244004627</v>
          </cell>
        </row>
        <row r="886">
          <cell r="A886">
            <v>2026</v>
          </cell>
          <cell r="B886">
            <v>6</v>
          </cell>
          <cell r="C886">
            <v>46178</v>
          </cell>
          <cell r="D886" t="str">
            <v>1. SKK store</v>
          </cell>
          <cell r="E886" t="str">
            <v>S1007</v>
          </cell>
          <cell r="F886" t="str">
            <v>SKK  Nguyễn Du</v>
          </cell>
          <cell r="G886" t="str">
            <v>0914325555</v>
          </cell>
          <cell r="H886" t="str">
            <v>Anh Thành</v>
          </cell>
          <cell r="I886" t="str">
            <v>Khách mới</v>
          </cell>
          <cell r="J886" t="str">
            <v>Đơn bán</v>
          </cell>
          <cell r="K886" t="str">
            <v>SAKUKO799938</v>
          </cell>
          <cell r="L886" t="str">
            <v>THỰC PHẨM</v>
          </cell>
          <cell r="M886" t="str">
            <v>BÁNH KẸO, ĐỒ ĂN VẶT</v>
          </cell>
          <cell r="N886" t="str">
            <v>KẸO CAO SU</v>
          </cell>
          <cell r="O886" t="str">
            <v>231377</v>
          </cell>
          <cell r="P886" t="str">
            <v>4903333200375</v>
          </cell>
          <cell r="Q886" t="str">
            <v>LOTTE-Kẹo cao su tổng hợp dạng lọ 114g</v>
          </cell>
          <cell r="R886">
            <v>235000</v>
          </cell>
          <cell r="S886">
            <v>1</v>
          </cell>
          <cell r="T886">
            <v>235000</v>
          </cell>
          <cell r="U886">
            <v>0</v>
          </cell>
          <cell r="V886">
            <v>235000</v>
          </cell>
          <cell r="W886" t="str">
            <v>4903333200375</v>
          </cell>
        </row>
        <row r="887">
          <cell r="A887">
            <v>2026</v>
          </cell>
          <cell r="B887">
            <v>6</v>
          </cell>
          <cell r="C887">
            <v>46178</v>
          </cell>
          <cell r="D887" t="str">
            <v>1. SKK store</v>
          </cell>
          <cell r="E887" t="str">
            <v>S1007</v>
          </cell>
          <cell r="F887" t="str">
            <v>SKK  Nguyễn Du</v>
          </cell>
          <cell r="G887" t="str">
            <v>0966398996</v>
          </cell>
          <cell r="H887" t="str">
            <v>Cô Thư</v>
          </cell>
          <cell r="I887" t="str">
            <v>Khách cũ</v>
          </cell>
          <cell r="J887" t="str">
            <v>Đơn bán</v>
          </cell>
          <cell r="K887" t="str">
            <v>SAKUKO799957</v>
          </cell>
          <cell r="L887" t="str">
            <v>ĐỒ CHO MẸ BÉ</v>
          </cell>
          <cell r="M887" t="str">
            <v>GIẤY ƯỚT</v>
          </cell>
          <cell r="N887" t="str">
            <v>GIẤY ƯỚT CHO BÉ</v>
          </cell>
          <cell r="O887" t="str">
            <v>121677</v>
          </cell>
          <cell r="P887" t="str">
            <v>8801260608836</v>
          </cell>
          <cell r="Q887" t="str">
            <v>KLEANNARA- Khăn ướt 5 tinh chất (có nắp) 100 tờ</v>
          </cell>
          <cell r="R887">
            <v>52000</v>
          </cell>
          <cell r="S887">
            <v>1</v>
          </cell>
          <cell r="T887">
            <v>52000</v>
          </cell>
          <cell r="U887">
            <v>0</v>
          </cell>
          <cell r="V887">
            <v>52000</v>
          </cell>
          <cell r="W887" t="str">
            <v>8801260608836</v>
          </cell>
        </row>
        <row r="888">
          <cell r="A888">
            <v>2026</v>
          </cell>
          <cell r="B888">
            <v>6</v>
          </cell>
          <cell r="C888">
            <v>46178</v>
          </cell>
          <cell r="D888" t="str">
            <v>1. SKK store</v>
          </cell>
          <cell r="E888" t="str">
            <v>S1008</v>
          </cell>
          <cell r="F888" t="str">
            <v>SKK  Hàng Bông</v>
          </cell>
          <cell r="G888" t="str">
            <v>0904804585</v>
          </cell>
          <cell r="H888" t="str">
            <v>CÔ NGUYỄN NGỌC BÍCH</v>
          </cell>
          <cell r="I888" t="str">
            <v>Khách cũ</v>
          </cell>
          <cell r="J888" t="str">
            <v>Đơn bán</v>
          </cell>
          <cell r="K888" t="str">
            <v>SAKUKO800407</v>
          </cell>
          <cell r="L888" t="str">
            <v>THỰC PHẨM</v>
          </cell>
          <cell r="M888" t="str">
            <v>BÁNH KẸO, ĐỒ ĂN VẶT</v>
          </cell>
          <cell r="N888" t="str">
            <v>KẸO CAO SU</v>
          </cell>
          <cell r="O888" t="str">
            <v>231377</v>
          </cell>
          <cell r="P888" t="str">
            <v>4903333200375</v>
          </cell>
          <cell r="Q888" t="str">
            <v>LOTTE-Kẹo cao su tổng hợp dạng lọ 114g</v>
          </cell>
          <cell r="R888">
            <v>235000</v>
          </cell>
          <cell r="S888">
            <v>1</v>
          </cell>
          <cell r="T888">
            <v>235000</v>
          </cell>
          <cell r="U888">
            <v>0</v>
          </cell>
          <cell r="V888">
            <v>235000</v>
          </cell>
          <cell r="W888" t="str">
            <v>4903333200375</v>
          </cell>
        </row>
        <row r="889">
          <cell r="A889">
            <v>2026</v>
          </cell>
          <cell r="B889">
            <v>6</v>
          </cell>
          <cell r="C889">
            <v>46178</v>
          </cell>
          <cell r="D889" t="str">
            <v>1. SKK store</v>
          </cell>
          <cell r="E889" t="str">
            <v>S1008</v>
          </cell>
          <cell r="F889" t="str">
            <v>SKK  Hàng Bông</v>
          </cell>
          <cell r="G889" t="str">
            <v>0912134287</v>
          </cell>
          <cell r="H889" t="str">
            <v>A ĐỖ ĐỨC HẢI</v>
          </cell>
          <cell r="I889" t="str">
            <v>Khách cũ</v>
          </cell>
          <cell r="J889" t="str">
            <v>Đơn bán</v>
          </cell>
          <cell r="K889" t="str">
            <v>SAKUKO799803</v>
          </cell>
          <cell r="L889" t="str">
            <v>THỰC PHẨM</v>
          </cell>
          <cell r="M889" t="str">
            <v>MỲ, MIẾN</v>
          </cell>
          <cell r="N889" t="str">
            <v>MỲ CHẾ BIẾN</v>
          </cell>
          <cell r="O889" t="str">
            <v>154251</v>
          </cell>
          <cell r="P889" t="str">
            <v>4560159440776</v>
          </cell>
          <cell r="Q889" t="str">
            <v>SATO_Mì soba khô 800g</v>
          </cell>
          <cell r="R889">
            <v>104000</v>
          </cell>
          <cell r="S889">
            <v>2</v>
          </cell>
          <cell r="T889">
            <v>208000</v>
          </cell>
          <cell r="U889">
            <v>0</v>
          </cell>
          <cell r="V889">
            <v>208000</v>
          </cell>
          <cell r="W889" t="str">
            <v>4560159440776</v>
          </cell>
        </row>
        <row r="890">
          <cell r="A890">
            <v>2026</v>
          </cell>
          <cell r="B890">
            <v>6</v>
          </cell>
          <cell r="C890">
            <v>46178</v>
          </cell>
          <cell r="D890" t="str">
            <v>1. SKK store</v>
          </cell>
          <cell r="E890" t="str">
            <v>S1008</v>
          </cell>
          <cell r="F890" t="str">
            <v>SKK  Hàng Bông</v>
          </cell>
          <cell r="G890" t="str">
            <v>0913231715</v>
          </cell>
          <cell r="H890" t="str">
            <v>nguyễn thị mến</v>
          </cell>
          <cell r="I890" t="str">
            <v>Khách cũ</v>
          </cell>
          <cell r="J890" t="str">
            <v>Đơn bán</v>
          </cell>
          <cell r="K890" t="str">
            <v>SAKUKO799839</v>
          </cell>
          <cell r="L890" t="str">
            <v>THỰC PHẨM</v>
          </cell>
          <cell r="M890" t="str">
            <v>MỲ, MIẾN</v>
          </cell>
          <cell r="N890" t="str">
            <v>MỲ CHẾ BIẾN</v>
          </cell>
          <cell r="O890" t="str">
            <v>175435</v>
          </cell>
          <cell r="P890" t="str">
            <v>4901726014752</v>
          </cell>
          <cell r="Q890" t="str">
            <v>ITSUKI FOODS- Mì soumen rau củ ngũ sắc320g</v>
          </cell>
          <cell r="R890">
            <v>76000</v>
          </cell>
          <cell r="S890">
            <v>1</v>
          </cell>
          <cell r="T890">
            <v>76000</v>
          </cell>
          <cell r="U890">
            <v>0</v>
          </cell>
          <cell r="V890">
            <v>76000</v>
          </cell>
          <cell r="W890" t="str">
            <v>4901726014752</v>
          </cell>
        </row>
        <row r="891">
          <cell r="A891">
            <v>2026</v>
          </cell>
          <cell r="B891">
            <v>6</v>
          </cell>
          <cell r="C891">
            <v>46178</v>
          </cell>
          <cell r="D891" t="str">
            <v>1. SKK store</v>
          </cell>
          <cell r="E891" t="str">
            <v>S1008</v>
          </cell>
          <cell r="F891" t="str">
            <v>SKK  Hàng Bông</v>
          </cell>
          <cell r="G891" t="str">
            <v>0982890518</v>
          </cell>
          <cell r="H891" t="str">
            <v>c hà</v>
          </cell>
          <cell r="I891" t="str">
            <v>Khách cũ</v>
          </cell>
          <cell r="J891" t="str">
            <v>Đơn bán</v>
          </cell>
          <cell r="K891" t="str">
            <v>SAKUKO800219</v>
          </cell>
          <cell r="L891" t="str">
            <v>CHĂM SÓC SẮC ĐẸP</v>
          </cell>
          <cell r="M891" t="str">
            <v>CHĂM SÓC DA</v>
          </cell>
          <cell r="N891" t="str">
            <v>KEM DƯỠNG</v>
          </cell>
          <cell r="O891" t="str">
            <v>102384</v>
          </cell>
          <cell r="P891" t="str">
            <v>4902468820014</v>
          </cell>
          <cell r="Q891" t="str">
            <v>MEISHOKU- Kem gel dưỡng ẩm phục hồi chuyên sâu 50g</v>
          </cell>
          <cell r="R891">
            <v>575000</v>
          </cell>
          <cell r="S891">
            <v>1</v>
          </cell>
          <cell r="T891">
            <v>575000</v>
          </cell>
          <cell r="U891">
            <v>76000</v>
          </cell>
          <cell r="V891">
            <v>499000</v>
          </cell>
          <cell r="W891" t="str">
            <v>4902468820014</v>
          </cell>
        </row>
        <row r="892">
          <cell r="A892">
            <v>2026</v>
          </cell>
          <cell r="B892">
            <v>6</v>
          </cell>
          <cell r="C892">
            <v>46178</v>
          </cell>
          <cell r="D892" t="str">
            <v>1. SKK store</v>
          </cell>
          <cell r="E892" t="str">
            <v>S1008</v>
          </cell>
          <cell r="F892" t="str">
            <v>SKK  Hàng Bông</v>
          </cell>
          <cell r="G892" t="str">
            <v>0982890518</v>
          </cell>
          <cell r="H892" t="str">
            <v>c hà</v>
          </cell>
          <cell r="I892" t="str">
            <v>Khách cũ</v>
          </cell>
          <cell r="J892" t="str">
            <v>Đơn bán</v>
          </cell>
          <cell r="K892" t="str">
            <v>SAKUKO800219</v>
          </cell>
          <cell r="L892" t="str">
            <v>CHĂM SÓC SẮC ĐẸP</v>
          </cell>
          <cell r="M892" t="str">
            <v>CHĂM SÓC DA</v>
          </cell>
          <cell r="N892" t="str">
            <v>KEM DƯỠNG</v>
          </cell>
          <cell r="O892" t="str">
            <v>102420</v>
          </cell>
          <cell r="P892" t="str">
            <v>4902468820007</v>
          </cell>
          <cell r="Q892" t="str">
            <v>MEISHOKU- Tinh chất dưỡng ẩm chuyên sâu 30ml</v>
          </cell>
          <cell r="R892">
            <v>555000</v>
          </cell>
          <cell r="S892">
            <v>1</v>
          </cell>
          <cell r="T892">
            <v>555000</v>
          </cell>
          <cell r="U892">
            <v>55000</v>
          </cell>
          <cell r="V892">
            <v>500000</v>
          </cell>
          <cell r="W892" t="str">
            <v>4902468820007</v>
          </cell>
        </row>
        <row r="893">
          <cell r="A893">
            <v>2026</v>
          </cell>
          <cell r="B893">
            <v>6</v>
          </cell>
          <cell r="C893">
            <v>46178</v>
          </cell>
          <cell r="D893" t="str">
            <v>1. SKK store</v>
          </cell>
          <cell r="E893" t="str">
            <v>S1015</v>
          </cell>
          <cell r="F893" t="str">
            <v>SKK Hàm Nghi</v>
          </cell>
          <cell r="G893" t="str">
            <v>0785439194</v>
          </cell>
          <cell r="H893" t="str">
            <v>Chị Trang</v>
          </cell>
          <cell r="I893" t="str">
            <v>Khách cũ</v>
          </cell>
          <cell r="J893" t="str">
            <v>Đơn bán</v>
          </cell>
          <cell r="K893" t="str">
            <v>SAKUKO800018</v>
          </cell>
          <cell r="L893" t="str">
            <v>NHÀ CỬA ĐỜI SỐNG</v>
          </cell>
          <cell r="M893" t="str">
            <v>KHĂN</v>
          </cell>
          <cell r="N893" t="str">
            <v>KHĂN MẶT</v>
          </cell>
          <cell r="O893" t="str">
            <v>102390</v>
          </cell>
          <cell r="P893" t="str">
            <v>4906327905980</v>
          </cell>
          <cell r="Q893" t="str">
            <v>KOMODA - Khăn mặt khô dùng 1 lần 46m 20x20cm</v>
          </cell>
          <cell r="R893">
            <v>52000</v>
          </cell>
          <cell r="S893">
            <v>1</v>
          </cell>
          <cell r="T893">
            <v>52000</v>
          </cell>
          <cell r="U893">
            <v>0</v>
          </cell>
          <cell r="V893">
            <v>52000</v>
          </cell>
          <cell r="W893" t="str">
            <v>4906327905980</v>
          </cell>
        </row>
        <row r="894">
          <cell r="A894">
            <v>2026</v>
          </cell>
          <cell r="B894">
            <v>6</v>
          </cell>
          <cell r="C894">
            <v>46178</v>
          </cell>
          <cell r="D894" t="str">
            <v>1. SKK store</v>
          </cell>
          <cell r="E894" t="str">
            <v>S1015</v>
          </cell>
          <cell r="F894" t="str">
            <v>SKK Hàm Nghi</v>
          </cell>
          <cell r="G894" t="str">
            <v>0843221111</v>
          </cell>
          <cell r="H894" t="str">
            <v>Chị Hà</v>
          </cell>
          <cell r="I894" t="str">
            <v>Khách cũ</v>
          </cell>
          <cell r="J894" t="str">
            <v>Đơn bán</v>
          </cell>
          <cell r="K894" t="str">
            <v>SAKUKO800049</v>
          </cell>
          <cell r="L894" t="str">
            <v>ĐỒ CHO MẸ BÉ</v>
          </cell>
          <cell r="M894" t="str">
            <v>GIẤY ƯỚT</v>
          </cell>
          <cell r="N894" t="str">
            <v>GIẤY ƯỚT CHO BÉ</v>
          </cell>
          <cell r="O894" t="str">
            <v>121677</v>
          </cell>
          <cell r="P894" t="str">
            <v>8801260608836</v>
          </cell>
          <cell r="Q894" t="str">
            <v>KLEANNARA- Khăn ướt 5 tinh chất (có nắp) 100 tờ</v>
          </cell>
          <cell r="R894">
            <v>52000</v>
          </cell>
          <cell r="S894">
            <v>2</v>
          </cell>
          <cell r="T894">
            <v>104000</v>
          </cell>
          <cell r="U894">
            <v>0</v>
          </cell>
          <cell r="V894">
            <v>104000</v>
          </cell>
          <cell r="W894" t="str">
            <v>8801260608836</v>
          </cell>
        </row>
        <row r="895">
          <cell r="A895">
            <v>2026</v>
          </cell>
          <cell r="B895">
            <v>6</v>
          </cell>
          <cell r="C895">
            <v>46178</v>
          </cell>
          <cell r="D895" t="str">
            <v>1. SKK store</v>
          </cell>
          <cell r="E895" t="str">
            <v>S1015</v>
          </cell>
          <cell r="F895" t="str">
            <v>SKK Hàm Nghi</v>
          </cell>
          <cell r="G895" t="str">
            <v>0963435986</v>
          </cell>
          <cell r="H895" t="str">
            <v>Chị Loan</v>
          </cell>
          <cell r="I895" t="str">
            <v>Khách cũ</v>
          </cell>
          <cell r="J895" t="str">
            <v>Đơn bán</v>
          </cell>
          <cell r="K895" t="str">
            <v>SAKUKO800452</v>
          </cell>
          <cell r="L895" t="str">
            <v>CHĂM SÓC SẮC ĐẸP</v>
          </cell>
          <cell r="M895" t="str">
            <v>CHĂM SÓC DA</v>
          </cell>
          <cell r="N895" t="str">
            <v>CHĂM SÓC DA KHÁC</v>
          </cell>
          <cell r="O895" t="str">
            <v>102387</v>
          </cell>
          <cell r="P895" t="str">
            <v>8935006542907</v>
          </cell>
          <cell r="Q895" t="str">
            <v>HADA LABO- Bộ sản phẩm dưỡng ẩm (travel kit)47g</v>
          </cell>
          <cell r="R895">
            <v>129000</v>
          </cell>
          <cell r="S895">
            <v>1</v>
          </cell>
          <cell r="T895">
            <v>129000</v>
          </cell>
          <cell r="U895">
            <v>20000</v>
          </cell>
          <cell r="V895">
            <v>109000</v>
          </cell>
          <cell r="W895" t="str">
            <v>8935006542907</v>
          </cell>
        </row>
        <row r="896">
          <cell r="A896">
            <v>2026</v>
          </cell>
          <cell r="B896">
            <v>6</v>
          </cell>
          <cell r="C896">
            <v>46178</v>
          </cell>
          <cell r="D896" t="str">
            <v>1. SKK store</v>
          </cell>
          <cell r="E896" t="str">
            <v>S1018</v>
          </cell>
          <cell r="F896" t="str">
            <v>SKK Nguyễn Tuân</v>
          </cell>
          <cell r="G896" t="str">
            <v>0368876789</v>
          </cell>
          <cell r="H896" t="str">
            <v>Chị Ngọc Mai</v>
          </cell>
          <cell r="I896" t="str">
            <v>Khách cũ</v>
          </cell>
          <cell r="J896" t="str">
            <v>Đơn bán</v>
          </cell>
          <cell r="K896" t="str">
            <v>SAKUKO800483</v>
          </cell>
          <cell r="L896" t="str">
            <v>ĐỒ CHO MẸ BÉ</v>
          </cell>
          <cell r="M896" t="str">
            <v>GIẤY ƯỚT</v>
          </cell>
          <cell r="N896" t="str">
            <v>GIẤY ƯỚT CHO BÉ</v>
          </cell>
          <cell r="O896" t="str">
            <v>121662</v>
          </cell>
          <cell r="P896" t="str">
            <v>8934755035036</v>
          </cell>
          <cell r="Q896" t="str">
            <v>FRESSI- Khăn ướt Care For All 20 miếng</v>
          </cell>
          <cell r="R896">
            <v>14000</v>
          </cell>
          <cell r="S896">
            <v>1</v>
          </cell>
          <cell r="T896">
            <v>14000</v>
          </cell>
          <cell r="U896">
            <v>0</v>
          </cell>
          <cell r="V896">
            <v>14000</v>
          </cell>
          <cell r="W896" t="str">
            <v>8934755035036</v>
          </cell>
        </row>
        <row r="897">
          <cell r="A897">
            <v>2026</v>
          </cell>
          <cell r="B897">
            <v>6</v>
          </cell>
          <cell r="C897">
            <v>46178</v>
          </cell>
          <cell r="D897" t="str">
            <v>1. SKK store</v>
          </cell>
          <cell r="E897" t="str">
            <v>S1018</v>
          </cell>
          <cell r="F897" t="str">
            <v>SKK Nguyễn Tuân</v>
          </cell>
          <cell r="G897" t="str">
            <v>0912229327</v>
          </cell>
          <cell r="H897" t="str">
            <v>chị thủy</v>
          </cell>
          <cell r="I897" t="str">
            <v>Khách cũ</v>
          </cell>
          <cell r="J897" t="str">
            <v>Đơn bán</v>
          </cell>
          <cell r="K897" t="str">
            <v>SAKUKO799792</v>
          </cell>
          <cell r="L897" t="str">
            <v>CHĂM SÓC SẮC ĐẸP</v>
          </cell>
          <cell r="M897" t="str">
            <v>CHĂM SÓC DA</v>
          </cell>
          <cell r="N897" t="str">
            <v>CHĂM SÓC DA KHÁC</v>
          </cell>
          <cell r="O897" t="str">
            <v>102387</v>
          </cell>
          <cell r="P897" t="str">
            <v>8935006542907</v>
          </cell>
          <cell r="Q897" t="str">
            <v>HADA LABO- Bộ sản phẩm dưỡng ẩm (travel kit)47g</v>
          </cell>
          <cell r="R897">
            <v>129000</v>
          </cell>
          <cell r="S897">
            <v>1</v>
          </cell>
          <cell r="T897">
            <v>129000</v>
          </cell>
          <cell r="U897">
            <v>20000</v>
          </cell>
          <cell r="V897">
            <v>109000</v>
          </cell>
          <cell r="W897" t="str">
            <v>8935006542907</v>
          </cell>
        </row>
        <row r="898">
          <cell r="A898">
            <v>2026</v>
          </cell>
          <cell r="B898">
            <v>6</v>
          </cell>
          <cell r="C898">
            <v>46178</v>
          </cell>
          <cell r="D898" t="str">
            <v>1. SKK store</v>
          </cell>
          <cell r="E898" t="str">
            <v>S1018</v>
          </cell>
          <cell r="F898" t="str">
            <v>SKK Nguyễn Tuân</v>
          </cell>
          <cell r="G898" t="str">
            <v>0912229327</v>
          </cell>
          <cell r="H898" t="str">
            <v>chị thủy</v>
          </cell>
          <cell r="I898" t="str">
            <v>Khách cũ</v>
          </cell>
          <cell r="J898" t="str">
            <v>Đơn bán</v>
          </cell>
          <cell r="K898" t="str">
            <v>SAKUKO799792</v>
          </cell>
          <cell r="L898" t="str">
            <v>CHĂM SÓC SẮC ĐẸP</v>
          </cell>
          <cell r="M898" t="str">
            <v>CHĂM SÓC DA</v>
          </cell>
          <cell r="N898" t="str">
            <v>CHĂM SÓC DA KHÁC</v>
          </cell>
          <cell r="O898" t="str">
            <v>102388</v>
          </cell>
          <cell r="P898" t="str">
            <v>8935006542914</v>
          </cell>
          <cell r="Q898" t="str">
            <v>HADA LABO- Bộ sản phẩm dưỡng trắng (travel kit)47g</v>
          </cell>
          <cell r="R898">
            <v>135000</v>
          </cell>
          <cell r="S898">
            <v>1</v>
          </cell>
          <cell r="T898">
            <v>135000</v>
          </cell>
          <cell r="U898">
            <v>26000</v>
          </cell>
          <cell r="V898">
            <v>109000</v>
          </cell>
          <cell r="W898" t="str">
            <v>8935006542914</v>
          </cell>
        </row>
        <row r="899">
          <cell r="A899">
            <v>2026</v>
          </cell>
          <cell r="B899">
            <v>6</v>
          </cell>
          <cell r="C899">
            <v>46178</v>
          </cell>
          <cell r="D899" t="str">
            <v>1. SKK store</v>
          </cell>
          <cell r="E899" t="str">
            <v>S1025</v>
          </cell>
          <cell r="F899" t="str">
            <v>SKK T6 Time City</v>
          </cell>
          <cell r="G899" t="str">
            <v>0904872003</v>
          </cell>
          <cell r="H899" t="str">
            <v>c trang</v>
          </cell>
          <cell r="I899" t="str">
            <v>Khách cũ</v>
          </cell>
          <cell r="J899" t="str">
            <v>Đơn bán</v>
          </cell>
          <cell r="K899" t="str">
            <v>SAKUKO800685</v>
          </cell>
          <cell r="L899" t="str">
            <v>CHĂM SÓC SẮC ĐẸP</v>
          </cell>
          <cell r="M899" t="str">
            <v>Mỹ phẩm khác</v>
          </cell>
          <cell r="N899" t="str">
            <v>PHỤ KIỆN LÀM ĐẸP</v>
          </cell>
          <cell r="O899" t="str">
            <v>102389</v>
          </cell>
          <cell r="P899" t="str">
            <v>4969757110652</v>
          </cell>
          <cell r="Q899" t="str">
            <v>KYOWA- Gói bông tẩy trang 130 miếng</v>
          </cell>
          <cell r="R899">
            <v>49000</v>
          </cell>
          <cell r="S899">
            <v>1</v>
          </cell>
          <cell r="T899">
            <v>49000</v>
          </cell>
          <cell r="U899">
            <v>0</v>
          </cell>
          <cell r="V899">
            <v>49000</v>
          </cell>
          <cell r="W899" t="str">
            <v>4969757110652</v>
          </cell>
        </row>
        <row r="900">
          <cell r="A900">
            <v>2026</v>
          </cell>
          <cell r="B900">
            <v>6</v>
          </cell>
          <cell r="C900">
            <v>46177</v>
          </cell>
          <cell r="D900" t="str">
            <v>1. SKK store</v>
          </cell>
          <cell r="E900" t="str">
            <v>S1005</v>
          </cell>
          <cell r="F900" t="str">
            <v>SKK  Thái Hà</v>
          </cell>
          <cell r="G900" t="str">
            <v>0915484789</v>
          </cell>
          <cell r="H900" t="str">
            <v>Chị Trang</v>
          </cell>
          <cell r="I900" t="str">
            <v>Khách cũ</v>
          </cell>
          <cell r="J900" t="str">
            <v>Đơn bán</v>
          </cell>
          <cell r="K900" t="str">
            <v>SAKUKO799296</v>
          </cell>
          <cell r="L900" t="str">
            <v>THỰC PHẨM</v>
          </cell>
          <cell r="M900" t="str">
            <v>BÁNH KẸO, ĐỒ ĂN VẶT</v>
          </cell>
          <cell r="N900" t="str">
            <v>KẸO CAO SU</v>
          </cell>
          <cell r="O900" t="str">
            <v>154105</v>
          </cell>
          <cell r="P900" t="str">
            <v>4547894156612</v>
          </cell>
          <cell r="Q900" t="str">
            <v>MONDELEZ JAPAN - Kẹo cao su 112g</v>
          </cell>
          <cell r="R900">
            <v>235000</v>
          </cell>
          <cell r="S900">
            <v>1</v>
          </cell>
          <cell r="T900">
            <v>235000</v>
          </cell>
          <cell r="U900">
            <v>0</v>
          </cell>
          <cell r="V900">
            <v>235000</v>
          </cell>
          <cell r="W900" t="str">
            <v>4547894156612</v>
          </cell>
        </row>
        <row r="901">
          <cell r="A901">
            <v>2026</v>
          </cell>
          <cell r="B901">
            <v>6</v>
          </cell>
          <cell r="C901">
            <v>46177</v>
          </cell>
          <cell r="D901" t="str">
            <v>1. SKK store</v>
          </cell>
          <cell r="E901" t="str">
            <v>S1005</v>
          </cell>
          <cell r="F901" t="str">
            <v>SKK  Thái Hà</v>
          </cell>
          <cell r="G901" t="str">
            <v>0915484789</v>
          </cell>
          <cell r="H901" t="str">
            <v>Chị Trang</v>
          </cell>
          <cell r="I901" t="str">
            <v>Khách cũ</v>
          </cell>
          <cell r="J901" t="str">
            <v>Đơn bán</v>
          </cell>
          <cell r="K901" t="str">
            <v>SAKUKO799296</v>
          </cell>
          <cell r="L901" t="str">
            <v>THỰC PHẨM</v>
          </cell>
          <cell r="M901" t="str">
            <v>BÁNH KẸO, ĐỒ ĂN VẶT</v>
          </cell>
          <cell r="N901" t="str">
            <v>KẸO CAO SU</v>
          </cell>
          <cell r="O901" t="str">
            <v>231377</v>
          </cell>
          <cell r="P901" t="str">
            <v>4903333200375</v>
          </cell>
          <cell r="Q901" t="str">
            <v>LOTTE-Kẹo cao su tổng hợp dạng lọ 114g</v>
          </cell>
          <cell r="R901">
            <v>235000</v>
          </cell>
          <cell r="S901">
            <v>1</v>
          </cell>
          <cell r="T901">
            <v>235000</v>
          </cell>
          <cell r="U901">
            <v>0</v>
          </cell>
          <cell r="V901">
            <v>235000</v>
          </cell>
          <cell r="W901" t="str">
            <v>4903333200375</v>
          </cell>
        </row>
        <row r="902">
          <cell r="A902">
            <v>2026</v>
          </cell>
          <cell r="B902">
            <v>6</v>
          </cell>
          <cell r="C902">
            <v>46177</v>
          </cell>
          <cell r="D902" t="str">
            <v>1. SKK store</v>
          </cell>
          <cell r="E902" t="str">
            <v>S1006</v>
          </cell>
          <cell r="F902" t="str">
            <v>SKK Trần Đăng Ninh</v>
          </cell>
          <cell r="G902" t="str">
            <v>0904466712</v>
          </cell>
          <cell r="H902" t="str">
            <v>Chị Hà</v>
          </cell>
          <cell r="I902" t="str">
            <v>Khách cũ</v>
          </cell>
          <cell r="J902" t="str">
            <v>Đơn bán</v>
          </cell>
          <cell r="K902" t="str">
            <v>SAKUKO799009</v>
          </cell>
          <cell r="L902" t="str">
            <v>THỰC PHẨM</v>
          </cell>
          <cell r="M902" t="str">
            <v>BÁNH KẸO, ĐỒ ĂN VẶT</v>
          </cell>
          <cell r="N902" t="str">
            <v>KẸO CAO SU</v>
          </cell>
          <cell r="O902" t="str">
            <v>231374</v>
          </cell>
          <cell r="P902" t="str">
            <v>4547894156315</v>
          </cell>
          <cell r="Q902" t="str">
            <v>CLORETS-Kẹo cao su hương vị 4 mùa 140g</v>
          </cell>
          <cell r="R902">
            <v>235000</v>
          </cell>
          <cell r="S902">
            <v>1</v>
          </cell>
          <cell r="T902">
            <v>235000</v>
          </cell>
          <cell r="U902">
            <v>0</v>
          </cell>
          <cell r="V902">
            <v>235000</v>
          </cell>
          <cell r="W902" t="str">
            <v>4547894156315</v>
          </cell>
        </row>
        <row r="903">
          <cell r="A903">
            <v>2026</v>
          </cell>
          <cell r="B903">
            <v>6</v>
          </cell>
          <cell r="C903">
            <v>46177</v>
          </cell>
          <cell r="D903" t="str">
            <v>1. SKK store</v>
          </cell>
          <cell r="E903" t="str">
            <v>S1006</v>
          </cell>
          <cell r="F903" t="str">
            <v>SKK Trần Đăng Ninh</v>
          </cell>
          <cell r="G903" t="str">
            <v>0906822345</v>
          </cell>
          <cell r="H903" t="str">
            <v>Cô thoa</v>
          </cell>
          <cell r="I903" t="str">
            <v>Khách cũ</v>
          </cell>
          <cell r="J903" t="str">
            <v>Đơn bán</v>
          </cell>
          <cell r="K903" t="str">
            <v>SAKUKO798430</v>
          </cell>
          <cell r="L903" t="str">
            <v>THỰC PHẨM</v>
          </cell>
          <cell r="M903" t="str">
            <v>BÁNH KẸO, ĐỒ ĂN VẶT</v>
          </cell>
          <cell r="N903" t="str">
            <v>KẸO CAO SU</v>
          </cell>
          <cell r="O903" t="str">
            <v>231376</v>
          </cell>
          <cell r="P903" t="str">
            <v>4903333228577</v>
          </cell>
          <cell r="Q903" t="str">
            <v>LOTTE-Kẹo cao su tổng hợp 7 loại dạng lọ 133g</v>
          </cell>
          <cell r="R903">
            <v>235000</v>
          </cell>
          <cell r="S903">
            <v>1</v>
          </cell>
          <cell r="T903">
            <v>235000</v>
          </cell>
          <cell r="U903">
            <v>0</v>
          </cell>
          <cell r="V903">
            <v>235000</v>
          </cell>
          <cell r="W903" t="str">
            <v>4903333228577</v>
          </cell>
        </row>
        <row r="904">
          <cell r="A904">
            <v>2026</v>
          </cell>
          <cell r="B904">
            <v>6</v>
          </cell>
          <cell r="C904">
            <v>46177</v>
          </cell>
          <cell r="D904" t="str">
            <v>1. SKK store</v>
          </cell>
          <cell r="E904" t="str">
            <v>S1006</v>
          </cell>
          <cell r="F904" t="str">
            <v>SKK Trần Đăng Ninh</v>
          </cell>
          <cell r="G904" t="str">
            <v>0915805895</v>
          </cell>
          <cell r="H904" t="str">
            <v>chị phương</v>
          </cell>
          <cell r="I904" t="str">
            <v>Khách cũ</v>
          </cell>
          <cell r="J904" t="str">
            <v>Đơn bán</v>
          </cell>
          <cell r="K904" t="str">
            <v>SAKUKO798442</v>
          </cell>
          <cell r="L904" t="str">
            <v>CHĂM SÓC SẮC ĐẸP</v>
          </cell>
          <cell r="M904" t="str">
            <v>CHĂM SÓC TÓC</v>
          </cell>
          <cell r="N904" t="str">
            <v>TẠO KIỂU TÓC</v>
          </cell>
          <cell r="O904" t="str">
            <v>100160</v>
          </cell>
          <cell r="P904" t="str">
            <v>45131677</v>
          </cell>
          <cell r="Q904" t="str">
            <v>GATSBY- Sáp vuốt tóc giữ nếp 80g</v>
          </cell>
          <cell r="R904">
            <v>150000</v>
          </cell>
          <cell r="S904">
            <v>5</v>
          </cell>
          <cell r="T904">
            <v>750000</v>
          </cell>
          <cell r="U904">
            <v>75000</v>
          </cell>
          <cell r="V904">
            <v>675000</v>
          </cell>
          <cell r="W904" t="str">
            <v>45131677</v>
          </cell>
        </row>
        <row r="905">
          <cell r="A905">
            <v>2026</v>
          </cell>
          <cell r="B905">
            <v>6</v>
          </cell>
          <cell r="C905">
            <v>46177</v>
          </cell>
          <cell r="D905" t="str">
            <v>1. SKK store</v>
          </cell>
          <cell r="E905" t="str">
            <v>S1006</v>
          </cell>
          <cell r="F905" t="str">
            <v>SKK Trần Đăng Ninh</v>
          </cell>
          <cell r="G905" t="str">
            <v>0988882467</v>
          </cell>
          <cell r="H905" t="str">
            <v>bac Các</v>
          </cell>
          <cell r="I905" t="str">
            <v>Khách cũ</v>
          </cell>
          <cell r="J905" t="str">
            <v>Đơn bán</v>
          </cell>
          <cell r="K905" t="str">
            <v>SAKUKO798415</v>
          </cell>
          <cell r="L905" t="str">
            <v>THỰC PHẨM</v>
          </cell>
          <cell r="M905" t="str">
            <v>MỲ, MIẾN</v>
          </cell>
          <cell r="N905" t="str">
            <v>MỲ CHẾ BIẾN</v>
          </cell>
          <cell r="O905" t="str">
            <v>154251</v>
          </cell>
          <cell r="P905" t="str">
            <v>4560159440776</v>
          </cell>
          <cell r="Q905" t="str">
            <v>SATO_Mì soba khô 800g</v>
          </cell>
          <cell r="R905">
            <v>104000</v>
          </cell>
          <cell r="S905">
            <v>1</v>
          </cell>
          <cell r="T905">
            <v>104000</v>
          </cell>
          <cell r="U905">
            <v>0</v>
          </cell>
          <cell r="V905">
            <v>104000</v>
          </cell>
          <cell r="W905" t="str">
            <v>4560159440776</v>
          </cell>
        </row>
        <row r="906">
          <cell r="A906">
            <v>2026</v>
          </cell>
          <cell r="B906">
            <v>6</v>
          </cell>
          <cell r="C906">
            <v>46177</v>
          </cell>
          <cell r="D906" t="str">
            <v>1. SKK store</v>
          </cell>
          <cell r="E906" t="str">
            <v>S1008</v>
          </cell>
          <cell r="F906" t="str">
            <v>SKK  Hàng Bông</v>
          </cell>
          <cell r="G906" t="str">
            <v>0904005539</v>
          </cell>
          <cell r="H906" t="str">
            <v>Chị Thu Hòa</v>
          </cell>
          <cell r="I906" t="str">
            <v>Khách cũ</v>
          </cell>
          <cell r="J906" t="str">
            <v>Đơn bán</v>
          </cell>
          <cell r="K906" t="str">
            <v>SAKUKO799103</v>
          </cell>
          <cell r="L906" t="str">
            <v>CHĂM SÓC SẮC ĐẸP</v>
          </cell>
          <cell r="M906" t="str">
            <v>CHĂM SÓC CƠ THỂ</v>
          </cell>
          <cell r="N906" t="str">
            <v>CHỐNG NẮNG</v>
          </cell>
          <cell r="O906" t="str">
            <v>102419</v>
          </cell>
          <cell r="P906" t="str">
            <v>4902468297045</v>
          </cell>
          <cell r="Q906" t="str">
            <v>MEISHOKU- Kem chống nắng cho da nhạy cảm 40g</v>
          </cell>
          <cell r="R906">
            <v>435000</v>
          </cell>
          <cell r="S906">
            <v>1</v>
          </cell>
          <cell r="T906">
            <v>435000</v>
          </cell>
          <cell r="U906">
            <v>0</v>
          </cell>
          <cell r="V906">
            <v>435000</v>
          </cell>
          <cell r="W906" t="str">
            <v>4902468297045</v>
          </cell>
        </row>
        <row r="907">
          <cell r="A907">
            <v>2026</v>
          </cell>
          <cell r="B907">
            <v>6</v>
          </cell>
          <cell r="C907">
            <v>46177</v>
          </cell>
          <cell r="D907" t="str">
            <v>1. SKK store</v>
          </cell>
          <cell r="E907" t="str">
            <v>S1008</v>
          </cell>
          <cell r="F907" t="str">
            <v>SKK  Hàng Bông</v>
          </cell>
          <cell r="G907" t="str">
            <v>0906295966</v>
          </cell>
          <cell r="H907" t="str">
            <v>TRẦN THỊ NGA</v>
          </cell>
          <cell r="I907" t="str">
            <v>Khách cũ</v>
          </cell>
          <cell r="J907" t="str">
            <v>Đơn bán</v>
          </cell>
          <cell r="K907" t="str">
            <v>SAKUKO799143</v>
          </cell>
          <cell r="L907" t="str">
            <v>CHĂM SÓC SẮC ĐẸP</v>
          </cell>
          <cell r="M907" t="str">
            <v>CHĂM SÓC DA</v>
          </cell>
          <cell r="N907" t="str">
            <v>CHĂM SÓC DA KHÁC</v>
          </cell>
          <cell r="O907" t="str">
            <v>102388</v>
          </cell>
          <cell r="P907" t="str">
            <v>8935006542914</v>
          </cell>
          <cell r="Q907" t="str">
            <v>HADA LABO- Bộ sản phẩm dưỡng trắng (travel kit)47g</v>
          </cell>
          <cell r="R907">
            <v>135000</v>
          </cell>
          <cell r="S907">
            <v>1</v>
          </cell>
          <cell r="T907">
            <v>135000</v>
          </cell>
          <cell r="U907">
            <v>26000</v>
          </cell>
          <cell r="V907">
            <v>109000</v>
          </cell>
          <cell r="W907" t="str">
            <v>8935006542914</v>
          </cell>
        </row>
        <row r="908">
          <cell r="A908">
            <v>2026</v>
          </cell>
          <cell r="B908">
            <v>6</v>
          </cell>
          <cell r="C908">
            <v>46177</v>
          </cell>
          <cell r="D908" t="str">
            <v>1. SKK store</v>
          </cell>
          <cell r="E908" t="str">
            <v>S1008</v>
          </cell>
          <cell r="F908" t="str">
            <v>SKK  Hàng Bông</v>
          </cell>
          <cell r="G908" t="str">
            <v>0913523202</v>
          </cell>
          <cell r="H908" t="str">
            <v>co diep</v>
          </cell>
          <cell r="I908" t="str">
            <v>Khách cũ</v>
          </cell>
          <cell r="J908" t="str">
            <v>Đơn bán</v>
          </cell>
          <cell r="K908" t="str">
            <v>SAKUKO798480</v>
          </cell>
          <cell r="L908" t="str">
            <v>NHÀ CỬA ĐỜI SỐNG</v>
          </cell>
          <cell r="M908" t="str">
            <v>PHÒNG CHỐNG CÔN TRÙNG</v>
          </cell>
          <cell r="N908" t="str">
            <v>DIỆT CÔN TRÙNG</v>
          </cell>
          <cell r="O908" t="str">
            <v>134478</v>
          </cell>
          <cell r="P908" t="str">
            <v>4987115545939</v>
          </cell>
          <cell r="Q908" t="str">
            <v>KINCHO-DD làm thơm phòng đuổi muỗi (không mùi)</v>
          </cell>
          <cell r="R908">
            <v>199000</v>
          </cell>
          <cell r="S908">
            <v>1</v>
          </cell>
          <cell r="T908">
            <v>199000</v>
          </cell>
          <cell r="U908">
            <v>0</v>
          </cell>
          <cell r="V908">
            <v>199000</v>
          </cell>
          <cell r="W908" t="str">
            <v>4987115545939</v>
          </cell>
        </row>
        <row r="909">
          <cell r="A909">
            <v>2026</v>
          </cell>
          <cell r="B909">
            <v>6</v>
          </cell>
          <cell r="C909">
            <v>46177</v>
          </cell>
          <cell r="D909" t="str">
            <v>1. SKK store</v>
          </cell>
          <cell r="E909" t="str">
            <v>S1018</v>
          </cell>
          <cell r="F909" t="str">
            <v>SKK Nguyễn Tuân</v>
          </cell>
          <cell r="G909" t="str">
            <v>0979576747</v>
          </cell>
          <cell r="H909" t="str">
            <v>Chị Trang</v>
          </cell>
          <cell r="I909" t="str">
            <v>Khách cũ</v>
          </cell>
          <cell r="J909" t="str">
            <v>Đơn bán</v>
          </cell>
          <cell r="K909" t="str">
            <v>SAKUKO798843</v>
          </cell>
          <cell r="L909" t="str">
            <v>THỰC PHẨM</v>
          </cell>
          <cell r="M909" t="str">
            <v>MỲ, MIẾN</v>
          </cell>
          <cell r="N909" t="str">
            <v>MỲ CHẾ BIẾN</v>
          </cell>
          <cell r="O909" t="str">
            <v>175435</v>
          </cell>
          <cell r="P909" t="str">
            <v>4901726014752</v>
          </cell>
          <cell r="Q909" t="str">
            <v>ITSUKI FOODS- Mì soumen rau củ ngũ sắc320g</v>
          </cell>
          <cell r="R909">
            <v>76000</v>
          </cell>
          <cell r="S909">
            <v>1</v>
          </cell>
          <cell r="T909">
            <v>76000</v>
          </cell>
          <cell r="U909">
            <v>0</v>
          </cell>
          <cell r="V909">
            <v>76000</v>
          </cell>
          <cell r="W909" t="str">
            <v>4901726014752</v>
          </cell>
        </row>
        <row r="910">
          <cell r="A910">
            <v>2026</v>
          </cell>
          <cell r="B910">
            <v>6</v>
          </cell>
          <cell r="C910">
            <v>46177</v>
          </cell>
          <cell r="D910" t="str">
            <v>1. SKK store</v>
          </cell>
          <cell r="E910" t="str">
            <v>S1025</v>
          </cell>
          <cell r="F910" t="str">
            <v>SKK T6 Time City</v>
          </cell>
          <cell r="G910" t="str">
            <v>0988880078</v>
          </cell>
          <cell r="H910" t="str">
            <v>chị phượng</v>
          </cell>
          <cell r="I910" t="str">
            <v>Khách cũ</v>
          </cell>
          <cell r="J910" t="str">
            <v>Đơn bán</v>
          </cell>
          <cell r="K910" t="str">
            <v>SAKUKO799473</v>
          </cell>
          <cell r="L910" t="str">
            <v>CHĂM SÓC SẮC ĐẸP</v>
          </cell>
          <cell r="M910" t="str">
            <v>CHĂM SÓC DA</v>
          </cell>
          <cell r="N910" t="str">
            <v>CHĂM SÓC DA KHÁC</v>
          </cell>
          <cell r="O910" t="str">
            <v>102387</v>
          </cell>
          <cell r="P910" t="str">
            <v>8935006542907</v>
          </cell>
          <cell r="Q910" t="str">
            <v>HADA LABO- Bộ sản phẩm dưỡng ẩm (travel kit)47g</v>
          </cell>
          <cell r="R910">
            <v>129000</v>
          </cell>
          <cell r="S910">
            <v>1</v>
          </cell>
          <cell r="T910">
            <v>129000</v>
          </cell>
          <cell r="U910">
            <v>20000</v>
          </cell>
          <cell r="V910">
            <v>109000</v>
          </cell>
          <cell r="W910" t="str">
            <v>8935006542907</v>
          </cell>
        </row>
        <row r="911">
          <cell r="A911">
            <v>2026</v>
          </cell>
          <cell r="B911">
            <v>6</v>
          </cell>
          <cell r="C911">
            <v>46176</v>
          </cell>
          <cell r="D911" t="str">
            <v>1. SKK store</v>
          </cell>
          <cell r="E911" t="str">
            <v>S1004</v>
          </cell>
          <cell r="F911" t="str">
            <v>SKK  Mandarin C1</v>
          </cell>
          <cell r="G911" t="str">
            <v>0344996956</v>
          </cell>
          <cell r="H911" t="str">
            <v>Mai Thuý Hà</v>
          </cell>
          <cell r="I911" t="str">
            <v>Khách cũ</v>
          </cell>
          <cell r="J911" t="str">
            <v>Đơn bán</v>
          </cell>
          <cell r="K911" t="str">
            <v>SAKUKO797676</v>
          </cell>
          <cell r="L911" t="str">
            <v>ĐỒ CHO MẸ BÉ</v>
          </cell>
          <cell r="M911" t="str">
            <v>CHĂM SÓC CƠ THỂ BÉ</v>
          </cell>
          <cell r="N911" t="str">
            <v>THỰC PHẨM CHỨC NĂNG CHO BÉ</v>
          </cell>
          <cell r="O911" t="str">
            <v>121674</v>
          </cell>
          <cell r="P911" t="str">
            <v>3830056330953</v>
          </cell>
          <cell r="Q911" t="str">
            <v>LINEABON- TPBVSK K2+D3 Spray 10ml</v>
          </cell>
          <cell r="R911">
            <v>330000</v>
          </cell>
          <cell r="S911">
            <v>1</v>
          </cell>
          <cell r="T911">
            <v>330000</v>
          </cell>
          <cell r="U911">
            <v>0</v>
          </cell>
          <cell r="V911">
            <v>330000</v>
          </cell>
          <cell r="W911" t="str">
            <v>3830056330953</v>
          </cell>
        </row>
        <row r="912">
          <cell r="A912">
            <v>2026</v>
          </cell>
          <cell r="B912">
            <v>6</v>
          </cell>
          <cell r="C912">
            <v>46176</v>
          </cell>
          <cell r="D912" t="str">
            <v>1. SKK store</v>
          </cell>
          <cell r="E912" t="str">
            <v>S1004</v>
          </cell>
          <cell r="F912" t="str">
            <v>SKK  Mandarin C1</v>
          </cell>
          <cell r="G912" t="str">
            <v>0936322169</v>
          </cell>
          <cell r="H912" t="str">
            <v>Chị Trần Thị Tuyết Mai</v>
          </cell>
          <cell r="I912" t="str">
            <v>Khách cũ</v>
          </cell>
          <cell r="J912" t="str">
            <v>Đơn bán</v>
          </cell>
          <cell r="K912" t="str">
            <v>SAKUKO797667</v>
          </cell>
          <cell r="L912" t="str">
            <v>ĐỒ CHO MẸ BÉ</v>
          </cell>
          <cell r="M912" t="str">
            <v>CHĂM SÓC CƠ THỂ BÉ</v>
          </cell>
          <cell r="N912" t="str">
            <v>THỰC PHẨM CHỨC NĂNG CHO BÉ</v>
          </cell>
          <cell r="O912" t="str">
            <v>121666</v>
          </cell>
          <cell r="P912" t="str">
            <v>8436036591441</v>
          </cell>
          <cell r="Q912" t="str">
            <v>NEO KIDS-TPBVSK Gummies Omega 3 DHA 150g</v>
          </cell>
          <cell r="R912">
            <v>360000</v>
          </cell>
          <cell r="S912">
            <v>1</v>
          </cell>
          <cell r="T912">
            <v>360000</v>
          </cell>
          <cell r="U912">
            <v>0</v>
          </cell>
          <cell r="V912">
            <v>360000</v>
          </cell>
          <cell r="W912" t="str">
            <v>8436036591441</v>
          </cell>
        </row>
        <row r="913">
          <cell r="A913">
            <v>2026</v>
          </cell>
          <cell r="B913">
            <v>6</v>
          </cell>
          <cell r="C913">
            <v>46176</v>
          </cell>
          <cell r="D913" t="str">
            <v>1. SKK store</v>
          </cell>
          <cell r="E913" t="str">
            <v>S1004</v>
          </cell>
          <cell r="F913" t="str">
            <v>SKK  Mandarin C1</v>
          </cell>
          <cell r="G913" t="str">
            <v>0936322169</v>
          </cell>
          <cell r="H913" t="str">
            <v>Chị Trần Thị Tuyết Mai</v>
          </cell>
          <cell r="I913" t="str">
            <v>Khách cũ</v>
          </cell>
          <cell r="J913" t="str">
            <v>Đơn bán</v>
          </cell>
          <cell r="K913" t="str">
            <v>SAKUKO797667</v>
          </cell>
          <cell r="L913" t="str">
            <v>ĐỒ CHO MẸ BÉ</v>
          </cell>
          <cell r="M913" t="str">
            <v>GIẤY ƯỚT</v>
          </cell>
          <cell r="N913" t="str">
            <v>GIẤY ƯỚT CHO BÉ</v>
          </cell>
          <cell r="O913" t="str">
            <v>121665</v>
          </cell>
          <cell r="P913" t="str">
            <v>8934755035289</v>
          </cell>
          <cell r="Q913" t="str">
            <v>BOBBY- Khăn ướt em bé không mùi 100 miếng</v>
          </cell>
          <cell r="R913">
            <v>46000</v>
          </cell>
          <cell r="S913">
            <v>1</v>
          </cell>
          <cell r="T913">
            <v>46000</v>
          </cell>
          <cell r="U913">
            <v>0</v>
          </cell>
          <cell r="V913">
            <v>46000</v>
          </cell>
          <cell r="W913" t="str">
            <v>8934755035289</v>
          </cell>
        </row>
        <row r="914">
          <cell r="A914">
            <v>2026</v>
          </cell>
          <cell r="B914">
            <v>6</v>
          </cell>
          <cell r="C914">
            <v>46176</v>
          </cell>
          <cell r="D914" t="str">
            <v>1. SKK store</v>
          </cell>
          <cell r="E914" t="str">
            <v>S1004</v>
          </cell>
          <cell r="F914" t="str">
            <v>SKK  Mandarin C1</v>
          </cell>
          <cell r="G914" t="str">
            <v>0986410760</v>
          </cell>
          <cell r="H914" t="str">
            <v>Chị Hà</v>
          </cell>
          <cell r="I914" t="str">
            <v>Khách cũ</v>
          </cell>
          <cell r="J914" t="str">
            <v>Đơn bán</v>
          </cell>
          <cell r="K914" t="str">
            <v>SAKUKO797510</v>
          </cell>
          <cell r="L914" t="str">
            <v>ĐỒ CHO MẸ BÉ</v>
          </cell>
          <cell r="M914" t="str">
            <v>GIẤY ƯỚT</v>
          </cell>
          <cell r="N914" t="str">
            <v>GIẤY ƯỚT CHO BÉ</v>
          </cell>
          <cell r="O914" t="str">
            <v>121677</v>
          </cell>
          <cell r="P914" t="str">
            <v>8801260608836</v>
          </cell>
          <cell r="Q914" t="str">
            <v>KLEANNARA- Khăn ướt 5 tinh chất (có nắp) 100 tờ</v>
          </cell>
          <cell r="R914">
            <v>52000</v>
          </cell>
          <cell r="S914">
            <v>2</v>
          </cell>
          <cell r="T914">
            <v>104000</v>
          </cell>
          <cell r="U914">
            <v>0</v>
          </cell>
          <cell r="V914">
            <v>104000</v>
          </cell>
          <cell r="W914" t="str">
            <v>8801260608836</v>
          </cell>
        </row>
        <row r="915">
          <cell r="A915">
            <v>2026</v>
          </cell>
          <cell r="B915">
            <v>6</v>
          </cell>
          <cell r="C915">
            <v>46176</v>
          </cell>
          <cell r="D915" t="str">
            <v>1. SKK store</v>
          </cell>
          <cell r="E915" t="str">
            <v>S1005</v>
          </cell>
          <cell r="F915" t="str">
            <v>SKK  Thái Hà</v>
          </cell>
          <cell r="G915" t="str">
            <v>0373755085</v>
          </cell>
          <cell r="H915" t="str">
            <v>lanlan</v>
          </cell>
          <cell r="I915" t="str">
            <v>Khách cũ</v>
          </cell>
          <cell r="J915" t="str">
            <v>Đơn bán</v>
          </cell>
          <cell r="K915" t="str">
            <v>SAKUKO797526</v>
          </cell>
          <cell r="L915" t="str">
            <v>THỰC PHẨM</v>
          </cell>
          <cell r="M915" t="str">
            <v>MỲ, MIẾN</v>
          </cell>
          <cell r="N915" t="str">
            <v>MỲ CHẾ BIẾN</v>
          </cell>
          <cell r="O915" t="str">
            <v>175435</v>
          </cell>
          <cell r="P915" t="str">
            <v>4901726014752</v>
          </cell>
          <cell r="Q915" t="str">
            <v>ITSUKI FOODS- Mì soumen rau củ ngũ sắc320g</v>
          </cell>
          <cell r="R915">
            <v>76000</v>
          </cell>
          <cell r="S915">
            <v>1</v>
          </cell>
          <cell r="T915">
            <v>76000</v>
          </cell>
          <cell r="U915">
            <v>0</v>
          </cell>
          <cell r="V915">
            <v>76000</v>
          </cell>
          <cell r="W915" t="str">
            <v>4901726014752</v>
          </cell>
        </row>
        <row r="916">
          <cell r="A916">
            <v>2026</v>
          </cell>
          <cell r="B916">
            <v>6</v>
          </cell>
          <cell r="C916">
            <v>46176</v>
          </cell>
          <cell r="D916" t="str">
            <v>1. SKK store</v>
          </cell>
          <cell r="E916" t="str">
            <v>S1005</v>
          </cell>
          <cell r="F916" t="str">
            <v>SKK  Thái Hà</v>
          </cell>
          <cell r="G916" t="str">
            <v>0904403457</v>
          </cell>
          <cell r="H916" t="str">
            <v>C THIN</v>
          </cell>
          <cell r="I916" t="str">
            <v>Khách cũ</v>
          </cell>
          <cell r="J916" t="str">
            <v>Đơn bán</v>
          </cell>
          <cell r="K916" t="str">
            <v>SAKUKO797877</v>
          </cell>
          <cell r="L916" t="str">
            <v>CHĂM SÓC SẮC ĐẸP</v>
          </cell>
          <cell r="M916" t="str">
            <v>CHĂM SÓC DA</v>
          </cell>
          <cell r="N916" t="str">
            <v>RỬA MẶT</v>
          </cell>
          <cell r="O916" t="str">
            <v>230269</v>
          </cell>
          <cell r="P916" t="str">
            <v>4987241173242</v>
          </cell>
          <cell r="Q916" t="str">
            <v>ROHTO- SRM Melano CC mờ thâm nám (130g)</v>
          </cell>
          <cell r="R916">
            <v>294000</v>
          </cell>
          <cell r="S916">
            <v>1</v>
          </cell>
          <cell r="T916">
            <v>294000</v>
          </cell>
          <cell r="U916">
            <v>117600</v>
          </cell>
          <cell r="V916">
            <v>176400</v>
          </cell>
          <cell r="W916" t="str">
            <v>4987241173242</v>
          </cell>
        </row>
        <row r="917">
          <cell r="A917">
            <v>2026</v>
          </cell>
          <cell r="B917">
            <v>6</v>
          </cell>
          <cell r="C917">
            <v>46176</v>
          </cell>
          <cell r="D917" t="str">
            <v>1. SKK store</v>
          </cell>
          <cell r="E917" t="str">
            <v>S1005</v>
          </cell>
          <cell r="F917" t="str">
            <v>SKK  Thái Hà</v>
          </cell>
          <cell r="G917" t="str">
            <v>0904403457</v>
          </cell>
          <cell r="H917" t="str">
            <v>C THIN</v>
          </cell>
          <cell r="I917" t="str">
            <v>Khách cũ</v>
          </cell>
          <cell r="J917" t="str">
            <v>Đơn bán</v>
          </cell>
          <cell r="K917" t="str">
            <v>SAKUKO797877</v>
          </cell>
          <cell r="L917" t="str">
            <v>THỰC PHẨM</v>
          </cell>
          <cell r="M917" t="str">
            <v>BÁNH KẸO, ĐỒ ĂN VẶT</v>
          </cell>
          <cell r="N917" t="str">
            <v>KẸO CAO SU</v>
          </cell>
          <cell r="O917" t="str">
            <v>153932</v>
          </cell>
          <cell r="P917" t="str">
            <v>4903333241651</v>
          </cell>
          <cell r="Q917" t="str">
            <v>LOTTE - Kẹo cao su black black ít đường 133g</v>
          </cell>
          <cell r="R917">
            <v>235000</v>
          </cell>
          <cell r="S917">
            <v>1</v>
          </cell>
          <cell r="T917">
            <v>235000</v>
          </cell>
          <cell r="U917">
            <v>0</v>
          </cell>
          <cell r="V917">
            <v>235000</v>
          </cell>
          <cell r="W917" t="str">
            <v>4903333241651</v>
          </cell>
        </row>
        <row r="918">
          <cell r="A918">
            <v>2026</v>
          </cell>
          <cell r="B918">
            <v>6</v>
          </cell>
          <cell r="C918">
            <v>46176</v>
          </cell>
          <cell r="D918" t="str">
            <v>1. SKK store</v>
          </cell>
          <cell r="E918" t="str">
            <v>S1005</v>
          </cell>
          <cell r="F918" t="str">
            <v>SKK  Thái Hà</v>
          </cell>
          <cell r="G918" t="str">
            <v>0976843969</v>
          </cell>
          <cell r="H918" t="str">
            <v>Chị Trang</v>
          </cell>
          <cell r="I918" t="str">
            <v>Khách cũ</v>
          </cell>
          <cell r="J918" t="str">
            <v>Đơn bán</v>
          </cell>
          <cell r="K918" t="str">
            <v>SAKUKO798246</v>
          </cell>
          <cell r="L918" t="str">
            <v>CHĂM SÓC SẮC ĐẸP</v>
          </cell>
          <cell r="M918" t="str">
            <v>Mỹ phẩm khác</v>
          </cell>
          <cell r="N918" t="str">
            <v>PHỤ KIỆN LÀM ĐẸP</v>
          </cell>
          <cell r="O918" t="str">
            <v>102389</v>
          </cell>
          <cell r="P918" t="str">
            <v>4969757110652</v>
          </cell>
          <cell r="Q918" t="str">
            <v>KYOWA- Gói bông tẩy trang 130 miếng</v>
          </cell>
          <cell r="R918">
            <v>49000</v>
          </cell>
          <cell r="S918">
            <v>1</v>
          </cell>
          <cell r="T918">
            <v>49000</v>
          </cell>
          <cell r="U918">
            <v>0</v>
          </cell>
          <cell r="V918">
            <v>49000</v>
          </cell>
          <cell r="W918" t="str">
            <v>4969757110652</v>
          </cell>
        </row>
        <row r="919">
          <cell r="A919">
            <v>2026</v>
          </cell>
          <cell r="B919">
            <v>6</v>
          </cell>
          <cell r="C919">
            <v>46176</v>
          </cell>
          <cell r="D919" t="str">
            <v>1. SKK store</v>
          </cell>
          <cell r="E919" t="str">
            <v>S1006</v>
          </cell>
          <cell r="F919" t="str">
            <v>SKK Trần Đăng Ninh</v>
          </cell>
          <cell r="G919" t="str">
            <v>0903220344</v>
          </cell>
          <cell r="H919" t="str">
            <v>Nguyễn Thị Lan Hương</v>
          </cell>
          <cell r="I919" t="str">
            <v>Khách cũ</v>
          </cell>
          <cell r="J919" t="str">
            <v>Đơn bán</v>
          </cell>
          <cell r="K919" t="str">
            <v>SAKUKO798333</v>
          </cell>
          <cell r="L919" t="str">
            <v>NHÀ CỬA ĐỜI SỐNG</v>
          </cell>
          <cell r="M919" t="str">
            <v>KHĂN</v>
          </cell>
          <cell r="N919" t="str">
            <v>KHĂN MẶT</v>
          </cell>
          <cell r="O919" t="str">
            <v>102390</v>
          </cell>
          <cell r="P919" t="str">
            <v>4906327905980</v>
          </cell>
          <cell r="Q919" t="str">
            <v>KOMODA - Khăn mặt khô dùng 1 lần 46m 20x20cm</v>
          </cell>
          <cell r="R919">
            <v>52000</v>
          </cell>
          <cell r="S919">
            <v>1</v>
          </cell>
          <cell r="T919">
            <v>52000</v>
          </cell>
          <cell r="U919">
            <v>0</v>
          </cell>
          <cell r="V919">
            <v>52000</v>
          </cell>
          <cell r="W919" t="str">
            <v>4906327905980</v>
          </cell>
        </row>
        <row r="920">
          <cell r="A920">
            <v>2026</v>
          </cell>
          <cell r="B920">
            <v>6</v>
          </cell>
          <cell r="C920">
            <v>46176</v>
          </cell>
          <cell r="D920" t="str">
            <v>1. SKK store</v>
          </cell>
          <cell r="E920" t="str">
            <v>S1006</v>
          </cell>
          <cell r="F920" t="str">
            <v>SKK Trần Đăng Ninh</v>
          </cell>
          <cell r="G920" t="str">
            <v>0915222126</v>
          </cell>
          <cell r="H920" t="str">
            <v>Chị Thúy</v>
          </cell>
          <cell r="I920" t="str">
            <v>Khách cũ</v>
          </cell>
          <cell r="J920" t="str">
            <v>Đơn bán</v>
          </cell>
          <cell r="K920" t="str">
            <v>SAKUKO798250</v>
          </cell>
          <cell r="L920" t="str">
            <v>NHÀ CỬA ĐỜI SỐNG</v>
          </cell>
          <cell r="M920" t="str">
            <v>PHÒNG CHỐNG CÔN TRÙNG</v>
          </cell>
          <cell r="N920" t="str">
            <v>DIỆT CÔN TRÙNG</v>
          </cell>
          <cell r="O920" t="str">
            <v>134479</v>
          </cell>
          <cell r="P920" t="str">
            <v>4987115545892</v>
          </cell>
          <cell r="Q920" t="str">
            <v>KINCHO-DD làm thơm phòng và đuổi muỗi Hoa SIBERIAN</v>
          </cell>
          <cell r="R920">
            <v>239000</v>
          </cell>
          <cell r="S920">
            <v>1</v>
          </cell>
          <cell r="T920">
            <v>239000</v>
          </cell>
          <cell r="U920">
            <v>0</v>
          </cell>
          <cell r="V920">
            <v>239000</v>
          </cell>
          <cell r="W920" t="str">
            <v>4987115545892</v>
          </cell>
        </row>
        <row r="921">
          <cell r="A921">
            <v>2026</v>
          </cell>
          <cell r="B921">
            <v>6</v>
          </cell>
          <cell r="C921">
            <v>46176</v>
          </cell>
          <cell r="D921" t="str">
            <v>1. SKK store</v>
          </cell>
          <cell r="E921" t="str">
            <v>S1006</v>
          </cell>
          <cell r="F921" t="str">
            <v>SKK Trần Đăng Ninh</v>
          </cell>
          <cell r="G921" t="str">
            <v>0918386689</v>
          </cell>
          <cell r="H921" t="str">
            <v>Chị Trang</v>
          </cell>
          <cell r="I921" t="str">
            <v>Khách cũ</v>
          </cell>
          <cell r="J921" t="str">
            <v>Đơn bán</v>
          </cell>
          <cell r="K921" t="str">
            <v>SAKUKO797823</v>
          </cell>
          <cell r="L921" t="str">
            <v>CHĂM SÓC SẮC ĐẸP</v>
          </cell>
          <cell r="M921" t="str">
            <v>CHĂM SÓC DA</v>
          </cell>
          <cell r="N921" t="str">
            <v>CHĂM SÓC DA KHÁC</v>
          </cell>
          <cell r="O921" t="str">
            <v>102413</v>
          </cell>
          <cell r="P921" t="str">
            <v>4902468802171</v>
          </cell>
          <cell r="Q921" t="str">
            <v>MEISHOKU- Toner pad ngừa mụn Bigan (60m)</v>
          </cell>
          <cell r="R921">
            <v>395000</v>
          </cell>
          <cell r="S921">
            <v>1</v>
          </cell>
          <cell r="T921">
            <v>395000</v>
          </cell>
          <cell r="U921">
            <v>31600</v>
          </cell>
          <cell r="V921">
            <v>363400</v>
          </cell>
          <cell r="W921" t="str">
            <v>4902468802171</v>
          </cell>
        </row>
        <row r="922">
          <cell r="A922">
            <v>2026</v>
          </cell>
          <cell r="B922">
            <v>6</v>
          </cell>
          <cell r="C922">
            <v>46176</v>
          </cell>
          <cell r="D922" t="str">
            <v>1. SKK store</v>
          </cell>
          <cell r="E922" t="str">
            <v>S1006</v>
          </cell>
          <cell r="F922" t="str">
            <v>SKK Trần Đăng Ninh</v>
          </cell>
          <cell r="G922" t="str">
            <v>0918386689</v>
          </cell>
          <cell r="H922" t="str">
            <v>Chị Trang</v>
          </cell>
          <cell r="I922" t="str">
            <v>Khách cũ</v>
          </cell>
          <cell r="J922" t="str">
            <v>Đơn bán</v>
          </cell>
          <cell r="K922" t="str">
            <v>SAKUKO797823</v>
          </cell>
          <cell r="L922" t="str">
            <v>CHĂM SÓC SẮC ĐẸP</v>
          </cell>
          <cell r="M922" t="str">
            <v>CHĂM SÓC DA</v>
          </cell>
          <cell r="N922" t="str">
            <v>RỬA MẶT</v>
          </cell>
          <cell r="O922" t="str">
            <v>102421</v>
          </cell>
          <cell r="P922" t="str">
            <v>4902468819032</v>
          </cell>
          <cell r="Q922" t="str">
            <v>MEISHOU- Sữa rửa mặt làm sạch thuần chay 100g</v>
          </cell>
          <cell r="R922">
            <v>295000</v>
          </cell>
          <cell r="S922">
            <v>1</v>
          </cell>
          <cell r="T922">
            <v>295000</v>
          </cell>
          <cell r="U922">
            <v>0</v>
          </cell>
          <cell r="V922">
            <v>295000</v>
          </cell>
          <cell r="W922" t="str">
            <v>4902468819032</v>
          </cell>
        </row>
        <row r="923">
          <cell r="A923">
            <v>2026</v>
          </cell>
          <cell r="B923">
            <v>6</v>
          </cell>
          <cell r="C923">
            <v>46176</v>
          </cell>
          <cell r="D923" t="str">
            <v>1. SKK store</v>
          </cell>
          <cell r="E923" t="str">
            <v>S1006</v>
          </cell>
          <cell r="F923" t="str">
            <v>SKK Trần Đăng Ninh</v>
          </cell>
          <cell r="G923" t="str">
            <v>0918386689</v>
          </cell>
          <cell r="H923" t="str">
            <v>Chị Trang</v>
          </cell>
          <cell r="I923" t="str">
            <v>Khách cũ</v>
          </cell>
          <cell r="J923" t="str">
            <v>Đơn bán</v>
          </cell>
          <cell r="K923" t="str">
            <v>SAKUKO797823</v>
          </cell>
          <cell r="L923" t="str">
            <v>NHÀ CỬA ĐỜI SỐNG</v>
          </cell>
          <cell r="M923" t="str">
            <v>KHĂN</v>
          </cell>
          <cell r="N923" t="str">
            <v>KHĂN MẶT</v>
          </cell>
          <cell r="O923" t="str">
            <v>102390</v>
          </cell>
          <cell r="P923" t="str">
            <v>4906327905980</v>
          </cell>
          <cell r="Q923" t="str">
            <v>KOMODA - Khăn mặt khô dùng 1 lần 46m 20x20cm</v>
          </cell>
          <cell r="R923">
            <v>52000</v>
          </cell>
          <cell r="S923">
            <v>1</v>
          </cell>
          <cell r="T923">
            <v>52000</v>
          </cell>
          <cell r="U923">
            <v>0</v>
          </cell>
          <cell r="V923">
            <v>52000</v>
          </cell>
          <cell r="W923" t="str">
            <v>4906327905980</v>
          </cell>
        </row>
        <row r="924">
          <cell r="A924">
            <v>2026</v>
          </cell>
          <cell r="B924">
            <v>6</v>
          </cell>
          <cell r="C924">
            <v>46176</v>
          </cell>
          <cell r="D924" t="str">
            <v>1. SKK store</v>
          </cell>
          <cell r="E924" t="str">
            <v>S1006</v>
          </cell>
          <cell r="F924" t="str">
            <v>SKK Trần Đăng Ninh</v>
          </cell>
          <cell r="G924" t="str">
            <v>0985789745</v>
          </cell>
          <cell r="H924" t="str">
            <v>C Sen</v>
          </cell>
          <cell r="I924" t="str">
            <v>Khách mới</v>
          </cell>
          <cell r="J924" t="str">
            <v>Đơn bán</v>
          </cell>
          <cell r="K924" t="str">
            <v>SAKUKO798274</v>
          </cell>
          <cell r="L924" t="str">
            <v>NHÀ CỬA ĐỜI SỐNG</v>
          </cell>
          <cell r="M924" t="str">
            <v>ĐỒ DÙNG SINH HOẠT GIA ĐÌNH</v>
          </cell>
          <cell r="N924" t="str">
            <v>VẬT DỤNG SINH HOẠT KHÁC</v>
          </cell>
          <cell r="O924" t="str">
            <v>135039</v>
          </cell>
          <cell r="P924" t="str">
            <v>4968988074993</v>
          </cell>
          <cell r="Q924" t="str">
            <v>OMAICHI- Set 2 lọ chiết mỹ phẩm 40ml kèm hộp đựng</v>
          </cell>
          <cell r="R924">
            <v>52000</v>
          </cell>
          <cell r="S924">
            <v>1</v>
          </cell>
          <cell r="T924">
            <v>52000</v>
          </cell>
          <cell r="U924">
            <v>0</v>
          </cell>
          <cell r="V924">
            <v>52000</v>
          </cell>
          <cell r="W924" t="str">
            <v>4968988074993</v>
          </cell>
        </row>
        <row r="925">
          <cell r="A925">
            <v>2026</v>
          </cell>
          <cell r="B925">
            <v>6</v>
          </cell>
          <cell r="C925">
            <v>46176</v>
          </cell>
          <cell r="D925" t="str">
            <v>1. SKK store</v>
          </cell>
          <cell r="E925" t="str">
            <v>S1008</v>
          </cell>
          <cell r="F925" t="str">
            <v>SKK  Hàng Bông</v>
          </cell>
          <cell r="G925" t="str">
            <v>02466810202</v>
          </cell>
          <cell r="H925" t="str">
            <v>KH Tây</v>
          </cell>
          <cell r="I925" t="str">
            <v>Khách vãng lai</v>
          </cell>
          <cell r="J925" t="str">
            <v>Đơn bán</v>
          </cell>
          <cell r="K925" t="str">
            <v>SAKUKO798184</v>
          </cell>
          <cell r="L925" t="str">
            <v>ĐỒ CHO MẸ BÉ</v>
          </cell>
          <cell r="M925" t="str">
            <v>GIẤY ƯỚT</v>
          </cell>
          <cell r="N925" t="str">
            <v>GIẤY ƯỚT CHO BÉ</v>
          </cell>
          <cell r="O925" t="str">
            <v>121662</v>
          </cell>
          <cell r="P925" t="str">
            <v>8934755035036</v>
          </cell>
          <cell r="Q925" t="str">
            <v>FRESSI- Khăn ướt Care For All 20 miếng</v>
          </cell>
          <cell r="R925">
            <v>14000</v>
          </cell>
          <cell r="S925">
            <v>1</v>
          </cell>
          <cell r="T925">
            <v>14000</v>
          </cell>
          <cell r="U925">
            <v>0</v>
          </cell>
          <cell r="V925">
            <v>14000</v>
          </cell>
          <cell r="W925" t="str">
            <v>8934755035036</v>
          </cell>
        </row>
        <row r="926">
          <cell r="A926">
            <v>2026</v>
          </cell>
          <cell r="B926">
            <v>6</v>
          </cell>
          <cell r="C926">
            <v>46176</v>
          </cell>
          <cell r="D926" t="str">
            <v>1. SKK store</v>
          </cell>
          <cell r="E926" t="str">
            <v>S1008</v>
          </cell>
          <cell r="F926" t="str">
            <v>SKK  Hàng Bông</v>
          </cell>
          <cell r="G926" t="str">
            <v>0347237982</v>
          </cell>
          <cell r="H926" t="str">
            <v>chị Thành</v>
          </cell>
          <cell r="I926" t="str">
            <v>Khách cũ</v>
          </cell>
          <cell r="J926" t="str">
            <v>Đơn bán</v>
          </cell>
          <cell r="K926" t="str">
            <v>SAKUKO797809</v>
          </cell>
          <cell r="L926" t="str">
            <v>NHÀ CỬA ĐỜI SỐNG</v>
          </cell>
          <cell r="M926" t="str">
            <v>PHÒNG CHỐNG CÔN TRÙNG</v>
          </cell>
          <cell r="N926" t="str">
            <v>CHỐNG CÔN TRÙNG</v>
          </cell>
          <cell r="O926" t="str">
            <v>133079</v>
          </cell>
          <cell r="P926" t="str">
            <v>4987115545946</v>
          </cell>
          <cell r="Q926" t="str">
            <v>KINCHO-Dung dịch khử mùi đuổi côn trùng hương hoa</v>
          </cell>
          <cell r="R926">
            <v>199000</v>
          </cell>
          <cell r="S926">
            <v>1</v>
          </cell>
          <cell r="T926">
            <v>199000</v>
          </cell>
          <cell r="U926">
            <v>0</v>
          </cell>
          <cell r="V926">
            <v>199000</v>
          </cell>
          <cell r="W926" t="str">
            <v>4987115545946</v>
          </cell>
        </row>
        <row r="927">
          <cell r="A927">
            <v>2026</v>
          </cell>
          <cell r="B927">
            <v>6</v>
          </cell>
          <cell r="C927">
            <v>46176</v>
          </cell>
          <cell r="D927" t="str">
            <v>1. SKK store</v>
          </cell>
          <cell r="E927" t="str">
            <v>S1008</v>
          </cell>
          <cell r="F927" t="str">
            <v>SKK  Hàng Bông</v>
          </cell>
          <cell r="G927" t="str">
            <v>0902588490</v>
          </cell>
          <cell r="H927" t="str">
            <v>Cô Nga</v>
          </cell>
          <cell r="I927" t="str">
            <v>Khách cũ</v>
          </cell>
          <cell r="J927" t="str">
            <v>Đơn bán</v>
          </cell>
          <cell r="K927" t="str">
            <v>SAKUKO798193</v>
          </cell>
          <cell r="L927" t="str">
            <v>CHĂM SÓC SẮC ĐẸP</v>
          </cell>
          <cell r="M927" t="str">
            <v>CHĂM SÓC DA</v>
          </cell>
          <cell r="N927" t="str">
            <v>KEM DƯỠNG</v>
          </cell>
          <cell r="O927" t="str">
            <v>102384</v>
          </cell>
          <cell r="P927" t="str">
            <v>4902468820014</v>
          </cell>
          <cell r="Q927" t="str">
            <v>MEISHOKU- Kem gel dưỡng ẩm phục hồi chuyên sâu 50g</v>
          </cell>
          <cell r="R927">
            <v>575000</v>
          </cell>
          <cell r="S927">
            <v>2</v>
          </cell>
          <cell r="T927">
            <v>1150000</v>
          </cell>
          <cell r="U927">
            <v>92000</v>
          </cell>
          <cell r="V927">
            <v>1058000</v>
          </cell>
          <cell r="W927" t="str">
            <v>4902468820014</v>
          </cell>
        </row>
        <row r="928">
          <cell r="A928">
            <v>2026</v>
          </cell>
          <cell r="B928">
            <v>6</v>
          </cell>
          <cell r="C928">
            <v>46176</v>
          </cell>
          <cell r="D928" t="str">
            <v>1. SKK store</v>
          </cell>
          <cell r="E928" t="str">
            <v>S1008</v>
          </cell>
          <cell r="F928" t="str">
            <v>SKK  Hàng Bông</v>
          </cell>
          <cell r="G928" t="str">
            <v>0904380655</v>
          </cell>
          <cell r="H928" t="str">
            <v>C Thoa</v>
          </cell>
          <cell r="I928" t="str">
            <v>Khách cũ</v>
          </cell>
          <cell r="J928" t="str">
            <v>Đơn bán</v>
          </cell>
          <cell r="K928" t="str">
            <v>SAKUKO797848</v>
          </cell>
          <cell r="L928" t="str">
            <v>THỰC PHẨM</v>
          </cell>
          <cell r="M928" t="str">
            <v>MỲ, MIẾN</v>
          </cell>
          <cell r="N928" t="str">
            <v>MỲ CHẾ BIẾN</v>
          </cell>
          <cell r="O928" t="str">
            <v>154251</v>
          </cell>
          <cell r="P928" t="str">
            <v>4560159440776</v>
          </cell>
          <cell r="Q928" t="str">
            <v>SATO_Mì soba khô 800g</v>
          </cell>
          <cell r="R928">
            <v>104000</v>
          </cell>
          <cell r="S928">
            <v>1</v>
          </cell>
          <cell r="T928">
            <v>104000</v>
          </cell>
          <cell r="U928">
            <v>0</v>
          </cell>
          <cell r="V928">
            <v>104000</v>
          </cell>
          <cell r="W928" t="str">
            <v>4560159440776</v>
          </cell>
        </row>
        <row r="929">
          <cell r="A929">
            <v>2026</v>
          </cell>
          <cell r="B929">
            <v>6</v>
          </cell>
          <cell r="C929">
            <v>46176</v>
          </cell>
          <cell r="D929" t="str">
            <v>1. SKK store</v>
          </cell>
          <cell r="E929" t="str">
            <v>S1008</v>
          </cell>
          <cell r="F929" t="str">
            <v>SKK  Hàng Bông</v>
          </cell>
          <cell r="G929" t="str">
            <v>0988081061</v>
          </cell>
          <cell r="H929" t="str">
            <v>Chú</v>
          </cell>
          <cell r="I929" t="str">
            <v>Khách cũ</v>
          </cell>
          <cell r="J929" t="str">
            <v>Đơn bán</v>
          </cell>
          <cell r="K929" t="str">
            <v>SAKUKO798239</v>
          </cell>
          <cell r="L929" t="str">
            <v>ĐỒ CHO MẸ BÉ</v>
          </cell>
          <cell r="M929" t="str">
            <v>CHĂM SÓC CƠ THỂ BÉ</v>
          </cell>
          <cell r="N929" t="str">
            <v>THỰC PHẨM CHỨC NĂNG CHO BÉ</v>
          </cell>
          <cell r="O929" t="str">
            <v>121666</v>
          </cell>
          <cell r="P929" t="str">
            <v>8436036591441</v>
          </cell>
          <cell r="Q929" t="str">
            <v>NEO KIDS-TPBVSK Gummies Omega 3 DHA 150g</v>
          </cell>
          <cell r="R929">
            <v>360000</v>
          </cell>
          <cell r="S929">
            <v>1</v>
          </cell>
          <cell r="T929">
            <v>360000</v>
          </cell>
          <cell r="U929">
            <v>0</v>
          </cell>
          <cell r="V929">
            <v>360000</v>
          </cell>
          <cell r="W929" t="str">
            <v>8436036591441</v>
          </cell>
        </row>
        <row r="930">
          <cell r="A930">
            <v>2026</v>
          </cell>
          <cell r="B930">
            <v>6</v>
          </cell>
          <cell r="C930">
            <v>46176</v>
          </cell>
          <cell r="D930" t="str">
            <v>1. SKK store</v>
          </cell>
          <cell r="E930" t="str">
            <v>S1018</v>
          </cell>
          <cell r="F930" t="str">
            <v>SKK Nguyễn Tuân</v>
          </cell>
          <cell r="G930" t="str">
            <v>0975968529</v>
          </cell>
          <cell r="H930" t="str">
            <v>chị hương</v>
          </cell>
          <cell r="I930" t="str">
            <v>Khách cũ</v>
          </cell>
          <cell r="J930" t="str">
            <v>Đơn bán</v>
          </cell>
          <cell r="K930" t="str">
            <v>SAKUKO797562</v>
          </cell>
          <cell r="L930" t="str">
            <v>THỰC PHẨM</v>
          </cell>
          <cell r="M930" t="str">
            <v>MỲ, MIẾN</v>
          </cell>
          <cell r="N930" t="str">
            <v>MỲ CHẾ BIẾN</v>
          </cell>
          <cell r="O930" t="str">
            <v>174948</v>
          </cell>
          <cell r="P930" t="str">
            <v>4582114354119</v>
          </cell>
          <cell r="Q930" t="str">
            <v>SANUKISHISEI- Mì soumen 300g</v>
          </cell>
          <cell r="R930">
            <v>35000</v>
          </cell>
          <cell r="S930">
            <v>1</v>
          </cell>
          <cell r="T930">
            <v>35000</v>
          </cell>
          <cell r="U930">
            <v>0</v>
          </cell>
          <cell r="V930">
            <v>35000</v>
          </cell>
          <cell r="W930" t="str">
            <v>4582114354119</v>
          </cell>
        </row>
        <row r="931">
          <cell r="A931">
            <v>2026</v>
          </cell>
          <cell r="B931">
            <v>6</v>
          </cell>
          <cell r="C931">
            <v>46176</v>
          </cell>
          <cell r="D931" t="str">
            <v>1. SKK store</v>
          </cell>
          <cell r="E931" t="str">
            <v>S1018</v>
          </cell>
          <cell r="F931" t="str">
            <v>SKK Nguyễn Tuân</v>
          </cell>
          <cell r="G931" t="str">
            <v>0975968529</v>
          </cell>
          <cell r="H931" t="str">
            <v>chị hương</v>
          </cell>
          <cell r="I931" t="str">
            <v>Khách cũ</v>
          </cell>
          <cell r="J931" t="str">
            <v>Đơn bán</v>
          </cell>
          <cell r="K931" t="str">
            <v>SAKUKO797562</v>
          </cell>
          <cell r="L931" t="str">
            <v>THỰC PHẨM</v>
          </cell>
          <cell r="M931" t="str">
            <v>MỲ, MIẾN</v>
          </cell>
          <cell r="N931" t="str">
            <v>MỲ CHẾ BIẾN</v>
          </cell>
          <cell r="O931" t="str">
            <v>175435</v>
          </cell>
          <cell r="P931" t="str">
            <v>4901726014752</v>
          </cell>
          <cell r="Q931" t="str">
            <v>ITSUKI FOODS- Mì soumen rau củ ngũ sắc320g</v>
          </cell>
          <cell r="R931">
            <v>76000</v>
          </cell>
          <cell r="S931">
            <v>1</v>
          </cell>
          <cell r="T931">
            <v>76000</v>
          </cell>
          <cell r="U931">
            <v>0</v>
          </cell>
          <cell r="V931">
            <v>76000</v>
          </cell>
          <cell r="W931" t="str">
            <v>4901726014752</v>
          </cell>
        </row>
        <row r="932">
          <cell r="A932">
            <v>2026</v>
          </cell>
          <cell r="B932">
            <v>6</v>
          </cell>
          <cell r="C932">
            <v>46176</v>
          </cell>
          <cell r="D932" t="str">
            <v>1. SKK store</v>
          </cell>
          <cell r="E932" t="str">
            <v>S1025</v>
          </cell>
          <cell r="F932" t="str">
            <v>SKK T6 Time City</v>
          </cell>
          <cell r="G932" t="str">
            <v>0931661879</v>
          </cell>
          <cell r="H932" t="str">
            <v>Dương</v>
          </cell>
          <cell r="I932" t="str">
            <v>Khách cũ</v>
          </cell>
          <cell r="J932" t="str">
            <v>Đơn bán</v>
          </cell>
          <cell r="K932" t="str">
            <v>SAKUKO797804</v>
          </cell>
          <cell r="L932" t="str">
            <v>THỰC PHẨM</v>
          </cell>
          <cell r="M932" t="str">
            <v>BÁNH KẸO, ĐỒ ĂN VẶT</v>
          </cell>
          <cell r="N932" t="str">
            <v>KẸO CAO SU</v>
          </cell>
          <cell r="O932" t="str">
            <v>231377</v>
          </cell>
          <cell r="P932" t="str">
            <v>4903333200375</v>
          </cell>
          <cell r="Q932" t="str">
            <v>LOTTE-Kẹo cao su tổng hợp dạng lọ 114g</v>
          </cell>
          <cell r="R932">
            <v>235000</v>
          </cell>
          <cell r="S932">
            <v>1</v>
          </cell>
          <cell r="T932">
            <v>235000</v>
          </cell>
          <cell r="U932">
            <v>0</v>
          </cell>
          <cell r="V932">
            <v>235000</v>
          </cell>
          <cell r="W932" t="str">
            <v>4903333200375</v>
          </cell>
        </row>
        <row r="933">
          <cell r="A933">
            <v>2026</v>
          </cell>
          <cell r="B933">
            <v>6</v>
          </cell>
          <cell r="C933">
            <v>46175</v>
          </cell>
          <cell r="D933" t="str">
            <v>1. SKK store</v>
          </cell>
          <cell r="E933" t="str">
            <v>S1004</v>
          </cell>
          <cell r="F933" t="str">
            <v>SKK  Mandarin C1</v>
          </cell>
          <cell r="G933" t="str">
            <v>0935906123</v>
          </cell>
          <cell r="H933" t="str">
            <v>c hiền</v>
          </cell>
          <cell r="I933" t="str">
            <v>Khách cũ</v>
          </cell>
          <cell r="J933" t="str">
            <v>Đơn bán</v>
          </cell>
          <cell r="K933" t="str">
            <v>SAKUKO796940</v>
          </cell>
          <cell r="L933" t="str">
            <v>ĐỒ CHO MẸ BÉ</v>
          </cell>
          <cell r="M933" t="str">
            <v>GIẤY ƯỚT</v>
          </cell>
          <cell r="N933" t="str">
            <v>GIẤY ƯỚT CHO BÉ</v>
          </cell>
          <cell r="O933" t="str">
            <v>121665</v>
          </cell>
          <cell r="P933" t="str">
            <v>8934755035289</v>
          </cell>
          <cell r="Q933" t="str">
            <v>BOBBY- Khăn ướt em bé không mùi 100 miếng</v>
          </cell>
          <cell r="R933">
            <v>46000</v>
          </cell>
          <cell r="S933">
            <v>2</v>
          </cell>
          <cell r="T933">
            <v>92000</v>
          </cell>
          <cell r="U933">
            <v>0</v>
          </cell>
          <cell r="V933">
            <v>92000</v>
          </cell>
          <cell r="W933" t="str">
            <v>8934755035289</v>
          </cell>
        </row>
        <row r="934">
          <cell r="A934">
            <v>2026</v>
          </cell>
          <cell r="B934">
            <v>6</v>
          </cell>
          <cell r="C934">
            <v>46175</v>
          </cell>
          <cell r="D934" t="str">
            <v>1. SKK store</v>
          </cell>
          <cell r="E934" t="str">
            <v>S1004</v>
          </cell>
          <cell r="F934" t="str">
            <v>SKK  Mandarin C1</v>
          </cell>
          <cell r="G934" t="str">
            <v>0967313999</v>
          </cell>
          <cell r="H934" t="str">
            <v>Chị Nguyễn Thu Hiền</v>
          </cell>
          <cell r="I934" t="str">
            <v>Khách cũ</v>
          </cell>
          <cell r="J934" t="str">
            <v>Đơn bán</v>
          </cell>
          <cell r="K934" t="str">
            <v>SAKUKO797209</v>
          </cell>
          <cell r="L934" t="str">
            <v>THỰC PHẨM</v>
          </cell>
          <cell r="M934" t="str">
            <v>BÁNH KẸO, ĐỒ ĂN VẶT</v>
          </cell>
          <cell r="N934" t="str">
            <v>KẸO CAO SU</v>
          </cell>
          <cell r="O934" t="str">
            <v>231377</v>
          </cell>
          <cell r="P934" t="str">
            <v>4903333200375</v>
          </cell>
          <cell r="Q934" t="str">
            <v>LOTTE-Kẹo cao su tổng hợp dạng lọ 114g</v>
          </cell>
          <cell r="R934">
            <v>235000</v>
          </cell>
          <cell r="S934">
            <v>1</v>
          </cell>
          <cell r="T934">
            <v>235000</v>
          </cell>
          <cell r="U934">
            <v>0</v>
          </cell>
          <cell r="V934">
            <v>235000</v>
          </cell>
          <cell r="W934" t="str">
            <v>4903333200375</v>
          </cell>
        </row>
        <row r="935">
          <cell r="A935">
            <v>2026</v>
          </cell>
          <cell r="B935">
            <v>6</v>
          </cell>
          <cell r="C935">
            <v>46175</v>
          </cell>
          <cell r="D935" t="str">
            <v>1. SKK store</v>
          </cell>
          <cell r="E935" t="str">
            <v>S1005</v>
          </cell>
          <cell r="F935" t="str">
            <v>SKK  Thái Hà</v>
          </cell>
          <cell r="G935" t="str">
            <v>0332694645</v>
          </cell>
          <cell r="H935" t="str">
            <v>Hang</v>
          </cell>
          <cell r="I935" t="str">
            <v>Khách mới</v>
          </cell>
          <cell r="J935" t="str">
            <v>Đơn bán</v>
          </cell>
          <cell r="K935" t="str">
            <v>SAKUKO796825</v>
          </cell>
          <cell r="L935" t="str">
            <v>THỰC PHẨM</v>
          </cell>
          <cell r="M935" t="str">
            <v>MỲ, MIẾN</v>
          </cell>
          <cell r="N935" t="str">
            <v>MỲ CHẾ BIẾN</v>
          </cell>
          <cell r="O935" t="str">
            <v>175435</v>
          </cell>
          <cell r="P935" t="str">
            <v>4901726014752</v>
          </cell>
          <cell r="Q935" t="str">
            <v>ITSUKI FOODS- Mì soumen rau củ ngũ sắc320g</v>
          </cell>
          <cell r="R935">
            <v>76000</v>
          </cell>
          <cell r="S935">
            <v>1</v>
          </cell>
          <cell r="T935">
            <v>76000</v>
          </cell>
          <cell r="U935">
            <v>0</v>
          </cell>
          <cell r="V935">
            <v>76000</v>
          </cell>
          <cell r="W935" t="str">
            <v>4901726014752</v>
          </cell>
        </row>
        <row r="936">
          <cell r="A936">
            <v>2026</v>
          </cell>
          <cell r="B936">
            <v>6</v>
          </cell>
          <cell r="C936">
            <v>46175</v>
          </cell>
          <cell r="D936" t="str">
            <v>1. SKK store</v>
          </cell>
          <cell r="E936" t="str">
            <v>S1005</v>
          </cell>
          <cell r="F936" t="str">
            <v>SKK  Thái Hà</v>
          </cell>
          <cell r="G936" t="str">
            <v>0913536991</v>
          </cell>
          <cell r="H936" t="str">
            <v>Chị Quyên</v>
          </cell>
          <cell r="I936" t="str">
            <v>Khách cũ</v>
          </cell>
          <cell r="J936" t="str">
            <v>Đơn bán</v>
          </cell>
          <cell r="K936" t="str">
            <v>SAKUKO796826</v>
          </cell>
          <cell r="L936" t="str">
            <v>ĐỒ CHO MẸ BÉ</v>
          </cell>
          <cell r="M936" t="str">
            <v>GIẤY ƯỚT</v>
          </cell>
          <cell r="N936" t="str">
            <v>GIẤY ƯỚT CHO BÉ</v>
          </cell>
          <cell r="O936" t="str">
            <v>121662</v>
          </cell>
          <cell r="P936" t="str">
            <v>8934755035036</v>
          </cell>
          <cell r="Q936" t="str">
            <v>FRESSI- Khăn ướt Care For All 20 miếng</v>
          </cell>
          <cell r="R936">
            <v>14000</v>
          </cell>
          <cell r="S936">
            <v>2</v>
          </cell>
          <cell r="T936">
            <v>28000</v>
          </cell>
          <cell r="U936">
            <v>0</v>
          </cell>
          <cell r="V936">
            <v>28000</v>
          </cell>
          <cell r="W936" t="str">
            <v>8934755035036</v>
          </cell>
        </row>
        <row r="937">
          <cell r="A937">
            <v>2026</v>
          </cell>
          <cell r="B937">
            <v>6</v>
          </cell>
          <cell r="C937">
            <v>46175</v>
          </cell>
          <cell r="D937" t="str">
            <v>1. SKK store</v>
          </cell>
          <cell r="E937" t="str">
            <v>S1005</v>
          </cell>
          <cell r="F937" t="str">
            <v>SKK  Thái Hà</v>
          </cell>
          <cell r="G937" t="str">
            <v>0989325982</v>
          </cell>
          <cell r="H937" t="str">
            <v>Chị Hiền</v>
          </cell>
          <cell r="I937" t="str">
            <v>Khách cũ</v>
          </cell>
          <cell r="J937" t="str">
            <v>Đơn bán</v>
          </cell>
          <cell r="K937" t="str">
            <v>SAKUKO797045</v>
          </cell>
          <cell r="L937" t="str">
            <v>CHĂM SÓC SẮC ĐẸP</v>
          </cell>
          <cell r="M937" t="str">
            <v>CHĂM SÓC DA</v>
          </cell>
          <cell r="N937" t="str">
            <v>RỬA MẶT</v>
          </cell>
          <cell r="O937" t="str">
            <v>102412</v>
          </cell>
          <cell r="P937" t="str">
            <v>4902468802126</v>
          </cell>
          <cell r="Q937" t="str">
            <v>MEISHOKU- SRM ngăn ngừa mụn Bigan 80g</v>
          </cell>
          <cell r="R937">
            <v>255000</v>
          </cell>
          <cell r="S937">
            <v>1</v>
          </cell>
          <cell r="T937">
            <v>255000</v>
          </cell>
          <cell r="U937">
            <v>5000</v>
          </cell>
          <cell r="V937">
            <v>250000</v>
          </cell>
          <cell r="W937" t="str">
            <v>4902468802126</v>
          </cell>
        </row>
        <row r="938">
          <cell r="A938">
            <v>2026</v>
          </cell>
          <cell r="B938">
            <v>6</v>
          </cell>
          <cell r="C938">
            <v>46175</v>
          </cell>
          <cell r="D938" t="str">
            <v>1. SKK store</v>
          </cell>
          <cell r="E938" t="str">
            <v>S1006</v>
          </cell>
          <cell r="F938" t="str">
            <v>SKK Trần Đăng Ninh</v>
          </cell>
          <cell r="G938" t="str">
            <v>0913367797</v>
          </cell>
          <cell r="H938" t="str">
            <v>chú quyết</v>
          </cell>
          <cell r="I938" t="str">
            <v>Khách cũ</v>
          </cell>
          <cell r="J938" t="str">
            <v>Đơn bán</v>
          </cell>
          <cell r="K938" t="str">
            <v>SAKUKO796869</v>
          </cell>
          <cell r="L938" t="str">
            <v>THỰC PHẨM</v>
          </cell>
          <cell r="M938" t="str">
            <v>BÁNH KẸO, ĐỒ ĂN VẶT</v>
          </cell>
          <cell r="N938" t="str">
            <v>KẸO CAO SU</v>
          </cell>
          <cell r="O938" t="str">
            <v>153932</v>
          </cell>
          <cell r="P938" t="str">
            <v>4903333241651</v>
          </cell>
          <cell r="Q938" t="str">
            <v>LOTTE - Kẹo cao su black black ít đường 133g</v>
          </cell>
          <cell r="R938">
            <v>235000</v>
          </cell>
          <cell r="S938">
            <v>1</v>
          </cell>
          <cell r="T938">
            <v>235000</v>
          </cell>
          <cell r="U938">
            <v>0</v>
          </cell>
          <cell r="V938">
            <v>235000</v>
          </cell>
          <cell r="W938" t="str">
            <v>4903333241651</v>
          </cell>
        </row>
        <row r="939">
          <cell r="A939">
            <v>2026</v>
          </cell>
          <cell r="B939">
            <v>6</v>
          </cell>
          <cell r="C939">
            <v>46175</v>
          </cell>
          <cell r="D939" t="str">
            <v>1. SKK store</v>
          </cell>
          <cell r="E939" t="str">
            <v>S1006</v>
          </cell>
          <cell r="F939" t="str">
            <v>SKK Trần Đăng Ninh</v>
          </cell>
          <cell r="G939" t="str">
            <v>0948288679</v>
          </cell>
          <cell r="H939" t="str">
            <v>Nguyễn Anh Tuấn</v>
          </cell>
          <cell r="I939" t="str">
            <v>Khách cũ</v>
          </cell>
          <cell r="J939" t="str">
            <v>Đơn bán</v>
          </cell>
          <cell r="K939" t="str">
            <v>SAKUKO796900</v>
          </cell>
          <cell r="L939" t="str">
            <v>CHĂM SÓC SẮC ĐẸP</v>
          </cell>
          <cell r="M939" t="str">
            <v>CHĂM SÓC DA</v>
          </cell>
          <cell r="N939" t="str">
            <v>RỬA MẶT</v>
          </cell>
          <cell r="O939" t="str">
            <v>102421</v>
          </cell>
          <cell r="P939" t="str">
            <v>4902468819032</v>
          </cell>
          <cell r="Q939" t="str">
            <v>MEISHOU- Sữa rửa mặt làm sạch thuần chay 100g</v>
          </cell>
          <cell r="R939">
            <v>295000</v>
          </cell>
          <cell r="S939">
            <v>1</v>
          </cell>
          <cell r="T939">
            <v>295000</v>
          </cell>
          <cell r="U939">
            <v>0</v>
          </cell>
          <cell r="V939">
            <v>295000</v>
          </cell>
          <cell r="W939" t="str">
            <v>4902468819032</v>
          </cell>
        </row>
        <row r="940">
          <cell r="A940">
            <v>2026</v>
          </cell>
          <cell r="B940">
            <v>6</v>
          </cell>
          <cell r="C940">
            <v>46175</v>
          </cell>
          <cell r="D940" t="str">
            <v>1. SKK store</v>
          </cell>
          <cell r="E940" t="str">
            <v>S1006</v>
          </cell>
          <cell r="F940" t="str">
            <v>SKK Trần Đăng Ninh</v>
          </cell>
          <cell r="G940" t="str">
            <v>0982612761</v>
          </cell>
          <cell r="H940" t="str">
            <v>Chị Tuyết</v>
          </cell>
          <cell r="I940" t="str">
            <v>Khách cũ</v>
          </cell>
          <cell r="J940" t="str">
            <v>Đơn bán</v>
          </cell>
          <cell r="K940" t="str">
            <v>SAKUKO796639</v>
          </cell>
          <cell r="L940" t="str">
            <v>CHĂM SÓC SẮC ĐẸP</v>
          </cell>
          <cell r="M940" t="str">
            <v>CHĂM SÓC DA</v>
          </cell>
          <cell r="N940" t="str">
            <v>RỬA MẶT</v>
          </cell>
          <cell r="O940" t="str">
            <v>102421</v>
          </cell>
          <cell r="P940" t="str">
            <v>4902468819032</v>
          </cell>
          <cell r="Q940" t="str">
            <v>MEISHOU- Sữa rửa mặt làm sạch thuần chay 100g</v>
          </cell>
          <cell r="R940">
            <v>295000</v>
          </cell>
          <cell r="S940">
            <v>1</v>
          </cell>
          <cell r="T940">
            <v>295000</v>
          </cell>
          <cell r="U940">
            <v>0</v>
          </cell>
          <cell r="V940">
            <v>295000</v>
          </cell>
          <cell r="W940" t="str">
            <v>4902468819032</v>
          </cell>
        </row>
        <row r="941">
          <cell r="A941">
            <v>2026</v>
          </cell>
          <cell r="B941">
            <v>6</v>
          </cell>
          <cell r="C941">
            <v>46175</v>
          </cell>
          <cell r="D941" t="str">
            <v>1. SKK store</v>
          </cell>
          <cell r="E941" t="str">
            <v>S1007</v>
          </cell>
          <cell r="F941" t="str">
            <v>SKK  Nguyễn Du</v>
          </cell>
          <cell r="G941" t="str">
            <v>0862954339</v>
          </cell>
          <cell r="H941" t="str">
            <v>Klnd</v>
          </cell>
          <cell r="I941" t="str">
            <v>Khách vãng lai</v>
          </cell>
          <cell r="J941" t="str">
            <v>Đơn bán</v>
          </cell>
          <cell r="K941" t="str">
            <v>SAKUKO797390</v>
          </cell>
          <cell r="L941" t="str">
            <v>CHĂM SÓC SẮC ĐẸP</v>
          </cell>
          <cell r="M941" t="str">
            <v>CHĂM SÓC DA</v>
          </cell>
          <cell r="N941" t="str">
            <v>CHĂM SÓC DA KHÁC</v>
          </cell>
          <cell r="O941" t="str">
            <v>102388</v>
          </cell>
          <cell r="P941" t="str">
            <v>8935006542914</v>
          </cell>
          <cell r="Q941" t="str">
            <v>HADA LABO- Bộ sản phẩm dưỡng trắng (travel kit)47g</v>
          </cell>
          <cell r="R941">
            <v>135000</v>
          </cell>
          <cell r="S941">
            <v>1</v>
          </cell>
          <cell r="T941">
            <v>135000</v>
          </cell>
          <cell r="U941">
            <v>26000</v>
          </cell>
          <cell r="V941">
            <v>109000</v>
          </cell>
          <cell r="W941" t="str">
            <v>8935006542914</v>
          </cell>
        </row>
        <row r="942">
          <cell r="A942">
            <v>2026</v>
          </cell>
          <cell r="B942">
            <v>6</v>
          </cell>
          <cell r="C942">
            <v>46175</v>
          </cell>
          <cell r="D942" t="str">
            <v>1. SKK store</v>
          </cell>
          <cell r="E942" t="str">
            <v>S1007</v>
          </cell>
          <cell r="F942" t="str">
            <v>SKK  Nguyễn Du</v>
          </cell>
          <cell r="G942" t="str">
            <v>0986546064</v>
          </cell>
          <cell r="H942" t="str">
            <v>Trinh</v>
          </cell>
          <cell r="I942" t="str">
            <v>Khách cũ</v>
          </cell>
          <cell r="J942" t="str">
            <v>Đơn bán</v>
          </cell>
          <cell r="K942" t="str">
            <v>SAKUKO796644</v>
          </cell>
          <cell r="L942" t="str">
            <v>THỰC PHẨM</v>
          </cell>
          <cell r="M942" t="str">
            <v>MỲ, MIẾN</v>
          </cell>
          <cell r="N942" t="str">
            <v>MỲ CHẾ BIẾN</v>
          </cell>
          <cell r="O942" t="str">
            <v>175435</v>
          </cell>
          <cell r="P942" t="str">
            <v>4901726014752</v>
          </cell>
          <cell r="Q942" t="str">
            <v>ITSUKI FOODS- Mì soumen rau củ ngũ sắc320g</v>
          </cell>
          <cell r="R942">
            <v>76000</v>
          </cell>
          <cell r="S942">
            <v>1</v>
          </cell>
          <cell r="T942">
            <v>76000</v>
          </cell>
          <cell r="U942">
            <v>0</v>
          </cell>
          <cell r="V942">
            <v>76000</v>
          </cell>
          <cell r="W942" t="str">
            <v>4901726014752</v>
          </cell>
        </row>
        <row r="943">
          <cell r="A943">
            <v>2026</v>
          </cell>
          <cell r="B943">
            <v>6</v>
          </cell>
          <cell r="C943">
            <v>46175</v>
          </cell>
          <cell r="D943" t="str">
            <v>1. SKK store</v>
          </cell>
          <cell r="E943" t="str">
            <v>S1008</v>
          </cell>
          <cell r="F943" t="str">
            <v>SKK  Hàng Bông</v>
          </cell>
          <cell r="G943" t="str">
            <v>02466810202</v>
          </cell>
          <cell r="H943" t="str">
            <v>KH Tây</v>
          </cell>
          <cell r="I943" t="str">
            <v>Khách vãng lai</v>
          </cell>
          <cell r="J943" t="str">
            <v>Đơn bán</v>
          </cell>
          <cell r="K943" t="str">
            <v>SAKUKO796728</v>
          </cell>
          <cell r="L943" t="str">
            <v>CHĂM SÓC SẮC ĐẸP</v>
          </cell>
          <cell r="M943" t="str">
            <v>Mỹ phẩm khác</v>
          </cell>
          <cell r="N943" t="str">
            <v>PHỤ KIỆN LÀM ĐẸP</v>
          </cell>
          <cell r="O943" t="str">
            <v>102389</v>
          </cell>
          <cell r="P943" t="str">
            <v>4969757110652</v>
          </cell>
          <cell r="Q943" t="str">
            <v>KYOWA- Gói bông tẩy trang 130 miếng</v>
          </cell>
          <cell r="R943">
            <v>49000</v>
          </cell>
          <cell r="S943">
            <v>2</v>
          </cell>
          <cell r="T943">
            <v>98000</v>
          </cell>
          <cell r="U943">
            <v>0</v>
          </cell>
          <cell r="V943">
            <v>98000</v>
          </cell>
          <cell r="W943" t="str">
            <v>4969757110652</v>
          </cell>
        </row>
        <row r="944">
          <cell r="A944">
            <v>2026</v>
          </cell>
          <cell r="B944">
            <v>6</v>
          </cell>
          <cell r="C944">
            <v>46175</v>
          </cell>
          <cell r="D944" t="str">
            <v>1. SKK store</v>
          </cell>
          <cell r="E944" t="str">
            <v>S1008</v>
          </cell>
          <cell r="F944" t="str">
            <v>SKK  Hàng Bông</v>
          </cell>
          <cell r="G944" t="str">
            <v>0941074479</v>
          </cell>
          <cell r="H944" t="str">
            <v>Chị Hiền</v>
          </cell>
          <cell r="I944" t="str">
            <v>Khách cũ</v>
          </cell>
          <cell r="J944" t="str">
            <v>Đơn bán</v>
          </cell>
          <cell r="K944" t="str">
            <v>SAKUKO796571</v>
          </cell>
          <cell r="L944" t="str">
            <v>NHÀ CỬA ĐỜI SỐNG</v>
          </cell>
          <cell r="M944" t="str">
            <v>KHĂN</v>
          </cell>
          <cell r="N944" t="str">
            <v>KHĂN MẶT</v>
          </cell>
          <cell r="O944" t="str">
            <v>102391</v>
          </cell>
          <cell r="P944" t="str">
            <v>4991203205759</v>
          </cell>
          <cell r="Q944" t="str">
            <v>ECHO - Khăn mặt dạng nén 20v size 26x16cm</v>
          </cell>
          <cell r="R944">
            <v>45000</v>
          </cell>
          <cell r="S944">
            <v>1</v>
          </cell>
          <cell r="T944">
            <v>45000</v>
          </cell>
          <cell r="U944">
            <v>0</v>
          </cell>
          <cell r="V944">
            <v>45000</v>
          </cell>
          <cell r="W944" t="str">
            <v>4991203205759</v>
          </cell>
        </row>
        <row r="945">
          <cell r="A945">
            <v>2026</v>
          </cell>
          <cell r="B945">
            <v>6</v>
          </cell>
          <cell r="C945">
            <v>46175</v>
          </cell>
          <cell r="D945" t="str">
            <v>1. SKK store</v>
          </cell>
          <cell r="E945" t="str">
            <v>S1018</v>
          </cell>
          <cell r="F945" t="str">
            <v>SKK Nguyễn Tuân</v>
          </cell>
          <cell r="G945" t="str">
            <v>02422174499</v>
          </cell>
          <cell r="H945" t="str">
            <v>klnt</v>
          </cell>
          <cell r="I945" t="str">
            <v>Khách vãng lai</v>
          </cell>
          <cell r="J945" t="str">
            <v>Đơn bán</v>
          </cell>
          <cell r="K945" t="str">
            <v>SAKUKO797020</v>
          </cell>
          <cell r="L945" t="str">
            <v>THỰC PHẨM</v>
          </cell>
          <cell r="M945" t="str">
            <v>MỲ, MIẾN</v>
          </cell>
          <cell r="N945" t="str">
            <v>MỲ CHẾ BIẾN</v>
          </cell>
          <cell r="O945" t="str">
            <v>154249</v>
          </cell>
          <cell r="P945" t="str">
            <v>4517244004627</v>
          </cell>
          <cell r="Q945" t="str">
            <v>ASAHI_Mì udon khô 400g</v>
          </cell>
          <cell r="R945">
            <v>69000</v>
          </cell>
          <cell r="S945">
            <v>1</v>
          </cell>
          <cell r="T945">
            <v>69000</v>
          </cell>
          <cell r="U945">
            <v>0</v>
          </cell>
          <cell r="V945">
            <v>69000</v>
          </cell>
          <cell r="W945" t="str">
            <v>4517244004627</v>
          </cell>
        </row>
        <row r="946">
          <cell r="A946">
            <v>2026</v>
          </cell>
          <cell r="B946">
            <v>6</v>
          </cell>
          <cell r="C946">
            <v>46175</v>
          </cell>
          <cell r="D946" t="str">
            <v>1. SKK store</v>
          </cell>
          <cell r="E946" t="str">
            <v>S1018</v>
          </cell>
          <cell r="F946" t="str">
            <v>SKK Nguyễn Tuân</v>
          </cell>
          <cell r="G946" t="str">
            <v>0902399968</v>
          </cell>
          <cell r="H946" t="str">
            <v>Anh Phạm Ngọc Dũng</v>
          </cell>
          <cell r="I946" t="str">
            <v>Khách cũ</v>
          </cell>
          <cell r="J946" t="str">
            <v>Đơn bán</v>
          </cell>
          <cell r="K946" t="str">
            <v>SAKUKO796978</v>
          </cell>
          <cell r="L946" t="str">
            <v>THỰC PHẨM</v>
          </cell>
          <cell r="M946" t="str">
            <v>MỲ, MIẾN</v>
          </cell>
          <cell r="N946" t="str">
            <v>MỲ CHẾ BIẾN</v>
          </cell>
          <cell r="O946" t="str">
            <v>154251</v>
          </cell>
          <cell r="P946" t="str">
            <v>4560159440776</v>
          </cell>
          <cell r="Q946" t="str">
            <v>SATO_Mì soba khô 800g</v>
          </cell>
          <cell r="R946">
            <v>104000</v>
          </cell>
          <cell r="S946">
            <v>1</v>
          </cell>
          <cell r="T946">
            <v>104000</v>
          </cell>
          <cell r="U946">
            <v>0</v>
          </cell>
          <cell r="V946">
            <v>104000</v>
          </cell>
          <cell r="W946" t="str">
            <v>4560159440776</v>
          </cell>
        </row>
        <row r="947">
          <cell r="A947">
            <v>2026</v>
          </cell>
          <cell r="B947">
            <v>6</v>
          </cell>
          <cell r="C947">
            <v>46175</v>
          </cell>
          <cell r="D947" t="str">
            <v>1. SKK store</v>
          </cell>
          <cell r="E947" t="str">
            <v>S1018</v>
          </cell>
          <cell r="F947" t="str">
            <v>SKK Nguyễn Tuân</v>
          </cell>
          <cell r="G947" t="str">
            <v>0988258742</v>
          </cell>
          <cell r="H947" t="str">
            <v>Lê Minh Hảo</v>
          </cell>
          <cell r="I947" t="str">
            <v>Khách cũ</v>
          </cell>
          <cell r="J947" t="str">
            <v>Đơn bán</v>
          </cell>
          <cell r="K947" t="str">
            <v>SAKUKO796564</v>
          </cell>
          <cell r="L947" t="str">
            <v>THỰC PHẨM</v>
          </cell>
          <cell r="M947" t="str">
            <v>BÁNH KẸO, ĐỒ ĂN VẶT</v>
          </cell>
          <cell r="N947" t="str">
            <v>KẸO CAO SU</v>
          </cell>
          <cell r="O947" t="str">
            <v>231376</v>
          </cell>
          <cell r="P947" t="str">
            <v>4903333228577</v>
          </cell>
          <cell r="Q947" t="str">
            <v>LOTTE-Kẹo cao su tổng hợp 7 loại dạng lọ 133g</v>
          </cell>
          <cell r="R947">
            <v>235000</v>
          </cell>
          <cell r="S947">
            <v>1</v>
          </cell>
          <cell r="T947">
            <v>235000</v>
          </cell>
          <cell r="U947">
            <v>0</v>
          </cell>
          <cell r="V947">
            <v>235000</v>
          </cell>
          <cell r="W947" t="str">
            <v>4903333228577</v>
          </cell>
        </row>
        <row r="948">
          <cell r="A948">
            <v>2026</v>
          </cell>
          <cell r="B948">
            <v>6</v>
          </cell>
          <cell r="C948">
            <v>46175</v>
          </cell>
          <cell r="D948" t="str">
            <v>1. SKK store</v>
          </cell>
          <cell r="E948" t="str">
            <v>S1025</v>
          </cell>
          <cell r="F948" t="str">
            <v>SKK T6 Time City</v>
          </cell>
          <cell r="G948" t="str">
            <v>0914627979</v>
          </cell>
          <cell r="H948" t="str">
            <v>CÔ LY</v>
          </cell>
          <cell r="I948" t="str">
            <v>Khách cũ</v>
          </cell>
          <cell r="J948" t="str">
            <v>Đơn bán</v>
          </cell>
          <cell r="K948" t="str">
            <v>SAKUKO796678</v>
          </cell>
          <cell r="L948" t="str">
            <v>ĐỒ CHO MẸ BÉ</v>
          </cell>
          <cell r="M948" t="str">
            <v>GIẤY ƯỚT</v>
          </cell>
          <cell r="N948" t="str">
            <v>GIẤY ƯỚT CHO BÉ</v>
          </cell>
          <cell r="O948" t="str">
            <v>121662</v>
          </cell>
          <cell r="P948" t="str">
            <v>8934755035036</v>
          </cell>
          <cell r="Q948" t="str">
            <v>FRESSI- Khăn ướt Care For All 20 miếng</v>
          </cell>
          <cell r="R948">
            <v>14000</v>
          </cell>
          <cell r="S948">
            <v>2</v>
          </cell>
          <cell r="T948">
            <v>28000</v>
          </cell>
          <cell r="U948">
            <v>0</v>
          </cell>
          <cell r="V948">
            <v>28000</v>
          </cell>
          <cell r="W948" t="str">
            <v>8934755035036</v>
          </cell>
        </row>
        <row r="949">
          <cell r="A949">
            <v>2026</v>
          </cell>
          <cell r="B949">
            <v>6</v>
          </cell>
          <cell r="C949">
            <v>46174</v>
          </cell>
          <cell r="D949" t="str">
            <v>1. SKK store</v>
          </cell>
          <cell r="E949" t="str">
            <v>S1004</v>
          </cell>
          <cell r="F949" t="str">
            <v>SKK  Mandarin C1</v>
          </cell>
          <cell r="G949" t="str">
            <v>0903440890</v>
          </cell>
          <cell r="H949" t="str">
            <v>Nguyen Tue Khanh</v>
          </cell>
          <cell r="I949" t="str">
            <v>Khách cũ</v>
          </cell>
          <cell r="J949" t="str">
            <v>Đơn bán</v>
          </cell>
          <cell r="K949" t="str">
            <v>SAKUKO795607</v>
          </cell>
          <cell r="L949" t="str">
            <v>NHÀ CỬA ĐỜI SỐNG</v>
          </cell>
          <cell r="M949" t="str">
            <v>ĐỒ DÙNG SINH HOẠT GIA ĐÌNH</v>
          </cell>
          <cell r="N949" t="str">
            <v>VẬT DỤNG SINH HOẠT KHÁC</v>
          </cell>
          <cell r="O949" t="str">
            <v>135039</v>
          </cell>
          <cell r="P949" t="str">
            <v>4968988074993</v>
          </cell>
          <cell r="Q949" t="str">
            <v>OMAICHI- Set 2 lọ chiết mỹ phẩm 40ml kèm hộp đựng</v>
          </cell>
          <cell r="R949">
            <v>52000</v>
          </cell>
          <cell r="S949">
            <v>1</v>
          </cell>
          <cell r="T949">
            <v>52000</v>
          </cell>
          <cell r="U949">
            <v>0</v>
          </cell>
          <cell r="V949">
            <v>52000</v>
          </cell>
          <cell r="W949" t="str">
            <v>4968988074993</v>
          </cell>
        </row>
        <row r="950">
          <cell r="A950">
            <v>2026</v>
          </cell>
          <cell r="B950">
            <v>6</v>
          </cell>
          <cell r="C950">
            <v>46174</v>
          </cell>
          <cell r="D950" t="str">
            <v>1. SKK store</v>
          </cell>
          <cell r="E950" t="str">
            <v>S1005</v>
          </cell>
          <cell r="F950" t="str">
            <v>SKK  Thái Hà</v>
          </cell>
          <cell r="G950" t="str">
            <v>02466810505</v>
          </cell>
          <cell r="H950" t="str">
            <v>klth</v>
          </cell>
          <cell r="I950" t="str">
            <v>Khách vãng lai</v>
          </cell>
          <cell r="J950" t="str">
            <v>Đơn bán</v>
          </cell>
          <cell r="K950" t="str">
            <v>SAKUKO795642</v>
          </cell>
          <cell r="L950" t="str">
            <v>THỰC PHẨM</v>
          </cell>
          <cell r="M950" t="str">
            <v>BÁNH KẸO, ĐỒ ĂN VẶT</v>
          </cell>
          <cell r="N950" t="str">
            <v>KẸO CAO SU</v>
          </cell>
          <cell r="O950" t="str">
            <v>231377</v>
          </cell>
          <cell r="P950" t="str">
            <v>4903333200375</v>
          </cell>
          <cell r="Q950" t="str">
            <v>LOTTE-Kẹo cao su tổng hợp dạng lọ 114g</v>
          </cell>
          <cell r="R950">
            <v>235000</v>
          </cell>
          <cell r="S950">
            <v>1</v>
          </cell>
          <cell r="T950">
            <v>235000</v>
          </cell>
          <cell r="U950">
            <v>0</v>
          </cell>
          <cell r="V950">
            <v>235000</v>
          </cell>
          <cell r="W950" t="str">
            <v>4903333200375</v>
          </cell>
        </row>
        <row r="951">
          <cell r="A951">
            <v>2026</v>
          </cell>
          <cell r="B951">
            <v>6</v>
          </cell>
          <cell r="C951">
            <v>46174</v>
          </cell>
          <cell r="D951" t="str">
            <v>1. SKK store</v>
          </cell>
          <cell r="E951" t="str">
            <v>S1005</v>
          </cell>
          <cell r="F951" t="str">
            <v>SKK  Thái Hà</v>
          </cell>
          <cell r="G951" t="str">
            <v>0904170111</v>
          </cell>
          <cell r="H951" t="str">
            <v>hằng</v>
          </cell>
          <cell r="I951" t="str">
            <v>Khách cũ</v>
          </cell>
          <cell r="J951" t="str">
            <v>Đơn bán</v>
          </cell>
          <cell r="K951" t="str">
            <v>SAKUKO795961</v>
          </cell>
          <cell r="L951" t="str">
            <v>ĐỒ CHO MẸ BÉ</v>
          </cell>
          <cell r="M951" t="str">
            <v>GIẤY ƯỚT</v>
          </cell>
          <cell r="N951" t="str">
            <v>GIẤY ƯỚT CHO BÉ</v>
          </cell>
          <cell r="O951" t="str">
            <v>121662</v>
          </cell>
          <cell r="P951" t="str">
            <v>8934755035036</v>
          </cell>
          <cell r="Q951" t="str">
            <v>FRESSI- Khăn ướt Care For All 20 miếng</v>
          </cell>
          <cell r="R951">
            <v>14000</v>
          </cell>
          <cell r="S951">
            <v>1</v>
          </cell>
          <cell r="T951">
            <v>14000</v>
          </cell>
          <cell r="U951">
            <v>0</v>
          </cell>
          <cell r="V951">
            <v>14000</v>
          </cell>
          <cell r="W951" t="str">
            <v>8934755035036</v>
          </cell>
        </row>
        <row r="952">
          <cell r="A952">
            <v>2026</v>
          </cell>
          <cell r="B952">
            <v>6</v>
          </cell>
          <cell r="C952">
            <v>46174</v>
          </cell>
          <cell r="D952" t="str">
            <v>1. SKK store</v>
          </cell>
          <cell r="E952" t="str">
            <v>S1005</v>
          </cell>
          <cell r="F952" t="str">
            <v>SKK  Thái Hà</v>
          </cell>
          <cell r="G952" t="str">
            <v>0943306830</v>
          </cell>
          <cell r="H952" t="str">
            <v>C MÂY</v>
          </cell>
          <cell r="I952" t="str">
            <v>Khách cũ</v>
          </cell>
          <cell r="J952" t="str">
            <v>Đơn bán</v>
          </cell>
          <cell r="K952" t="str">
            <v>SAKUKO795950</v>
          </cell>
          <cell r="L952" t="str">
            <v>CHĂM SÓC SẮC ĐẸP</v>
          </cell>
          <cell r="M952" t="str">
            <v>CHĂM SÓC DA</v>
          </cell>
          <cell r="N952" t="str">
            <v>RỬA MẶT</v>
          </cell>
          <cell r="O952" t="str">
            <v>102421</v>
          </cell>
          <cell r="P952" t="str">
            <v>4902468819032</v>
          </cell>
          <cell r="Q952" t="str">
            <v>MEISHOU- Sữa rửa mặt làm sạch thuần chay 100g</v>
          </cell>
          <cell r="R952">
            <v>295000</v>
          </cell>
          <cell r="S952">
            <v>1</v>
          </cell>
          <cell r="T952">
            <v>295000</v>
          </cell>
          <cell r="U952">
            <v>0</v>
          </cell>
          <cell r="V952">
            <v>295000</v>
          </cell>
          <cell r="W952" t="str">
            <v>4902468819032</v>
          </cell>
        </row>
        <row r="953">
          <cell r="A953">
            <v>2026</v>
          </cell>
          <cell r="B953">
            <v>6</v>
          </cell>
          <cell r="C953">
            <v>46174</v>
          </cell>
          <cell r="D953" t="str">
            <v>1. SKK store</v>
          </cell>
          <cell r="E953" t="str">
            <v>S1005</v>
          </cell>
          <cell r="F953" t="str">
            <v>SKK  Thái Hà</v>
          </cell>
          <cell r="G953" t="str">
            <v>0989156150</v>
          </cell>
          <cell r="H953" t="str">
            <v>chị mị</v>
          </cell>
          <cell r="I953" t="str">
            <v>Khách cũ</v>
          </cell>
          <cell r="J953" t="str">
            <v>Đơn bán</v>
          </cell>
          <cell r="K953" t="str">
            <v>SAKUKO795567</v>
          </cell>
          <cell r="L953" t="str">
            <v>THỰC PHẨM</v>
          </cell>
          <cell r="M953" t="str">
            <v>MỲ, MIẾN</v>
          </cell>
          <cell r="N953" t="str">
            <v>MỲ CHẾ BIẾN</v>
          </cell>
          <cell r="O953" t="str">
            <v>175435</v>
          </cell>
          <cell r="P953" t="str">
            <v>4901726014752</v>
          </cell>
          <cell r="Q953" t="str">
            <v>ITSUKI FOODS- Mì soumen rau củ ngũ sắc320g</v>
          </cell>
          <cell r="R953">
            <v>76000</v>
          </cell>
          <cell r="S953">
            <v>1</v>
          </cell>
          <cell r="T953">
            <v>76000</v>
          </cell>
          <cell r="U953">
            <v>0</v>
          </cell>
          <cell r="V953">
            <v>76000</v>
          </cell>
          <cell r="W953" t="str">
            <v>4901726014752</v>
          </cell>
        </row>
        <row r="954">
          <cell r="A954">
            <v>2026</v>
          </cell>
          <cell r="B954">
            <v>6</v>
          </cell>
          <cell r="C954">
            <v>46174</v>
          </cell>
          <cell r="D954" t="str">
            <v>1. SKK store</v>
          </cell>
          <cell r="E954" t="str">
            <v>S1005</v>
          </cell>
          <cell r="F954" t="str">
            <v>SKK  Thái Hà</v>
          </cell>
          <cell r="G954" t="str">
            <v>0989379639</v>
          </cell>
          <cell r="H954" t="str">
            <v>Bác Nguyễn Thị HƯỜNG</v>
          </cell>
          <cell r="I954" t="str">
            <v>Khách cũ</v>
          </cell>
          <cell r="J954" t="str">
            <v>Đơn bán</v>
          </cell>
          <cell r="K954" t="str">
            <v>SAKUKO795477</v>
          </cell>
          <cell r="L954" t="str">
            <v>THỰC PHẨM</v>
          </cell>
          <cell r="M954" t="str">
            <v>BÁNH KẸO, ĐỒ ĂN VẶT</v>
          </cell>
          <cell r="N954" t="str">
            <v>KẸO CAO SU</v>
          </cell>
          <cell r="O954" t="str">
            <v>153932</v>
          </cell>
          <cell r="P954" t="str">
            <v>4903333241651</v>
          </cell>
          <cell r="Q954" t="str">
            <v>LOTTE - Kẹo cao su black black ít đường 133g</v>
          </cell>
          <cell r="R954">
            <v>235000</v>
          </cell>
          <cell r="S954">
            <v>1</v>
          </cell>
          <cell r="T954">
            <v>235000</v>
          </cell>
          <cell r="U954">
            <v>0</v>
          </cell>
          <cell r="V954">
            <v>235000</v>
          </cell>
          <cell r="W954" t="str">
            <v>4903333241651</v>
          </cell>
        </row>
        <row r="955">
          <cell r="A955">
            <v>2026</v>
          </cell>
          <cell r="B955">
            <v>6</v>
          </cell>
          <cell r="C955">
            <v>46174</v>
          </cell>
          <cell r="D955" t="str">
            <v>1. SKK store</v>
          </cell>
          <cell r="E955" t="str">
            <v>S1006</v>
          </cell>
          <cell r="F955" t="str">
            <v>SKK Trần Đăng Ninh</v>
          </cell>
          <cell r="G955" t="str">
            <v>0913570393</v>
          </cell>
          <cell r="H955" t="str">
            <v>Chị Ngọc</v>
          </cell>
          <cell r="I955" t="str">
            <v>Khách cũ</v>
          </cell>
          <cell r="J955" t="str">
            <v>Đơn bán</v>
          </cell>
          <cell r="K955" t="str">
            <v>SAKUKO796376</v>
          </cell>
          <cell r="L955" t="str">
            <v>CHĂM SÓC SẮC ĐẸP</v>
          </cell>
          <cell r="M955" t="str">
            <v>Mỹ phẩm khác</v>
          </cell>
          <cell r="N955" t="str">
            <v>PHỤ KIỆN LÀM ĐẸP</v>
          </cell>
          <cell r="O955" t="str">
            <v>102389</v>
          </cell>
          <cell r="P955" t="str">
            <v>4969757110652</v>
          </cell>
          <cell r="Q955" t="str">
            <v>KYOWA- Gói bông tẩy trang 130 miếng</v>
          </cell>
          <cell r="R955">
            <v>49000</v>
          </cell>
          <cell r="S955">
            <v>1</v>
          </cell>
          <cell r="T955">
            <v>49000</v>
          </cell>
          <cell r="U955">
            <v>0</v>
          </cell>
          <cell r="V955">
            <v>49000</v>
          </cell>
          <cell r="W955" t="str">
            <v>4969757110652</v>
          </cell>
        </row>
        <row r="956">
          <cell r="A956">
            <v>2026</v>
          </cell>
          <cell r="B956">
            <v>6</v>
          </cell>
          <cell r="C956">
            <v>46174</v>
          </cell>
          <cell r="D956" t="str">
            <v>1. SKK store</v>
          </cell>
          <cell r="E956" t="str">
            <v>S1006</v>
          </cell>
          <cell r="F956" t="str">
            <v>SKK Trần Đăng Ninh</v>
          </cell>
          <cell r="G956" t="str">
            <v>0948741886</v>
          </cell>
          <cell r="H956" t="str">
            <v>Chị Trang</v>
          </cell>
          <cell r="I956" t="str">
            <v>Khách cũ</v>
          </cell>
          <cell r="J956" t="str">
            <v>Đơn bán</v>
          </cell>
          <cell r="K956" t="str">
            <v>SAKUKO795929</v>
          </cell>
          <cell r="L956" t="str">
            <v>CHĂM SÓC SẮC ĐẸP</v>
          </cell>
          <cell r="M956" t="str">
            <v>CHĂM SÓC DA</v>
          </cell>
          <cell r="N956" t="str">
            <v>RỬA MẶT</v>
          </cell>
          <cell r="O956" t="str">
            <v>230269</v>
          </cell>
          <cell r="P956" t="str">
            <v>4987241173242</v>
          </cell>
          <cell r="Q956" t="str">
            <v>ROHTO- SRM Melano CC mờ thâm nám (130g)</v>
          </cell>
          <cell r="R956">
            <v>294000</v>
          </cell>
          <cell r="S956">
            <v>1</v>
          </cell>
          <cell r="T956">
            <v>294000</v>
          </cell>
          <cell r="U956">
            <v>35000</v>
          </cell>
          <cell r="V956">
            <v>259000</v>
          </cell>
          <cell r="W956" t="str">
            <v>4987241173242</v>
          </cell>
        </row>
        <row r="957">
          <cell r="A957">
            <v>2026</v>
          </cell>
          <cell r="B957">
            <v>6</v>
          </cell>
          <cell r="C957">
            <v>46174</v>
          </cell>
          <cell r="D957" t="str">
            <v>1. SKK store</v>
          </cell>
          <cell r="E957" t="str">
            <v>S1006</v>
          </cell>
          <cell r="F957" t="str">
            <v>SKK Trần Đăng Ninh</v>
          </cell>
          <cell r="G957" t="str">
            <v>0976157795</v>
          </cell>
          <cell r="H957" t="str">
            <v>c phương</v>
          </cell>
          <cell r="I957" t="str">
            <v>Khách cũ</v>
          </cell>
          <cell r="J957" t="str">
            <v>Đơn bán</v>
          </cell>
          <cell r="K957" t="str">
            <v>SAKUKO795381</v>
          </cell>
          <cell r="L957" t="str">
            <v>THỰC PHẨM</v>
          </cell>
          <cell r="M957" t="str">
            <v>MỲ, MIẾN</v>
          </cell>
          <cell r="N957" t="str">
            <v>MỲ CHẾ BIẾN</v>
          </cell>
          <cell r="O957" t="str">
            <v>174948</v>
          </cell>
          <cell r="P957" t="str">
            <v>4582114354119</v>
          </cell>
          <cell r="Q957" t="str">
            <v>SANUKISHISEI- Mì soumen 300g</v>
          </cell>
          <cell r="R957">
            <v>35000</v>
          </cell>
          <cell r="S957">
            <v>2</v>
          </cell>
          <cell r="T957">
            <v>70000</v>
          </cell>
          <cell r="U957">
            <v>0</v>
          </cell>
          <cell r="V957">
            <v>70000</v>
          </cell>
          <cell r="W957" t="str">
            <v>4582114354119</v>
          </cell>
        </row>
        <row r="958">
          <cell r="A958">
            <v>2026</v>
          </cell>
          <cell r="B958">
            <v>6</v>
          </cell>
          <cell r="C958">
            <v>46174</v>
          </cell>
          <cell r="D958" t="str">
            <v>1. SKK store</v>
          </cell>
          <cell r="E958" t="str">
            <v>S1006</v>
          </cell>
          <cell r="F958" t="str">
            <v>SKK Trần Đăng Ninh</v>
          </cell>
          <cell r="G958" t="str">
            <v>0987008666</v>
          </cell>
          <cell r="H958" t="str">
            <v>Chị Vân</v>
          </cell>
          <cell r="I958" t="str">
            <v>Khách cũ</v>
          </cell>
          <cell r="J958" t="str">
            <v>Đơn bán</v>
          </cell>
          <cell r="K958" t="str">
            <v>SAKUKO795554</v>
          </cell>
          <cell r="L958" t="str">
            <v>THỰC PHẨM</v>
          </cell>
          <cell r="M958" t="str">
            <v>BÁNH KẸO, ĐỒ ĂN VẶT</v>
          </cell>
          <cell r="N958" t="str">
            <v>KẸO CAO SU</v>
          </cell>
          <cell r="O958" t="str">
            <v>231376</v>
          </cell>
          <cell r="P958" t="str">
            <v>4903333228577</v>
          </cell>
          <cell r="Q958" t="str">
            <v>LOTTE-Kẹo cao su tổng hợp 7 loại dạng lọ 133g</v>
          </cell>
          <cell r="R958">
            <v>235000</v>
          </cell>
          <cell r="S958">
            <v>1</v>
          </cell>
          <cell r="T958">
            <v>235000</v>
          </cell>
          <cell r="U958">
            <v>0</v>
          </cell>
          <cell r="V958">
            <v>235000</v>
          </cell>
          <cell r="W958" t="str">
            <v>4903333228577</v>
          </cell>
        </row>
        <row r="959">
          <cell r="A959">
            <v>2026</v>
          </cell>
          <cell r="B959">
            <v>6</v>
          </cell>
          <cell r="C959">
            <v>46174</v>
          </cell>
          <cell r="D959" t="str">
            <v>1. SKK store</v>
          </cell>
          <cell r="E959" t="str">
            <v>S1015</v>
          </cell>
          <cell r="F959" t="str">
            <v>SKK Hàm Nghi</v>
          </cell>
          <cell r="G959" t="str">
            <v>0357077133</v>
          </cell>
          <cell r="H959" t="str">
            <v>Bác Bình</v>
          </cell>
          <cell r="I959" t="str">
            <v>Khách mới</v>
          </cell>
          <cell r="J959" t="str">
            <v>Đơn bán</v>
          </cell>
          <cell r="K959" t="str">
            <v>SAKUKO795320</v>
          </cell>
          <cell r="L959" t="str">
            <v>CHĂM SÓC SẮC ĐẸP</v>
          </cell>
          <cell r="M959" t="str">
            <v>CHĂM SÓC DA</v>
          </cell>
          <cell r="N959" t="str">
            <v>KEM DƯỠNG</v>
          </cell>
          <cell r="O959" t="str">
            <v>102384</v>
          </cell>
          <cell r="P959" t="str">
            <v>4902468820014</v>
          </cell>
          <cell r="Q959" t="str">
            <v>MEISHOKU- Kem gel dưỡng ẩm phục hồi chuyên sâu 50g</v>
          </cell>
          <cell r="R959">
            <v>575000</v>
          </cell>
          <cell r="S959">
            <v>1</v>
          </cell>
          <cell r="T959">
            <v>575000</v>
          </cell>
          <cell r="U959">
            <v>0</v>
          </cell>
          <cell r="V959">
            <v>575000</v>
          </cell>
          <cell r="W959" t="str">
            <v>4902468820014</v>
          </cell>
        </row>
        <row r="960">
          <cell r="A960">
            <v>2026</v>
          </cell>
          <cell r="B960">
            <v>6</v>
          </cell>
          <cell r="C960">
            <v>46174</v>
          </cell>
          <cell r="D960" t="str">
            <v>1. SKK store</v>
          </cell>
          <cell r="E960" t="str">
            <v>S1018</v>
          </cell>
          <cell r="F960" t="str">
            <v>SKK Nguyễn Tuân</v>
          </cell>
          <cell r="G960" t="str">
            <v>0399640668</v>
          </cell>
          <cell r="H960" t="str">
            <v>Cô Xoan</v>
          </cell>
          <cell r="I960" t="str">
            <v>Khách cũ</v>
          </cell>
          <cell r="J960" t="str">
            <v>Đơn bán</v>
          </cell>
          <cell r="K960" t="str">
            <v>SAKUKO796317</v>
          </cell>
          <cell r="L960" t="str">
            <v>NHÀ CỬA ĐỜI SỐNG</v>
          </cell>
          <cell r="M960" t="str">
            <v>PHÒNG CHỐNG CÔN TRÙNG</v>
          </cell>
          <cell r="N960" t="str">
            <v>DIỆT CÔN TRÙNG</v>
          </cell>
          <cell r="O960" t="str">
            <v>134479</v>
          </cell>
          <cell r="P960" t="str">
            <v>4987115545892</v>
          </cell>
          <cell r="Q960" t="str">
            <v>KINCHO-DD làm thơm phòng và đuổi muỗi Hoa SIBERIAN</v>
          </cell>
          <cell r="R960">
            <v>239000</v>
          </cell>
          <cell r="S960">
            <v>1</v>
          </cell>
          <cell r="T960">
            <v>239000</v>
          </cell>
          <cell r="U960">
            <v>11950</v>
          </cell>
          <cell r="V960">
            <v>227050</v>
          </cell>
          <cell r="W960" t="str">
            <v>4987115545892</v>
          </cell>
        </row>
        <row r="961">
          <cell r="A961">
            <v>2026</v>
          </cell>
          <cell r="B961">
            <v>6</v>
          </cell>
          <cell r="C961">
            <v>46174</v>
          </cell>
          <cell r="D961" t="str">
            <v>1. SKK store</v>
          </cell>
          <cell r="E961" t="str">
            <v>S1025</v>
          </cell>
          <cell r="F961" t="str">
            <v>SKK T6 Time City</v>
          </cell>
          <cell r="G961" t="str">
            <v>0948279919</v>
          </cell>
          <cell r="H961" t="str">
            <v>Chị Lê Thị Minh Nguyệt</v>
          </cell>
          <cell r="I961" t="str">
            <v>Khách cũ</v>
          </cell>
          <cell r="J961" t="str">
            <v>Đơn bán</v>
          </cell>
          <cell r="K961" t="str">
            <v>SAKUKO796039</v>
          </cell>
          <cell r="L961" t="str">
            <v>THỰC PHẨM</v>
          </cell>
          <cell r="M961" t="str">
            <v>MỲ, MIẾN</v>
          </cell>
          <cell r="N961" t="str">
            <v>MỲ CHẾ BIẾN</v>
          </cell>
          <cell r="O961" t="str">
            <v>154249</v>
          </cell>
          <cell r="P961" t="str">
            <v>4517244004627</v>
          </cell>
          <cell r="Q961" t="str">
            <v>ASAHI_Mì udon khô 400g</v>
          </cell>
          <cell r="R961">
            <v>69000</v>
          </cell>
          <cell r="S961">
            <v>1</v>
          </cell>
          <cell r="T961">
            <v>69000</v>
          </cell>
          <cell r="U961">
            <v>0</v>
          </cell>
          <cell r="V961">
            <v>69000</v>
          </cell>
          <cell r="W961" t="str">
            <v>4517244004627</v>
          </cell>
        </row>
        <row r="962">
          <cell r="A962">
            <v>2026</v>
          </cell>
          <cell r="B962">
            <v>6</v>
          </cell>
          <cell r="C962">
            <v>46174</v>
          </cell>
          <cell r="D962" t="str">
            <v>1. SKK store</v>
          </cell>
          <cell r="E962" t="str">
            <v>S1025</v>
          </cell>
          <cell r="F962" t="str">
            <v>SKK T6 Time City</v>
          </cell>
          <cell r="G962" t="str">
            <v>0968873196</v>
          </cell>
          <cell r="H962" t="str">
            <v>c trang</v>
          </cell>
          <cell r="I962" t="str">
            <v>Khách cũ</v>
          </cell>
          <cell r="J962" t="str">
            <v>Đơn bán</v>
          </cell>
          <cell r="K962" t="str">
            <v>SAKUKO796046</v>
          </cell>
          <cell r="L962" t="str">
            <v>THỰC PHẨM</v>
          </cell>
          <cell r="M962" t="str">
            <v>MỲ, MIẾN</v>
          </cell>
          <cell r="N962" t="str">
            <v>MỲ CHẾ BIẾN</v>
          </cell>
          <cell r="O962" t="str">
            <v>154249</v>
          </cell>
          <cell r="P962" t="str">
            <v>4517244004627</v>
          </cell>
          <cell r="Q962" t="str">
            <v>ASAHI_Mì udon khô 400g</v>
          </cell>
          <cell r="R962">
            <v>69000</v>
          </cell>
          <cell r="S962">
            <v>1</v>
          </cell>
          <cell r="T962">
            <v>69000</v>
          </cell>
          <cell r="U962">
            <v>0</v>
          </cell>
          <cell r="V962">
            <v>69000</v>
          </cell>
          <cell r="W962" t="str">
            <v>4517244004627</v>
          </cell>
        </row>
        <row r="963">
          <cell r="A963">
            <v>2026</v>
          </cell>
          <cell r="B963">
            <v>6</v>
          </cell>
          <cell r="C963">
            <v>46174</v>
          </cell>
          <cell r="D963" t="str">
            <v>1. SKK store</v>
          </cell>
          <cell r="E963" t="str">
            <v>S1025</v>
          </cell>
          <cell r="F963" t="str">
            <v>SKK T6 Time City</v>
          </cell>
          <cell r="G963" t="str">
            <v>0981881399</v>
          </cell>
          <cell r="H963" t="str">
            <v>c phuong</v>
          </cell>
          <cell r="I963" t="str">
            <v>Khách cũ</v>
          </cell>
          <cell r="J963" t="str">
            <v>Đơn bán</v>
          </cell>
          <cell r="K963" t="str">
            <v>SAKUKO796362</v>
          </cell>
          <cell r="L963" t="str">
            <v>THỰC PHẨM</v>
          </cell>
          <cell r="M963" t="str">
            <v>MỲ, MIẾN</v>
          </cell>
          <cell r="N963" t="str">
            <v>MỲ CHẾ BIẾN</v>
          </cell>
          <cell r="O963" t="str">
            <v>174948</v>
          </cell>
          <cell r="P963" t="str">
            <v>4582114354119</v>
          </cell>
          <cell r="Q963" t="str">
            <v>SANUKISHISEI- Mì soumen 300g</v>
          </cell>
          <cell r="R963">
            <v>35000</v>
          </cell>
          <cell r="S963">
            <v>2</v>
          </cell>
          <cell r="T963">
            <v>70000</v>
          </cell>
          <cell r="U963">
            <v>0</v>
          </cell>
          <cell r="V963">
            <v>70000</v>
          </cell>
          <cell r="W963" t="str">
            <v>4582114354119</v>
          </cell>
        </row>
        <row r="964">
          <cell r="A964">
            <v>2026</v>
          </cell>
          <cell r="B964">
            <v>5</v>
          </cell>
          <cell r="C964">
            <v>46173</v>
          </cell>
          <cell r="D964" t="str">
            <v>1. SKK store</v>
          </cell>
          <cell r="E964" t="str">
            <v>S1004</v>
          </cell>
          <cell r="F964" t="str">
            <v>SKK  Mandarin C1</v>
          </cell>
          <cell r="G964" t="str">
            <v>0946584879</v>
          </cell>
          <cell r="H964" t="str">
            <v>CHI THủy</v>
          </cell>
          <cell r="I964" t="str">
            <v>Khách cũ</v>
          </cell>
          <cell r="J964" t="str">
            <v>Đơn bán</v>
          </cell>
          <cell r="K964" t="str">
            <v>SAKUKO794100</v>
          </cell>
          <cell r="L964" t="str">
            <v>ĐỒ CHO MẸ BÉ</v>
          </cell>
          <cell r="M964" t="str">
            <v>CHĂM SÓC CƠ THỂ BÉ</v>
          </cell>
          <cell r="N964" t="str">
            <v>THỰC PHẨM CHỨC NĂNG CHO BÉ</v>
          </cell>
          <cell r="O964" t="str">
            <v>121669</v>
          </cell>
          <cell r="P964" t="str">
            <v>8436036591915</v>
          </cell>
          <cell r="Q964" t="str">
            <v>NEO KIDS-TPBVSK Omega 3 DHA 150ml</v>
          </cell>
          <cell r="R964">
            <v>275000</v>
          </cell>
          <cell r="S964">
            <v>1</v>
          </cell>
          <cell r="T964">
            <v>275000</v>
          </cell>
          <cell r="U964">
            <v>0</v>
          </cell>
          <cell r="V964">
            <v>275000</v>
          </cell>
          <cell r="W964" t="str">
            <v>8436036591915</v>
          </cell>
        </row>
        <row r="965">
          <cell r="A965">
            <v>2026</v>
          </cell>
          <cell r="B965">
            <v>5</v>
          </cell>
          <cell r="C965">
            <v>46173</v>
          </cell>
          <cell r="D965" t="str">
            <v>1. SKK store</v>
          </cell>
          <cell r="E965" t="str">
            <v>S1004</v>
          </cell>
          <cell r="F965" t="str">
            <v>SKK  Mandarin C1</v>
          </cell>
          <cell r="G965" t="str">
            <v>0965628628</v>
          </cell>
          <cell r="H965" t="str">
            <v>Chi Lan Anh</v>
          </cell>
          <cell r="I965" t="str">
            <v>Khách cũ</v>
          </cell>
          <cell r="J965" t="str">
            <v>Đơn bán</v>
          </cell>
          <cell r="K965" t="str">
            <v>SAKUKO794440</v>
          </cell>
          <cell r="L965" t="str">
            <v>CHĂM SÓC SẮC ĐẸP</v>
          </cell>
          <cell r="M965" t="str">
            <v>CHĂM SÓC DA</v>
          </cell>
          <cell r="N965" t="str">
            <v>CHĂM SÓC DA KHÁC</v>
          </cell>
          <cell r="O965" t="str">
            <v>102388</v>
          </cell>
          <cell r="P965" t="str">
            <v>8935006542914</v>
          </cell>
          <cell r="Q965" t="str">
            <v>HADA LABO- Bộ sản phẩm dưỡng trắng (travel kit)47g</v>
          </cell>
          <cell r="R965">
            <v>135000</v>
          </cell>
          <cell r="S965">
            <v>1</v>
          </cell>
          <cell r="T965">
            <v>135000</v>
          </cell>
          <cell r="U965">
            <v>0</v>
          </cell>
          <cell r="V965">
            <v>135000</v>
          </cell>
          <cell r="W965" t="str">
            <v>8935006542914</v>
          </cell>
        </row>
        <row r="966">
          <cell r="A966">
            <v>2026</v>
          </cell>
          <cell r="B966">
            <v>5</v>
          </cell>
          <cell r="C966">
            <v>46173</v>
          </cell>
          <cell r="D966" t="str">
            <v>1. SKK store</v>
          </cell>
          <cell r="E966" t="str">
            <v>S1004</v>
          </cell>
          <cell r="F966" t="str">
            <v>SKK  Mandarin C1</v>
          </cell>
          <cell r="G966" t="str">
            <v>0982511365</v>
          </cell>
          <cell r="H966" t="str">
            <v>Cô Phương</v>
          </cell>
          <cell r="I966" t="str">
            <v>Khách cũ</v>
          </cell>
          <cell r="J966" t="str">
            <v>Đơn bán</v>
          </cell>
          <cell r="K966" t="str">
            <v>SAKUKO795294</v>
          </cell>
          <cell r="L966" t="str">
            <v>CHĂM SÓC SẮC ĐẸP</v>
          </cell>
          <cell r="M966" t="str">
            <v>Mỹ phẩm khác</v>
          </cell>
          <cell r="N966" t="str">
            <v>PHỤ KIỆN LÀM ĐẸP</v>
          </cell>
          <cell r="O966" t="str">
            <v>102389</v>
          </cell>
          <cell r="P966" t="str">
            <v>4969757110652</v>
          </cell>
          <cell r="Q966" t="str">
            <v>KYOWA- Gói bông tẩy trang 130 miếng</v>
          </cell>
          <cell r="R966">
            <v>49000</v>
          </cell>
          <cell r="S966">
            <v>1</v>
          </cell>
          <cell r="T966">
            <v>49000</v>
          </cell>
          <cell r="U966">
            <v>0</v>
          </cell>
          <cell r="V966">
            <v>49000</v>
          </cell>
          <cell r="W966" t="str">
            <v>4969757110652</v>
          </cell>
        </row>
        <row r="967">
          <cell r="A967">
            <v>2026</v>
          </cell>
          <cell r="B967">
            <v>5</v>
          </cell>
          <cell r="C967">
            <v>46173</v>
          </cell>
          <cell r="D967" t="str">
            <v>1. SKK store</v>
          </cell>
          <cell r="E967" t="str">
            <v>S1005</v>
          </cell>
          <cell r="F967" t="str">
            <v>SKK  Thái Hà</v>
          </cell>
          <cell r="G967" t="str">
            <v>0904813102</v>
          </cell>
          <cell r="H967" t="str">
            <v>Doãn Thị Mây</v>
          </cell>
          <cell r="I967" t="str">
            <v>Khách cũ</v>
          </cell>
          <cell r="J967" t="str">
            <v>Đơn bán</v>
          </cell>
          <cell r="K967" t="str">
            <v>SAKUKO795169</v>
          </cell>
          <cell r="L967" t="str">
            <v>NHÀ CỬA ĐỜI SỐNG</v>
          </cell>
          <cell r="M967" t="str">
            <v>ĐỒ DÙNG SINH HOẠT GIA ĐÌNH</v>
          </cell>
          <cell r="N967" t="str">
            <v>VẬT DỤNG SINH HOẠT KHÁC</v>
          </cell>
          <cell r="O967" t="str">
            <v>135039</v>
          </cell>
          <cell r="P967" t="str">
            <v>4968988074993</v>
          </cell>
          <cell r="Q967" t="str">
            <v>OMAICHI- Set 2 lọ chiết mỹ phẩm 40ml kèm hộp đựng</v>
          </cell>
          <cell r="R967">
            <v>52000</v>
          </cell>
          <cell r="S967">
            <v>2</v>
          </cell>
          <cell r="T967">
            <v>104000</v>
          </cell>
          <cell r="U967">
            <v>0</v>
          </cell>
          <cell r="V967">
            <v>104000</v>
          </cell>
          <cell r="W967" t="str">
            <v>4968988074993</v>
          </cell>
        </row>
        <row r="968">
          <cell r="A968">
            <v>2026</v>
          </cell>
          <cell r="B968">
            <v>5</v>
          </cell>
          <cell r="C968">
            <v>46173</v>
          </cell>
          <cell r="D968" t="str">
            <v>1. SKK store</v>
          </cell>
          <cell r="E968" t="str">
            <v>S1006</v>
          </cell>
          <cell r="F968" t="str">
            <v>SKK Trần Đăng Ninh</v>
          </cell>
          <cell r="G968" t="str">
            <v>0904873107</v>
          </cell>
          <cell r="H968" t="str">
            <v>A Huy</v>
          </cell>
          <cell r="I968" t="str">
            <v>Khách cũ</v>
          </cell>
          <cell r="J968" t="str">
            <v>Đơn bán</v>
          </cell>
          <cell r="K968" t="str">
            <v>SAKUKO795233</v>
          </cell>
          <cell r="L968" t="str">
            <v>CHĂM SÓC SẮC ĐẸP</v>
          </cell>
          <cell r="M968" t="str">
            <v>CHĂM SÓC DA</v>
          </cell>
          <cell r="N968" t="str">
            <v>RỬA MẶT</v>
          </cell>
          <cell r="O968" t="str">
            <v>102421</v>
          </cell>
          <cell r="P968" t="str">
            <v>4902468819032</v>
          </cell>
          <cell r="Q968" t="str">
            <v>MEISHOU- Sữa rửa mặt làm sạch thuần chay 100g</v>
          </cell>
          <cell r="R968">
            <v>295000</v>
          </cell>
          <cell r="S968">
            <v>1</v>
          </cell>
          <cell r="T968">
            <v>295000</v>
          </cell>
          <cell r="U968">
            <v>0</v>
          </cell>
          <cell r="V968">
            <v>295000</v>
          </cell>
          <cell r="W968" t="str">
            <v>4902468819032</v>
          </cell>
        </row>
        <row r="969">
          <cell r="A969">
            <v>2026</v>
          </cell>
          <cell r="B969">
            <v>5</v>
          </cell>
          <cell r="C969">
            <v>46173</v>
          </cell>
          <cell r="D969" t="str">
            <v>1. SKK store</v>
          </cell>
          <cell r="E969" t="str">
            <v>S1006</v>
          </cell>
          <cell r="F969" t="str">
            <v>SKK Trần Đăng Ninh</v>
          </cell>
          <cell r="G969" t="str">
            <v>0984559550</v>
          </cell>
          <cell r="H969" t="str">
            <v>Chị Xuân</v>
          </cell>
          <cell r="I969" t="str">
            <v>Khách cũ</v>
          </cell>
          <cell r="J969" t="str">
            <v>Đơn bán</v>
          </cell>
          <cell r="K969" t="str">
            <v>SAKUKO794414</v>
          </cell>
          <cell r="L969" t="str">
            <v>ĐỒ CHO MẸ BÉ</v>
          </cell>
          <cell r="M969" t="str">
            <v>GIẤY ƯỚT</v>
          </cell>
          <cell r="N969" t="str">
            <v>GIẤY ƯỚT CHO BÉ</v>
          </cell>
          <cell r="O969" t="str">
            <v>121665</v>
          </cell>
          <cell r="P969" t="str">
            <v>8934755035289</v>
          </cell>
          <cell r="Q969" t="str">
            <v>BOBBY- Khăn ướt em bé không mùi 100 miếng</v>
          </cell>
          <cell r="R969">
            <v>46000</v>
          </cell>
          <cell r="S969">
            <v>1</v>
          </cell>
          <cell r="T969">
            <v>46000</v>
          </cell>
          <cell r="U969">
            <v>0</v>
          </cell>
          <cell r="V969">
            <v>46000</v>
          </cell>
          <cell r="W969" t="str">
            <v>8934755035289</v>
          </cell>
        </row>
        <row r="970">
          <cell r="A970">
            <v>2026</v>
          </cell>
          <cell r="B970">
            <v>5</v>
          </cell>
          <cell r="C970">
            <v>46173</v>
          </cell>
          <cell r="D970" t="str">
            <v>1. SKK store</v>
          </cell>
          <cell r="E970" t="str">
            <v>S1006</v>
          </cell>
          <cell r="F970" t="str">
            <v>SKK Trần Đăng Ninh</v>
          </cell>
          <cell r="G970" t="str">
            <v>0986219669</v>
          </cell>
          <cell r="H970" t="str">
            <v>C Vân Anh</v>
          </cell>
          <cell r="I970" t="str">
            <v>Khách cũ</v>
          </cell>
          <cell r="J970" t="str">
            <v>Đơn bán</v>
          </cell>
          <cell r="K970" t="str">
            <v>SAKUKO794935</v>
          </cell>
          <cell r="L970" t="str">
            <v>CHĂM SÓC SẮC ĐẸP</v>
          </cell>
          <cell r="M970" t="str">
            <v>CHĂM SÓC DA</v>
          </cell>
          <cell r="N970" t="str">
            <v>KEM DƯỠNG</v>
          </cell>
          <cell r="O970" t="str">
            <v>102420</v>
          </cell>
          <cell r="P970" t="str">
            <v>4902468820007</v>
          </cell>
          <cell r="Q970" t="str">
            <v>MEISHOKU- Tinh chất dưỡng ẩm chuyên sâu 30ml</v>
          </cell>
          <cell r="R970">
            <v>555000</v>
          </cell>
          <cell r="S970">
            <v>1</v>
          </cell>
          <cell r="T970">
            <v>555000</v>
          </cell>
          <cell r="U970">
            <v>0</v>
          </cell>
          <cell r="V970">
            <v>555000</v>
          </cell>
          <cell r="W970" t="str">
            <v>4902468820007</v>
          </cell>
        </row>
        <row r="971">
          <cell r="A971">
            <v>2026</v>
          </cell>
          <cell r="B971">
            <v>5</v>
          </cell>
          <cell r="C971">
            <v>46173</v>
          </cell>
          <cell r="D971" t="str">
            <v>1. SKK store</v>
          </cell>
          <cell r="E971" t="str">
            <v>S1006</v>
          </cell>
          <cell r="F971" t="str">
            <v>SKK Trần Đăng Ninh</v>
          </cell>
          <cell r="G971" t="str">
            <v>0986219669</v>
          </cell>
          <cell r="H971" t="str">
            <v>C Vân Anh</v>
          </cell>
          <cell r="I971" t="str">
            <v>Khách cũ</v>
          </cell>
          <cell r="J971" t="str">
            <v>Đơn bán</v>
          </cell>
          <cell r="K971" t="str">
            <v>SAKUKO794935</v>
          </cell>
          <cell r="L971" t="str">
            <v>CHĂM SÓC SẮC ĐẸP</v>
          </cell>
          <cell r="M971" t="str">
            <v>CHĂM SÓC DA</v>
          </cell>
          <cell r="N971" t="str">
            <v>RỬA MẶT</v>
          </cell>
          <cell r="O971" t="str">
            <v>102412</v>
          </cell>
          <cell r="P971" t="str">
            <v>4902468802126</v>
          </cell>
          <cell r="Q971" t="str">
            <v>MEISHOKU- SRM ngăn ngừa mụn Bigan 80g</v>
          </cell>
          <cell r="R971">
            <v>255000</v>
          </cell>
          <cell r="S971">
            <v>1</v>
          </cell>
          <cell r="T971">
            <v>255000</v>
          </cell>
          <cell r="U971">
            <v>0</v>
          </cell>
          <cell r="V971">
            <v>255000</v>
          </cell>
          <cell r="W971" t="str">
            <v>4902468802126</v>
          </cell>
        </row>
        <row r="972">
          <cell r="A972">
            <v>2026</v>
          </cell>
          <cell r="B972">
            <v>5</v>
          </cell>
          <cell r="C972">
            <v>46173</v>
          </cell>
          <cell r="D972" t="str">
            <v>1. SKK store</v>
          </cell>
          <cell r="E972" t="str">
            <v>S1006</v>
          </cell>
          <cell r="F972" t="str">
            <v>SKK Trần Đăng Ninh</v>
          </cell>
          <cell r="G972" t="str">
            <v>0989769483</v>
          </cell>
          <cell r="H972" t="str">
            <v>c thảo</v>
          </cell>
          <cell r="I972" t="str">
            <v>Khách cũ</v>
          </cell>
          <cell r="J972" t="str">
            <v>Đơn bán</v>
          </cell>
          <cell r="K972" t="str">
            <v>SAKUKO794379</v>
          </cell>
          <cell r="L972" t="str">
            <v>THỰC PHẨM</v>
          </cell>
          <cell r="M972" t="str">
            <v>MỲ, MIẾN</v>
          </cell>
          <cell r="N972" t="str">
            <v>MỲ CHẾ BIẾN</v>
          </cell>
          <cell r="O972" t="str">
            <v>175435</v>
          </cell>
          <cell r="P972" t="str">
            <v>4901726014752</v>
          </cell>
          <cell r="Q972" t="str">
            <v>ITSUKI FOODS- Mì soumen rau củ ngũ sắc320g</v>
          </cell>
          <cell r="R972">
            <v>76000</v>
          </cell>
          <cell r="S972">
            <v>1</v>
          </cell>
          <cell r="T972">
            <v>76000</v>
          </cell>
          <cell r="U972">
            <v>0</v>
          </cell>
          <cell r="V972">
            <v>76000</v>
          </cell>
          <cell r="W972" t="str">
            <v>4901726014752</v>
          </cell>
        </row>
        <row r="973">
          <cell r="A973">
            <v>2026</v>
          </cell>
          <cell r="B973">
            <v>5</v>
          </cell>
          <cell r="C973">
            <v>46173</v>
          </cell>
          <cell r="D973" t="str">
            <v>1. SKK store</v>
          </cell>
          <cell r="E973" t="str">
            <v>S1007</v>
          </cell>
          <cell r="F973" t="str">
            <v>SKK  Nguyễn Du</v>
          </cell>
          <cell r="G973" t="str">
            <v>0904144664</v>
          </cell>
          <cell r="H973" t="str">
            <v>Chị</v>
          </cell>
          <cell r="I973" t="str">
            <v>Khách mới</v>
          </cell>
          <cell r="J973" t="str">
            <v>Đơn bán</v>
          </cell>
          <cell r="K973" t="str">
            <v>SAKUKO795028</v>
          </cell>
          <cell r="L973" t="str">
            <v>THỰC PHẨM</v>
          </cell>
          <cell r="M973" t="str">
            <v>BÁNH KẸO, ĐỒ ĂN VẶT</v>
          </cell>
          <cell r="N973" t="str">
            <v>KẸO CAO SU</v>
          </cell>
          <cell r="O973" t="str">
            <v>231377</v>
          </cell>
          <cell r="P973" t="str">
            <v>4903333200375</v>
          </cell>
          <cell r="Q973" t="str">
            <v>LOTTE-Kẹo cao su tổng hợp dạng lọ 114g</v>
          </cell>
          <cell r="R973">
            <v>235000</v>
          </cell>
          <cell r="S973">
            <v>1</v>
          </cell>
          <cell r="T973">
            <v>235000</v>
          </cell>
          <cell r="U973">
            <v>0</v>
          </cell>
          <cell r="V973">
            <v>235000</v>
          </cell>
          <cell r="W973" t="str">
            <v>4903333200375</v>
          </cell>
        </row>
        <row r="974">
          <cell r="A974">
            <v>2026</v>
          </cell>
          <cell r="B974">
            <v>5</v>
          </cell>
          <cell r="C974">
            <v>46173</v>
          </cell>
          <cell r="D974" t="str">
            <v>1. SKK store</v>
          </cell>
          <cell r="E974" t="str">
            <v>S1007</v>
          </cell>
          <cell r="F974" t="str">
            <v>SKK  Nguyễn Du</v>
          </cell>
          <cell r="G974" t="str">
            <v>0917996789</v>
          </cell>
          <cell r="H974" t="str">
            <v>chị trần thị ngọc liên</v>
          </cell>
          <cell r="I974" t="str">
            <v>Khách cũ</v>
          </cell>
          <cell r="J974" t="str">
            <v>Đơn bán</v>
          </cell>
          <cell r="K974" t="str">
            <v>SAKUKO794825</v>
          </cell>
          <cell r="L974" t="str">
            <v>NHÀ CỬA ĐỜI SỐNG</v>
          </cell>
          <cell r="M974" t="str">
            <v>ĐỒ DÙNG SINH HOẠT GIA ĐÌNH</v>
          </cell>
          <cell r="N974" t="str">
            <v>VẬT DỤNG SINH HOẠT KHÁC</v>
          </cell>
          <cell r="O974" t="str">
            <v>135039</v>
          </cell>
          <cell r="P974" t="str">
            <v>4968988074993</v>
          </cell>
          <cell r="Q974" t="str">
            <v>OMAICHI- Set 2 lọ chiết mỹ phẩm 40ml kèm hộp đựng</v>
          </cell>
          <cell r="R974">
            <v>52000</v>
          </cell>
          <cell r="S974">
            <v>1</v>
          </cell>
          <cell r="T974">
            <v>52000</v>
          </cell>
          <cell r="U974">
            <v>0</v>
          </cell>
          <cell r="V974">
            <v>52000</v>
          </cell>
          <cell r="W974" t="str">
            <v>4968988074993</v>
          </cell>
        </row>
        <row r="975">
          <cell r="A975">
            <v>2026</v>
          </cell>
          <cell r="B975">
            <v>5</v>
          </cell>
          <cell r="C975">
            <v>46173</v>
          </cell>
          <cell r="D975" t="str">
            <v>1. SKK store</v>
          </cell>
          <cell r="E975" t="str">
            <v>S1008</v>
          </cell>
          <cell r="F975" t="str">
            <v>SKK  Hàng Bông</v>
          </cell>
          <cell r="G975" t="str">
            <v>0913559381</v>
          </cell>
          <cell r="H975" t="str">
            <v>Chị Trang</v>
          </cell>
          <cell r="I975" t="str">
            <v>Khách cũ</v>
          </cell>
          <cell r="J975" t="str">
            <v>Đơn bán</v>
          </cell>
          <cell r="K975" t="str">
            <v>SAKUKO794085</v>
          </cell>
          <cell r="L975" t="str">
            <v>ĐỒ CHO MẸ BÉ</v>
          </cell>
          <cell r="M975" t="str">
            <v>GIẤY ƯỚT</v>
          </cell>
          <cell r="N975" t="str">
            <v>GIẤY ƯỚT CHO BÉ</v>
          </cell>
          <cell r="O975" t="str">
            <v>121663</v>
          </cell>
          <cell r="P975" t="str">
            <v>8934755035197</v>
          </cell>
          <cell r="Q975" t="str">
            <v>FRESSI- Khăn ướt Care For All 100 miếng</v>
          </cell>
          <cell r="R975">
            <v>49000</v>
          </cell>
          <cell r="S975">
            <v>1</v>
          </cell>
          <cell r="T975">
            <v>49000</v>
          </cell>
          <cell r="U975">
            <v>0</v>
          </cell>
          <cell r="V975">
            <v>49000</v>
          </cell>
          <cell r="W975" t="str">
            <v>8934755035197</v>
          </cell>
        </row>
        <row r="976">
          <cell r="A976">
            <v>2026</v>
          </cell>
          <cell r="B976">
            <v>5</v>
          </cell>
          <cell r="C976">
            <v>46173</v>
          </cell>
          <cell r="D976" t="str">
            <v>1. SKK store</v>
          </cell>
          <cell r="E976" t="str">
            <v>S1008</v>
          </cell>
          <cell r="F976" t="str">
            <v>SKK  Hàng Bông</v>
          </cell>
          <cell r="G976" t="str">
            <v>0977488899</v>
          </cell>
          <cell r="H976" t="str">
            <v>Cô Thu Hà</v>
          </cell>
          <cell r="I976" t="str">
            <v>Khách cũ</v>
          </cell>
          <cell r="J976" t="str">
            <v>Đơn bán</v>
          </cell>
          <cell r="K976" t="str">
            <v>SAKUKO794390</v>
          </cell>
          <cell r="L976" t="str">
            <v>THỰC PHẨM</v>
          </cell>
          <cell r="M976" t="str">
            <v>BÁNH KẸO, ĐỒ ĂN VẶT</v>
          </cell>
          <cell r="N976" t="str">
            <v>KẸO CAO SU</v>
          </cell>
          <cell r="O976" t="str">
            <v>231377</v>
          </cell>
          <cell r="P976" t="str">
            <v>4903333200375</v>
          </cell>
          <cell r="Q976" t="str">
            <v>LOTTE-Kẹo cao su tổng hợp dạng lọ 114g</v>
          </cell>
          <cell r="R976">
            <v>235000</v>
          </cell>
          <cell r="S976">
            <v>1</v>
          </cell>
          <cell r="T976">
            <v>235000</v>
          </cell>
          <cell r="U976">
            <v>0</v>
          </cell>
          <cell r="V976">
            <v>235000</v>
          </cell>
          <cell r="W976" t="str">
            <v>4903333200375</v>
          </cell>
        </row>
        <row r="977">
          <cell r="A977">
            <v>2026</v>
          </cell>
          <cell r="B977">
            <v>5</v>
          </cell>
          <cell r="C977">
            <v>46173</v>
          </cell>
          <cell r="D977" t="str">
            <v>1. SKK store</v>
          </cell>
          <cell r="E977" t="str">
            <v>S1015</v>
          </cell>
          <cell r="F977" t="str">
            <v>SKK Hàm Nghi</v>
          </cell>
          <cell r="G977" t="str">
            <v>0902891979</v>
          </cell>
          <cell r="H977" t="str">
            <v>Anh Phương</v>
          </cell>
          <cell r="I977" t="str">
            <v>Khách mới</v>
          </cell>
          <cell r="J977" t="str">
            <v>Đơn bán</v>
          </cell>
          <cell r="K977" t="str">
            <v>SAKUKO794110</v>
          </cell>
          <cell r="L977" t="str">
            <v>ĐỒ CHO MẸ BÉ</v>
          </cell>
          <cell r="M977" t="str">
            <v>GIẤY ƯỚT</v>
          </cell>
          <cell r="N977" t="str">
            <v>GIẤY ƯỚT CHO BÉ</v>
          </cell>
          <cell r="O977" t="str">
            <v>121677</v>
          </cell>
          <cell r="P977" t="str">
            <v>8801260608836</v>
          </cell>
          <cell r="Q977" t="str">
            <v>KLEANNARA- Khăn ướt 5 tinh chất (có nắp) 100 tờ</v>
          </cell>
          <cell r="R977">
            <v>52000</v>
          </cell>
          <cell r="S977">
            <v>2</v>
          </cell>
          <cell r="T977">
            <v>104000</v>
          </cell>
          <cell r="U977">
            <v>0</v>
          </cell>
          <cell r="V977">
            <v>104000</v>
          </cell>
          <cell r="W977" t="str">
            <v>8801260608836</v>
          </cell>
        </row>
        <row r="978">
          <cell r="A978">
            <v>2026</v>
          </cell>
          <cell r="B978">
            <v>5</v>
          </cell>
          <cell r="C978">
            <v>46173</v>
          </cell>
          <cell r="D978" t="str">
            <v>1. SKK store</v>
          </cell>
          <cell r="E978" t="str">
            <v>S1015</v>
          </cell>
          <cell r="F978" t="str">
            <v>SKK Hàm Nghi</v>
          </cell>
          <cell r="G978" t="str">
            <v>0982161822</v>
          </cell>
          <cell r="H978" t="str">
            <v>c.ngân</v>
          </cell>
          <cell r="I978" t="str">
            <v>Khách cũ</v>
          </cell>
          <cell r="J978" t="str">
            <v>Đơn bán</v>
          </cell>
          <cell r="K978" t="str">
            <v>SAKUKO795177</v>
          </cell>
          <cell r="L978" t="str">
            <v>CHĂM SÓC SẮC ĐẸP</v>
          </cell>
          <cell r="M978" t="str">
            <v>CHĂM SÓC CƠ THỂ</v>
          </cell>
          <cell r="N978" t="str">
            <v>CHỐNG NẮNG</v>
          </cell>
          <cell r="O978" t="str">
            <v>102417</v>
          </cell>
          <cell r="P978" t="str">
            <v>4902468816093</v>
          </cell>
          <cell r="Q978" t="str">
            <v>MEISHOKU- Kem chống nắng C Vita 100g</v>
          </cell>
          <cell r="R978">
            <v>535000</v>
          </cell>
          <cell r="S978">
            <v>1</v>
          </cell>
          <cell r="T978">
            <v>535000</v>
          </cell>
          <cell r="U978">
            <v>0</v>
          </cell>
          <cell r="V978">
            <v>535000</v>
          </cell>
          <cell r="W978" t="str">
            <v>4902468816093</v>
          </cell>
        </row>
        <row r="979">
          <cell r="A979">
            <v>2026</v>
          </cell>
          <cell r="B979">
            <v>5</v>
          </cell>
          <cell r="C979">
            <v>46173</v>
          </cell>
          <cell r="D979" t="str">
            <v>1. SKK store</v>
          </cell>
          <cell r="E979" t="str">
            <v>S1015</v>
          </cell>
          <cell r="F979" t="str">
            <v>SKK Hàm Nghi</v>
          </cell>
          <cell r="G979" t="str">
            <v>0982161822</v>
          </cell>
          <cell r="H979" t="str">
            <v>c.ngân</v>
          </cell>
          <cell r="I979" t="str">
            <v>Khách cũ</v>
          </cell>
          <cell r="J979" t="str">
            <v>Đơn bán</v>
          </cell>
          <cell r="K979" t="str">
            <v>SAKUKO795177</v>
          </cell>
          <cell r="L979" t="str">
            <v>CHĂM SÓC SẮC ĐẸP</v>
          </cell>
          <cell r="M979" t="str">
            <v>CHĂM SÓC DA</v>
          </cell>
          <cell r="N979" t="str">
            <v>KEM DƯỠNG</v>
          </cell>
          <cell r="O979" t="str">
            <v>102416</v>
          </cell>
          <cell r="P979" t="str">
            <v>4902468816017</v>
          </cell>
          <cell r="Q979" t="str">
            <v>MEISHOKU- Kem dưỡng trắng mịn Cvita 45g</v>
          </cell>
          <cell r="R979">
            <v>455000</v>
          </cell>
          <cell r="S979">
            <v>1</v>
          </cell>
          <cell r="T979">
            <v>455000</v>
          </cell>
          <cell r="U979">
            <v>0</v>
          </cell>
          <cell r="V979">
            <v>455000</v>
          </cell>
          <cell r="W979" t="str">
            <v>4902468816017</v>
          </cell>
        </row>
        <row r="980">
          <cell r="A980">
            <v>2026</v>
          </cell>
          <cell r="B980">
            <v>5</v>
          </cell>
          <cell r="C980">
            <v>46173</v>
          </cell>
          <cell r="D980" t="str">
            <v>1. SKK store</v>
          </cell>
          <cell r="E980" t="str">
            <v>S1015</v>
          </cell>
          <cell r="F980" t="str">
            <v>SKK Hàm Nghi</v>
          </cell>
          <cell r="G980" t="str">
            <v>0982161822</v>
          </cell>
          <cell r="H980" t="str">
            <v>c.ngân</v>
          </cell>
          <cell r="I980" t="str">
            <v>Khách cũ</v>
          </cell>
          <cell r="J980" t="str">
            <v>Đơn bán</v>
          </cell>
          <cell r="K980" t="str">
            <v>SAKUKO795177</v>
          </cell>
          <cell r="L980" t="str">
            <v>CHĂM SÓC SẮC ĐẸP</v>
          </cell>
          <cell r="M980" t="str">
            <v>CHĂM SÓC DA</v>
          </cell>
          <cell r="N980" t="str">
            <v>NƯỚC HOA HỒNG</v>
          </cell>
          <cell r="O980" t="str">
            <v>102414</v>
          </cell>
          <cell r="P980" t="str">
            <v>4902468816000</v>
          </cell>
          <cell r="Q980" t="str">
            <v>MEISHOKU- Nước hoa hồng dưỡng trắng Cvita 150ml</v>
          </cell>
          <cell r="R980">
            <v>455000</v>
          </cell>
          <cell r="S980">
            <v>1</v>
          </cell>
          <cell r="T980">
            <v>455000</v>
          </cell>
          <cell r="U980">
            <v>0</v>
          </cell>
          <cell r="V980">
            <v>455000</v>
          </cell>
          <cell r="W980" t="str">
            <v>4902468816000</v>
          </cell>
        </row>
        <row r="981">
          <cell r="A981">
            <v>2026</v>
          </cell>
          <cell r="B981">
            <v>5</v>
          </cell>
          <cell r="C981">
            <v>46173</v>
          </cell>
          <cell r="D981" t="str">
            <v>1. SKK store</v>
          </cell>
          <cell r="E981" t="str">
            <v>S1015</v>
          </cell>
          <cell r="F981" t="str">
            <v>SKK Hàm Nghi</v>
          </cell>
          <cell r="G981" t="str">
            <v>0982161822</v>
          </cell>
          <cell r="H981" t="str">
            <v>c.ngân</v>
          </cell>
          <cell r="I981" t="str">
            <v>Khách cũ</v>
          </cell>
          <cell r="J981" t="str">
            <v>Đơn bán</v>
          </cell>
          <cell r="K981" t="str">
            <v>SAKUKO795177</v>
          </cell>
          <cell r="L981" t="str">
            <v>CHĂM SÓC SẮC ĐẸP</v>
          </cell>
          <cell r="M981" t="str">
            <v>CHĂM SÓC DA</v>
          </cell>
          <cell r="N981" t="str">
            <v>RỬA MẶT</v>
          </cell>
          <cell r="O981" t="str">
            <v>102386</v>
          </cell>
          <cell r="P981" t="str">
            <v>4902468816062</v>
          </cell>
          <cell r="Q981" t="str">
            <v>MEISHOKU- Sữa rửa mặt sáng da Cvita 100g</v>
          </cell>
          <cell r="R981">
            <v>290000</v>
          </cell>
          <cell r="S981">
            <v>1</v>
          </cell>
          <cell r="T981">
            <v>290000</v>
          </cell>
          <cell r="U981">
            <v>0</v>
          </cell>
          <cell r="V981">
            <v>290000</v>
          </cell>
          <cell r="W981" t="str">
            <v>4902468816062</v>
          </cell>
        </row>
        <row r="982">
          <cell r="A982">
            <v>2026</v>
          </cell>
          <cell r="B982">
            <v>5</v>
          </cell>
          <cell r="C982">
            <v>46173</v>
          </cell>
          <cell r="D982" t="str">
            <v>1. SKK store</v>
          </cell>
          <cell r="E982" t="str">
            <v>S1015</v>
          </cell>
          <cell r="F982" t="str">
            <v>SKK Hàm Nghi</v>
          </cell>
          <cell r="G982" t="str">
            <v>0986369556</v>
          </cell>
          <cell r="H982" t="str">
            <v>cHỊ LIỄU</v>
          </cell>
          <cell r="I982" t="str">
            <v>Khách cũ</v>
          </cell>
          <cell r="J982" t="str">
            <v>Đơn bán</v>
          </cell>
          <cell r="K982" t="str">
            <v>SAKUKO795275</v>
          </cell>
          <cell r="L982" t="str">
            <v>CHĂM SÓC SẮC ĐẸP</v>
          </cell>
          <cell r="M982" t="str">
            <v>CHĂM SÓC DA</v>
          </cell>
          <cell r="N982" t="str">
            <v>RỬA MẶT</v>
          </cell>
          <cell r="O982" t="str">
            <v>230269</v>
          </cell>
          <cell r="P982" t="str">
            <v>4987241173242</v>
          </cell>
          <cell r="Q982" t="str">
            <v>ROHTO- SRM Melano CC mờ thâm nám (130g)</v>
          </cell>
          <cell r="R982">
            <v>294000</v>
          </cell>
          <cell r="S982">
            <v>1</v>
          </cell>
          <cell r="T982">
            <v>294000</v>
          </cell>
          <cell r="U982">
            <v>0</v>
          </cell>
          <cell r="V982">
            <v>294000</v>
          </cell>
          <cell r="W982" t="str">
            <v>4987241173242</v>
          </cell>
        </row>
        <row r="983">
          <cell r="A983">
            <v>2026</v>
          </cell>
          <cell r="B983">
            <v>5</v>
          </cell>
          <cell r="C983">
            <v>46173</v>
          </cell>
          <cell r="D983" t="str">
            <v>1. SKK store</v>
          </cell>
          <cell r="E983" t="str">
            <v>S1015</v>
          </cell>
          <cell r="F983" t="str">
            <v>SKK Hàm Nghi</v>
          </cell>
          <cell r="G983" t="str">
            <v>0986369556</v>
          </cell>
          <cell r="H983" t="str">
            <v>cHỊ LIỄU</v>
          </cell>
          <cell r="I983" t="str">
            <v>Khách cũ</v>
          </cell>
          <cell r="J983" t="str">
            <v>Đơn bán</v>
          </cell>
          <cell r="K983" t="str">
            <v>SAKUKO795275</v>
          </cell>
          <cell r="L983" t="str">
            <v>NHÀ CỬA ĐỜI SỐNG</v>
          </cell>
          <cell r="M983" t="str">
            <v>KHĂN</v>
          </cell>
          <cell r="N983" t="str">
            <v>KHĂN MẶT</v>
          </cell>
          <cell r="O983" t="str">
            <v>102390</v>
          </cell>
          <cell r="P983" t="str">
            <v>4906327905980</v>
          </cell>
          <cell r="Q983" t="str">
            <v>KOMODA - Khăn mặt khô dùng 1 lần 46m 20x20cm</v>
          </cell>
          <cell r="R983">
            <v>52000</v>
          </cell>
          <cell r="S983">
            <v>2</v>
          </cell>
          <cell r="T983">
            <v>104000</v>
          </cell>
          <cell r="U983">
            <v>0</v>
          </cell>
          <cell r="V983">
            <v>104000</v>
          </cell>
          <cell r="W983" t="str">
            <v>4906327905980</v>
          </cell>
        </row>
        <row r="984">
          <cell r="A984">
            <v>2026</v>
          </cell>
          <cell r="B984">
            <v>5</v>
          </cell>
          <cell r="C984">
            <v>46173</v>
          </cell>
          <cell r="D984" t="str">
            <v>1. SKK store</v>
          </cell>
          <cell r="E984" t="str">
            <v>S1018</v>
          </cell>
          <cell r="F984" t="str">
            <v>SKK Nguyễn Tuân</v>
          </cell>
          <cell r="G984" t="str">
            <v>0392968888</v>
          </cell>
          <cell r="H984" t="str">
            <v>Chị Hợp</v>
          </cell>
          <cell r="I984" t="str">
            <v>Khách mới</v>
          </cell>
          <cell r="J984" t="str">
            <v>Đơn bán</v>
          </cell>
          <cell r="K984" t="str">
            <v>SAKUKO794999</v>
          </cell>
          <cell r="L984" t="str">
            <v>ĐỒ CHO MẸ BÉ</v>
          </cell>
          <cell r="M984" t="str">
            <v>GIẤY ƯỚT</v>
          </cell>
          <cell r="N984" t="str">
            <v>GIẤY ƯỚT CHO BÉ</v>
          </cell>
          <cell r="O984" t="str">
            <v>121662</v>
          </cell>
          <cell r="P984" t="str">
            <v>8934755035036</v>
          </cell>
          <cell r="Q984" t="str">
            <v>FRESSI- Khăn ướt Care For All 20 miếng</v>
          </cell>
          <cell r="R984">
            <v>14000</v>
          </cell>
          <cell r="S984">
            <v>1</v>
          </cell>
          <cell r="T984">
            <v>14000</v>
          </cell>
          <cell r="U984">
            <v>0</v>
          </cell>
          <cell r="V984">
            <v>14000</v>
          </cell>
          <cell r="W984" t="str">
            <v>8934755035036</v>
          </cell>
        </row>
        <row r="985">
          <cell r="A985">
            <v>2026</v>
          </cell>
          <cell r="B985">
            <v>5</v>
          </cell>
          <cell r="C985">
            <v>46172</v>
          </cell>
          <cell r="D985" t="str">
            <v>1. SKK store</v>
          </cell>
          <cell r="E985" t="str">
            <v>S1004</v>
          </cell>
          <cell r="F985" t="str">
            <v>SKK  Mandarin C1</v>
          </cell>
          <cell r="G985" t="str">
            <v>0989205144</v>
          </cell>
          <cell r="H985" t="str">
            <v>Chị Thúy</v>
          </cell>
          <cell r="I985" t="str">
            <v>Khách cũ</v>
          </cell>
          <cell r="J985" t="str">
            <v>Đơn bán</v>
          </cell>
          <cell r="K985" t="str">
            <v>SAKUKO793429</v>
          </cell>
          <cell r="L985" t="str">
            <v>ĐỒ CHO MẸ BÉ</v>
          </cell>
          <cell r="M985" t="str">
            <v>GIẤY ƯỚT</v>
          </cell>
          <cell r="N985" t="str">
            <v>GIẤY ƯỚT CHO BÉ</v>
          </cell>
          <cell r="O985" t="str">
            <v>121662</v>
          </cell>
          <cell r="P985" t="str">
            <v>8934755035036</v>
          </cell>
          <cell r="Q985" t="str">
            <v>FRESSI- Khăn ướt Care For All 20 miếng</v>
          </cell>
          <cell r="R985">
            <v>14000</v>
          </cell>
          <cell r="S985">
            <v>2</v>
          </cell>
          <cell r="T985">
            <v>28000</v>
          </cell>
          <cell r="U985">
            <v>0</v>
          </cell>
          <cell r="V985">
            <v>28000</v>
          </cell>
          <cell r="W985" t="str">
            <v>8934755035036</v>
          </cell>
        </row>
        <row r="986">
          <cell r="A986">
            <v>2026</v>
          </cell>
          <cell r="B986">
            <v>5</v>
          </cell>
          <cell r="C986">
            <v>46172</v>
          </cell>
          <cell r="D986" t="str">
            <v>1. SKK store</v>
          </cell>
          <cell r="E986" t="str">
            <v>S1005</v>
          </cell>
          <cell r="F986" t="str">
            <v>SKK  Thái Hà</v>
          </cell>
          <cell r="G986" t="str">
            <v>0969857546</v>
          </cell>
          <cell r="H986" t="str">
            <v>Vân</v>
          </cell>
          <cell r="I986" t="str">
            <v>Khách cũ</v>
          </cell>
          <cell r="J986" t="str">
            <v>Đơn bán</v>
          </cell>
          <cell r="K986" t="str">
            <v>SAKUKO793693</v>
          </cell>
          <cell r="L986" t="str">
            <v>ĐỒ CHO MẸ BÉ</v>
          </cell>
          <cell r="M986" t="str">
            <v>GIẤY ƯỚT</v>
          </cell>
          <cell r="N986" t="str">
            <v>GIẤY ƯỚT CHO BÉ</v>
          </cell>
          <cell r="O986" t="str">
            <v>121662</v>
          </cell>
          <cell r="P986" t="str">
            <v>8934755035036</v>
          </cell>
          <cell r="Q986" t="str">
            <v>FRESSI- Khăn ướt Care For All 20 miếng</v>
          </cell>
          <cell r="R986">
            <v>14000</v>
          </cell>
          <cell r="S986">
            <v>1</v>
          </cell>
          <cell r="T986">
            <v>14000</v>
          </cell>
          <cell r="U986">
            <v>0</v>
          </cell>
          <cell r="V986">
            <v>14000</v>
          </cell>
          <cell r="W986" t="str">
            <v>8934755035036</v>
          </cell>
        </row>
        <row r="987">
          <cell r="A987">
            <v>2026</v>
          </cell>
          <cell r="B987">
            <v>5</v>
          </cell>
          <cell r="C987">
            <v>46172</v>
          </cell>
          <cell r="D987" t="str">
            <v>1. SKK store</v>
          </cell>
          <cell r="E987" t="str">
            <v>S1006</v>
          </cell>
          <cell r="F987" t="str">
            <v>SKK Trần Đăng Ninh</v>
          </cell>
          <cell r="G987" t="str">
            <v>0903210096</v>
          </cell>
          <cell r="H987" t="str">
            <v>cô Oanh</v>
          </cell>
          <cell r="I987" t="str">
            <v>Khách cũ</v>
          </cell>
          <cell r="J987" t="str">
            <v>Đơn bán</v>
          </cell>
          <cell r="K987" t="str">
            <v>SAKUKO793797</v>
          </cell>
          <cell r="L987" t="str">
            <v>NHÀ CỬA ĐỜI SỐNG</v>
          </cell>
          <cell r="M987" t="str">
            <v>KHĂN</v>
          </cell>
          <cell r="N987" t="str">
            <v>KHĂN MẶT</v>
          </cell>
          <cell r="O987" t="str">
            <v>102390</v>
          </cell>
          <cell r="P987" t="str">
            <v>4906327905980</v>
          </cell>
          <cell r="Q987" t="str">
            <v>KOMODA - Khăn mặt khô dùng 1 lần 46m 20x20cm</v>
          </cell>
          <cell r="R987">
            <v>52000</v>
          </cell>
          <cell r="S987">
            <v>1</v>
          </cell>
          <cell r="T987">
            <v>52000</v>
          </cell>
          <cell r="U987">
            <v>0</v>
          </cell>
          <cell r="V987">
            <v>52000</v>
          </cell>
          <cell r="W987" t="str">
            <v>4906327905980</v>
          </cell>
        </row>
        <row r="988">
          <cell r="A988">
            <v>2026</v>
          </cell>
          <cell r="B988">
            <v>5</v>
          </cell>
          <cell r="C988">
            <v>46172</v>
          </cell>
          <cell r="D988" t="str">
            <v>1. SKK store</v>
          </cell>
          <cell r="E988" t="str">
            <v>S1006</v>
          </cell>
          <cell r="F988" t="str">
            <v>SKK Trần Đăng Ninh</v>
          </cell>
          <cell r="G988" t="str">
            <v>0932275568</v>
          </cell>
          <cell r="H988" t="str">
            <v>Anh Nghĩa</v>
          </cell>
          <cell r="I988" t="str">
            <v>Khách cũ</v>
          </cell>
          <cell r="J988" t="str">
            <v>Đơn bán</v>
          </cell>
          <cell r="K988" t="str">
            <v>SAKUKO793064</v>
          </cell>
          <cell r="L988" t="str">
            <v>THỰC PHẨM</v>
          </cell>
          <cell r="M988" t="str">
            <v>BÁNH KẸO, ĐỒ ĂN VẶT</v>
          </cell>
          <cell r="N988" t="str">
            <v>KẸO CAO SU</v>
          </cell>
          <cell r="O988" t="str">
            <v>231376</v>
          </cell>
          <cell r="P988" t="str">
            <v>4903333228577</v>
          </cell>
          <cell r="Q988" t="str">
            <v>LOTTE-Kẹo cao su tổng hợp 7 loại dạng lọ 133g</v>
          </cell>
          <cell r="R988">
            <v>235000</v>
          </cell>
          <cell r="S988">
            <v>1</v>
          </cell>
          <cell r="T988">
            <v>235000</v>
          </cell>
          <cell r="U988">
            <v>0</v>
          </cell>
          <cell r="V988">
            <v>235000</v>
          </cell>
          <cell r="W988" t="str">
            <v>4903333228577</v>
          </cell>
        </row>
        <row r="989">
          <cell r="A989">
            <v>2026</v>
          </cell>
          <cell r="B989">
            <v>5</v>
          </cell>
          <cell r="C989">
            <v>46172</v>
          </cell>
          <cell r="D989" t="str">
            <v>1. SKK store</v>
          </cell>
          <cell r="E989" t="str">
            <v>S1006</v>
          </cell>
          <cell r="F989" t="str">
            <v>SKK Trần Đăng Ninh</v>
          </cell>
          <cell r="G989" t="str">
            <v>0976376844</v>
          </cell>
          <cell r="H989" t="str">
            <v>Lê Thanh Vân</v>
          </cell>
          <cell r="I989" t="str">
            <v>Khách cũ</v>
          </cell>
          <cell r="J989" t="str">
            <v>Đơn bán</v>
          </cell>
          <cell r="K989" t="str">
            <v>SAKUKO793286</v>
          </cell>
          <cell r="L989" t="str">
            <v>CHĂM SÓC SẮC ĐẸP</v>
          </cell>
          <cell r="M989" t="str">
            <v>CHĂM SÓC DA</v>
          </cell>
          <cell r="N989" t="str">
            <v>RỬA MẶT</v>
          </cell>
          <cell r="O989" t="str">
            <v>102421</v>
          </cell>
          <cell r="P989" t="str">
            <v>4902468819032</v>
          </cell>
          <cell r="Q989" t="str">
            <v>MEISHOU- Sữa rửa mặt làm sạch thuần chay 100g</v>
          </cell>
          <cell r="R989">
            <v>295000</v>
          </cell>
          <cell r="S989">
            <v>1</v>
          </cell>
          <cell r="T989">
            <v>295000</v>
          </cell>
          <cell r="U989">
            <v>0</v>
          </cell>
          <cell r="V989">
            <v>295000</v>
          </cell>
          <cell r="W989" t="str">
            <v>4902468819032</v>
          </cell>
        </row>
        <row r="990">
          <cell r="A990">
            <v>2026</v>
          </cell>
          <cell r="B990">
            <v>5</v>
          </cell>
          <cell r="C990">
            <v>46172</v>
          </cell>
          <cell r="D990" t="str">
            <v>1. SKK store</v>
          </cell>
          <cell r="E990" t="str">
            <v>S1006</v>
          </cell>
          <cell r="F990" t="str">
            <v>SKK Trần Đăng Ninh</v>
          </cell>
          <cell r="G990" t="str">
            <v>0979845282</v>
          </cell>
          <cell r="H990" t="str">
            <v>C Linh</v>
          </cell>
          <cell r="I990" t="str">
            <v>Khách cũ</v>
          </cell>
          <cell r="J990" t="str">
            <v>Đơn bán</v>
          </cell>
          <cell r="K990" t="str">
            <v>SAKUKO793424</v>
          </cell>
          <cell r="L990" t="str">
            <v>THỰC PHẨM</v>
          </cell>
          <cell r="M990" t="str">
            <v>BÁNH KẸO, ĐỒ ĂN VẶT</v>
          </cell>
          <cell r="N990" t="str">
            <v>KẸO CAO SU</v>
          </cell>
          <cell r="O990" t="str">
            <v>231377</v>
          </cell>
          <cell r="P990" t="str">
            <v>4903333200375</v>
          </cell>
          <cell r="Q990" t="str">
            <v>LOTTE-Kẹo cao su tổng hợp dạng lọ 114g</v>
          </cell>
          <cell r="R990">
            <v>235000</v>
          </cell>
          <cell r="S990">
            <v>1</v>
          </cell>
          <cell r="T990">
            <v>235000</v>
          </cell>
          <cell r="U990">
            <v>0</v>
          </cell>
          <cell r="V990">
            <v>235000</v>
          </cell>
          <cell r="W990" t="str">
            <v>4903333200375</v>
          </cell>
        </row>
        <row r="991">
          <cell r="A991">
            <v>2026</v>
          </cell>
          <cell r="B991">
            <v>5</v>
          </cell>
          <cell r="C991">
            <v>46172</v>
          </cell>
          <cell r="D991" t="str">
            <v>1. SKK store</v>
          </cell>
          <cell r="E991" t="str">
            <v>S1006</v>
          </cell>
          <cell r="F991" t="str">
            <v>SKK Trần Đăng Ninh</v>
          </cell>
          <cell r="G991" t="str">
            <v>0982091492</v>
          </cell>
          <cell r="H991" t="str">
            <v>CHỊ QUỲNH</v>
          </cell>
          <cell r="I991" t="str">
            <v>Khách mới</v>
          </cell>
          <cell r="J991" t="str">
            <v>Đơn bán</v>
          </cell>
          <cell r="K991" t="str">
            <v>SAKUKO793914</v>
          </cell>
          <cell r="L991" t="str">
            <v>CHĂM SÓC SẮC ĐẸP</v>
          </cell>
          <cell r="M991" t="str">
            <v>Mỹ phẩm khác</v>
          </cell>
          <cell r="N991" t="str">
            <v>PHỤ KIỆN LÀM ĐẸP</v>
          </cell>
          <cell r="O991" t="str">
            <v>102389</v>
          </cell>
          <cell r="P991" t="str">
            <v>4969757110652</v>
          </cell>
          <cell r="Q991" t="str">
            <v>KYOWA- Gói bông tẩy trang 130 miếng</v>
          </cell>
          <cell r="R991">
            <v>49000</v>
          </cell>
          <cell r="S991">
            <v>1</v>
          </cell>
          <cell r="T991">
            <v>49000</v>
          </cell>
          <cell r="U991">
            <v>0</v>
          </cell>
          <cell r="V991">
            <v>49000</v>
          </cell>
          <cell r="W991" t="str">
            <v>4969757110652</v>
          </cell>
        </row>
        <row r="992">
          <cell r="A992">
            <v>2026</v>
          </cell>
          <cell r="B992">
            <v>5</v>
          </cell>
          <cell r="C992">
            <v>46172</v>
          </cell>
          <cell r="D992" t="str">
            <v>1. SKK store</v>
          </cell>
          <cell r="E992" t="str">
            <v>S1008</v>
          </cell>
          <cell r="F992" t="str">
            <v>SKK  Hàng Bông</v>
          </cell>
          <cell r="G992" t="str">
            <v>0916671400</v>
          </cell>
          <cell r="H992" t="str">
            <v>CHỊ THỦY</v>
          </cell>
          <cell r="I992" t="str">
            <v>Khách cũ</v>
          </cell>
          <cell r="J992" t="str">
            <v>Đơn bán</v>
          </cell>
          <cell r="K992" t="str">
            <v>SAKUKO793863</v>
          </cell>
          <cell r="L992" t="str">
            <v>ĐỒ CHO MẸ BÉ</v>
          </cell>
          <cell r="M992" t="str">
            <v>GIẤY ƯỚT</v>
          </cell>
          <cell r="N992" t="str">
            <v>GIẤY ƯỚT CHO BÉ</v>
          </cell>
          <cell r="O992" t="str">
            <v>121662</v>
          </cell>
          <cell r="P992" t="str">
            <v>8934755035036</v>
          </cell>
          <cell r="Q992" t="str">
            <v>FRESSI- Khăn ướt Care For All 20 miếng</v>
          </cell>
          <cell r="R992">
            <v>14000</v>
          </cell>
          <cell r="S992">
            <v>1</v>
          </cell>
          <cell r="T992">
            <v>14000</v>
          </cell>
          <cell r="U992">
            <v>0</v>
          </cell>
          <cell r="V992">
            <v>14000</v>
          </cell>
          <cell r="W992" t="str">
            <v>8934755035036</v>
          </cell>
        </row>
        <row r="993">
          <cell r="A993">
            <v>2026</v>
          </cell>
          <cell r="B993">
            <v>5</v>
          </cell>
          <cell r="C993">
            <v>46172</v>
          </cell>
          <cell r="D993" t="str">
            <v>1. SKK store</v>
          </cell>
          <cell r="E993" t="str">
            <v>S1008</v>
          </cell>
          <cell r="F993" t="str">
            <v>SKK  Hàng Bông</v>
          </cell>
          <cell r="G993" t="str">
            <v>0982298899</v>
          </cell>
          <cell r="H993" t="str">
            <v>Chú Cường</v>
          </cell>
          <cell r="I993" t="str">
            <v>Khách cũ</v>
          </cell>
          <cell r="J993" t="str">
            <v>Đơn bán</v>
          </cell>
          <cell r="K993" t="str">
            <v>SAKUKO792982</v>
          </cell>
          <cell r="L993" t="str">
            <v>NHÀ CỬA ĐỜI SỐNG</v>
          </cell>
          <cell r="M993" t="str">
            <v>KHĂN</v>
          </cell>
          <cell r="N993" t="str">
            <v>KHĂN MẶT</v>
          </cell>
          <cell r="O993" t="str">
            <v>102390</v>
          </cell>
          <cell r="P993" t="str">
            <v>4906327905980</v>
          </cell>
          <cell r="Q993" t="str">
            <v>KOMODA - Khăn mặt khô dùng 1 lần 46m 20x20cm</v>
          </cell>
          <cell r="R993">
            <v>52000</v>
          </cell>
          <cell r="S993">
            <v>1</v>
          </cell>
          <cell r="T993">
            <v>52000</v>
          </cell>
          <cell r="U993">
            <v>0</v>
          </cell>
          <cell r="V993">
            <v>52000</v>
          </cell>
          <cell r="W993" t="str">
            <v>4906327905980</v>
          </cell>
        </row>
        <row r="994">
          <cell r="A994">
            <v>2026</v>
          </cell>
          <cell r="B994">
            <v>5</v>
          </cell>
          <cell r="C994">
            <v>46172</v>
          </cell>
          <cell r="D994" t="str">
            <v>1. SKK store</v>
          </cell>
          <cell r="E994" t="str">
            <v>S1025</v>
          </cell>
          <cell r="F994" t="str">
            <v>SKK T6 Time City</v>
          </cell>
          <cell r="G994" t="str">
            <v>0903438889</v>
          </cell>
          <cell r="H994" t="str">
            <v>Chị Phạm Thị Lan Phương</v>
          </cell>
          <cell r="I994" t="str">
            <v>Khách cũ</v>
          </cell>
          <cell r="J994" t="str">
            <v>Đơn bán</v>
          </cell>
          <cell r="K994" t="str">
            <v>SAKUKO793296</v>
          </cell>
          <cell r="L994" t="str">
            <v>ĐỒ CHO MẸ BÉ</v>
          </cell>
          <cell r="M994" t="str">
            <v>GIẤY ƯỚT</v>
          </cell>
          <cell r="N994" t="str">
            <v>GIẤY ƯỚT CHO BÉ</v>
          </cell>
          <cell r="O994" t="str">
            <v>121662</v>
          </cell>
          <cell r="P994" t="str">
            <v>8934755035036</v>
          </cell>
          <cell r="Q994" t="str">
            <v>FRESSI- Khăn ướt Care For All 20 miếng</v>
          </cell>
          <cell r="R994">
            <v>14000</v>
          </cell>
          <cell r="S994">
            <v>1</v>
          </cell>
          <cell r="T994">
            <v>14000</v>
          </cell>
          <cell r="U994">
            <v>0</v>
          </cell>
          <cell r="V994">
            <v>14000</v>
          </cell>
          <cell r="W994" t="str">
            <v>8934755035036</v>
          </cell>
        </row>
        <row r="995">
          <cell r="A995">
            <v>2026</v>
          </cell>
          <cell r="B995">
            <v>5</v>
          </cell>
          <cell r="C995">
            <v>46172</v>
          </cell>
          <cell r="D995" t="str">
            <v>1. SKK store</v>
          </cell>
          <cell r="E995" t="str">
            <v>S1025</v>
          </cell>
          <cell r="F995" t="str">
            <v>SKK T6 Time City</v>
          </cell>
          <cell r="G995" t="str">
            <v>0912956768</v>
          </cell>
          <cell r="H995" t="str">
            <v>Anh Ngô Thanh Hùng</v>
          </cell>
          <cell r="I995" t="str">
            <v>Khách cũ</v>
          </cell>
          <cell r="J995" t="str">
            <v>Đơn bán</v>
          </cell>
          <cell r="K995" t="str">
            <v>SAKUKO793565</v>
          </cell>
          <cell r="L995" t="str">
            <v>NHÀ CỬA ĐỜI SỐNG</v>
          </cell>
          <cell r="M995" t="str">
            <v>ĐỒ DÙNG SINH HOẠT GIA ĐÌNH</v>
          </cell>
          <cell r="N995" t="str">
            <v>VẬT DỤNG SINH HOẠT KHÁC</v>
          </cell>
          <cell r="O995" t="str">
            <v>135039</v>
          </cell>
          <cell r="P995" t="str">
            <v>4968988074993</v>
          </cell>
          <cell r="Q995" t="str">
            <v>OMAICHI- Set 2 lọ chiết mỹ phẩm 40ml kèm hộp đựng</v>
          </cell>
          <cell r="R995">
            <v>52000</v>
          </cell>
          <cell r="S995">
            <v>2</v>
          </cell>
          <cell r="T995">
            <v>104000</v>
          </cell>
          <cell r="U995">
            <v>0</v>
          </cell>
          <cell r="V995">
            <v>104000</v>
          </cell>
          <cell r="W995" t="str">
            <v>4968988074993</v>
          </cell>
        </row>
        <row r="996">
          <cell r="A996">
            <v>2026</v>
          </cell>
          <cell r="B996">
            <v>5</v>
          </cell>
          <cell r="C996">
            <v>46171</v>
          </cell>
          <cell r="D996" t="str">
            <v>1. SKK store</v>
          </cell>
          <cell r="E996" t="str">
            <v>S1004</v>
          </cell>
          <cell r="F996" t="str">
            <v>SKK  Mandarin C1</v>
          </cell>
          <cell r="G996" t="str">
            <v>0382871688</v>
          </cell>
          <cell r="H996" t="str">
            <v>Cô Luyện</v>
          </cell>
          <cell r="I996" t="str">
            <v>Khách cũ</v>
          </cell>
          <cell r="J996" t="str">
            <v>Đơn bán</v>
          </cell>
          <cell r="K996" t="str">
            <v>SAKUKO792119</v>
          </cell>
          <cell r="L996" t="str">
            <v>ĐỒ CHO MẸ BÉ</v>
          </cell>
          <cell r="M996" t="str">
            <v>GIẤY ƯỚT</v>
          </cell>
          <cell r="N996" t="str">
            <v>GIẤY ƯỚT CHO BÉ</v>
          </cell>
          <cell r="O996" t="str">
            <v>121665</v>
          </cell>
          <cell r="P996" t="str">
            <v>8934755035289</v>
          </cell>
          <cell r="Q996" t="str">
            <v>BOBBY- Khăn ướt em bé không mùi 100 miếng</v>
          </cell>
          <cell r="R996">
            <v>46000</v>
          </cell>
          <cell r="S996">
            <v>1</v>
          </cell>
          <cell r="T996">
            <v>46000</v>
          </cell>
          <cell r="U996">
            <v>0</v>
          </cell>
          <cell r="V996">
            <v>46000</v>
          </cell>
          <cell r="W996" t="str">
            <v>8934755035289</v>
          </cell>
        </row>
        <row r="997">
          <cell r="A997">
            <v>2026</v>
          </cell>
          <cell r="B997">
            <v>5</v>
          </cell>
          <cell r="C997">
            <v>46171</v>
          </cell>
          <cell r="D997" t="str">
            <v>1. SKK store</v>
          </cell>
          <cell r="E997" t="str">
            <v>S1004</v>
          </cell>
          <cell r="F997" t="str">
            <v>SKK  Mandarin C1</v>
          </cell>
          <cell r="G997" t="str">
            <v>0966254999</v>
          </cell>
          <cell r="H997" t="str">
            <v>Nguyen Thi Thùy</v>
          </cell>
          <cell r="I997" t="str">
            <v>Khách cũ</v>
          </cell>
          <cell r="J997" t="str">
            <v>Đơn bán</v>
          </cell>
          <cell r="K997" t="str">
            <v>SAKUKO792766</v>
          </cell>
          <cell r="L997" t="str">
            <v>ĐỒ CHO MẸ BÉ</v>
          </cell>
          <cell r="M997" t="str">
            <v>GIẤY ƯỚT</v>
          </cell>
          <cell r="N997" t="str">
            <v>GIẤY ƯỚT CHO BÉ</v>
          </cell>
          <cell r="O997" t="str">
            <v>121677</v>
          </cell>
          <cell r="P997" t="str">
            <v>8801260608836</v>
          </cell>
          <cell r="Q997" t="str">
            <v>KLEANNARA- Khăn ướt 5 tinh chất (có nắp) 100 tờ</v>
          </cell>
          <cell r="R997">
            <v>52000</v>
          </cell>
          <cell r="S997">
            <v>1</v>
          </cell>
          <cell r="T997">
            <v>52000</v>
          </cell>
          <cell r="U997">
            <v>0</v>
          </cell>
          <cell r="V997">
            <v>52000</v>
          </cell>
          <cell r="W997" t="str">
            <v>8801260608836</v>
          </cell>
        </row>
        <row r="998">
          <cell r="A998">
            <v>2026</v>
          </cell>
          <cell r="B998">
            <v>5</v>
          </cell>
          <cell r="C998">
            <v>46171</v>
          </cell>
          <cell r="D998" t="str">
            <v>1. SKK store</v>
          </cell>
          <cell r="E998" t="str">
            <v>S1005</v>
          </cell>
          <cell r="F998" t="str">
            <v>SKK  Thái Hà</v>
          </cell>
          <cell r="G998" t="str">
            <v>0944953577</v>
          </cell>
          <cell r="H998" t="str">
            <v>Chị Dương Minh Nguyệt</v>
          </cell>
          <cell r="I998" t="str">
            <v>Khách mới</v>
          </cell>
          <cell r="J998" t="str">
            <v>Đơn bán</v>
          </cell>
          <cell r="K998" t="str">
            <v>SAKUKO791746</v>
          </cell>
          <cell r="L998" t="str">
            <v>CHĂM SÓC SẮC ĐẸP</v>
          </cell>
          <cell r="M998" t="str">
            <v>Mỹ phẩm khác</v>
          </cell>
          <cell r="N998" t="str">
            <v>PHỤ KIỆN LÀM ĐẸP</v>
          </cell>
          <cell r="O998" t="str">
            <v>102389</v>
          </cell>
          <cell r="P998" t="str">
            <v>4969757110652</v>
          </cell>
          <cell r="Q998" t="str">
            <v>KYOWA- Gói bông tẩy trang 130 miếng</v>
          </cell>
          <cell r="R998">
            <v>49000</v>
          </cell>
          <cell r="S998">
            <v>1</v>
          </cell>
          <cell r="T998">
            <v>49000</v>
          </cell>
          <cell r="U998">
            <v>0</v>
          </cell>
          <cell r="V998">
            <v>49000</v>
          </cell>
          <cell r="W998" t="str">
            <v>4969757110652</v>
          </cell>
        </row>
        <row r="999">
          <cell r="A999">
            <v>2026</v>
          </cell>
          <cell r="B999">
            <v>5</v>
          </cell>
          <cell r="C999">
            <v>46171</v>
          </cell>
          <cell r="D999" t="str">
            <v>1. SKK store</v>
          </cell>
          <cell r="E999" t="str">
            <v>S1005</v>
          </cell>
          <cell r="F999" t="str">
            <v>SKK  Thái Hà</v>
          </cell>
          <cell r="G999" t="str">
            <v>0967450622</v>
          </cell>
          <cell r="H999" t="str">
            <v>Anh Giang</v>
          </cell>
          <cell r="I999" t="str">
            <v>Khách cũ</v>
          </cell>
          <cell r="J999" t="str">
            <v>Đơn bán</v>
          </cell>
          <cell r="K999" t="str">
            <v>SAKUKO792673</v>
          </cell>
          <cell r="L999" t="str">
            <v>THỰC PHẨM</v>
          </cell>
          <cell r="M999" t="str">
            <v>MỲ, MIẾN</v>
          </cell>
          <cell r="N999" t="str">
            <v>MỲ CHẾ BIẾN</v>
          </cell>
          <cell r="O999" t="str">
            <v>154249</v>
          </cell>
          <cell r="P999" t="str">
            <v>4517244004627</v>
          </cell>
          <cell r="Q999" t="str">
            <v>ASAHI_Mì udon khô 400g</v>
          </cell>
          <cell r="R999">
            <v>69000</v>
          </cell>
          <cell r="S999">
            <v>1</v>
          </cell>
          <cell r="T999">
            <v>69000</v>
          </cell>
          <cell r="U999">
            <v>0</v>
          </cell>
          <cell r="V999">
            <v>69000</v>
          </cell>
          <cell r="W999" t="str">
            <v>4517244004627</v>
          </cell>
        </row>
        <row r="1000">
          <cell r="A1000">
            <v>2026</v>
          </cell>
          <cell r="B1000">
            <v>5</v>
          </cell>
          <cell r="C1000">
            <v>46171</v>
          </cell>
          <cell r="D1000" t="str">
            <v>1. SKK store</v>
          </cell>
          <cell r="E1000" t="str">
            <v>S1006</v>
          </cell>
          <cell r="F1000" t="str">
            <v>SKK Trần Đăng Ninh</v>
          </cell>
          <cell r="G1000" t="str">
            <v>0912899339</v>
          </cell>
          <cell r="H1000" t="str">
            <v>Chị Trang</v>
          </cell>
          <cell r="I1000" t="str">
            <v>Khách cũ</v>
          </cell>
          <cell r="J1000" t="str">
            <v>Đơn bán</v>
          </cell>
          <cell r="K1000" t="str">
            <v>SAKUKO792058</v>
          </cell>
          <cell r="L1000" t="str">
            <v>ĐỒ CHO MẸ BÉ</v>
          </cell>
          <cell r="M1000" t="str">
            <v>GIẤY ƯỚT</v>
          </cell>
          <cell r="N1000" t="str">
            <v>GIẤY ƯỚT CHO BÉ</v>
          </cell>
          <cell r="O1000" t="str">
            <v>121665</v>
          </cell>
          <cell r="P1000" t="str">
            <v>8934755035289</v>
          </cell>
          <cell r="Q1000" t="str">
            <v>BOBBY- Khăn ướt em bé không mùi 100 miếng</v>
          </cell>
          <cell r="R1000">
            <v>46000</v>
          </cell>
          <cell r="S1000">
            <v>2</v>
          </cell>
          <cell r="T1000">
            <v>92000</v>
          </cell>
          <cell r="U1000">
            <v>0</v>
          </cell>
          <cell r="V1000">
            <v>92000</v>
          </cell>
          <cell r="W1000" t="str">
            <v>8934755035289</v>
          </cell>
        </row>
        <row r="1001">
          <cell r="A1001">
            <v>2026</v>
          </cell>
          <cell r="B1001">
            <v>5</v>
          </cell>
          <cell r="C1001">
            <v>46171</v>
          </cell>
          <cell r="D1001" t="str">
            <v>1. SKK store</v>
          </cell>
          <cell r="E1001" t="str">
            <v>S1006</v>
          </cell>
          <cell r="F1001" t="str">
            <v>SKK Trần Đăng Ninh</v>
          </cell>
          <cell r="G1001" t="str">
            <v>0913008718</v>
          </cell>
          <cell r="H1001" t="str">
            <v>Anh Mai Quốc Long</v>
          </cell>
          <cell r="I1001" t="str">
            <v>Khách cũ</v>
          </cell>
          <cell r="J1001" t="str">
            <v>Đơn bán</v>
          </cell>
          <cell r="K1001" t="str">
            <v>SAKUKO791760</v>
          </cell>
          <cell r="L1001" t="str">
            <v>CHĂM SÓC SẮC ĐẸP</v>
          </cell>
          <cell r="M1001" t="str">
            <v>Mỹ phẩm khác</v>
          </cell>
          <cell r="N1001" t="str">
            <v>PHỤ KIỆN LÀM ĐẸP</v>
          </cell>
          <cell r="O1001" t="str">
            <v>102389</v>
          </cell>
          <cell r="P1001" t="str">
            <v>4969757110652</v>
          </cell>
          <cell r="Q1001" t="str">
            <v>KYOWA- Gói bông tẩy trang 130 miếng</v>
          </cell>
          <cell r="R1001">
            <v>49000</v>
          </cell>
          <cell r="S1001">
            <v>1</v>
          </cell>
          <cell r="T1001">
            <v>49000</v>
          </cell>
          <cell r="U1001">
            <v>0</v>
          </cell>
          <cell r="V1001">
            <v>49000</v>
          </cell>
          <cell r="W1001" t="str">
            <v>4969757110652</v>
          </cell>
        </row>
        <row r="1002">
          <cell r="A1002">
            <v>2026</v>
          </cell>
          <cell r="B1002">
            <v>5</v>
          </cell>
          <cell r="C1002">
            <v>46171</v>
          </cell>
          <cell r="D1002" t="str">
            <v>1. SKK store</v>
          </cell>
          <cell r="E1002" t="str">
            <v>S1006</v>
          </cell>
          <cell r="F1002" t="str">
            <v>SKK Trần Đăng Ninh</v>
          </cell>
          <cell r="G1002" t="str">
            <v>0913570928</v>
          </cell>
          <cell r="H1002" t="str">
            <v>Chị Nguyễn Thị Thanh Thủy</v>
          </cell>
          <cell r="I1002" t="str">
            <v>Khách cũ</v>
          </cell>
          <cell r="J1002" t="str">
            <v>Đơn bán</v>
          </cell>
          <cell r="K1002" t="str">
            <v>SAKUKO791785</v>
          </cell>
          <cell r="L1002" t="str">
            <v>CHĂM SÓC SẮC ĐẸP</v>
          </cell>
          <cell r="M1002" t="str">
            <v>CHĂM SÓC DA</v>
          </cell>
          <cell r="N1002" t="str">
            <v>CHĂM SÓC DA KHÁC</v>
          </cell>
          <cell r="O1002" t="str">
            <v>102388</v>
          </cell>
          <cell r="P1002" t="str">
            <v>8935006542914</v>
          </cell>
          <cell r="Q1002" t="str">
            <v>HADA LABO- Bộ sản phẩm dưỡng trắng (travel kit)47g</v>
          </cell>
          <cell r="R1002">
            <v>135000</v>
          </cell>
          <cell r="S1002">
            <v>1</v>
          </cell>
          <cell r="T1002">
            <v>135000</v>
          </cell>
          <cell r="U1002">
            <v>0</v>
          </cell>
          <cell r="V1002">
            <v>135000</v>
          </cell>
          <cell r="W1002" t="str">
            <v>8935006542914</v>
          </cell>
        </row>
        <row r="1003">
          <cell r="A1003">
            <v>2026</v>
          </cell>
          <cell r="B1003">
            <v>5</v>
          </cell>
          <cell r="C1003">
            <v>46171</v>
          </cell>
          <cell r="D1003" t="str">
            <v>1. SKK store</v>
          </cell>
          <cell r="E1003" t="str">
            <v>S1006</v>
          </cell>
          <cell r="F1003" t="str">
            <v>SKK Trần Đăng Ninh</v>
          </cell>
          <cell r="G1003" t="str">
            <v>0913570928</v>
          </cell>
          <cell r="H1003" t="str">
            <v>Chị Nguyễn Thị Thanh Thủy</v>
          </cell>
          <cell r="I1003" t="str">
            <v>Khách cũ</v>
          </cell>
          <cell r="J1003" t="str">
            <v>Đơn bán</v>
          </cell>
          <cell r="K1003" t="str">
            <v>SAKUKO791785</v>
          </cell>
          <cell r="L1003" t="str">
            <v>THỰC PHẨM</v>
          </cell>
          <cell r="M1003" t="str">
            <v>BÁNH KẸO, ĐỒ ĂN VẶT</v>
          </cell>
          <cell r="N1003" t="str">
            <v>KẸO CAO SU</v>
          </cell>
          <cell r="O1003" t="str">
            <v>231377</v>
          </cell>
          <cell r="P1003" t="str">
            <v>4903333200375</v>
          </cell>
          <cell r="Q1003" t="str">
            <v>LOTTE-Kẹo cao su tổng hợp dạng lọ 114g</v>
          </cell>
          <cell r="R1003">
            <v>235000</v>
          </cell>
          <cell r="S1003">
            <v>1</v>
          </cell>
          <cell r="T1003">
            <v>235000</v>
          </cell>
          <cell r="U1003">
            <v>0</v>
          </cell>
          <cell r="V1003">
            <v>235000</v>
          </cell>
          <cell r="W1003" t="str">
            <v>4903333200375</v>
          </cell>
        </row>
        <row r="1004">
          <cell r="A1004">
            <v>2026</v>
          </cell>
          <cell r="B1004">
            <v>5</v>
          </cell>
          <cell r="C1004">
            <v>46171</v>
          </cell>
          <cell r="D1004" t="str">
            <v>1. SKK store</v>
          </cell>
          <cell r="E1004" t="str">
            <v>S1006</v>
          </cell>
          <cell r="F1004" t="str">
            <v>SKK Trần Đăng Ninh</v>
          </cell>
          <cell r="G1004" t="str">
            <v>0932200805</v>
          </cell>
          <cell r="H1004" t="str">
            <v>ANH HOÀNG AN</v>
          </cell>
          <cell r="I1004" t="str">
            <v>Khách mới</v>
          </cell>
          <cell r="J1004" t="str">
            <v>Đơn bán</v>
          </cell>
          <cell r="K1004" t="str">
            <v>SAKUKO792797</v>
          </cell>
          <cell r="L1004" t="str">
            <v>THỰC PHẨM</v>
          </cell>
          <cell r="M1004" t="str">
            <v>BÁNH KẸO, ĐỒ ĂN VẶT</v>
          </cell>
          <cell r="N1004" t="str">
            <v>KẸO CAO SU</v>
          </cell>
          <cell r="O1004" t="str">
            <v>153932</v>
          </cell>
          <cell r="P1004" t="str">
            <v>4903333241651</v>
          </cell>
          <cell r="Q1004" t="str">
            <v>LOTTE - Kẹo cao su black black ít đường 133g</v>
          </cell>
          <cell r="R1004">
            <v>235000</v>
          </cell>
          <cell r="S1004">
            <v>2</v>
          </cell>
          <cell r="T1004">
            <v>470000</v>
          </cell>
          <cell r="U1004">
            <v>0</v>
          </cell>
          <cell r="V1004">
            <v>470000</v>
          </cell>
          <cell r="W1004" t="str">
            <v>4903333241651</v>
          </cell>
        </row>
        <row r="1005">
          <cell r="A1005">
            <v>2026</v>
          </cell>
          <cell r="B1005">
            <v>5</v>
          </cell>
          <cell r="C1005">
            <v>46171</v>
          </cell>
          <cell r="D1005" t="str">
            <v>1. SKK store</v>
          </cell>
          <cell r="E1005" t="str">
            <v>S1006</v>
          </cell>
          <cell r="F1005" t="str">
            <v>SKK Trần Đăng Ninh</v>
          </cell>
          <cell r="G1005" t="str">
            <v>0962631611</v>
          </cell>
          <cell r="H1005" t="str">
            <v>Cô Hoa</v>
          </cell>
          <cell r="I1005" t="str">
            <v>Khách cũ</v>
          </cell>
          <cell r="J1005" t="str">
            <v>Đơn bán</v>
          </cell>
          <cell r="K1005" t="str">
            <v>SAKUKO792136</v>
          </cell>
          <cell r="L1005" t="str">
            <v>THỰC PHẨM</v>
          </cell>
          <cell r="M1005" t="str">
            <v>MỲ, MIẾN</v>
          </cell>
          <cell r="N1005" t="str">
            <v>MỲ CHẾ BIẾN</v>
          </cell>
          <cell r="O1005" t="str">
            <v>175435</v>
          </cell>
          <cell r="P1005" t="str">
            <v>4901726014752</v>
          </cell>
          <cell r="Q1005" t="str">
            <v>ITSUKI FOODS- Mì soumen rau củ ngũ sắc320g</v>
          </cell>
          <cell r="R1005">
            <v>76000</v>
          </cell>
          <cell r="S1005">
            <v>1</v>
          </cell>
          <cell r="T1005">
            <v>76000</v>
          </cell>
          <cell r="U1005">
            <v>0</v>
          </cell>
          <cell r="V1005">
            <v>76000</v>
          </cell>
          <cell r="W1005" t="str">
            <v>4901726014752</v>
          </cell>
        </row>
        <row r="1006">
          <cell r="A1006">
            <v>2026</v>
          </cell>
          <cell r="B1006">
            <v>5</v>
          </cell>
          <cell r="C1006">
            <v>46171</v>
          </cell>
          <cell r="D1006" t="str">
            <v>1. SKK store</v>
          </cell>
          <cell r="E1006" t="str">
            <v>S1006</v>
          </cell>
          <cell r="F1006" t="str">
            <v>SKK Trần Đăng Ninh</v>
          </cell>
          <cell r="G1006" t="str">
            <v>0972822888</v>
          </cell>
          <cell r="H1006" t="str">
            <v>Chị Trang</v>
          </cell>
          <cell r="I1006" t="str">
            <v>Khách cũ</v>
          </cell>
          <cell r="J1006" t="str">
            <v>Đơn bán</v>
          </cell>
          <cell r="K1006" t="str">
            <v>SAKUKO792284</v>
          </cell>
          <cell r="L1006" t="str">
            <v>THỰC PHẨM</v>
          </cell>
          <cell r="M1006" t="str">
            <v>BÁNH KẸO, ĐỒ ĂN VẶT</v>
          </cell>
          <cell r="N1006" t="str">
            <v>KẸO CAO SU</v>
          </cell>
          <cell r="O1006" t="str">
            <v>231377</v>
          </cell>
          <cell r="P1006" t="str">
            <v>4903333200375</v>
          </cell>
          <cell r="Q1006" t="str">
            <v>LOTTE-Kẹo cao su tổng hợp dạng lọ 114g</v>
          </cell>
          <cell r="R1006">
            <v>235000</v>
          </cell>
          <cell r="S1006">
            <v>1</v>
          </cell>
          <cell r="T1006">
            <v>235000</v>
          </cell>
          <cell r="U1006">
            <v>0</v>
          </cell>
          <cell r="V1006">
            <v>235000</v>
          </cell>
          <cell r="W1006" t="str">
            <v>4903333200375</v>
          </cell>
        </row>
        <row r="1007">
          <cell r="A1007">
            <v>2026</v>
          </cell>
          <cell r="B1007">
            <v>5</v>
          </cell>
          <cell r="C1007">
            <v>46171</v>
          </cell>
          <cell r="D1007" t="str">
            <v>1. SKK store</v>
          </cell>
          <cell r="E1007" t="str">
            <v>S1006</v>
          </cell>
          <cell r="F1007" t="str">
            <v>SKK Trần Đăng Ninh</v>
          </cell>
          <cell r="G1007" t="str">
            <v>0982220897</v>
          </cell>
          <cell r="H1007" t="str">
            <v>chị thái</v>
          </cell>
          <cell r="I1007" t="str">
            <v>Khách cũ</v>
          </cell>
          <cell r="J1007" t="str">
            <v>Đơn bán</v>
          </cell>
          <cell r="K1007" t="str">
            <v>SAKUKO791965</v>
          </cell>
          <cell r="L1007" t="str">
            <v>CHĂM SÓC SẮC ĐẸP</v>
          </cell>
          <cell r="M1007" t="str">
            <v>CHĂM SÓC DA</v>
          </cell>
          <cell r="N1007" t="str">
            <v>RỬA MẶT</v>
          </cell>
          <cell r="O1007" t="str">
            <v>102386</v>
          </cell>
          <cell r="P1007" t="str">
            <v>4902468816062</v>
          </cell>
          <cell r="Q1007" t="str">
            <v>MEISHOKU- Sữa rửa mặt sáng da Cvita 100g</v>
          </cell>
          <cell r="R1007">
            <v>290000</v>
          </cell>
          <cell r="S1007">
            <v>1</v>
          </cell>
          <cell r="T1007">
            <v>290000</v>
          </cell>
          <cell r="U1007">
            <v>0</v>
          </cell>
          <cell r="V1007">
            <v>290000</v>
          </cell>
          <cell r="W1007" t="str">
            <v>4902468816062</v>
          </cell>
        </row>
        <row r="1008">
          <cell r="A1008">
            <v>2026</v>
          </cell>
          <cell r="B1008">
            <v>5</v>
          </cell>
          <cell r="C1008">
            <v>46171</v>
          </cell>
          <cell r="D1008" t="str">
            <v>1. SKK store</v>
          </cell>
          <cell r="E1008" t="str">
            <v>S1006</v>
          </cell>
          <cell r="F1008" t="str">
            <v>SKK Trần Đăng Ninh</v>
          </cell>
          <cell r="G1008" t="str">
            <v>0989342509</v>
          </cell>
          <cell r="H1008" t="str">
            <v>Chị Ngô Hường</v>
          </cell>
          <cell r="I1008" t="str">
            <v>Khách cũ</v>
          </cell>
          <cell r="J1008" t="str">
            <v>Đơn bán</v>
          </cell>
          <cell r="K1008" t="str">
            <v>SAKUKO792230</v>
          </cell>
          <cell r="L1008" t="str">
            <v>CHĂM SÓC SẮC ĐẸP</v>
          </cell>
          <cell r="M1008" t="str">
            <v>CHĂM SÓC DA</v>
          </cell>
          <cell r="N1008" t="str">
            <v>KEM DƯỠNG</v>
          </cell>
          <cell r="O1008" t="str">
            <v>102384</v>
          </cell>
          <cell r="P1008" t="str">
            <v>4902468820014</v>
          </cell>
          <cell r="Q1008" t="str">
            <v>MEISHOKU- Kem gel dưỡng ẩm phục hồi chuyên sâu 50g</v>
          </cell>
          <cell r="R1008">
            <v>575000</v>
          </cell>
          <cell r="S1008">
            <v>1</v>
          </cell>
          <cell r="T1008">
            <v>575000</v>
          </cell>
          <cell r="U1008">
            <v>0</v>
          </cell>
          <cell r="V1008">
            <v>575000</v>
          </cell>
          <cell r="W1008" t="str">
            <v>4902468820014</v>
          </cell>
        </row>
        <row r="1009">
          <cell r="A1009">
            <v>2026</v>
          </cell>
          <cell r="B1009">
            <v>5</v>
          </cell>
          <cell r="C1009">
            <v>46171</v>
          </cell>
          <cell r="D1009" t="str">
            <v>1. SKK store</v>
          </cell>
          <cell r="E1009" t="str">
            <v>S1007</v>
          </cell>
          <cell r="F1009" t="str">
            <v>SKK  Nguyễn Du</v>
          </cell>
          <cell r="G1009" t="str">
            <v>0934462289</v>
          </cell>
          <cell r="H1009" t="str">
            <v>Chị Phan Huyền Trang</v>
          </cell>
          <cell r="I1009" t="str">
            <v>Khách cũ</v>
          </cell>
          <cell r="J1009" t="str">
            <v>Đơn bán</v>
          </cell>
          <cell r="K1009" t="str">
            <v>SAKUKO792065</v>
          </cell>
          <cell r="L1009" t="str">
            <v>CHĂM SÓC SẮC ĐẸP</v>
          </cell>
          <cell r="M1009" t="str">
            <v>CHĂM SÓC DA</v>
          </cell>
          <cell r="N1009" t="str">
            <v>CHĂM SÓC DA KHÁC</v>
          </cell>
          <cell r="O1009" t="str">
            <v>102387</v>
          </cell>
          <cell r="P1009" t="str">
            <v>8935006542907</v>
          </cell>
          <cell r="Q1009" t="str">
            <v>HADA LABO- Bộ sản phẩm dưỡng ẩm (travel kit)47g</v>
          </cell>
          <cell r="R1009">
            <v>129000</v>
          </cell>
          <cell r="S1009">
            <v>1</v>
          </cell>
          <cell r="T1009">
            <v>129000</v>
          </cell>
          <cell r="U1009">
            <v>0</v>
          </cell>
          <cell r="V1009">
            <v>129000</v>
          </cell>
          <cell r="W1009" t="str">
            <v>8935006542907</v>
          </cell>
        </row>
        <row r="1010">
          <cell r="A1010">
            <v>2026</v>
          </cell>
          <cell r="B1010">
            <v>5</v>
          </cell>
          <cell r="C1010">
            <v>46171</v>
          </cell>
          <cell r="D1010" t="str">
            <v>1. SKK store</v>
          </cell>
          <cell r="E1010" t="str">
            <v>S1007</v>
          </cell>
          <cell r="F1010" t="str">
            <v>SKK  Nguyễn Du</v>
          </cell>
          <cell r="G1010" t="str">
            <v>0934622455</v>
          </cell>
          <cell r="H1010" t="str">
            <v>Chị hường</v>
          </cell>
          <cell r="I1010" t="str">
            <v>Khách cũ</v>
          </cell>
          <cell r="J1010" t="str">
            <v>Đơn bán</v>
          </cell>
          <cell r="K1010" t="str">
            <v>SAKUKO792617</v>
          </cell>
          <cell r="L1010" t="str">
            <v>CHĂM SÓC SẮC ĐẸP</v>
          </cell>
          <cell r="M1010" t="str">
            <v>CHĂM SÓC DA</v>
          </cell>
          <cell r="N1010" t="str">
            <v>RỬA MẶT</v>
          </cell>
          <cell r="O1010" t="str">
            <v>230269</v>
          </cell>
          <cell r="P1010" t="str">
            <v>4987241173242</v>
          </cell>
          <cell r="Q1010" t="str">
            <v>ROHTO- SRM Melano CC mờ thâm nám (130g)</v>
          </cell>
          <cell r="R1010">
            <v>294000</v>
          </cell>
          <cell r="S1010">
            <v>1</v>
          </cell>
          <cell r="T1010">
            <v>294000</v>
          </cell>
          <cell r="U1010">
            <v>35000</v>
          </cell>
          <cell r="V1010">
            <v>259000</v>
          </cell>
          <cell r="W1010" t="str">
            <v>4987241173242</v>
          </cell>
        </row>
        <row r="1011">
          <cell r="A1011">
            <v>2026</v>
          </cell>
          <cell r="B1011">
            <v>5</v>
          </cell>
          <cell r="C1011">
            <v>46171</v>
          </cell>
          <cell r="D1011" t="str">
            <v>1. SKK store</v>
          </cell>
          <cell r="E1011" t="str">
            <v>S1008</v>
          </cell>
          <cell r="F1011" t="str">
            <v>SKK  Hàng Bông</v>
          </cell>
          <cell r="G1011" t="str">
            <v>02466810202</v>
          </cell>
          <cell r="H1011" t="str">
            <v>KH Tây</v>
          </cell>
          <cell r="I1011" t="str">
            <v>Khách vãng lai</v>
          </cell>
          <cell r="J1011" t="str">
            <v>Đơn bán</v>
          </cell>
          <cell r="K1011" t="str">
            <v>SAKUKO791947</v>
          </cell>
          <cell r="L1011" t="str">
            <v>ĐỒ CHO MẸ BÉ</v>
          </cell>
          <cell r="M1011" t="str">
            <v>CHĂM SÓC CƠ THỂ BÉ</v>
          </cell>
          <cell r="N1011" t="str">
            <v>THỰC PHẨM CHỨC NĂNG CHO BÉ</v>
          </cell>
          <cell r="O1011" t="str">
            <v>121666</v>
          </cell>
          <cell r="P1011" t="str">
            <v>8436036591441</v>
          </cell>
          <cell r="Q1011" t="str">
            <v>NEO KIDS-TPBVSK Gummies Omega 3 DHA 150g</v>
          </cell>
          <cell r="R1011">
            <v>360000</v>
          </cell>
          <cell r="S1011">
            <v>1</v>
          </cell>
          <cell r="T1011">
            <v>360000</v>
          </cell>
          <cell r="U1011">
            <v>0</v>
          </cell>
          <cell r="V1011">
            <v>360000</v>
          </cell>
          <cell r="W1011" t="str">
            <v>8436036591441</v>
          </cell>
        </row>
        <row r="1012">
          <cell r="A1012">
            <v>2026</v>
          </cell>
          <cell r="B1012">
            <v>5</v>
          </cell>
          <cell r="C1012">
            <v>46171</v>
          </cell>
          <cell r="D1012" t="str">
            <v>1. SKK store</v>
          </cell>
          <cell r="E1012" t="str">
            <v>S1008</v>
          </cell>
          <cell r="F1012" t="str">
            <v>SKK  Hàng Bông</v>
          </cell>
          <cell r="G1012" t="str">
            <v>0989150699</v>
          </cell>
          <cell r="H1012" t="str">
            <v>chị đoàn thị hằng</v>
          </cell>
          <cell r="I1012" t="str">
            <v>Khách cũ</v>
          </cell>
          <cell r="J1012" t="str">
            <v>Đơn bán</v>
          </cell>
          <cell r="K1012" t="str">
            <v>SAKUKO791816</v>
          </cell>
          <cell r="L1012" t="str">
            <v>CHĂM SÓC SẮC ĐẸP</v>
          </cell>
          <cell r="M1012" t="str">
            <v>CHĂM SÓC DA</v>
          </cell>
          <cell r="N1012" t="str">
            <v>RỬA MẶT</v>
          </cell>
          <cell r="O1012" t="str">
            <v>102412</v>
          </cell>
          <cell r="P1012" t="str">
            <v>4902468802126</v>
          </cell>
          <cell r="Q1012" t="str">
            <v>MEISHOKU- SRM ngăn ngừa mụn Bigan 80g</v>
          </cell>
          <cell r="R1012">
            <v>255000</v>
          </cell>
          <cell r="S1012">
            <v>1</v>
          </cell>
          <cell r="T1012">
            <v>255000</v>
          </cell>
          <cell r="U1012">
            <v>0</v>
          </cell>
          <cell r="V1012">
            <v>255000</v>
          </cell>
          <cell r="W1012" t="str">
            <v>4902468802126</v>
          </cell>
        </row>
        <row r="1013">
          <cell r="A1013">
            <v>2026</v>
          </cell>
          <cell r="B1013">
            <v>5</v>
          </cell>
          <cell r="C1013">
            <v>46171</v>
          </cell>
          <cell r="D1013" t="str">
            <v>1. SKK store</v>
          </cell>
          <cell r="E1013" t="str">
            <v>S1015</v>
          </cell>
          <cell r="F1013" t="str">
            <v>SKK Hàm Nghi</v>
          </cell>
          <cell r="G1013" t="str">
            <v>0975412596</v>
          </cell>
          <cell r="H1013" t="str">
            <v>Chị Vân</v>
          </cell>
          <cell r="I1013" t="str">
            <v>Khách cũ</v>
          </cell>
          <cell r="J1013" t="str">
            <v>Đơn bán</v>
          </cell>
          <cell r="K1013" t="str">
            <v>SAKUKO792377</v>
          </cell>
          <cell r="L1013" t="str">
            <v>THỰC PHẨM</v>
          </cell>
          <cell r="M1013" t="str">
            <v>MỲ, MIẾN</v>
          </cell>
          <cell r="N1013" t="str">
            <v>MỲ ĂN LIỀN</v>
          </cell>
          <cell r="O1013" t="str">
            <v>153693</v>
          </cell>
          <cell r="P1013" t="str">
            <v>4902881066440</v>
          </cell>
          <cell r="Q1013" t="str">
            <v>MYOJO- Mỳ ramen vị miso 5 gói</v>
          </cell>
          <cell r="R1013">
            <v>105000</v>
          </cell>
          <cell r="S1013">
            <v>1</v>
          </cell>
          <cell r="T1013">
            <v>105000</v>
          </cell>
          <cell r="U1013">
            <v>0</v>
          </cell>
          <cell r="V1013">
            <v>105000</v>
          </cell>
          <cell r="W1013" t="str">
            <v>4902881066440</v>
          </cell>
        </row>
        <row r="1014">
          <cell r="A1014">
            <v>2026</v>
          </cell>
          <cell r="B1014">
            <v>5</v>
          </cell>
          <cell r="C1014">
            <v>46171</v>
          </cell>
          <cell r="D1014" t="str">
            <v>1. SKK store</v>
          </cell>
          <cell r="E1014" t="str">
            <v>S1015</v>
          </cell>
          <cell r="F1014" t="str">
            <v>SKK Hàm Nghi</v>
          </cell>
          <cell r="G1014" t="str">
            <v>0982996542</v>
          </cell>
          <cell r="H1014" t="str">
            <v>chị Hạnh</v>
          </cell>
          <cell r="I1014" t="str">
            <v>Khách cũ</v>
          </cell>
          <cell r="J1014" t="str">
            <v>Đơn bán</v>
          </cell>
          <cell r="K1014" t="str">
            <v>SAKUKO792140</v>
          </cell>
          <cell r="L1014" t="str">
            <v>THỰC PHẨM</v>
          </cell>
          <cell r="M1014" t="str">
            <v>BÁNH KẸO, ĐỒ ĂN VẶT</v>
          </cell>
          <cell r="N1014" t="str">
            <v>KẸO CAO SU</v>
          </cell>
          <cell r="O1014" t="str">
            <v>231377</v>
          </cell>
          <cell r="P1014" t="str">
            <v>4903333200375</v>
          </cell>
          <cell r="Q1014" t="str">
            <v>LOTTE-Kẹo cao su tổng hợp dạng lọ 114g</v>
          </cell>
          <cell r="R1014">
            <v>235000</v>
          </cell>
          <cell r="S1014">
            <v>1</v>
          </cell>
          <cell r="T1014">
            <v>235000</v>
          </cell>
          <cell r="U1014">
            <v>0</v>
          </cell>
          <cell r="V1014">
            <v>235000</v>
          </cell>
          <cell r="W1014" t="str">
            <v>4903333200375</v>
          </cell>
        </row>
        <row r="1015">
          <cell r="A1015">
            <v>2026</v>
          </cell>
          <cell r="B1015">
            <v>5</v>
          </cell>
          <cell r="C1015">
            <v>46171</v>
          </cell>
          <cell r="D1015" t="str">
            <v>1. SKK store</v>
          </cell>
          <cell r="E1015" t="str">
            <v>S1018</v>
          </cell>
          <cell r="F1015" t="str">
            <v>SKK Nguyễn Tuân</v>
          </cell>
          <cell r="G1015" t="str">
            <v>0986336220</v>
          </cell>
          <cell r="H1015" t="str">
            <v>Chị Trang</v>
          </cell>
          <cell r="I1015" t="str">
            <v>Khách cũ</v>
          </cell>
          <cell r="J1015" t="str">
            <v>Đơn bán</v>
          </cell>
          <cell r="K1015" t="str">
            <v>SAKUKO792429</v>
          </cell>
          <cell r="L1015" t="str">
            <v>THỰC PHẨM</v>
          </cell>
          <cell r="M1015" t="str">
            <v>MỲ, MIẾN</v>
          </cell>
          <cell r="N1015" t="str">
            <v>MỲ CHẾ BIẾN</v>
          </cell>
          <cell r="O1015" t="str">
            <v>154249</v>
          </cell>
          <cell r="P1015" t="str">
            <v>4517244004627</v>
          </cell>
          <cell r="Q1015" t="str">
            <v>ASAHI_Mì udon khô 400g</v>
          </cell>
          <cell r="R1015">
            <v>69000</v>
          </cell>
          <cell r="S1015">
            <v>1</v>
          </cell>
          <cell r="T1015">
            <v>69000</v>
          </cell>
          <cell r="U1015">
            <v>0</v>
          </cell>
          <cell r="V1015">
            <v>69000</v>
          </cell>
          <cell r="W1015" t="str">
            <v>4517244004627</v>
          </cell>
        </row>
        <row r="1016">
          <cell r="A1016">
            <v>2026</v>
          </cell>
          <cell r="B1016">
            <v>5</v>
          </cell>
          <cell r="C1016">
            <v>46171</v>
          </cell>
          <cell r="D1016" t="str">
            <v>1. SKK store</v>
          </cell>
          <cell r="E1016" t="str">
            <v>S1025</v>
          </cell>
          <cell r="F1016" t="str">
            <v>SKK T6 Time City</v>
          </cell>
          <cell r="G1016" t="str">
            <v>0975582968</v>
          </cell>
          <cell r="H1016" t="str">
            <v>Đào Ngọc Oanh</v>
          </cell>
          <cell r="I1016" t="str">
            <v>Khách cũ</v>
          </cell>
          <cell r="J1016" t="str">
            <v>Đơn bán</v>
          </cell>
          <cell r="K1016" t="str">
            <v>SAKUKO791637</v>
          </cell>
          <cell r="L1016" t="str">
            <v>ĐỒ CHO MẸ BÉ</v>
          </cell>
          <cell r="M1016" t="str">
            <v>GIẤY ƯỚT</v>
          </cell>
          <cell r="N1016" t="str">
            <v>GIẤY ƯỚT CHO BÉ</v>
          </cell>
          <cell r="O1016" t="str">
            <v>121662</v>
          </cell>
          <cell r="P1016" t="str">
            <v>8934755035036</v>
          </cell>
          <cell r="Q1016" t="str">
            <v>FRESSI- Khăn ướt Care For All 20 miếng</v>
          </cell>
          <cell r="R1016">
            <v>14000</v>
          </cell>
          <cell r="S1016">
            <v>2</v>
          </cell>
          <cell r="T1016">
            <v>28000</v>
          </cell>
          <cell r="U1016">
            <v>0</v>
          </cell>
          <cell r="V1016">
            <v>28000</v>
          </cell>
          <cell r="W1016" t="str">
            <v>8934755035036</v>
          </cell>
        </row>
        <row r="1017">
          <cell r="A1017">
            <v>2026</v>
          </cell>
          <cell r="B1017">
            <v>5</v>
          </cell>
          <cell r="C1017">
            <v>46170</v>
          </cell>
          <cell r="D1017" t="str">
            <v>1. SKK store</v>
          </cell>
          <cell r="E1017" t="str">
            <v>S1004</v>
          </cell>
          <cell r="F1017" t="str">
            <v>SKK  Mandarin C1</v>
          </cell>
          <cell r="G1017" t="str">
            <v>0912619565</v>
          </cell>
          <cell r="H1017" t="str">
            <v>chị hiền</v>
          </cell>
          <cell r="I1017" t="str">
            <v>Khách cũ</v>
          </cell>
          <cell r="J1017" t="str">
            <v>Đơn bán</v>
          </cell>
          <cell r="K1017" t="str">
            <v>SAKUKO791446</v>
          </cell>
          <cell r="L1017" t="str">
            <v>NHÀ CỬA ĐỜI SỐNG</v>
          </cell>
          <cell r="M1017" t="str">
            <v>ĐỒ DÙNG SINH HOẠT GIA ĐÌNH</v>
          </cell>
          <cell r="N1017" t="str">
            <v>VẬT DỤNG SINH HOẠT KHÁC</v>
          </cell>
          <cell r="O1017" t="str">
            <v>135039</v>
          </cell>
          <cell r="P1017" t="str">
            <v>4968988074993</v>
          </cell>
          <cell r="Q1017" t="str">
            <v>OMAICHI- Set 2 lọ chiết mỹ phẩm 40ml kèm hộp đựng</v>
          </cell>
          <cell r="R1017">
            <v>52000</v>
          </cell>
          <cell r="S1017">
            <v>1</v>
          </cell>
          <cell r="T1017">
            <v>52000</v>
          </cell>
          <cell r="U1017">
            <v>0</v>
          </cell>
          <cell r="V1017">
            <v>52000</v>
          </cell>
          <cell r="W1017" t="str">
            <v>4968988074993</v>
          </cell>
        </row>
        <row r="1018">
          <cell r="A1018">
            <v>2026</v>
          </cell>
          <cell r="B1018">
            <v>5</v>
          </cell>
          <cell r="C1018">
            <v>46170</v>
          </cell>
          <cell r="D1018" t="str">
            <v>1. SKK store</v>
          </cell>
          <cell r="E1018" t="str">
            <v>S1005</v>
          </cell>
          <cell r="F1018" t="str">
            <v>SKK  Thái Hà</v>
          </cell>
          <cell r="G1018" t="str">
            <v>0912711532</v>
          </cell>
          <cell r="H1018" t="str">
            <v>anh Nhật</v>
          </cell>
          <cell r="I1018" t="str">
            <v>Khách cũ</v>
          </cell>
          <cell r="J1018" t="str">
            <v>Đơn bán</v>
          </cell>
          <cell r="K1018" t="str">
            <v>SAKUKO790857</v>
          </cell>
          <cell r="L1018" t="str">
            <v>THỰC PHẨM</v>
          </cell>
          <cell r="M1018" t="str">
            <v>BÁNH KẸO, ĐỒ ĂN VẶT</v>
          </cell>
          <cell r="N1018" t="str">
            <v>KẸO CAO SU</v>
          </cell>
          <cell r="O1018" t="str">
            <v>231374</v>
          </cell>
          <cell r="P1018" t="str">
            <v>4547894156315</v>
          </cell>
          <cell r="Q1018" t="str">
            <v>CLORETS-Kẹo cao su hương vị 4 mùa 140g</v>
          </cell>
          <cell r="R1018">
            <v>235000</v>
          </cell>
          <cell r="S1018">
            <v>1</v>
          </cell>
          <cell r="T1018">
            <v>235000</v>
          </cell>
          <cell r="U1018">
            <v>0</v>
          </cell>
          <cell r="V1018">
            <v>235000</v>
          </cell>
          <cell r="W1018" t="str">
            <v>4547894156315</v>
          </cell>
        </row>
        <row r="1019">
          <cell r="A1019">
            <v>2026</v>
          </cell>
          <cell r="B1019">
            <v>5</v>
          </cell>
          <cell r="C1019">
            <v>46170</v>
          </cell>
          <cell r="D1019" t="str">
            <v>1. SKK store</v>
          </cell>
          <cell r="E1019" t="str">
            <v>S1006</v>
          </cell>
          <cell r="F1019" t="str">
            <v>SKK Trần Đăng Ninh</v>
          </cell>
          <cell r="G1019" t="str">
            <v>0948348668</v>
          </cell>
          <cell r="H1019" t="str">
            <v>Chị Hòa</v>
          </cell>
          <cell r="I1019" t="str">
            <v>Khách cũ</v>
          </cell>
          <cell r="J1019" t="str">
            <v>Đơn bán</v>
          </cell>
          <cell r="K1019" t="str">
            <v>SAKUKO790888</v>
          </cell>
          <cell r="L1019" t="str">
            <v>NHÀ CỬA ĐỜI SỐNG</v>
          </cell>
          <cell r="M1019" t="str">
            <v>KHĂN</v>
          </cell>
          <cell r="N1019" t="str">
            <v>KHĂN MẶT</v>
          </cell>
          <cell r="O1019" t="str">
            <v>102390</v>
          </cell>
          <cell r="P1019" t="str">
            <v>4906327905980</v>
          </cell>
          <cell r="Q1019" t="str">
            <v>KOMODA - Khăn mặt khô dùng 1 lần 46m 20x20cm</v>
          </cell>
          <cell r="R1019">
            <v>52000</v>
          </cell>
          <cell r="S1019">
            <v>1</v>
          </cell>
          <cell r="T1019">
            <v>52000</v>
          </cell>
          <cell r="U1019">
            <v>0</v>
          </cell>
          <cell r="V1019">
            <v>52000</v>
          </cell>
          <cell r="W1019" t="str">
            <v>4906327905980</v>
          </cell>
        </row>
        <row r="1020">
          <cell r="A1020">
            <v>2026</v>
          </cell>
          <cell r="B1020">
            <v>5</v>
          </cell>
          <cell r="C1020">
            <v>46170</v>
          </cell>
          <cell r="D1020" t="str">
            <v>1. SKK store</v>
          </cell>
          <cell r="E1020" t="str">
            <v>S1006</v>
          </cell>
          <cell r="F1020" t="str">
            <v>SKK Trần Đăng Ninh</v>
          </cell>
          <cell r="G1020" t="str">
            <v>0988082916</v>
          </cell>
          <cell r="H1020" t="str">
            <v>C Nga</v>
          </cell>
          <cell r="I1020" t="str">
            <v>Khách cũ</v>
          </cell>
          <cell r="J1020" t="str">
            <v>Đơn bán</v>
          </cell>
          <cell r="K1020" t="str">
            <v>SAKUKO791496</v>
          </cell>
          <cell r="L1020" t="str">
            <v>THỰC PHẨM</v>
          </cell>
          <cell r="M1020" t="str">
            <v>MỲ, MIẾN</v>
          </cell>
          <cell r="N1020" t="str">
            <v>MỲ CHẾ BIẾN</v>
          </cell>
          <cell r="O1020" t="str">
            <v>174948</v>
          </cell>
          <cell r="P1020" t="str">
            <v>4582114354119</v>
          </cell>
          <cell r="Q1020" t="str">
            <v>SANUKISHISEI- Mì soumen 300g</v>
          </cell>
          <cell r="R1020">
            <v>35000</v>
          </cell>
          <cell r="S1020">
            <v>1</v>
          </cell>
          <cell r="T1020">
            <v>35000</v>
          </cell>
          <cell r="U1020">
            <v>0</v>
          </cell>
          <cell r="V1020">
            <v>35000</v>
          </cell>
          <cell r="W1020" t="str">
            <v>4582114354119</v>
          </cell>
        </row>
        <row r="1021">
          <cell r="A1021">
            <v>2026</v>
          </cell>
          <cell r="B1021">
            <v>5</v>
          </cell>
          <cell r="C1021">
            <v>46170</v>
          </cell>
          <cell r="D1021" t="str">
            <v>1. SKK store</v>
          </cell>
          <cell r="E1021" t="str">
            <v>S1006</v>
          </cell>
          <cell r="F1021" t="str">
            <v>SKK Trần Đăng Ninh</v>
          </cell>
          <cell r="G1021" t="str">
            <v>0988900482</v>
          </cell>
          <cell r="H1021" t="str">
            <v>c Cúc</v>
          </cell>
          <cell r="I1021" t="str">
            <v>Khách cũ</v>
          </cell>
          <cell r="J1021" t="str">
            <v>Đơn bán</v>
          </cell>
          <cell r="K1021" t="str">
            <v>SAKUKO791034</v>
          </cell>
          <cell r="L1021" t="str">
            <v>CHĂM SÓC SẮC ĐẸP</v>
          </cell>
          <cell r="M1021" t="str">
            <v>CHĂM SÓC DA</v>
          </cell>
          <cell r="N1021" t="str">
            <v>KEM DƯỠNG</v>
          </cell>
          <cell r="O1021" t="str">
            <v>102416</v>
          </cell>
          <cell r="P1021" t="str">
            <v>4902468816017</v>
          </cell>
          <cell r="Q1021" t="str">
            <v>MEISHOKU- Kem dưỡng trắng mịn Cvita 45g</v>
          </cell>
          <cell r="R1021">
            <v>455000</v>
          </cell>
          <cell r="S1021">
            <v>1</v>
          </cell>
          <cell r="T1021">
            <v>455000</v>
          </cell>
          <cell r="U1021">
            <v>0</v>
          </cell>
          <cell r="V1021">
            <v>455000</v>
          </cell>
          <cell r="W1021" t="str">
            <v>4902468816017</v>
          </cell>
        </row>
        <row r="1022">
          <cell r="A1022">
            <v>2026</v>
          </cell>
          <cell r="B1022">
            <v>5</v>
          </cell>
          <cell r="C1022">
            <v>46170</v>
          </cell>
          <cell r="D1022" t="str">
            <v>1. SKK store</v>
          </cell>
          <cell r="E1022" t="str">
            <v>S1007</v>
          </cell>
          <cell r="F1022" t="str">
            <v>SKK  Nguyễn Du</v>
          </cell>
          <cell r="G1022" t="str">
            <v>0912345808</v>
          </cell>
          <cell r="H1022" t="str">
            <v>Chị Trang</v>
          </cell>
          <cell r="I1022" t="str">
            <v>Khách cũ</v>
          </cell>
          <cell r="J1022" t="str">
            <v>Đơn bán</v>
          </cell>
          <cell r="K1022" t="str">
            <v>SAKUKO791393</v>
          </cell>
          <cell r="L1022" t="str">
            <v>CHĂM SÓC SẮC ĐẸP</v>
          </cell>
          <cell r="M1022" t="str">
            <v>CHĂM SÓC DA</v>
          </cell>
          <cell r="N1022" t="str">
            <v>KEM DƯỠNG</v>
          </cell>
          <cell r="O1022" t="str">
            <v>102416</v>
          </cell>
          <cell r="P1022" t="str">
            <v>4902468816017</v>
          </cell>
          <cell r="Q1022" t="str">
            <v>MEISHOKU- Kem dưỡng trắng mịn Cvita 45g</v>
          </cell>
          <cell r="R1022">
            <v>455000</v>
          </cell>
          <cell r="S1022">
            <v>1</v>
          </cell>
          <cell r="T1022">
            <v>455000</v>
          </cell>
          <cell r="U1022">
            <v>0</v>
          </cell>
          <cell r="V1022">
            <v>455000</v>
          </cell>
          <cell r="W1022" t="str">
            <v>4902468816017</v>
          </cell>
        </row>
        <row r="1023">
          <cell r="A1023">
            <v>2026</v>
          </cell>
          <cell r="B1023">
            <v>5</v>
          </cell>
          <cell r="C1023">
            <v>46170</v>
          </cell>
          <cell r="D1023" t="str">
            <v>1. SKK store</v>
          </cell>
          <cell r="E1023" t="str">
            <v>S1015</v>
          </cell>
          <cell r="F1023" t="str">
            <v>SKK Hàm Nghi</v>
          </cell>
          <cell r="G1023" t="str">
            <v>0868912389</v>
          </cell>
          <cell r="H1023" t="str">
            <v>Chị Trâm</v>
          </cell>
          <cell r="I1023" t="str">
            <v>Khách cũ</v>
          </cell>
          <cell r="J1023" t="str">
            <v>Đơn bán</v>
          </cell>
          <cell r="K1023" t="str">
            <v>SAKUKO790749</v>
          </cell>
          <cell r="L1023" t="str">
            <v>CHĂM SÓC SẮC ĐẸP</v>
          </cell>
          <cell r="M1023" t="str">
            <v>CHĂM SÓC DA</v>
          </cell>
          <cell r="N1023" t="str">
            <v>KEM DƯỠNG</v>
          </cell>
          <cell r="O1023" t="str">
            <v>102420</v>
          </cell>
          <cell r="P1023" t="str">
            <v>4902468820007</v>
          </cell>
          <cell r="Q1023" t="str">
            <v>MEISHOKU- Tinh chất dưỡng ẩm chuyên sâu 30ml</v>
          </cell>
          <cell r="R1023">
            <v>555000</v>
          </cell>
          <cell r="S1023">
            <v>1</v>
          </cell>
          <cell r="T1023">
            <v>555000</v>
          </cell>
          <cell r="U1023">
            <v>0</v>
          </cell>
          <cell r="V1023">
            <v>555000</v>
          </cell>
          <cell r="W1023" t="str">
            <v>4902468820007</v>
          </cell>
        </row>
        <row r="1024">
          <cell r="A1024">
            <v>2026</v>
          </cell>
          <cell r="B1024">
            <v>5</v>
          </cell>
          <cell r="C1024">
            <v>46170</v>
          </cell>
          <cell r="D1024" t="str">
            <v>1. SKK store</v>
          </cell>
          <cell r="E1024" t="str">
            <v>S1015</v>
          </cell>
          <cell r="F1024" t="str">
            <v>SKK Hàm Nghi</v>
          </cell>
          <cell r="G1024" t="str">
            <v>0964472087</v>
          </cell>
          <cell r="H1024" t="str">
            <v>CHỊ TUYẾT</v>
          </cell>
          <cell r="I1024" t="str">
            <v>Khách mới</v>
          </cell>
          <cell r="J1024" t="str">
            <v>Đơn bán</v>
          </cell>
          <cell r="K1024" t="str">
            <v>SAKUKO791428</v>
          </cell>
          <cell r="L1024" t="str">
            <v>ĐỒ CHO MẸ BÉ</v>
          </cell>
          <cell r="M1024" t="str">
            <v>GIẤY ƯỚT</v>
          </cell>
          <cell r="N1024" t="str">
            <v>GIẤY ƯỚT CHO BÉ</v>
          </cell>
          <cell r="O1024" t="str">
            <v>121664</v>
          </cell>
          <cell r="P1024" t="str">
            <v>8934755035074</v>
          </cell>
          <cell r="Q1024" t="str">
            <v>BOBBY- Khăn ướt em bé có hương 100 miếng</v>
          </cell>
          <cell r="R1024">
            <v>46000</v>
          </cell>
          <cell r="S1024">
            <v>2</v>
          </cell>
          <cell r="T1024">
            <v>92000</v>
          </cell>
          <cell r="U1024">
            <v>0</v>
          </cell>
          <cell r="V1024">
            <v>92000</v>
          </cell>
          <cell r="W1024" t="str">
            <v>8934755035074</v>
          </cell>
        </row>
        <row r="1025">
          <cell r="A1025">
            <v>2026</v>
          </cell>
          <cell r="B1025">
            <v>5</v>
          </cell>
          <cell r="C1025">
            <v>46170</v>
          </cell>
          <cell r="D1025" t="str">
            <v>1. SKK store</v>
          </cell>
          <cell r="E1025" t="str">
            <v>S1018</v>
          </cell>
          <cell r="F1025" t="str">
            <v>SKK Nguyễn Tuân</v>
          </cell>
          <cell r="G1025" t="str">
            <v>0963244635</v>
          </cell>
          <cell r="H1025" t="str">
            <v>Mỹ Linh</v>
          </cell>
          <cell r="I1025" t="str">
            <v>Khách cũ</v>
          </cell>
          <cell r="J1025" t="str">
            <v>Đơn bán</v>
          </cell>
          <cell r="K1025" t="str">
            <v>SAKUKO791179</v>
          </cell>
          <cell r="L1025" t="str">
            <v>NHÀ CỬA ĐỜI SỐNG</v>
          </cell>
          <cell r="M1025" t="str">
            <v>KHĂN</v>
          </cell>
          <cell r="N1025" t="str">
            <v>KHĂN MẶT</v>
          </cell>
          <cell r="O1025" t="str">
            <v>102390</v>
          </cell>
          <cell r="P1025" t="str">
            <v>4906327905980</v>
          </cell>
          <cell r="Q1025" t="str">
            <v>KOMODA - Khăn mặt khô dùng 1 lần 46m 20x20cm</v>
          </cell>
          <cell r="R1025">
            <v>52000</v>
          </cell>
          <cell r="S1025">
            <v>1</v>
          </cell>
          <cell r="T1025">
            <v>52000</v>
          </cell>
          <cell r="U1025">
            <v>0</v>
          </cell>
          <cell r="V1025">
            <v>52000</v>
          </cell>
          <cell r="W1025" t="str">
            <v>4906327905980</v>
          </cell>
        </row>
        <row r="1026">
          <cell r="A1026">
            <v>2026</v>
          </cell>
          <cell r="B1026">
            <v>5</v>
          </cell>
          <cell r="C1026">
            <v>46170</v>
          </cell>
          <cell r="D1026" t="str">
            <v>1. SKK store</v>
          </cell>
          <cell r="E1026" t="str">
            <v>S1018</v>
          </cell>
          <cell r="F1026" t="str">
            <v>SKK Nguyễn Tuân</v>
          </cell>
          <cell r="G1026" t="str">
            <v>0985536645</v>
          </cell>
          <cell r="H1026" t="str">
            <v>chị Xuyên</v>
          </cell>
          <cell r="I1026" t="str">
            <v>Khách cũ</v>
          </cell>
          <cell r="J1026" t="str">
            <v>Đơn bán</v>
          </cell>
          <cell r="K1026" t="str">
            <v>SAKUKO790873</v>
          </cell>
          <cell r="L1026" t="str">
            <v>ĐỒ CHO MẸ BÉ</v>
          </cell>
          <cell r="M1026" t="str">
            <v>GIẤY ƯỚT</v>
          </cell>
          <cell r="N1026" t="str">
            <v>GIẤY ƯỚT CHO BÉ</v>
          </cell>
          <cell r="O1026" t="str">
            <v>121662</v>
          </cell>
          <cell r="P1026" t="str">
            <v>8934755035036</v>
          </cell>
          <cell r="Q1026" t="str">
            <v>FRESSI- Khăn ướt Care For All 20 miếng</v>
          </cell>
          <cell r="R1026">
            <v>14000</v>
          </cell>
          <cell r="S1026">
            <v>3</v>
          </cell>
          <cell r="T1026">
            <v>42000</v>
          </cell>
          <cell r="U1026">
            <v>0</v>
          </cell>
          <cell r="V1026">
            <v>42000</v>
          </cell>
          <cell r="W1026" t="str">
            <v>8934755035036</v>
          </cell>
        </row>
        <row r="1027">
          <cell r="A1027">
            <v>2026</v>
          </cell>
          <cell r="B1027">
            <v>5</v>
          </cell>
          <cell r="C1027">
            <v>46170</v>
          </cell>
          <cell r="D1027" t="str">
            <v>1. SKK store</v>
          </cell>
          <cell r="E1027" t="str">
            <v>S1025</v>
          </cell>
          <cell r="F1027" t="str">
            <v>SKK T6 Time City</v>
          </cell>
          <cell r="G1027" t="str">
            <v>0983309666</v>
          </cell>
          <cell r="H1027" t="str">
            <v>Chị THùy Linh</v>
          </cell>
          <cell r="I1027" t="str">
            <v>Khách cũ</v>
          </cell>
          <cell r="J1027" t="str">
            <v>Đơn bán</v>
          </cell>
          <cell r="K1027" t="str">
            <v>SAKUKO791580</v>
          </cell>
          <cell r="L1027" t="str">
            <v>THỰC PHẨM</v>
          </cell>
          <cell r="M1027" t="str">
            <v>MỲ, MIẾN</v>
          </cell>
          <cell r="N1027" t="str">
            <v>MỲ CHẾ BIẾN</v>
          </cell>
          <cell r="O1027" t="str">
            <v>174948</v>
          </cell>
          <cell r="P1027" t="str">
            <v>4582114354119</v>
          </cell>
          <cell r="Q1027" t="str">
            <v>SANUKISHISEI- Mì soumen 300g</v>
          </cell>
          <cell r="R1027">
            <v>35000</v>
          </cell>
          <cell r="S1027">
            <v>2</v>
          </cell>
          <cell r="T1027">
            <v>70000</v>
          </cell>
          <cell r="U1027">
            <v>0</v>
          </cell>
          <cell r="V1027">
            <v>70000</v>
          </cell>
          <cell r="W1027" t="str">
            <v>4582114354119</v>
          </cell>
        </row>
        <row r="1028">
          <cell r="A1028">
            <v>2026</v>
          </cell>
          <cell r="B1028">
            <v>5</v>
          </cell>
          <cell r="C1028">
            <v>46169</v>
          </cell>
          <cell r="D1028" t="str">
            <v>1. SKK store</v>
          </cell>
          <cell r="E1028" t="str">
            <v>S1004</v>
          </cell>
          <cell r="F1028" t="str">
            <v>SKK  Mandarin C1</v>
          </cell>
          <cell r="G1028" t="str">
            <v>0987604036</v>
          </cell>
          <cell r="H1028" t="str">
            <v>Cô Nguyễn Thị Khuyên</v>
          </cell>
          <cell r="I1028" t="str">
            <v>Khách cũ</v>
          </cell>
          <cell r="J1028" t="str">
            <v>Đơn bán</v>
          </cell>
          <cell r="K1028" t="str">
            <v>SAKUKO790012</v>
          </cell>
          <cell r="L1028" t="str">
            <v>NHÀ CỬA ĐỜI SỐNG</v>
          </cell>
          <cell r="M1028" t="str">
            <v>ĐỒ DÙNG SINH HOẠT GIA ĐÌNH</v>
          </cell>
          <cell r="N1028" t="str">
            <v>VẬT DỤNG SINH HOẠT KHÁC</v>
          </cell>
          <cell r="O1028" t="str">
            <v>135039</v>
          </cell>
          <cell r="P1028" t="str">
            <v>4968988074993</v>
          </cell>
          <cell r="Q1028" t="str">
            <v>OMAICHI- Set 2 lọ chiết mỹ phẩm 40ml kèm hộp đựng</v>
          </cell>
          <cell r="R1028">
            <v>52000</v>
          </cell>
          <cell r="S1028">
            <v>2</v>
          </cell>
          <cell r="T1028">
            <v>104000</v>
          </cell>
          <cell r="U1028">
            <v>0</v>
          </cell>
          <cell r="V1028">
            <v>104000</v>
          </cell>
          <cell r="W1028" t="str">
            <v>4968988074993</v>
          </cell>
        </row>
        <row r="1029">
          <cell r="A1029">
            <v>2026</v>
          </cell>
          <cell r="B1029">
            <v>5</v>
          </cell>
          <cell r="C1029">
            <v>46169</v>
          </cell>
          <cell r="D1029" t="str">
            <v>1. SKK store</v>
          </cell>
          <cell r="E1029" t="str">
            <v>S1006</v>
          </cell>
          <cell r="F1029" t="str">
            <v>SKK Trần Đăng Ninh</v>
          </cell>
          <cell r="G1029" t="str">
            <v>0969961538</v>
          </cell>
          <cell r="H1029" t="str">
            <v>chị hiền</v>
          </cell>
          <cell r="I1029" t="str">
            <v>Khách cũ</v>
          </cell>
          <cell r="J1029" t="str">
            <v>Đơn bán</v>
          </cell>
          <cell r="K1029" t="str">
            <v>SAKUKO790344</v>
          </cell>
          <cell r="L1029" t="str">
            <v>ĐỒ CHO MẸ BÉ</v>
          </cell>
          <cell r="M1029" t="str">
            <v>GIẤY ƯỚT</v>
          </cell>
          <cell r="N1029" t="str">
            <v>GIẤY ƯỚT CHO BÉ</v>
          </cell>
          <cell r="O1029" t="str">
            <v>121663</v>
          </cell>
          <cell r="P1029" t="str">
            <v>8934755035197</v>
          </cell>
          <cell r="Q1029" t="str">
            <v>FRESSI- Khăn ướt Care For All 100 miếng</v>
          </cell>
          <cell r="R1029">
            <v>49000</v>
          </cell>
          <cell r="S1029">
            <v>1</v>
          </cell>
          <cell r="T1029">
            <v>49000</v>
          </cell>
          <cell r="U1029">
            <v>0</v>
          </cell>
          <cell r="V1029">
            <v>49000</v>
          </cell>
          <cell r="W1029" t="str">
            <v>8934755035197</v>
          </cell>
        </row>
        <row r="1030">
          <cell r="A1030">
            <v>2026</v>
          </cell>
          <cell r="B1030">
            <v>5</v>
          </cell>
          <cell r="C1030">
            <v>46169</v>
          </cell>
          <cell r="D1030" t="str">
            <v>1. SKK store</v>
          </cell>
          <cell r="E1030" t="str">
            <v>S1007</v>
          </cell>
          <cell r="F1030" t="str">
            <v>SKK  Nguyễn Du</v>
          </cell>
          <cell r="G1030" t="str">
            <v>0862954339</v>
          </cell>
          <cell r="H1030" t="str">
            <v>Klnd</v>
          </cell>
          <cell r="I1030" t="str">
            <v>Khách vãng lai</v>
          </cell>
          <cell r="J1030" t="str">
            <v>Đơn bán</v>
          </cell>
          <cell r="K1030" t="str">
            <v>SAKUKO789947</v>
          </cell>
          <cell r="L1030" t="str">
            <v>ĐỒ CHO MẸ BÉ</v>
          </cell>
          <cell r="M1030" t="str">
            <v>GIẤY ƯỚT</v>
          </cell>
          <cell r="N1030" t="str">
            <v>GIẤY ƯỚT CHO BÉ</v>
          </cell>
          <cell r="O1030" t="str">
            <v>121665</v>
          </cell>
          <cell r="P1030" t="str">
            <v>8934755035289</v>
          </cell>
          <cell r="Q1030" t="str">
            <v>BOBBY- Khăn ướt em bé không mùi 100 miếng</v>
          </cell>
          <cell r="R1030">
            <v>46000</v>
          </cell>
          <cell r="S1030">
            <v>1</v>
          </cell>
          <cell r="T1030">
            <v>46000</v>
          </cell>
          <cell r="U1030">
            <v>0</v>
          </cell>
          <cell r="V1030">
            <v>46000</v>
          </cell>
          <cell r="W1030" t="str">
            <v>8934755035289</v>
          </cell>
        </row>
        <row r="1031">
          <cell r="A1031">
            <v>2026</v>
          </cell>
          <cell r="B1031">
            <v>5</v>
          </cell>
          <cell r="C1031">
            <v>46169</v>
          </cell>
          <cell r="D1031" t="str">
            <v>1. SKK store</v>
          </cell>
          <cell r="E1031" t="str">
            <v>S1008</v>
          </cell>
          <cell r="F1031" t="str">
            <v>SKK  Hàng Bông</v>
          </cell>
          <cell r="G1031" t="str">
            <v>0912473223</v>
          </cell>
          <cell r="H1031" t="str">
            <v>Chị Huyền</v>
          </cell>
          <cell r="I1031" t="str">
            <v>Khách cũ</v>
          </cell>
          <cell r="J1031" t="str">
            <v>Đơn bán</v>
          </cell>
          <cell r="K1031" t="str">
            <v>SAKUKO790453</v>
          </cell>
          <cell r="L1031" t="str">
            <v>CHĂM SÓC SẮC ĐẸP</v>
          </cell>
          <cell r="M1031" t="str">
            <v>CHĂM SÓC DA</v>
          </cell>
          <cell r="N1031" t="str">
            <v>RỬA MẶT</v>
          </cell>
          <cell r="O1031" t="str">
            <v>102421</v>
          </cell>
          <cell r="P1031" t="str">
            <v>4902468819032</v>
          </cell>
          <cell r="Q1031" t="str">
            <v>MEISHOU- Sữa rửa mặt làm sạch thuần chay 100g</v>
          </cell>
          <cell r="R1031">
            <v>295000</v>
          </cell>
          <cell r="S1031">
            <v>1</v>
          </cell>
          <cell r="T1031">
            <v>295000</v>
          </cell>
          <cell r="U1031">
            <v>0</v>
          </cell>
          <cell r="V1031">
            <v>295000</v>
          </cell>
          <cell r="W1031" t="str">
            <v>4902468819032</v>
          </cell>
        </row>
        <row r="1032">
          <cell r="A1032">
            <v>2026</v>
          </cell>
          <cell r="B1032">
            <v>5</v>
          </cell>
          <cell r="C1032">
            <v>46169</v>
          </cell>
          <cell r="D1032" t="str">
            <v>1. SKK store</v>
          </cell>
          <cell r="E1032" t="str">
            <v>S1008</v>
          </cell>
          <cell r="F1032" t="str">
            <v>SKK  Hàng Bông</v>
          </cell>
          <cell r="G1032" t="str">
            <v>0942986885</v>
          </cell>
          <cell r="H1032" t="str">
            <v>Lê Nguyễn Gíang</v>
          </cell>
          <cell r="I1032" t="str">
            <v>Khách cũ</v>
          </cell>
          <cell r="J1032" t="str">
            <v>Đơn bán</v>
          </cell>
          <cell r="K1032" t="str">
            <v>SAKUKO790197</v>
          </cell>
          <cell r="L1032" t="str">
            <v>CHĂM SÓC SẮC ĐẸP</v>
          </cell>
          <cell r="M1032" t="str">
            <v>CHĂM SÓC DA</v>
          </cell>
          <cell r="N1032" t="str">
            <v>RỬA MẶT</v>
          </cell>
          <cell r="O1032" t="str">
            <v>230269</v>
          </cell>
          <cell r="P1032" t="str">
            <v>4987241173242</v>
          </cell>
          <cell r="Q1032" t="str">
            <v>ROHTO- SRM Melano CC mờ thâm nám (130g)</v>
          </cell>
          <cell r="R1032">
            <v>294000</v>
          </cell>
          <cell r="S1032">
            <v>1</v>
          </cell>
          <cell r="T1032">
            <v>294000</v>
          </cell>
          <cell r="U1032">
            <v>0</v>
          </cell>
          <cell r="V1032">
            <v>294000</v>
          </cell>
          <cell r="W1032" t="str">
            <v>4987241173242</v>
          </cell>
        </row>
        <row r="1033">
          <cell r="A1033">
            <v>2026</v>
          </cell>
          <cell r="B1033">
            <v>5</v>
          </cell>
          <cell r="C1033">
            <v>46168</v>
          </cell>
          <cell r="D1033" t="str">
            <v>1. SKK store</v>
          </cell>
          <cell r="E1033" t="str">
            <v>S1004</v>
          </cell>
          <cell r="F1033" t="str">
            <v>SKK  Mandarin C1</v>
          </cell>
          <cell r="G1033" t="str">
            <v>02466810404</v>
          </cell>
          <cell r="H1033" t="str">
            <v>KLHMG</v>
          </cell>
          <cell r="I1033" t="str">
            <v>Khách vãng lai</v>
          </cell>
          <cell r="J1033" t="str">
            <v>Đơn bán</v>
          </cell>
          <cell r="K1033" t="str">
            <v>SAKUKO789395</v>
          </cell>
          <cell r="L1033" t="str">
            <v>THỰC PHẨM</v>
          </cell>
          <cell r="M1033" t="str">
            <v>MỲ, MIẾN</v>
          </cell>
          <cell r="N1033" t="str">
            <v>MỲ CHẾ BIẾN</v>
          </cell>
          <cell r="O1033" t="str">
            <v>154251</v>
          </cell>
          <cell r="P1033" t="str">
            <v>4560159440776</v>
          </cell>
          <cell r="Q1033" t="str">
            <v>SATO_Mì soba khô 800g</v>
          </cell>
          <cell r="R1033">
            <v>104000</v>
          </cell>
          <cell r="S1033">
            <v>1</v>
          </cell>
          <cell r="T1033">
            <v>104000</v>
          </cell>
          <cell r="U1033">
            <v>0</v>
          </cell>
          <cell r="V1033">
            <v>104000</v>
          </cell>
          <cell r="W1033" t="str">
            <v>4560159440776</v>
          </cell>
        </row>
        <row r="1034">
          <cell r="A1034">
            <v>2026</v>
          </cell>
          <cell r="B1034">
            <v>5</v>
          </cell>
          <cell r="C1034">
            <v>46168</v>
          </cell>
          <cell r="D1034" t="str">
            <v>1. SKK store</v>
          </cell>
          <cell r="E1034" t="str">
            <v>S1004</v>
          </cell>
          <cell r="F1034" t="str">
            <v>SKK  Mandarin C1</v>
          </cell>
          <cell r="G1034" t="str">
            <v>0983024223</v>
          </cell>
          <cell r="H1034" t="str">
            <v>Chú Cường</v>
          </cell>
          <cell r="I1034" t="str">
            <v>Khách mới</v>
          </cell>
          <cell r="J1034" t="str">
            <v>Đơn bán</v>
          </cell>
          <cell r="K1034" t="str">
            <v>SAKUKO789312</v>
          </cell>
          <cell r="L1034" t="str">
            <v>CHĂM SÓC SẮC ĐẸP</v>
          </cell>
          <cell r="M1034" t="str">
            <v>CHĂM SÓC DA</v>
          </cell>
          <cell r="N1034" t="str">
            <v>RỬA MẶT</v>
          </cell>
          <cell r="O1034" t="str">
            <v>102421</v>
          </cell>
          <cell r="P1034" t="str">
            <v>4902468819032</v>
          </cell>
          <cell r="Q1034" t="str">
            <v>MEISHOU- Sữa rửa mặt làm sạch thuần chay 100g</v>
          </cell>
          <cell r="R1034">
            <v>295000</v>
          </cell>
          <cell r="S1034">
            <v>1</v>
          </cell>
          <cell r="T1034">
            <v>295000</v>
          </cell>
          <cell r="U1034">
            <v>0</v>
          </cell>
          <cell r="V1034">
            <v>295000</v>
          </cell>
          <cell r="W1034" t="str">
            <v>4902468819032</v>
          </cell>
        </row>
        <row r="1035">
          <cell r="A1035">
            <v>2026</v>
          </cell>
          <cell r="B1035">
            <v>5</v>
          </cell>
          <cell r="C1035">
            <v>46168</v>
          </cell>
          <cell r="D1035" t="str">
            <v>1. SKK store</v>
          </cell>
          <cell r="E1035" t="str">
            <v>S1004</v>
          </cell>
          <cell r="F1035" t="str">
            <v>SKK  Mandarin C1</v>
          </cell>
          <cell r="G1035" t="str">
            <v>0983551829</v>
          </cell>
          <cell r="H1035" t="str">
            <v>Anh Hùng</v>
          </cell>
          <cell r="I1035" t="str">
            <v>Khách cũ</v>
          </cell>
          <cell r="J1035" t="str">
            <v>Đơn bán</v>
          </cell>
          <cell r="K1035" t="str">
            <v>SAKUKO789743</v>
          </cell>
          <cell r="L1035" t="str">
            <v>CHĂM SÓC SẮC ĐẸP</v>
          </cell>
          <cell r="M1035" t="str">
            <v>CHĂM SÓC DA</v>
          </cell>
          <cell r="N1035" t="str">
            <v>KEM DƯỠNG</v>
          </cell>
          <cell r="O1035" t="str">
            <v>102384</v>
          </cell>
          <cell r="P1035" t="str">
            <v>4902468820014</v>
          </cell>
          <cell r="Q1035" t="str">
            <v>MEISHOKU- Kem gel dưỡng ẩm phục hồi chuyên sâu 50g</v>
          </cell>
          <cell r="R1035">
            <v>575000</v>
          </cell>
          <cell r="S1035">
            <v>1</v>
          </cell>
          <cell r="T1035">
            <v>575000</v>
          </cell>
          <cell r="U1035">
            <v>0</v>
          </cell>
          <cell r="V1035">
            <v>575000</v>
          </cell>
          <cell r="W1035" t="str">
            <v>4902468820014</v>
          </cell>
        </row>
        <row r="1036">
          <cell r="A1036">
            <v>2026</v>
          </cell>
          <cell r="B1036">
            <v>5</v>
          </cell>
          <cell r="C1036">
            <v>46168</v>
          </cell>
          <cell r="D1036" t="str">
            <v>1. SKK store</v>
          </cell>
          <cell r="E1036" t="str">
            <v>S1005</v>
          </cell>
          <cell r="F1036" t="str">
            <v>SKK  Thái Hà</v>
          </cell>
          <cell r="G1036" t="str">
            <v>0915481357</v>
          </cell>
          <cell r="H1036" t="str">
            <v>Chị Trang</v>
          </cell>
          <cell r="I1036" t="str">
            <v>Khách cũ</v>
          </cell>
          <cell r="J1036" t="str">
            <v>Đơn bán</v>
          </cell>
          <cell r="K1036" t="str">
            <v>SAKUKO789189</v>
          </cell>
          <cell r="L1036" t="str">
            <v>CHĂM SÓC SẮC ĐẸP</v>
          </cell>
          <cell r="M1036" t="str">
            <v>CHĂM SÓC DA</v>
          </cell>
          <cell r="N1036" t="str">
            <v>CHĂM SÓC DA KHÁC</v>
          </cell>
          <cell r="O1036" t="str">
            <v>102388</v>
          </cell>
          <cell r="P1036" t="str">
            <v>8935006542914</v>
          </cell>
          <cell r="Q1036" t="str">
            <v>HADA LABO- Bộ sản phẩm dưỡng trắng (travel kit)47g</v>
          </cell>
          <cell r="R1036">
            <v>135000</v>
          </cell>
          <cell r="S1036">
            <v>1</v>
          </cell>
          <cell r="T1036">
            <v>135000</v>
          </cell>
          <cell r="U1036">
            <v>0</v>
          </cell>
          <cell r="V1036">
            <v>135000</v>
          </cell>
          <cell r="W1036" t="str">
            <v>8935006542914</v>
          </cell>
        </row>
        <row r="1037">
          <cell r="A1037">
            <v>2026</v>
          </cell>
          <cell r="B1037">
            <v>5</v>
          </cell>
          <cell r="C1037">
            <v>46168</v>
          </cell>
          <cell r="D1037" t="str">
            <v>1. SKK store</v>
          </cell>
          <cell r="E1037" t="str">
            <v>S1006</v>
          </cell>
          <cell r="F1037" t="str">
            <v>SKK Trần Đăng Ninh</v>
          </cell>
          <cell r="G1037" t="str">
            <v>0983855468</v>
          </cell>
          <cell r="H1037" t="str">
            <v>Cô Phạm Kim Liên</v>
          </cell>
          <cell r="I1037" t="str">
            <v>Khách cũ</v>
          </cell>
          <cell r="J1037" t="str">
            <v>Đơn bán</v>
          </cell>
          <cell r="K1037" t="str">
            <v>SAKUKO789581</v>
          </cell>
          <cell r="L1037" t="str">
            <v>ĐỒ CHO MẸ BÉ</v>
          </cell>
          <cell r="M1037" t="str">
            <v>GIẤY ƯỚT</v>
          </cell>
          <cell r="N1037" t="str">
            <v>GIẤY ƯỚT CHO BÉ</v>
          </cell>
          <cell r="O1037" t="str">
            <v>121662</v>
          </cell>
          <cell r="P1037" t="str">
            <v>8934755035036</v>
          </cell>
          <cell r="Q1037" t="str">
            <v>FRESSI- Khăn ướt Care For All 20 miếng</v>
          </cell>
          <cell r="R1037">
            <v>14000</v>
          </cell>
          <cell r="S1037">
            <v>1</v>
          </cell>
          <cell r="T1037">
            <v>14000</v>
          </cell>
          <cell r="U1037">
            <v>0</v>
          </cell>
          <cell r="V1037">
            <v>14000</v>
          </cell>
          <cell r="W1037" t="str">
            <v>8934755035036</v>
          </cell>
        </row>
        <row r="1038">
          <cell r="A1038">
            <v>2026</v>
          </cell>
          <cell r="B1038">
            <v>5</v>
          </cell>
          <cell r="C1038">
            <v>46168</v>
          </cell>
          <cell r="D1038" t="str">
            <v>1. SKK store</v>
          </cell>
          <cell r="E1038" t="str">
            <v>S1006</v>
          </cell>
          <cell r="F1038" t="str">
            <v>SKK Trần Đăng Ninh</v>
          </cell>
          <cell r="G1038" t="str">
            <v>0985388459</v>
          </cell>
          <cell r="H1038" t="str">
            <v>Nguyễn Thị Thu Hiền</v>
          </cell>
          <cell r="I1038" t="str">
            <v>Khách cũ</v>
          </cell>
          <cell r="J1038" t="str">
            <v>Đơn bán</v>
          </cell>
          <cell r="K1038" t="str">
            <v>SAKUKO788970</v>
          </cell>
          <cell r="L1038" t="str">
            <v>CHĂM SÓC SẮC ĐẸP</v>
          </cell>
          <cell r="M1038" t="str">
            <v>CHĂM SÓC DA</v>
          </cell>
          <cell r="N1038" t="str">
            <v>RỬA MẶT</v>
          </cell>
          <cell r="O1038" t="str">
            <v>230269</v>
          </cell>
          <cell r="P1038" t="str">
            <v>4987241173242</v>
          </cell>
          <cell r="Q1038" t="str">
            <v>ROHTO- SRM Melano CC mờ thâm nám (130g)</v>
          </cell>
          <cell r="R1038">
            <v>294000</v>
          </cell>
          <cell r="S1038">
            <v>1</v>
          </cell>
          <cell r="T1038">
            <v>294000</v>
          </cell>
          <cell r="U1038">
            <v>0</v>
          </cell>
          <cell r="V1038">
            <v>294000</v>
          </cell>
          <cell r="W1038" t="str">
            <v>4987241173242</v>
          </cell>
        </row>
        <row r="1039">
          <cell r="A1039">
            <v>2026</v>
          </cell>
          <cell r="B1039">
            <v>5</v>
          </cell>
          <cell r="C1039">
            <v>46168</v>
          </cell>
          <cell r="D1039" t="str">
            <v>1. SKK store</v>
          </cell>
          <cell r="E1039" t="str">
            <v>S1007</v>
          </cell>
          <cell r="F1039" t="str">
            <v>SKK  Nguyễn Du</v>
          </cell>
          <cell r="G1039" t="str">
            <v>0862954339</v>
          </cell>
          <cell r="H1039" t="str">
            <v>Klnd</v>
          </cell>
          <cell r="I1039" t="str">
            <v>Khách vãng lai</v>
          </cell>
          <cell r="J1039" t="str">
            <v>Đơn bán</v>
          </cell>
          <cell r="K1039" t="str">
            <v>SAKUKO789097</v>
          </cell>
          <cell r="L1039" t="str">
            <v>ĐỒ CHO MẸ BÉ</v>
          </cell>
          <cell r="M1039" t="str">
            <v>GIẤY ƯỚT</v>
          </cell>
          <cell r="N1039" t="str">
            <v>GIẤY ƯỚT CHO BÉ</v>
          </cell>
          <cell r="O1039" t="str">
            <v>121662</v>
          </cell>
          <cell r="P1039" t="str">
            <v>8934755035036</v>
          </cell>
          <cell r="Q1039" t="str">
            <v>FRESSI- Khăn ướt Care For All 20 miếng</v>
          </cell>
          <cell r="R1039">
            <v>14000</v>
          </cell>
          <cell r="S1039">
            <v>1</v>
          </cell>
          <cell r="T1039">
            <v>14000</v>
          </cell>
          <cell r="U1039">
            <v>0</v>
          </cell>
          <cell r="V1039">
            <v>14000</v>
          </cell>
          <cell r="W1039" t="str">
            <v>8934755035036</v>
          </cell>
        </row>
        <row r="1040">
          <cell r="A1040">
            <v>2026</v>
          </cell>
          <cell r="B1040">
            <v>5</v>
          </cell>
          <cell r="C1040">
            <v>46168</v>
          </cell>
          <cell r="D1040" t="str">
            <v>1. SKK store</v>
          </cell>
          <cell r="E1040" t="str">
            <v>S1008</v>
          </cell>
          <cell r="F1040" t="str">
            <v>SKK  Hàng Bông</v>
          </cell>
          <cell r="G1040" t="str">
            <v>0862947989</v>
          </cell>
          <cell r="H1040" t="str">
            <v>KLHB</v>
          </cell>
          <cell r="I1040" t="str">
            <v>Khách vãng lai</v>
          </cell>
          <cell r="J1040" t="str">
            <v>Đơn bán</v>
          </cell>
          <cell r="K1040" t="str">
            <v>SAKUKO788985</v>
          </cell>
          <cell r="L1040" t="str">
            <v>THỰC PHẨM</v>
          </cell>
          <cell r="M1040" t="str">
            <v>BÁNH KẸO, ĐỒ ĂN VẶT</v>
          </cell>
          <cell r="N1040" t="str">
            <v>KẸO CAO SU</v>
          </cell>
          <cell r="O1040" t="str">
            <v>231377</v>
          </cell>
          <cell r="P1040" t="str">
            <v>4903333200375</v>
          </cell>
          <cell r="Q1040" t="str">
            <v>LOTTE-Kẹo cao su tổng hợp dạng lọ 114g</v>
          </cell>
          <cell r="R1040">
            <v>235000</v>
          </cell>
          <cell r="S1040">
            <v>1</v>
          </cell>
          <cell r="T1040">
            <v>235000</v>
          </cell>
          <cell r="U1040">
            <v>0</v>
          </cell>
          <cell r="V1040">
            <v>235000</v>
          </cell>
          <cell r="W1040" t="str">
            <v>4903333200375</v>
          </cell>
        </row>
        <row r="1041">
          <cell r="A1041">
            <v>2026</v>
          </cell>
          <cell r="B1041">
            <v>5</v>
          </cell>
          <cell r="C1041">
            <v>46168</v>
          </cell>
          <cell r="D1041" t="str">
            <v>1. SKK store</v>
          </cell>
          <cell r="E1041" t="str">
            <v>S1008</v>
          </cell>
          <cell r="F1041" t="str">
            <v>SKK  Hàng Bông</v>
          </cell>
          <cell r="G1041" t="str">
            <v>0942832411</v>
          </cell>
          <cell r="H1041" t="str">
            <v>Anh Lâm</v>
          </cell>
          <cell r="I1041" t="str">
            <v>Khách cũ</v>
          </cell>
          <cell r="J1041" t="str">
            <v>Đơn bán</v>
          </cell>
          <cell r="K1041" t="str">
            <v>SAKUKO789107</v>
          </cell>
          <cell r="L1041" t="str">
            <v>NHÀ CỬA ĐỜI SỐNG</v>
          </cell>
          <cell r="M1041" t="str">
            <v>PHÒNG CHỐNG CÔN TRÙNG</v>
          </cell>
          <cell r="N1041" t="str">
            <v>DIỆT CÔN TRÙNG</v>
          </cell>
          <cell r="O1041" t="str">
            <v>134478</v>
          </cell>
          <cell r="P1041" t="str">
            <v>4987115545939</v>
          </cell>
          <cell r="Q1041" t="str">
            <v>KINCHO-DD làm thơm phòng đuổi muỗi (không mùi)</v>
          </cell>
          <cell r="R1041">
            <v>199000</v>
          </cell>
          <cell r="S1041">
            <v>1</v>
          </cell>
          <cell r="T1041">
            <v>199000</v>
          </cell>
          <cell r="U1041">
            <v>9950</v>
          </cell>
          <cell r="V1041">
            <v>189050</v>
          </cell>
          <cell r="W1041" t="str">
            <v>4987115545939</v>
          </cell>
        </row>
        <row r="1042">
          <cell r="A1042">
            <v>2026</v>
          </cell>
          <cell r="B1042">
            <v>5</v>
          </cell>
          <cell r="C1042">
            <v>46168</v>
          </cell>
          <cell r="D1042" t="str">
            <v>1. SKK store</v>
          </cell>
          <cell r="E1042" t="str">
            <v>S1008</v>
          </cell>
          <cell r="F1042" t="str">
            <v>SKK  Hàng Bông</v>
          </cell>
          <cell r="G1042" t="str">
            <v>0986711691</v>
          </cell>
          <cell r="H1042" t="str">
            <v>CHỊ MAI ANH</v>
          </cell>
          <cell r="I1042" t="str">
            <v>Khách cũ</v>
          </cell>
          <cell r="J1042" t="str">
            <v>Đơn bán</v>
          </cell>
          <cell r="K1042" t="str">
            <v>SAKUKO789649</v>
          </cell>
          <cell r="L1042" t="str">
            <v>CHĂM SÓC SẮC ĐẸP</v>
          </cell>
          <cell r="M1042" t="str">
            <v>CHĂM SÓC DA</v>
          </cell>
          <cell r="N1042" t="str">
            <v>KEM DƯỠNG</v>
          </cell>
          <cell r="O1042" t="str">
            <v>102384</v>
          </cell>
          <cell r="P1042" t="str">
            <v>4902468820014</v>
          </cell>
          <cell r="Q1042" t="str">
            <v>MEISHOKU- Kem gel dưỡng ẩm phục hồi chuyên sâu 50g</v>
          </cell>
          <cell r="R1042">
            <v>575000</v>
          </cell>
          <cell r="S1042">
            <v>1</v>
          </cell>
          <cell r="T1042">
            <v>575000</v>
          </cell>
          <cell r="U1042">
            <v>0</v>
          </cell>
          <cell r="V1042">
            <v>575000</v>
          </cell>
          <cell r="W1042" t="str">
            <v>4902468820014</v>
          </cell>
        </row>
        <row r="1043">
          <cell r="A1043">
            <v>2026</v>
          </cell>
          <cell r="B1043">
            <v>5</v>
          </cell>
          <cell r="C1043">
            <v>46168</v>
          </cell>
          <cell r="D1043" t="str">
            <v>1. SKK store</v>
          </cell>
          <cell r="E1043" t="str">
            <v>S1008</v>
          </cell>
          <cell r="F1043" t="str">
            <v>SKK  Hàng Bông</v>
          </cell>
          <cell r="G1043" t="str">
            <v>0988752119</v>
          </cell>
          <cell r="H1043" t="str">
            <v>C Thủy</v>
          </cell>
          <cell r="I1043" t="str">
            <v>Khách cũ</v>
          </cell>
          <cell r="J1043" t="str">
            <v>Đơn bán</v>
          </cell>
          <cell r="K1043" t="str">
            <v>SAKUKO789439</v>
          </cell>
          <cell r="L1043" t="str">
            <v>CHĂM SÓC SẮC ĐẸP</v>
          </cell>
          <cell r="M1043" t="str">
            <v>CHĂM SÓC DA</v>
          </cell>
          <cell r="N1043" t="str">
            <v>KEM DƯỠNG</v>
          </cell>
          <cell r="O1043" t="str">
            <v>102416</v>
          </cell>
          <cell r="P1043" t="str">
            <v>4902468816017</v>
          </cell>
          <cell r="Q1043" t="str">
            <v>MEISHOKU- Kem dưỡng trắng mịn Cvita 45g</v>
          </cell>
          <cell r="R1043">
            <v>455000</v>
          </cell>
          <cell r="S1043">
            <v>1</v>
          </cell>
          <cell r="T1043">
            <v>455000</v>
          </cell>
          <cell r="U1043">
            <v>0</v>
          </cell>
          <cell r="V1043">
            <v>455000</v>
          </cell>
          <cell r="W1043" t="str">
            <v>4902468816017</v>
          </cell>
        </row>
        <row r="1044">
          <cell r="A1044">
            <v>2026</v>
          </cell>
          <cell r="B1044">
            <v>5</v>
          </cell>
          <cell r="C1044">
            <v>46168</v>
          </cell>
          <cell r="D1044" t="str">
            <v>1. SKK store</v>
          </cell>
          <cell r="E1044" t="str">
            <v>S1025</v>
          </cell>
          <cell r="F1044" t="str">
            <v>SKK T6 Time City</v>
          </cell>
          <cell r="G1044" t="str">
            <v>0338832231</v>
          </cell>
          <cell r="H1044" t="str">
            <v>Anh Thành</v>
          </cell>
          <cell r="I1044" t="str">
            <v>Khách cũ</v>
          </cell>
          <cell r="J1044" t="str">
            <v>Đơn bán</v>
          </cell>
          <cell r="K1044" t="str">
            <v>SAKUKO789104</v>
          </cell>
          <cell r="L1044" t="str">
            <v>ĐỒ CHO MẸ BÉ</v>
          </cell>
          <cell r="M1044" t="str">
            <v>CHĂM SÓC CƠ THỂ BÉ</v>
          </cell>
          <cell r="N1044" t="str">
            <v>THỰC PHẨM CHỨC NĂNG CHO BÉ</v>
          </cell>
          <cell r="O1044" t="str">
            <v>121667</v>
          </cell>
          <cell r="P1044" t="str">
            <v>8436036590635</v>
          </cell>
          <cell r="Q1044" t="str">
            <v>NEO KIDS-TPBVSK Gummies K2ALCIUM+150g</v>
          </cell>
          <cell r="R1044">
            <v>390000</v>
          </cell>
          <cell r="S1044">
            <v>1</v>
          </cell>
          <cell r="T1044">
            <v>390000</v>
          </cell>
          <cell r="U1044">
            <v>0</v>
          </cell>
          <cell r="V1044">
            <v>390000</v>
          </cell>
          <cell r="W1044" t="str">
            <v>8436036590635</v>
          </cell>
        </row>
        <row r="1045">
          <cell r="A1045">
            <v>2026</v>
          </cell>
          <cell r="B1045">
            <v>5</v>
          </cell>
          <cell r="C1045">
            <v>46168</v>
          </cell>
          <cell r="D1045" t="str">
            <v>1. SKK store</v>
          </cell>
          <cell r="E1045" t="str">
            <v>S1025</v>
          </cell>
          <cell r="F1045" t="str">
            <v>SKK T6 Time City</v>
          </cell>
          <cell r="G1045" t="str">
            <v>0382071305</v>
          </cell>
          <cell r="H1045" t="str">
            <v>Chị Thủy</v>
          </cell>
          <cell r="I1045" t="str">
            <v>Khách cũ</v>
          </cell>
          <cell r="J1045" t="str">
            <v>Đơn bán</v>
          </cell>
          <cell r="K1045" t="str">
            <v>SAKUKO789549</v>
          </cell>
          <cell r="L1045" t="str">
            <v>ĐỒ CHO MẸ BÉ</v>
          </cell>
          <cell r="M1045" t="str">
            <v>GIẤY ƯỚT</v>
          </cell>
          <cell r="N1045" t="str">
            <v>GIẤY ƯỚT CHO BÉ</v>
          </cell>
          <cell r="O1045" t="str">
            <v>121662</v>
          </cell>
          <cell r="P1045" t="str">
            <v>8934755035036</v>
          </cell>
          <cell r="Q1045" t="str">
            <v>FRESSI- Khăn ướt Care For All 20 miếng</v>
          </cell>
          <cell r="R1045">
            <v>14000</v>
          </cell>
          <cell r="S1045">
            <v>1</v>
          </cell>
          <cell r="T1045">
            <v>14000</v>
          </cell>
          <cell r="U1045">
            <v>0</v>
          </cell>
          <cell r="V1045">
            <v>14000</v>
          </cell>
          <cell r="W1045" t="str">
            <v>8934755035036</v>
          </cell>
        </row>
        <row r="1046">
          <cell r="A1046">
            <v>2026</v>
          </cell>
          <cell r="B1046">
            <v>5</v>
          </cell>
          <cell r="C1046">
            <v>46167</v>
          </cell>
          <cell r="D1046" t="str">
            <v>1. SKK store</v>
          </cell>
          <cell r="E1046" t="str">
            <v>S1005</v>
          </cell>
          <cell r="F1046" t="str">
            <v>SKK  Thái Hà</v>
          </cell>
          <cell r="G1046" t="str">
            <v>0905508082</v>
          </cell>
          <cell r="H1046" t="str">
            <v>Chị Ngô Quỳnh Nga</v>
          </cell>
          <cell r="I1046" t="str">
            <v>Khách mới</v>
          </cell>
          <cell r="J1046" t="str">
            <v>Đơn bán</v>
          </cell>
          <cell r="K1046" t="str">
            <v>SAKUKO788466</v>
          </cell>
          <cell r="L1046" t="str">
            <v>THỰC PHẨM</v>
          </cell>
          <cell r="M1046" t="str">
            <v>BÁNH KẸO, ĐỒ ĂN VẶT</v>
          </cell>
          <cell r="N1046" t="str">
            <v>KẸO CAO SU</v>
          </cell>
          <cell r="O1046" t="str">
            <v>231376</v>
          </cell>
          <cell r="P1046" t="str">
            <v>4903333228577</v>
          </cell>
          <cell r="Q1046" t="str">
            <v>LOTTE-Kẹo cao su tổng hợp 7 loại dạng lọ 133g</v>
          </cell>
          <cell r="R1046">
            <v>235000</v>
          </cell>
          <cell r="S1046">
            <v>1</v>
          </cell>
          <cell r="T1046">
            <v>235000</v>
          </cell>
          <cell r="U1046">
            <v>0</v>
          </cell>
          <cell r="V1046">
            <v>235000</v>
          </cell>
          <cell r="W1046" t="str">
            <v>4903333228577</v>
          </cell>
        </row>
        <row r="1047">
          <cell r="A1047">
            <v>2026</v>
          </cell>
          <cell r="B1047">
            <v>5</v>
          </cell>
          <cell r="C1047">
            <v>46167</v>
          </cell>
          <cell r="D1047" t="str">
            <v>1. SKK store</v>
          </cell>
          <cell r="E1047" t="str">
            <v>S1005</v>
          </cell>
          <cell r="F1047" t="str">
            <v>SKK  Thái Hà</v>
          </cell>
          <cell r="G1047" t="str">
            <v>0966769426</v>
          </cell>
          <cell r="H1047" t="str">
            <v>c tình</v>
          </cell>
          <cell r="I1047" t="str">
            <v>Khách cũ</v>
          </cell>
          <cell r="J1047" t="str">
            <v>Đơn bán</v>
          </cell>
          <cell r="K1047" t="str">
            <v>SAKUKO788621</v>
          </cell>
          <cell r="L1047" t="str">
            <v>NHÀ CỬA ĐỜI SỐNG</v>
          </cell>
          <cell r="M1047" t="str">
            <v>KHĂN</v>
          </cell>
          <cell r="N1047" t="str">
            <v>KHĂN MẶT</v>
          </cell>
          <cell r="O1047" t="str">
            <v>102390</v>
          </cell>
          <cell r="P1047" t="str">
            <v>4906327905980</v>
          </cell>
          <cell r="Q1047" t="str">
            <v>KOMODA - Khăn mặt khô dùng 1 lần 46m 20x20cm</v>
          </cell>
          <cell r="R1047">
            <v>52000</v>
          </cell>
          <cell r="S1047">
            <v>1</v>
          </cell>
          <cell r="T1047">
            <v>52000</v>
          </cell>
          <cell r="U1047">
            <v>0</v>
          </cell>
          <cell r="V1047">
            <v>52000</v>
          </cell>
          <cell r="W1047" t="str">
            <v>4906327905980</v>
          </cell>
        </row>
        <row r="1048">
          <cell r="A1048">
            <v>2026</v>
          </cell>
          <cell r="B1048">
            <v>5</v>
          </cell>
          <cell r="C1048">
            <v>46167</v>
          </cell>
          <cell r="D1048" t="str">
            <v>1. SKK store</v>
          </cell>
          <cell r="E1048" t="str">
            <v>S1006</v>
          </cell>
          <cell r="F1048" t="str">
            <v>SKK Trần Đăng Ninh</v>
          </cell>
          <cell r="G1048" t="str">
            <v>0862954688</v>
          </cell>
          <cell r="H1048" t="str">
            <v>KLTDN</v>
          </cell>
          <cell r="I1048" t="str">
            <v>Khách vãng lai</v>
          </cell>
          <cell r="J1048" t="str">
            <v>Đơn bán</v>
          </cell>
          <cell r="K1048" t="str">
            <v>SAKUKO788463</v>
          </cell>
          <cell r="L1048" t="str">
            <v>NHÀ CỬA ĐỜI SỐNG</v>
          </cell>
          <cell r="M1048" t="str">
            <v>ĐỒ DÙNG SINH HOẠT GIA ĐÌNH</v>
          </cell>
          <cell r="N1048" t="str">
            <v>VẬT DỤNG SINH HOẠT KHÁC</v>
          </cell>
          <cell r="O1048" t="str">
            <v>135039</v>
          </cell>
          <cell r="P1048" t="str">
            <v>4968988074993</v>
          </cell>
          <cell r="Q1048" t="str">
            <v>OMAICHI- Set 2 lọ chiết mỹ phẩm 40ml kèm hộp đựng</v>
          </cell>
          <cell r="R1048">
            <v>52000</v>
          </cell>
          <cell r="S1048">
            <v>1</v>
          </cell>
          <cell r="T1048">
            <v>52000</v>
          </cell>
          <cell r="U1048">
            <v>0</v>
          </cell>
          <cell r="V1048">
            <v>52000</v>
          </cell>
          <cell r="W1048" t="str">
            <v>4968988074993</v>
          </cell>
        </row>
        <row r="1049">
          <cell r="A1049">
            <v>2026</v>
          </cell>
          <cell r="B1049">
            <v>5</v>
          </cell>
          <cell r="C1049">
            <v>46167</v>
          </cell>
          <cell r="D1049" t="str">
            <v>1. SKK store</v>
          </cell>
          <cell r="E1049" t="str">
            <v>S1007</v>
          </cell>
          <cell r="F1049" t="str">
            <v>SKK  Nguyễn Du</v>
          </cell>
          <cell r="G1049" t="str">
            <v>0888562299</v>
          </cell>
          <cell r="H1049" t="str">
            <v>Nguyễn Bích HẠnh</v>
          </cell>
          <cell r="I1049" t="str">
            <v>Khách cũ</v>
          </cell>
          <cell r="J1049" t="str">
            <v>Đơn bán</v>
          </cell>
          <cell r="K1049" t="str">
            <v>SAKUKO788133</v>
          </cell>
          <cell r="L1049" t="str">
            <v>CHĂM SÓC SẮC ĐẸP</v>
          </cell>
          <cell r="M1049" t="str">
            <v>CHĂM SÓC DA</v>
          </cell>
          <cell r="N1049" t="str">
            <v>KEM DƯỠNG</v>
          </cell>
          <cell r="O1049" t="str">
            <v>102384</v>
          </cell>
          <cell r="P1049" t="str">
            <v>4902468820014</v>
          </cell>
          <cell r="Q1049" t="str">
            <v>MEISHOKU- Kem gel dưỡng ẩm phục hồi chuyên sâu 50g</v>
          </cell>
          <cell r="R1049">
            <v>575000</v>
          </cell>
          <cell r="S1049">
            <v>1</v>
          </cell>
          <cell r="T1049">
            <v>575000</v>
          </cell>
          <cell r="U1049">
            <v>0</v>
          </cell>
          <cell r="V1049">
            <v>575000</v>
          </cell>
          <cell r="W1049" t="str">
            <v>4902468820014</v>
          </cell>
        </row>
        <row r="1050">
          <cell r="A1050">
            <v>2026</v>
          </cell>
          <cell r="B1050">
            <v>5</v>
          </cell>
          <cell r="C1050">
            <v>46167</v>
          </cell>
          <cell r="D1050" t="str">
            <v>1. SKK store</v>
          </cell>
          <cell r="E1050" t="str">
            <v>S1008</v>
          </cell>
          <cell r="F1050" t="str">
            <v>SKK  Hàng Bông</v>
          </cell>
          <cell r="G1050" t="str">
            <v>0903696611</v>
          </cell>
          <cell r="H1050" t="str">
            <v>anh Bảo</v>
          </cell>
          <cell r="I1050" t="str">
            <v>Khách mới</v>
          </cell>
          <cell r="J1050" t="str">
            <v>Đơn bán</v>
          </cell>
          <cell r="K1050" t="str">
            <v>SAKUKO788144</v>
          </cell>
          <cell r="L1050" t="str">
            <v>CHĂM SÓC SẮC ĐẸP</v>
          </cell>
          <cell r="M1050" t="str">
            <v>CHĂM SÓC DA</v>
          </cell>
          <cell r="N1050" t="str">
            <v>RỬA MẶT</v>
          </cell>
          <cell r="O1050" t="str">
            <v>102412</v>
          </cell>
          <cell r="P1050" t="str">
            <v>4902468802126</v>
          </cell>
          <cell r="Q1050" t="str">
            <v>MEISHOKU- SRM ngăn ngừa mụn Bigan 80g</v>
          </cell>
          <cell r="R1050">
            <v>255000</v>
          </cell>
          <cell r="S1050">
            <v>1</v>
          </cell>
          <cell r="T1050">
            <v>255000</v>
          </cell>
          <cell r="U1050">
            <v>0</v>
          </cell>
          <cell r="V1050">
            <v>255000</v>
          </cell>
          <cell r="W1050" t="str">
            <v>4902468802126</v>
          </cell>
        </row>
        <row r="1051">
          <cell r="A1051">
            <v>2026</v>
          </cell>
          <cell r="B1051">
            <v>5</v>
          </cell>
          <cell r="C1051">
            <v>46167</v>
          </cell>
          <cell r="D1051" t="str">
            <v>1. SKK store</v>
          </cell>
          <cell r="E1051" t="str">
            <v>S1015</v>
          </cell>
          <cell r="F1051" t="str">
            <v>SKK Hàm Nghi</v>
          </cell>
          <cell r="G1051" t="str">
            <v>0917879996</v>
          </cell>
          <cell r="H1051" t="str">
            <v>chị Hạnh</v>
          </cell>
          <cell r="I1051" t="str">
            <v>Khách cũ</v>
          </cell>
          <cell r="J1051" t="str">
            <v>Đơn bán</v>
          </cell>
          <cell r="K1051" t="str">
            <v>SAKUKO788789</v>
          </cell>
          <cell r="L1051" t="str">
            <v>CHĂM SÓC SẮC ĐẸP</v>
          </cell>
          <cell r="M1051" t="str">
            <v>CHĂM SÓC DA</v>
          </cell>
          <cell r="N1051" t="str">
            <v>RỬA MẶT</v>
          </cell>
          <cell r="O1051" t="str">
            <v>230269</v>
          </cell>
          <cell r="P1051" t="str">
            <v>4987241173242</v>
          </cell>
          <cell r="Q1051" t="str">
            <v>ROHTO- SRM Melano CC mờ thâm nám (130g)</v>
          </cell>
          <cell r="R1051">
            <v>294000</v>
          </cell>
          <cell r="S1051">
            <v>1</v>
          </cell>
          <cell r="T1051">
            <v>294000</v>
          </cell>
          <cell r="U1051">
            <v>35000</v>
          </cell>
          <cell r="V1051">
            <v>259000</v>
          </cell>
          <cell r="W1051" t="str">
            <v>4987241173242</v>
          </cell>
        </row>
        <row r="1052">
          <cell r="A1052">
            <v>2026</v>
          </cell>
          <cell r="B1052">
            <v>5</v>
          </cell>
          <cell r="C1052">
            <v>46167</v>
          </cell>
          <cell r="D1052" t="str">
            <v>1. SKK store</v>
          </cell>
          <cell r="E1052" t="str">
            <v>S1018</v>
          </cell>
          <cell r="F1052" t="str">
            <v>SKK Nguyễn Tuân</v>
          </cell>
          <cell r="G1052" t="str">
            <v>0912185590</v>
          </cell>
          <cell r="H1052" t="str">
            <v>Cô Canh</v>
          </cell>
          <cell r="I1052" t="str">
            <v>Khách cũ</v>
          </cell>
          <cell r="J1052" t="str">
            <v>Đơn bán</v>
          </cell>
          <cell r="K1052" t="str">
            <v>SAKUKO788307</v>
          </cell>
          <cell r="L1052" t="str">
            <v>THỰC PHẨM</v>
          </cell>
          <cell r="M1052" t="str">
            <v>MỲ, MIẾN</v>
          </cell>
          <cell r="N1052" t="str">
            <v>MỲ CHẾ BIẾN</v>
          </cell>
          <cell r="O1052" t="str">
            <v>174948</v>
          </cell>
          <cell r="P1052" t="str">
            <v>4582114354119</v>
          </cell>
          <cell r="Q1052" t="str">
            <v>SANUKISHISEI- Mì soumen 300g</v>
          </cell>
          <cell r="R1052">
            <v>35000</v>
          </cell>
          <cell r="S1052">
            <v>2</v>
          </cell>
          <cell r="T1052">
            <v>70000</v>
          </cell>
          <cell r="U1052">
            <v>0</v>
          </cell>
          <cell r="V1052">
            <v>70000</v>
          </cell>
          <cell r="W1052" t="str">
            <v>4582114354119</v>
          </cell>
        </row>
        <row r="1053">
          <cell r="A1053">
            <v>2026</v>
          </cell>
          <cell r="B1053">
            <v>5</v>
          </cell>
          <cell r="C1053">
            <v>46167</v>
          </cell>
          <cell r="D1053" t="str">
            <v>1. SKK store</v>
          </cell>
          <cell r="E1053" t="str">
            <v>S1025</v>
          </cell>
          <cell r="F1053" t="str">
            <v>SKK T6 Time City</v>
          </cell>
          <cell r="G1053" t="str">
            <v>0822921300</v>
          </cell>
          <cell r="H1053" t="str">
            <v>NGUYỄN GIA BÁO</v>
          </cell>
          <cell r="I1053" t="str">
            <v>Khách cũ</v>
          </cell>
          <cell r="J1053" t="str">
            <v>Đơn bán</v>
          </cell>
          <cell r="K1053" t="str">
            <v>SAKUKO788036</v>
          </cell>
          <cell r="L1053" t="str">
            <v>NHÀ CỬA ĐỜI SỐNG</v>
          </cell>
          <cell r="M1053" t="str">
            <v>KHĂN</v>
          </cell>
          <cell r="N1053" t="str">
            <v>KHĂN MẶT</v>
          </cell>
          <cell r="O1053" t="str">
            <v>102390</v>
          </cell>
          <cell r="P1053" t="str">
            <v>4906327905980</v>
          </cell>
          <cell r="Q1053" t="str">
            <v>KOMODA - Khăn mặt khô dùng 1 lần 46m 20x20cm</v>
          </cell>
          <cell r="R1053">
            <v>52000</v>
          </cell>
          <cell r="S1053">
            <v>1</v>
          </cell>
          <cell r="T1053">
            <v>52000</v>
          </cell>
          <cell r="U1053">
            <v>0</v>
          </cell>
          <cell r="V1053">
            <v>52000</v>
          </cell>
          <cell r="W1053" t="str">
            <v>4906327905980</v>
          </cell>
        </row>
        <row r="1054">
          <cell r="A1054">
            <v>2026</v>
          </cell>
          <cell r="B1054">
            <v>5</v>
          </cell>
          <cell r="C1054">
            <v>46166</v>
          </cell>
          <cell r="D1054" t="str">
            <v>1. SKK store</v>
          </cell>
          <cell r="E1054" t="str">
            <v>S1004</v>
          </cell>
          <cell r="F1054" t="str">
            <v>SKK  Mandarin C1</v>
          </cell>
          <cell r="G1054" t="str">
            <v>0983655627</v>
          </cell>
          <cell r="H1054" t="str">
            <v>Lê Thị Hồng Hạnh</v>
          </cell>
          <cell r="I1054" t="str">
            <v>Khách cũ</v>
          </cell>
          <cell r="J1054" t="str">
            <v>Đơn bán</v>
          </cell>
          <cell r="K1054" t="str">
            <v>SAKUKO787795</v>
          </cell>
          <cell r="L1054" t="str">
            <v>ĐỒ CHO MẸ BÉ</v>
          </cell>
          <cell r="M1054" t="str">
            <v>CHĂM SÓC CƠ THỂ BÉ</v>
          </cell>
          <cell r="N1054" t="str">
            <v>THỰC PHẨM CHỨC NĂNG CHO BÉ</v>
          </cell>
          <cell r="O1054" t="str">
            <v>121674</v>
          </cell>
          <cell r="P1054" t="str">
            <v>3830056330953</v>
          </cell>
          <cell r="Q1054" t="str">
            <v>LINEABON- TPBVSK K2+D3 Spray 10ml</v>
          </cell>
          <cell r="R1054">
            <v>330000</v>
          </cell>
          <cell r="S1054">
            <v>1</v>
          </cell>
          <cell r="T1054">
            <v>330000</v>
          </cell>
          <cell r="U1054">
            <v>0</v>
          </cell>
          <cell r="V1054">
            <v>330000</v>
          </cell>
          <cell r="W1054" t="str">
            <v>3830056330953</v>
          </cell>
        </row>
        <row r="1055">
          <cell r="A1055">
            <v>2026</v>
          </cell>
          <cell r="B1055">
            <v>5</v>
          </cell>
          <cell r="C1055">
            <v>46166</v>
          </cell>
          <cell r="D1055" t="str">
            <v>1. SKK store</v>
          </cell>
          <cell r="E1055" t="str">
            <v>S1004</v>
          </cell>
          <cell r="F1055" t="str">
            <v>SKK  Mandarin C1</v>
          </cell>
          <cell r="G1055" t="str">
            <v>0986869668</v>
          </cell>
          <cell r="H1055" t="str">
            <v>C Liên 1807d2</v>
          </cell>
          <cell r="I1055" t="str">
            <v>Khách cũ</v>
          </cell>
          <cell r="J1055" t="str">
            <v>Đơn bán</v>
          </cell>
          <cell r="K1055" t="str">
            <v>SAKUKO788003</v>
          </cell>
          <cell r="L1055" t="str">
            <v>CHĂM SÓC SẮC ĐẸP</v>
          </cell>
          <cell r="M1055" t="str">
            <v>CHĂM SÓC DA</v>
          </cell>
          <cell r="N1055" t="str">
            <v>RỬA MẶT</v>
          </cell>
          <cell r="O1055" t="str">
            <v>102386</v>
          </cell>
          <cell r="P1055" t="str">
            <v>4902468816062</v>
          </cell>
          <cell r="Q1055" t="str">
            <v>MEISHOKU- Sữa rửa mặt sáng da Cvita 100g</v>
          </cell>
          <cell r="R1055">
            <v>290000</v>
          </cell>
          <cell r="S1055">
            <v>1</v>
          </cell>
          <cell r="T1055">
            <v>290000</v>
          </cell>
          <cell r="U1055">
            <v>0</v>
          </cell>
          <cell r="V1055">
            <v>290000</v>
          </cell>
          <cell r="W1055" t="str">
            <v>4902468816062</v>
          </cell>
        </row>
        <row r="1056">
          <cell r="A1056">
            <v>2026</v>
          </cell>
          <cell r="B1056">
            <v>5</v>
          </cell>
          <cell r="C1056">
            <v>46166</v>
          </cell>
          <cell r="D1056" t="str">
            <v>1. SKK store</v>
          </cell>
          <cell r="E1056" t="str">
            <v>S1006</v>
          </cell>
          <cell r="F1056" t="str">
            <v>SKK Trần Đăng Ninh</v>
          </cell>
          <cell r="G1056" t="str">
            <v>0904111345</v>
          </cell>
          <cell r="H1056" t="str">
            <v>CHỊ LY</v>
          </cell>
          <cell r="I1056" t="str">
            <v>Khách cũ</v>
          </cell>
          <cell r="J1056" t="str">
            <v>Đơn bán</v>
          </cell>
          <cell r="K1056" t="str">
            <v>SAKUKO787291</v>
          </cell>
          <cell r="L1056" t="str">
            <v>ĐỒ CHO MẸ BÉ</v>
          </cell>
          <cell r="M1056" t="str">
            <v>GIẤY ƯỚT</v>
          </cell>
          <cell r="N1056" t="str">
            <v>GIẤY ƯỚT CHO BÉ</v>
          </cell>
          <cell r="O1056" t="str">
            <v>121677</v>
          </cell>
          <cell r="P1056" t="str">
            <v>8801260608836</v>
          </cell>
          <cell r="Q1056" t="str">
            <v>KLEANNARA- Khăn ướt 5 tinh chất (có nắp) 100 tờ</v>
          </cell>
          <cell r="R1056">
            <v>52000</v>
          </cell>
          <cell r="S1056">
            <v>1</v>
          </cell>
          <cell r="T1056">
            <v>52000</v>
          </cell>
          <cell r="U1056">
            <v>0</v>
          </cell>
          <cell r="V1056">
            <v>52000</v>
          </cell>
          <cell r="W1056" t="str">
            <v>8801260608836</v>
          </cell>
        </row>
        <row r="1057">
          <cell r="A1057">
            <v>2026</v>
          </cell>
          <cell r="B1057">
            <v>5</v>
          </cell>
          <cell r="C1057">
            <v>46166</v>
          </cell>
          <cell r="D1057" t="str">
            <v>1. SKK store</v>
          </cell>
          <cell r="E1057" t="str">
            <v>S1006</v>
          </cell>
          <cell r="F1057" t="str">
            <v>SKK Trần Đăng Ninh</v>
          </cell>
          <cell r="G1057" t="str">
            <v>0912154047</v>
          </cell>
          <cell r="H1057" t="str">
            <v>cô lan</v>
          </cell>
          <cell r="I1057" t="str">
            <v>Khách cũ</v>
          </cell>
          <cell r="J1057" t="str">
            <v>Đơn bán</v>
          </cell>
          <cell r="K1057" t="str">
            <v>SAKUKO786924</v>
          </cell>
          <cell r="L1057" t="str">
            <v>NHÀ CỬA ĐỜI SỐNG</v>
          </cell>
          <cell r="M1057" t="str">
            <v>ĐỒ DÙNG SINH HOẠT GIA ĐÌNH</v>
          </cell>
          <cell r="N1057" t="str">
            <v>VẬT DỤNG SINH HOẠT KHÁC</v>
          </cell>
          <cell r="O1057" t="str">
            <v>135039</v>
          </cell>
          <cell r="P1057" t="str">
            <v>4968988074993</v>
          </cell>
          <cell r="Q1057" t="str">
            <v>OMAICHI- Set 2 lọ chiết mỹ phẩm 40ml kèm hộp đựng</v>
          </cell>
          <cell r="R1057">
            <v>52000</v>
          </cell>
          <cell r="S1057">
            <v>1</v>
          </cell>
          <cell r="T1057">
            <v>52000</v>
          </cell>
          <cell r="U1057">
            <v>0</v>
          </cell>
          <cell r="V1057">
            <v>52000</v>
          </cell>
          <cell r="W1057" t="str">
            <v>4968988074993</v>
          </cell>
        </row>
        <row r="1058">
          <cell r="A1058">
            <v>2026</v>
          </cell>
          <cell r="B1058">
            <v>5</v>
          </cell>
          <cell r="C1058">
            <v>46166</v>
          </cell>
          <cell r="D1058" t="str">
            <v>1. SKK store</v>
          </cell>
          <cell r="E1058" t="str">
            <v>S1006</v>
          </cell>
          <cell r="F1058" t="str">
            <v>SKK Trần Đăng Ninh</v>
          </cell>
          <cell r="G1058" t="str">
            <v>0983197872</v>
          </cell>
          <cell r="H1058" t="str">
            <v>Chị Quế</v>
          </cell>
          <cell r="I1058" t="str">
            <v>Khách cũ</v>
          </cell>
          <cell r="J1058" t="str">
            <v>Đơn bán</v>
          </cell>
          <cell r="K1058" t="str">
            <v>SAKUKO787547</v>
          </cell>
          <cell r="L1058" t="str">
            <v>CHĂM SÓC SẮC ĐẸP</v>
          </cell>
          <cell r="M1058" t="str">
            <v>CHĂM SÓC DA</v>
          </cell>
          <cell r="N1058" t="str">
            <v>RỬA MẶT</v>
          </cell>
          <cell r="O1058" t="str">
            <v>230269</v>
          </cell>
          <cell r="P1058" t="str">
            <v>4987241173242</v>
          </cell>
          <cell r="Q1058" t="str">
            <v>ROHTO- SRM Melano CC mờ thâm nám (130g)</v>
          </cell>
          <cell r="R1058">
            <v>294000</v>
          </cell>
          <cell r="S1058">
            <v>1</v>
          </cell>
          <cell r="T1058">
            <v>294000</v>
          </cell>
          <cell r="U1058">
            <v>0</v>
          </cell>
          <cell r="V1058">
            <v>294000</v>
          </cell>
          <cell r="W1058" t="str">
            <v>4987241173242</v>
          </cell>
        </row>
        <row r="1059">
          <cell r="A1059">
            <v>2026</v>
          </cell>
          <cell r="B1059">
            <v>5</v>
          </cell>
          <cell r="C1059">
            <v>46166</v>
          </cell>
          <cell r="D1059" t="str">
            <v>1. SKK store</v>
          </cell>
          <cell r="E1059" t="str">
            <v>S1007</v>
          </cell>
          <cell r="F1059" t="str">
            <v>SKK  Nguyễn Du</v>
          </cell>
          <cell r="G1059" t="str">
            <v>0903211268</v>
          </cell>
          <cell r="H1059" t="str">
            <v>Chị Chúc</v>
          </cell>
          <cell r="I1059" t="str">
            <v>Khách cũ</v>
          </cell>
          <cell r="J1059" t="str">
            <v>Đơn bán</v>
          </cell>
          <cell r="K1059" t="str">
            <v>SAKUKO787309</v>
          </cell>
          <cell r="L1059" t="str">
            <v>THỰC PHẨM</v>
          </cell>
          <cell r="M1059" t="str">
            <v>MỲ, MIẾN</v>
          </cell>
          <cell r="N1059" t="str">
            <v>MỲ CHẾ BIẾN</v>
          </cell>
          <cell r="O1059" t="str">
            <v>174948</v>
          </cell>
          <cell r="P1059" t="str">
            <v>4582114354119</v>
          </cell>
          <cell r="Q1059" t="str">
            <v>SANUKISHISEI- Mì soumen 300g</v>
          </cell>
          <cell r="R1059">
            <v>35000</v>
          </cell>
          <cell r="S1059">
            <v>1</v>
          </cell>
          <cell r="T1059">
            <v>35000</v>
          </cell>
          <cell r="U1059">
            <v>0</v>
          </cell>
          <cell r="V1059">
            <v>35000</v>
          </cell>
          <cell r="W1059" t="str">
            <v>4582114354119</v>
          </cell>
        </row>
        <row r="1060">
          <cell r="A1060">
            <v>2026</v>
          </cell>
          <cell r="B1060">
            <v>5</v>
          </cell>
          <cell r="C1060">
            <v>46166</v>
          </cell>
          <cell r="D1060" t="str">
            <v>1. SKK store</v>
          </cell>
          <cell r="E1060" t="str">
            <v>S1007</v>
          </cell>
          <cell r="F1060" t="str">
            <v>SKK  Nguyễn Du</v>
          </cell>
          <cell r="G1060" t="str">
            <v>0913351666</v>
          </cell>
          <cell r="H1060" t="str">
            <v>C Liên</v>
          </cell>
          <cell r="I1060" t="str">
            <v>Khách cũ</v>
          </cell>
          <cell r="J1060" t="str">
            <v>Đơn bán</v>
          </cell>
          <cell r="K1060" t="str">
            <v>SAKUKO786896</v>
          </cell>
          <cell r="L1060" t="str">
            <v>THỰC PHẨM</v>
          </cell>
          <cell r="M1060" t="str">
            <v>MỲ, MIẾN</v>
          </cell>
          <cell r="N1060" t="str">
            <v>MỲ CHẾ BIẾN</v>
          </cell>
          <cell r="O1060" t="str">
            <v>154247</v>
          </cell>
          <cell r="P1060" t="str">
            <v>4902902105004</v>
          </cell>
          <cell r="Q1060" t="str">
            <v>MALONY_Miến khoai tây 500g</v>
          </cell>
          <cell r="R1060">
            <v>139000</v>
          </cell>
          <cell r="S1060">
            <v>1</v>
          </cell>
          <cell r="T1060">
            <v>139000</v>
          </cell>
          <cell r="U1060">
            <v>0</v>
          </cell>
          <cell r="V1060">
            <v>139000</v>
          </cell>
          <cell r="W1060" t="str">
            <v>4902902105004</v>
          </cell>
        </row>
        <row r="1061">
          <cell r="A1061">
            <v>2026</v>
          </cell>
          <cell r="B1061">
            <v>5</v>
          </cell>
          <cell r="C1061">
            <v>46166</v>
          </cell>
          <cell r="D1061" t="str">
            <v>1. SKK store</v>
          </cell>
          <cell r="E1061" t="str">
            <v>S1007</v>
          </cell>
          <cell r="F1061" t="str">
            <v>SKK  Nguyễn Du</v>
          </cell>
          <cell r="G1061" t="str">
            <v>0945975177</v>
          </cell>
          <cell r="H1061" t="str">
            <v>Chị Quỳnh</v>
          </cell>
          <cell r="I1061" t="str">
            <v>Khách cũ</v>
          </cell>
          <cell r="J1061" t="str">
            <v>Đơn bán</v>
          </cell>
          <cell r="K1061" t="str">
            <v>SAKUKO787292</v>
          </cell>
          <cell r="L1061" t="str">
            <v>NHÀ CỬA ĐỜI SỐNG</v>
          </cell>
          <cell r="M1061" t="str">
            <v>KHĂN</v>
          </cell>
          <cell r="N1061" t="str">
            <v>KHĂN MẶT</v>
          </cell>
          <cell r="O1061" t="str">
            <v>102390</v>
          </cell>
          <cell r="P1061" t="str">
            <v>4906327905980</v>
          </cell>
          <cell r="Q1061" t="str">
            <v>KOMODA - Khăn mặt khô dùng 1 lần 46m 20x20cm</v>
          </cell>
          <cell r="R1061">
            <v>52000</v>
          </cell>
          <cell r="S1061">
            <v>1</v>
          </cell>
          <cell r="T1061">
            <v>52000</v>
          </cell>
          <cell r="U1061">
            <v>0</v>
          </cell>
          <cell r="V1061">
            <v>52000</v>
          </cell>
          <cell r="W1061" t="str">
            <v>4906327905980</v>
          </cell>
        </row>
        <row r="1062">
          <cell r="A1062">
            <v>2026</v>
          </cell>
          <cell r="B1062">
            <v>5</v>
          </cell>
          <cell r="C1062">
            <v>46166</v>
          </cell>
          <cell r="D1062" t="str">
            <v>1. SKK store</v>
          </cell>
          <cell r="E1062" t="str">
            <v>S1015</v>
          </cell>
          <cell r="F1062" t="str">
            <v>SKK Hàm Nghi</v>
          </cell>
          <cell r="G1062" t="str">
            <v>0395661996</v>
          </cell>
          <cell r="H1062" t="str">
            <v>Chị Thảo</v>
          </cell>
          <cell r="I1062" t="str">
            <v>Khách cũ</v>
          </cell>
          <cell r="J1062" t="str">
            <v>Đơn bán</v>
          </cell>
          <cell r="K1062" t="str">
            <v>SAKUKO786955</v>
          </cell>
          <cell r="L1062" t="str">
            <v>THỰC PHẨM</v>
          </cell>
          <cell r="M1062" t="str">
            <v>MỲ, MIẾN</v>
          </cell>
          <cell r="N1062" t="str">
            <v>MỲ CHẾ BIẾN</v>
          </cell>
          <cell r="O1062" t="str">
            <v>174948</v>
          </cell>
          <cell r="P1062" t="str">
            <v>4582114354119</v>
          </cell>
          <cell r="Q1062" t="str">
            <v>SANUKISHISEI- Mì soumen 300g</v>
          </cell>
          <cell r="R1062">
            <v>35000</v>
          </cell>
          <cell r="S1062">
            <v>1</v>
          </cell>
          <cell r="T1062">
            <v>35000</v>
          </cell>
          <cell r="U1062">
            <v>0</v>
          </cell>
          <cell r="V1062">
            <v>35000</v>
          </cell>
          <cell r="W1062" t="str">
            <v>4582114354119</v>
          </cell>
        </row>
        <row r="1063">
          <cell r="A1063">
            <v>2026</v>
          </cell>
          <cell r="B1063">
            <v>5</v>
          </cell>
          <cell r="C1063">
            <v>46166</v>
          </cell>
          <cell r="D1063" t="str">
            <v>1. SKK store</v>
          </cell>
          <cell r="E1063" t="str">
            <v>S1018</v>
          </cell>
          <cell r="F1063" t="str">
            <v>SKK Nguyễn Tuân</v>
          </cell>
          <cell r="G1063" t="str">
            <v>0832090412</v>
          </cell>
          <cell r="H1063" t="str">
            <v>Bạn Hà An</v>
          </cell>
          <cell r="I1063" t="str">
            <v>Khách mới</v>
          </cell>
          <cell r="J1063" t="str">
            <v>Đơn bán</v>
          </cell>
          <cell r="K1063" t="str">
            <v>SAKUKO786917</v>
          </cell>
          <cell r="L1063" t="str">
            <v>CHĂM SÓC SẮC ĐẸP</v>
          </cell>
          <cell r="M1063" t="str">
            <v>CHĂM SÓC DA</v>
          </cell>
          <cell r="N1063" t="str">
            <v>RỬA MẶT</v>
          </cell>
          <cell r="O1063" t="str">
            <v>230269</v>
          </cell>
          <cell r="P1063" t="str">
            <v>4987241173242</v>
          </cell>
          <cell r="Q1063" t="str">
            <v>ROHTO- SRM Melano CC mờ thâm nám (130g)</v>
          </cell>
          <cell r="R1063">
            <v>294000</v>
          </cell>
          <cell r="S1063">
            <v>1</v>
          </cell>
          <cell r="T1063">
            <v>294000</v>
          </cell>
          <cell r="U1063">
            <v>35000</v>
          </cell>
          <cell r="V1063">
            <v>259000</v>
          </cell>
          <cell r="W1063" t="str">
            <v>4987241173242</v>
          </cell>
        </row>
        <row r="1064">
          <cell r="A1064">
            <v>2026</v>
          </cell>
          <cell r="B1064">
            <v>5</v>
          </cell>
          <cell r="C1064">
            <v>46166</v>
          </cell>
          <cell r="D1064" t="str">
            <v>1. SKK store</v>
          </cell>
          <cell r="E1064" t="str">
            <v>S1018</v>
          </cell>
          <cell r="F1064" t="str">
            <v>SKK Nguyễn Tuân</v>
          </cell>
          <cell r="G1064" t="str">
            <v>0912050588</v>
          </cell>
          <cell r="H1064" t="str">
            <v>Chị Hoa</v>
          </cell>
          <cell r="I1064" t="str">
            <v>Khách cũ</v>
          </cell>
          <cell r="J1064" t="str">
            <v>Đơn bán</v>
          </cell>
          <cell r="K1064" t="str">
            <v>SAKUKO787326</v>
          </cell>
          <cell r="L1064" t="str">
            <v>THỰC PHẨM</v>
          </cell>
          <cell r="M1064" t="str">
            <v>BÁNH KẸO, ĐỒ ĂN VẶT</v>
          </cell>
          <cell r="N1064" t="str">
            <v>KẸO CAO SU</v>
          </cell>
          <cell r="O1064" t="str">
            <v>231376</v>
          </cell>
          <cell r="P1064" t="str">
            <v>4903333228577</v>
          </cell>
          <cell r="Q1064" t="str">
            <v>LOTTE-Kẹo cao su tổng hợp 7 loại dạng lọ 133g</v>
          </cell>
          <cell r="R1064">
            <v>235000</v>
          </cell>
          <cell r="S1064">
            <v>1</v>
          </cell>
          <cell r="T1064">
            <v>235000</v>
          </cell>
          <cell r="U1064">
            <v>0</v>
          </cell>
          <cell r="V1064">
            <v>235000</v>
          </cell>
          <cell r="W1064" t="str">
            <v>4903333228577</v>
          </cell>
        </row>
        <row r="1065">
          <cell r="A1065">
            <v>2026</v>
          </cell>
          <cell r="B1065">
            <v>5</v>
          </cell>
          <cell r="C1065">
            <v>46166</v>
          </cell>
          <cell r="D1065" t="str">
            <v>1. SKK store</v>
          </cell>
          <cell r="E1065" t="str">
            <v>S1018</v>
          </cell>
          <cell r="F1065" t="str">
            <v>SKK Nguyễn Tuân</v>
          </cell>
          <cell r="G1065" t="str">
            <v>0986829797</v>
          </cell>
          <cell r="H1065" t="str">
            <v>Anh Chung</v>
          </cell>
          <cell r="I1065" t="str">
            <v>Khách mới</v>
          </cell>
          <cell r="J1065" t="str">
            <v>Đơn bán</v>
          </cell>
          <cell r="K1065" t="str">
            <v>SAKUKO787380</v>
          </cell>
          <cell r="L1065" t="str">
            <v>ĐỒ CHO MẸ BÉ</v>
          </cell>
          <cell r="M1065" t="str">
            <v>GIẤY ƯỚT</v>
          </cell>
          <cell r="N1065" t="str">
            <v>GIẤY ƯỚT CHO BÉ</v>
          </cell>
          <cell r="O1065" t="str">
            <v>121663</v>
          </cell>
          <cell r="P1065" t="str">
            <v>8934755035197</v>
          </cell>
          <cell r="Q1065" t="str">
            <v>FRESSI- Khăn ướt Care For All 100 miếng</v>
          </cell>
          <cell r="R1065">
            <v>49000</v>
          </cell>
          <cell r="S1065">
            <v>1</v>
          </cell>
          <cell r="T1065">
            <v>49000</v>
          </cell>
          <cell r="U1065">
            <v>0</v>
          </cell>
          <cell r="V1065">
            <v>49000</v>
          </cell>
          <cell r="W1065" t="str">
            <v>8934755035197</v>
          </cell>
        </row>
        <row r="1066">
          <cell r="A1066">
            <v>2026</v>
          </cell>
          <cell r="B1066">
            <v>5</v>
          </cell>
          <cell r="C1066">
            <v>46166</v>
          </cell>
          <cell r="D1066" t="str">
            <v>1. SKK store</v>
          </cell>
          <cell r="E1066" t="str">
            <v>S1025</v>
          </cell>
          <cell r="F1066" t="str">
            <v>SKK T6 Time City</v>
          </cell>
          <cell r="G1066" t="str">
            <v>0793354245</v>
          </cell>
          <cell r="H1066" t="str">
            <v>Chị Thảo</v>
          </cell>
          <cell r="I1066" t="str">
            <v>Khách cũ</v>
          </cell>
          <cell r="J1066" t="str">
            <v>Đơn bán</v>
          </cell>
          <cell r="K1066" t="str">
            <v>SAKUKO787195</v>
          </cell>
          <cell r="L1066" t="str">
            <v>CHĂM SÓC SẮC ĐẸP</v>
          </cell>
          <cell r="M1066" t="str">
            <v>CHĂM SÓC DA</v>
          </cell>
          <cell r="N1066" t="str">
            <v>CHĂM SÓC DA KHÁC</v>
          </cell>
          <cell r="O1066" t="str">
            <v>102387</v>
          </cell>
          <cell r="P1066" t="str">
            <v>8935006542907</v>
          </cell>
          <cell r="Q1066" t="str">
            <v>HADA LABO- Bộ sản phẩm dưỡng ẩm (travel kit)47g</v>
          </cell>
          <cell r="R1066">
            <v>129000</v>
          </cell>
          <cell r="S1066">
            <v>1</v>
          </cell>
          <cell r="T1066">
            <v>129000</v>
          </cell>
          <cell r="U1066">
            <v>0</v>
          </cell>
          <cell r="V1066">
            <v>129000</v>
          </cell>
          <cell r="W1066" t="str">
            <v>8935006542907</v>
          </cell>
        </row>
        <row r="1067">
          <cell r="A1067">
            <v>2026</v>
          </cell>
          <cell r="B1067">
            <v>5</v>
          </cell>
          <cell r="C1067">
            <v>46166</v>
          </cell>
          <cell r="D1067" t="str">
            <v>1. SKK store</v>
          </cell>
          <cell r="E1067" t="str">
            <v>S1025</v>
          </cell>
          <cell r="F1067" t="str">
            <v>SKK T6 Time City</v>
          </cell>
          <cell r="G1067" t="str">
            <v>0906125577</v>
          </cell>
          <cell r="H1067" t="str">
            <v>Chị Tạ Thuỳ An</v>
          </cell>
          <cell r="I1067" t="str">
            <v>Khách cũ</v>
          </cell>
          <cell r="J1067" t="str">
            <v>Đơn bán</v>
          </cell>
          <cell r="K1067" t="str">
            <v>SAKUKO787123</v>
          </cell>
          <cell r="L1067" t="str">
            <v>THỰC PHẨM</v>
          </cell>
          <cell r="M1067" t="str">
            <v>BÁNH KẸO, ĐỒ ĂN VẶT</v>
          </cell>
          <cell r="N1067" t="str">
            <v>KẸO CAO SU</v>
          </cell>
          <cell r="O1067" t="str">
            <v>231376</v>
          </cell>
          <cell r="P1067" t="str">
            <v>4903333228577</v>
          </cell>
          <cell r="Q1067" t="str">
            <v>LOTTE-Kẹo cao su tổng hợp 7 loại dạng lọ 133g</v>
          </cell>
          <cell r="R1067">
            <v>235000</v>
          </cell>
          <cell r="S1067">
            <v>1</v>
          </cell>
          <cell r="T1067">
            <v>235000</v>
          </cell>
          <cell r="U1067">
            <v>0</v>
          </cell>
          <cell r="V1067">
            <v>235000</v>
          </cell>
          <cell r="W1067" t="str">
            <v>4903333228577</v>
          </cell>
        </row>
        <row r="1068">
          <cell r="A1068">
            <v>2026</v>
          </cell>
          <cell r="B1068">
            <v>5</v>
          </cell>
          <cell r="C1068">
            <v>46166</v>
          </cell>
          <cell r="D1068" t="str">
            <v>1. SKK store</v>
          </cell>
          <cell r="E1068" t="str">
            <v>S1025</v>
          </cell>
          <cell r="F1068" t="str">
            <v>SKK T6 Time City</v>
          </cell>
          <cell r="G1068" t="str">
            <v>0911217992</v>
          </cell>
          <cell r="H1068" t="str">
            <v>chị KIM HOÀN CHÂU</v>
          </cell>
          <cell r="I1068" t="str">
            <v>Khách cũ</v>
          </cell>
          <cell r="J1068" t="str">
            <v>Đơn bán</v>
          </cell>
          <cell r="K1068" t="str">
            <v>SAKUKO787957</v>
          </cell>
          <cell r="L1068" t="str">
            <v>CHĂM SÓC SẮC ĐẸP</v>
          </cell>
          <cell r="M1068" t="str">
            <v>Mỹ phẩm khác</v>
          </cell>
          <cell r="N1068" t="str">
            <v>PHỤ KIỆN LÀM ĐẸP</v>
          </cell>
          <cell r="O1068" t="str">
            <v>102389</v>
          </cell>
          <cell r="P1068" t="str">
            <v>4969757110652</v>
          </cell>
          <cell r="Q1068" t="str">
            <v>KYOWA- Gói bông tẩy trang 130 miếng</v>
          </cell>
          <cell r="R1068">
            <v>49000</v>
          </cell>
          <cell r="S1068">
            <v>1</v>
          </cell>
          <cell r="T1068">
            <v>49000</v>
          </cell>
          <cell r="U1068">
            <v>0</v>
          </cell>
          <cell r="V1068">
            <v>49000</v>
          </cell>
          <cell r="W1068" t="str">
            <v>4969757110652</v>
          </cell>
        </row>
        <row r="1069">
          <cell r="A1069">
            <v>2026</v>
          </cell>
          <cell r="B1069">
            <v>5</v>
          </cell>
          <cell r="C1069">
            <v>46166</v>
          </cell>
          <cell r="D1069" t="str">
            <v>1. SKK store</v>
          </cell>
          <cell r="E1069" t="str">
            <v>S1025</v>
          </cell>
          <cell r="F1069" t="str">
            <v>SKK T6 Time City</v>
          </cell>
          <cell r="G1069" t="str">
            <v>0982302803</v>
          </cell>
          <cell r="H1069" t="str">
            <v>Chị Trần thị hải Hậu</v>
          </cell>
          <cell r="I1069" t="str">
            <v>Khách cũ</v>
          </cell>
          <cell r="J1069" t="str">
            <v>Đơn bán</v>
          </cell>
          <cell r="K1069" t="str">
            <v>SAKUKO787828</v>
          </cell>
          <cell r="L1069" t="str">
            <v>CHĂM SÓC SẮC ĐẸP</v>
          </cell>
          <cell r="M1069" t="str">
            <v>CHĂM SÓC DA</v>
          </cell>
          <cell r="N1069" t="str">
            <v>KEM DƯỠNG</v>
          </cell>
          <cell r="O1069" t="str">
            <v>102384</v>
          </cell>
          <cell r="P1069" t="str">
            <v>4902468820014</v>
          </cell>
          <cell r="Q1069" t="str">
            <v>MEISHOKU- Kem gel dưỡng ẩm phục hồi chuyên sâu 50g</v>
          </cell>
          <cell r="R1069">
            <v>575000</v>
          </cell>
          <cell r="S1069">
            <v>1</v>
          </cell>
          <cell r="T1069">
            <v>575000</v>
          </cell>
          <cell r="U1069">
            <v>0</v>
          </cell>
          <cell r="V1069">
            <v>575000</v>
          </cell>
          <cell r="W1069" t="str">
            <v>4902468820014</v>
          </cell>
        </row>
        <row r="1070">
          <cell r="A1070">
            <v>2026</v>
          </cell>
          <cell r="B1070">
            <v>5</v>
          </cell>
          <cell r="C1070">
            <v>46165</v>
          </cell>
          <cell r="D1070" t="str">
            <v>1. SKK store</v>
          </cell>
          <cell r="E1070" t="str">
            <v>S1004</v>
          </cell>
          <cell r="F1070" t="str">
            <v>SKK  Mandarin C1</v>
          </cell>
          <cell r="G1070" t="str">
            <v>0839115658</v>
          </cell>
          <cell r="H1070" t="str">
            <v>Chị Hoa</v>
          </cell>
          <cell r="I1070" t="str">
            <v>Khách cũ</v>
          </cell>
          <cell r="J1070" t="str">
            <v>Đơn bán</v>
          </cell>
          <cell r="K1070" t="str">
            <v>SAKUKO785773</v>
          </cell>
          <cell r="L1070" t="str">
            <v>CHĂM SÓC SẮC ĐẸP</v>
          </cell>
          <cell r="M1070" t="str">
            <v>CHĂM SÓC DA</v>
          </cell>
          <cell r="N1070" t="str">
            <v>RỬA MẶT</v>
          </cell>
          <cell r="O1070" t="str">
            <v>230269</v>
          </cell>
          <cell r="P1070" t="str">
            <v>4987241173242</v>
          </cell>
          <cell r="Q1070" t="str">
            <v>ROHTO- SRM Melano CC mờ thâm nám (130g)</v>
          </cell>
          <cell r="R1070">
            <v>294000</v>
          </cell>
          <cell r="S1070">
            <v>1</v>
          </cell>
          <cell r="T1070">
            <v>294000</v>
          </cell>
          <cell r="U1070">
            <v>0</v>
          </cell>
          <cell r="V1070">
            <v>294000</v>
          </cell>
          <cell r="W1070" t="str">
            <v>4987241173242</v>
          </cell>
        </row>
        <row r="1071">
          <cell r="A1071">
            <v>2026</v>
          </cell>
          <cell r="B1071">
            <v>5</v>
          </cell>
          <cell r="C1071">
            <v>46165</v>
          </cell>
          <cell r="D1071" t="str">
            <v>1. SKK store</v>
          </cell>
          <cell r="E1071" t="str">
            <v>S1004</v>
          </cell>
          <cell r="F1071" t="str">
            <v>SKK  Mandarin C1</v>
          </cell>
          <cell r="G1071" t="str">
            <v>0981214866</v>
          </cell>
          <cell r="H1071" t="str">
            <v>Chị Thủy</v>
          </cell>
          <cell r="I1071" t="str">
            <v>Khách cũ</v>
          </cell>
          <cell r="J1071" t="str">
            <v>Đơn bán</v>
          </cell>
          <cell r="K1071" t="str">
            <v>SAKUKO786167</v>
          </cell>
          <cell r="L1071" t="str">
            <v>ĐỒ CHO MẸ BÉ</v>
          </cell>
          <cell r="M1071" t="str">
            <v>CHĂM SÓC MẸ BẦU</v>
          </cell>
          <cell r="N1071" t="str">
            <v>THỰC PHẨM CHỨC NĂNG MẸ BẦU</v>
          </cell>
          <cell r="O1071" t="str">
            <v>121676</v>
          </cell>
          <cell r="P1071" t="str">
            <v>3830056330939</v>
          </cell>
          <cell r="Q1071" t="str">
            <v>BESTIFER- TPBVSK sắt viên cho mẹ bầu và sau sinh</v>
          </cell>
          <cell r="R1071">
            <v>220000</v>
          </cell>
          <cell r="S1071">
            <v>1</v>
          </cell>
          <cell r="T1071">
            <v>220000</v>
          </cell>
          <cell r="U1071">
            <v>0</v>
          </cell>
          <cell r="V1071">
            <v>220000</v>
          </cell>
          <cell r="W1071" t="str">
            <v>3830056330939</v>
          </cell>
        </row>
        <row r="1072">
          <cell r="A1072">
            <v>2026</v>
          </cell>
          <cell r="B1072">
            <v>5</v>
          </cell>
          <cell r="C1072">
            <v>46165</v>
          </cell>
          <cell r="D1072" t="str">
            <v>1. SKK store</v>
          </cell>
          <cell r="E1072" t="str">
            <v>S1005</v>
          </cell>
          <cell r="F1072" t="str">
            <v>SKK  Thái Hà</v>
          </cell>
          <cell r="G1072" t="str">
            <v>02466810505</v>
          </cell>
          <cell r="H1072" t="str">
            <v>klth</v>
          </cell>
          <cell r="I1072" t="str">
            <v>Khách vãng lai</v>
          </cell>
          <cell r="J1072" t="str">
            <v>Đơn bán</v>
          </cell>
          <cell r="K1072" t="str">
            <v>SAKUKO786684</v>
          </cell>
          <cell r="L1072" t="str">
            <v>THỰC PHẨM</v>
          </cell>
          <cell r="M1072" t="str">
            <v>BÁNH KẸO, ĐỒ ĂN VẶT</v>
          </cell>
          <cell r="N1072" t="str">
            <v>KẸO CAO SU</v>
          </cell>
          <cell r="O1072" t="str">
            <v>231376</v>
          </cell>
          <cell r="P1072" t="str">
            <v>4903333228577</v>
          </cell>
          <cell r="Q1072" t="str">
            <v>LOTTE-Kẹo cao su tổng hợp 7 loại dạng lọ 133g</v>
          </cell>
          <cell r="R1072">
            <v>235000</v>
          </cell>
          <cell r="S1072">
            <v>1</v>
          </cell>
          <cell r="T1072">
            <v>235000</v>
          </cell>
          <cell r="U1072">
            <v>0</v>
          </cell>
          <cell r="V1072">
            <v>235000</v>
          </cell>
          <cell r="W1072" t="str">
            <v>4903333228577</v>
          </cell>
        </row>
        <row r="1073">
          <cell r="A1073">
            <v>2026</v>
          </cell>
          <cell r="B1073">
            <v>5</v>
          </cell>
          <cell r="C1073">
            <v>46165</v>
          </cell>
          <cell r="D1073" t="str">
            <v>1. SKK store</v>
          </cell>
          <cell r="E1073" t="str">
            <v>S1005</v>
          </cell>
          <cell r="F1073" t="str">
            <v>SKK  Thái Hà</v>
          </cell>
          <cell r="G1073" t="str">
            <v>0389940839</v>
          </cell>
          <cell r="H1073" t="str">
            <v>Anh Việt</v>
          </cell>
          <cell r="I1073" t="str">
            <v>Khách cũ</v>
          </cell>
          <cell r="J1073" t="str">
            <v>Đơn bán</v>
          </cell>
          <cell r="K1073" t="str">
            <v>SAKUKO785950</v>
          </cell>
          <cell r="L1073" t="str">
            <v>ĐỒ CHO MẸ BÉ</v>
          </cell>
          <cell r="M1073" t="str">
            <v>GIẤY ƯỚT</v>
          </cell>
          <cell r="N1073" t="str">
            <v>GIẤY ƯỚT CHO BÉ</v>
          </cell>
          <cell r="O1073" t="str">
            <v>121665</v>
          </cell>
          <cell r="P1073" t="str">
            <v>8934755035289</v>
          </cell>
          <cell r="Q1073" t="str">
            <v>BOBBY- Khăn ướt em bé không mùi 100 miếng</v>
          </cell>
          <cell r="R1073">
            <v>46000</v>
          </cell>
          <cell r="S1073">
            <v>1</v>
          </cell>
          <cell r="T1073">
            <v>46000</v>
          </cell>
          <cell r="U1073">
            <v>0</v>
          </cell>
          <cell r="V1073">
            <v>46000</v>
          </cell>
          <cell r="W1073" t="str">
            <v>8934755035289</v>
          </cell>
        </row>
        <row r="1074">
          <cell r="A1074">
            <v>2026</v>
          </cell>
          <cell r="B1074">
            <v>5</v>
          </cell>
          <cell r="C1074">
            <v>46165</v>
          </cell>
          <cell r="D1074" t="str">
            <v>1. SKK store</v>
          </cell>
          <cell r="E1074" t="str">
            <v>S1006</v>
          </cell>
          <cell r="F1074" t="str">
            <v>SKK Trần Đăng Ninh</v>
          </cell>
          <cell r="G1074" t="str">
            <v>0968626788</v>
          </cell>
          <cell r="H1074" t="str">
            <v>Nguyễn Ngọc Huyền</v>
          </cell>
          <cell r="I1074" t="str">
            <v>Khách cũ</v>
          </cell>
          <cell r="J1074" t="str">
            <v>Đơn bán</v>
          </cell>
          <cell r="K1074" t="str">
            <v>SAKUKO786248</v>
          </cell>
          <cell r="L1074" t="str">
            <v>ĐỒ CHO MẸ BÉ</v>
          </cell>
          <cell r="M1074" t="str">
            <v>GIẤY ƯỚT</v>
          </cell>
          <cell r="N1074" t="str">
            <v>GIẤY ƯỚT CHO BÉ</v>
          </cell>
          <cell r="O1074" t="str">
            <v>121662</v>
          </cell>
          <cell r="P1074" t="str">
            <v>8934755035036</v>
          </cell>
          <cell r="Q1074" t="str">
            <v>FRESSI- Khăn ướt Care For All 20 miếng</v>
          </cell>
          <cell r="R1074">
            <v>14000</v>
          </cell>
          <cell r="S1074">
            <v>1</v>
          </cell>
          <cell r="T1074">
            <v>14000</v>
          </cell>
          <cell r="U1074">
            <v>0</v>
          </cell>
          <cell r="V1074">
            <v>14000</v>
          </cell>
          <cell r="W1074" t="str">
            <v>8934755035036</v>
          </cell>
        </row>
        <row r="1075">
          <cell r="A1075">
            <v>2026</v>
          </cell>
          <cell r="B1075">
            <v>5</v>
          </cell>
          <cell r="C1075">
            <v>46165</v>
          </cell>
          <cell r="D1075" t="str">
            <v>1. SKK store</v>
          </cell>
          <cell r="E1075" t="str">
            <v>S1006</v>
          </cell>
          <cell r="F1075" t="str">
            <v>SKK Trần Đăng Ninh</v>
          </cell>
          <cell r="G1075" t="str">
            <v>0982220731</v>
          </cell>
          <cell r="H1075" t="str">
            <v>C Nga</v>
          </cell>
          <cell r="I1075" t="str">
            <v>Khách cũ</v>
          </cell>
          <cell r="J1075" t="str">
            <v>Đơn bán</v>
          </cell>
          <cell r="K1075" t="str">
            <v>SAKUKO786289</v>
          </cell>
          <cell r="L1075" t="str">
            <v>THỰC PHẨM</v>
          </cell>
          <cell r="M1075" t="str">
            <v>MỲ, MIẾN</v>
          </cell>
          <cell r="N1075" t="str">
            <v>MỲ CHẾ BIẾN</v>
          </cell>
          <cell r="O1075" t="str">
            <v>154247</v>
          </cell>
          <cell r="P1075" t="str">
            <v>4902902105004</v>
          </cell>
          <cell r="Q1075" t="str">
            <v>MALONY_Miến khoai tây 500g</v>
          </cell>
          <cell r="R1075">
            <v>139000</v>
          </cell>
          <cell r="S1075">
            <v>1</v>
          </cell>
          <cell r="T1075">
            <v>139000</v>
          </cell>
          <cell r="U1075">
            <v>0</v>
          </cell>
          <cell r="V1075">
            <v>139000</v>
          </cell>
          <cell r="W1075" t="str">
            <v>4902902105004</v>
          </cell>
        </row>
        <row r="1076">
          <cell r="A1076">
            <v>2026</v>
          </cell>
          <cell r="B1076">
            <v>5</v>
          </cell>
          <cell r="C1076">
            <v>46165</v>
          </cell>
          <cell r="D1076" t="str">
            <v>1. SKK store</v>
          </cell>
          <cell r="E1076" t="str">
            <v>S1006</v>
          </cell>
          <cell r="F1076" t="str">
            <v>SKK Trần Đăng Ninh</v>
          </cell>
          <cell r="G1076" t="str">
            <v>0982220731</v>
          </cell>
          <cell r="H1076" t="str">
            <v>C Nga</v>
          </cell>
          <cell r="I1076" t="str">
            <v>Khách cũ</v>
          </cell>
          <cell r="J1076" t="str">
            <v>Đơn bán</v>
          </cell>
          <cell r="K1076" t="str">
            <v>SAKUKO786289</v>
          </cell>
          <cell r="L1076" t="str">
            <v>THỰC PHẨM</v>
          </cell>
          <cell r="M1076" t="str">
            <v>MỲ, MIẾN</v>
          </cell>
          <cell r="N1076" t="str">
            <v>MỲ CHẾ BIẾN</v>
          </cell>
          <cell r="O1076" t="str">
            <v>174948</v>
          </cell>
          <cell r="P1076" t="str">
            <v>4582114354119</v>
          </cell>
          <cell r="Q1076" t="str">
            <v>SANUKISHISEI- Mì soumen 300g</v>
          </cell>
          <cell r="R1076">
            <v>35000</v>
          </cell>
          <cell r="S1076">
            <v>1</v>
          </cell>
          <cell r="T1076">
            <v>35000</v>
          </cell>
          <cell r="U1076">
            <v>0</v>
          </cell>
          <cell r="V1076">
            <v>35000</v>
          </cell>
          <cell r="W1076" t="str">
            <v>4582114354119</v>
          </cell>
        </row>
        <row r="1077">
          <cell r="A1077">
            <v>2026</v>
          </cell>
          <cell r="B1077">
            <v>5</v>
          </cell>
          <cell r="C1077">
            <v>46165</v>
          </cell>
          <cell r="D1077" t="str">
            <v>1. SKK store</v>
          </cell>
          <cell r="E1077" t="str">
            <v>S1008</v>
          </cell>
          <cell r="F1077" t="str">
            <v>SKK  Hàng Bông</v>
          </cell>
          <cell r="G1077" t="str">
            <v>0378762183</v>
          </cell>
          <cell r="H1077" t="str">
            <v>Chị Thảo</v>
          </cell>
          <cell r="I1077" t="str">
            <v>Khách cũ</v>
          </cell>
          <cell r="J1077" t="str">
            <v>Đơn bán</v>
          </cell>
          <cell r="K1077" t="str">
            <v>SAKUKO786758</v>
          </cell>
          <cell r="L1077" t="str">
            <v>ĐỒ CHO MẸ BÉ</v>
          </cell>
          <cell r="M1077" t="str">
            <v>GIẤY ƯỚT</v>
          </cell>
          <cell r="N1077" t="str">
            <v>GIẤY ƯỚT CHO BÉ</v>
          </cell>
          <cell r="O1077" t="str">
            <v>121665</v>
          </cell>
          <cell r="P1077" t="str">
            <v>8934755035289</v>
          </cell>
          <cell r="Q1077" t="str">
            <v>BOBBY- Khăn ướt em bé không mùi 100 miếng</v>
          </cell>
          <cell r="R1077">
            <v>46000</v>
          </cell>
          <cell r="S1077">
            <v>1</v>
          </cell>
          <cell r="T1077">
            <v>46000</v>
          </cell>
          <cell r="U1077">
            <v>0</v>
          </cell>
          <cell r="V1077">
            <v>46000</v>
          </cell>
          <cell r="W1077" t="str">
            <v>8934755035289</v>
          </cell>
        </row>
        <row r="1078">
          <cell r="A1078">
            <v>2026</v>
          </cell>
          <cell r="B1078">
            <v>5</v>
          </cell>
          <cell r="C1078">
            <v>46165</v>
          </cell>
          <cell r="D1078" t="str">
            <v>1. SKK store</v>
          </cell>
          <cell r="E1078" t="str">
            <v>S1008</v>
          </cell>
          <cell r="F1078" t="str">
            <v>SKK  Hàng Bông</v>
          </cell>
          <cell r="G1078" t="str">
            <v>0902588490</v>
          </cell>
          <cell r="H1078" t="str">
            <v>cô nga</v>
          </cell>
          <cell r="I1078" t="str">
            <v>Khách cũ</v>
          </cell>
          <cell r="J1078" t="str">
            <v>Đơn bán</v>
          </cell>
          <cell r="K1078" t="str">
            <v>SAKUKO786851</v>
          </cell>
          <cell r="L1078" t="str">
            <v>CHĂM SÓC SẮC ĐẸP</v>
          </cell>
          <cell r="M1078" t="str">
            <v>CHĂM SÓC DA</v>
          </cell>
          <cell r="N1078" t="str">
            <v>KEM DƯỠNG</v>
          </cell>
          <cell r="O1078" t="str">
            <v>102384</v>
          </cell>
          <cell r="P1078" t="str">
            <v>4902468820014</v>
          </cell>
          <cell r="Q1078" t="str">
            <v>MEISHOKU- Kem gel dưỡng ẩm phục hồi chuyên sâu 50g</v>
          </cell>
          <cell r="R1078">
            <v>575000</v>
          </cell>
          <cell r="S1078">
            <v>1</v>
          </cell>
          <cell r="T1078">
            <v>575000</v>
          </cell>
          <cell r="U1078">
            <v>0</v>
          </cell>
          <cell r="V1078">
            <v>575000</v>
          </cell>
          <cell r="W1078" t="str">
            <v>4902468820014</v>
          </cell>
        </row>
        <row r="1079">
          <cell r="A1079">
            <v>2026</v>
          </cell>
          <cell r="B1079">
            <v>5</v>
          </cell>
          <cell r="C1079">
            <v>46165</v>
          </cell>
          <cell r="D1079" t="str">
            <v>1. SKK store</v>
          </cell>
          <cell r="E1079" t="str">
            <v>S1015</v>
          </cell>
          <cell r="F1079" t="str">
            <v>SKK Hàm Nghi</v>
          </cell>
          <cell r="G1079" t="str">
            <v>02422409595</v>
          </cell>
          <cell r="H1079" t="str">
            <v>klhn</v>
          </cell>
          <cell r="I1079" t="str">
            <v>Khách vãng lai</v>
          </cell>
          <cell r="J1079" t="str">
            <v>Đơn bán</v>
          </cell>
          <cell r="K1079" t="str">
            <v>SAKUKO786050</v>
          </cell>
          <cell r="L1079" t="str">
            <v>THỰC PHẨM</v>
          </cell>
          <cell r="M1079" t="str">
            <v>MỲ, MIẾN</v>
          </cell>
          <cell r="N1079" t="str">
            <v>MỲ ĂN LIỀN</v>
          </cell>
          <cell r="O1079" t="str">
            <v>153693</v>
          </cell>
          <cell r="P1079" t="str">
            <v>4902881066440</v>
          </cell>
          <cell r="Q1079" t="str">
            <v>MYOJO- Mỳ ramen vị miso 5 gói</v>
          </cell>
          <cell r="R1079">
            <v>105000</v>
          </cell>
          <cell r="S1079">
            <v>1</v>
          </cell>
          <cell r="T1079">
            <v>105000</v>
          </cell>
          <cell r="U1079">
            <v>0</v>
          </cell>
          <cell r="V1079">
            <v>105000</v>
          </cell>
          <cell r="W1079" t="str">
            <v>4902881066440</v>
          </cell>
        </row>
        <row r="1080">
          <cell r="A1080">
            <v>2026</v>
          </cell>
          <cell r="B1080">
            <v>5</v>
          </cell>
          <cell r="C1080">
            <v>46165</v>
          </cell>
          <cell r="D1080" t="str">
            <v>1. SKK store</v>
          </cell>
          <cell r="E1080" t="str">
            <v>S1015</v>
          </cell>
          <cell r="F1080" t="str">
            <v>SKK Hàm Nghi</v>
          </cell>
          <cell r="G1080" t="str">
            <v>0933668300</v>
          </cell>
          <cell r="H1080" t="str">
            <v>Chị Hoa</v>
          </cell>
          <cell r="I1080" t="str">
            <v>Khách cũ</v>
          </cell>
          <cell r="J1080" t="str">
            <v>Đơn bán</v>
          </cell>
          <cell r="K1080" t="str">
            <v>SAKUKO786763</v>
          </cell>
          <cell r="L1080" t="str">
            <v>THỰC PHẨM</v>
          </cell>
          <cell r="M1080" t="str">
            <v>MỲ, MIẾN</v>
          </cell>
          <cell r="N1080" t="str">
            <v>MỲ CHẾ BIẾN</v>
          </cell>
          <cell r="O1080" t="str">
            <v>174948</v>
          </cell>
          <cell r="P1080" t="str">
            <v>4582114354119</v>
          </cell>
          <cell r="Q1080" t="str">
            <v>SANUKISHISEI- Mì soumen 300g</v>
          </cell>
          <cell r="R1080">
            <v>35000</v>
          </cell>
          <cell r="S1080">
            <v>1</v>
          </cell>
          <cell r="T1080">
            <v>35000</v>
          </cell>
          <cell r="U1080">
            <v>0</v>
          </cell>
          <cell r="V1080">
            <v>35000</v>
          </cell>
          <cell r="W1080" t="str">
            <v>4582114354119</v>
          </cell>
        </row>
        <row r="1081">
          <cell r="A1081">
            <v>2026</v>
          </cell>
          <cell r="B1081">
            <v>5</v>
          </cell>
          <cell r="C1081">
            <v>46165</v>
          </cell>
          <cell r="D1081" t="str">
            <v>1. SKK store</v>
          </cell>
          <cell r="E1081" t="str">
            <v>S1018</v>
          </cell>
          <cell r="F1081" t="str">
            <v>SKK Nguyễn Tuân</v>
          </cell>
          <cell r="G1081" t="str">
            <v>0918355868</v>
          </cell>
          <cell r="H1081" t="str">
            <v>chị Cao Thị Kim Anh</v>
          </cell>
          <cell r="I1081" t="str">
            <v>Khách cũ</v>
          </cell>
          <cell r="J1081" t="str">
            <v>Đơn bán</v>
          </cell>
          <cell r="K1081" t="str">
            <v>SAKUKO785909</v>
          </cell>
          <cell r="L1081" t="str">
            <v>THỰC PHẨM</v>
          </cell>
          <cell r="M1081" t="str">
            <v>BÁNH KẸO, ĐỒ ĂN VẶT</v>
          </cell>
          <cell r="N1081" t="str">
            <v>KẸO CAO SU</v>
          </cell>
          <cell r="O1081" t="str">
            <v>231376</v>
          </cell>
          <cell r="P1081" t="str">
            <v>4903333228577</v>
          </cell>
          <cell r="Q1081" t="str">
            <v>LOTTE-Kẹo cao su tổng hợp 7 loại dạng lọ 133g</v>
          </cell>
          <cell r="R1081">
            <v>235000</v>
          </cell>
          <cell r="S1081">
            <v>1</v>
          </cell>
          <cell r="T1081">
            <v>235000</v>
          </cell>
          <cell r="U1081">
            <v>0</v>
          </cell>
          <cell r="V1081">
            <v>235000</v>
          </cell>
          <cell r="W1081" t="str">
            <v>4903333228577</v>
          </cell>
        </row>
        <row r="1082">
          <cell r="A1082">
            <v>2026</v>
          </cell>
          <cell r="B1082">
            <v>5</v>
          </cell>
          <cell r="C1082">
            <v>46165</v>
          </cell>
          <cell r="D1082" t="str">
            <v>1. SKK store</v>
          </cell>
          <cell r="E1082" t="str">
            <v>S1025</v>
          </cell>
          <cell r="F1082" t="str">
            <v>SKK T6 Time City</v>
          </cell>
          <cell r="G1082" t="str">
            <v>0904326701</v>
          </cell>
          <cell r="H1082" t="str">
            <v>Chị Trần Thị Hà</v>
          </cell>
          <cell r="I1082" t="str">
            <v>Khách cũ</v>
          </cell>
          <cell r="J1082" t="str">
            <v>Đơn bán</v>
          </cell>
          <cell r="K1082" t="str">
            <v>SAKUKO785869</v>
          </cell>
          <cell r="L1082" t="str">
            <v>THỰC PHẨM</v>
          </cell>
          <cell r="M1082" t="str">
            <v>MỲ, MIẾN</v>
          </cell>
          <cell r="N1082" t="str">
            <v>MỲ CHẾ BIẾN</v>
          </cell>
          <cell r="O1082" t="str">
            <v>175435</v>
          </cell>
          <cell r="P1082" t="str">
            <v>4901726014752</v>
          </cell>
          <cell r="Q1082" t="str">
            <v>ITSUKI FOODS- Mì soumen rau củ ngũ sắc320g</v>
          </cell>
          <cell r="R1082">
            <v>76000</v>
          </cell>
          <cell r="S1082">
            <v>1</v>
          </cell>
          <cell r="T1082">
            <v>76000</v>
          </cell>
          <cell r="U1082">
            <v>0</v>
          </cell>
          <cell r="V1082">
            <v>76000</v>
          </cell>
          <cell r="W1082" t="str">
            <v>4901726014752</v>
          </cell>
        </row>
        <row r="1083">
          <cell r="A1083">
            <v>2026</v>
          </cell>
          <cell r="B1083">
            <v>5</v>
          </cell>
          <cell r="C1083">
            <v>46164</v>
          </cell>
          <cell r="D1083" t="str">
            <v>1. SKK store</v>
          </cell>
          <cell r="E1083" t="str">
            <v>S1004</v>
          </cell>
          <cell r="F1083" t="str">
            <v>SKK  Mandarin C1</v>
          </cell>
          <cell r="G1083" t="str">
            <v>02466810404</v>
          </cell>
          <cell r="H1083" t="str">
            <v>KLHMG</v>
          </cell>
          <cell r="I1083" t="str">
            <v>Khách vãng lai</v>
          </cell>
          <cell r="J1083" t="str">
            <v>Đơn bán</v>
          </cell>
          <cell r="K1083" t="str">
            <v>SAKUKO784797</v>
          </cell>
          <cell r="L1083" t="str">
            <v>NHÀ CỬA ĐỜI SỐNG</v>
          </cell>
          <cell r="M1083" t="str">
            <v>ĐỒ DÙNG SINH HOẠT GIA ĐÌNH</v>
          </cell>
          <cell r="N1083" t="str">
            <v>VẬT DỤNG SINH HOẠT KHÁC</v>
          </cell>
          <cell r="O1083" t="str">
            <v>135039</v>
          </cell>
          <cell r="P1083" t="str">
            <v>4968988074993</v>
          </cell>
          <cell r="Q1083" t="str">
            <v>OMAICHI- Set 2 lọ chiết mỹ phẩm 40ml kèm hộp đựng</v>
          </cell>
          <cell r="R1083">
            <v>52000</v>
          </cell>
          <cell r="S1083">
            <v>2</v>
          </cell>
          <cell r="T1083">
            <v>104000</v>
          </cell>
          <cell r="U1083">
            <v>0</v>
          </cell>
          <cell r="V1083">
            <v>104000</v>
          </cell>
          <cell r="W1083" t="str">
            <v>4968988074993</v>
          </cell>
        </row>
        <row r="1084">
          <cell r="A1084">
            <v>2026</v>
          </cell>
          <cell r="B1084">
            <v>5</v>
          </cell>
          <cell r="C1084">
            <v>46164</v>
          </cell>
          <cell r="D1084" t="str">
            <v>1. SKK store</v>
          </cell>
          <cell r="E1084" t="str">
            <v>S1004</v>
          </cell>
          <cell r="F1084" t="str">
            <v>SKK  Mandarin C1</v>
          </cell>
          <cell r="G1084" t="str">
            <v>0913211212</v>
          </cell>
          <cell r="H1084" t="str">
            <v>c mai anh</v>
          </cell>
          <cell r="I1084" t="str">
            <v>Khách cũ</v>
          </cell>
          <cell r="J1084" t="str">
            <v>Đơn bán</v>
          </cell>
          <cell r="K1084" t="str">
            <v>SAKUKO784692</v>
          </cell>
          <cell r="L1084" t="str">
            <v>ĐỒ CHO MẸ BÉ</v>
          </cell>
          <cell r="M1084" t="str">
            <v>GIẤY ƯỚT</v>
          </cell>
          <cell r="N1084" t="str">
            <v>GIẤY ƯỚT CHO BÉ</v>
          </cell>
          <cell r="O1084" t="str">
            <v>121662</v>
          </cell>
          <cell r="P1084" t="str">
            <v>8934755035036</v>
          </cell>
          <cell r="Q1084" t="str">
            <v>FRESSI- Khăn ướt Care For All 20 miếng</v>
          </cell>
          <cell r="R1084">
            <v>14000</v>
          </cell>
          <cell r="S1084">
            <v>1</v>
          </cell>
          <cell r="T1084">
            <v>14000</v>
          </cell>
          <cell r="U1084">
            <v>0</v>
          </cell>
          <cell r="V1084">
            <v>14000</v>
          </cell>
          <cell r="W1084" t="str">
            <v>8934755035036</v>
          </cell>
        </row>
        <row r="1085">
          <cell r="A1085">
            <v>2026</v>
          </cell>
          <cell r="B1085">
            <v>5</v>
          </cell>
          <cell r="C1085">
            <v>46164</v>
          </cell>
          <cell r="D1085" t="str">
            <v>1. SKK store</v>
          </cell>
          <cell r="E1085" t="str">
            <v>S1004</v>
          </cell>
          <cell r="F1085" t="str">
            <v>SKK  Mandarin C1</v>
          </cell>
          <cell r="G1085" t="str">
            <v>0915048586</v>
          </cell>
          <cell r="H1085" t="str">
            <v>c sinh</v>
          </cell>
          <cell r="I1085" t="str">
            <v>Khách mới</v>
          </cell>
          <cell r="J1085" t="str">
            <v>Đơn bán</v>
          </cell>
          <cell r="K1085" t="str">
            <v>SAKUKO784752</v>
          </cell>
          <cell r="L1085" t="str">
            <v>CHĂM SÓC SẮC ĐẸP</v>
          </cell>
          <cell r="M1085" t="str">
            <v>CHĂM SÓC DA</v>
          </cell>
          <cell r="N1085" t="str">
            <v>RỬA MẶT</v>
          </cell>
          <cell r="O1085" t="str">
            <v>102421</v>
          </cell>
          <cell r="P1085" t="str">
            <v>4902468819032</v>
          </cell>
          <cell r="Q1085" t="str">
            <v>MEISHOU- Sữa rửa mặt làm sạch thuần chay 100g</v>
          </cell>
          <cell r="R1085">
            <v>295000</v>
          </cell>
          <cell r="S1085">
            <v>1</v>
          </cell>
          <cell r="T1085">
            <v>295000</v>
          </cell>
          <cell r="U1085">
            <v>0</v>
          </cell>
          <cell r="V1085">
            <v>295000</v>
          </cell>
          <cell r="W1085" t="str">
            <v>4902468819032</v>
          </cell>
        </row>
        <row r="1086">
          <cell r="A1086">
            <v>2026</v>
          </cell>
          <cell r="B1086">
            <v>5</v>
          </cell>
          <cell r="C1086">
            <v>46164</v>
          </cell>
          <cell r="D1086" t="str">
            <v>1. SKK store</v>
          </cell>
          <cell r="E1086" t="str">
            <v>S1005</v>
          </cell>
          <cell r="F1086" t="str">
            <v>SKK  Thái Hà</v>
          </cell>
          <cell r="G1086" t="str">
            <v>0359589999</v>
          </cell>
          <cell r="H1086" t="str">
            <v>Anh Dũng</v>
          </cell>
          <cell r="I1086" t="str">
            <v>Khách cũ</v>
          </cell>
          <cell r="J1086" t="str">
            <v>Đơn bán</v>
          </cell>
          <cell r="K1086" t="str">
            <v>SAKUKO785571</v>
          </cell>
          <cell r="L1086" t="str">
            <v>THỰC PHẨM</v>
          </cell>
          <cell r="M1086" t="str">
            <v>BÁNH KẸO, ĐỒ ĂN VẶT</v>
          </cell>
          <cell r="N1086" t="str">
            <v>KẸO CAO SU</v>
          </cell>
          <cell r="O1086" t="str">
            <v>231374</v>
          </cell>
          <cell r="P1086" t="str">
            <v>4547894156315</v>
          </cell>
          <cell r="Q1086" t="str">
            <v>CLORETS-Kẹo cao su hương vị 4 mùa 140g</v>
          </cell>
          <cell r="R1086">
            <v>235000</v>
          </cell>
          <cell r="S1086">
            <v>1</v>
          </cell>
          <cell r="T1086">
            <v>235000</v>
          </cell>
          <cell r="U1086">
            <v>0</v>
          </cell>
          <cell r="V1086">
            <v>235000</v>
          </cell>
          <cell r="W1086" t="str">
            <v>4547894156315</v>
          </cell>
        </row>
        <row r="1087">
          <cell r="A1087">
            <v>2026</v>
          </cell>
          <cell r="B1087">
            <v>5</v>
          </cell>
          <cell r="C1087">
            <v>46164</v>
          </cell>
          <cell r="D1087" t="str">
            <v>1. SKK store</v>
          </cell>
          <cell r="E1087" t="str">
            <v>S1005</v>
          </cell>
          <cell r="F1087" t="str">
            <v>SKK  Thái Hà</v>
          </cell>
          <cell r="G1087" t="str">
            <v>0366977936</v>
          </cell>
          <cell r="H1087" t="str">
            <v>c ngân</v>
          </cell>
          <cell r="I1087" t="str">
            <v>Khách cũ</v>
          </cell>
          <cell r="J1087" t="str">
            <v>Đơn bán</v>
          </cell>
          <cell r="K1087" t="str">
            <v>SAKUKO784912</v>
          </cell>
          <cell r="L1087" t="str">
            <v>THỰC PHẨM</v>
          </cell>
          <cell r="M1087" t="str">
            <v>MỲ, MIẾN</v>
          </cell>
          <cell r="N1087" t="str">
            <v>MỲ CHẾ BIẾN</v>
          </cell>
          <cell r="O1087" t="str">
            <v>174948</v>
          </cell>
          <cell r="P1087" t="str">
            <v>4582114354119</v>
          </cell>
          <cell r="Q1087" t="str">
            <v>SANUKISHISEI- Mì soumen 300g</v>
          </cell>
          <cell r="R1087">
            <v>35000</v>
          </cell>
          <cell r="S1087">
            <v>1</v>
          </cell>
          <cell r="T1087">
            <v>35000</v>
          </cell>
          <cell r="U1087">
            <v>0</v>
          </cell>
          <cell r="V1087">
            <v>35000</v>
          </cell>
          <cell r="W1087" t="str">
            <v>4582114354119</v>
          </cell>
        </row>
        <row r="1088">
          <cell r="A1088">
            <v>2026</v>
          </cell>
          <cell r="B1088">
            <v>5</v>
          </cell>
          <cell r="C1088">
            <v>46164</v>
          </cell>
          <cell r="D1088" t="str">
            <v>1. SKK store</v>
          </cell>
          <cell r="E1088" t="str">
            <v>S1005</v>
          </cell>
          <cell r="F1088" t="str">
            <v>SKK  Thái Hà</v>
          </cell>
          <cell r="G1088" t="str">
            <v>0912548166</v>
          </cell>
          <cell r="H1088" t="str">
            <v>a định</v>
          </cell>
          <cell r="I1088" t="str">
            <v>Khách mới</v>
          </cell>
          <cell r="J1088" t="str">
            <v>Đơn bán</v>
          </cell>
          <cell r="K1088" t="str">
            <v>SAKUKO784663</v>
          </cell>
          <cell r="L1088" t="str">
            <v>NHÀ CỬA ĐỜI SỐNG</v>
          </cell>
          <cell r="M1088" t="str">
            <v>PHÒNG CHỐNG CÔN TRÙNG</v>
          </cell>
          <cell r="N1088" t="str">
            <v>DIỆT CÔN TRÙNG</v>
          </cell>
          <cell r="O1088" t="str">
            <v>134479</v>
          </cell>
          <cell r="P1088" t="str">
            <v>4987115545892</v>
          </cell>
          <cell r="Q1088" t="str">
            <v>KINCHO-DD làm thơm phòng và đuổi muỗi Hoa SIBERIAN</v>
          </cell>
          <cell r="R1088">
            <v>239000</v>
          </cell>
          <cell r="S1088">
            <v>1</v>
          </cell>
          <cell r="T1088">
            <v>239000</v>
          </cell>
          <cell r="U1088">
            <v>11950</v>
          </cell>
          <cell r="V1088">
            <v>227050</v>
          </cell>
          <cell r="W1088" t="str">
            <v>4987115545892</v>
          </cell>
        </row>
        <row r="1089">
          <cell r="A1089">
            <v>2026</v>
          </cell>
          <cell r="B1089">
            <v>5</v>
          </cell>
          <cell r="C1089">
            <v>46164</v>
          </cell>
          <cell r="D1089" t="str">
            <v>1. SKK store</v>
          </cell>
          <cell r="E1089" t="str">
            <v>S1005</v>
          </cell>
          <cell r="F1089" t="str">
            <v>SKK  Thái Hà</v>
          </cell>
          <cell r="G1089" t="str">
            <v>0972870714</v>
          </cell>
          <cell r="H1089" t="str">
            <v>bác trần thị hồng tâm</v>
          </cell>
          <cell r="I1089" t="str">
            <v>Khách cũ</v>
          </cell>
          <cell r="J1089" t="str">
            <v>Đơn bán</v>
          </cell>
          <cell r="K1089" t="str">
            <v>SAKUKO784551</v>
          </cell>
          <cell r="L1089" t="str">
            <v>ĐỒ CHO MẸ BÉ</v>
          </cell>
          <cell r="M1089" t="str">
            <v>GIẤY ƯỚT</v>
          </cell>
          <cell r="N1089" t="str">
            <v>GIẤY ƯỚT CHO BÉ</v>
          </cell>
          <cell r="O1089" t="str">
            <v>121662</v>
          </cell>
          <cell r="P1089" t="str">
            <v>8934755035036</v>
          </cell>
          <cell r="Q1089" t="str">
            <v>FRESSI- Khăn ướt Care For All 20 miếng</v>
          </cell>
          <cell r="R1089">
            <v>14000</v>
          </cell>
          <cell r="S1089">
            <v>1</v>
          </cell>
          <cell r="T1089">
            <v>14000</v>
          </cell>
          <cell r="U1089">
            <v>0</v>
          </cell>
          <cell r="V1089">
            <v>14000</v>
          </cell>
          <cell r="W1089" t="str">
            <v>8934755035036</v>
          </cell>
        </row>
        <row r="1090">
          <cell r="A1090">
            <v>2026</v>
          </cell>
          <cell r="B1090">
            <v>5</v>
          </cell>
          <cell r="C1090">
            <v>46164</v>
          </cell>
          <cell r="D1090" t="str">
            <v>1. SKK store</v>
          </cell>
          <cell r="E1090" t="str">
            <v>S1005</v>
          </cell>
          <cell r="F1090" t="str">
            <v>SKK  Thái Hà</v>
          </cell>
          <cell r="G1090" t="str">
            <v>0983325590</v>
          </cell>
          <cell r="H1090" t="str">
            <v>C Thúy</v>
          </cell>
          <cell r="I1090" t="str">
            <v>Khách cũ</v>
          </cell>
          <cell r="J1090" t="str">
            <v>Đơn bán</v>
          </cell>
          <cell r="K1090" t="str">
            <v>SAKUKO785086</v>
          </cell>
          <cell r="L1090" t="str">
            <v>THỰC PHẨM</v>
          </cell>
          <cell r="M1090" t="str">
            <v>MỲ, MIẾN</v>
          </cell>
          <cell r="N1090" t="str">
            <v>MỲ CHẾ BIẾN</v>
          </cell>
          <cell r="O1090" t="str">
            <v>154247</v>
          </cell>
          <cell r="P1090" t="str">
            <v>4902902105004</v>
          </cell>
          <cell r="Q1090" t="str">
            <v>MALONY_Miến khoai tây 500g</v>
          </cell>
          <cell r="R1090">
            <v>139000</v>
          </cell>
          <cell r="S1090">
            <v>1</v>
          </cell>
          <cell r="T1090">
            <v>139000</v>
          </cell>
          <cell r="U1090">
            <v>0</v>
          </cell>
          <cell r="V1090">
            <v>139000</v>
          </cell>
          <cell r="W1090" t="str">
            <v>4902902105004</v>
          </cell>
        </row>
        <row r="1091">
          <cell r="A1091">
            <v>2026</v>
          </cell>
          <cell r="B1091">
            <v>5</v>
          </cell>
          <cell r="C1091">
            <v>46164</v>
          </cell>
          <cell r="D1091" t="str">
            <v>1. SKK store</v>
          </cell>
          <cell r="E1091" t="str">
            <v>S1005</v>
          </cell>
          <cell r="F1091" t="str">
            <v>SKK  Thái Hà</v>
          </cell>
          <cell r="G1091" t="str">
            <v>0987715186</v>
          </cell>
          <cell r="H1091" t="str">
            <v>c hương</v>
          </cell>
          <cell r="I1091" t="str">
            <v>Khách cũ</v>
          </cell>
          <cell r="J1091" t="str">
            <v>Đơn bán</v>
          </cell>
          <cell r="K1091" t="str">
            <v>SAKUKO784838</v>
          </cell>
          <cell r="L1091" t="str">
            <v>NHÀ CỬA ĐỜI SỐNG</v>
          </cell>
          <cell r="M1091" t="str">
            <v>ĐỒ DÙNG SINH HOẠT GIA ĐÌNH</v>
          </cell>
          <cell r="N1091" t="str">
            <v>VẬT DỤNG SINH HOẠT KHÁC</v>
          </cell>
          <cell r="O1091" t="str">
            <v>135039</v>
          </cell>
          <cell r="P1091" t="str">
            <v>4968988074993</v>
          </cell>
          <cell r="Q1091" t="str">
            <v>OMAICHI- Set 2 lọ chiết mỹ phẩm 40ml kèm hộp đựng</v>
          </cell>
          <cell r="R1091">
            <v>52000</v>
          </cell>
          <cell r="S1091">
            <v>1</v>
          </cell>
          <cell r="T1091">
            <v>52000</v>
          </cell>
          <cell r="U1091">
            <v>0</v>
          </cell>
          <cell r="V1091">
            <v>52000</v>
          </cell>
          <cell r="W1091" t="str">
            <v>4968988074993</v>
          </cell>
        </row>
        <row r="1092">
          <cell r="A1092">
            <v>2026</v>
          </cell>
          <cell r="B1092">
            <v>5</v>
          </cell>
          <cell r="C1092">
            <v>46164</v>
          </cell>
          <cell r="D1092" t="str">
            <v>1. SKK store</v>
          </cell>
          <cell r="E1092" t="str">
            <v>S1005</v>
          </cell>
          <cell r="F1092" t="str">
            <v>SKK  Thái Hà</v>
          </cell>
          <cell r="G1092" t="str">
            <v>0988560088</v>
          </cell>
          <cell r="H1092" t="str">
            <v>Anh Nguyễn Xuân Lâm</v>
          </cell>
          <cell r="I1092" t="str">
            <v>Khách cũ</v>
          </cell>
          <cell r="J1092" t="str">
            <v>Đơn bán</v>
          </cell>
          <cell r="K1092" t="str">
            <v>SAKUKO784677</v>
          </cell>
          <cell r="L1092" t="str">
            <v>THỰC PHẨM</v>
          </cell>
          <cell r="M1092" t="str">
            <v>BÁNH KẸO, ĐỒ ĂN VẶT</v>
          </cell>
          <cell r="N1092" t="str">
            <v>KẸO CAO SU</v>
          </cell>
          <cell r="O1092" t="str">
            <v>153932</v>
          </cell>
          <cell r="P1092" t="str">
            <v>4903333241651</v>
          </cell>
          <cell r="Q1092" t="str">
            <v>LOTTE - Kẹo cao su black black ít đường 133g</v>
          </cell>
          <cell r="R1092">
            <v>235000</v>
          </cell>
          <cell r="S1092">
            <v>1</v>
          </cell>
          <cell r="T1092">
            <v>235000</v>
          </cell>
          <cell r="U1092">
            <v>0</v>
          </cell>
          <cell r="V1092">
            <v>235000</v>
          </cell>
          <cell r="W1092" t="str">
            <v>4903333241651</v>
          </cell>
        </row>
        <row r="1093">
          <cell r="A1093">
            <v>2026</v>
          </cell>
          <cell r="B1093">
            <v>5</v>
          </cell>
          <cell r="C1093">
            <v>46164</v>
          </cell>
          <cell r="D1093" t="str">
            <v>1. SKK store</v>
          </cell>
          <cell r="E1093" t="str">
            <v>S1006</v>
          </cell>
          <cell r="F1093" t="str">
            <v>SKK Trần Đăng Ninh</v>
          </cell>
          <cell r="G1093" t="str">
            <v>0862954688</v>
          </cell>
          <cell r="H1093" t="str">
            <v>KLTDN</v>
          </cell>
          <cell r="I1093" t="str">
            <v>Khách vãng lai</v>
          </cell>
          <cell r="J1093" t="str">
            <v>Đơn bán</v>
          </cell>
          <cell r="K1093" t="str">
            <v>SAKUKO784920</v>
          </cell>
          <cell r="L1093" t="str">
            <v>NHÀ CỬA ĐỜI SỐNG</v>
          </cell>
          <cell r="M1093" t="str">
            <v>ĐỒ DÙNG SINH HOẠT GIA ĐÌNH</v>
          </cell>
          <cell r="N1093" t="str">
            <v>VẬT DỤNG SINH HOẠT KHÁC</v>
          </cell>
          <cell r="O1093" t="str">
            <v>135039</v>
          </cell>
          <cell r="P1093" t="str">
            <v>4968988074993</v>
          </cell>
          <cell r="Q1093" t="str">
            <v>OMAICHI- Set 2 lọ chiết mỹ phẩm 40ml kèm hộp đựng</v>
          </cell>
          <cell r="R1093">
            <v>52000</v>
          </cell>
          <cell r="S1093">
            <v>1</v>
          </cell>
          <cell r="T1093">
            <v>52000</v>
          </cell>
          <cell r="U1093">
            <v>0</v>
          </cell>
          <cell r="V1093">
            <v>52000</v>
          </cell>
          <cell r="W1093" t="str">
            <v>4968988074993</v>
          </cell>
        </row>
        <row r="1094">
          <cell r="A1094">
            <v>2026</v>
          </cell>
          <cell r="B1094">
            <v>5</v>
          </cell>
          <cell r="C1094">
            <v>46164</v>
          </cell>
          <cell r="D1094" t="str">
            <v>1. SKK store</v>
          </cell>
          <cell r="E1094" t="str">
            <v>S1006</v>
          </cell>
          <cell r="F1094" t="str">
            <v>SKK Trần Đăng Ninh</v>
          </cell>
          <cell r="G1094" t="str">
            <v>0862954688</v>
          </cell>
          <cell r="H1094" t="str">
            <v>KLTDN</v>
          </cell>
          <cell r="I1094" t="str">
            <v>Khách vãng lai</v>
          </cell>
          <cell r="J1094" t="str">
            <v>Đơn bán</v>
          </cell>
          <cell r="K1094" t="str">
            <v>SAKUKO784956</v>
          </cell>
          <cell r="L1094" t="str">
            <v>THỰC PHẨM</v>
          </cell>
          <cell r="M1094" t="str">
            <v>MỲ, MIẾN</v>
          </cell>
          <cell r="N1094" t="str">
            <v>MỲ CHẾ BIẾN</v>
          </cell>
          <cell r="O1094" t="str">
            <v>154247</v>
          </cell>
          <cell r="P1094" t="str">
            <v>4902902105004</v>
          </cell>
          <cell r="Q1094" t="str">
            <v>MALONY_Miến khoai tây 500g</v>
          </cell>
          <cell r="R1094">
            <v>139000</v>
          </cell>
          <cell r="S1094">
            <v>1</v>
          </cell>
          <cell r="T1094">
            <v>139000</v>
          </cell>
          <cell r="U1094">
            <v>0</v>
          </cell>
          <cell r="V1094">
            <v>139000</v>
          </cell>
          <cell r="W1094" t="str">
            <v>4902902105004</v>
          </cell>
        </row>
        <row r="1095">
          <cell r="A1095">
            <v>2026</v>
          </cell>
          <cell r="B1095">
            <v>5</v>
          </cell>
          <cell r="C1095">
            <v>46164</v>
          </cell>
          <cell r="D1095" t="str">
            <v>1. SKK store</v>
          </cell>
          <cell r="E1095" t="str">
            <v>S1006</v>
          </cell>
          <cell r="F1095" t="str">
            <v>SKK Trần Đăng Ninh</v>
          </cell>
          <cell r="G1095" t="str">
            <v>0862954688</v>
          </cell>
          <cell r="H1095" t="str">
            <v>KLTDN</v>
          </cell>
          <cell r="I1095" t="str">
            <v>Khách vãng lai</v>
          </cell>
          <cell r="J1095" t="str">
            <v>Đơn bán</v>
          </cell>
          <cell r="K1095" t="str">
            <v>SAKUKO784956</v>
          </cell>
          <cell r="L1095" t="str">
            <v>THỰC PHẨM</v>
          </cell>
          <cell r="M1095" t="str">
            <v>MỲ, MIẾN</v>
          </cell>
          <cell r="N1095" t="str">
            <v>MỲ CHẾ BIẾN</v>
          </cell>
          <cell r="O1095" t="str">
            <v>174948</v>
          </cell>
          <cell r="P1095" t="str">
            <v>4582114354119</v>
          </cell>
          <cell r="Q1095" t="str">
            <v>SANUKISHISEI- Mì soumen 300g</v>
          </cell>
          <cell r="R1095">
            <v>35000</v>
          </cell>
          <cell r="S1095">
            <v>1</v>
          </cell>
          <cell r="T1095">
            <v>35000</v>
          </cell>
          <cell r="U1095">
            <v>0</v>
          </cell>
          <cell r="V1095">
            <v>35000</v>
          </cell>
          <cell r="W1095" t="str">
            <v>4582114354119</v>
          </cell>
        </row>
        <row r="1096">
          <cell r="A1096">
            <v>2026</v>
          </cell>
          <cell r="B1096">
            <v>5</v>
          </cell>
          <cell r="C1096">
            <v>46164</v>
          </cell>
          <cell r="D1096" t="str">
            <v>1. SKK store</v>
          </cell>
          <cell r="E1096" t="str">
            <v>S1006</v>
          </cell>
          <cell r="F1096" t="str">
            <v>SKK Trần Đăng Ninh</v>
          </cell>
          <cell r="G1096" t="str">
            <v>0903774978</v>
          </cell>
          <cell r="H1096" t="str">
            <v>Lê Thị Bích Hiền</v>
          </cell>
          <cell r="I1096" t="str">
            <v>Khách cũ</v>
          </cell>
          <cell r="J1096" t="str">
            <v>Đơn bán</v>
          </cell>
          <cell r="K1096" t="str">
            <v>SAKUKO785347</v>
          </cell>
          <cell r="L1096" t="str">
            <v>ĐỒ CHO MẸ BÉ</v>
          </cell>
          <cell r="M1096" t="str">
            <v>GIẤY ƯỚT</v>
          </cell>
          <cell r="N1096" t="str">
            <v>GIẤY ƯỚT CHO BÉ</v>
          </cell>
          <cell r="O1096" t="str">
            <v>121665</v>
          </cell>
          <cell r="P1096" t="str">
            <v>8934755035289</v>
          </cell>
          <cell r="Q1096" t="str">
            <v>BOBBY- Khăn ướt em bé không mùi 100 miếng</v>
          </cell>
          <cell r="R1096">
            <v>46000</v>
          </cell>
          <cell r="S1096">
            <v>1</v>
          </cell>
          <cell r="T1096">
            <v>46000</v>
          </cell>
          <cell r="U1096">
            <v>0</v>
          </cell>
          <cell r="V1096">
            <v>46000</v>
          </cell>
          <cell r="W1096" t="str">
            <v>8934755035289</v>
          </cell>
        </row>
        <row r="1097">
          <cell r="A1097">
            <v>2026</v>
          </cell>
          <cell r="B1097">
            <v>5</v>
          </cell>
          <cell r="C1097">
            <v>46164</v>
          </cell>
          <cell r="D1097" t="str">
            <v>1. SKK store</v>
          </cell>
          <cell r="E1097" t="str">
            <v>S1006</v>
          </cell>
          <cell r="F1097" t="str">
            <v>SKK Trần Đăng Ninh</v>
          </cell>
          <cell r="G1097" t="str">
            <v>0943875159</v>
          </cell>
          <cell r="H1097" t="str">
            <v>Chị Hoa</v>
          </cell>
          <cell r="I1097" t="str">
            <v>Khách cũ</v>
          </cell>
          <cell r="J1097" t="str">
            <v>Đơn bán</v>
          </cell>
          <cell r="K1097" t="str">
            <v>SAKUKO785569</v>
          </cell>
          <cell r="L1097" t="str">
            <v>CHĂM SÓC SẮC ĐẸP</v>
          </cell>
          <cell r="M1097" t="str">
            <v>CHĂM SÓC DA</v>
          </cell>
          <cell r="N1097" t="str">
            <v>CHĂM SÓC DA KHÁC</v>
          </cell>
          <cell r="O1097" t="str">
            <v>102388</v>
          </cell>
          <cell r="P1097" t="str">
            <v>8935006542914</v>
          </cell>
          <cell r="Q1097" t="str">
            <v>HADA LABO- Bộ sản phẩm dưỡng trắng (travel kit)47g</v>
          </cell>
          <cell r="R1097">
            <v>135000</v>
          </cell>
          <cell r="S1097">
            <v>1</v>
          </cell>
          <cell r="T1097">
            <v>135000</v>
          </cell>
          <cell r="U1097">
            <v>0</v>
          </cell>
          <cell r="V1097">
            <v>135000</v>
          </cell>
          <cell r="W1097" t="str">
            <v>8935006542914</v>
          </cell>
        </row>
        <row r="1098">
          <cell r="A1098">
            <v>2026</v>
          </cell>
          <cell r="B1098">
            <v>5</v>
          </cell>
          <cell r="C1098">
            <v>46164</v>
          </cell>
          <cell r="D1098" t="str">
            <v>1. SKK store</v>
          </cell>
          <cell r="E1098" t="str">
            <v>S1007</v>
          </cell>
          <cell r="F1098" t="str">
            <v>SKK  Nguyễn Du</v>
          </cell>
          <cell r="G1098" t="str">
            <v>0975670089</v>
          </cell>
          <cell r="H1098" t="str">
            <v>chị ...</v>
          </cell>
          <cell r="I1098" t="str">
            <v>Khách mới</v>
          </cell>
          <cell r="J1098" t="str">
            <v>Đơn bán</v>
          </cell>
          <cell r="K1098" t="str">
            <v>SAKUKO784801</v>
          </cell>
          <cell r="L1098" t="str">
            <v>CHĂM SÓC SẮC ĐẸP</v>
          </cell>
          <cell r="M1098" t="str">
            <v>CHĂM SÓC DA</v>
          </cell>
          <cell r="N1098" t="str">
            <v>KEM DƯỠNG</v>
          </cell>
          <cell r="O1098" t="str">
            <v>102384</v>
          </cell>
          <cell r="P1098" t="str">
            <v>4902468820014</v>
          </cell>
          <cell r="Q1098" t="str">
            <v>MEISHOKU- Kem gel dưỡng ẩm phục hồi chuyên sâu 50g</v>
          </cell>
          <cell r="R1098">
            <v>575000</v>
          </cell>
          <cell r="S1098">
            <v>1</v>
          </cell>
          <cell r="T1098">
            <v>575000</v>
          </cell>
          <cell r="U1098">
            <v>0</v>
          </cell>
          <cell r="V1098">
            <v>575000</v>
          </cell>
          <cell r="W1098" t="str">
            <v>4902468820014</v>
          </cell>
        </row>
        <row r="1099">
          <cell r="A1099">
            <v>2026</v>
          </cell>
          <cell r="B1099">
            <v>5</v>
          </cell>
          <cell r="C1099">
            <v>46164</v>
          </cell>
          <cell r="D1099" t="str">
            <v>1. SKK store</v>
          </cell>
          <cell r="E1099" t="str">
            <v>S1008</v>
          </cell>
          <cell r="F1099" t="str">
            <v>SKK  Hàng Bông</v>
          </cell>
          <cell r="G1099" t="str">
            <v>02466810202</v>
          </cell>
          <cell r="H1099" t="str">
            <v>KH Tây</v>
          </cell>
          <cell r="I1099" t="str">
            <v>Khách vãng lai</v>
          </cell>
          <cell r="J1099" t="str">
            <v>Đơn bán</v>
          </cell>
          <cell r="K1099" t="str">
            <v>SAKUKO785303</v>
          </cell>
          <cell r="L1099" t="str">
            <v>NHÀ CỬA ĐỜI SỐNG</v>
          </cell>
          <cell r="M1099" t="str">
            <v>KHĂN</v>
          </cell>
          <cell r="N1099" t="str">
            <v>KHĂN MẶT</v>
          </cell>
          <cell r="O1099" t="str">
            <v>102390</v>
          </cell>
          <cell r="P1099" t="str">
            <v>4906327905980</v>
          </cell>
          <cell r="Q1099" t="str">
            <v>KOMODA - Khăn mặt khô dùng 1 lần 46m 20x20cm</v>
          </cell>
          <cell r="R1099">
            <v>52000</v>
          </cell>
          <cell r="S1099">
            <v>1</v>
          </cell>
          <cell r="T1099">
            <v>52000</v>
          </cell>
          <cell r="U1099">
            <v>0</v>
          </cell>
          <cell r="V1099">
            <v>52000</v>
          </cell>
          <cell r="W1099" t="str">
            <v>4906327905980</v>
          </cell>
        </row>
        <row r="1100">
          <cell r="A1100">
            <v>2026</v>
          </cell>
          <cell r="B1100">
            <v>5</v>
          </cell>
          <cell r="C1100">
            <v>46164</v>
          </cell>
          <cell r="D1100" t="str">
            <v>1. SKK store</v>
          </cell>
          <cell r="E1100" t="str">
            <v>S1008</v>
          </cell>
          <cell r="F1100" t="str">
            <v>SKK  Hàng Bông</v>
          </cell>
          <cell r="G1100" t="str">
            <v>0973087623</v>
          </cell>
          <cell r="H1100" t="str">
            <v>chị Trần thị nguyệt hương</v>
          </cell>
          <cell r="I1100" t="str">
            <v>Khách cũ</v>
          </cell>
          <cell r="J1100" t="str">
            <v>Đơn bán</v>
          </cell>
          <cell r="K1100" t="str">
            <v>SAKUKO784563</v>
          </cell>
          <cell r="L1100" t="str">
            <v>THỰC PHẨM</v>
          </cell>
          <cell r="M1100" t="str">
            <v>BÁNH KẸO, ĐỒ ĂN VẶT</v>
          </cell>
          <cell r="N1100" t="str">
            <v>KẸO CAO SU</v>
          </cell>
          <cell r="O1100" t="str">
            <v>231376</v>
          </cell>
          <cell r="P1100" t="str">
            <v>4903333228577</v>
          </cell>
          <cell r="Q1100" t="str">
            <v>LOTTE-Kẹo cao su tổng hợp 7 loại dạng lọ 133g</v>
          </cell>
          <cell r="R1100">
            <v>235000</v>
          </cell>
          <cell r="S1100">
            <v>1</v>
          </cell>
          <cell r="T1100">
            <v>235000</v>
          </cell>
          <cell r="U1100">
            <v>0</v>
          </cell>
          <cell r="V1100">
            <v>235000</v>
          </cell>
          <cell r="W1100" t="str">
            <v>4903333228577</v>
          </cell>
        </row>
        <row r="1101">
          <cell r="A1101">
            <v>2026</v>
          </cell>
          <cell r="B1101">
            <v>5</v>
          </cell>
          <cell r="C1101">
            <v>46164</v>
          </cell>
          <cell r="D1101" t="str">
            <v>1. SKK store</v>
          </cell>
          <cell r="E1101" t="str">
            <v>S1018</v>
          </cell>
          <cell r="F1101" t="str">
            <v>SKK Nguyễn Tuân</v>
          </cell>
          <cell r="G1101" t="str">
            <v>0905666627</v>
          </cell>
          <cell r="H1101" t="str">
            <v>Trần Vân</v>
          </cell>
          <cell r="I1101" t="str">
            <v>Khách cũ</v>
          </cell>
          <cell r="J1101" t="str">
            <v>Đơn bán</v>
          </cell>
          <cell r="K1101" t="str">
            <v>SAKUKO785180</v>
          </cell>
          <cell r="L1101" t="str">
            <v>THỰC PHẨM</v>
          </cell>
          <cell r="M1101" t="str">
            <v>MỲ, MIẾN</v>
          </cell>
          <cell r="N1101" t="str">
            <v>MỲ CHẾ BIẾN</v>
          </cell>
          <cell r="O1101" t="str">
            <v>154251</v>
          </cell>
          <cell r="P1101" t="str">
            <v>4560159440776</v>
          </cell>
          <cell r="Q1101" t="str">
            <v>SATO_Mì soba khô 800g</v>
          </cell>
          <cell r="R1101">
            <v>104000</v>
          </cell>
          <cell r="S1101">
            <v>1</v>
          </cell>
          <cell r="T1101">
            <v>104000</v>
          </cell>
          <cell r="U1101">
            <v>0</v>
          </cell>
          <cell r="V1101">
            <v>104000</v>
          </cell>
          <cell r="W1101" t="str">
            <v>4560159440776</v>
          </cell>
        </row>
        <row r="1102">
          <cell r="A1102">
            <v>2026</v>
          </cell>
          <cell r="B1102">
            <v>5</v>
          </cell>
          <cell r="C1102">
            <v>46163</v>
          </cell>
          <cell r="D1102" t="str">
            <v>1. SKK store</v>
          </cell>
          <cell r="E1102" t="str">
            <v>S1004</v>
          </cell>
          <cell r="F1102" t="str">
            <v>SKK  Mandarin C1</v>
          </cell>
          <cell r="G1102" t="str">
            <v>0889305103</v>
          </cell>
          <cell r="H1102" t="str">
            <v>Chị Phương</v>
          </cell>
          <cell r="I1102" t="str">
            <v>Khách cũ</v>
          </cell>
          <cell r="J1102" t="str">
            <v>Đơn bán</v>
          </cell>
          <cell r="K1102" t="str">
            <v>SAKUKO784185</v>
          </cell>
          <cell r="L1102" t="str">
            <v>NHÀ CỬA ĐỜI SỐNG</v>
          </cell>
          <cell r="M1102" t="str">
            <v>KHĂN</v>
          </cell>
          <cell r="N1102" t="str">
            <v>KHĂN MẶT</v>
          </cell>
          <cell r="O1102" t="str">
            <v>102390</v>
          </cell>
          <cell r="P1102" t="str">
            <v>4906327905980</v>
          </cell>
          <cell r="Q1102" t="str">
            <v>KOMODA - Khăn mặt khô dùng 1 lần 46m 20x20cm</v>
          </cell>
          <cell r="R1102">
            <v>52000</v>
          </cell>
          <cell r="S1102">
            <v>2</v>
          </cell>
          <cell r="T1102">
            <v>104000</v>
          </cell>
          <cell r="U1102">
            <v>0</v>
          </cell>
          <cell r="V1102">
            <v>104000</v>
          </cell>
          <cell r="W1102" t="str">
            <v>4906327905980</v>
          </cell>
        </row>
        <row r="1103">
          <cell r="A1103">
            <v>2026</v>
          </cell>
          <cell r="B1103">
            <v>5</v>
          </cell>
          <cell r="C1103">
            <v>46163</v>
          </cell>
          <cell r="D1103" t="str">
            <v>1. SKK store</v>
          </cell>
          <cell r="E1103" t="str">
            <v>S1004</v>
          </cell>
          <cell r="F1103" t="str">
            <v>SKK  Mandarin C1</v>
          </cell>
          <cell r="G1103" t="str">
            <v>0936678887</v>
          </cell>
          <cell r="H1103" t="str">
            <v>c ly</v>
          </cell>
          <cell r="I1103" t="str">
            <v>Khách cũ</v>
          </cell>
          <cell r="J1103" t="str">
            <v>Đơn bán</v>
          </cell>
          <cell r="K1103" t="str">
            <v>SAKUKO784224</v>
          </cell>
          <cell r="L1103" t="str">
            <v>ĐỒ CHO MẸ BÉ</v>
          </cell>
          <cell r="M1103" t="str">
            <v>CHĂM SÓC CƠ THỂ BÉ</v>
          </cell>
          <cell r="N1103" t="str">
            <v>THỰC PHẨM CHỨC NĂNG CHO BÉ</v>
          </cell>
          <cell r="O1103" t="str">
            <v>121666</v>
          </cell>
          <cell r="P1103" t="str">
            <v>8436036591441</v>
          </cell>
          <cell r="Q1103" t="str">
            <v>NEO KIDS-TPBVSK Gummies Omega 3 DHA 150g</v>
          </cell>
          <cell r="R1103">
            <v>360000</v>
          </cell>
          <cell r="S1103">
            <v>1</v>
          </cell>
          <cell r="T1103">
            <v>360000</v>
          </cell>
          <cell r="U1103">
            <v>0</v>
          </cell>
          <cell r="V1103">
            <v>360000</v>
          </cell>
          <cell r="W1103" t="str">
            <v>8436036591441</v>
          </cell>
        </row>
        <row r="1104">
          <cell r="A1104">
            <v>2026</v>
          </cell>
          <cell r="B1104">
            <v>5</v>
          </cell>
          <cell r="C1104">
            <v>46163</v>
          </cell>
          <cell r="D1104" t="str">
            <v>1. SKK store</v>
          </cell>
          <cell r="E1104" t="str">
            <v>S1004</v>
          </cell>
          <cell r="F1104" t="str">
            <v>SKK  Mandarin C1</v>
          </cell>
          <cell r="G1104" t="str">
            <v>0972360988</v>
          </cell>
          <cell r="H1104" t="str">
            <v>Chị Thúy</v>
          </cell>
          <cell r="I1104" t="str">
            <v>Khách cũ</v>
          </cell>
          <cell r="J1104" t="str">
            <v>Đơn bán</v>
          </cell>
          <cell r="K1104" t="str">
            <v>SAKUKO784335</v>
          </cell>
          <cell r="L1104" t="str">
            <v>ĐỒ CHO MẸ BÉ</v>
          </cell>
          <cell r="M1104" t="str">
            <v>GIẤY ƯỚT</v>
          </cell>
          <cell r="N1104" t="str">
            <v>GIẤY ƯỚT CHO BÉ</v>
          </cell>
          <cell r="O1104" t="str">
            <v>121663</v>
          </cell>
          <cell r="P1104" t="str">
            <v>8934755035197</v>
          </cell>
          <cell r="Q1104" t="str">
            <v>FRESSI- Khăn ướt Care For All 100 miếng</v>
          </cell>
          <cell r="R1104">
            <v>49000</v>
          </cell>
          <cell r="S1104">
            <v>1</v>
          </cell>
          <cell r="T1104">
            <v>49000</v>
          </cell>
          <cell r="U1104">
            <v>0</v>
          </cell>
          <cell r="V1104">
            <v>49000</v>
          </cell>
          <cell r="W1104" t="str">
            <v>8934755035197</v>
          </cell>
        </row>
        <row r="1105">
          <cell r="A1105">
            <v>2026</v>
          </cell>
          <cell r="B1105">
            <v>5</v>
          </cell>
          <cell r="C1105">
            <v>46163</v>
          </cell>
          <cell r="D1105" t="str">
            <v>1. SKK store</v>
          </cell>
          <cell r="E1105" t="str">
            <v>S1004</v>
          </cell>
          <cell r="F1105" t="str">
            <v>SKK  Mandarin C1</v>
          </cell>
          <cell r="G1105" t="str">
            <v>0982373799</v>
          </cell>
          <cell r="H1105" t="str">
            <v>chị Nguyễn Anh Tú</v>
          </cell>
          <cell r="I1105" t="str">
            <v>Khách cũ</v>
          </cell>
          <cell r="J1105" t="str">
            <v>Đơn bán</v>
          </cell>
          <cell r="K1105" t="str">
            <v>SAKUKO784323</v>
          </cell>
          <cell r="L1105" t="str">
            <v>CHĂM SÓC SẮC ĐẸP</v>
          </cell>
          <cell r="M1105" t="str">
            <v>Mỹ phẩm khác</v>
          </cell>
          <cell r="N1105" t="str">
            <v>PHỤ KIỆN LÀM ĐẸP</v>
          </cell>
          <cell r="O1105" t="str">
            <v>102389</v>
          </cell>
          <cell r="P1105" t="str">
            <v>4969757110652</v>
          </cell>
          <cell r="Q1105" t="str">
            <v>KYOWA- Gói bông tẩy trang 130 miếng</v>
          </cell>
          <cell r="R1105">
            <v>49000</v>
          </cell>
          <cell r="S1105">
            <v>1</v>
          </cell>
          <cell r="T1105">
            <v>49000</v>
          </cell>
          <cell r="U1105">
            <v>0</v>
          </cell>
          <cell r="V1105">
            <v>49000</v>
          </cell>
          <cell r="W1105" t="str">
            <v>4969757110652</v>
          </cell>
        </row>
        <row r="1106">
          <cell r="A1106">
            <v>2026</v>
          </cell>
          <cell r="B1106">
            <v>5</v>
          </cell>
          <cell r="C1106">
            <v>46163</v>
          </cell>
          <cell r="D1106" t="str">
            <v>1. SKK store</v>
          </cell>
          <cell r="E1106" t="str">
            <v>S1005</v>
          </cell>
          <cell r="F1106" t="str">
            <v>SKK  Thái Hà</v>
          </cell>
          <cell r="G1106" t="str">
            <v>0983051277</v>
          </cell>
          <cell r="H1106" t="str">
            <v>Chị Nguyễn Thái Quỳnh Chi</v>
          </cell>
          <cell r="I1106" t="str">
            <v>Khách cũ</v>
          </cell>
          <cell r="J1106" t="str">
            <v>Đơn bán</v>
          </cell>
          <cell r="K1106" t="str">
            <v>SAKUKO783779</v>
          </cell>
          <cell r="L1106" t="str">
            <v>THỰC PHẨM</v>
          </cell>
          <cell r="M1106" t="str">
            <v>BÁNH KẸO, ĐỒ ĂN VẶT</v>
          </cell>
          <cell r="N1106" t="str">
            <v>KẸO CAO SU</v>
          </cell>
          <cell r="O1106" t="str">
            <v>231377</v>
          </cell>
          <cell r="P1106" t="str">
            <v>4903333200375</v>
          </cell>
          <cell r="Q1106" t="str">
            <v>LOTTE-Kẹo cao su tổng hợp dạng lọ 114g</v>
          </cell>
          <cell r="R1106">
            <v>235000</v>
          </cell>
          <cell r="S1106">
            <v>1</v>
          </cell>
          <cell r="T1106">
            <v>235000</v>
          </cell>
          <cell r="U1106">
            <v>0</v>
          </cell>
          <cell r="V1106">
            <v>235000</v>
          </cell>
          <cell r="W1106" t="str">
            <v>4903333200375</v>
          </cell>
        </row>
        <row r="1107">
          <cell r="A1107">
            <v>2026</v>
          </cell>
          <cell r="B1107">
            <v>5</v>
          </cell>
          <cell r="C1107">
            <v>46163</v>
          </cell>
          <cell r="D1107" t="str">
            <v>1. SKK store</v>
          </cell>
          <cell r="E1107" t="str">
            <v>S1006</v>
          </cell>
          <cell r="F1107" t="str">
            <v>SKK Trần Đăng Ninh</v>
          </cell>
          <cell r="G1107" t="str">
            <v>0904133907</v>
          </cell>
          <cell r="H1107" t="str">
            <v>chị Nam</v>
          </cell>
          <cell r="I1107" t="str">
            <v>Khách cũ</v>
          </cell>
          <cell r="J1107" t="str">
            <v>Đơn bán</v>
          </cell>
          <cell r="K1107" t="str">
            <v>SAKUKO784332</v>
          </cell>
          <cell r="L1107" t="str">
            <v>THỰC PHẨM</v>
          </cell>
          <cell r="M1107" t="str">
            <v>BÁNH KẸO, ĐỒ ĂN VẶT</v>
          </cell>
          <cell r="N1107" t="str">
            <v>KẸO CAO SU</v>
          </cell>
          <cell r="O1107" t="str">
            <v>231374</v>
          </cell>
          <cell r="P1107" t="str">
            <v>4547894156315</v>
          </cell>
          <cell r="Q1107" t="str">
            <v>CLORETS-Kẹo cao su hương vị 4 mùa 140g</v>
          </cell>
          <cell r="R1107">
            <v>235000</v>
          </cell>
          <cell r="S1107">
            <v>1</v>
          </cell>
          <cell r="T1107">
            <v>235000</v>
          </cell>
          <cell r="U1107">
            <v>0</v>
          </cell>
          <cell r="V1107">
            <v>235000</v>
          </cell>
          <cell r="W1107" t="str">
            <v>4547894156315</v>
          </cell>
        </row>
        <row r="1108">
          <cell r="A1108">
            <v>2026</v>
          </cell>
          <cell r="B1108">
            <v>5</v>
          </cell>
          <cell r="C1108">
            <v>46163</v>
          </cell>
          <cell r="D1108" t="str">
            <v>1. SKK store</v>
          </cell>
          <cell r="E1108" t="str">
            <v>S1006</v>
          </cell>
          <cell r="F1108" t="str">
            <v>SKK Trần Đăng Ninh</v>
          </cell>
          <cell r="G1108" t="str">
            <v>0976554690</v>
          </cell>
          <cell r="H1108" t="str">
            <v>Chị Nhàn</v>
          </cell>
          <cell r="I1108" t="str">
            <v>Khách cũ</v>
          </cell>
          <cell r="J1108" t="str">
            <v>Đơn bán</v>
          </cell>
          <cell r="K1108" t="str">
            <v>SAKUKO783789</v>
          </cell>
          <cell r="L1108" t="str">
            <v>ĐỒ CHO MẸ BÉ</v>
          </cell>
          <cell r="M1108" t="str">
            <v>GIẤY ƯỚT</v>
          </cell>
          <cell r="N1108" t="str">
            <v>GIẤY ƯỚT CHO BÉ</v>
          </cell>
          <cell r="O1108" t="str">
            <v>121665</v>
          </cell>
          <cell r="P1108" t="str">
            <v>8934755035289</v>
          </cell>
          <cell r="Q1108" t="str">
            <v>BOBBY- Khăn ướt em bé không mùi 100 miếng</v>
          </cell>
          <cell r="R1108">
            <v>46000</v>
          </cell>
          <cell r="S1108">
            <v>1</v>
          </cell>
          <cell r="T1108">
            <v>46000</v>
          </cell>
          <cell r="U1108">
            <v>0</v>
          </cell>
          <cell r="V1108">
            <v>46000</v>
          </cell>
          <cell r="W1108" t="str">
            <v>8934755035289</v>
          </cell>
        </row>
        <row r="1109">
          <cell r="A1109">
            <v>2026</v>
          </cell>
          <cell r="B1109">
            <v>5</v>
          </cell>
          <cell r="C1109">
            <v>46163</v>
          </cell>
          <cell r="D1109" t="str">
            <v>1. SKK store</v>
          </cell>
          <cell r="E1109" t="str">
            <v>S1007</v>
          </cell>
          <cell r="F1109" t="str">
            <v>SKK  Nguyễn Du</v>
          </cell>
          <cell r="G1109" t="str">
            <v>0975028998</v>
          </cell>
          <cell r="H1109" t="str">
            <v>Chị Quỳnh</v>
          </cell>
          <cell r="I1109" t="str">
            <v>Khách cũ</v>
          </cell>
          <cell r="J1109" t="str">
            <v>Đơn bán</v>
          </cell>
          <cell r="K1109" t="str">
            <v>SAKUKO783782</v>
          </cell>
          <cell r="L1109" t="str">
            <v>ĐỒ CHO MẸ BÉ</v>
          </cell>
          <cell r="M1109" t="str">
            <v>GIẤY ƯỚT</v>
          </cell>
          <cell r="N1109" t="str">
            <v>GIẤY ƯỚT CHO BÉ</v>
          </cell>
          <cell r="O1109" t="str">
            <v>121664</v>
          </cell>
          <cell r="P1109" t="str">
            <v>8934755035074</v>
          </cell>
          <cell r="Q1109" t="str">
            <v>BOBBY- Khăn ướt em bé có hương 100 miếng</v>
          </cell>
          <cell r="R1109">
            <v>46000</v>
          </cell>
          <cell r="S1109">
            <v>1</v>
          </cell>
          <cell r="T1109">
            <v>46000</v>
          </cell>
          <cell r="U1109">
            <v>0</v>
          </cell>
          <cell r="V1109">
            <v>46000</v>
          </cell>
          <cell r="W1109" t="str">
            <v>8934755035074</v>
          </cell>
        </row>
        <row r="1110">
          <cell r="A1110">
            <v>2026</v>
          </cell>
          <cell r="B1110">
            <v>5</v>
          </cell>
          <cell r="C1110">
            <v>46163</v>
          </cell>
          <cell r="D1110" t="str">
            <v>1. SKK store</v>
          </cell>
          <cell r="E1110" t="str">
            <v>S1008</v>
          </cell>
          <cell r="F1110" t="str">
            <v>SKK  Hàng Bông</v>
          </cell>
          <cell r="G1110" t="str">
            <v>0912357370</v>
          </cell>
          <cell r="H1110" t="str">
            <v>Chị Thảo</v>
          </cell>
          <cell r="I1110" t="str">
            <v>Khách cũ</v>
          </cell>
          <cell r="J1110" t="str">
            <v>Đơn bán</v>
          </cell>
          <cell r="K1110" t="str">
            <v>SAKUKO784236</v>
          </cell>
          <cell r="L1110" t="str">
            <v>NHÀ CỬA ĐỜI SỐNG</v>
          </cell>
          <cell r="M1110" t="str">
            <v>PHÒNG CHỐNG CÔN TRÙNG</v>
          </cell>
          <cell r="N1110" t="str">
            <v>DIỆT CÔN TRÙNG</v>
          </cell>
          <cell r="O1110" t="str">
            <v>230476</v>
          </cell>
          <cell r="P1110" t="str">
            <v>4987115105874</v>
          </cell>
          <cell r="Q1110" t="str">
            <v>KINCHO- XỊT DIỆT MUỖI HƯƠNG HOA HỒNG 45ML</v>
          </cell>
          <cell r="R1110">
            <v>320000</v>
          </cell>
          <cell r="S1110">
            <v>1</v>
          </cell>
          <cell r="T1110">
            <v>320000</v>
          </cell>
          <cell r="U1110">
            <v>16000</v>
          </cell>
          <cell r="V1110">
            <v>304000</v>
          </cell>
          <cell r="W1110" t="str">
            <v>4987115105874</v>
          </cell>
        </row>
        <row r="1111">
          <cell r="A1111">
            <v>2026</v>
          </cell>
          <cell r="B1111">
            <v>5</v>
          </cell>
          <cell r="C1111">
            <v>46163</v>
          </cell>
          <cell r="D1111" t="str">
            <v>1. SKK store</v>
          </cell>
          <cell r="E1111" t="str">
            <v>S1015</v>
          </cell>
          <cell r="F1111" t="str">
            <v>SKK Hàm Nghi</v>
          </cell>
          <cell r="G1111" t="str">
            <v>0985156877</v>
          </cell>
          <cell r="H1111" t="str">
            <v>chị các</v>
          </cell>
          <cell r="I1111" t="str">
            <v>Khách cũ</v>
          </cell>
          <cell r="J1111" t="str">
            <v>Đơn bán</v>
          </cell>
          <cell r="K1111" t="str">
            <v>SAKUKO783699</v>
          </cell>
          <cell r="L1111" t="str">
            <v>CHĂM SÓC SẮC ĐẸP</v>
          </cell>
          <cell r="M1111" t="str">
            <v>CHĂM SÓC DA</v>
          </cell>
          <cell r="N1111" t="str">
            <v>RỬA MẶT</v>
          </cell>
          <cell r="O1111" t="str">
            <v>230269</v>
          </cell>
          <cell r="P1111" t="str">
            <v>4987241173242</v>
          </cell>
          <cell r="Q1111" t="str">
            <v>ROHTO- SRM Melano CC mờ thâm nám (130g)</v>
          </cell>
          <cell r="R1111">
            <v>294000</v>
          </cell>
          <cell r="S1111">
            <v>1</v>
          </cell>
          <cell r="T1111">
            <v>294000</v>
          </cell>
          <cell r="U1111">
            <v>0</v>
          </cell>
          <cell r="V1111">
            <v>294000</v>
          </cell>
          <cell r="W1111" t="str">
            <v>4987241173242</v>
          </cell>
        </row>
        <row r="1112">
          <cell r="A1112">
            <v>2026</v>
          </cell>
          <cell r="B1112">
            <v>5</v>
          </cell>
          <cell r="C1112">
            <v>46163</v>
          </cell>
          <cell r="D1112" t="str">
            <v>1. SKK store</v>
          </cell>
          <cell r="E1112" t="str">
            <v>S1015</v>
          </cell>
          <cell r="F1112" t="str">
            <v>SKK Hàm Nghi</v>
          </cell>
          <cell r="G1112" t="str">
            <v>0987556633</v>
          </cell>
          <cell r="H1112" t="str">
            <v>c thanh</v>
          </cell>
          <cell r="I1112" t="str">
            <v>Khách cũ</v>
          </cell>
          <cell r="J1112" t="str">
            <v>Đơn bán</v>
          </cell>
          <cell r="K1112" t="str">
            <v>SAKUKO784383</v>
          </cell>
          <cell r="L1112" t="str">
            <v>THỰC PHẨM</v>
          </cell>
          <cell r="M1112" t="str">
            <v>BÁNH KẸO, ĐỒ ĂN VẶT</v>
          </cell>
          <cell r="N1112" t="str">
            <v>KẸO CAO SU</v>
          </cell>
          <cell r="O1112" t="str">
            <v>231374</v>
          </cell>
          <cell r="P1112" t="str">
            <v>4547894156315</v>
          </cell>
          <cell r="Q1112" t="str">
            <v>CLORETS-Kẹo cao su hương vị 4 mùa 140g</v>
          </cell>
          <cell r="R1112">
            <v>235000</v>
          </cell>
          <cell r="S1112">
            <v>1</v>
          </cell>
          <cell r="T1112">
            <v>235000</v>
          </cell>
          <cell r="U1112">
            <v>0</v>
          </cell>
          <cell r="V1112">
            <v>235000</v>
          </cell>
          <cell r="W1112" t="str">
            <v>4547894156315</v>
          </cell>
        </row>
        <row r="1113">
          <cell r="A1113">
            <v>2026</v>
          </cell>
          <cell r="B1113">
            <v>5</v>
          </cell>
          <cell r="C1113">
            <v>46163</v>
          </cell>
          <cell r="D1113" t="str">
            <v>1. SKK store</v>
          </cell>
          <cell r="E1113" t="str">
            <v>S1015</v>
          </cell>
          <cell r="F1113" t="str">
            <v>SKK Hàm Nghi</v>
          </cell>
          <cell r="G1113" t="str">
            <v>0988103589</v>
          </cell>
          <cell r="H1113" t="str">
            <v>chị suben</v>
          </cell>
          <cell r="I1113" t="str">
            <v>Khách cũ</v>
          </cell>
          <cell r="J1113" t="str">
            <v>Đơn bán</v>
          </cell>
          <cell r="K1113" t="str">
            <v>SAKUKO784359</v>
          </cell>
          <cell r="L1113" t="str">
            <v>CHĂM SÓC SẮC ĐẸP</v>
          </cell>
          <cell r="M1113" t="str">
            <v>CHĂM SÓC DA</v>
          </cell>
          <cell r="N1113" t="str">
            <v>RỬA MẶT</v>
          </cell>
          <cell r="O1113" t="str">
            <v>230269</v>
          </cell>
          <cell r="P1113" t="str">
            <v>4987241173242</v>
          </cell>
          <cell r="Q1113" t="str">
            <v>ROHTO- SRM Melano CC mờ thâm nám (130g)</v>
          </cell>
          <cell r="R1113">
            <v>294000</v>
          </cell>
          <cell r="S1113">
            <v>1</v>
          </cell>
          <cell r="T1113">
            <v>294000</v>
          </cell>
          <cell r="U1113">
            <v>35000</v>
          </cell>
          <cell r="V1113">
            <v>259000</v>
          </cell>
          <cell r="W1113" t="str">
            <v>4987241173242</v>
          </cell>
        </row>
        <row r="1114">
          <cell r="A1114">
            <v>2026</v>
          </cell>
          <cell r="B1114">
            <v>5</v>
          </cell>
          <cell r="C1114">
            <v>46163</v>
          </cell>
          <cell r="D1114" t="str">
            <v>1. SKK store</v>
          </cell>
          <cell r="E1114" t="str">
            <v>S1025</v>
          </cell>
          <cell r="F1114" t="str">
            <v>SKK T6 Time City</v>
          </cell>
          <cell r="G1114" t="str">
            <v>0912570300</v>
          </cell>
          <cell r="H1114" t="str">
            <v>NGUYỄN THỊ UYÊN</v>
          </cell>
          <cell r="I1114" t="str">
            <v>Khách cũ</v>
          </cell>
          <cell r="J1114" t="str">
            <v>Đơn bán</v>
          </cell>
          <cell r="K1114" t="str">
            <v>SAKUKO784439</v>
          </cell>
          <cell r="L1114" t="str">
            <v>THỰC PHẨM</v>
          </cell>
          <cell r="M1114" t="str">
            <v>BÁNH KẸO, ĐỒ ĂN VẶT</v>
          </cell>
          <cell r="N1114" t="str">
            <v>KẸO CAO SU</v>
          </cell>
          <cell r="O1114" t="str">
            <v>153932</v>
          </cell>
          <cell r="P1114" t="str">
            <v>4903333241651</v>
          </cell>
          <cell r="Q1114" t="str">
            <v>LOTTE - Kẹo cao su black black ít đường 133g</v>
          </cell>
          <cell r="R1114">
            <v>235000</v>
          </cell>
          <cell r="S1114">
            <v>1</v>
          </cell>
          <cell r="T1114">
            <v>235000</v>
          </cell>
          <cell r="U1114">
            <v>0</v>
          </cell>
          <cell r="V1114">
            <v>235000</v>
          </cell>
          <cell r="W1114" t="str">
            <v>4903333241651</v>
          </cell>
        </row>
        <row r="1115">
          <cell r="A1115">
            <v>2026</v>
          </cell>
          <cell r="B1115">
            <v>5</v>
          </cell>
          <cell r="C1115">
            <v>46163</v>
          </cell>
          <cell r="D1115" t="str">
            <v>1. SKK store</v>
          </cell>
          <cell r="E1115" t="str">
            <v>S1025</v>
          </cell>
          <cell r="F1115" t="str">
            <v>SKK T6 Time City</v>
          </cell>
          <cell r="G1115" t="str">
            <v>0963336457</v>
          </cell>
          <cell r="H1115" t="str">
            <v>C Nhung</v>
          </cell>
          <cell r="I1115" t="str">
            <v>Khách cũ</v>
          </cell>
          <cell r="J1115" t="str">
            <v>Đơn bán</v>
          </cell>
          <cell r="K1115" t="str">
            <v>SAKUKO784363</v>
          </cell>
          <cell r="L1115" t="str">
            <v>NHÀ CỬA ĐỜI SỐNG</v>
          </cell>
          <cell r="M1115" t="str">
            <v>ĐỒ DÙNG SINH HOẠT GIA ĐÌNH</v>
          </cell>
          <cell r="N1115" t="str">
            <v>VẬT DỤNG SINH HOẠT KHÁC</v>
          </cell>
          <cell r="O1115" t="str">
            <v>135039</v>
          </cell>
          <cell r="P1115" t="str">
            <v>4968988074993</v>
          </cell>
          <cell r="Q1115" t="str">
            <v>OMAICHI- Set 2 lọ chiết mỹ phẩm 40ml kèm hộp đựng</v>
          </cell>
          <cell r="R1115">
            <v>52000</v>
          </cell>
          <cell r="S1115">
            <v>1</v>
          </cell>
          <cell r="T1115">
            <v>52000</v>
          </cell>
          <cell r="U1115">
            <v>0</v>
          </cell>
          <cell r="V1115">
            <v>52000</v>
          </cell>
          <cell r="W1115" t="str">
            <v>4968988074993</v>
          </cell>
        </row>
        <row r="1116">
          <cell r="A1116">
            <v>2026</v>
          </cell>
          <cell r="B1116">
            <v>5</v>
          </cell>
          <cell r="C1116">
            <v>46163</v>
          </cell>
          <cell r="D1116" t="str">
            <v>1. SKK store</v>
          </cell>
          <cell r="E1116" t="str">
            <v>S1025</v>
          </cell>
          <cell r="F1116" t="str">
            <v>SKK T6 Time City</v>
          </cell>
          <cell r="G1116" t="str">
            <v>0968848350</v>
          </cell>
          <cell r="H1116" t="str">
            <v>c hải</v>
          </cell>
          <cell r="I1116" t="str">
            <v>Khách cũ</v>
          </cell>
          <cell r="J1116" t="str">
            <v>Đơn bán</v>
          </cell>
          <cell r="K1116" t="str">
            <v>SAKUKO784204</v>
          </cell>
          <cell r="L1116" t="str">
            <v>CHĂM SÓC SẮC ĐẸP</v>
          </cell>
          <cell r="M1116" t="str">
            <v>CHĂM SÓC DA</v>
          </cell>
          <cell r="N1116" t="str">
            <v>RỬA MẶT</v>
          </cell>
          <cell r="O1116" t="str">
            <v>102386</v>
          </cell>
          <cell r="P1116" t="str">
            <v>4902468816062</v>
          </cell>
          <cell r="Q1116" t="str">
            <v>MEISHOKU- Sữa rửa mặt sáng da Cvita 100g</v>
          </cell>
          <cell r="R1116">
            <v>290000</v>
          </cell>
          <cell r="S1116">
            <v>1</v>
          </cell>
          <cell r="T1116">
            <v>290000</v>
          </cell>
          <cell r="U1116">
            <v>0</v>
          </cell>
          <cell r="V1116">
            <v>290000</v>
          </cell>
          <cell r="W1116" t="str">
            <v>4902468816062</v>
          </cell>
        </row>
        <row r="1117">
          <cell r="A1117">
            <v>2026</v>
          </cell>
          <cell r="B1117">
            <v>5</v>
          </cell>
          <cell r="C1117">
            <v>46162</v>
          </cell>
          <cell r="D1117" t="str">
            <v>1. SKK store</v>
          </cell>
          <cell r="E1117" t="str">
            <v>S1004</v>
          </cell>
          <cell r="F1117" t="str">
            <v>SKK  Mandarin C1</v>
          </cell>
          <cell r="G1117" t="str">
            <v>0903408897</v>
          </cell>
          <cell r="H1117" t="str">
            <v>chú minh</v>
          </cell>
          <cell r="I1117" t="str">
            <v>Khách cũ</v>
          </cell>
          <cell r="J1117" t="str">
            <v>Đơn bán</v>
          </cell>
          <cell r="K1117" t="str">
            <v>SAKUKO782831</v>
          </cell>
          <cell r="L1117" t="str">
            <v>THỰC PHẨM</v>
          </cell>
          <cell r="M1117" t="str">
            <v>BÁNH KẸO, ĐỒ ĂN VẶT</v>
          </cell>
          <cell r="N1117" t="str">
            <v>KẸO CAO SU</v>
          </cell>
          <cell r="O1117" t="str">
            <v>231374</v>
          </cell>
          <cell r="P1117" t="str">
            <v>4547894156315</v>
          </cell>
          <cell r="Q1117" t="str">
            <v>CLORETS-Kẹo cao su hương vị 4 mùa 140g</v>
          </cell>
          <cell r="R1117">
            <v>235000</v>
          </cell>
          <cell r="S1117">
            <v>1</v>
          </cell>
          <cell r="T1117">
            <v>235000</v>
          </cell>
          <cell r="U1117">
            <v>0</v>
          </cell>
          <cell r="V1117">
            <v>235000</v>
          </cell>
          <cell r="W1117" t="str">
            <v>4547894156315</v>
          </cell>
        </row>
        <row r="1118">
          <cell r="A1118">
            <v>2026</v>
          </cell>
          <cell r="B1118">
            <v>5</v>
          </cell>
          <cell r="C1118">
            <v>46162</v>
          </cell>
          <cell r="D1118" t="str">
            <v>1. SKK store</v>
          </cell>
          <cell r="E1118" t="str">
            <v>S1004</v>
          </cell>
          <cell r="F1118" t="str">
            <v>SKK  Mandarin C1</v>
          </cell>
          <cell r="G1118" t="str">
            <v>0904265886</v>
          </cell>
          <cell r="H1118" t="str">
            <v>le thi Phuong Lan</v>
          </cell>
          <cell r="I1118" t="str">
            <v>Khách cũ</v>
          </cell>
          <cell r="J1118" t="str">
            <v>Đơn bán</v>
          </cell>
          <cell r="K1118" t="str">
            <v>SAKUKO783047</v>
          </cell>
          <cell r="L1118" t="str">
            <v>THỰC PHẨM</v>
          </cell>
          <cell r="M1118" t="str">
            <v>MỲ, MIẾN</v>
          </cell>
          <cell r="N1118" t="str">
            <v>MỲ CHẾ BIẾN</v>
          </cell>
          <cell r="O1118" t="str">
            <v>154251</v>
          </cell>
          <cell r="P1118" t="str">
            <v>4560159440776</v>
          </cell>
          <cell r="Q1118" t="str">
            <v>SATO_Mì soba khô 800g</v>
          </cell>
          <cell r="R1118">
            <v>104000</v>
          </cell>
          <cell r="S1118">
            <v>1</v>
          </cell>
          <cell r="T1118">
            <v>104000</v>
          </cell>
          <cell r="U1118">
            <v>0</v>
          </cell>
          <cell r="V1118">
            <v>104000</v>
          </cell>
          <cell r="W1118" t="str">
            <v>4560159440776</v>
          </cell>
        </row>
        <row r="1119">
          <cell r="A1119">
            <v>2026</v>
          </cell>
          <cell r="B1119">
            <v>5</v>
          </cell>
          <cell r="C1119">
            <v>46162</v>
          </cell>
          <cell r="D1119" t="str">
            <v>1. SKK store</v>
          </cell>
          <cell r="E1119" t="str">
            <v>S1005</v>
          </cell>
          <cell r="F1119" t="str">
            <v>SKK  Thái Hà</v>
          </cell>
          <cell r="G1119" t="str">
            <v>02466810505</v>
          </cell>
          <cell r="H1119" t="str">
            <v>klth</v>
          </cell>
          <cell r="I1119" t="str">
            <v>Khách vãng lai</v>
          </cell>
          <cell r="J1119" t="str">
            <v>Đơn bán</v>
          </cell>
          <cell r="K1119" t="str">
            <v>SAKUKO783172</v>
          </cell>
          <cell r="L1119" t="str">
            <v>CHĂM SÓC SẮC ĐẸP</v>
          </cell>
          <cell r="M1119" t="str">
            <v>CHĂM SÓC DA</v>
          </cell>
          <cell r="N1119" t="str">
            <v>RỬA MẶT</v>
          </cell>
          <cell r="O1119" t="str">
            <v>102412</v>
          </cell>
          <cell r="P1119" t="str">
            <v>4902468802126</v>
          </cell>
          <cell r="Q1119" t="str">
            <v>MEISHOKU- SRM ngăn ngừa mụn Bigan 80g</v>
          </cell>
          <cell r="R1119">
            <v>255000</v>
          </cell>
          <cell r="S1119">
            <v>2</v>
          </cell>
          <cell r="T1119">
            <v>510000</v>
          </cell>
          <cell r="U1119">
            <v>0</v>
          </cell>
          <cell r="V1119">
            <v>510000</v>
          </cell>
          <cell r="W1119" t="str">
            <v>4902468802126</v>
          </cell>
        </row>
        <row r="1120">
          <cell r="A1120">
            <v>2026</v>
          </cell>
          <cell r="B1120">
            <v>5</v>
          </cell>
          <cell r="C1120">
            <v>46162</v>
          </cell>
          <cell r="D1120" t="str">
            <v>1. SKK store</v>
          </cell>
          <cell r="E1120" t="str">
            <v>S1006</v>
          </cell>
          <cell r="F1120" t="str">
            <v>SKK Trần Đăng Ninh</v>
          </cell>
          <cell r="G1120" t="str">
            <v>0912311663</v>
          </cell>
          <cell r="H1120" t="str">
            <v>chị Hương</v>
          </cell>
          <cell r="I1120" t="str">
            <v>Khách cũ</v>
          </cell>
          <cell r="J1120" t="str">
            <v>Đơn bán</v>
          </cell>
          <cell r="K1120" t="str">
            <v>SAKUKO783122</v>
          </cell>
          <cell r="L1120" t="str">
            <v>THỰC PHẨM</v>
          </cell>
          <cell r="M1120" t="str">
            <v>BÁNH KẸO, ĐỒ ĂN VẶT</v>
          </cell>
          <cell r="N1120" t="str">
            <v>KẸO CAO SU</v>
          </cell>
          <cell r="O1120" t="str">
            <v>231377</v>
          </cell>
          <cell r="P1120" t="str">
            <v>4903333200375</v>
          </cell>
          <cell r="Q1120" t="str">
            <v>LOTTE-Kẹo cao su tổng hợp dạng lọ 114g</v>
          </cell>
          <cell r="R1120">
            <v>235000</v>
          </cell>
          <cell r="S1120">
            <v>1</v>
          </cell>
          <cell r="T1120">
            <v>235000</v>
          </cell>
          <cell r="U1120">
            <v>0</v>
          </cell>
          <cell r="V1120">
            <v>235000</v>
          </cell>
          <cell r="W1120" t="str">
            <v>4903333200375</v>
          </cell>
        </row>
        <row r="1121">
          <cell r="A1121">
            <v>2026</v>
          </cell>
          <cell r="B1121">
            <v>5</v>
          </cell>
          <cell r="C1121">
            <v>46162</v>
          </cell>
          <cell r="D1121" t="str">
            <v>1. SKK store</v>
          </cell>
          <cell r="E1121" t="str">
            <v>S1006</v>
          </cell>
          <cell r="F1121" t="str">
            <v>SKK Trần Đăng Ninh</v>
          </cell>
          <cell r="G1121" t="str">
            <v>0915119219</v>
          </cell>
          <cell r="H1121" t="str">
            <v>anh Thiệm</v>
          </cell>
          <cell r="I1121" t="str">
            <v>Khách cũ</v>
          </cell>
          <cell r="J1121" t="str">
            <v>Đơn bán</v>
          </cell>
          <cell r="K1121" t="str">
            <v>SAKUKO783216</v>
          </cell>
          <cell r="L1121" t="str">
            <v>CHĂM SÓC SẮC ĐẸP</v>
          </cell>
          <cell r="M1121" t="str">
            <v>CHĂM SÓC DA</v>
          </cell>
          <cell r="N1121" t="str">
            <v>KEM DƯỠNG</v>
          </cell>
          <cell r="O1121" t="str">
            <v>102384</v>
          </cell>
          <cell r="P1121" t="str">
            <v>4902468820014</v>
          </cell>
          <cell r="Q1121" t="str">
            <v>MEISHOKU- Kem gel dưỡng ẩm phục hồi chuyên sâu 50g</v>
          </cell>
          <cell r="R1121">
            <v>575000</v>
          </cell>
          <cell r="S1121">
            <v>2</v>
          </cell>
          <cell r="T1121">
            <v>1150000</v>
          </cell>
          <cell r="U1121">
            <v>0</v>
          </cell>
          <cell r="V1121">
            <v>1150000</v>
          </cell>
          <cell r="W1121" t="str">
            <v>4902468820014</v>
          </cell>
        </row>
        <row r="1122">
          <cell r="A1122">
            <v>2026</v>
          </cell>
          <cell r="B1122">
            <v>5</v>
          </cell>
          <cell r="C1122">
            <v>46162</v>
          </cell>
          <cell r="D1122" t="str">
            <v>1. SKK store</v>
          </cell>
          <cell r="E1122" t="str">
            <v>S1006</v>
          </cell>
          <cell r="F1122" t="str">
            <v>SKK Trần Đăng Ninh</v>
          </cell>
          <cell r="G1122" t="str">
            <v>0915119219</v>
          </cell>
          <cell r="H1122" t="str">
            <v>anh Thiệm</v>
          </cell>
          <cell r="I1122" t="str">
            <v>Khách cũ</v>
          </cell>
          <cell r="J1122" t="str">
            <v>Đơn bán</v>
          </cell>
          <cell r="K1122" t="str">
            <v>SAKUKO783216</v>
          </cell>
          <cell r="L1122" t="str">
            <v>CHĂM SÓC SẮC ĐẸP</v>
          </cell>
          <cell r="M1122" t="str">
            <v>CHĂM SÓC DA</v>
          </cell>
          <cell r="N1122" t="str">
            <v>KEM DƯỠNG</v>
          </cell>
          <cell r="O1122" t="str">
            <v>102420</v>
          </cell>
          <cell r="P1122" t="str">
            <v>4902468820007</v>
          </cell>
          <cell r="Q1122" t="str">
            <v>MEISHOKU- Tinh chất dưỡng ẩm chuyên sâu 30ml</v>
          </cell>
          <cell r="R1122">
            <v>555000</v>
          </cell>
          <cell r="S1122">
            <v>2</v>
          </cell>
          <cell r="T1122">
            <v>1110000</v>
          </cell>
          <cell r="U1122">
            <v>0</v>
          </cell>
          <cell r="V1122">
            <v>1110000</v>
          </cell>
          <cell r="W1122" t="str">
            <v>4902468820007</v>
          </cell>
        </row>
        <row r="1123">
          <cell r="A1123">
            <v>2026</v>
          </cell>
          <cell r="B1123">
            <v>5</v>
          </cell>
          <cell r="C1123">
            <v>46162</v>
          </cell>
          <cell r="D1123" t="str">
            <v>1. SKK store</v>
          </cell>
          <cell r="E1123" t="str">
            <v>S1006</v>
          </cell>
          <cell r="F1123" t="str">
            <v>SKK Trần Đăng Ninh</v>
          </cell>
          <cell r="G1123" t="str">
            <v>0976964992</v>
          </cell>
          <cell r="H1123" t="str">
            <v>C Hoa</v>
          </cell>
          <cell r="I1123" t="str">
            <v>Khách mới</v>
          </cell>
          <cell r="J1123" t="str">
            <v>Đơn bán</v>
          </cell>
          <cell r="K1123" t="str">
            <v>SAKUKO782744</v>
          </cell>
          <cell r="L1123" t="str">
            <v>THỰC PHẨM</v>
          </cell>
          <cell r="M1123" t="str">
            <v>MỲ, MIẾN</v>
          </cell>
          <cell r="N1123" t="str">
            <v>MỲ CHẾ BIẾN</v>
          </cell>
          <cell r="O1123" t="str">
            <v>174948</v>
          </cell>
          <cell r="P1123" t="str">
            <v>4582114354119</v>
          </cell>
          <cell r="Q1123" t="str">
            <v>SANUKISHISEI- Mì soumen 300g</v>
          </cell>
          <cell r="R1123">
            <v>35000</v>
          </cell>
          <cell r="S1123">
            <v>1</v>
          </cell>
          <cell r="T1123">
            <v>35000</v>
          </cell>
          <cell r="U1123">
            <v>0</v>
          </cell>
          <cell r="V1123">
            <v>35000</v>
          </cell>
          <cell r="W1123" t="str">
            <v>4582114354119</v>
          </cell>
        </row>
        <row r="1124">
          <cell r="A1124">
            <v>2026</v>
          </cell>
          <cell r="B1124">
            <v>5</v>
          </cell>
          <cell r="C1124">
            <v>46162</v>
          </cell>
          <cell r="D1124" t="str">
            <v>1. SKK store</v>
          </cell>
          <cell r="E1124" t="str">
            <v>S1006</v>
          </cell>
          <cell r="F1124" t="str">
            <v>SKK Trần Đăng Ninh</v>
          </cell>
          <cell r="G1124" t="str">
            <v>0977471111</v>
          </cell>
          <cell r="H1124" t="str">
            <v>Nguyễn Thị Thương</v>
          </cell>
          <cell r="I1124" t="str">
            <v>Khách cũ</v>
          </cell>
          <cell r="J1124" t="str">
            <v>Đơn bán</v>
          </cell>
          <cell r="K1124" t="str">
            <v>SAKUKO783010</v>
          </cell>
          <cell r="L1124" t="str">
            <v>CHĂM SÓC SẮC ĐẸP</v>
          </cell>
          <cell r="M1124" t="str">
            <v>CHĂM SÓC DA</v>
          </cell>
          <cell r="N1124" t="str">
            <v>KEM DƯỠNG</v>
          </cell>
          <cell r="O1124" t="str">
            <v>102384</v>
          </cell>
          <cell r="P1124" t="str">
            <v>4902468820014</v>
          </cell>
          <cell r="Q1124" t="str">
            <v>MEISHOKU- Kem gel dưỡng ẩm phục hồi chuyên sâu 50g</v>
          </cell>
          <cell r="R1124">
            <v>575000</v>
          </cell>
          <cell r="S1124">
            <v>1</v>
          </cell>
          <cell r="T1124">
            <v>575000</v>
          </cell>
          <cell r="U1124">
            <v>0</v>
          </cell>
          <cell r="V1124">
            <v>575000</v>
          </cell>
          <cell r="W1124" t="str">
            <v>4902468820014</v>
          </cell>
        </row>
        <row r="1125">
          <cell r="A1125">
            <v>2026</v>
          </cell>
          <cell r="B1125">
            <v>5</v>
          </cell>
          <cell r="C1125">
            <v>46162</v>
          </cell>
          <cell r="D1125" t="str">
            <v>1. SKK store</v>
          </cell>
          <cell r="E1125" t="str">
            <v>S1007</v>
          </cell>
          <cell r="F1125" t="str">
            <v>SKK  Nguyễn Du</v>
          </cell>
          <cell r="G1125" t="str">
            <v>0917323966</v>
          </cell>
          <cell r="H1125" t="str">
            <v>Chị Hồng</v>
          </cell>
          <cell r="I1125" t="str">
            <v>Khách mới</v>
          </cell>
          <cell r="J1125" t="str">
            <v>Đơn bán</v>
          </cell>
          <cell r="K1125" t="str">
            <v>SAKUKO782998</v>
          </cell>
          <cell r="L1125" t="str">
            <v>THỰC PHẨM</v>
          </cell>
          <cell r="M1125" t="str">
            <v>MỲ, MIẾN</v>
          </cell>
          <cell r="N1125" t="str">
            <v>MỲ CHẾ BIẾN</v>
          </cell>
          <cell r="O1125" t="str">
            <v>174948</v>
          </cell>
          <cell r="P1125" t="str">
            <v>4582114354119</v>
          </cell>
          <cell r="Q1125" t="str">
            <v>SANUKISHISEI- Mì soumen 300g</v>
          </cell>
          <cell r="R1125">
            <v>35000</v>
          </cell>
          <cell r="S1125">
            <v>1</v>
          </cell>
          <cell r="T1125">
            <v>35000</v>
          </cell>
          <cell r="U1125">
            <v>0</v>
          </cell>
          <cell r="V1125">
            <v>35000</v>
          </cell>
          <cell r="W1125" t="str">
            <v>4582114354119</v>
          </cell>
        </row>
        <row r="1126">
          <cell r="A1126">
            <v>2026</v>
          </cell>
          <cell r="B1126">
            <v>5</v>
          </cell>
          <cell r="C1126">
            <v>46162</v>
          </cell>
          <cell r="D1126" t="str">
            <v>1. SKK store</v>
          </cell>
          <cell r="E1126" t="str">
            <v>S1008</v>
          </cell>
          <cell r="F1126" t="str">
            <v>SKK  Hàng Bông</v>
          </cell>
          <cell r="G1126" t="str">
            <v>0969393126</v>
          </cell>
          <cell r="H1126" t="str">
            <v>Chi Hanh</v>
          </cell>
          <cell r="I1126" t="str">
            <v>Khách cũ</v>
          </cell>
          <cell r="J1126" t="str">
            <v>Đơn bán</v>
          </cell>
          <cell r="K1126" t="str">
            <v>SAKUKO782951</v>
          </cell>
          <cell r="L1126" t="str">
            <v>CHĂM SÓC SẮC ĐẸP</v>
          </cell>
          <cell r="M1126" t="str">
            <v>CHĂM SÓC DA</v>
          </cell>
          <cell r="N1126" t="str">
            <v>RỬA MẶT</v>
          </cell>
          <cell r="O1126" t="str">
            <v>102421</v>
          </cell>
          <cell r="P1126" t="str">
            <v>4902468819032</v>
          </cell>
          <cell r="Q1126" t="str">
            <v>MEISHOU- Sữa rửa mặt làm sạch thuần chay 100g</v>
          </cell>
          <cell r="R1126">
            <v>295000</v>
          </cell>
          <cell r="S1126">
            <v>1</v>
          </cell>
          <cell r="T1126">
            <v>295000</v>
          </cell>
          <cell r="U1126">
            <v>0</v>
          </cell>
          <cell r="V1126">
            <v>295000</v>
          </cell>
          <cell r="W1126" t="str">
            <v>4902468819032</v>
          </cell>
        </row>
        <row r="1127">
          <cell r="A1127">
            <v>2026</v>
          </cell>
          <cell r="B1127">
            <v>5</v>
          </cell>
          <cell r="C1127">
            <v>46162</v>
          </cell>
          <cell r="D1127" t="str">
            <v>1. SKK store</v>
          </cell>
          <cell r="E1127" t="str">
            <v>S1015</v>
          </cell>
          <cell r="F1127" t="str">
            <v>SKK Hàm Nghi</v>
          </cell>
          <cell r="G1127" t="str">
            <v>0983071070</v>
          </cell>
          <cell r="H1127" t="str">
            <v>chị hà</v>
          </cell>
          <cell r="I1127" t="str">
            <v>Khách cũ</v>
          </cell>
          <cell r="J1127" t="str">
            <v>Đơn bán</v>
          </cell>
          <cell r="K1127" t="str">
            <v>SAKUKO782954</v>
          </cell>
          <cell r="L1127" t="str">
            <v>NHÀ CỬA ĐỜI SỐNG</v>
          </cell>
          <cell r="M1127" t="str">
            <v>ĐỒ DÙNG SINH HOẠT GIA ĐÌNH</v>
          </cell>
          <cell r="N1127" t="str">
            <v>VẬT DỤNG SINH HOẠT KHÁC</v>
          </cell>
          <cell r="O1127" t="str">
            <v>135039</v>
          </cell>
          <cell r="P1127" t="str">
            <v>4968988074993</v>
          </cell>
          <cell r="Q1127" t="str">
            <v>OMAICHI- Set 2 lọ chiết mỹ phẩm 40ml kèm hộp đựng</v>
          </cell>
          <cell r="R1127">
            <v>52000</v>
          </cell>
          <cell r="S1127">
            <v>1</v>
          </cell>
          <cell r="T1127">
            <v>52000</v>
          </cell>
          <cell r="U1127">
            <v>0</v>
          </cell>
          <cell r="V1127">
            <v>52000</v>
          </cell>
          <cell r="W1127" t="str">
            <v>4968988074993</v>
          </cell>
        </row>
        <row r="1128">
          <cell r="A1128">
            <v>2026</v>
          </cell>
          <cell r="B1128">
            <v>5</v>
          </cell>
          <cell r="C1128">
            <v>46162</v>
          </cell>
          <cell r="D1128" t="str">
            <v>1. SKK store</v>
          </cell>
          <cell r="E1128" t="str">
            <v>S1015</v>
          </cell>
          <cell r="F1128" t="str">
            <v>SKK Hàm Nghi</v>
          </cell>
          <cell r="G1128" t="str">
            <v>0988971852</v>
          </cell>
          <cell r="H1128" t="str">
            <v>cô nga</v>
          </cell>
          <cell r="I1128" t="str">
            <v>Khách cũ</v>
          </cell>
          <cell r="J1128" t="str">
            <v>Đơn bán</v>
          </cell>
          <cell r="K1128" t="str">
            <v>SAKUKO782710</v>
          </cell>
          <cell r="L1128" t="str">
            <v>THỰC PHẨM</v>
          </cell>
          <cell r="M1128" t="str">
            <v>MỲ, MIẾN</v>
          </cell>
          <cell r="N1128" t="str">
            <v>MỲ ĂN LIỀN</v>
          </cell>
          <cell r="O1128" t="str">
            <v>153693</v>
          </cell>
          <cell r="P1128" t="str">
            <v>4902881066440</v>
          </cell>
          <cell r="Q1128" t="str">
            <v>MYOJO- Mỳ ramen vị miso 5 gói</v>
          </cell>
          <cell r="R1128">
            <v>105000</v>
          </cell>
          <cell r="S1128">
            <v>1</v>
          </cell>
          <cell r="T1128">
            <v>105000</v>
          </cell>
          <cell r="U1128">
            <v>0</v>
          </cell>
          <cell r="V1128">
            <v>105000</v>
          </cell>
          <cell r="W1128" t="str">
            <v>4902881066440</v>
          </cell>
        </row>
        <row r="1129">
          <cell r="A1129">
            <v>2026</v>
          </cell>
          <cell r="B1129">
            <v>5</v>
          </cell>
          <cell r="C1129">
            <v>46162</v>
          </cell>
          <cell r="D1129" t="str">
            <v>1. SKK store</v>
          </cell>
          <cell r="E1129" t="str">
            <v>S1025</v>
          </cell>
          <cell r="F1129" t="str">
            <v>SKK T6 Time City</v>
          </cell>
          <cell r="G1129" t="str">
            <v>0911217992</v>
          </cell>
          <cell r="H1129" t="str">
            <v>chị KIM HOÀN CHÂU</v>
          </cell>
          <cell r="I1129" t="str">
            <v>Khách cũ</v>
          </cell>
          <cell r="J1129" t="str">
            <v>Đơn bán</v>
          </cell>
          <cell r="K1129" t="str">
            <v>SAKUKO783409</v>
          </cell>
          <cell r="L1129" t="str">
            <v>ĐỒ CHO MẸ BÉ</v>
          </cell>
          <cell r="M1129" t="str">
            <v>GIẤY ƯỚT</v>
          </cell>
          <cell r="N1129" t="str">
            <v>GIẤY ƯỚT CHO BÉ</v>
          </cell>
          <cell r="O1129" t="str">
            <v>121665</v>
          </cell>
          <cell r="P1129" t="str">
            <v>8934755035289</v>
          </cell>
          <cell r="Q1129" t="str">
            <v>BOBBY- Khăn ướt em bé không mùi 100 miếng</v>
          </cell>
          <cell r="R1129">
            <v>46000</v>
          </cell>
          <cell r="S1129">
            <v>2</v>
          </cell>
          <cell r="T1129">
            <v>92000</v>
          </cell>
          <cell r="U1129">
            <v>0</v>
          </cell>
          <cell r="V1129">
            <v>92000</v>
          </cell>
          <cell r="W1129" t="str">
            <v>8934755035289</v>
          </cell>
        </row>
        <row r="1130">
          <cell r="A1130">
            <v>2026</v>
          </cell>
          <cell r="B1130">
            <v>5</v>
          </cell>
          <cell r="C1130">
            <v>46162</v>
          </cell>
          <cell r="D1130" t="str">
            <v>1. SKK store</v>
          </cell>
          <cell r="E1130" t="str">
            <v>S1025</v>
          </cell>
          <cell r="F1130" t="str">
            <v>SKK T6 Time City</v>
          </cell>
          <cell r="G1130" t="str">
            <v>0981238873</v>
          </cell>
          <cell r="H1130" t="str">
            <v>Chị Lê Thị Linh</v>
          </cell>
          <cell r="I1130" t="str">
            <v>Khách cũ</v>
          </cell>
          <cell r="J1130" t="str">
            <v>Đơn bán</v>
          </cell>
          <cell r="K1130" t="str">
            <v>SAKUKO783278</v>
          </cell>
          <cell r="L1130" t="str">
            <v>ĐỒ CHO MẸ BÉ</v>
          </cell>
          <cell r="M1130" t="str">
            <v>GIẤY ƯỚT</v>
          </cell>
          <cell r="N1130" t="str">
            <v>GIẤY ƯỚT CHO BÉ</v>
          </cell>
          <cell r="O1130" t="str">
            <v>121677</v>
          </cell>
          <cell r="P1130" t="str">
            <v>8801260608836</v>
          </cell>
          <cell r="Q1130" t="str">
            <v>KLEANNARA- Khăn ướt 5 tinh chất (có nắp) 100 tờ</v>
          </cell>
          <cell r="R1130">
            <v>52000</v>
          </cell>
          <cell r="S1130">
            <v>2</v>
          </cell>
          <cell r="T1130">
            <v>104000</v>
          </cell>
          <cell r="U1130">
            <v>0</v>
          </cell>
          <cell r="V1130">
            <v>104000</v>
          </cell>
          <cell r="W1130" t="str">
            <v>8801260608836</v>
          </cell>
        </row>
        <row r="1131">
          <cell r="A1131">
            <v>2026</v>
          </cell>
          <cell r="B1131">
            <v>5</v>
          </cell>
          <cell r="C1131">
            <v>46162</v>
          </cell>
          <cell r="D1131" t="str">
            <v>1. SKK store</v>
          </cell>
          <cell r="E1131" t="str">
            <v>S1025</v>
          </cell>
          <cell r="F1131" t="str">
            <v>SKK T6 Time City</v>
          </cell>
          <cell r="G1131" t="str">
            <v>0987224848</v>
          </cell>
          <cell r="H1131" t="str">
            <v>chị hiền</v>
          </cell>
          <cell r="I1131" t="str">
            <v>Khách mới</v>
          </cell>
          <cell r="J1131" t="str">
            <v>Đơn bán</v>
          </cell>
          <cell r="K1131" t="str">
            <v>SAKUKO783117</v>
          </cell>
          <cell r="L1131" t="str">
            <v>CHĂM SÓC SẮC ĐẸP</v>
          </cell>
          <cell r="M1131" t="str">
            <v>CHĂM SÓC DA</v>
          </cell>
          <cell r="N1131" t="str">
            <v>KEM DƯỠNG</v>
          </cell>
          <cell r="O1131" t="str">
            <v>102420</v>
          </cell>
          <cell r="P1131" t="str">
            <v>4902468820007</v>
          </cell>
          <cell r="Q1131" t="str">
            <v>MEISHOKU- Tinh chất dưỡng ẩm chuyên sâu 30ml</v>
          </cell>
          <cell r="R1131">
            <v>555000</v>
          </cell>
          <cell r="S1131">
            <v>1</v>
          </cell>
          <cell r="T1131">
            <v>555000</v>
          </cell>
          <cell r="U1131">
            <v>0</v>
          </cell>
          <cell r="V1131">
            <v>555000</v>
          </cell>
          <cell r="W1131" t="str">
            <v>4902468820007</v>
          </cell>
        </row>
        <row r="1132">
          <cell r="A1132">
            <v>2026</v>
          </cell>
          <cell r="B1132">
            <v>5</v>
          </cell>
          <cell r="C1132">
            <v>46161</v>
          </cell>
          <cell r="D1132" t="str">
            <v>1. SKK store</v>
          </cell>
          <cell r="E1132" t="str">
            <v>S1004</v>
          </cell>
          <cell r="F1132" t="str">
            <v>SKK  Mandarin C1</v>
          </cell>
          <cell r="G1132" t="str">
            <v>0915156666</v>
          </cell>
          <cell r="H1132" t="str">
            <v>Chị Phạm Mỹ Anh</v>
          </cell>
          <cell r="I1132" t="str">
            <v>Khách cũ</v>
          </cell>
          <cell r="J1132" t="str">
            <v>Đơn bán</v>
          </cell>
          <cell r="K1132" t="str">
            <v>SAKUKO782435</v>
          </cell>
          <cell r="L1132" t="str">
            <v>THỰC PHẨM</v>
          </cell>
          <cell r="M1132" t="str">
            <v>BÁNH KẸO, ĐỒ ĂN VẶT</v>
          </cell>
          <cell r="N1132" t="str">
            <v>KẸO CAO SU</v>
          </cell>
          <cell r="O1132" t="str">
            <v>231376</v>
          </cell>
          <cell r="P1132" t="str">
            <v>4903333228577</v>
          </cell>
          <cell r="Q1132" t="str">
            <v>LOTTE-Kẹo cao su tổng hợp 7 loại dạng lọ 133g</v>
          </cell>
          <cell r="R1132">
            <v>235000</v>
          </cell>
          <cell r="S1132">
            <v>1</v>
          </cell>
          <cell r="T1132">
            <v>235000</v>
          </cell>
          <cell r="U1132">
            <v>0</v>
          </cell>
          <cell r="V1132">
            <v>235000</v>
          </cell>
          <cell r="W1132" t="str">
            <v>4903333228577</v>
          </cell>
        </row>
        <row r="1133">
          <cell r="A1133">
            <v>2026</v>
          </cell>
          <cell r="B1133">
            <v>5</v>
          </cell>
          <cell r="C1133">
            <v>46161</v>
          </cell>
          <cell r="D1133" t="str">
            <v>1. SKK store</v>
          </cell>
          <cell r="E1133" t="str">
            <v>S1004</v>
          </cell>
          <cell r="F1133" t="str">
            <v>SKK  Mandarin C1</v>
          </cell>
          <cell r="G1133" t="str">
            <v>0963191111</v>
          </cell>
          <cell r="H1133" t="str">
            <v>Ngọc Lan</v>
          </cell>
          <cell r="I1133" t="str">
            <v>Khách cũ</v>
          </cell>
          <cell r="J1133" t="str">
            <v>Đơn bán</v>
          </cell>
          <cell r="K1133" t="str">
            <v>SAKUKO782124</v>
          </cell>
          <cell r="L1133" t="str">
            <v>ĐỒ CHO MẸ BÉ</v>
          </cell>
          <cell r="M1133" t="str">
            <v>GIẤY ƯỚT</v>
          </cell>
          <cell r="N1133" t="str">
            <v>GIẤY ƯỚT CHO BÉ</v>
          </cell>
          <cell r="O1133" t="str">
            <v>121664</v>
          </cell>
          <cell r="P1133" t="str">
            <v>8934755035074</v>
          </cell>
          <cell r="Q1133" t="str">
            <v>BOBBY- Khăn ướt em bé có hương 100 miếng</v>
          </cell>
          <cell r="R1133">
            <v>46000</v>
          </cell>
          <cell r="S1133">
            <v>5</v>
          </cell>
          <cell r="T1133">
            <v>230000</v>
          </cell>
          <cell r="U1133">
            <v>0</v>
          </cell>
          <cell r="V1133">
            <v>230000</v>
          </cell>
          <cell r="W1133" t="str">
            <v>8934755035074</v>
          </cell>
        </row>
        <row r="1134">
          <cell r="A1134">
            <v>2026</v>
          </cell>
          <cell r="B1134">
            <v>5</v>
          </cell>
          <cell r="C1134">
            <v>46161</v>
          </cell>
          <cell r="D1134" t="str">
            <v>1. SKK store</v>
          </cell>
          <cell r="E1134" t="str">
            <v>S1004</v>
          </cell>
          <cell r="F1134" t="str">
            <v>SKK  Mandarin C1</v>
          </cell>
          <cell r="G1134" t="str">
            <v>0966688788</v>
          </cell>
          <cell r="H1134" t="str">
            <v>Chị hường</v>
          </cell>
          <cell r="I1134" t="str">
            <v>Khách cũ</v>
          </cell>
          <cell r="J1134" t="str">
            <v>Đơn bán</v>
          </cell>
          <cell r="K1134" t="str">
            <v>SAKUKO781968</v>
          </cell>
          <cell r="L1134" t="str">
            <v>THỰC PHẨM</v>
          </cell>
          <cell r="M1134" t="str">
            <v>MỲ, MIẾN</v>
          </cell>
          <cell r="N1134" t="str">
            <v>MỲ CHẾ BIẾN</v>
          </cell>
          <cell r="O1134" t="str">
            <v>174948</v>
          </cell>
          <cell r="P1134" t="str">
            <v>4582114354119</v>
          </cell>
          <cell r="Q1134" t="str">
            <v>SANUKISHISEI- Mì soumen 300g</v>
          </cell>
          <cell r="R1134">
            <v>35000</v>
          </cell>
          <cell r="S1134">
            <v>1</v>
          </cell>
          <cell r="T1134">
            <v>35000</v>
          </cell>
          <cell r="U1134">
            <v>0</v>
          </cell>
          <cell r="V1134">
            <v>35000</v>
          </cell>
          <cell r="W1134" t="str">
            <v>4582114354119</v>
          </cell>
        </row>
        <row r="1135">
          <cell r="A1135">
            <v>2026</v>
          </cell>
          <cell r="B1135">
            <v>5</v>
          </cell>
          <cell r="C1135">
            <v>46161</v>
          </cell>
          <cell r="D1135" t="str">
            <v>1. SKK store</v>
          </cell>
          <cell r="E1135" t="str">
            <v>S1005</v>
          </cell>
          <cell r="F1135" t="str">
            <v>SKK  Thái Hà</v>
          </cell>
          <cell r="G1135" t="str">
            <v>0902237306</v>
          </cell>
          <cell r="H1135" t="str">
            <v>C. LINH</v>
          </cell>
          <cell r="I1135" t="str">
            <v>Khách cũ</v>
          </cell>
          <cell r="J1135" t="str">
            <v>Đơn bán</v>
          </cell>
          <cell r="K1135" t="str">
            <v>SAKUKO781918</v>
          </cell>
          <cell r="L1135" t="str">
            <v>THỰC PHẨM</v>
          </cell>
          <cell r="M1135" t="str">
            <v>BÁNH KẸO, ĐỒ ĂN VẶT</v>
          </cell>
          <cell r="N1135" t="str">
            <v>KẸO CAO SU</v>
          </cell>
          <cell r="O1135" t="str">
            <v>231376</v>
          </cell>
          <cell r="P1135" t="str">
            <v>4903333228577</v>
          </cell>
          <cell r="Q1135" t="str">
            <v>LOTTE-Kẹo cao su tổng hợp 7 loại dạng lọ 133g</v>
          </cell>
          <cell r="R1135">
            <v>235000</v>
          </cell>
          <cell r="S1135">
            <v>1</v>
          </cell>
          <cell r="T1135">
            <v>235000</v>
          </cell>
          <cell r="U1135">
            <v>0</v>
          </cell>
          <cell r="V1135">
            <v>235000</v>
          </cell>
          <cell r="W1135" t="str">
            <v>4903333228577</v>
          </cell>
        </row>
        <row r="1136">
          <cell r="A1136">
            <v>2026</v>
          </cell>
          <cell r="B1136">
            <v>5</v>
          </cell>
          <cell r="C1136">
            <v>46161</v>
          </cell>
          <cell r="D1136" t="str">
            <v>1. SKK store</v>
          </cell>
          <cell r="E1136" t="str">
            <v>S1006</v>
          </cell>
          <cell r="F1136" t="str">
            <v>SKK Trần Đăng Ninh</v>
          </cell>
          <cell r="G1136" t="str">
            <v>0912377482</v>
          </cell>
          <cell r="H1136" t="str">
            <v>c phượng</v>
          </cell>
          <cell r="I1136" t="str">
            <v>Khách cũ</v>
          </cell>
          <cell r="J1136" t="str">
            <v>Đơn bán</v>
          </cell>
          <cell r="K1136" t="str">
            <v>SAKUKO782429</v>
          </cell>
          <cell r="L1136" t="str">
            <v>ĐỒ CHO MẸ BÉ</v>
          </cell>
          <cell r="M1136" t="str">
            <v>GIẤY ƯỚT</v>
          </cell>
          <cell r="N1136" t="str">
            <v>GIẤY ƯỚT CHO BÉ</v>
          </cell>
          <cell r="O1136" t="str">
            <v>121662</v>
          </cell>
          <cell r="P1136" t="str">
            <v>8934755035036</v>
          </cell>
          <cell r="Q1136" t="str">
            <v>FRESSI- Khăn ướt Care For All 20 miếng</v>
          </cell>
          <cell r="R1136">
            <v>14000</v>
          </cell>
          <cell r="S1136">
            <v>2</v>
          </cell>
          <cell r="T1136">
            <v>28000</v>
          </cell>
          <cell r="U1136">
            <v>0</v>
          </cell>
          <cell r="V1136">
            <v>28000</v>
          </cell>
          <cell r="W1136" t="str">
            <v>8934755035036</v>
          </cell>
        </row>
        <row r="1137">
          <cell r="A1137">
            <v>2026</v>
          </cell>
          <cell r="B1137">
            <v>5</v>
          </cell>
          <cell r="C1137">
            <v>46161</v>
          </cell>
          <cell r="D1137" t="str">
            <v>1. SKK store</v>
          </cell>
          <cell r="E1137" t="str">
            <v>S1007</v>
          </cell>
          <cell r="F1137" t="str">
            <v>SKK  Nguyễn Du</v>
          </cell>
          <cell r="G1137" t="str">
            <v>0328380012</v>
          </cell>
          <cell r="H1137" t="str">
            <v>chị vinh</v>
          </cell>
          <cell r="I1137" t="str">
            <v>Khách mới</v>
          </cell>
          <cell r="J1137" t="str">
            <v>Đơn bán</v>
          </cell>
          <cell r="K1137" t="str">
            <v>SAKUKO782003</v>
          </cell>
          <cell r="L1137" t="str">
            <v>THỰC PHẨM</v>
          </cell>
          <cell r="M1137" t="str">
            <v>MỲ, MIẾN</v>
          </cell>
          <cell r="N1137" t="str">
            <v>MỲ CHẾ BIẾN</v>
          </cell>
          <cell r="O1137" t="str">
            <v>154247</v>
          </cell>
          <cell r="P1137" t="str">
            <v>4902902105004</v>
          </cell>
          <cell r="Q1137" t="str">
            <v>MALONY_Miến khoai tây 500g</v>
          </cell>
          <cell r="R1137">
            <v>139000</v>
          </cell>
          <cell r="S1137">
            <v>1</v>
          </cell>
          <cell r="T1137">
            <v>139000</v>
          </cell>
          <cell r="U1137">
            <v>0</v>
          </cell>
          <cell r="V1137">
            <v>139000</v>
          </cell>
          <cell r="W1137" t="str">
            <v>4902902105004</v>
          </cell>
        </row>
        <row r="1138">
          <cell r="A1138">
            <v>2026</v>
          </cell>
          <cell r="B1138">
            <v>5</v>
          </cell>
          <cell r="C1138">
            <v>46161</v>
          </cell>
          <cell r="D1138" t="str">
            <v>1. SKK store</v>
          </cell>
          <cell r="E1138" t="str">
            <v>S1008</v>
          </cell>
          <cell r="F1138" t="str">
            <v>SKK  Hàng Bông</v>
          </cell>
          <cell r="G1138" t="str">
            <v>0365444284</v>
          </cell>
          <cell r="H1138" t="str">
            <v>Vũ Ngọc MAi</v>
          </cell>
          <cell r="I1138" t="str">
            <v>Khách cũ</v>
          </cell>
          <cell r="J1138" t="str">
            <v>Đơn bán</v>
          </cell>
          <cell r="K1138" t="str">
            <v>SAKUKO781868</v>
          </cell>
          <cell r="L1138" t="str">
            <v>CHĂM SÓC SẮC ĐẸP</v>
          </cell>
          <cell r="M1138" t="str">
            <v>CHĂM SÓC DA</v>
          </cell>
          <cell r="N1138" t="str">
            <v>RỬA MẶT</v>
          </cell>
          <cell r="O1138" t="str">
            <v>102386</v>
          </cell>
          <cell r="P1138" t="str">
            <v>4902468816062</v>
          </cell>
          <cell r="Q1138" t="str">
            <v>MEISHOKU- Sữa rửa mặt sáng da Cvita 100g</v>
          </cell>
          <cell r="R1138">
            <v>290000</v>
          </cell>
          <cell r="S1138">
            <v>1</v>
          </cell>
          <cell r="T1138">
            <v>290000</v>
          </cell>
          <cell r="U1138">
            <v>0</v>
          </cell>
          <cell r="V1138">
            <v>290000</v>
          </cell>
          <cell r="W1138" t="str">
            <v>4902468816062</v>
          </cell>
        </row>
        <row r="1139">
          <cell r="A1139">
            <v>2026</v>
          </cell>
          <cell r="B1139">
            <v>5</v>
          </cell>
          <cell r="C1139">
            <v>46161</v>
          </cell>
          <cell r="D1139" t="str">
            <v>1. SKK store</v>
          </cell>
          <cell r="E1139" t="str">
            <v>S1008</v>
          </cell>
          <cell r="F1139" t="str">
            <v>SKK  Hàng Bông</v>
          </cell>
          <cell r="G1139" t="str">
            <v>0933051288</v>
          </cell>
          <cell r="H1139" t="str">
            <v>Anh Tâm</v>
          </cell>
          <cell r="I1139" t="str">
            <v>Khách cũ</v>
          </cell>
          <cell r="J1139" t="str">
            <v>Đơn bán</v>
          </cell>
          <cell r="K1139" t="str">
            <v>SAKUKO781826</v>
          </cell>
          <cell r="L1139" t="str">
            <v>NHÀ CỬA ĐỜI SỐNG</v>
          </cell>
          <cell r="M1139" t="str">
            <v>ĐỒ DÙNG SINH HOẠT GIA ĐÌNH</v>
          </cell>
          <cell r="N1139" t="str">
            <v>VẬT DỤNG SINH HOẠT KHÁC</v>
          </cell>
          <cell r="O1139" t="str">
            <v>135039</v>
          </cell>
          <cell r="P1139" t="str">
            <v>4968988074993</v>
          </cell>
          <cell r="Q1139" t="str">
            <v>OMAICHI- Set 2 lọ chiết mỹ phẩm 40ml kèm hộp đựng</v>
          </cell>
          <cell r="R1139">
            <v>52000</v>
          </cell>
          <cell r="S1139">
            <v>1</v>
          </cell>
          <cell r="T1139">
            <v>52000</v>
          </cell>
          <cell r="U1139">
            <v>0</v>
          </cell>
          <cell r="V1139">
            <v>52000</v>
          </cell>
          <cell r="W1139" t="str">
            <v>4968988074993</v>
          </cell>
        </row>
        <row r="1140">
          <cell r="A1140">
            <v>2026</v>
          </cell>
          <cell r="B1140">
            <v>5</v>
          </cell>
          <cell r="C1140">
            <v>46161</v>
          </cell>
          <cell r="D1140" t="str">
            <v>1. SKK store</v>
          </cell>
          <cell r="E1140" t="str">
            <v>S1018</v>
          </cell>
          <cell r="F1140" t="str">
            <v>SKK Nguyễn Tuân</v>
          </cell>
          <cell r="G1140" t="str">
            <v>0904326965</v>
          </cell>
          <cell r="H1140" t="str">
            <v>NGUYEN HOANG HUY</v>
          </cell>
          <cell r="I1140" t="str">
            <v>Khách cũ</v>
          </cell>
          <cell r="J1140" t="str">
            <v>Đơn bán</v>
          </cell>
          <cell r="K1140" t="str">
            <v>SAKUKO781703</v>
          </cell>
          <cell r="L1140" t="str">
            <v>THỰC PHẨM</v>
          </cell>
          <cell r="M1140" t="str">
            <v>MỲ, MIẾN</v>
          </cell>
          <cell r="N1140" t="str">
            <v>MỲ ĂN LIỀN</v>
          </cell>
          <cell r="O1140" t="str">
            <v>154359</v>
          </cell>
          <cell r="P1140" t="str">
            <v>4979397000138</v>
          </cell>
          <cell r="Q1140" t="str">
            <v>YAMAMOTO- Mì ramen ăn liền hải sản thịt heo 88g*5</v>
          </cell>
          <cell r="R1140">
            <v>99000</v>
          </cell>
          <cell r="S1140">
            <v>2</v>
          </cell>
          <cell r="T1140">
            <v>198000</v>
          </cell>
          <cell r="U1140">
            <v>89100</v>
          </cell>
          <cell r="V1140">
            <v>108900</v>
          </cell>
          <cell r="W1140" t="str">
            <v>4979397000138</v>
          </cell>
        </row>
        <row r="1141">
          <cell r="A1141">
            <v>2026</v>
          </cell>
          <cell r="B1141">
            <v>5</v>
          </cell>
          <cell r="C1141">
            <v>46161</v>
          </cell>
          <cell r="D1141" t="str">
            <v>1. SKK store</v>
          </cell>
          <cell r="E1141" t="str">
            <v>S1018</v>
          </cell>
          <cell r="F1141" t="str">
            <v>SKK Nguyễn Tuân</v>
          </cell>
          <cell r="G1141" t="str">
            <v>0904326965</v>
          </cell>
          <cell r="H1141" t="str">
            <v>NGUYEN HOANG HUY</v>
          </cell>
          <cell r="I1141" t="str">
            <v>Khách cũ</v>
          </cell>
          <cell r="J1141" t="str">
            <v>Đơn bán</v>
          </cell>
          <cell r="K1141" t="str">
            <v>SAKUKO781703</v>
          </cell>
          <cell r="L1141" t="str">
            <v>THỰC PHẨM</v>
          </cell>
          <cell r="M1141" t="str">
            <v>MỲ, MIẾN</v>
          </cell>
          <cell r="N1141" t="str">
            <v>MỲ CHẾ BIẾN</v>
          </cell>
          <cell r="O1141" t="str">
            <v>174948</v>
          </cell>
          <cell r="P1141" t="str">
            <v>4582114354119</v>
          </cell>
          <cell r="Q1141" t="str">
            <v>SANUKISHISEI- Mì soumen 300g</v>
          </cell>
          <cell r="R1141">
            <v>35000</v>
          </cell>
          <cell r="S1141">
            <v>1</v>
          </cell>
          <cell r="T1141">
            <v>35000</v>
          </cell>
          <cell r="U1141">
            <v>0</v>
          </cell>
          <cell r="V1141">
            <v>35000</v>
          </cell>
          <cell r="W1141" t="str">
            <v>4582114354119</v>
          </cell>
        </row>
        <row r="1142">
          <cell r="A1142">
            <v>2026</v>
          </cell>
          <cell r="B1142">
            <v>5</v>
          </cell>
          <cell r="C1142">
            <v>46160</v>
          </cell>
          <cell r="D1142" t="str">
            <v>1. SKK store</v>
          </cell>
          <cell r="E1142" t="str">
            <v>S1004</v>
          </cell>
          <cell r="F1142" t="str">
            <v>SKK  Mandarin C1</v>
          </cell>
          <cell r="G1142" t="str">
            <v>0978723988</v>
          </cell>
          <cell r="H1142" t="str">
            <v>Chị Trang</v>
          </cell>
          <cell r="I1142" t="str">
            <v>Khách cũ</v>
          </cell>
          <cell r="J1142" t="str">
            <v>Đơn bán</v>
          </cell>
          <cell r="K1142" t="str">
            <v>SAKUKO781339</v>
          </cell>
          <cell r="L1142" t="str">
            <v>THỰC PHẨM</v>
          </cell>
          <cell r="M1142" t="str">
            <v>MỲ, MIẾN</v>
          </cell>
          <cell r="N1142" t="str">
            <v>MỲ CHẾ BIẾN</v>
          </cell>
          <cell r="O1142" t="str">
            <v>174948</v>
          </cell>
          <cell r="P1142" t="str">
            <v>4582114354119</v>
          </cell>
          <cell r="Q1142" t="str">
            <v>SANUKISHISEI- Mì soumen 300g</v>
          </cell>
          <cell r="R1142">
            <v>35000</v>
          </cell>
          <cell r="S1142">
            <v>1</v>
          </cell>
          <cell r="T1142">
            <v>35000</v>
          </cell>
          <cell r="U1142">
            <v>0</v>
          </cell>
          <cell r="V1142">
            <v>35000</v>
          </cell>
          <cell r="W1142" t="str">
            <v>4582114354119</v>
          </cell>
        </row>
        <row r="1143">
          <cell r="A1143">
            <v>2026</v>
          </cell>
          <cell r="B1143">
            <v>5</v>
          </cell>
          <cell r="C1143">
            <v>46160</v>
          </cell>
          <cell r="D1143" t="str">
            <v>1. SKK store</v>
          </cell>
          <cell r="E1143" t="str">
            <v>S1005</v>
          </cell>
          <cell r="F1143" t="str">
            <v>SKK  Thái Hà</v>
          </cell>
          <cell r="G1143" t="str">
            <v>0346212113</v>
          </cell>
          <cell r="H1143" t="str">
            <v>ChỊ pHƯƠNG</v>
          </cell>
          <cell r="I1143" t="str">
            <v>Khách cũ</v>
          </cell>
          <cell r="J1143" t="str">
            <v>Đơn bán</v>
          </cell>
          <cell r="K1143" t="str">
            <v>SAKUKO781356</v>
          </cell>
          <cell r="L1143" t="str">
            <v>THỰC PHẨM</v>
          </cell>
          <cell r="M1143" t="str">
            <v>MỲ, MIẾN</v>
          </cell>
          <cell r="N1143" t="str">
            <v>MỲ CHẾ BIẾN</v>
          </cell>
          <cell r="O1143" t="str">
            <v>175435</v>
          </cell>
          <cell r="P1143" t="str">
            <v>4901726014752</v>
          </cell>
          <cell r="Q1143" t="str">
            <v>ITSUKI FOODS- Mì soumen rau củ ngũ sắc320g</v>
          </cell>
          <cell r="R1143">
            <v>76000</v>
          </cell>
          <cell r="S1143">
            <v>1</v>
          </cell>
          <cell r="T1143">
            <v>76000</v>
          </cell>
          <cell r="U1143">
            <v>0</v>
          </cell>
          <cell r="V1143">
            <v>76000</v>
          </cell>
          <cell r="W1143" t="str">
            <v>4901726014752</v>
          </cell>
        </row>
        <row r="1144">
          <cell r="A1144">
            <v>2026</v>
          </cell>
          <cell r="B1144">
            <v>5</v>
          </cell>
          <cell r="C1144">
            <v>46160</v>
          </cell>
          <cell r="D1144" t="str">
            <v>1. SKK store</v>
          </cell>
          <cell r="E1144" t="str">
            <v>S1005</v>
          </cell>
          <cell r="F1144" t="str">
            <v>SKK  Thái Hà</v>
          </cell>
          <cell r="G1144" t="str">
            <v>0903472389</v>
          </cell>
          <cell r="H1144" t="str">
            <v>Cô Phương</v>
          </cell>
          <cell r="I1144" t="str">
            <v>Khách cũ</v>
          </cell>
          <cell r="J1144" t="str">
            <v>Đơn bán</v>
          </cell>
          <cell r="K1144" t="str">
            <v>SAKUKO781069</v>
          </cell>
          <cell r="L1144" t="str">
            <v>THỰC PHẨM</v>
          </cell>
          <cell r="M1144" t="str">
            <v>BÁNH KẸO, ĐỒ ĂN VẶT</v>
          </cell>
          <cell r="N1144" t="str">
            <v>KẸO CAO SU</v>
          </cell>
          <cell r="O1144" t="str">
            <v>231377</v>
          </cell>
          <cell r="P1144" t="str">
            <v>4903333200375</v>
          </cell>
          <cell r="Q1144" t="str">
            <v>LOTTE-Kẹo cao su tổng hợp dạng lọ 114g</v>
          </cell>
          <cell r="R1144">
            <v>235000</v>
          </cell>
          <cell r="S1144">
            <v>1</v>
          </cell>
          <cell r="T1144">
            <v>235000</v>
          </cell>
          <cell r="U1144">
            <v>0</v>
          </cell>
          <cell r="V1144">
            <v>235000</v>
          </cell>
          <cell r="W1144" t="str">
            <v>4903333200375</v>
          </cell>
        </row>
        <row r="1145">
          <cell r="A1145">
            <v>2026</v>
          </cell>
          <cell r="B1145">
            <v>5</v>
          </cell>
          <cell r="C1145">
            <v>46160</v>
          </cell>
          <cell r="D1145" t="str">
            <v>1. SKK store</v>
          </cell>
          <cell r="E1145" t="str">
            <v>S1005</v>
          </cell>
          <cell r="F1145" t="str">
            <v>SKK  Thái Hà</v>
          </cell>
          <cell r="G1145" t="str">
            <v>0915442619</v>
          </cell>
          <cell r="H1145" t="str">
            <v>Cô hương</v>
          </cell>
          <cell r="I1145" t="str">
            <v>Khách cũ</v>
          </cell>
          <cell r="J1145" t="str">
            <v>Đơn bán</v>
          </cell>
          <cell r="K1145" t="str">
            <v>SAKUKO780660</v>
          </cell>
          <cell r="L1145" t="str">
            <v>THỰC PHẨM</v>
          </cell>
          <cell r="M1145" t="str">
            <v>MỲ, MIẾN</v>
          </cell>
          <cell r="N1145" t="str">
            <v>MỲ CHẾ BIẾN</v>
          </cell>
          <cell r="O1145" t="str">
            <v>154251</v>
          </cell>
          <cell r="P1145" t="str">
            <v>4560159440776</v>
          </cell>
          <cell r="Q1145" t="str">
            <v>SATO_Mì soba khô 800g</v>
          </cell>
          <cell r="R1145">
            <v>104000</v>
          </cell>
          <cell r="S1145">
            <v>1</v>
          </cell>
          <cell r="T1145">
            <v>104000</v>
          </cell>
          <cell r="U1145">
            <v>0</v>
          </cell>
          <cell r="V1145">
            <v>104000</v>
          </cell>
          <cell r="W1145" t="str">
            <v>4560159440776</v>
          </cell>
        </row>
        <row r="1146">
          <cell r="A1146">
            <v>2026</v>
          </cell>
          <cell r="B1146">
            <v>5</v>
          </cell>
          <cell r="C1146">
            <v>46160</v>
          </cell>
          <cell r="D1146" t="str">
            <v>1. SKK store</v>
          </cell>
          <cell r="E1146" t="str">
            <v>S1006</v>
          </cell>
          <cell r="F1146" t="str">
            <v>SKK Trần Đăng Ninh</v>
          </cell>
          <cell r="G1146" t="str">
            <v>0983312781</v>
          </cell>
          <cell r="H1146" t="str">
            <v>C Thủy</v>
          </cell>
          <cell r="I1146" t="str">
            <v>Khách cũ</v>
          </cell>
          <cell r="J1146" t="str">
            <v>Đơn bán</v>
          </cell>
          <cell r="K1146" t="str">
            <v>SAKUKO780617</v>
          </cell>
          <cell r="L1146" t="str">
            <v>THỰC PHẨM</v>
          </cell>
          <cell r="M1146" t="str">
            <v>BÁNH KẸO, ĐỒ ĂN VẶT</v>
          </cell>
          <cell r="N1146" t="str">
            <v>KẸO CAO SU</v>
          </cell>
          <cell r="O1146" t="str">
            <v>153932</v>
          </cell>
          <cell r="P1146" t="str">
            <v>4903333241651</v>
          </cell>
          <cell r="Q1146" t="str">
            <v>LOTTE - Kẹo cao su black black ít đường 133g</v>
          </cell>
          <cell r="R1146">
            <v>235000</v>
          </cell>
          <cell r="S1146">
            <v>1</v>
          </cell>
          <cell r="T1146">
            <v>235000</v>
          </cell>
          <cell r="U1146">
            <v>0</v>
          </cell>
          <cell r="V1146">
            <v>235000</v>
          </cell>
          <cell r="W1146" t="str">
            <v>4903333241651</v>
          </cell>
        </row>
        <row r="1147">
          <cell r="A1147">
            <v>2026</v>
          </cell>
          <cell r="B1147">
            <v>5</v>
          </cell>
          <cell r="C1147">
            <v>46160</v>
          </cell>
          <cell r="D1147" t="str">
            <v>1. SKK store</v>
          </cell>
          <cell r="E1147" t="str">
            <v>S1007</v>
          </cell>
          <cell r="F1147" t="str">
            <v>SKK  Nguyễn Du</v>
          </cell>
          <cell r="G1147" t="str">
            <v>0349602006</v>
          </cell>
          <cell r="H1147" t="str">
            <v>chi linh</v>
          </cell>
          <cell r="I1147" t="str">
            <v>Khách cũ</v>
          </cell>
          <cell r="J1147" t="str">
            <v>Đơn bán</v>
          </cell>
          <cell r="K1147" t="str">
            <v>SAKUKO780322</v>
          </cell>
          <cell r="L1147" t="str">
            <v>THỰC PHẨM</v>
          </cell>
          <cell r="M1147" t="str">
            <v>BÁNH KẸO, ĐỒ ĂN VẶT</v>
          </cell>
          <cell r="N1147" t="str">
            <v>KẸO CAO SU</v>
          </cell>
          <cell r="O1147" t="str">
            <v>231376</v>
          </cell>
          <cell r="P1147" t="str">
            <v>4903333228577</v>
          </cell>
          <cell r="Q1147" t="str">
            <v>LOTTE-Kẹo cao su tổng hợp 7 loại dạng lọ 133g</v>
          </cell>
          <cell r="R1147">
            <v>235000</v>
          </cell>
          <cell r="S1147">
            <v>1</v>
          </cell>
          <cell r="T1147">
            <v>235000</v>
          </cell>
          <cell r="U1147">
            <v>0</v>
          </cell>
          <cell r="V1147">
            <v>235000</v>
          </cell>
          <cell r="W1147" t="str">
            <v>4903333228577</v>
          </cell>
        </row>
        <row r="1148">
          <cell r="A1148">
            <v>2026</v>
          </cell>
          <cell r="B1148">
            <v>5</v>
          </cell>
          <cell r="C1148">
            <v>46160</v>
          </cell>
          <cell r="D1148" t="str">
            <v>1. SKK store</v>
          </cell>
          <cell r="E1148" t="str">
            <v>S1007</v>
          </cell>
          <cell r="F1148" t="str">
            <v>SKK  Nguyễn Du</v>
          </cell>
          <cell r="G1148" t="str">
            <v>0903453289</v>
          </cell>
          <cell r="H1148" t="str">
            <v>Chị Thảo</v>
          </cell>
          <cell r="I1148" t="str">
            <v>Khách cũ</v>
          </cell>
          <cell r="J1148" t="str">
            <v>Đơn bán</v>
          </cell>
          <cell r="K1148" t="str">
            <v>SAKUKO780977</v>
          </cell>
          <cell r="L1148" t="str">
            <v>THỰC PHẨM</v>
          </cell>
          <cell r="M1148" t="str">
            <v>BÁNH KẸO, ĐỒ ĂN VẶT</v>
          </cell>
          <cell r="N1148" t="str">
            <v>KẸO CAO SU</v>
          </cell>
          <cell r="O1148" t="str">
            <v>231376</v>
          </cell>
          <cell r="P1148" t="str">
            <v>4903333228577</v>
          </cell>
          <cell r="Q1148" t="str">
            <v>LOTTE-Kẹo cao su tổng hợp 7 loại dạng lọ 133g</v>
          </cell>
          <cell r="R1148">
            <v>235000</v>
          </cell>
          <cell r="S1148">
            <v>1</v>
          </cell>
          <cell r="T1148">
            <v>235000</v>
          </cell>
          <cell r="U1148">
            <v>0</v>
          </cell>
          <cell r="V1148">
            <v>235000</v>
          </cell>
          <cell r="W1148" t="str">
            <v>4903333228577</v>
          </cell>
        </row>
        <row r="1149">
          <cell r="A1149">
            <v>2026</v>
          </cell>
          <cell r="B1149">
            <v>5</v>
          </cell>
          <cell r="C1149">
            <v>46160</v>
          </cell>
          <cell r="D1149" t="str">
            <v>1. SKK store</v>
          </cell>
          <cell r="E1149" t="str">
            <v>S1008</v>
          </cell>
          <cell r="F1149" t="str">
            <v>SKK  Hàng Bông</v>
          </cell>
          <cell r="G1149" t="str">
            <v>0967678998</v>
          </cell>
          <cell r="H1149" t="str">
            <v>Chị Bình</v>
          </cell>
          <cell r="I1149" t="str">
            <v>Khách cũ</v>
          </cell>
          <cell r="J1149" t="str">
            <v>Đơn bán</v>
          </cell>
          <cell r="K1149" t="str">
            <v>SAKUKO780512</v>
          </cell>
          <cell r="L1149" t="str">
            <v>ĐỒ CHO MẸ BÉ</v>
          </cell>
          <cell r="M1149" t="str">
            <v>GIẤY ƯỚT</v>
          </cell>
          <cell r="N1149" t="str">
            <v>GIẤY ƯỚT CHO BÉ</v>
          </cell>
          <cell r="O1149" t="str">
            <v>121665</v>
          </cell>
          <cell r="P1149" t="str">
            <v>8934755035289</v>
          </cell>
          <cell r="Q1149" t="str">
            <v>BOBBY- Khăn ướt em bé không mùi 100 miếng</v>
          </cell>
          <cell r="R1149">
            <v>46000</v>
          </cell>
          <cell r="S1149">
            <v>1</v>
          </cell>
          <cell r="T1149">
            <v>46000</v>
          </cell>
          <cell r="U1149">
            <v>0</v>
          </cell>
          <cell r="V1149">
            <v>46000</v>
          </cell>
          <cell r="W1149" t="str">
            <v>8934755035289</v>
          </cell>
        </row>
        <row r="1150">
          <cell r="A1150">
            <v>2026</v>
          </cell>
          <cell r="B1150">
            <v>5</v>
          </cell>
          <cell r="C1150">
            <v>46160</v>
          </cell>
          <cell r="D1150" t="str">
            <v>1. SKK store</v>
          </cell>
          <cell r="E1150" t="str">
            <v>S1008</v>
          </cell>
          <cell r="F1150" t="str">
            <v>SKK  Hàng Bông</v>
          </cell>
          <cell r="G1150" t="str">
            <v>0982335664</v>
          </cell>
          <cell r="H1150" t="str">
            <v>Chị Vương Hảo Linh</v>
          </cell>
          <cell r="I1150" t="str">
            <v>Khách cũ</v>
          </cell>
          <cell r="J1150" t="str">
            <v>Đơn bán</v>
          </cell>
          <cell r="K1150" t="str">
            <v>SAKUKO780435</v>
          </cell>
          <cell r="L1150" t="str">
            <v>THỰC PHẨM</v>
          </cell>
          <cell r="M1150" t="str">
            <v>MỲ, MIẾN</v>
          </cell>
          <cell r="N1150" t="str">
            <v>MỲ CHẾ BIẾN</v>
          </cell>
          <cell r="O1150" t="str">
            <v>175435</v>
          </cell>
          <cell r="P1150" t="str">
            <v>4901726014752</v>
          </cell>
          <cell r="Q1150" t="str">
            <v>ITSUKI FOODS- Mì soumen rau củ ngũ sắc320g</v>
          </cell>
          <cell r="R1150">
            <v>76000</v>
          </cell>
          <cell r="S1150">
            <v>1</v>
          </cell>
          <cell r="T1150">
            <v>76000</v>
          </cell>
          <cell r="U1150">
            <v>0</v>
          </cell>
          <cell r="V1150">
            <v>76000</v>
          </cell>
          <cell r="W1150" t="str">
            <v>4901726014752</v>
          </cell>
        </row>
        <row r="1151">
          <cell r="A1151">
            <v>2026</v>
          </cell>
          <cell r="B1151">
            <v>5</v>
          </cell>
          <cell r="C1151">
            <v>46160</v>
          </cell>
          <cell r="D1151" t="str">
            <v>1. SKK store</v>
          </cell>
          <cell r="E1151" t="str">
            <v>S1008</v>
          </cell>
          <cell r="F1151" t="str">
            <v>SKK  Hàng Bông</v>
          </cell>
          <cell r="G1151" t="str">
            <v>0988999688</v>
          </cell>
          <cell r="H1151" t="str">
            <v>Bác Ngà ngõ Hội Vũ</v>
          </cell>
          <cell r="I1151" t="str">
            <v>Khách cũ</v>
          </cell>
          <cell r="J1151" t="str">
            <v>Đơn bán</v>
          </cell>
          <cell r="K1151" t="str">
            <v>SAKUKO780844</v>
          </cell>
          <cell r="L1151" t="str">
            <v>THỰC PHẨM</v>
          </cell>
          <cell r="M1151" t="str">
            <v>MỲ, MIẾN</v>
          </cell>
          <cell r="N1151" t="str">
            <v>MỲ ĂN LIỀN</v>
          </cell>
          <cell r="O1151" t="str">
            <v>153693</v>
          </cell>
          <cell r="P1151" t="str">
            <v>4902881066440</v>
          </cell>
          <cell r="Q1151" t="str">
            <v>MYOJO- Mỳ ramen vị miso 5 gói</v>
          </cell>
          <cell r="R1151">
            <v>105000</v>
          </cell>
          <cell r="S1151">
            <v>1</v>
          </cell>
          <cell r="T1151">
            <v>105000</v>
          </cell>
          <cell r="U1151">
            <v>0</v>
          </cell>
          <cell r="V1151">
            <v>105000</v>
          </cell>
          <cell r="W1151" t="str">
            <v>4902881066440</v>
          </cell>
        </row>
        <row r="1152">
          <cell r="A1152">
            <v>2026</v>
          </cell>
          <cell r="B1152">
            <v>5</v>
          </cell>
          <cell r="C1152">
            <v>46160</v>
          </cell>
          <cell r="D1152" t="str">
            <v>1. SKK store</v>
          </cell>
          <cell r="E1152" t="str">
            <v>S1015</v>
          </cell>
          <cell r="F1152" t="str">
            <v>SKK Hàm Nghi</v>
          </cell>
          <cell r="G1152" t="str">
            <v>0906150268</v>
          </cell>
          <cell r="H1152" t="str">
            <v>Chị Thương</v>
          </cell>
          <cell r="I1152" t="str">
            <v>Khách cũ</v>
          </cell>
          <cell r="J1152" t="str">
            <v>Đơn bán</v>
          </cell>
          <cell r="K1152" t="str">
            <v>SAKUKO781143</v>
          </cell>
          <cell r="L1152" t="str">
            <v>THỰC PHẨM</v>
          </cell>
          <cell r="M1152" t="str">
            <v>BÁNH KẸO, ĐỒ ĂN VẶT</v>
          </cell>
          <cell r="N1152" t="str">
            <v>KẸO CAO SU</v>
          </cell>
          <cell r="O1152" t="str">
            <v>231376</v>
          </cell>
          <cell r="P1152" t="str">
            <v>4903333228577</v>
          </cell>
          <cell r="Q1152" t="str">
            <v>LOTTE-Kẹo cao su tổng hợp 7 loại dạng lọ 133g</v>
          </cell>
          <cell r="R1152">
            <v>235000</v>
          </cell>
          <cell r="S1152">
            <v>1</v>
          </cell>
          <cell r="T1152">
            <v>235000</v>
          </cell>
          <cell r="U1152">
            <v>0</v>
          </cell>
          <cell r="V1152">
            <v>235000</v>
          </cell>
          <cell r="W1152" t="str">
            <v>4903333228577</v>
          </cell>
        </row>
        <row r="1153">
          <cell r="A1153">
            <v>2026</v>
          </cell>
          <cell r="B1153">
            <v>5</v>
          </cell>
          <cell r="C1153">
            <v>46160</v>
          </cell>
          <cell r="D1153" t="str">
            <v>1. SKK store</v>
          </cell>
          <cell r="E1153" t="str">
            <v>S1015</v>
          </cell>
          <cell r="F1153" t="str">
            <v>SKK Hàm Nghi</v>
          </cell>
          <cell r="G1153" t="str">
            <v>0983851689</v>
          </cell>
          <cell r="H1153" t="str">
            <v>Chị Hằng</v>
          </cell>
          <cell r="I1153" t="str">
            <v>Khách cũ</v>
          </cell>
          <cell r="J1153" t="str">
            <v>Đơn bán</v>
          </cell>
          <cell r="K1153" t="str">
            <v>SAKUKO780760</v>
          </cell>
          <cell r="L1153" t="str">
            <v>CHĂM SÓC SẮC ĐẸP</v>
          </cell>
          <cell r="M1153" t="str">
            <v>CHĂM SÓC DA</v>
          </cell>
          <cell r="N1153" t="str">
            <v>CHĂM SÓC DA KHÁC</v>
          </cell>
          <cell r="O1153" t="str">
            <v>102388</v>
          </cell>
          <cell r="P1153" t="str">
            <v>8935006542914</v>
          </cell>
          <cell r="Q1153" t="str">
            <v>HADA LABO- Bộ sản phẩm dưỡng trắng (travel kit)47g</v>
          </cell>
          <cell r="R1153">
            <v>135000</v>
          </cell>
          <cell r="S1153">
            <v>1</v>
          </cell>
          <cell r="T1153">
            <v>135000</v>
          </cell>
          <cell r="U1153">
            <v>0</v>
          </cell>
          <cell r="V1153">
            <v>135000</v>
          </cell>
          <cell r="W1153" t="str">
            <v>8935006542914</v>
          </cell>
        </row>
        <row r="1154">
          <cell r="A1154">
            <v>2026</v>
          </cell>
          <cell r="B1154">
            <v>5</v>
          </cell>
          <cell r="C1154">
            <v>46160</v>
          </cell>
          <cell r="D1154" t="str">
            <v>1. SKK store</v>
          </cell>
          <cell r="E1154" t="str">
            <v>S1015</v>
          </cell>
          <cell r="F1154" t="str">
            <v>SKK Hàm Nghi</v>
          </cell>
          <cell r="G1154" t="str">
            <v>0983851689</v>
          </cell>
          <cell r="H1154" t="str">
            <v>Chị Hằng</v>
          </cell>
          <cell r="I1154" t="str">
            <v>Khách cũ</v>
          </cell>
          <cell r="J1154" t="str">
            <v>Đơn bán</v>
          </cell>
          <cell r="K1154" t="str">
            <v>SAKUKO780760</v>
          </cell>
          <cell r="L1154" t="str">
            <v>ĐỒ CHO MẸ BÉ</v>
          </cell>
          <cell r="M1154" t="str">
            <v>GIẤY ƯỚT</v>
          </cell>
          <cell r="N1154" t="str">
            <v>GIẤY ƯỚT CHO BÉ</v>
          </cell>
          <cell r="O1154" t="str">
            <v>121677</v>
          </cell>
          <cell r="P1154" t="str">
            <v>8801260608836</v>
          </cell>
          <cell r="Q1154" t="str">
            <v>KLEANNARA- Khăn ướt 5 tinh chất (có nắp) 100 tờ</v>
          </cell>
          <cell r="R1154">
            <v>52000</v>
          </cell>
          <cell r="S1154">
            <v>1</v>
          </cell>
          <cell r="T1154">
            <v>52000</v>
          </cell>
          <cell r="U1154">
            <v>0</v>
          </cell>
          <cell r="V1154">
            <v>52000</v>
          </cell>
          <cell r="W1154" t="str">
            <v>8801260608836</v>
          </cell>
        </row>
        <row r="1155">
          <cell r="A1155">
            <v>2026</v>
          </cell>
          <cell r="B1155">
            <v>5</v>
          </cell>
          <cell r="C1155">
            <v>46160</v>
          </cell>
          <cell r="D1155" t="str">
            <v>1. SKK store</v>
          </cell>
          <cell r="E1155" t="str">
            <v>S1018</v>
          </cell>
          <cell r="F1155" t="str">
            <v>SKK Nguyễn Tuân</v>
          </cell>
          <cell r="G1155" t="str">
            <v>02422174499</v>
          </cell>
          <cell r="H1155" t="str">
            <v>klnt</v>
          </cell>
          <cell r="I1155" t="str">
            <v>Khách vãng lai</v>
          </cell>
          <cell r="J1155" t="str">
            <v>Đơn bán</v>
          </cell>
          <cell r="K1155" t="str">
            <v>SAKUKO780996</v>
          </cell>
          <cell r="L1155" t="str">
            <v>ĐỒ CHO MẸ BÉ</v>
          </cell>
          <cell r="M1155" t="str">
            <v>GIẤY ƯỚT</v>
          </cell>
          <cell r="N1155" t="str">
            <v>GIẤY ƯỚT CHO BÉ</v>
          </cell>
          <cell r="O1155" t="str">
            <v>121662</v>
          </cell>
          <cell r="P1155" t="str">
            <v>8934755035036</v>
          </cell>
          <cell r="Q1155" t="str">
            <v>FRESSI- Khăn ướt Care For All 20 miếng</v>
          </cell>
          <cell r="R1155">
            <v>14000</v>
          </cell>
          <cell r="S1155">
            <v>1</v>
          </cell>
          <cell r="T1155">
            <v>14000</v>
          </cell>
          <cell r="U1155">
            <v>0</v>
          </cell>
          <cell r="V1155">
            <v>14000</v>
          </cell>
          <cell r="W1155" t="str">
            <v>8934755035036</v>
          </cell>
        </row>
        <row r="1156">
          <cell r="A1156">
            <v>2026</v>
          </cell>
          <cell r="B1156">
            <v>5</v>
          </cell>
          <cell r="C1156">
            <v>46160</v>
          </cell>
          <cell r="D1156" t="str">
            <v>1. SKK store</v>
          </cell>
          <cell r="E1156" t="str">
            <v>S1025</v>
          </cell>
          <cell r="F1156" t="str">
            <v>SKK T6 Time City</v>
          </cell>
          <cell r="G1156" t="str">
            <v>0912201094</v>
          </cell>
          <cell r="H1156" t="str">
            <v>c thảo</v>
          </cell>
          <cell r="I1156" t="str">
            <v>Khách cũ</v>
          </cell>
          <cell r="J1156" t="str">
            <v>Đơn bán</v>
          </cell>
          <cell r="K1156" t="str">
            <v>SAKUKO781245</v>
          </cell>
          <cell r="L1156" t="str">
            <v>CHĂM SÓC SẮC ĐẸP</v>
          </cell>
          <cell r="M1156" t="str">
            <v>CHĂM SÓC DA</v>
          </cell>
          <cell r="N1156" t="str">
            <v>RỬA MẶT</v>
          </cell>
          <cell r="O1156" t="str">
            <v>230269</v>
          </cell>
          <cell r="P1156" t="str">
            <v>4987241173242</v>
          </cell>
          <cell r="Q1156" t="str">
            <v>ROHTO- SRM Melano CC mờ thâm nám (130g)</v>
          </cell>
          <cell r="R1156">
            <v>294000</v>
          </cell>
          <cell r="S1156">
            <v>1</v>
          </cell>
          <cell r="T1156">
            <v>294000</v>
          </cell>
          <cell r="U1156">
            <v>35000</v>
          </cell>
          <cell r="V1156">
            <v>259000</v>
          </cell>
          <cell r="W1156" t="str">
            <v>4987241173242</v>
          </cell>
        </row>
        <row r="1157">
          <cell r="A1157">
            <v>2026</v>
          </cell>
          <cell r="B1157">
            <v>5</v>
          </cell>
          <cell r="C1157">
            <v>46159</v>
          </cell>
          <cell r="D1157" t="str">
            <v>1. SKK store</v>
          </cell>
          <cell r="E1157" t="str">
            <v>S1004</v>
          </cell>
          <cell r="F1157" t="str">
            <v>SKK  Mandarin C1</v>
          </cell>
          <cell r="G1157" t="str">
            <v>0913323364</v>
          </cell>
          <cell r="H1157" t="str">
            <v>Niem Hong Hai</v>
          </cell>
          <cell r="I1157" t="str">
            <v>Khách cũ</v>
          </cell>
          <cell r="J1157" t="str">
            <v>Đơn bán</v>
          </cell>
          <cell r="K1157" t="str">
            <v>SAKUKO779498</v>
          </cell>
          <cell r="L1157" t="str">
            <v>CHĂM SÓC SẮC ĐẸP</v>
          </cell>
          <cell r="M1157" t="str">
            <v>CHĂM SÓC DA</v>
          </cell>
          <cell r="N1157" t="str">
            <v>RỬA MẶT</v>
          </cell>
          <cell r="O1157" t="str">
            <v>102386</v>
          </cell>
          <cell r="P1157" t="str">
            <v>4902468816062</v>
          </cell>
          <cell r="Q1157" t="str">
            <v>MEISHOKU- Sữa rửa mặt sáng da Cvita 100g</v>
          </cell>
          <cell r="R1157">
            <v>290000</v>
          </cell>
          <cell r="S1157">
            <v>1</v>
          </cell>
          <cell r="T1157">
            <v>290000</v>
          </cell>
          <cell r="U1157">
            <v>0</v>
          </cell>
          <cell r="V1157">
            <v>290000</v>
          </cell>
          <cell r="W1157" t="str">
            <v>4902468816062</v>
          </cell>
        </row>
        <row r="1158">
          <cell r="A1158">
            <v>2026</v>
          </cell>
          <cell r="B1158">
            <v>5</v>
          </cell>
          <cell r="C1158">
            <v>46159</v>
          </cell>
          <cell r="D1158" t="str">
            <v>1. SKK store</v>
          </cell>
          <cell r="E1158" t="str">
            <v>S1004</v>
          </cell>
          <cell r="F1158" t="str">
            <v>SKK  Mandarin C1</v>
          </cell>
          <cell r="G1158" t="str">
            <v>0913323364</v>
          </cell>
          <cell r="H1158" t="str">
            <v>Niem Hong Hai</v>
          </cell>
          <cell r="I1158" t="str">
            <v>Khách cũ</v>
          </cell>
          <cell r="J1158" t="str">
            <v>Đơn bán</v>
          </cell>
          <cell r="K1158" t="str">
            <v>SAKUKO779498</v>
          </cell>
          <cell r="L1158" t="str">
            <v>CHĂM SÓC SẮC ĐẸP</v>
          </cell>
          <cell r="M1158" t="str">
            <v>CHĂM SÓC DA</v>
          </cell>
          <cell r="N1158" t="str">
            <v>RỬA MẶT</v>
          </cell>
          <cell r="O1158" t="str">
            <v>230269</v>
          </cell>
          <cell r="P1158" t="str">
            <v>4987241173242</v>
          </cell>
          <cell r="Q1158" t="str">
            <v>ROHTO- SRM Melano CC mờ thâm nám (130g)</v>
          </cell>
          <cell r="R1158">
            <v>294000</v>
          </cell>
          <cell r="S1158">
            <v>1</v>
          </cell>
          <cell r="T1158">
            <v>294000</v>
          </cell>
          <cell r="U1158">
            <v>0</v>
          </cell>
          <cell r="V1158">
            <v>294000</v>
          </cell>
          <cell r="W1158" t="str">
            <v>4987241173242</v>
          </cell>
        </row>
        <row r="1159">
          <cell r="A1159">
            <v>2026</v>
          </cell>
          <cell r="B1159">
            <v>5</v>
          </cell>
          <cell r="C1159">
            <v>46159</v>
          </cell>
          <cell r="D1159" t="str">
            <v>1. SKK store</v>
          </cell>
          <cell r="E1159" t="str">
            <v>S1004</v>
          </cell>
          <cell r="F1159" t="str">
            <v>SKK  Mandarin C1</v>
          </cell>
          <cell r="G1159" t="str">
            <v>0972588116</v>
          </cell>
          <cell r="H1159" t="str">
            <v>Chị Nguyễn Thị Giang</v>
          </cell>
          <cell r="I1159" t="str">
            <v>Khách cũ</v>
          </cell>
          <cell r="J1159" t="str">
            <v>Đơn bán</v>
          </cell>
          <cell r="K1159" t="str">
            <v>SAKUKO780167</v>
          </cell>
          <cell r="L1159" t="str">
            <v>CHĂM SÓC SẮC ĐẸP</v>
          </cell>
          <cell r="M1159" t="str">
            <v>CHĂM SÓC DA</v>
          </cell>
          <cell r="N1159" t="str">
            <v>RỬA MẶT</v>
          </cell>
          <cell r="O1159" t="str">
            <v>102386</v>
          </cell>
          <cell r="P1159" t="str">
            <v>4902468816062</v>
          </cell>
          <cell r="Q1159" t="str">
            <v>MEISHOKU- Sữa rửa mặt sáng da Cvita 100g</v>
          </cell>
          <cell r="R1159">
            <v>290000</v>
          </cell>
          <cell r="S1159">
            <v>1</v>
          </cell>
          <cell r="T1159">
            <v>290000</v>
          </cell>
          <cell r="U1159">
            <v>0</v>
          </cell>
          <cell r="V1159">
            <v>290000</v>
          </cell>
          <cell r="W1159" t="str">
            <v>4902468816062</v>
          </cell>
        </row>
        <row r="1160">
          <cell r="A1160">
            <v>2026</v>
          </cell>
          <cell r="B1160">
            <v>5</v>
          </cell>
          <cell r="C1160">
            <v>46159</v>
          </cell>
          <cell r="D1160" t="str">
            <v>1. SKK store</v>
          </cell>
          <cell r="E1160" t="str">
            <v>S1004</v>
          </cell>
          <cell r="F1160" t="str">
            <v>SKK  Mandarin C1</v>
          </cell>
          <cell r="G1160" t="str">
            <v>0982169094</v>
          </cell>
          <cell r="H1160" t="str">
            <v>nguyễn tuyết thu</v>
          </cell>
          <cell r="I1160" t="str">
            <v>Khách mới</v>
          </cell>
          <cell r="J1160" t="str">
            <v>Đơn bán</v>
          </cell>
          <cell r="K1160" t="str">
            <v>SAKUKO779258</v>
          </cell>
          <cell r="L1160" t="str">
            <v>CHĂM SÓC SẮC ĐẸP</v>
          </cell>
          <cell r="M1160" t="str">
            <v>CHĂM SÓC DA</v>
          </cell>
          <cell r="N1160" t="str">
            <v>RỬA MẶT</v>
          </cell>
          <cell r="O1160" t="str">
            <v>102412</v>
          </cell>
          <cell r="P1160" t="str">
            <v>4902468802126</v>
          </cell>
          <cell r="Q1160" t="str">
            <v>MEISHOKU- SRM ngăn ngừa mụn Bigan 80g</v>
          </cell>
          <cell r="R1160">
            <v>255000</v>
          </cell>
          <cell r="S1160">
            <v>1</v>
          </cell>
          <cell r="T1160">
            <v>255000</v>
          </cell>
          <cell r="U1160">
            <v>0</v>
          </cell>
          <cell r="V1160">
            <v>255000</v>
          </cell>
          <cell r="W1160" t="str">
            <v>4902468802126</v>
          </cell>
        </row>
        <row r="1161">
          <cell r="A1161">
            <v>2026</v>
          </cell>
          <cell r="B1161">
            <v>5</v>
          </cell>
          <cell r="C1161">
            <v>46159</v>
          </cell>
          <cell r="D1161" t="str">
            <v>1. SKK store</v>
          </cell>
          <cell r="E1161" t="str">
            <v>S1005</v>
          </cell>
          <cell r="F1161" t="str">
            <v>SKK  Thái Hà</v>
          </cell>
          <cell r="G1161" t="str">
            <v>0773252652</v>
          </cell>
          <cell r="H1161" t="str">
            <v>c Cẩm Ly</v>
          </cell>
          <cell r="I1161" t="str">
            <v>Khách cũ</v>
          </cell>
          <cell r="J1161" t="str">
            <v>Đơn bán</v>
          </cell>
          <cell r="K1161" t="str">
            <v>SAKUKO779221</v>
          </cell>
          <cell r="L1161" t="str">
            <v>ĐỒ CHO MẸ BÉ</v>
          </cell>
          <cell r="M1161" t="str">
            <v>GIẤY ƯỚT</v>
          </cell>
          <cell r="N1161" t="str">
            <v>GIẤY ƯỚT CHO BÉ</v>
          </cell>
          <cell r="O1161" t="str">
            <v>121663</v>
          </cell>
          <cell r="P1161" t="str">
            <v>8934755035197</v>
          </cell>
          <cell r="Q1161" t="str">
            <v>FRESSI- Khăn ướt Care For All 100 miếng</v>
          </cell>
          <cell r="R1161">
            <v>49000</v>
          </cell>
          <cell r="S1161">
            <v>1</v>
          </cell>
          <cell r="T1161">
            <v>49000</v>
          </cell>
          <cell r="U1161">
            <v>0</v>
          </cell>
          <cell r="V1161">
            <v>49000</v>
          </cell>
          <cell r="W1161" t="str">
            <v>8934755035197</v>
          </cell>
        </row>
        <row r="1162">
          <cell r="A1162">
            <v>2026</v>
          </cell>
          <cell r="B1162">
            <v>5</v>
          </cell>
          <cell r="C1162">
            <v>46159</v>
          </cell>
          <cell r="D1162" t="str">
            <v>1. SKK store</v>
          </cell>
          <cell r="E1162" t="str">
            <v>S1006</v>
          </cell>
          <cell r="F1162" t="str">
            <v>SKK Trần Đăng Ninh</v>
          </cell>
          <cell r="G1162" t="str">
            <v>0862954688</v>
          </cell>
          <cell r="H1162" t="str">
            <v>KLTDN</v>
          </cell>
          <cell r="I1162" t="str">
            <v>Khách vãng lai</v>
          </cell>
          <cell r="J1162" t="str">
            <v>Đơn bán</v>
          </cell>
          <cell r="K1162" t="str">
            <v>SAKUKO779497</v>
          </cell>
          <cell r="L1162" t="str">
            <v>ĐỒ CHO MẸ BÉ</v>
          </cell>
          <cell r="M1162" t="str">
            <v>GIẤY ƯỚT</v>
          </cell>
          <cell r="N1162" t="str">
            <v>GIẤY ƯỚT CHO BÉ</v>
          </cell>
          <cell r="O1162" t="str">
            <v>121677</v>
          </cell>
          <cell r="P1162" t="str">
            <v>8801260608836</v>
          </cell>
          <cell r="Q1162" t="str">
            <v>KLEANNARA- Khăn ướt 5 tinh chất (có nắp) 100 tờ</v>
          </cell>
          <cell r="R1162">
            <v>52000</v>
          </cell>
          <cell r="S1162">
            <v>1</v>
          </cell>
          <cell r="T1162">
            <v>52000</v>
          </cell>
          <cell r="U1162">
            <v>0</v>
          </cell>
          <cell r="V1162">
            <v>52000</v>
          </cell>
          <cell r="W1162" t="str">
            <v>8801260608836</v>
          </cell>
        </row>
        <row r="1163">
          <cell r="A1163">
            <v>2026</v>
          </cell>
          <cell r="B1163">
            <v>5</v>
          </cell>
          <cell r="C1163">
            <v>46159</v>
          </cell>
          <cell r="D1163" t="str">
            <v>1. SKK store</v>
          </cell>
          <cell r="E1163" t="str">
            <v>S1006</v>
          </cell>
          <cell r="F1163" t="str">
            <v>SKK Trần Đăng Ninh</v>
          </cell>
          <cell r="G1163" t="str">
            <v>0913411869</v>
          </cell>
          <cell r="H1163" t="str">
            <v>c Ut</v>
          </cell>
          <cell r="I1163" t="str">
            <v>Khách cũ</v>
          </cell>
          <cell r="J1163" t="str">
            <v>Đơn bán</v>
          </cell>
          <cell r="K1163" t="str">
            <v>SAKUKO779602</v>
          </cell>
          <cell r="L1163" t="str">
            <v>CHĂM SÓC SẮC ĐẸP</v>
          </cell>
          <cell r="M1163" t="str">
            <v>CHĂM SÓC DA</v>
          </cell>
          <cell r="N1163" t="str">
            <v>KEM DƯỠNG</v>
          </cell>
          <cell r="O1163" t="str">
            <v>102384</v>
          </cell>
          <cell r="P1163" t="str">
            <v>4902468820014</v>
          </cell>
          <cell r="Q1163" t="str">
            <v>MEISHOKU- Kem gel dưỡng ẩm phục hồi chuyên sâu 50g</v>
          </cell>
          <cell r="R1163">
            <v>575000</v>
          </cell>
          <cell r="S1163">
            <v>1</v>
          </cell>
          <cell r="T1163">
            <v>575000</v>
          </cell>
          <cell r="U1163">
            <v>0</v>
          </cell>
          <cell r="V1163">
            <v>575000</v>
          </cell>
          <cell r="W1163" t="str">
            <v>4902468820014</v>
          </cell>
        </row>
        <row r="1164">
          <cell r="A1164">
            <v>2026</v>
          </cell>
          <cell r="B1164">
            <v>5</v>
          </cell>
          <cell r="C1164">
            <v>46159</v>
          </cell>
          <cell r="D1164" t="str">
            <v>1. SKK store</v>
          </cell>
          <cell r="E1164" t="str">
            <v>S1006</v>
          </cell>
          <cell r="F1164" t="str">
            <v>SKK Trần Đăng Ninh</v>
          </cell>
          <cell r="G1164" t="str">
            <v>0914629886</v>
          </cell>
          <cell r="H1164" t="str">
            <v>Chị Nguyễn Thị Thơm</v>
          </cell>
          <cell r="I1164" t="str">
            <v>Khách cũ</v>
          </cell>
          <cell r="J1164" t="str">
            <v>Đơn bán</v>
          </cell>
          <cell r="K1164" t="str">
            <v>SAKUKO779676</v>
          </cell>
          <cell r="L1164" t="str">
            <v>CHĂM SÓC SẮC ĐẸP</v>
          </cell>
          <cell r="M1164" t="str">
            <v>CHĂM SÓC DA</v>
          </cell>
          <cell r="N1164" t="str">
            <v>KEM DƯỠNG</v>
          </cell>
          <cell r="O1164" t="str">
            <v>102384</v>
          </cell>
          <cell r="P1164" t="str">
            <v>4902468820014</v>
          </cell>
          <cell r="Q1164" t="str">
            <v>MEISHOKU- Kem gel dưỡng ẩm phục hồi chuyên sâu 50g</v>
          </cell>
          <cell r="R1164">
            <v>575000</v>
          </cell>
          <cell r="S1164">
            <v>1</v>
          </cell>
          <cell r="T1164">
            <v>575000</v>
          </cell>
          <cell r="U1164">
            <v>0</v>
          </cell>
          <cell r="V1164">
            <v>575000</v>
          </cell>
          <cell r="W1164" t="str">
            <v>4902468820014</v>
          </cell>
        </row>
        <row r="1165">
          <cell r="A1165">
            <v>2026</v>
          </cell>
          <cell r="B1165">
            <v>5</v>
          </cell>
          <cell r="C1165">
            <v>46159</v>
          </cell>
          <cell r="D1165" t="str">
            <v>1. SKK store</v>
          </cell>
          <cell r="E1165" t="str">
            <v>S1006</v>
          </cell>
          <cell r="F1165" t="str">
            <v>SKK Trần Đăng Ninh</v>
          </cell>
          <cell r="G1165" t="str">
            <v>0916062248</v>
          </cell>
          <cell r="H1165" t="str">
            <v>Trần thị hồng gấm</v>
          </cell>
          <cell r="I1165" t="str">
            <v>Khách cũ</v>
          </cell>
          <cell r="J1165" t="str">
            <v>Đơn bán</v>
          </cell>
          <cell r="K1165" t="str">
            <v>SAKUKO779699</v>
          </cell>
          <cell r="L1165" t="str">
            <v>ĐỒ CHO MẸ BÉ</v>
          </cell>
          <cell r="M1165" t="str">
            <v>GIẤY ƯỚT</v>
          </cell>
          <cell r="N1165" t="str">
            <v>GIẤY ƯỚT CHO BÉ</v>
          </cell>
          <cell r="O1165" t="str">
            <v>121677</v>
          </cell>
          <cell r="P1165" t="str">
            <v>8801260608836</v>
          </cell>
          <cell r="Q1165" t="str">
            <v>KLEANNARA- Khăn ướt 5 tinh chất (có nắp) 100 tờ</v>
          </cell>
          <cell r="R1165">
            <v>52000</v>
          </cell>
          <cell r="S1165">
            <v>1</v>
          </cell>
          <cell r="T1165">
            <v>52000</v>
          </cell>
          <cell r="U1165">
            <v>0</v>
          </cell>
          <cell r="V1165">
            <v>52000</v>
          </cell>
          <cell r="W1165" t="str">
            <v>8801260608836</v>
          </cell>
        </row>
        <row r="1166">
          <cell r="A1166">
            <v>2026</v>
          </cell>
          <cell r="B1166">
            <v>5</v>
          </cell>
          <cell r="C1166">
            <v>46159</v>
          </cell>
          <cell r="D1166" t="str">
            <v>1. SKK store</v>
          </cell>
          <cell r="E1166" t="str">
            <v>S1007</v>
          </cell>
          <cell r="F1166" t="str">
            <v>SKK  Nguyễn Du</v>
          </cell>
          <cell r="G1166" t="str">
            <v>0913360006</v>
          </cell>
          <cell r="H1166" t="str">
            <v>Cô Lương</v>
          </cell>
          <cell r="I1166" t="str">
            <v>Khách cũ</v>
          </cell>
          <cell r="J1166" t="str">
            <v>Đơn bán</v>
          </cell>
          <cell r="K1166" t="str">
            <v>SAKUKO779829</v>
          </cell>
          <cell r="L1166" t="str">
            <v>THỰC PHẨM</v>
          </cell>
          <cell r="M1166" t="str">
            <v>MỲ, MIẾN</v>
          </cell>
          <cell r="N1166" t="str">
            <v>MỲ CHẾ BIẾN</v>
          </cell>
          <cell r="O1166" t="str">
            <v>154249</v>
          </cell>
          <cell r="P1166" t="str">
            <v>4517244004627</v>
          </cell>
          <cell r="Q1166" t="str">
            <v>ASAHI_Mì udon khô 400g</v>
          </cell>
          <cell r="R1166">
            <v>69000</v>
          </cell>
          <cell r="S1166">
            <v>2</v>
          </cell>
          <cell r="T1166">
            <v>138000</v>
          </cell>
          <cell r="U1166">
            <v>0</v>
          </cell>
          <cell r="V1166">
            <v>138000</v>
          </cell>
          <cell r="W1166" t="str">
            <v>4517244004627</v>
          </cell>
        </row>
        <row r="1167">
          <cell r="A1167">
            <v>2026</v>
          </cell>
          <cell r="B1167">
            <v>5</v>
          </cell>
          <cell r="C1167">
            <v>46159</v>
          </cell>
          <cell r="D1167" t="str">
            <v>1. SKK store</v>
          </cell>
          <cell r="E1167" t="str">
            <v>S1008</v>
          </cell>
          <cell r="F1167" t="str">
            <v>SKK  Hàng Bông</v>
          </cell>
          <cell r="G1167" t="str">
            <v>0983733175</v>
          </cell>
          <cell r="H1167" t="str">
            <v>chị Hương</v>
          </cell>
          <cell r="I1167" t="str">
            <v>Khách cũ</v>
          </cell>
          <cell r="J1167" t="str">
            <v>Đơn bán</v>
          </cell>
          <cell r="K1167" t="str">
            <v>SAKUKO779443</v>
          </cell>
          <cell r="L1167" t="str">
            <v>CHĂM SÓC SẮC ĐẸP</v>
          </cell>
          <cell r="M1167" t="str">
            <v>Mỹ phẩm khác</v>
          </cell>
          <cell r="N1167" t="str">
            <v>PHỤ KIỆN LÀM ĐẸP</v>
          </cell>
          <cell r="O1167" t="str">
            <v>102389</v>
          </cell>
          <cell r="P1167" t="str">
            <v>4969757110652</v>
          </cell>
          <cell r="Q1167" t="str">
            <v>KYOWA- Gói bông tẩy trang 130 miếng</v>
          </cell>
          <cell r="R1167">
            <v>49000</v>
          </cell>
          <cell r="S1167">
            <v>1</v>
          </cell>
          <cell r="T1167">
            <v>49000</v>
          </cell>
          <cell r="U1167">
            <v>0</v>
          </cell>
          <cell r="V1167">
            <v>49000</v>
          </cell>
          <cell r="W1167" t="str">
            <v>4969757110652</v>
          </cell>
        </row>
        <row r="1168">
          <cell r="A1168">
            <v>2026</v>
          </cell>
          <cell r="B1168">
            <v>5</v>
          </cell>
          <cell r="C1168">
            <v>46159</v>
          </cell>
          <cell r="D1168" t="str">
            <v>1. SKK store</v>
          </cell>
          <cell r="E1168" t="str">
            <v>S1015</v>
          </cell>
          <cell r="F1168" t="str">
            <v>SKK Hàm Nghi</v>
          </cell>
          <cell r="G1168" t="str">
            <v>0912523887</v>
          </cell>
          <cell r="H1168" t="str">
            <v>CHị Chu Ngân Hà</v>
          </cell>
          <cell r="I1168" t="str">
            <v>Khách cũ</v>
          </cell>
          <cell r="J1168" t="str">
            <v>Đơn bán</v>
          </cell>
          <cell r="K1168" t="str">
            <v>SAKUKO780271</v>
          </cell>
          <cell r="L1168" t="str">
            <v>ĐỒ CHO MẸ BÉ</v>
          </cell>
          <cell r="M1168" t="str">
            <v>GIẤY ƯỚT</v>
          </cell>
          <cell r="N1168" t="str">
            <v>GIẤY ƯỚT CHO BÉ</v>
          </cell>
          <cell r="O1168" t="str">
            <v>121664</v>
          </cell>
          <cell r="P1168" t="str">
            <v>8934755035074</v>
          </cell>
          <cell r="Q1168" t="str">
            <v>BOBBY- Khăn ướt em bé có hương 100 miếng</v>
          </cell>
          <cell r="R1168">
            <v>46000</v>
          </cell>
          <cell r="S1168">
            <v>1</v>
          </cell>
          <cell r="T1168">
            <v>46000</v>
          </cell>
          <cell r="U1168">
            <v>0</v>
          </cell>
          <cell r="V1168">
            <v>46000</v>
          </cell>
          <cell r="W1168" t="str">
            <v>8934755035074</v>
          </cell>
        </row>
        <row r="1169">
          <cell r="A1169">
            <v>2026</v>
          </cell>
          <cell r="B1169">
            <v>5</v>
          </cell>
          <cell r="C1169">
            <v>46159</v>
          </cell>
          <cell r="D1169" t="str">
            <v>1. SKK store</v>
          </cell>
          <cell r="E1169" t="str">
            <v>S1015</v>
          </cell>
          <cell r="F1169" t="str">
            <v>SKK Hàm Nghi</v>
          </cell>
          <cell r="G1169" t="str">
            <v>0915629889</v>
          </cell>
          <cell r="H1169" t="str">
            <v>Chị Thúy</v>
          </cell>
          <cell r="I1169" t="str">
            <v>Khách cũ</v>
          </cell>
          <cell r="J1169" t="str">
            <v>Đơn bán</v>
          </cell>
          <cell r="K1169" t="str">
            <v>SAKUKO779106</v>
          </cell>
          <cell r="L1169" t="str">
            <v>THỰC PHẨM</v>
          </cell>
          <cell r="M1169" t="str">
            <v>BÁNH KẸO, ĐỒ ĂN VẶT</v>
          </cell>
          <cell r="N1169" t="str">
            <v>KẸO CAO SU</v>
          </cell>
          <cell r="O1169" t="str">
            <v>231377</v>
          </cell>
          <cell r="P1169" t="str">
            <v>4903333200375</v>
          </cell>
          <cell r="Q1169" t="str">
            <v>LOTTE-Kẹo cao su tổng hợp dạng lọ 114g</v>
          </cell>
          <cell r="R1169">
            <v>235000</v>
          </cell>
          <cell r="S1169">
            <v>1</v>
          </cell>
          <cell r="T1169">
            <v>235000</v>
          </cell>
          <cell r="U1169">
            <v>0</v>
          </cell>
          <cell r="V1169">
            <v>235000</v>
          </cell>
          <cell r="W1169" t="str">
            <v>4903333200375</v>
          </cell>
        </row>
        <row r="1170">
          <cell r="A1170">
            <v>2026</v>
          </cell>
          <cell r="B1170">
            <v>5</v>
          </cell>
          <cell r="C1170">
            <v>46159</v>
          </cell>
          <cell r="D1170" t="str">
            <v>1. SKK store</v>
          </cell>
          <cell r="E1170" t="str">
            <v>S1015</v>
          </cell>
          <cell r="F1170" t="str">
            <v>SKK Hàm Nghi</v>
          </cell>
          <cell r="G1170" t="str">
            <v>0944951368</v>
          </cell>
          <cell r="H1170" t="str">
            <v>Cô hương</v>
          </cell>
          <cell r="I1170" t="str">
            <v>Khách mới</v>
          </cell>
          <cell r="J1170" t="str">
            <v>Đơn bán</v>
          </cell>
          <cell r="K1170" t="str">
            <v>SAKUKO780131</v>
          </cell>
          <cell r="L1170" t="str">
            <v>CHĂM SÓC SẮC ĐẸP</v>
          </cell>
          <cell r="M1170" t="str">
            <v>CHĂM SÓC DA</v>
          </cell>
          <cell r="N1170" t="str">
            <v>KEM DƯỠNG</v>
          </cell>
          <cell r="O1170" t="str">
            <v>102418</v>
          </cell>
          <cell r="P1170" t="str">
            <v>4902468297021</v>
          </cell>
          <cell r="Q1170" t="str">
            <v>MEISHOKU- Kem dưỡng da dịu nhẹ 45g</v>
          </cell>
          <cell r="R1170">
            <v>435000</v>
          </cell>
          <cell r="S1170">
            <v>1</v>
          </cell>
          <cell r="T1170">
            <v>435000</v>
          </cell>
          <cell r="U1170">
            <v>0</v>
          </cell>
          <cell r="V1170">
            <v>435000</v>
          </cell>
          <cell r="W1170" t="str">
            <v>4902468297021</v>
          </cell>
        </row>
        <row r="1171">
          <cell r="A1171">
            <v>2026</v>
          </cell>
          <cell r="B1171">
            <v>5</v>
          </cell>
          <cell r="C1171">
            <v>46159</v>
          </cell>
          <cell r="D1171" t="str">
            <v>1. SKK store</v>
          </cell>
          <cell r="E1171" t="str">
            <v>S1018</v>
          </cell>
          <cell r="F1171" t="str">
            <v>SKK Nguyễn Tuân</v>
          </cell>
          <cell r="G1171" t="str">
            <v>0904326965</v>
          </cell>
          <cell r="H1171" t="str">
            <v>NGUYEN HOANG HUY</v>
          </cell>
          <cell r="I1171" t="str">
            <v>Khách cũ</v>
          </cell>
          <cell r="J1171" t="str">
            <v>Đơn bán</v>
          </cell>
          <cell r="K1171" t="str">
            <v>SAKUKO779729</v>
          </cell>
          <cell r="L1171" t="str">
            <v>THỰC PHẨM</v>
          </cell>
          <cell r="M1171" t="str">
            <v>MỲ, MIẾN</v>
          </cell>
          <cell r="N1171" t="str">
            <v>MỲ ĂN LIỀN</v>
          </cell>
          <cell r="O1171" t="str">
            <v>154359</v>
          </cell>
          <cell r="P1171" t="str">
            <v>4979397000138</v>
          </cell>
          <cell r="Q1171" t="str">
            <v>YAMAMOTO- Mì ramen ăn liền hải sản thịt heo 88g*5</v>
          </cell>
          <cell r="R1171">
            <v>99000</v>
          </cell>
          <cell r="S1171">
            <v>1</v>
          </cell>
          <cell r="T1171">
            <v>99000</v>
          </cell>
          <cell r="U1171">
            <v>44550</v>
          </cell>
          <cell r="V1171">
            <v>54450</v>
          </cell>
          <cell r="W1171" t="str">
            <v>4979397000138</v>
          </cell>
        </row>
        <row r="1172">
          <cell r="A1172">
            <v>2026</v>
          </cell>
          <cell r="B1172">
            <v>5</v>
          </cell>
          <cell r="C1172">
            <v>46159</v>
          </cell>
          <cell r="D1172" t="str">
            <v>1. SKK store</v>
          </cell>
          <cell r="E1172" t="str">
            <v>S1018</v>
          </cell>
          <cell r="F1172" t="str">
            <v>SKK Nguyễn Tuân</v>
          </cell>
          <cell r="G1172" t="str">
            <v>0913033811</v>
          </cell>
          <cell r="H1172" t="str">
            <v>Chị Phượng</v>
          </cell>
          <cell r="I1172" t="str">
            <v>Khách cũ</v>
          </cell>
          <cell r="J1172" t="str">
            <v>Đơn bán</v>
          </cell>
          <cell r="K1172" t="str">
            <v>SAKUKO779193</v>
          </cell>
          <cell r="L1172" t="str">
            <v>NHÀ CỬA ĐỜI SỐNG</v>
          </cell>
          <cell r="M1172" t="str">
            <v>KHĂN</v>
          </cell>
          <cell r="N1172" t="str">
            <v>KHĂN MẶT</v>
          </cell>
          <cell r="O1172" t="str">
            <v>102390</v>
          </cell>
          <cell r="P1172" t="str">
            <v>4906327905980</v>
          </cell>
          <cell r="Q1172" t="str">
            <v>KOMODA - Khăn mặt khô dùng 1 lần 46m 20x20cm</v>
          </cell>
          <cell r="R1172">
            <v>52000</v>
          </cell>
          <cell r="S1172">
            <v>1</v>
          </cell>
          <cell r="T1172">
            <v>52000</v>
          </cell>
          <cell r="U1172">
            <v>0</v>
          </cell>
          <cell r="V1172">
            <v>52000</v>
          </cell>
          <cell r="W1172" t="str">
            <v>4906327905980</v>
          </cell>
        </row>
        <row r="1173">
          <cell r="A1173">
            <v>2026</v>
          </cell>
          <cell r="B1173">
            <v>5</v>
          </cell>
          <cell r="C1173">
            <v>46159</v>
          </cell>
          <cell r="D1173" t="str">
            <v>1. SKK store</v>
          </cell>
          <cell r="E1173" t="str">
            <v>S1018</v>
          </cell>
          <cell r="F1173" t="str">
            <v>SKK Nguyễn Tuân</v>
          </cell>
          <cell r="G1173" t="str">
            <v>0983280880</v>
          </cell>
          <cell r="H1173" t="str">
            <v>anh Thao</v>
          </cell>
          <cell r="I1173" t="str">
            <v>Khách mới</v>
          </cell>
          <cell r="J1173" t="str">
            <v>Đơn bán</v>
          </cell>
          <cell r="K1173" t="str">
            <v>SAKUKO779557</v>
          </cell>
          <cell r="L1173" t="str">
            <v>CHĂM SÓC SẮC ĐẸP</v>
          </cell>
          <cell r="M1173" t="str">
            <v>CHĂM SÓC DA</v>
          </cell>
          <cell r="N1173" t="str">
            <v>RỬA MẶT</v>
          </cell>
          <cell r="O1173" t="str">
            <v>102386</v>
          </cell>
          <cell r="P1173" t="str">
            <v>4902468816062</v>
          </cell>
          <cell r="Q1173" t="str">
            <v>MEISHOKU- Sữa rửa mặt sáng da Cvita 100g</v>
          </cell>
          <cell r="R1173">
            <v>290000</v>
          </cell>
          <cell r="S1173">
            <v>1</v>
          </cell>
          <cell r="T1173">
            <v>290000</v>
          </cell>
          <cell r="U1173">
            <v>0</v>
          </cell>
          <cell r="V1173">
            <v>290000</v>
          </cell>
          <cell r="W1173" t="str">
            <v>4902468816062</v>
          </cell>
        </row>
        <row r="1174">
          <cell r="A1174">
            <v>2026</v>
          </cell>
          <cell r="B1174">
            <v>5</v>
          </cell>
          <cell r="C1174">
            <v>46159</v>
          </cell>
          <cell r="D1174" t="str">
            <v>1. SKK store</v>
          </cell>
          <cell r="E1174" t="str">
            <v>S1025</v>
          </cell>
          <cell r="F1174" t="str">
            <v>SKK T6 Time City</v>
          </cell>
          <cell r="G1174" t="str">
            <v>0902207783</v>
          </cell>
          <cell r="H1174" t="str">
            <v>chị cao thanh phương</v>
          </cell>
          <cell r="I1174" t="str">
            <v>Khách cũ</v>
          </cell>
          <cell r="J1174" t="str">
            <v>Đơn bán</v>
          </cell>
          <cell r="K1174" t="str">
            <v>SAKUKO779955</v>
          </cell>
          <cell r="L1174" t="str">
            <v>THỰC PHẨM</v>
          </cell>
          <cell r="M1174" t="str">
            <v>BÁNH KẸO, ĐỒ ĂN VẶT</v>
          </cell>
          <cell r="N1174" t="str">
            <v>KẸO CAO SU</v>
          </cell>
          <cell r="O1174" t="str">
            <v>231374</v>
          </cell>
          <cell r="P1174" t="str">
            <v>4547894156315</v>
          </cell>
          <cell r="Q1174" t="str">
            <v>CLORETS-Kẹo cao su hương vị 4 mùa 140g</v>
          </cell>
          <cell r="R1174">
            <v>235000</v>
          </cell>
          <cell r="S1174">
            <v>1</v>
          </cell>
          <cell r="T1174">
            <v>235000</v>
          </cell>
          <cell r="U1174">
            <v>0</v>
          </cell>
          <cell r="V1174">
            <v>235000</v>
          </cell>
          <cell r="W1174" t="str">
            <v>4547894156315</v>
          </cell>
        </row>
        <row r="1175">
          <cell r="A1175">
            <v>2026</v>
          </cell>
          <cell r="B1175">
            <v>5</v>
          </cell>
          <cell r="C1175">
            <v>46158</v>
          </cell>
          <cell r="D1175" t="str">
            <v>1. SKK store</v>
          </cell>
          <cell r="E1175" t="str">
            <v>S1004</v>
          </cell>
          <cell r="F1175" t="str">
            <v>SKK  Mandarin C1</v>
          </cell>
          <cell r="G1175" t="str">
            <v>0903262212</v>
          </cell>
          <cell r="H1175" t="str">
            <v>Chị Trang</v>
          </cell>
          <cell r="I1175" t="str">
            <v>Khách cũ</v>
          </cell>
          <cell r="J1175" t="str">
            <v>Đơn bán</v>
          </cell>
          <cell r="K1175" t="str">
            <v>SAKUKO778725</v>
          </cell>
          <cell r="L1175" t="str">
            <v>THỰC PHẨM</v>
          </cell>
          <cell r="M1175" t="str">
            <v>MỲ, MIẾN</v>
          </cell>
          <cell r="N1175" t="str">
            <v>MỲ CHẾ BIẾN</v>
          </cell>
          <cell r="O1175" t="str">
            <v>174948</v>
          </cell>
          <cell r="P1175" t="str">
            <v>4582114354119</v>
          </cell>
          <cell r="Q1175" t="str">
            <v>SANUKISHISEI- Mì soumen 300g</v>
          </cell>
          <cell r="R1175">
            <v>35000</v>
          </cell>
          <cell r="S1175">
            <v>1</v>
          </cell>
          <cell r="T1175">
            <v>35000</v>
          </cell>
          <cell r="U1175">
            <v>0</v>
          </cell>
          <cell r="V1175">
            <v>35000</v>
          </cell>
          <cell r="W1175" t="str">
            <v>4582114354119</v>
          </cell>
        </row>
        <row r="1176">
          <cell r="A1176">
            <v>2026</v>
          </cell>
          <cell r="B1176">
            <v>5</v>
          </cell>
          <cell r="C1176">
            <v>46158</v>
          </cell>
          <cell r="D1176" t="str">
            <v>1. SKK store</v>
          </cell>
          <cell r="E1176" t="str">
            <v>S1004</v>
          </cell>
          <cell r="F1176" t="str">
            <v>SKK  Mandarin C1</v>
          </cell>
          <cell r="G1176" t="str">
            <v>0965496666</v>
          </cell>
          <cell r="H1176" t="str">
            <v>Anh Tuấn</v>
          </cell>
          <cell r="I1176" t="str">
            <v>Khách cũ</v>
          </cell>
          <cell r="J1176" t="str">
            <v>Đơn bán</v>
          </cell>
          <cell r="K1176" t="str">
            <v>SAKUKO778525</v>
          </cell>
          <cell r="L1176" t="str">
            <v>NHÀ CỬA ĐỜI SỐNG</v>
          </cell>
          <cell r="M1176" t="str">
            <v>PHÒNG CHỐNG CÔN TRÙNG</v>
          </cell>
          <cell r="N1176" t="str">
            <v>DIỆT CÔN TRÙNG</v>
          </cell>
          <cell r="O1176" t="str">
            <v>134478</v>
          </cell>
          <cell r="P1176" t="str">
            <v>4987115545939</v>
          </cell>
          <cell r="Q1176" t="str">
            <v>KINCHO-DD làm thơm phòng đuổi muỗi (không mùi)</v>
          </cell>
          <cell r="R1176">
            <v>199000</v>
          </cell>
          <cell r="S1176">
            <v>1</v>
          </cell>
          <cell r="T1176">
            <v>199000</v>
          </cell>
          <cell r="U1176">
            <v>9950</v>
          </cell>
          <cell r="V1176">
            <v>189050</v>
          </cell>
          <cell r="W1176" t="str">
            <v>4987115545939</v>
          </cell>
        </row>
        <row r="1177">
          <cell r="A1177">
            <v>2026</v>
          </cell>
          <cell r="B1177">
            <v>5</v>
          </cell>
          <cell r="C1177">
            <v>46158</v>
          </cell>
          <cell r="D1177" t="str">
            <v>1. SKK store</v>
          </cell>
          <cell r="E1177" t="str">
            <v>S1005</v>
          </cell>
          <cell r="F1177" t="str">
            <v>SKK  Thái Hà</v>
          </cell>
          <cell r="G1177" t="str">
            <v>0906255958</v>
          </cell>
          <cell r="H1177" t="str">
            <v>Chị Vân</v>
          </cell>
          <cell r="I1177" t="str">
            <v>Khách cũ</v>
          </cell>
          <cell r="J1177" t="str">
            <v>Đơn bán</v>
          </cell>
          <cell r="K1177" t="str">
            <v>SAKUKO778987</v>
          </cell>
          <cell r="L1177" t="str">
            <v>THỰC PHẨM</v>
          </cell>
          <cell r="M1177" t="str">
            <v>BÁNH KẸO, ĐỒ ĂN VẶT</v>
          </cell>
          <cell r="N1177" t="str">
            <v>KẸO CAO SU</v>
          </cell>
          <cell r="O1177" t="str">
            <v>231374</v>
          </cell>
          <cell r="P1177" t="str">
            <v>4547894156315</v>
          </cell>
          <cell r="Q1177" t="str">
            <v>CLORETS-Kẹo cao su hương vị 4 mùa 140g</v>
          </cell>
          <cell r="R1177">
            <v>235000</v>
          </cell>
          <cell r="S1177">
            <v>1</v>
          </cell>
          <cell r="T1177">
            <v>235000</v>
          </cell>
          <cell r="U1177">
            <v>0</v>
          </cell>
          <cell r="V1177">
            <v>235000</v>
          </cell>
          <cell r="W1177" t="str">
            <v>4547894156315</v>
          </cell>
        </row>
        <row r="1178">
          <cell r="A1178">
            <v>2026</v>
          </cell>
          <cell r="B1178">
            <v>5</v>
          </cell>
          <cell r="C1178">
            <v>46158</v>
          </cell>
          <cell r="D1178" t="str">
            <v>1. SKK store</v>
          </cell>
          <cell r="E1178" t="str">
            <v>S1006</v>
          </cell>
          <cell r="F1178" t="str">
            <v>SKK Trần Đăng Ninh</v>
          </cell>
          <cell r="G1178" t="str">
            <v>0862954688</v>
          </cell>
          <cell r="H1178" t="str">
            <v>KLTDN</v>
          </cell>
          <cell r="I1178" t="str">
            <v>Khách vãng lai</v>
          </cell>
          <cell r="J1178" t="str">
            <v>Đơn bán</v>
          </cell>
          <cell r="K1178" t="str">
            <v>SAKUKO778521</v>
          </cell>
          <cell r="L1178" t="str">
            <v>ĐỒ CHO MẸ BÉ</v>
          </cell>
          <cell r="M1178" t="str">
            <v>GIẤY ƯỚT</v>
          </cell>
          <cell r="N1178" t="str">
            <v>GIẤY ƯỚT CHO BÉ</v>
          </cell>
          <cell r="O1178" t="str">
            <v>121662</v>
          </cell>
          <cell r="P1178" t="str">
            <v>8934755035036</v>
          </cell>
          <cell r="Q1178" t="str">
            <v>FRESSI- Khăn ướt Care For All 20 miếng</v>
          </cell>
          <cell r="R1178">
            <v>14000</v>
          </cell>
          <cell r="S1178">
            <v>1</v>
          </cell>
          <cell r="T1178">
            <v>14000</v>
          </cell>
          <cell r="U1178">
            <v>0</v>
          </cell>
          <cell r="V1178">
            <v>14000</v>
          </cell>
          <cell r="W1178" t="str">
            <v>8934755035036</v>
          </cell>
        </row>
        <row r="1179">
          <cell r="A1179">
            <v>2026</v>
          </cell>
          <cell r="B1179">
            <v>5</v>
          </cell>
          <cell r="C1179">
            <v>46158</v>
          </cell>
          <cell r="D1179" t="str">
            <v>1. SKK store</v>
          </cell>
          <cell r="E1179" t="str">
            <v>S1006</v>
          </cell>
          <cell r="F1179" t="str">
            <v>SKK Trần Đăng Ninh</v>
          </cell>
          <cell r="G1179" t="str">
            <v>0969791881</v>
          </cell>
          <cell r="H1179" t="str">
            <v>CHỊ PHƯƠNG THỊ XUYÊN</v>
          </cell>
          <cell r="I1179" t="str">
            <v>Khách mới</v>
          </cell>
          <cell r="J1179" t="str">
            <v>Đơn bán</v>
          </cell>
          <cell r="K1179" t="str">
            <v>SAKUKO778021</v>
          </cell>
          <cell r="L1179" t="str">
            <v>CHĂM SÓC SẮC ĐẸP</v>
          </cell>
          <cell r="M1179" t="str">
            <v>CHĂM SÓC DA</v>
          </cell>
          <cell r="N1179" t="str">
            <v>KEM DƯỠNG</v>
          </cell>
          <cell r="O1179" t="str">
            <v>102384</v>
          </cell>
          <cell r="P1179" t="str">
            <v>4902468820014</v>
          </cell>
          <cell r="Q1179" t="str">
            <v>MEISHOKU- Kem gel dưỡng ẩm phục hồi chuyên sâu 50g</v>
          </cell>
          <cell r="R1179">
            <v>575000</v>
          </cell>
          <cell r="S1179">
            <v>1</v>
          </cell>
          <cell r="T1179">
            <v>575000</v>
          </cell>
          <cell r="U1179">
            <v>0</v>
          </cell>
          <cell r="V1179">
            <v>575000</v>
          </cell>
          <cell r="W1179" t="str">
            <v>4902468820014</v>
          </cell>
        </row>
        <row r="1180">
          <cell r="A1180">
            <v>2026</v>
          </cell>
          <cell r="B1180">
            <v>5</v>
          </cell>
          <cell r="C1180">
            <v>46158</v>
          </cell>
          <cell r="D1180" t="str">
            <v>1. SKK store</v>
          </cell>
          <cell r="E1180" t="str">
            <v>S1006</v>
          </cell>
          <cell r="F1180" t="str">
            <v>SKK Trần Đăng Ninh</v>
          </cell>
          <cell r="G1180" t="str">
            <v>0969791881</v>
          </cell>
          <cell r="H1180" t="str">
            <v>CHỊ PHƯƠNG THỊ XUYÊN</v>
          </cell>
          <cell r="I1180" t="str">
            <v>Khách mới</v>
          </cell>
          <cell r="J1180" t="str">
            <v>Đơn bán</v>
          </cell>
          <cell r="K1180" t="str">
            <v>SAKUKO778021</v>
          </cell>
          <cell r="L1180" t="str">
            <v>CHĂM SÓC SẮC ĐẸP</v>
          </cell>
          <cell r="M1180" t="str">
            <v>CHĂM SÓC DA</v>
          </cell>
          <cell r="N1180" t="str">
            <v>KEM DƯỠNG</v>
          </cell>
          <cell r="O1180" t="str">
            <v>102420</v>
          </cell>
          <cell r="P1180" t="str">
            <v>4902468820007</v>
          </cell>
          <cell r="Q1180" t="str">
            <v>MEISHOKU- Tinh chất dưỡng ẩm chuyên sâu 30ml</v>
          </cell>
          <cell r="R1180">
            <v>555000</v>
          </cell>
          <cell r="S1180">
            <v>1</v>
          </cell>
          <cell r="T1180">
            <v>555000</v>
          </cell>
          <cell r="U1180">
            <v>0</v>
          </cell>
          <cell r="V1180">
            <v>555000</v>
          </cell>
          <cell r="W1180" t="str">
            <v>4902468820007</v>
          </cell>
        </row>
        <row r="1181">
          <cell r="A1181">
            <v>2026</v>
          </cell>
          <cell r="B1181">
            <v>5</v>
          </cell>
          <cell r="C1181">
            <v>46158</v>
          </cell>
          <cell r="D1181" t="str">
            <v>1. SKK store</v>
          </cell>
          <cell r="E1181" t="str">
            <v>S1006</v>
          </cell>
          <cell r="F1181" t="str">
            <v>SKK Trần Đăng Ninh</v>
          </cell>
          <cell r="G1181" t="str">
            <v>0989475354</v>
          </cell>
          <cell r="H1181" t="str">
            <v>Chị Thanh</v>
          </cell>
          <cell r="I1181" t="str">
            <v>Khách cũ</v>
          </cell>
          <cell r="J1181" t="str">
            <v>Đơn bán</v>
          </cell>
          <cell r="K1181" t="str">
            <v>SAKUKO778864</v>
          </cell>
          <cell r="L1181" t="str">
            <v>THỰC PHẨM</v>
          </cell>
          <cell r="M1181" t="str">
            <v>MỲ, MIẾN</v>
          </cell>
          <cell r="N1181" t="str">
            <v>MỲ CHẾ BIẾN</v>
          </cell>
          <cell r="O1181" t="str">
            <v>174948</v>
          </cell>
          <cell r="P1181" t="str">
            <v>4582114354119</v>
          </cell>
          <cell r="Q1181" t="str">
            <v>SANUKISHISEI- Mì soumen 300g</v>
          </cell>
          <cell r="R1181">
            <v>35000</v>
          </cell>
          <cell r="S1181">
            <v>1</v>
          </cell>
          <cell r="T1181">
            <v>35000</v>
          </cell>
          <cell r="U1181">
            <v>0</v>
          </cell>
          <cell r="V1181">
            <v>35000</v>
          </cell>
          <cell r="W1181" t="str">
            <v>4582114354119</v>
          </cell>
        </row>
        <row r="1182">
          <cell r="A1182">
            <v>2026</v>
          </cell>
          <cell r="B1182">
            <v>5</v>
          </cell>
          <cell r="C1182">
            <v>46158</v>
          </cell>
          <cell r="D1182" t="str">
            <v>1. SKK store</v>
          </cell>
          <cell r="E1182" t="str">
            <v>S1007</v>
          </cell>
          <cell r="F1182" t="str">
            <v>SKK  Nguyễn Du</v>
          </cell>
          <cell r="G1182" t="str">
            <v>0862954339</v>
          </cell>
          <cell r="H1182" t="str">
            <v>Klnd</v>
          </cell>
          <cell r="I1182" t="str">
            <v>Khách vãng lai</v>
          </cell>
          <cell r="J1182" t="str">
            <v>Đơn bán</v>
          </cell>
          <cell r="K1182" t="str">
            <v>SAKUKO778368</v>
          </cell>
          <cell r="L1182" t="str">
            <v>NHÀ CỬA ĐỜI SỐNG</v>
          </cell>
          <cell r="M1182" t="str">
            <v>PHÒNG CHỐNG CÔN TRÙNG</v>
          </cell>
          <cell r="N1182" t="str">
            <v>DIỆT CÔN TRÙNG</v>
          </cell>
          <cell r="O1182" t="str">
            <v>134479</v>
          </cell>
          <cell r="P1182" t="str">
            <v>4987115545892</v>
          </cell>
          <cell r="Q1182" t="str">
            <v>KINCHO-DD làm thơm phòng và đuổi muỗi Hoa SIBERIAN</v>
          </cell>
          <cell r="R1182">
            <v>239000</v>
          </cell>
          <cell r="S1182">
            <v>2</v>
          </cell>
          <cell r="T1182">
            <v>478000</v>
          </cell>
          <cell r="U1182">
            <v>23900</v>
          </cell>
          <cell r="V1182">
            <v>454100</v>
          </cell>
          <cell r="W1182" t="str">
            <v>4987115545892</v>
          </cell>
        </row>
        <row r="1183">
          <cell r="A1183">
            <v>2026</v>
          </cell>
          <cell r="B1183">
            <v>5</v>
          </cell>
          <cell r="C1183">
            <v>46158</v>
          </cell>
          <cell r="D1183" t="str">
            <v>1. SKK store</v>
          </cell>
          <cell r="E1183" t="str">
            <v>S1008</v>
          </cell>
          <cell r="F1183" t="str">
            <v>SKK  Hàng Bông</v>
          </cell>
          <cell r="G1183" t="str">
            <v>02466810202</v>
          </cell>
          <cell r="H1183" t="str">
            <v>KH Tây</v>
          </cell>
          <cell r="I1183" t="str">
            <v>Khách vãng lai</v>
          </cell>
          <cell r="J1183" t="str">
            <v>Đơn bán</v>
          </cell>
          <cell r="K1183" t="str">
            <v>SAKUKO778399</v>
          </cell>
          <cell r="L1183" t="str">
            <v>CHĂM SÓC SẮC ĐẸP</v>
          </cell>
          <cell r="M1183" t="str">
            <v>CHĂM SÓC DA</v>
          </cell>
          <cell r="N1183" t="str">
            <v>RỬA MẶT</v>
          </cell>
          <cell r="O1183" t="str">
            <v>230269</v>
          </cell>
          <cell r="P1183" t="str">
            <v>4987241173242</v>
          </cell>
          <cell r="Q1183" t="str">
            <v>ROHTO- SRM Melano CC mờ thâm nám (130g)</v>
          </cell>
          <cell r="R1183">
            <v>294000</v>
          </cell>
          <cell r="S1183">
            <v>1</v>
          </cell>
          <cell r="T1183">
            <v>294000</v>
          </cell>
          <cell r="U1183">
            <v>0</v>
          </cell>
          <cell r="V1183">
            <v>294000</v>
          </cell>
          <cell r="W1183" t="str">
            <v>4987241173242</v>
          </cell>
        </row>
        <row r="1184">
          <cell r="A1184">
            <v>2026</v>
          </cell>
          <cell r="B1184">
            <v>5</v>
          </cell>
          <cell r="C1184">
            <v>46158</v>
          </cell>
          <cell r="D1184" t="str">
            <v>1. SKK store</v>
          </cell>
          <cell r="E1184" t="str">
            <v>S1008</v>
          </cell>
          <cell r="F1184" t="str">
            <v>SKK  Hàng Bông</v>
          </cell>
          <cell r="G1184" t="str">
            <v>02466810202</v>
          </cell>
          <cell r="H1184" t="str">
            <v>KH Tây</v>
          </cell>
          <cell r="I1184" t="str">
            <v>Khách vãng lai</v>
          </cell>
          <cell r="J1184" t="str">
            <v>Đơn bán</v>
          </cell>
          <cell r="K1184" t="str">
            <v>SAKUKO778531</v>
          </cell>
          <cell r="L1184" t="str">
            <v>ĐỒ CHO MẸ BÉ</v>
          </cell>
          <cell r="M1184" t="str">
            <v>GIẤY ƯỚT</v>
          </cell>
          <cell r="N1184" t="str">
            <v>GIẤY ƯỚT CHO BÉ</v>
          </cell>
          <cell r="O1184" t="str">
            <v>121665</v>
          </cell>
          <cell r="P1184" t="str">
            <v>8934755035289</v>
          </cell>
          <cell r="Q1184" t="str">
            <v>BOBBY- Khăn ướt em bé không mùi 100 miếng</v>
          </cell>
          <cell r="R1184">
            <v>46000</v>
          </cell>
          <cell r="S1184">
            <v>1</v>
          </cell>
          <cell r="T1184">
            <v>46000</v>
          </cell>
          <cell r="U1184">
            <v>0</v>
          </cell>
          <cell r="V1184">
            <v>46000</v>
          </cell>
          <cell r="W1184" t="str">
            <v>8934755035289</v>
          </cell>
        </row>
        <row r="1185">
          <cell r="A1185">
            <v>2026</v>
          </cell>
          <cell r="B1185">
            <v>5</v>
          </cell>
          <cell r="C1185">
            <v>46158</v>
          </cell>
          <cell r="D1185" t="str">
            <v>1. SKK store</v>
          </cell>
          <cell r="E1185" t="str">
            <v>S1008</v>
          </cell>
          <cell r="F1185" t="str">
            <v>SKK  Hàng Bông</v>
          </cell>
          <cell r="G1185" t="str">
            <v>0949003618</v>
          </cell>
          <cell r="H1185" t="str">
            <v>Chị Nguyễn Quỳnh ANh</v>
          </cell>
          <cell r="I1185" t="str">
            <v>Khách cũ</v>
          </cell>
          <cell r="J1185" t="str">
            <v>Đơn bán</v>
          </cell>
          <cell r="K1185" t="str">
            <v>SAKUKO778653</v>
          </cell>
          <cell r="L1185" t="str">
            <v>THỰC PHẨM</v>
          </cell>
          <cell r="M1185" t="str">
            <v>MỲ, MIẾN</v>
          </cell>
          <cell r="N1185" t="str">
            <v>MỲ CHẾ BIẾN</v>
          </cell>
          <cell r="O1185" t="str">
            <v>175435</v>
          </cell>
          <cell r="P1185" t="str">
            <v>4901726014752</v>
          </cell>
          <cell r="Q1185" t="str">
            <v>ITSUKI FOODS- Mì soumen rau củ ngũ sắc320g</v>
          </cell>
          <cell r="R1185">
            <v>76000</v>
          </cell>
          <cell r="S1185">
            <v>1</v>
          </cell>
          <cell r="T1185">
            <v>76000</v>
          </cell>
          <cell r="U1185">
            <v>0</v>
          </cell>
          <cell r="V1185">
            <v>76000</v>
          </cell>
          <cell r="W1185" t="str">
            <v>4901726014752</v>
          </cell>
        </row>
        <row r="1186">
          <cell r="A1186">
            <v>2026</v>
          </cell>
          <cell r="B1186">
            <v>5</v>
          </cell>
          <cell r="C1186">
            <v>46158</v>
          </cell>
          <cell r="D1186" t="str">
            <v>1. SKK store</v>
          </cell>
          <cell r="E1186" t="str">
            <v>S1015</v>
          </cell>
          <cell r="F1186" t="str">
            <v>SKK Hàm Nghi</v>
          </cell>
          <cell r="G1186" t="str">
            <v>0982242643</v>
          </cell>
          <cell r="H1186" t="str">
            <v>chị ng nhật</v>
          </cell>
          <cell r="I1186" t="str">
            <v>Khách cũ</v>
          </cell>
          <cell r="J1186" t="str">
            <v>Đơn bán</v>
          </cell>
          <cell r="K1186" t="str">
            <v>SAKUKO778799</v>
          </cell>
          <cell r="L1186" t="str">
            <v>THỰC PHẨM</v>
          </cell>
          <cell r="M1186" t="str">
            <v>MỲ, MIẾN</v>
          </cell>
          <cell r="N1186" t="str">
            <v>MỲ ĂN LIỀN</v>
          </cell>
          <cell r="O1186" t="str">
            <v>154198</v>
          </cell>
          <cell r="P1186" t="str">
            <v>4979397000145</v>
          </cell>
          <cell r="Q1186" t="str">
            <v>YAMAMOTO_Mì ramen ăn liền vị miso 90g*5</v>
          </cell>
          <cell r="R1186">
            <v>99000</v>
          </cell>
          <cell r="S1186">
            <v>1</v>
          </cell>
          <cell r="T1186">
            <v>99000</v>
          </cell>
          <cell r="U1186">
            <v>44550</v>
          </cell>
          <cell r="V1186">
            <v>54450</v>
          </cell>
          <cell r="W1186" t="str">
            <v>4979397000145</v>
          </cell>
        </row>
        <row r="1187">
          <cell r="A1187">
            <v>2026</v>
          </cell>
          <cell r="B1187">
            <v>5</v>
          </cell>
          <cell r="C1187">
            <v>46158</v>
          </cell>
          <cell r="D1187" t="str">
            <v>1. SKK store</v>
          </cell>
          <cell r="E1187" t="str">
            <v>S1015</v>
          </cell>
          <cell r="F1187" t="str">
            <v>SKK Hàm Nghi</v>
          </cell>
          <cell r="G1187" t="str">
            <v>0986324504</v>
          </cell>
          <cell r="H1187" t="str">
            <v>chị hà</v>
          </cell>
          <cell r="I1187" t="str">
            <v>Khách mới</v>
          </cell>
          <cell r="J1187" t="str">
            <v>Đơn bán</v>
          </cell>
          <cell r="K1187" t="str">
            <v>SAKUKO778444</v>
          </cell>
          <cell r="L1187" t="str">
            <v>CHĂM SÓC SẮC ĐẸP</v>
          </cell>
          <cell r="M1187" t="str">
            <v>CHĂM SÓC DA</v>
          </cell>
          <cell r="N1187" t="str">
            <v>KEM DƯỠNG</v>
          </cell>
          <cell r="O1187" t="str">
            <v>102384</v>
          </cell>
          <cell r="P1187" t="str">
            <v>4902468820014</v>
          </cell>
          <cell r="Q1187" t="str">
            <v>MEISHOKU- Kem gel dưỡng ẩm phục hồi chuyên sâu 50g</v>
          </cell>
          <cell r="R1187">
            <v>575000</v>
          </cell>
          <cell r="S1187">
            <v>1</v>
          </cell>
          <cell r="T1187">
            <v>575000</v>
          </cell>
          <cell r="U1187">
            <v>0</v>
          </cell>
          <cell r="V1187">
            <v>575000</v>
          </cell>
          <cell r="W1187" t="str">
            <v>4902468820014</v>
          </cell>
        </row>
        <row r="1188">
          <cell r="A1188">
            <v>2026</v>
          </cell>
          <cell r="B1188">
            <v>5</v>
          </cell>
          <cell r="C1188">
            <v>46158</v>
          </cell>
          <cell r="D1188" t="str">
            <v>1. SKK store</v>
          </cell>
          <cell r="E1188" t="str">
            <v>S1015</v>
          </cell>
          <cell r="F1188" t="str">
            <v>SKK Hàm Nghi</v>
          </cell>
          <cell r="G1188" t="str">
            <v>0986324504</v>
          </cell>
          <cell r="H1188" t="str">
            <v>chị hà</v>
          </cell>
          <cell r="I1188" t="str">
            <v>Khách mới</v>
          </cell>
          <cell r="J1188" t="str">
            <v>Đơn bán</v>
          </cell>
          <cell r="K1188" t="str">
            <v>SAKUKO778444</v>
          </cell>
          <cell r="L1188" t="str">
            <v>CHĂM SÓC SẮC ĐẸP</v>
          </cell>
          <cell r="M1188" t="str">
            <v>CHĂM SÓC DA</v>
          </cell>
          <cell r="N1188" t="str">
            <v>KEM DƯỠNG</v>
          </cell>
          <cell r="O1188" t="str">
            <v>102420</v>
          </cell>
          <cell r="P1188" t="str">
            <v>4902468820007</v>
          </cell>
          <cell r="Q1188" t="str">
            <v>MEISHOKU- Tinh chất dưỡng ẩm chuyên sâu 30ml</v>
          </cell>
          <cell r="R1188">
            <v>555000</v>
          </cell>
          <cell r="S1188">
            <v>1</v>
          </cell>
          <cell r="T1188">
            <v>555000</v>
          </cell>
          <cell r="U1188">
            <v>0</v>
          </cell>
          <cell r="V1188">
            <v>555000</v>
          </cell>
          <cell r="W1188" t="str">
            <v>4902468820007</v>
          </cell>
        </row>
        <row r="1189">
          <cell r="A1189">
            <v>2026</v>
          </cell>
          <cell r="B1189">
            <v>5</v>
          </cell>
          <cell r="C1189">
            <v>46158</v>
          </cell>
          <cell r="D1189" t="str">
            <v>1. SKK store</v>
          </cell>
          <cell r="E1189" t="str">
            <v>S1018</v>
          </cell>
          <cell r="F1189" t="str">
            <v>SKK Nguyễn Tuân</v>
          </cell>
          <cell r="G1189" t="str">
            <v>0983293464</v>
          </cell>
          <cell r="H1189" t="str">
            <v>Chị HÀ</v>
          </cell>
          <cell r="I1189" t="str">
            <v>Khách cũ</v>
          </cell>
          <cell r="J1189" t="str">
            <v>Đơn bán</v>
          </cell>
          <cell r="K1189" t="str">
            <v>SAKUKO778759</v>
          </cell>
          <cell r="L1189" t="str">
            <v>THỰC PHẨM</v>
          </cell>
          <cell r="M1189" t="str">
            <v>MỲ, MIẾN</v>
          </cell>
          <cell r="N1189" t="str">
            <v>MỲ ĂN LIỀN</v>
          </cell>
          <cell r="O1189" t="str">
            <v>154359</v>
          </cell>
          <cell r="P1189" t="str">
            <v>4979397000138</v>
          </cell>
          <cell r="Q1189" t="str">
            <v>YAMAMOTO- Mì ramen ăn liền hải sản thịt heo 88g*5</v>
          </cell>
          <cell r="R1189">
            <v>99000</v>
          </cell>
          <cell r="S1189">
            <v>1</v>
          </cell>
          <cell r="T1189">
            <v>99000</v>
          </cell>
          <cell r="U1189">
            <v>44550</v>
          </cell>
          <cell r="V1189">
            <v>54450</v>
          </cell>
          <cell r="W1189" t="str">
            <v>4979397000138</v>
          </cell>
        </row>
        <row r="1190">
          <cell r="A1190">
            <v>2026</v>
          </cell>
          <cell r="B1190">
            <v>5</v>
          </cell>
          <cell r="C1190">
            <v>46158</v>
          </cell>
          <cell r="D1190" t="str">
            <v>1. SKK store</v>
          </cell>
          <cell r="E1190" t="str">
            <v>S1025</v>
          </cell>
          <cell r="F1190" t="str">
            <v>SKK T6 Time City</v>
          </cell>
          <cell r="G1190" t="str">
            <v>0858682124</v>
          </cell>
          <cell r="H1190" t="str">
            <v>chị hiền</v>
          </cell>
          <cell r="I1190" t="str">
            <v>Khách cũ</v>
          </cell>
          <cell r="J1190" t="str">
            <v>Đơn bán</v>
          </cell>
          <cell r="K1190" t="str">
            <v>SAKUKO778046</v>
          </cell>
          <cell r="L1190" t="str">
            <v>THỰC PHẨM</v>
          </cell>
          <cell r="M1190" t="str">
            <v>MỲ, MIẾN</v>
          </cell>
          <cell r="N1190" t="str">
            <v>MỲ CHẾ BIẾN</v>
          </cell>
          <cell r="O1190" t="str">
            <v>175435</v>
          </cell>
          <cell r="P1190" t="str">
            <v>4901726014752</v>
          </cell>
          <cell r="Q1190" t="str">
            <v>ITSUKI FOODS- Mì soumen rau củ ngũ sắc320g</v>
          </cell>
          <cell r="R1190">
            <v>76000</v>
          </cell>
          <cell r="S1190">
            <v>1</v>
          </cell>
          <cell r="T1190">
            <v>76000</v>
          </cell>
          <cell r="U1190">
            <v>0</v>
          </cell>
          <cell r="V1190">
            <v>76000</v>
          </cell>
          <cell r="W1190" t="str">
            <v>4901726014752</v>
          </cell>
        </row>
        <row r="1191">
          <cell r="A1191">
            <v>2026</v>
          </cell>
          <cell r="B1191">
            <v>5</v>
          </cell>
          <cell r="C1191">
            <v>46158</v>
          </cell>
          <cell r="D1191" t="str">
            <v>1. SKK store</v>
          </cell>
          <cell r="E1191" t="str">
            <v>S1025</v>
          </cell>
          <cell r="F1191" t="str">
            <v>SKK T6 Time City</v>
          </cell>
          <cell r="G1191" t="str">
            <v>0948342587</v>
          </cell>
          <cell r="H1191" t="str">
            <v>cô thủy</v>
          </cell>
          <cell r="I1191" t="str">
            <v>Khách cũ</v>
          </cell>
          <cell r="J1191" t="str">
            <v>Đơn bán</v>
          </cell>
          <cell r="K1191" t="str">
            <v>SAKUKO778396</v>
          </cell>
          <cell r="L1191" t="str">
            <v>CHĂM SÓC SẮC ĐẸP</v>
          </cell>
          <cell r="M1191" t="str">
            <v>CHĂM SÓC DA</v>
          </cell>
          <cell r="N1191" t="str">
            <v>NƯỚC HOA HỒNG</v>
          </cell>
          <cell r="O1191" t="str">
            <v>102414</v>
          </cell>
          <cell r="P1191" t="str">
            <v>4902468816000</v>
          </cell>
          <cell r="Q1191" t="str">
            <v>MEISHOKU- Nước hoa hồng dưỡng trắng Cvita 150ml</v>
          </cell>
          <cell r="R1191">
            <v>455000</v>
          </cell>
          <cell r="S1191">
            <v>1</v>
          </cell>
          <cell r="T1191">
            <v>455000</v>
          </cell>
          <cell r="U1191">
            <v>0</v>
          </cell>
          <cell r="V1191">
            <v>455000</v>
          </cell>
          <cell r="W1191" t="str">
            <v>4902468816000</v>
          </cell>
        </row>
        <row r="1192">
          <cell r="A1192">
            <v>2026</v>
          </cell>
          <cell r="B1192">
            <v>5</v>
          </cell>
          <cell r="C1192">
            <v>46158</v>
          </cell>
          <cell r="D1192" t="str">
            <v>1. SKK store</v>
          </cell>
          <cell r="E1192" t="str">
            <v>S1025</v>
          </cell>
          <cell r="F1192" t="str">
            <v>SKK T6 Time City</v>
          </cell>
          <cell r="G1192" t="str">
            <v>0971906460</v>
          </cell>
          <cell r="H1192" t="str">
            <v>Anh Sơn</v>
          </cell>
          <cell r="I1192" t="str">
            <v>Khách mới</v>
          </cell>
          <cell r="J1192" t="str">
            <v>Đơn bán</v>
          </cell>
          <cell r="K1192" t="str">
            <v>SAKUKO779061</v>
          </cell>
          <cell r="L1192" t="str">
            <v>ĐỒ CHO MẸ BÉ</v>
          </cell>
          <cell r="M1192" t="str">
            <v>GIẤY ƯỚT</v>
          </cell>
          <cell r="N1192" t="str">
            <v>GIẤY ƯỚT CHO BÉ</v>
          </cell>
          <cell r="O1192" t="str">
            <v>121662</v>
          </cell>
          <cell r="P1192" t="str">
            <v>8934755035036</v>
          </cell>
          <cell r="Q1192" t="str">
            <v>FRESSI- Khăn ướt Care For All 20 miếng</v>
          </cell>
          <cell r="R1192">
            <v>14000</v>
          </cell>
          <cell r="S1192">
            <v>1</v>
          </cell>
          <cell r="T1192">
            <v>14000</v>
          </cell>
          <cell r="U1192">
            <v>0</v>
          </cell>
          <cell r="V1192">
            <v>14000</v>
          </cell>
          <cell r="W1192" t="str">
            <v>8934755035036</v>
          </cell>
        </row>
        <row r="1193">
          <cell r="A1193">
            <v>2026</v>
          </cell>
          <cell r="B1193">
            <v>5</v>
          </cell>
          <cell r="C1193">
            <v>46157</v>
          </cell>
          <cell r="D1193" t="str">
            <v>1. SKK store</v>
          </cell>
          <cell r="E1193" t="str">
            <v>S1004</v>
          </cell>
          <cell r="F1193" t="str">
            <v>SKK  Mandarin C1</v>
          </cell>
          <cell r="G1193" t="str">
            <v>0904202629</v>
          </cell>
          <cell r="H1193" t="str">
            <v>C. Thuý</v>
          </cell>
          <cell r="I1193" t="str">
            <v>Khách cũ</v>
          </cell>
          <cell r="J1193" t="str">
            <v>Đơn bán</v>
          </cell>
          <cell r="K1193" t="str">
            <v>SAKUKO777096</v>
          </cell>
          <cell r="L1193" t="str">
            <v>CHĂM SÓC SẮC ĐẸP</v>
          </cell>
          <cell r="M1193" t="str">
            <v>CHĂM SÓC DA</v>
          </cell>
          <cell r="N1193" t="str">
            <v>RỬA MẶT</v>
          </cell>
          <cell r="O1193" t="str">
            <v>230269</v>
          </cell>
          <cell r="P1193" t="str">
            <v>4987241173242</v>
          </cell>
          <cell r="Q1193" t="str">
            <v>ROHTO- SRM Melano CC mờ thâm nám (130g)</v>
          </cell>
          <cell r="R1193">
            <v>294000</v>
          </cell>
          <cell r="S1193">
            <v>1</v>
          </cell>
          <cell r="T1193">
            <v>294000</v>
          </cell>
          <cell r="U1193">
            <v>0</v>
          </cell>
          <cell r="V1193">
            <v>294000</v>
          </cell>
          <cell r="W1193" t="str">
            <v>4987241173242</v>
          </cell>
        </row>
        <row r="1194">
          <cell r="A1194">
            <v>2026</v>
          </cell>
          <cell r="B1194">
            <v>5</v>
          </cell>
          <cell r="C1194">
            <v>46157</v>
          </cell>
          <cell r="D1194" t="str">
            <v>1. SKK store</v>
          </cell>
          <cell r="E1194" t="str">
            <v>S1004</v>
          </cell>
          <cell r="F1194" t="str">
            <v>SKK  Mandarin C1</v>
          </cell>
          <cell r="G1194" t="str">
            <v>0961552246</v>
          </cell>
          <cell r="H1194" t="str">
            <v>C Linh</v>
          </cell>
          <cell r="I1194" t="str">
            <v>Khách cũ</v>
          </cell>
          <cell r="J1194" t="str">
            <v>Đơn bán</v>
          </cell>
          <cell r="K1194" t="str">
            <v>SAKUKO776894</v>
          </cell>
          <cell r="L1194" t="str">
            <v>ĐỒ CHO MẸ BÉ</v>
          </cell>
          <cell r="M1194" t="str">
            <v>CHĂM SÓC CƠ THỂ BÉ</v>
          </cell>
          <cell r="N1194" t="str">
            <v>THỰC PHẨM CHỨC NĂNG CHO BÉ</v>
          </cell>
          <cell r="O1194" t="str">
            <v>121673</v>
          </cell>
          <cell r="P1194" t="str">
            <v>3830056330328</v>
          </cell>
          <cell r="Q1194" t="str">
            <v>LINEABON- TPBVSK Vitamin K2 + D3 Drop 10ml</v>
          </cell>
          <cell r="R1194">
            <v>295000</v>
          </cell>
          <cell r="S1194">
            <v>1</v>
          </cell>
          <cell r="T1194">
            <v>295000</v>
          </cell>
          <cell r="U1194">
            <v>0</v>
          </cell>
          <cell r="V1194">
            <v>295000</v>
          </cell>
          <cell r="W1194" t="str">
            <v>3830056330328</v>
          </cell>
        </row>
        <row r="1195">
          <cell r="A1195">
            <v>2026</v>
          </cell>
          <cell r="B1195">
            <v>5</v>
          </cell>
          <cell r="C1195">
            <v>46157</v>
          </cell>
          <cell r="D1195" t="str">
            <v>1. SKK store</v>
          </cell>
          <cell r="E1195" t="str">
            <v>S1005</v>
          </cell>
          <cell r="F1195" t="str">
            <v>SKK  Thái Hà</v>
          </cell>
          <cell r="G1195" t="str">
            <v>0989998586</v>
          </cell>
          <cell r="H1195" t="str">
            <v>Anh Hung</v>
          </cell>
          <cell r="I1195" t="str">
            <v>Khách cũ</v>
          </cell>
          <cell r="J1195" t="str">
            <v>Đơn bán</v>
          </cell>
          <cell r="K1195" t="str">
            <v>SAKUKO777023</v>
          </cell>
          <cell r="L1195" t="str">
            <v>THỰC PHẨM</v>
          </cell>
          <cell r="M1195" t="str">
            <v>BÁNH KẸO, ĐỒ ĂN VẶT</v>
          </cell>
          <cell r="N1195" t="str">
            <v>KẸO CAO SU</v>
          </cell>
          <cell r="O1195" t="str">
            <v>153932</v>
          </cell>
          <cell r="P1195" t="str">
            <v>4903333241651</v>
          </cell>
          <cell r="Q1195" t="str">
            <v>LOTTE - Kẹo cao su black black ít đường 133g</v>
          </cell>
          <cell r="R1195">
            <v>235000</v>
          </cell>
          <cell r="S1195">
            <v>1</v>
          </cell>
          <cell r="T1195">
            <v>235000</v>
          </cell>
          <cell r="U1195">
            <v>0</v>
          </cell>
          <cell r="V1195">
            <v>235000</v>
          </cell>
          <cell r="W1195" t="str">
            <v>4903333241651</v>
          </cell>
        </row>
        <row r="1196">
          <cell r="A1196">
            <v>2026</v>
          </cell>
          <cell r="B1196">
            <v>5</v>
          </cell>
          <cell r="C1196">
            <v>46157</v>
          </cell>
          <cell r="D1196" t="str">
            <v>1. SKK store</v>
          </cell>
          <cell r="E1196" t="str">
            <v>S1006</v>
          </cell>
          <cell r="F1196" t="str">
            <v>SKK Trần Đăng Ninh</v>
          </cell>
          <cell r="G1196" t="str">
            <v>0366259645</v>
          </cell>
          <cell r="H1196" t="str">
            <v>CHị Lý</v>
          </cell>
          <cell r="I1196" t="str">
            <v>Khách cũ</v>
          </cell>
          <cell r="J1196" t="str">
            <v>Đơn bán</v>
          </cell>
          <cell r="K1196" t="str">
            <v>SAKUKO777521</v>
          </cell>
          <cell r="L1196" t="str">
            <v>CHĂM SÓC SẮC ĐẸP</v>
          </cell>
          <cell r="M1196" t="str">
            <v>CHĂM SÓC DA</v>
          </cell>
          <cell r="N1196" t="str">
            <v>RỬA MẶT</v>
          </cell>
          <cell r="O1196" t="str">
            <v>230269</v>
          </cell>
          <cell r="P1196" t="str">
            <v>4987241173242</v>
          </cell>
          <cell r="Q1196" t="str">
            <v>ROHTO- SRM Melano CC mờ thâm nám (130g)</v>
          </cell>
          <cell r="R1196">
            <v>294000</v>
          </cell>
          <cell r="S1196">
            <v>1</v>
          </cell>
          <cell r="T1196">
            <v>294000</v>
          </cell>
          <cell r="U1196">
            <v>35000</v>
          </cell>
          <cell r="V1196">
            <v>259000</v>
          </cell>
          <cell r="W1196" t="str">
            <v>4987241173242</v>
          </cell>
        </row>
        <row r="1197">
          <cell r="A1197">
            <v>2026</v>
          </cell>
          <cell r="B1197">
            <v>5</v>
          </cell>
          <cell r="C1197">
            <v>46157</v>
          </cell>
          <cell r="D1197" t="str">
            <v>1. SKK store</v>
          </cell>
          <cell r="E1197" t="str">
            <v>S1006</v>
          </cell>
          <cell r="F1197" t="str">
            <v>SKK Trần Đăng Ninh</v>
          </cell>
          <cell r="G1197" t="str">
            <v>0949223888</v>
          </cell>
          <cell r="H1197" t="str">
            <v>cô thủy</v>
          </cell>
          <cell r="I1197" t="str">
            <v>Khách mới</v>
          </cell>
          <cell r="J1197" t="str">
            <v>Đơn bán</v>
          </cell>
          <cell r="K1197" t="str">
            <v>SAKUKO777125</v>
          </cell>
          <cell r="L1197" t="str">
            <v>THỰC PHẨM</v>
          </cell>
          <cell r="M1197" t="str">
            <v>BÁNH KẸO, ĐỒ ĂN VẶT</v>
          </cell>
          <cell r="N1197" t="str">
            <v>KẸO CAO SU</v>
          </cell>
          <cell r="O1197" t="str">
            <v>231377</v>
          </cell>
          <cell r="P1197" t="str">
            <v>4903333200375</v>
          </cell>
          <cell r="Q1197" t="str">
            <v>LOTTE-Kẹo cao su tổng hợp dạng lọ 114g</v>
          </cell>
          <cell r="R1197">
            <v>235000</v>
          </cell>
          <cell r="S1197">
            <v>1</v>
          </cell>
          <cell r="T1197">
            <v>235000</v>
          </cell>
          <cell r="U1197">
            <v>0</v>
          </cell>
          <cell r="V1197">
            <v>235000</v>
          </cell>
          <cell r="W1197" t="str">
            <v>4903333200375</v>
          </cell>
        </row>
        <row r="1198">
          <cell r="A1198">
            <v>2026</v>
          </cell>
          <cell r="B1198">
            <v>5</v>
          </cell>
          <cell r="C1198">
            <v>46157</v>
          </cell>
          <cell r="D1198" t="str">
            <v>1. SKK store</v>
          </cell>
          <cell r="E1198" t="str">
            <v>S1006</v>
          </cell>
          <cell r="F1198" t="str">
            <v>SKK Trần Đăng Ninh</v>
          </cell>
          <cell r="G1198" t="str">
            <v>0965532899</v>
          </cell>
          <cell r="H1198" t="str">
            <v>a bình</v>
          </cell>
          <cell r="I1198" t="str">
            <v>Khách cũ</v>
          </cell>
          <cell r="J1198" t="str">
            <v>Đơn bán</v>
          </cell>
          <cell r="K1198" t="str">
            <v>SAKUKO776934</v>
          </cell>
          <cell r="L1198" t="str">
            <v>THỰC PHẨM</v>
          </cell>
          <cell r="M1198" t="str">
            <v>BÁNH KẸO, ĐỒ ĂN VẶT</v>
          </cell>
          <cell r="N1198" t="str">
            <v>KẸO CAO SU</v>
          </cell>
          <cell r="O1198" t="str">
            <v>231376</v>
          </cell>
          <cell r="P1198" t="str">
            <v>4903333228577</v>
          </cell>
          <cell r="Q1198" t="str">
            <v>LOTTE-Kẹo cao su tổng hợp 7 loại dạng lọ 133g</v>
          </cell>
          <cell r="R1198">
            <v>235000</v>
          </cell>
          <cell r="S1198">
            <v>3</v>
          </cell>
          <cell r="T1198">
            <v>705000</v>
          </cell>
          <cell r="U1198">
            <v>0</v>
          </cell>
          <cell r="V1198">
            <v>705000</v>
          </cell>
          <cell r="W1198" t="str">
            <v>4903333228577</v>
          </cell>
        </row>
        <row r="1199">
          <cell r="A1199">
            <v>2026</v>
          </cell>
          <cell r="B1199">
            <v>5</v>
          </cell>
          <cell r="C1199">
            <v>46157</v>
          </cell>
          <cell r="D1199" t="str">
            <v>1. SKK store</v>
          </cell>
          <cell r="E1199" t="str">
            <v>S1007</v>
          </cell>
          <cell r="F1199" t="str">
            <v>SKK  Nguyễn Du</v>
          </cell>
          <cell r="G1199" t="str">
            <v>0988091948</v>
          </cell>
          <cell r="H1199" t="str">
            <v>CHỊ LÊ LAN HƯƠNG</v>
          </cell>
          <cell r="I1199" t="str">
            <v>Khách cũ</v>
          </cell>
          <cell r="J1199" t="str">
            <v>Đơn bán</v>
          </cell>
          <cell r="K1199" t="str">
            <v>SAKUKO777452</v>
          </cell>
          <cell r="L1199" t="str">
            <v>ĐỒ CHO MẸ BÉ</v>
          </cell>
          <cell r="M1199" t="str">
            <v>GIẤY ƯỚT</v>
          </cell>
          <cell r="N1199" t="str">
            <v>GIẤY ƯỚT CHO BÉ</v>
          </cell>
          <cell r="O1199" t="str">
            <v>121665</v>
          </cell>
          <cell r="P1199" t="str">
            <v>8934755035289</v>
          </cell>
          <cell r="Q1199" t="str">
            <v>BOBBY- Khăn ướt em bé không mùi 100 miếng</v>
          </cell>
          <cell r="R1199">
            <v>46000</v>
          </cell>
          <cell r="S1199">
            <v>1</v>
          </cell>
          <cell r="T1199">
            <v>46000</v>
          </cell>
          <cell r="U1199">
            <v>0</v>
          </cell>
          <cell r="V1199">
            <v>46000</v>
          </cell>
          <cell r="W1199" t="str">
            <v>8934755035289</v>
          </cell>
        </row>
        <row r="1200">
          <cell r="A1200">
            <v>2026</v>
          </cell>
          <cell r="B1200">
            <v>5</v>
          </cell>
          <cell r="C1200">
            <v>46157</v>
          </cell>
          <cell r="D1200" t="str">
            <v>1. SKK store</v>
          </cell>
          <cell r="E1200" t="str">
            <v>S1007</v>
          </cell>
          <cell r="F1200" t="str">
            <v>SKK  Nguyễn Du</v>
          </cell>
          <cell r="G1200" t="str">
            <v>0988091948</v>
          </cell>
          <cell r="H1200" t="str">
            <v>CHỊ LÊ LAN HƯƠNG</v>
          </cell>
          <cell r="I1200" t="str">
            <v>Khách cũ</v>
          </cell>
          <cell r="J1200" t="str">
            <v>Đơn bán</v>
          </cell>
          <cell r="K1200" t="str">
            <v>SAKUKO777452</v>
          </cell>
          <cell r="L1200" t="str">
            <v>ĐỒ CHO MẸ BÉ</v>
          </cell>
          <cell r="M1200" t="str">
            <v>GIẤY ƯỚT</v>
          </cell>
          <cell r="N1200" t="str">
            <v>GIẤY ƯỚT CHO BÉ</v>
          </cell>
          <cell r="O1200" t="str">
            <v>121677</v>
          </cell>
          <cell r="P1200" t="str">
            <v>8801260608836</v>
          </cell>
          <cell r="Q1200" t="str">
            <v>KLEANNARA- Khăn ướt 5 tinh chất (có nắp) 100 tờ</v>
          </cell>
          <cell r="R1200">
            <v>52000</v>
          </cell>
          <cell r="S1200">
            <v>1</v>
          </cell>
          <cell r="T1200">
            <v>52000</v>
          </cell>
          <cell r="U1200">
            <v>0</v>
          </cell>
          <cell r="V1200">
            <v>52000</v>
          </cell>
          <cell r="W1200" t="str">
            <v>8801260608836</v>
          </cell>
        </row>
        <row r="1201">
          <cell r="A1201">
            <v>2026</v>
          </cell>
          <cell r="B1201">
            <v>5</v>
          </cell>
          <cell r="C1201">
            <v>46157</v>
          </cell>
          <cell r="D1201" t="str">
            <v>1. SKK store</v>
          </cell>
          <cell r="E1201" t="str">
            <v>S1008</v>
          </cell>
          <cell r="F1201" t="str">
            <v>SKK  Hàng Bông</v>
          </cell>
          <cell r="G1201" t="str">
            <v>0904519003</v>
          </cell>
          <cell r="H1201" t="str">
            <v>Anh Quân</v>
          </cell>
          <cell r="I1201" t="str">
            <v>Khách cũ</v>
          </cell>
          <cell r="J1201" t="str">
            <v>Đơn bán</v>
          </cell>
          <cell r="K1201" t="str">
            <v>SAKUKO777770</v>
          </cell>
          <cell r="L1201" t="str">
            <v>ĐỒ CHO MẸ BÉ</v>
          </cell>
          <cell r="M1201" t="str">
            <v>GIẤY ƯỚT</v>
          </cell>
          <cell r="N1201" t="str">
            <v>GIẤY ƯỚT CHO BÉ</v>
          </cell>
          <cell r="O1201" t="str">
            <v>121662</v>
          </cell>
          <cell r="P1201" t="str">
            <v>8934755035036</v>
          </cell>
          <cell r="Q1201" t="str">
            <v>FRESSI- Khăn ướt Care For All 20 miếng</v>
          </cell>
          <cell r="R1201">
            <v>14000</v>
          </cell>
          <cell r="S1201">
            <v>1</v>
          </cell>
          <cell r="T1201">
            <v>14000</v>
          </cell>
          <cell r="U1201">
            <v>0</v>
          </cell>
          <cell r="V1201">
            <v>14000</v>
          </cell>
          <cell r="W1201" t="str">
            <v>8934755035036</v>
          </cell>
        </row>
        <row r="1202">
          <cell r="A1202">
            <v>2026</v>
          </cell>
          <cell r="B1202">
            <v>5</v>
          </cell>
          <cell r="C1202">
            <v>46157</v>
          </cell>
          <cell r="D1202" t="str">
            <v>1. SKK store</v>
          </cell>
          <cell r="E1202" t="str">
            <v>S1008</v>
          </cell>
          <cell r="F1202" t="str">
            <v>SKK  Hàng Bông</v>
          </cell>
          <cell r="G1202" t="str">
            <v>0974278366</v>
          </cell>
          <cell r="H1202" t="str">
            <v>Anh Bình</v>
          </cell>
          <cell r="I1202" t="str">
            <v>Khách cũ</v>
          </cell>
          <cell r="J1202" t="str">
            <v>Đơn bán</v>
          </cell>
          <cell r="K1202" t="str">
            <v>SAKUKO776906</v>
          </cell>
          <cell r="L1202" t="str">
            <v>ĐỒ CHO MẸ BÉ</v>
          </cell>
          <cell r="M1202" t="str">
            <v>GIẤY ƯỚT</v>
          </cell>
          <cell r="N1202" t="str">
            <v>GIẤY ƯỚT CHO BÉ</v>
          </cell>
          <cell r="O1202" t="str">
            <v>121663</v>
          </cell>
          <cell r="P1202" t="str">
            <v>8934755035197</v>
          </cell>
          <cell r="Q1202" t="str">
            <v>FRESSI- Khăn ướt Care For All 100 miếng</v>
          </cell>
          <cell r="R1202">
            <v>49000</v>
          </cell>
          <cell r="S1202">
            <v>1</v>
          </cell>
          <cell r="T1202">
            <v>49000</v>
          </cell>
          <cell r="U1202">
            <v>0</v>
          </cell>
          <cell r="V1202">
            <v>49000</v>
          </cell>
          <cell r="W1202" t="str">
            <v>8934755035197</v>
          </cell>
        </row>
        <row r="1203">
          <cell r="A1203">
            <v>2026</v>
          </cell>
          <cell r="B1203">
            <v>5</v>
          </cell>
          <cell r="C1203">
            <v>46157</v>
          </cell>
          <cell r="D1203" t="str">
            <v>1. SKK store</v>
          </cell>
          <cell r="E1203" t="str">
            <v>S1008</v>
          </cell>
          <cell r="F1203" t="str">
            <v>SKK  Hàng Bông</v>
          </cell>
          <cell r="G1203" t="str">
            <v>0982340287</v>
          </cell>
          <cell r="H1203" t="str">
            <v>chị vân anh</v>
          </cell>
          <cell r="I1203" t="str">
            <v>Khách mới</v>
          </cell>
          <cell r="J1203" t="str">
            <v>Đơn bán</v>
          </cell>
          <cell r="K1203" t="str">
            <v>SAKUKO777514</v>
          </cell>
          <cell r="L1203" t="str">
            <v>CHĂM SÓC SẮC ĐẸP</v>
          </cell>
          <cell r="M1203" t="str">
            <v>CHĂM SÓC DA</v>
          </cell>
          <cell r="N1203" t="str">
            <v>CHĂM SÓC DA KHÁC</v>
          </cell>
          <cell r="O1203" t="str">
            <v>102388</v>
          </cell>
          <cell r="P1203" t="str">
            <v>8935006542914</v>
          </cell>
          <cell r="Q1203" t="str">
            <v>HADA LABO- Bộ sản phẩm dưỡng trắng (travel kit)47g</v>
          </cell>
          <cell r="R1203">
            <v>135000</v>
          </cell>
          <cell r="S1203">
            <v>1</v>
          </cell>
          <cell r="T1203">
            <v>135000</v>
          </cell>
          <cell r="U1203">
            <v>0</v>
          </cell>
          <cell r="V1203">
            <v>135000</v>
          </cell>
          <cell r="W1203" t="str">
            <v>8935006542914</v>
          </cell>
        </row>
        <row r="1204">
          <cell r="A1204">
            <v>2026</v>
          </cell>
          <cell r="B1204">
            <v>5</v>
          </cell>
          <cell r="C1204">
            <v>46157</v>
          </cell>
          <cell r="D1204" t="str">
            <v>1. SKK store</v>
          </cell>
          <cell r="E1204" t="str">
            <v>S1015</v>
          </cell>
          <cell r="F1204" t="str">
            <v>SKK Hàm Nghi</v>
          </cell>
          <cell r="G1204" t="str">
            <v>02422409595</v>
          </cell>
          <cell r="H1204" t="str">
            <v>klhn</v>
          </cell>
          <cell r="I1204" t="str">
            <v>Khách vãng lai</v>
          </cell>
          <cell r="J1204" t="str">
            <v>Đơn bán</v>
          </cell>
          <cell r="K1204" t="str">
            <v>SAKUKO777277</v>
          </cell>
          <cell r="L1204" t="str">
            <v>NHÀ CỬA ĐỜI SỐNG</v>
          </cell>
          <cell r="M1204" t="str">
            <v>ĐỒ DÙNG SINH HOẠT GIA ĐÌNH</v>
          </cell>
          <cell r="N1204" t="str">
            <v>VẬT DỤNG SINH HOẠT KHÁC</v>
          </cell>
          <cell r="O1204" t="str">
            <v>135039</v>
          </cell>
          <cell r="P1204" t="str">
            <v>4968988074993</v>
          </cell>
          <cell r="Q1204" t="str">
            <v>OMAICHI- Set 2 lọ chiết mỹ phẩm 40ml kèm hộp đựng</v>
          </cell>
          <cell r="R1204">
            <v>52000</v>
          </cell>
          <cell r="S1204">
            <v>1</v>
          </cell>
          <cell r="T1204">
            <v>52000</v>
          </cell>
          <cell r="U1204">
            <v>0</v>
          </cell>
          <cell r="V1204">
            <v>52000</v>
          </cell>
          <cell r="W1204" t="str">
            <v>4968988074993</v>
          </cell>
        </row>
        <row r="1205">
          <cell r="A1205">
            <v>2026</v>
          </cell>
          <cell r="B1205">
            <v>5</v>
          </cell>
          <cell r="C1205">
            <v>46157</v>
          </cell>
          <cell r="D1205" t="str">
            <v>1. SKK store</v>
          </cell>
          <cell r="E1205" t="str">
            <v>S1018</v>
          </cell>
          <cell r="F1205" t="str">
            <v>SKK Nguyễn Tuân</v>
          </cell>
          <cell r="G1205" t="str">
            <v>0867685239</v>
          </cell>
          <cell r="H1205" t="str">
            <v>chị kim anh</v>
          </cell>
          <cell r="I1205" t="str">
            <v>Khách cũ</v>
          </cell>
          <cell r="J1205" t="str">
            <v>Đơn bán</v>
          </cell>
          <cell r="K1205" t="str">
            <v>SAKUKO776997</v>
          </cell>
          <cell r="L1205" t="str">
            <v>THỰC PHẨM</v>
          </cell>
          <cell r="M1205" t="str">
            <v>MỲ, MIẾN</v>
          </cell>
          <cell r="N1205" t="str">
            <v>MỲ ĂN LIỀN</v>
          </cell>
          <cell r="O1205" t="str">
            <v>154359</v>
          </cell>
          <cell r="P1205" t="str">
            <v>4979397000138</v>
          </cell>
          <cell r="Q1205" t="str">
            <v>YAMAMOTO- Mì ramen ăn liền hải sản thịt heo 88g*5</v>
          </cell>
          <cell r="R1205">
            <v>99000</v>
          </cell>
          <cell r="S1205">
            <v>1</v>
          </cell>
          <cell r="T1205">
            <v>99000</v>
          </cell>
          <cell r="U1205">
            <v>44550</v>
          </cell>
          <cell r="V1205">
            <v>54450</v>
          </cell>
          <cell r="W1205" t="str">
            <v>4979397000138</v>
          </cell>
        </row>
        <row r="1206">
          <cell r="A1206">
            <v>2026</v>
          </cell>
          <cell r="B1206">
            <v>5</v>
          </cell>
          <cell r="C1206">
            <v>46157</v>
          </cell>
          <cell r="D1206" t="str">
            <v>1. SKK store</v>
          </cell>
          <cell r="E1206" t="str">
            <v>S1018</v>
          </cell>
          <cell r="F1206" t="str">
            <v>SKK Nguyễn Tuân</v>
          </cell>
          <cell r="G1206" t="str">
            <v>0989099708</v>
          </cell>
          <cell r="H1206" t="str">
            <v>Chị Nguyễn Thu Hương</v>
          </cell>
          <cell r="I1206" t="str">
            <v>Khách cũ</v>
          </cell>
          <cell r="J1206" t="str">
            <v>Đơn bán</v>
          </cell>
          <cell r="K1206" t="str">
            <v>SAKUKO777167</v>
          </cell>
          <cell r="L1206" t="str">
            <v>NHÀ CỬA ĐỜI SỐNG</v>
          </cell>
          <cell r="M1206" t="str">
            <v>PHÒNG CHỐNG CÔN TRÙNG</v>
          </cell>
          <cell r="N1206" t="str">
            <v>DIỆT CÔN TRÙNG</v>
          </cell>
          <cell r="O1206" t="str">
            <v>134479</v>
          </cell>
          <cell r="P1206" t="str">
            <v>4987115545892</v>
          </cell>
          <cell r="Q1206" t="str">
            <v>KINCHO-DD làm thơm phòng và đuổi muỗi Hoa SIBERIAN</v>
          </cell>
          <cell r="R1206">
            <v>239000</v>
          </cell>
          <cell r="S1206">
            <v>1</v>
          </cell>
          <cell r="T1206">
            <v>239000</v>
          </cell>
          <cell r="U1206">
            <v>11950</v>
          </cell>
          <cell r="V1206">
            <v>227050</v>
          </cell>
          <cell r="W1206" t="str">
            <v>4987115545892</v>
          </cell>
        </row>
        <row r="1207">
          <cell r="A1207">
            <v>2026</v>
          </cell>
          <cell r="B1207">
            <v>5</v>
          </cell>
          <cell r="C1207">
            <v>46157</v>
          </cell>
          <cell r="D1207" t="str">
            <v>1. SKK store</v>
          </cell>
          <cell r="E1207" t="str">
            <v>S1018</v>
          </cell>
          <cell r="F1207" t="str">
            <v>SKK Nguyễn Tuân</v>
          </cell>
          <cell r="G1207" t="str">
            <v>0989099708</v>
          </cell>
          <cell r="H1207" t="str">
            <v>Chị Nguyễn Thu Hương</v>
          </cell>
          <cell r="I1207" t="str">
            <v>Khách cũ</v>
          </cell>
          <cell r="J1207" t="str">
            <v>Đơn bán</v>
          </cell>
          <cell r="K1207" t="str">
            <v>SAKUKO777167</v>
          </cell>
          <cell r="L1207" t="str">
            <v>NHÀ CỬA ĐỜI SỐNG</v>
          </cell>
          <cell r="M1207" t="str">
            <v>PHÒNG CHỐNG CÔN TRÙNG</v>
          </cell>
          <cell r="N1207" t="str">
            <v>DIỆT CÔN TRÙNG</v>
          </cell>
          <cell r="O1207" t="str">
            <v>134480</v>
          </cell>
          <cell r="P1207" t="str">
            <v>4987115545885</v>
          </cell>
          <cell r="Q1207" t="str">
            <v>KINCHO-DD làm thơm phòng và đuổi muỗi (trái cây)</v>
          </cell>
          <cell r="R1207">
            <v>239000</v>
          </cell>
          <cell r="S1207">
            <v>2</v>
          </cell>
          <cell r="T1207">
            <v>478000</v>
          </cell>
          <cell r="U1207">
            <v>23900</v>
          </cell>
          <cell r="V1207">
            <v>454100</v>
          </cell>
          <cell r="W1207" t="str">
            <v>4987115545885</v>
          </cell>
        </row>
        <row r="1208">
          <cell r="A1208">
            <v>2026</v>
          </cell>
          <cell r="B1208">
            <v>5</v>
          </cell>
          <cell r="C1208">
            <v>46157</v>
          </cell>
          <cell r="D1208" t="str">
            <v>1. SKK store</v>
          </cell>
          <cell r="E1208" t="str">
            <v>S1025</v>
          </cell>
          <cell r="F1208" t="str">
            <v>SKK T6 Time City</v>
          </cell>
          <cell r="G1208" t="str">
            <v>0902282998</v>
          </cell>
          <cell r="H1208" t="str">
            <v>C Giang</v>
          </cell>
          <cell r="I1208" t="str">
            <v>Khách cũ</v>
          </cell>
          <cell r="J1208" t="str">
            <v>Đơn bán</v>
          </cell>
          <cell r="K1208" t="str">
            <v>SAKUKO777518</v>
          </cell>
          <cell r="L1208" t="str">
            <v>THỰC PHẨM</v>
          </cell>
          <cell r="M1208" t="str">
            <v>BÁNH KẸO, ĐỒ ĂN VẶT</v>
          </cell>
          <cell r="N1208" t="str">
            <v>KẸO CAO SU</v>
          </cell>
          <cell r="O1208" t="str">
            <v>231377</v>
          </cell>
          <cell r="P1208" t="str">
            <v>4903333200375</v>
          </cell>
          <cell r="Q1208" t="str">
            <v>LOTTE-Kẹo cao su tổng hợp dạng lọ 114g</v>
          </cell>
          <cell r="R1208">
            <v>235000</v>
          </cell>
          <cell r="S1208">
            <v>1</v>
          </cell>
          <cell r="T1208">
            <v>235000</v>
          </cell>
          <cell r="U1208">
            <v>0</v>
          </cell>
          <cell r="V1208">
            <v>235000</v>
          </cell>
          <cell r="W1208" t="str">
            <v>4903333200375</v>
          </cell>
        </row>
        <row r="1209">
          <cell r="A1209">
            <v>2026</v>
          </cell>
          <cell r="B1209">
            <v>5</v>
          </cell>
          <cell r="C1209">
            <v>46157</v>
          </cell>
          <cell r="D1209" t="str">
            <v>1. SKK store</v>
          </cell>
          <cell r="E1209" t="str">
            <v>S1025</v>
          </cell>
          <cell r="F1209" t="str">
            <v>SKK T6 Time City</v>
          </cell>
          <cell r="G1209" t="str">
            <v>0967569658</v>
          </cell>
          <cell r="H1209" t="str">
            <v>KLT6</v>
          </cell>
          <cell r="I1209" t="str">
            <v>Khách vãng lai</v>
          </cell>
          <cell r="J1209" t="str">
            <v>Đơn bán</v>
          </cell>
          <cell r="K1209" t="str">
            <v>SAKUKO777583</v>
          </cell>
          <cell r="L1209" t="str">
            <v>NHÀ CỬA ĐỜI SỐNG</v>
          </cell>
          <cell r="M1209" t="str">
            <v>KHĂN</v>
          </cell>
          <cell r="N1209" t="str">
            <v>KHĂN MẶT</v>
          </cell>
          <cell r="O1209" t="str">
            <v>102390</v>
          </cell>
          <cell r="P1209" t="str">
            <v>4906327905980</v>
          </cell>
          <cell r="Q1209" t="str">
            <v>KOMODA - Khăn mặt khô dùng 1 lần 46m 20x20cm</v>
          </cell>
          <cell r="R1209">
            <v>52000</v>
          </cell>
          <cell r="S1209">
            <v>1</v>
          </cell>
          <cell r="T1209">
            <v>52000</v>
          </cell>
          <cell r="U1209">
            <v>0</v>
          </cell>
          <cell r="V1209">
            <v>52000</v>
          </cell>
          <cell r="W1209" t="str">
            <v>4906327905980</v>
          </cell>
        </row>
        <row r="1210">
          <cell r="A1210">
            <v>2026</v>
          </cell>
          <cell r="B1210">
            <v>5</v>
          </cell>
          <cell r="C1210">
            <v>46157</v>
          </cell>
          <cell r="D1210" t="str">
            <v>1. SKK store</v>
          </cell>
          <cell r="E1210" t="str">
            <v>S1025</v>
          </cell>
          <cell r="F1210" t="str">
            <v>SKK T6 Time City</v>
          </cell>
          <cell r="G1210" t="str">
            <v>0983995399</v>
          </cell>
          <cell r="H1210" t="str">
            <v>Chị Uyên</v>
          </cell>
          <cell r="I1210" t="str">
            <v>Khách cũ</v>
          </cell>
          <cell r="J1210" t="str">
            <v>Đơn bán</v>
          </cell>
          <cell r="K1210" t="str">
            <v>SAKUKO777724</v>
          </cell>
          <cell r="L1210" t="str">
            <v>THỰC PHẨM</v>
          </cell>
          <cell r="M1210" t="str">
            <v>BÁNH KẸO, ĐỒ ĂN VẶT</v>
          </cell>
          <cell r="N1210" t="str">
            <v>KẸO CAO SU</v>
          </cell>
          <cell r="O1210" t="str">
            <v>231374</v>
          </cell>
          <cell r="P1210" t="str">
            <v>4547894156315</v>
          </cell>
          <cell r="Q1210" t="str">
            <v>CLORETS-Kẹo cao su hương vị 4 mùa 140g</v>
          </cell>
          <cell r="R1210">
            <v>235000</v>
          </cell>
          <cell r="S1210">
            <v>1</v>
          </cell>
          <cell r="T1210">
            <v>235000</v>
          </cell>
          <cell r="U1210">
            <v>0</v>
          </cell>
          <cell r="V1210">
            <v>235000</v>
          </cell>
          <cell r="W1210" t="str">
            <v>4547894156315</v>
          </cell>
        </row>
        <row r="1211">
          <cell r="A1211">
            <v>2026</v>
          </cell>
          <cell r="B1211">
            <v>5</v>
          </cell>
          <cell r="C1211">
            <v>46157</v>
          </cell>
          <cell r="D1211" t="str">
            <v>1. SKK store</v>
          </cell>
          <cell r="E1211" t="str">
            <v>S1025</v>
          </cell>
          <cell r="F1211" t="str">
            <v>SKK T6 Time City</v>
          </cell>
          <cell r="G1211" t="str">
            <v>0984382057</v>
          </cell>
          <cell r="H1211" t="str">
            <v>Lê Quang Hưng</v>
          </cell>
          <cell r="I1211" t="str">
            <v>Khách cũ</v>
          </cell>
          <cell r="J1211" t="str">
            <v>Đơn bán</v>
          </cell>
          <cell r="K1211" t="str">
            <v>SAKUKO777888</v>
          </cell>
          <cell r="L1211" t="str">
            <v>ĐỒ CHO MẸ BÉ</v>
          </cell>
          <cell r="M1211" t="str">
            <v>CHĂM SÓC CƠ THỂ BÉ</v>
          </cell>
          <cell r="N1211" t="str">
            <v>THỰC PHẨM CHỨC NĂNG CHO BÉ</v>
          </cell>
          <cell r="O1211" t="str">
            <v>121666</v>
          </cell>
          <cell r="P1211" t="str">
            <v>8436036591441</v>
          </cell>
          <cell r="Q1211" t="str">
            <v>NEO KIDS-TPBVSK Gummies Omega 3 DHA 150g</v>
          </cell>
          <cell r="R1211">
            <v>360000</v>
          </cell>
          <cell r="S1211">
            <v>1</v>
          </cell>
          <cell r="T1211">
            <v>360000</v>
          </cell>
          <cell r="U1211">
            <v>0</v>
          </cell>
          <cell r="V1211">
            <v>360000</v>
          </cell>
          <cell r="W1211" t="str">
            <v>8436036591441</v>
          </cell>
        </row>
        <row r="1212">
          <cell r="A1212">
            <v>2026</v>
          </cell>
          <cell r="B1212">
            <v>5</v>
          </cell>
          <cell r="C1212">
            <v>46156</v>
          </cell>
          <cell r="D1212" t="str">
            <v>1. SKK store</v>
          </cell>
          <cell r="E1212" t="str">
            <v>S1004</v>
          </cell>
          <cell r="F1212" t="str">
            <v>SKK  Mandarin C1</v>
          </cell>
          <cell r="G1212" t="str">
            <v>0966567222</v>
          </cell>
          <cell r="H1212" t="str">
            <v>Chị Xuân</v>
          </cell>
          <cell r="I1212" t="str">
            <v>Khách cũ</v>
          </cell>
          <cell r="J1212" t="str">
            <v>Đơn bán</v>
          </cell>
          <cell r="K1212" t="str">
            <v>SAKUKO775861</v>
          </cell>
          <cell r="L1212" t="str">
            <v>THỰC PHẨM</v>
          </cell>
          <cell r="M1212" t="str">
            <v>BÁNH KẸO, ĐỒ ĂN VẶT</v>
          </cell>
          <cell r="N1212" t="str">
            <v>KẸO CAO SU</v>
          </cell>
          <cell r="O1212" t="str">
            <v>154105</v>
          </cell>
          <cell r="P1212" t="str">
            <v>4547894156612</v>
          </cell>
          <cell r="Q1212" t="str">
            <v>MONDELEZ JAPAN - Kẹo cao su 112g</v>
          </cell>
          <cell r="R1212">
            <v>235000</v>
          </cell>
          <cell r="S1212">
            <v>1</v>
          </cell>
          <cell r="T1212">
            <v>235000</v>
          </cell>
          <cell r="U1212">
            <v>0</v>
          </cell>
          <cell r="V1212">
            <v>235000</v>
          </cell>
          <cell r="W1212" t="str">
            <v>4547894156612</v>
          </cell>
        </row>
        <row r="1213">
          <cell r="A1213">
            <v>2026</v>
          </cell>
          <cell r="B1213">
            <v>5</v>
          </cell>
          <cell r="C1213">
            <v>46156</v>
          </cell>
          <cell r="D1213" t="str">
            <v>1. SKK store</v>
          </cell>
          <cell r="E1213" t="str">
            <v>S1004</v>
          </cell>
          <cell r="F1213" t="str">
            <v>SKK  Mandarin C1</v>
          </cell>
          <cell r="G1213" t="str">
            <v>0974482042</v>
          </cell>
          <cell r="H1213" t="str">
            <v>anh Son</v>
          </cell>
          <cell r="I1213" t="str">
            <v>Khách cũ</v>
          </cell>
          <cell r="J1213" t="str">
            <v>Đơn bán</v>
          </cell>
          <cell r="K1213" t="str">
            <v>SAKUKO776065</v>
          </cell>
          <cell r="L1213" t="str">
            <v>ĐỒ CHO MẸ BÉ</v>
          </cell>
          <cell r="M1213" t="str">
            <v>CHĂM SÓC CƠ THỂ BÉ</v>
          </cell>
          <cell r="N1213" t="str">
            <v>THỰC PHẨM CHỨC NĂNG CHO BÉ</v>
          </cell>
          <cell r="O1213" t="str">
            <v>121673</v>
          </cell>
          <cell r="P1213" t="str">
            <v>3830056330328</v>
          </cell>
          <cell r="Q1213" t="str">
            <v>LINEABON- TPBVSK Vitamin K2 + D3 Drop 10ml</v>
          </cell>
          <cell r="R1213">
            <v>295000</v>
          </cell>
          <cell r="S1213">
            <v>1</v>
          </cell>
          <cell r="T1213">
            <v>295000</v>
          </cell>
          <cell r="U1213">
            <v>0</v>
          </cell>
          <cell r="V1213">
            <v>295000</v>
          </cell>
          <cell r="W1213" t="str">
            <v>3830056330328</v>
          </cell>
        </row>
        <row r="1214">
          <cell r="A1214">
            <v>2026</v>
          </cell>
          <cell r="B1214">
            <v>5</v>
          </cell>
          <cell r="C1214">
            <v>46156</v>
          </cell>
          <cell r="D1214" t="str">
            <v>1. SKK store</v>
          </cell>
          <cell r="E1214" t="str">
            <v>S1004</v>
          </cell>
          <cell r="F1214" t="str">
            <v>SKK  Mandarin C1</v>
          </cell>
          <cell r="G1214" t="str">
            <v>0983471878</v>
          </cell>
          <cell r="H1214" t="str">
            <v>Chị An Thu Hà</v>
          </cell>
          <cell r="I1214" t="str">
            <v>Khách cũ</v>
          </cell>
          <cell r="J1214" t="str">
            <v>Đơn bán</v>
          </cell>
          <cell r="K1214" t="str">
            <v>SAKUKO776795</v>
          </cell>
          <cell r="L1214" t="str">
            <v>THỰC PHẨM</v>
          </cell>
          <cell r="M1214" t="str">
            <v>MỲ, MIẾN</v>
          </cell>
          <cell r="N1214" t="str">
            <v>MỲ ĂN LIỀN</v>
          </cell>
          <cell r="O1214" t="str">
            <v>153693</v>
          </cell>
          <cell r="P1214" t="str">
            <v>4902881066440</v>
          </cell>
          <cell r="Q1214" t="str">
            <v>MYOJO- Mỳ ramen vị miso 5 gói</v>
          </cell>
          <cell r="R1214">
            <v>105000</v>
          </cell>
          <cell r="S1214">
            <v>1</v>
          </cell>
          <cell r="T1214">
            <v>105000</v>
          </cell>
          <cell r="U1214">
            <v>0</v>
          </cell>
          <cell r="V1214">
            <v>105000</v>
          </cell>
          <cell r="W1214" t="str">
            <v>4902881066440</v>
          </cell>
        </row>
        <row r="1215">
          <cell r="A1215">
            <v>2026</v>
          </cell>
          <cell r="B1215">
            <v>5</v>
          </cell>
          <cell r="C1215">
            <v>46156</v>
          </cell>
          <cell r="D1215" t="str">
            <v>1. SKK store</v>
          </cell>
          <cell r="E1215" t="str">
            <v>S1005</v>
          </cell>
          <cell r="F1215" t="str">
            <v>SKK  Thái Hà</v>
          </cell>
          <cell r="G1215" t="str">
            <v>0876339832</v>
          </cell>
          <cell r="H1215" t="str">
            <v>Anh HÀo</v>
          </cell>
          <cell r="I1215" t="str">
            <v>Khách mới</v>
          </cell>
          <cell r="J1215" t="str">
            <v>Đơn bán</v>
          </cell>
          <cell r="K1215" t="str">
            <v>SAKUKO775767</v>
          </cell>
          <cell r="L1215" t="str">
            <v>THỰC PHẨM</v>
          </cell>
          <cell r="M1215" t="str">
            <v>BÁNH KẸO, ĐỒ ĂN VẶT</v>
          </cell>
          <cell r="N1215" t="str">
            <v>KẸO CAO SU</v>
          </cell>
          <cell r="O1215" t="str">
            <v>153932</v>
          </cell>
          <cell r="P1215" t="str">
            <v>4903333241651</v>
          </cell>
          <cell r="Q1215" t="str">
            <v>LOTTE - Kẹo cao su black black ít đường 133g</v>
          </cell>
          <cell r="R1215">
            <v>235000</v>
          </cell>
          <cell r="S1215">
            <v>1</v>
          </cell>
          <cell r="T1215">
            <v>235000</v>
          </cell>
          <cell r="U1215">
            <v>0</v>
          </cell>
          <cell r="V1215">
            <v>235000</v>
          </cell>
          <cell r="W1215" t="str">
            <v>4903333241651</v>
          </cell>
        </row>
        <row r="1216">
          <cell r="A1216">
            <v>2026</v>
          </cell>
          <cell r="B1216">
            <v>5</v>
          </cell>
          <cell r="C1216">
            <v>46156</v>
          </cell>
          <cell r="D1216" t="str">
            <v>1. SKK store</v>
          </cell>
          <cell r="E1216" t="str">
            <v>S1005</v>
          </cell>
          <cell r="F1216" t="str">
            <v>SKK  Thái Hà</v>
          </cell>
          <cell r="G1216" t="str">
            <v>0985885816</v>
          </cell>
          <cell r="H1216" t="str">
            <v>Chị Hằng</v>
          </cell>
          <cell r="I1216" t="str">
            <v>Khách cũ</v>
          </cell>
          <cell r="J1216" t="str">
            <v>Đơn bán</v>
          </cell>
          <cell r="K1216" t="str">
            <v>SAKUKO775931</v>
          </cell>
          <cell r="L1216" t="str">
            <v>THỰC PHẨM</v>
          </cell>
          <cell r="M1216" t="str">
            <v>BÁNH KẸO, ĐỒ ĂN VẶT</v>
          </cell>
          <cell r="N1216" t="str">
            <v>KẸO CAO SU</v>
          </cell>
          <cell r="O1216" t="str">
            <v>231374</v>
          </cell>
          <cell r="P1216" t="str">
            <v>4547894156315</v>
          </cell>
          <cell r="Q1216" t="str">
            <v>CLORETS-Kẹo cao su hương vị 4 mùa 140g</v>
          </cell>
          <cell r="R1216">
            <v>235000</v>
          </cell>
          <cell r="S1216">
            <v>1</v>
          </cell>
          <cell r="T1216">
            <v>235000</v>
          </cell>
          <cell r="U1216">
            <v>0</v>
          </cell>
          <cell r="V1216">
            <v>235000</v>
          </cell>
          <cell r="W1216" t="str">
            <v>4547894156315</v>
          </cell>
        </row>
        <row r="1217">
          <cell r="A1217">
            <v>2026</v>
          </cell>
          <cell r="B1217">
            <v>5</v>
          </cell>
          <cell r="C1217">
            <v>46156</v>
          </cell>
          <cell r="D1217" t="str">
            <v>1. SKK store</v>
          </cell>
          <cell r="E1217" t="str">
            <v>S1005</v>
          </cell>
          <cell r="F1217" t="str">
            <v>SKK  Thái Hà</v>
          </cell>
          <cell r="G1217" t="str">
            <v>0985885816</v>
          </cell>
          <cell r="H1217" t="str">
            <v>Chị Hằng</v>
          </cell>
          <cell r="I1217" t="str">
            <v>Khách cũ</v>
          </cell>
          <cell r="J1217" t="str">
            <v>Đơn bán</v>
          </cell>
          <cell r="K1217" t="str">
            <v>SAKUKO775931</v>
          </cell>
          <cell r="L1217" t="str">
            <v>THỰC PHẨM</v>
          </cell>
          <cell r="M1217" t="str">
            <v>MỲ, MIẾN</v>
          </cell>
          <cell r="N1217" t="str">
            <v>MỲ CHẾ BIẾN</v>
          </cell>
          <cell r="O1217" t="str">
            <v>154247</v>
          </cell>
          <cell r="P1217" t="str">
            <v>4902902105004</v>
          </cell>
          <cell r="Q1217" t="str">
            <v>MALONY_Miến khoai tây 500g</v>
          </cell>
          <cell r="R1217">
            <v>139000</v>
          </cell>
          <cell r="S1217">
            <v>1</v>
          </cell>
          <cell r="T1217">
            <v>139000</v>
          </cell>
          <cell r="U1217">
            <v>0</v>
          </cell>
          <cell r="V1217">
            <v>139000</v>
          </cell>
          <cell r="W1217" t="str">
            <v>4902902105004</v>
          </cell>
        </row>
        <row r="1218">
          <cell r="A1218">
            <v>2026</v>
          </cell>
          <cell r="B1218">
            <v>5</v>
          </cell>
          <cell r="C1218">
            <v>46156</v>
          </cell>
          <cell r="D1218" t="str">
            <v>1. SKK store</v>
          </cell>
          <cell r="E1218" t="str">
            <v>S1005</v>
          </cell>
          <cell r="F1218" t="str">
            <v>SKK  Thái Hà</v>
          </cell>
          <cell r="G1218" t="str">
            <v>0989382497</v>
          </cell>
          <cell r="H1218" t="str">
            <v>Chị Phương</v>
          </cell>
          <cell r="I1218" t="str">
            <v>Khách cũ</v>
          </cell>
          <cell r="J1218" t="str">
            <v>Đơn bán</v>
          </cell>
          <cell r="K1218" t="str">
            <v>SAKUKO776298</v>
          </cell>
          <cell r="L1218" t="str">
            <v>CHĂM SÓC SẮC ĐẸP</v>
          </cell>
          <cell r="M1218" t="str">
            <v>CHĂM SÓC DA</v>
          </cell>
          <cell r="N1218" t="str">
            <v>KEM DƯỠNG</v>
          </cell>
          <cell r="O1218" t="str">
            <v>102418</v>
          </cell>
          <cell r="P1218" t="str">
            <v>4902468297021</v>
          </cell>
          <cell r="Q1218" t="str">
            <v>MEISHOKU- Kem dưỡng da dịu nhẹ 45g</v>
          </cell>
          <cell r="R1218">
            <v>435000</v>
          </cell>
          <cell r="S1218">
            <v>1</v>
          </cell>
          <cell r="T1218">
            <v>435000</v>
          </cell>
          <cell r="U1218">
            <v>0</v>
          </cell>
          <cell r="V1218">
            <v>435000</v>
          </cell>
          <cell r="W1218" t="str">
            <v>4902468297021</v>
          </cell>
        </row>
        <row r="1219">
          <cell r="A1219">
            <v>2026</v>
          </cell>
          <cell r="B1219">
            <v>5</v>
          </cell>
          <cell r="C1219">
            <v>46156</v>
          </cell>
          <cell r="D1219" t="str">
            <v>1. SKK store</v>
          </cell>
          <cell r="E1219" t="str">
            <v>S1005</v>
          </cell>
          <cell r="F1219" t="str">
            <v>SKK  Thái Hà</v>
          </cell>
          <cell r="G1219" t="str">
            <v>0989382497</v>
          </cell>
          <cell r="H1219" t="str">
            <v>Chị Phương</v>
          </cell>
          <cell r="I1219" t="str">
            <v>Khách cũ</v>
          </cell>
          <cell r="J1219" t="str">
            <v>Đơn bán</v>
          </cell>
          <cell r="K1219" t="str">
            <v>SAKUKO776298</v>
          </cell>
          <cell r="L1219" t="str">
            <v>THỰC PHẨM</v>
          </cell>
          <cell r="M1219" t="str">
            <v>BÁNH KẸO, ĐỒ ĂN VẶT</v>
          </cell>
          <cell r="N1219" t="str">
            <v>KẸO CAO SU</v>
          </cell>
          <cell r="O1219" t="str">
            <v>231377</v>
          </cell>
          <cell r="P1219" t="str">
            <v>4903333200375</v>
          </cell>
          <cell r="Q1219" t="str">
            <v>LOTTE-Kẹo cao su tổng hợp dạng lọ 114g</v>
          </cell>
          <cell r="R1219">
            <v>235000</v>
          </cell>
          <cell r="S1219">
            <v>1</v>
          </cell>
          <cell r="T1219">
            <v>235000</v>
          </cell>
          <cell r="U1219">
            <v>0</v>
          </cell>
          <cell r="V1219">
            <v>235000</v>
          </cell>
          <cell r="W1219" t="str">
            <v>4903333200375</v>
          </cell>
        </row>
        <row r="1220">
          <cell r="A1220">
            <v>2026</v>
          </cell>
          <cell r="B1220">
            <v>5</v>
          </cell>
          <cell r="C1220">
            <v>46156</v>
          </cell>
          <cell r="D1220" t="str">
            <v>1. SKK store</v>
          </cell>
          <cell r="E1220" t="str">
            <v>S1006</v>
          </cell>
          <cell r="F1220" t="str">
            <v>SKK Trần Đăng Ninh</v>
          </cell>
          <cell r="G1220" t="str">
            <v>0973671423</v>
          </cell>
          <cell r="H1220" t="str">
            <v>Chị Hoa</v>
          </cell>
          <cell r="I1220" t="str">
            <v>Khách cũ</v>
          </cell>
          <cell r="J1220" t="str">
            <v>Đơn bán</v>
          </cell>
          <cell r="K1220" t="str">
            <v>SAKUKO776799</v>
          </cell>
          <cell r="L1220" t="str">
            <v>ĐỒ CHO MẸ BÉ</v>
          </cell>
          <cell r="M1220" t="str">
            <v>GIẤY ƯỚT</v>
          </cell>
          <cell r="N1220" t="str">
            <v>GIẤY ƯỚT CHO BÉ</v>
          </cell>
          <cell r="O1220" t="str">
            <v>121665</v>
          </cell>
          <cell r="P1220" t="str">
            <v>8934755035289</v>
          </cell>
          <cell r="Q1220" t="str">
            <v>BOBBY- Khăn ướt em bé không mùi 100 miếng</v>
          </cell>
          <cell r="R1220">
            <v>46000</v>
          </cell>
          <cell r="S1220">
            <v>1</v>
          </cell>
          <cell r="T1220">
            <v>46000</v>
          </cell>
          <cell r="U1220">
            <v>0</v>
          </cell>
          <cell r="V1220">
            <v>46000</v>
          </cell>
          <cell r="W1220" t="str">
            <v>8934755035289</v>
          </cell>
        </row>
        <row r="1221">
          <cell r="A1221">
            <v>2026</v>
          </cell>
          <cell r="B1221">
            <v>5</v>
          </cell>
          <cell r="C1221">
            <v>46156</v>
          </cell>
          <cell r="D1221" t="str">
            <v>1. SKK store</v>
          </cell>
          <cell r="E1221" t="str">
            <v>S1008</v>
          </cell>
          <cell r="F1221" t="str">
            <v>SKK  Hàng Bông</v>
          </cell>
          <cell r="G1221" t="str">
            <v>0989556633</v>
          </cell>
          <cell r="H1221" t="str">
            <v>c hiền</v>
          </cell>
          <cell r="I1221" t="str">
            <v>Khách cũ</v>
          </cell>
          <cell r="J1221" t="str">
            <v>Đơn bán</v>
          </cell>
          <cell r="K1221" t="str">
            <v>SAKUKO776139</v>
          </cell>
          <cell r="L1221" t="str">
            <v>THỰC PHẨM</v>
          </cell>
          <cell r="M1221" t="str">
            <v>BÁNH KẸO, ĐỒ ĂN VẶT</v>
          </cell>
          <cell r="N1221" t="str">
            <v>KẸO CAO SU</v>
          </cell>
          <cell r="O1221" t="str">
            <v>231377</v>
          </cell>
          <cell r="P1221" t="str">
            <v>4903333200375</v>
          </cell>
          <cell r="Q1221" t="str">
            <v>LOTTE-Kẹo cao su tổng hợp dạng lọ 114g</v>
          </cell>
          <cell r="R1221">
            <v>235000</v>
          </cell>
          <cell r="S1221">
            <v>1</v>
          </cell>
          <cell r="T1221">
            <v>235000</v>
          </cell>
          <cell r="U1221">
            <v>0</v>
          </cell>
          <cell r="V1221">
            <v>235000</v>
          </cell>
          <cell r="W1221" t="str">
            <v>4903333200375</v>
          </cell>
        </row>
        <row r="1222">
          <cell r="A1222">
            <v>2026</v>
          </cell>
          <cell r="B1222">
            <v>5</v>
          </cell>
          <cell r="C1222">
            <v>46156</v>
          </cell>
          <cell r="D1222" t="str">
            <v>1. SKK store</v>
          </cell>
          <cell r="E1222" t="str">
            <v>S1015</v>
          </cell>
          <cell r="F1222" t="str">
            <v>SKK Hàm Nghi</v>
          </cell>
          <cell r="G1222" t="str">
            <v>0947396168</v>
          </cell>
          <cell r="H1222" t="str">
            <v>Cô San</v>
          </cell>
          <cell r="I1222" t="str">
            <v>Khách cũ</v>
          </cell>
          <cell r="J1222" t="str">
            <v>Đơn bán</v>
          </cell>
          <cell r="K1222" t="str">
            <v>SAKUKO775740</v>
          </cell>
          <cell r="L1222" t="str">
            <v>THỰC PHẨM</v>
          </cell>
          <cell r="M1222" t="str">
            <v>MỲ, MIẾN</v>
          </cell>
          <cell r="N1222" t="str">
            <v>MỲ CHẾ BIẾN</v>
          </cell>
          <cell r="O1222" t="str">
            <v>174948</v>
          </cell>
          <cell r="P1222" t="str">
            <v>4582114354119</v>
          </cell>
          <cell r="Q1222" t="str">
            <v>SANUKISHISEI- Mì soumen 300g</v>
          </cell>
          <cell r="R1222">
            <v>35000</v>
          </cell>
          <cell r="S1222">
            <v>1</v>
          </cell>
          <cell r="T1222">
            <v>35000</v>
          </cell>
          <cell r="U1222">
            <v>0</v>
          </cell>
          <cell r="V1222">
            <v>35000</v>
          </cell>
          <cell r="W1222" t="str">
            <v>4582114354119</v>
          </cell>
        </row>
        <row r="1223">
          <cell r="A1223">
            <v>2026</v>
          </cell>
          <cell r="B1223">
            <v>5</v>
          </cell>
          <cell r="C1223">
            <v>46156</v>
          </cell>
          <cell r="D1223" t="str">
            <v>1. SKK store</v>
          </cell>
          <cell r="E1223" t="str">
            <v>S1015</v>
          </cell>
          <cell r="F1223" t="str">
            <v>SKK Hàm Nghi</v>
          </cell>
          <cell r="G1223" t="str">
            <v>0947396168</v>
          </cell>
          <cell r="H1223" t="str">
            <v>Cô San</v>
          </cell>
          <cell r="I1223" t="str">
            <v>Khách cũ</v>
          </cell>
          <cell r="J1223" t="str">
            <v>Đơn bán</v>
          </cell>
          <cell r="K1223" t="str">
            <v>SAKUKO775740</v>
          </cell>
          <cell r="L1223" t="str">
            <v>THỰC PHẨM</v>
          </cell>
          <cell r="M1223" t="str">
            <v>MỲ, MIẾN</v>
          </cell>
          <cell r="N1223" t="str">
            <v>MỲ CHẾ BIẾN</v>
          </cell>
          <cell r="O1223" t="str">
            <v>175435</v>
          </cell>
          <cell r="P1223" t="str">
            <v>4901726014752</v>
          </cell>
          <cell r="Q1223" t="str">
            <v>ITSUKI FOODS- Mì soumen rau củ ngũ sắc320g</v>
          </cell>
          <cell r="R1223">
            <v>76000</v>
          </cell>
          <cell r="S1223">
            <v>1</v>
          </cell>
          <cell r="T1223">
            <v>76000</v>
          </cell>
          <cell r="U1223">
            <v>0</v>
          </cell>
          <cell r="V1223">
            <v>76000</v>
          </cell>
          <cell r="W1223" t="str">
            <v>4901726014752</v>
          </cell>
        </row>
        <row r="1224">
          <cell r="A1224">
            <v>2026</v>
          </cell>
          <cell r="B1224">
            <v>5</v>
          </cell>
          <cell r="C1224">
            <v>46155</v>
          </cell>
          <cell r="D1224" t="str">
            <v>1. SKK store</v>
          </cell>
          <cell r="E1224" t="str">
            <v>S1005</v>
          </cell>
          <cell r="F1224" t="str">
            <v>SKK  Thái Hà</v>
          </cell>
          <cell r="G1224" t="str">
            <v>02466810505</v>
          </cell>
          <cell r="H1224" t="str">
            <v>klth</v>
          </cell>
          <cell r="I1224" t="str">
            <v>Khách vãng lai</v>
          </cell>
          <cell r="J1224" t="str">
            <v>Đơn bán</v>
          </cell>
          <cell r="K1224" t="str">
            <v>SAKUKO774969</v>
          </cell>
          <cell r="L1224" t="str">
            <v>THỰC PHẨM</v>
          </cell>
          <cell r="M1224" t="str">
            <v>BÁNH KẸO, ĐỒ ĂN VẶT</v>
          </cell>
          <cell r="N1224" t="str">
            <v>KẸO CAO SU</v>
          </cell>
          <cell r="O1224" t="str">
            <v>231374</v>
          </cell>
          <cell r="P1224" t="str">
            <v>4547894156315</v>
          </cell>
          <cell r="Q1224" t="str">
            <v>CLORETS-Kẹo cao su hương vị 4 mùa 140g</v>
          </cell>
          <cell r="R1224">
            <v>235000</v>
          </cell>
          <cell r="S1224">
            <v>1</v>
          </cell>
          <cell r="T1224">
            <v>235000</v>
          </cell>
          <cell r="U1224">
            <v>0</v>
          </cell>
          <cell r="V1224">
            <v>235000</v>
          </cell>
          <cell r="W1224" t="str">
            <v>4547894156315</v>
          </cell>
        </row>
        <row r="1225">
          <cell r="A1225">
            <v>2026</v>
          </cell>
          <cell r="B1225">
            <v>5</v>
          </cell>
          <cell r="C1225">
            <v>46155</v>
          </cell>
          <cell r="D1225" t="str">
            <v>1. SKK store</v>
          </cell>
          <cell r="E1225" t="str">
            <v>S1007</v>
          </cell>
          <cell r="F1225" t="str">
            <v>SKK  Nguyễn Du</v>
          </cell>
          <cell r="G1225" t="str">
            <v>0862954339</v>
          </cell>
          <cell r="H1225" t="str">
            <v>Klnd</v>
          </cell>
          <cell r="I1225" t="str">
            <v>Khách vãng lai</v>
          </cell>
          <cell r="J1225" t="str">
            <v>Đơn bán</v>
          </cell>
          <cell r="K1225" t="str">
            <v>SAKUKO774959</v>
          </cell>
          <cell r="L1225" t="str">
            <v>ĐỒ CHO MẸ BÉ</v>
          </cell>
          <cell r="M1225" t="str">
            <v>GIẤY ƯỚT</v>
          </cell>
          <cell r="N1225" t="str">
            <v>GIẤY ƯỚT CHO BÉ</v>
          </cell>
          <cell r="O1225" t="str">
            <v>121662</v>
          </cell>
          <cell r="P1225" t="str">
            <v>8934755035036</v>
          </cell>
          <cell r="Q1225" t="str">
            <v>FRESSI- Khăn ướt Care For All 20 miếng</v>
          </cell>
          <cell r="R1225">
            <v>14000</v>
          </cell>
          <cell r="S1225">
            <v>1</v>
          </cell>
          <cell r="T1225">
            <v>14000</v>
          </cell>
          <cell r="U1225">
            <v>0</v>
          </cell>
          <cell r="V1225">
            <v>14000</v>
          </cell>
          <cell r="W1225" t="str">
            <v>8934755035036</v>
          </cell>
        </row>
        <row r="1226">
          <cell r="A1226">
            <v>2026</v>
          </cell>
          <cell r="B1226">
            <v>5</v>
          </cell>
          <cell r="C1226">
            <v>46155</v>
          </cell>
          <cell r="D1226" t="str">
            <v>1. SKK store</v>
          </cell>
          <cell r="E1226" t="str">
            <v>S1008</v>
          </cell>
          <cell r="F1226" t="str">
            <v>SKK  Hàng Bông</v>
          </cell>
          <cell r="G1226" t="str">
            <v>0862947989</v>
          </cell>
          <cell r="H1226" t="str">
            <v>KLHB</v>
          </cell>
          <cell r="I1226" t="str">
            <v>Khách vãng lai</v>
          </cell>
          <cell r="J1226" t="str">
            <v>Đơn bán</v>
          </cell>
          <cell r="K1226" t="str">
            <v>SAKUKO775066</v>
          </cell>
          <cell r="L1226" t="str">
            <v>ĐỒ CHO MẸ BÉ</v>
          </cell>
          <cell r="M1226" t="str">
            <v>CHĂM SÓC CƠ THỂ BÉ</v>
          </cell>
          <cell r="N1226" t="str">
            <v>THỰC PHẨM CHỨC NĂNG CHO BÉ</v>
          </cell>
          <cell r="O1226" t="str">
            <v>121673</v>
          </cell>
          <cell r="P1226" t="str">
            <v>3830056330328</v>
          </cell>
          <cell r="Q1226" t="str">
            <v>LINEABON- TPBVSK Vitamin K2 + D3 Drop 10ml</v>
          </cell>
          <cell r="R1226">
            <v>295000</v>
          </cell>
          <cell r="S1226">
            <v>1</v>
          </cell>
          <cell r="T1226">
            <v>295000</v>
          </cell>
          <cell r="U1226">
            <v>0</v>
          </cell>
          <cell r="V1226">
            <v>295000</v>
          </cell>
          <cell r="W1226" t="str">
            <v>3830056330328</v>
          </cell>
        </row>
        <row r="1227">
          <cell r="A1227">
            <v>2026</v>
          </cell>
          <cell r="B1227">
            <v>5</v>
          </cell>
          <cell r="C1227">
            <v>46155</v>
          </cell>
          <cell r="D1227" t="str">
            <v>1. SKK store</v>
          </cell>
          <cell r="E1227" t="str">
            <v>S1015</v>
          </cell>
          <cell r="F1227" t="str">
            <v>SKK Hàm Nghi</v>
          </cell>
          <cell r="G1227" t="str">
            <v>0983452568</v>
          </cell>
          <cell r="H1227" t="str">
            <v>chị thịnh</v>
          </cell>
          <cell r="I1227" t="str">
            <v>Khách cũ</v>
          </cell>
          <cell r="J1227" t="str">
            <v>Đơn bán</v>
          </cell>
          <cell r="K1227" t="str">
            <v>SAKUKO775438</v>
          </cell>
          <cell r="L1227" t="str">
            <v>NHÀ CỬA ĐỜI SỐNG</v>
          </cell>
          <cell r="M1227" t="str">
            <v>PHÒNG CHỐNG CÔN TRÙNG</v>
          </cell>
          <cell r="N1227" t="str">
            <v>CHỐNG CÔN TRÙNG</v>
          </cell>
          <cell r="O1227" t="str">
            <v>133079</v>
          </cell>
          <cell r="P1227" t="str">
            <v>4987115545946</v>
          </cell>
          <cell r="Q1227" t="str">
            <v>KINCHO-Dung dịch khử mùi đuổi côn trùng hương hoa</v>
          </cell>
          <cell r="R1227">
            <v>199000</v>
          </cell>
          <cell r="S1227">
            <v>1</v>
          </cell>
          <cell r="T1227">
            <v>199000</v>
          </cell>
          <cell r="U1227">
            <v>9950</v>
          </cell>
          <cell r="V1227">
            <v>189050</v>
          </cell>
          <cell r="W1227" t="str">
            <v>4987115545946</v>
          </cell>
        </row>
        <row r="1228">
          <cell r="A1228">
            <v>2026</v>
          </cell>
          <cell r="B1228">
            <v>5</v>
          </cell>
          <cell r="C1228">
            <v>46155</v>
          </cell>
          <cell r="D1228" t="str">
            <v>1. SKK store</v>
          </cell>
          <cell r="E1228" t="str">
            <v>S1015</v>
          </cell>
          <cell r="F1228" t="str">
            <v>SKK Hàm Nghi</v>
          </cell>
          <cell r="G1228" t="str">
            <v>0983452568</v>
          </cell>
          <cell r="H1228" t="str">
            <v>chị thịnh</v>
          </cell>
          <cell r="I1228" t="str">
            <v>Khách cũ</v>
          </cell>
          <cell r="J1228" t="str">
            <v>Đơn bán</v>
          </cell>
          <cell r="K1228" t="str">
            <v>SAKUKO775438</v>
          </cell>
          <cell r="L1228" t="str">
            <v>NHÀ CỬA ĐỜI SỐNG</v>
          </cell>
          <cell r="M1228" t="str">
            <v>PHÒNG CHỐNG CÔN TRÙNG</v>
          </cell>
          <cell r="N1228" t="str">
            <v>DIỆT CÔN TRÙNG</v>
          </cell>
          <cell r="O1228" t="str">
            <v>134480</v>
          </cell>
          <cell r="P1228" t="str">
            <v>4987115545885</v>
          </cell>
          <cell r="Q1228" t="str">
            <v>KINCHO-DD làm thơm phòng và đuổi muỗi (trái cây)</v>
          </cell>
          <cell r="R1228">
            <v>239000</v>
          </cell>
          <cell r="S1228">
            <v>1</v>
          </cell>
          <cell r="T1228">
            <v>239000</v>
          </cell>
          <cell r="U1228">
            <v>11950</v>
          </cell>
          <cell r="V1228">
            <v>227050</v>
          </cell>
          <cell r="W1228" t="str">
            <v>4987115545885</v>
          </cell>
        </row>
        <row r="1229">
          <cell r="A1229">
            <v>2026</v>
          </cell>
          <cell r="B1229">
            <v>5</v>
          </cell>
          <cell r="C1229">
            <v>46155</v>
          </cell>
          <cell r="D1229" t="str">
            <v>1. SKK store</v>
          </cell>
          <cell r="E1229" t="str">
            <v>S1015</v>
          </cell>
          <cell r="F1229" t="str">
            <v>SKK Hàm Nghi</v>
          </cell>
          <cell r="G1229" t="str">
            <v>0985552846</v>
          </cell>
          <cell r="H1229" t="str">
            <v>c Hằng</v>
          </cell>
          <cell r="I1229" t="str">
            <v>Khách cũ</v>
          </cell>
          <cell r="J1229" t="str">
            <v>Đơn bán</v>
          </cell>
          <cell r="K1229" t="str">
            <v>SAKUKO774815</v>
          </cell>
          <cell r="L1229" t="str">
            <v>THỰC PHẨM</v>
          </cell>
          <cell r="M1229" t="str">
            <v>MỲ, MIẾN</v>
          </cell>
          <cell r="N1229" t="str">
            <v>MỲ ĂN LIỀN</v>
          </cell>
          <cell r="O1229" t="str">
            <v>153693</v>
          </cell>
          <cell r="P1229" t="str">
            <v>4902881066440</v>
          </cell>
          <cell r="Q1229" t="str">
            <v>MYOJO- Mỳ ramen vị miso 5 gói</v>
          </cell>
          <cell r="R1229">
            <v>105000</v>
          </cell>
          <cell r="S1229">
            <v>1</v>
          </cell>
          <cell r="T1229">
            <v>105000</v>
          </cell>
          <cell r="U1229">
            <v>0</v>
          </cell>
          <cell r="V1229">
            <v>105000</v>
          </cell>
          <cell r="W1229" t="str">
            <v>4902881066440</v>
          </cell>
        </row>
        <row r="1230">
          <cell r="A1230">
            <v>2026</v>
          </cell>
          <cell r="B1230">
            <v>5</v>
          </cell>
          <cell r="C1230">
            <v>46154</v>
          </cell>
          <cell r="D1230" t="str">
            <v>1. SKK store</v>
          </cell>
          <cell r="E1230" t="str">
            <v>S1004</v>
          </cell>
          <cell r="F1230" t="str">
            <v>SKK  Mandarin C1</v>
          </cell>
          <cell r="G1230" t="str">
            <v>0913559591</v>
          </cell>
          <cell r="H1230" t="str">
            <v>Chú Cường</v>
          </cell>
          <cell r="I1230" t="str">
            <v>Khách cũ</v>
          </cell>
          <cell r="J1230" t="str">
            <v>Đơn bán</v>
          </cell>
          <cell r="K1230" t="str">
            <v>SAKUKO773591</v>
          </cell>
          <cell r="L1230" t="str">
            <v>ĐỒ CHO MẸ BÉ</v>
          </cell>
          <cell r="M1230" t="str">
            <v>GIẤY ƯỚT</v>
          </cell>
          <cell r="N1230" t="str">
            <v>GIẤY ƯỚT CHO BÉ</v>
          </cell>
          <cell r="O1230" t="str">
            <v>121662</v>
          </cell>
          <cell r="P1230" t="str">
            <v>8934755035036</v>
          </cell>
          <cell r="Q1230" t="str">
            <v>FRESSI- Khăn ướt Care For All 20 miếng</v>
          </cell>
          <cell r="R1230">
            <v>14000</v>
          </cell>
          <cell r="S1230">
            <v>1</v>
          </cell>
          <cell r="T1230">
            <v>14000</v>
          </cell>
          <cell r="U1230">
            <v>0</v>
          </cell>
          <cell r="V1230">
            <v>14000</v>
          </cell>
          <cell r="W1230" t="str">
            <v>8934755035036</v>
          </cell>
        </row>
        <row r="1231">
          <cell r="A1231">
            <v>2026</v>
          </cell>
          <cell r="B1231">
            <v>5</v>
          </cell>
          <cell r="C1231">
            <v>46154</v>
          </cell>
          <cell r="D1231" t="str">
            <v>1. SKK store</v>
          </cell>
          <cell r="E1231" t="str">
            <v>S1004</v>
          </cell>
          <cell r="F1231" t="str">
            <v>SKK  Mandarin C1</v>
          </cell>
          <cell r="G1231" t="str">
            <v>0979363783</v>
          </cell>
          <cell r="H1231" t="str">
            <v>chị tấm</v>
          </cell>
          <cell r="I1231" t="str">
            <v>Khách cũ</v>
          </cell>
          <cell r="J1231" t="str">
            <v>Đơn bán</v>
          </cell>
          <cell r="K1231" t="str">
            <v>SAKUKO774547</v>
          </cell>
          <cell r="L1231" t="str">
            <v>THỰC PHẨM</v>
          </cell>
          <cell r="M1231" t="str">
            <v>BÁNH KẸO, ĐỒ ĂN VẶT</v>
          </cell>
          <cell r="N1231" t="str">
            <v>KẸO CAO SU</v>
          </cell>
          <cell r="O1231" t="str">
            <v>231377</v>
          </cell>
          <cell r="P1231" t="str">
            <v>4903333200375</v>
          </cell>
          <cell r="Q1231" t="str">
            <v>LOTTE-Kẹo cao su tổng hợp dạng lọ 114g</v>
          </cell>
          <cell r="R1231">
            <v>235000</v>
          </cell>
          <cell r="S1231">
            <v>1</v>
          </cell>
          <cell r="T1231">
            <v>235000</v>
          </cell>
          <cell r="U1231">
            <v>0</v>
          </cell>
          <cell r="V1231">
            <v>235000</v>
          </cell>
          <cell r="W1231" t="str">
            <v>4903333200375</v>
          </cell>
        </row>
        <row r="1232">
          <cell r="A1232">
            <v>2026</v>
          </cell>
          <cell r="B1232">
            <v>5</v>
          </cell>
          <cell r="C1232">
            <v>46154</v>
          </cell>
          <cell r="D1232" t="str">
            <v>1. SKK store</v>
          </cell>
          <cell r="E1232" t="str">
            <v>S1004</v>
          </cell>
          <cell r="F1232" t="str">
            <v>SKK  Mandarin C1</v>
          </cell>
          <cell r="G1232" t="str">
            <v>0986287048</v>
          </cell>
          <cell r="H1232" t="str">
            <v>Chị Thương</v>
          </cell>
          <cell r="I1232" t="str">
            <v>Khách cũ</v>
          </cell>
          <cell r="J1232" t="str">
            <v>Đơn bán</v>
          </cell>
          <cell r="K1232" t="str">
            <v>SAKUKO774299</v>
          </cell>
          <cell r="L1232" t="str">
            <v>ĐỒ CHO MẸ BÉ</v>
          </cell>
          <cell r="M1232" t="str">
            <v>CHĂM SÓC CƠ THỂ BÉ</v>
          </cell>
          <cell r="N1232" t="str">
            <v>THỰC PHẨM CHỨC NĂNG CHO BÉ</v>
          </cell>
          <cell r="O1232" t="str">
            <v>121667</v>
          </cell>
          <cell r="P1232" t="str">
            <v>8436036590635</v>
          </cell>
          <cell r="Q1232" t="str">
            <v>NEO KIDS-TPBVSK Gummies K2ALCIUM+150g</v>
          </cell>
          <cell r="R1232">
            <v>390000</v>
          </cell>
          <cell r="S1232">
            <v>1</v>
          </cell>
          <cell r="T1232">
            <v>390000</v>
          </cell>
          <cell r="U1232">
            <v>0</v>
          </cell>
          <cell r="V1232">
            <v>390000</v>
          </cell>
          <cell r="W1232" t="str">
            <v>8436036590635</v>
          </cell>
        </row>
        <row r="1233">
          <cell r="A1233">
            <v>2026</v>
          </cell>
          <cell r="B1233">
            <v>5</v>
          </cell>
          <cell r="C1233">
            <v>46154</v>
          </cell>
          <cell r="D1233" t="str">
            <v>1. SKK store</v>
          </cell>
          <cell r="E1233" t="str">
            <v>S1005</v>
          </cell>
          <cell r="F1233" t="str">
            <v>SKK  Thái Hà</v>
          </cell>
          <cell r="G1233" t="str">
            <v>0972731888</v>
          </cell>
          <cell r="H1233" t="str">
            <v>anh Nam</v>
          </cell>
          <cell r="I1233" t="str">
            <v>Khách cũ</v>
          </cell>
          <cell r="J1233" t="str">
            <v>Đơn bán</v>
          </cell>
          <cell r="K1233" t="str">
            <v>SAKUKO773742</v>
          </cell>
          <cell r="L1233" t="str">
            <v>THỰC PHẨM</v>
          </cell>
          <cell r="M1233" t="str">
            <v>BÁNH KẸO, ĐỒ ĂN VẶT</v>
          </cell>
          <cell r="N1233" t="str">
            <v>KẸO CAO SU</v>
          </cell>
          <cell r="O1233" t="str">
            <v>153932</v>
          </cell>
          <cell r="P1233" t="str">
            <v>4903333241651</v>
          </cell>
          <cell r="Q1233" t="str">
            <v>LOTTE - Kẹo cao su black black ít đường 133g</v>
          </cell>
          <cell r="R1233">
            <v>235000</v>
          </cell>
          <cell r="S1233">
            <v>1</v>
          </cell>
          <cell r="T1233">
            <v>235000</v>
          </cell>
          <cell r="U1233">
            <v>0</v>
          </cell>
          <cell r="V1233">
            <v>235000</v>
          </cell>
          <cell r="W1233" t="str">
            <v>4903333241651</v>
          </cell>
        </row>
        <row r="1234">
          <cell r="A1234">
            <v>2026</v>
          </cell>
          <cell r="B1234">
            <v>5</v>
          </cell>
          <cell r="C1234">
            <v>46154</v>
          </cell>
          <cell r="D1234" t="str">
            <v>1. SKK store</v>
          </cell>
          <cell r="E1234" t="str">
            <v>S1005</v>
          </cell>
          <cell r="F1234" t="str">
            <v>SKK  Thái Hà</v>
          </cell>
          <cell r="G1234" t="str">
            <v>0976827353</v>
          </cell>
          <cell r="H1234" t="str">
            <v>Chị Nguyễn Thị Thu hiền</v>
          </cell>
          <cell r="I1234" t="str">
            <v>Khách cũ</v>
          </cell>
          <cell r="J1234" t="str">
            <v>Đơn bán</v>
          </cell>
          <cell r="K1234" t="str">
            <v>SAKUKO774071</v>
          </cell>
          <cell r="L1234" t="str">
            <v>THỰC PHẨM</v>
          </cell>
          <cell r="M1234" t="str">
            <v>BÁNH KẸO, ĐỒ ĂN VẶT</v>
          </cell>
          <cell r="N1234" t="str">
            <v>KẸO CAO SU</v>
          </cell>
          <cell r="O1234" t="str">
            <v>231374</v>
          </cell>
          <cell r="P1234" t="str">
            <v>4547894156315</v>
          </cell>
          <cell r="Q1234" t="str">
            <v>CLORETS-Kẹo cao su hương vị 4 mùa 140g</v>
          </cell>
          <cell r="R1234">
            <v>235000</v>
          </cell>
          <cell r="S1234">
            <v>1</v>
          </cell>
          <cell r="T1234">
            <v>235000</v>
          </cell>
          <cell r="U1234">
            <v>0</v>
          </cell>
          <cell r="V1234">
            <v>235000</v>
          </cell>
          <cell r="W1234" t="str">
            <v>4547894156315</v>
          </cell>
        </row>
        <row r="1235">
          <cell r="A1235">
            <v>2026</v>
          </cell>
          <cell r="B1235">
            <v>5</v>
          </cell>
          <cell r="C1235">
            <v>46154</v>
          </cell>
          <cell r="D1235" t="str">
            <v>1. SKK store</v>
          </cell>
          <cell r="E1235" t="str">
            <v>S1005</v>
          </cell>
          <cell r="F1235" t="str">
            <v>SKK  Thái Hà</v>
          </cell>
          <cell r="G1235" t="str">
            <v>0983257688</v>
          </cell>
          <cell r="H1235" t="str">
            <v>chú Bình</v>
          </cell>
          <cell r="I1235" t="str">
            <v>Khách cũ</v>
          </cell>
          <cell r="J1235" t="str">
            <v>Đơn bán</v>
          </cell>
          <cell r="K1235" t="str">
            <v>SAKUKO773669</v>
          </cell>
          <cell r="L1235" t="str">
            <v>THỰC PHẨM</v>
          </cell>
          <cell r="M1235" t="str">
            <v>BÁNH KẸO, ĐỒ ĂN VẶT</v>
          </cell>
          <cell r="N1235" t="str">
            <v>KẸO CAO SU</v>
          </cell>
          <cell r="O1235" t="str">
            <v>154105</v>
          </cell>
          <cell r="P1235" t="str">
            <v>4547894156612</v>
          </cell>
          <cell r="Q1235" t="str">
            <v>MONDELEZ JAPAN - Kẹo cao su 112g</v>
          </cell>
          <cell r="R1235">
            <v>235000</v>
          </cell>
          <cell r="S1235">
            <v>1</v>
          </cell>
          <cell r="T1235">
            <v>235000</v>
          </cell>
          <cell r="U1235">
            <v>0</v>
          </cell>
          <cell r="V1235">
            <v>235000</v>
          </cell>
          <cell r="W1235" t="str">
            <v>4547894156612</v>
          </cell>
        </row>
        <row r="1236">
          <cell r="A1236">
            <v>2026</v>
          </cell>
          <cell r="B1236">
            <v>5</v>
          </cell>
          <cell r="C1236">
            <v>46154</v>
          </cell>
          <cell r="D1236" t="str">
            <v>1. SKK store</v>
          </cell>
          <cell r="E1236" t="str">
            <v>S1006</v>
          </cell>
          <cell r="F1236" t="str">
            <v>SKK Trần Đăng Ninh</v>
          </cell>
          <cell r="G1236" t="str">
            <v>0356102590</v>
          </cell>
          <cell r="H1236" t="str">
            <v>Anh Giang</v>
          </cell>
          <cell r="I1236" t="str">
            <v>Khách cũ</v>
          </cell>
          <cell r="J1236" t="str">
            <v>Đơn bán</v>
          </cell>
          <cell r="K1236" t="str">
            <v>SAKUKO774410</v>
          </cell>
          <cell r="L1236" t="str">
            <v>THỰC PHẨM</v>
          </cell>
          <cell r="M1236" t="str">
            <v>MỲ, MIẾN</v>
          </cell>
          <cell r="N1236" t="str">
            <v>MỲ CHẾ BIẾN</v>
          </cell>
          <cell r="O1236" t="str">
            <v>154251</v>
          </cell>
          <cell r="P1236" t="str">
            <v>4560159440776</v>
          </cell>
          <cell r="Q1236" t="str">
            <v>SATO_Mì soba khô 800g</v>
          </cell>
          <cell r="R1236">
            <v>104000</v>
          </cell>
          <cell r="S1236">
            <v>1</v>
          </cell>
          <cell r="T1236">
            <v>104000</v>
          </cell>
          <cell r="U1236">
            <v>0</v>
          </cell>
          <cell r="V1236">
            <v>104000</v>
          </cell>
          <cell r="W1236" t="str">
            <v>4560159440776</v>
          </cell>
        </row>
        <row r="1237">
          <cell r="A1237">
            <v>2026</v>
          </cell>
          <cell r="B1237">
            <v>5</v>
          </cell>
          <cell r="C1237">
            <v>46154</v>
          </cell>
          <cell r="D1237" t="str">
            <v>1. SKK store</v>
          </cell>
          <cell r="E1237" t="str">
            <v>S1006</v>
          </cell>
          <cell r="F1237" t="str">
            <v>SKK Trần Đăng Ninh</v>
          </cell>
          <cell r="G1237" t="str">
            <v>0987952486</v>
          </cell>
          <cell r="H1237" t="str">
            <v>cô nhạn</v>
          </cell>
          <cell r="I1237" t="str">
            <v>Khách cũ</v>
          </cell>
          <cell r="J1237" t="str">
            <v>Đơn bán</v>
          </cell>
          <cell r="K1237" t="str">
            <v>SAKUKO773962</v>
          </cell>
          <cell r="L1237" t="str">
            <v>NHÀ CỬA ĐỜI SỐNG</v>
          </cell>
          <cell r="M1237" t="str">
            <v>KHĂN</v>
          </cell>
          <cell r="N1237" t="str">
            <v>KHĂN MẶT</v>
          </cell>
          <cell r="O1237" t="str">
            <v>102390</v>
          </cell>
          <cell r="P1237" t="str">
            <v>4906327905980</v>
          </cell>
          <cell r="Q1237" t="str">
            <v>KOMODA - Khăn mặt khô dùng 1 lần 46m 20x20cm</v>
          </cell>
          <cell r="R1237">
            <v>52000</v>
          </cell>
          <cell r="S1237">
            <v>1</v>
          </cell>
          <cell r="T1237">
            <v>52000</v>
          </cell>
          <cell r="U1237">
            <v>0</v>
          </cell>
          <cell r="V1237">
            <v>52000</v>
          </cell>
          <cell r="W1237" t="str">
            <v>4906327905980</v>
          </cell>
        </row>
        <row r="1238">
          <cell r="A1238">
            <v>2026</v>
          </cell>
          <cell r="B1238">
            <v>5</v>
          </cell>
          <cell r="C1238">
            <v>46154</v>
          </cell>
          <cell r="D1238" t="str">
            <v>1. SKK store</v>
          </cell>
          <cell r="E1238" t="str">
            <v>S1007</v>
          </cell>
          <cell r="F1238" t="str">
            <v>SKK  Nguyễn Du</v>
          </cell>
          <cell r="G1238" t="str">
            <v>0936651985</v>
          </cell>
          <cell r="H1238" t="str">
            <v>Anh Mạnh</v>
          </cell>
          <cell r="I1238" t="str">
            <v>Khách cũ</v>
          </cell>
          <cell r="J1238" t="str">
            <v>Đơn bán</v>
          </cell>
          <cell r="K1238" t="str">
            <v>SAKUKO774416</v>
          </cell>
          <cell r="L1238" t="str">
            <v>ĐỒ CHO MẸ BÉ</v>
          </cell>
          <cell r="M1238" t="str">
            <v>GIẤY ƯỚT</v>
          </cell>
          <cell r="N1238" t="str">
            <v>GIẤY ƯỚT CHO BÉ</v>
          </cell>
          <cell r="O1238" t="str">
            <v>121665</v>
          </cell>
          <cell r="P1238" t="str">
            <v>8934755035289</v>
          </cell>
          <cell r="Q1238" t="str">
            <v>BOBBY- Khăn ướt em bé không mùi 100 miếng</v>
          </cell>
          <cell r="R1238">
            <v>46000</v>
          </cell>
          <cell r="S1238">
            <v>1</v>
          </cell>
          <cell r="T1238">
            <v>46000</v>
          </cell>
          <cell r="U1238">
            <v>0</v>
          </cell>
          <cell r="V1238">
            <v>46000</v>
          </cell>
          <cell r="W1238" t="str">
            <v>8934755035289</v>
          </cell>
        </row>
        <row r="1239">
          <cell r="A1239">
            <v>2026</v>
          </cell>
          <cell r="B1239">
            <v>5</v>
          </cell>
          <cell r="C1239">
            <v>46154</v>
          </cell>
          <cell r="D1239" t="str">
            <v>1. SKK store</v>
          </cell>
          <cell r="E1239" t="str">
            <v>S1008</v>
          </cell>
          <cell r="F1239" t="str">
            <v>SKK  Hàng Bông</v>
          </cell>
          <cell r="G1239" t="str">
            <v>0913366363</v>
          </cell>
          <cell r="H1239" t="str">
            <v>cô Huấn</v>
          </cell>
          <cell r="I1239" t="str">
            <v>Khách cũ</v>
          </cell>
          <cell r="J1239" t="str">
            <v>Đơn bán</v>
          </cell>
          <cell r="K1239" t="str">
            <v>SAKUKO774419</v>
          </cell>
          <cell r="L1239" t="str">
            <v>ĐỒ CHO MẸ BÉ</v>
          </cell>
          <cell r="M1239" t="str">
            <v>GIẤY ƯỚT</v>
          </cell>
          <cell r="N1239" t="str">
            <v>GIẤY ƯỚT CHO BÉ</v>
          </cell>
          <cell r="O1239" t="str">
            <v>121662</v>
          </cell>
          <cell r="P1239" t="str">
            <v>8934755035036</v>
          </cell>
          <cell r="Q1239" t="str">
            <v>FRESSI- Khăn ướt Care For All 20 miếng</v>
          </cell>
          <cell r="R1239">
            <v>14000</v>
          </cell>
          <cell r="S1239">
            <v>1</v>
          </cell>
          <cell r="T1239">
            <v>14000</v>
          </cell>
          <cell r="U1239">
            <v>0</v>
          </cell>
          <cell r="V1239">
            <v>14000</v>
          </cell>
          <cell r="W1239" t="str">
            <v>8934755035036</v>
          </cell>
        </row>
        <row r="1240">
          <cell r="A1240">
            <v>2026</v>
          </cell>
          <cell r="B1240">
            <v>5</v>
          </cell>
          <cell r="C1240">
            <v>46154</v>
          </cell>
          <cell r="D1240" t="str">
            <v>1. SKK store</v>
          </cell>
          <cell r="E1240" t="str">
            <v>S1008</v>
          </cell>
          <cell r="F1240" t="str">
            <v>SKK  Hàng Bông</v>
          </cell>
          <cell r="G1240" t="str">
            <v>0986558555</v>
          </cell>
          <cell r="H1240" t="str">
            <v>cô Phạm Thị Sáu</v>
          </cell>
          <cell r="I1240" t="str">
            <v>Khách cũ</v>
          </cell>
          <cell r="J1240" t="str">
            <v>Đơn bán</v>
          </cell>
          <cell r="K1240" t="str">
            <v>SAKUKO774577</v>
          </cell>
          <cell r="L1240" t="str">
            <v>CHĂM SÓC SẮC ĐẸP</v>
          </cell>
          <cell r="M1240" t="str">
            <v>CHĂM SÓC DA</v>
          </cell>
          <cell r="N1240" t="str">
            <v>CHĂM SÓC DA KHÁC</v>
          </cell>
          <cell r="O1240" t="str">
            <v>102388</v>
          </cell>
          <cell r="P1240" t="str">
            <v>8935006542914</v>
          </cell>
          <cell r="Q1240" t="str">
            <v>HADA LABO- Bộ sản phẩm dưỡng trắng (travel kit)47g</v>
          </cell>
          <cell r="R1240">
            <v>135000</v>
          </cell>
          <cell r="S1240">
            <v>1</v>
          </cell>
          <cell r="T1240">
            <v>135000</v>
          </cell>
          <cell r="U1240">
            <v>0</v>
          </cell>
          <cell r="V1240">
            <v>135000</v>
          </cell>
          <cell r="W1240" t="str">
            <v>8935006542914</v>
          </cell>
        </row>
        <row r="1241">
          <cell r="A1241">
            <v>2026</v>
          </cell>
          <cell r="B1241">
            <v>5</v>
          </cell>
          <cell r="C1241">
            <v>46154</v>
          </cell>
          <cell r="D1241" t="str">
            <v>1. SKK store</v>
          </cell>
          <cell r="E1241" t="str">
            <v>S1008</v>
          </cell>
          <cell r="F1241" t="str">
            <v>SKK  Hàng Bông</v>
          </cell>
          <cell r="G1241" t="str">
            <v>0989122692</v>
          </cell>
          <cell r="H1241" t="str">
            <v>C Linh</v>
          </cell>
          <cell r="I1241" t="str">
            <v>Khách cũ</v>
          </cell>
          <cell r="J1241" t="str">
            <v>Đơn bán</v>
          </cell>
          <cell r="K1241" t="str">
            <v>SAKUKO774104</v>
          </cell>
          <cell r="L1241" t="str">
            <v>NHÀ CỬA ĐỜI SỐNG</v>
          </cell>
          <cell r="M1241" t="str">
            <v>PHÒNG CHỐNG CÔN TRÙNG</v>
          </cell>
          <cell r="N1241" t="str">
            <v>DIỆT CÔN TRÙNG</v>
          </cell>
          <cell r="O1241" t="str">
            <v>134478</v>
          </cell>
          <cell r="P1241" t="str">
            <v>4987115545939</v>
          </cell>
          <cell r="Q1241" t="str">
            <v>KINCHO-DD làm thơm phòng đuổi muỗi (không mùi)</v>
          </cell>
          <cell r="R1241">
            <v>199000</v>
          </cell>
          <cell r="S1241">
            <v>1</v>
          </cell>
          <cell r="T1241">
            <v>199000</v>
          </cell>
          <cell r="U1241">
            <v>9950</v>
          </cell>
          <cell r="V1241">
            <v>189050</v>
          </cell>
          <cell r="W1241" t="str">
            <v>4987115545939</v>
          </cell>
        </row>
        <row r="1242">
          <cell r="A1242">
            <v>2026</v>
          </cell>
          <cell r="B1242">
            <v>5</v>
          </cell>
          <cell r="C1242">
            <v>46154</v>
          </cell>
          <cell r="D1242" t="str">
            <v>1. SKK store</v>
          </cell>
          <cell r="E1242" t="str">
            <v>S1015</v>
          </cell>
          <cell r="F1242" t="str">
            <v>SKK Hàm Nghi</v>
          </cell>
          <cell r="G1242" t="str">
            <v>0913234472</v>
          </cell>
          <cell r="H1242" t="str">
            <v>Anh Hoàng Tùng</v>
          </cell>
          <cell r="I1242" t="str">
            <v>Khách cũ</v>
          </cell>
          <cell r="J1242" t="str">
            <v>Đơn bán</v>
          </cell>
          <cell r="K1242" t="str">
            <v>SAKUKO774613</v>
          </cell>
          <cell r="L1242" t="str">
            <v>THỰC PHẨM</v>
          </cell>
          <cell r="M1242" t="str">
            <v>BÁNH KẸO, ĐỒ ĂN VẶT</v>
          </cell>
          <cell r="N1242" t="str">
            <v>KẸO CAO SU</v>
          </cell>
          <cell r="O1242" t="str">
            <v>231374</v>
          </cell>
          <cell r="P1242" t="str">
            <v>4547894156315</v>
          </cell>
          <cell r="Q1242" t="str">
            <v>CLORETS-Kẹo cao su hương vị 4 mùa 140g</v>
          </cell>
          <cell r="R1242">
            <v>235000</v>
          </cell>
          <cell r="S1242">
            <v>1</v>
          </cell>
          <cell r="T1242">
            <v>235000</v>
          </cell>
          <cell r="U1242">
            <v>0</v>
          </cell>
          <cell r="V1242">
            <v>235000</v>
          </cell>
          <cell r="W1242" t="str">
            <v>4547894156315</v>
          </cell>
        </row>
        <row r="1243">
          <cell r="A1243">
            <v>2026</v>
          </cell>
          <cell r="B1243">
            <v>5</v>
          </cell>
          <cell r="C1243">
            <v>46154</v>
          </cell>
          <cell r="D1243" t="str">
            <v>1. SKK store</v>
          </cell>
          <cell r="E1243" t="str">
            <v>S1015</v>
          </cell>
          <cell r="F1243" t="str">
            <v>SKK Hàm Nghi</v>
          </cell>
          <cell r="G1243" t="str">
            <v>0913234472</v>
          </cell>
          <cell r="H1243" t="str">
            <v>Anh Hoàng Tùng</v>
          </cell>
          <cell r="I1243" t="str">
            <v>Khách cũ</v>
          </cell>
          <cell r="J1243" t="str">
            <v>Đơn bán</v>
          </cell>
          <cell r="K1243" t="str">
            <v>SAKUKO774613</v>
          </cell>
          <cell r="L1243" t="str">
            <v>THỰC PHẨM</v>
          </cell>
          <cell r="M1243" t="str">
            <v>BÁNH KẸO, ĐỒ ĂN VẶT</v>
          </cell>
          <cell r="N1243" t="str">
            <v>KẸO CAO SU</v>
          </cell>
          <cell r="O1243" t="str">
            <v>231376</v>
          </cell>
          <cell r="P1243" t="str">
            <v>4903333228577</v>
          </cell>
          <cell r="Q1243" t="str">
            <v>LOTTE-Kẹo cao su tổng hợp 7 loại dạng lọ 133g</v>
          </cell>
          <cell r="R1243">
            <v>235000</v>
          </cell>
          <cell r="S1243">
            <v>1</v>
          </cell>
          <cell r="T1243">
            <v>235000</v>
          </cell>
          <cell r="U1243">
            <v>0</v>
          </cell>
          <cell r="V1243">
            <v>235000</v>
          </cell>
          <cell r="W1243" t="str">
            <v>4903333228577</v>
          </cell>
        </row>
        <row r="1244">
          <cell r="A1244">
            <v>2026</v>
          </cell>
          <cell r="B1244">
            <v>5</v>
          </cell>
          <cell r="C1244">
            <v>46154</v>
          </cell>
          <cell r="D1244" t="str">
            <v>1. SKK store</v>
          </cell>
          <cell r="E1244" t="str">
            <v>S1018</v>
          </cell>
          <cell r="F1244" t="str">
            <v>SKK Nguyễn Tuân</v>
          </cell>
          <cell r="G1244" t="str">
            <v>0903040489</v>
          </cell>
          <cell r="H1244" t="str">
            <v>chị Ngọc Anh</v>
          </cell>
          <cell r="I1244" t="str">
            <v>Khách cũ</v>
          </cell>
          <cell r="J1244" t="str">
            <v>Đơn bán</v>
          </cell>
          <cell r="K1244" t="str">
            <v>SAKUKO774572</v>
          </cell>
          <cell r="L1244" t="str">
            <v>THỰC PHẨM</v>
          </cell>
          <cell r="M1244" t="str">
            <v>MỲ, MIẾN</v>
          </cell>
          <cell r="N1244" t="str">
            <v>MỲ ĂN LIỀN</v>
          </cell>
          <cell r="O1244" t="str">
            <v>154359</v>
          </cell>
          <cell r="P1244" t="str">
            <v>4979397000138</v>
          </cell>
          <cell r="Q1244" t="str">
            <v>YAMAMOTO- Mì ramen ăn liền hải sản thịt heo 88g*5</v>
          </cell>
          <cell r="R1244">
            <v>99000</v>
          </cell>
          <cell r="S1244">
            <v>2</v>
          </cell>
          <cell r="T1244">
            <v>198000</v>
          </cell>
          <cell r="U1244">
            <v>89100</v>
          </cell>
          <cell r="V1244">
            <v>108900</v>
          </cell>
          <cell r="W1244" t="str">
            <v>4979397000138</v>
          </cell>
        </row>
        <row r="1245">
          <cell r="A1245">
            <v>2026</v>
          </cell>
          <cell r="B1245">
            <v>5</v>
          </cell>
          <cell r="C1245">
            <v>46154</v>
          </cell>
          <cell r="D1245" t="str">
            <v>1. SKK store</v>
          </cell>
          <cell r="E1245" t="str">
            <v>S1025</v>
          </cell>
          <cell r="F1245" t="str">
            <v>SKK T6 Time City</v>
          </cell>
          <cell r="G1245" t="str">
            <v>0934692638</v>
          </cell>
          <cell r="H1245" t="str">
            <v>Chị Nguyễn Thị Kim Huyền</v>
          </cell>
          <cell r="I1245" t="str">
            <v>Khách cũ</v>
          </cell>
          <cell r="J1245" t="str">
            <v>Đơn bán</v>
          </cell>
          <cell r="K1245" t="str">
            <v>SAKUKO774503</v>
          </cell>
          <cell r="L1245" t="str">
            <v>THỰC PHẨM</v>
          </cell>
          <cell r="M1245" t="str">
            <v>MỲ, MIẾN</v>
          </cell>
          <cell r="N1245" t="str">
            <v>MỲ ĂN LIỀN</v>
          </cell>
          <cell r="O1245" t="str">
            <v>153693</v>
          </cell>
          <cell r="P1245" t="str">
            <v>4902881066440</v>
          </cell>
          <cell r="Q1245" t="str">
            <v>MYOJO- Mỳ ramen vị miso 5 gói</v>
          </cell>
          <cell r="R1245">
            <v>105000</v>
          </cell>
          <cell r="S1245">
            <v>1</v>
          </cell>
          <cell r="T1245">
            <v>105000</v>
          </cell>
          <cell r="U1245">
            <v>0</v>
          </cell>
          <cell r="V1245">
            <v>105000</v>
          </cell>
          <cell r="W1245" t="str">
            <v>4902881066440</v>
          </cell>
        </row>
        <row r="1246">
          <cell r="A1246">
            <v>2026</v>
          </cell>
          <cell r="B1246">
            <v>5</v>
          </cell>
          <cell r="C1246">
            <v>46154</v>
          </cell>
          <cell r="D1246" t="str">
            <v>1. SKK store</v>
          </cell>
          <cell r="E1246" t="str">
            <v>S1025</v>
          </cell>
          <cell r="F1246" t="str">
            <v>SKK T6 Time City</v>
          </cell>
          <cell r="G1246" t="str">
            <v>0936743366</v>
          </cell>
          <cell r="H1246" t="str">
            <v>C VAN ANH</v>
          </cell>
          <cell r="I1246" t="str">
            <v>Khách cũ</v>
          </cell>
          <cell r="J1246" t="str">
            <v>Đơn bán</v>
          </cell>
          <cell r="K1246" t="str">
            <v>SAKUKO773800</v>
          </cell>
          <cell r="L1246" t="str">
            <v>ĐỒ CHO MẸ BÉ</v>
          </cell>
          <cell r="M1246" t="str">
            <v>CHĂM SÓC CƠ THỂ BÉ</v>
          </cell>
          <cell r="N1246" t="str">
            <v>THỰC PHẨM CHỨC NĂNG CHO BÉ</v>
          </cell>
          <cell r="O1246" t="str">
            <v>121667</v>
          </cell>
          <cell r="P1246" t="str">
            <v>8436036590635</v>
          </cell>
          <cell r="Q1246" t="str">
            <v>NEO KIDS-TPBVSK Gummies K2ALCIUM+150g</v>
          </cell>
          <cell r="R1246">
            <v>390000</v>
          </cell>
          <cell r="S1246">
            <v>2</v>
          </cell>
          <cell r="T1246">
            <v>780000</v>
          </cell>
          <cell r="U1246">
            <v>0</v>
          </cell>
          <cell r="V1246">
            <v>780000</v>
          </cell>
          <cell r="W1246" t="str">
            <v>8436036590635</v>
          </cell>
        </row>
        <row r="1247">
          <cell r="A1247">
            <v>2026</v>
          </cell>
          <cell r="B1247">
            <v>5</v>
          </cell>
          <cell r="C1247">
            <v>46153</v>
          </cell>
          <cell r="D1247" t="str">
            <v>1. SKK store</v>
          </cell>
          <cell r="E1247" t="str">
            <v>S1004</v>
          </cell>
          <cell r="F1247" t="str">
            <v>SKK  Mandarin C1</v>
          </cell>
          <cell r="G1247" t="str">
            <v>0569868866</v>
          </cell>
          <cell r="H1247" t="str">
            <v>Chị Như</v>
          </cell>
          <cell r="I1247" t="str">
            <v>Khách cũ</v>
          </cell>
          <cell r="J1247" t="str">
            <v>Đơn bán</v>
          </cell>
          <cell r="K1247" t="str">
            <v>SAKUKO772803</v>
          </cell>
          <cell r="L1247" t="str">
            <v>NHÀ CỬA ĐỜI SỐNG</v>
          </cell>
          <cell r="M1247" t="str">
            <v>ĐỒ DÙNG SINH HOẠT GIA ĐÌNH</v>
          </cell>
          <cell r="N1247" t="str">
            <v>VẬT DỤNG SINH HOẠT KHÁC</v>
          </cell>
          <cell r="O1247" t="str">
            <v>135039</v>
          </cell>
          <cell r="P1247" t="str">
            <v>4968988074993</v>
          </cell>
          <cell r="Q1247" t="str">
            <v>OMAICHI- Set 2 lọ chiết mỹ phẩm 40ml kèm hộp đựng</v>
          </cell>
          <cell r="R1247">
            <v>52000</v>
          </cell>
          <cell r="S1247">
            <v>1</v>
          </cell>
          <cell r="T1247">
            <v>52000</v>
          </cell>
          <cell r="U1247">
            <v>0</v>
          </cell>
          <cell r="V1247">
            <v>52000</v>
          </cell>
          <cell r="W1247" t="str">
            <v>4968988074993</v>
          </cell>
        </row>
        <row r="1248">
          <cell r="A1248">
            <v>2026</v>
          </cell>
          <cell r="B1248">
            <v>5</v>
          </cell>
          <cell r="C1248">
            <v>46153</v>
          </cell>
          <cell r="D1248" t="str">
            <v>1. SKK store</v>
          </cell>
          <cell r="E1248" t="str">
            <v>S1004</v>
          </cell>
          <cell r="F1248" t="str">
            <v>SKK  Mandarin C1</v>
          </cell>
          <cell r="G1248" t="str">
            <v>0898888897</v>
          </cell>
          <cell r="H1248" t="str">
            <v>chị my</v>
          </cell>
          <cell r="I1248" t="str">
            <v>Khách mới</v>
          </cell>
          <cell r="J1248" t="str">
            <v>Đơn bán</v>
          </cell>
          <cell r="K1248" t="str">
            <v>SAKUKO772805</v>
          </cell>
          <cell r="L1248" t="str">
            <v>NHÀ CỬA ĐỜI SỐNG</v>
          </cell>
          <cell r="M1248" t="str">
            <v>ĐỒ DÙNG SINH HOẠT GIA ĐÌNH</v>
          </cell>
          <cell r="N1248" t="str">
            <v>VẬT DỤNG SINH HOẠT KHÁC</v>
          </cell>
          <cell r="O1248" t="str">
            <v>135039</v>
          </cell>
          <cell r="P1248" t="str">
            <v>4968988074993</v>
          </cell>
          <cell r="Q1248" t="str">
            <v>OMAICHI- Set 2 lọ chiết mỹ phẩm 40ml kèm hộp đựng</v>
          </cell>
          <cell r="R1248">
            <v>52000</v>
          </cell>
          <cell r="S1248">
            <v>1</v>
          </cell>
          <cell r="T1248">
            <v>52000</v>
          </cell>
          <cell r="U1248">
            <v>0</v>
          </cell>
          <cell r="V1248">
            <v>52000</v>
          </cell>
          <cell r="W1248" t="str">
            <v>4968988074993</v>
          </cell>
        </row>
        <row r="1249">
          <cell r="A1249">
            <v>2026</v>
          </cell>
          <cell r="B1249">
            <v>5</v>
          </cell>
          <cell r="C1249">
            <v>46153</v>
          </cell>
          <cell r="D1249" t="str">
            <v>1. SKK store</v>
          </cell>
          <cell r="E1249" t="str">
            <v>S1004</v>
          </cell>
          <cell r="F1249" t="str">
            <v>SKK  Mandarin C1</v>
          </cell>
          <cell r="G1249" t="str">
            <v>0936218028</v>
          </cell>
          <cell r="H1249" t="str">
            <v>Chị Quyên</v>
          </cell>
          <cell r="I1249" t="str">
            <v>Khách cũ</v>
          </cell>
          <cell r="J1249" t="str">
            <v>Đơn bán</v>
          </cell>
          <cell r="K1249" t="str">
            <v>SAKUKO772856</v>
          </cell>
          <cell r="L1249" t="str">
            <v>ĐỒ CHO MẸ BÉ</v>
          </cell>
          <cell r="M1249" t="str">
            <v>CHĂM SÓC CƠ THỂ BÉ</v>
          </cell>
          <cell r="N1249" t="str">
            <v>THỰC PHẨM CHỨC NĂNG CHO BÉ</v>
          </cell>
          <cell r="O1249" t="str">
            <v>121667</v>
          </cell>
          <cell r="P1249" t="str">
            <v>8436036590635</v>
          </cell>
          <cell r="Q1249" t="str">
            <v>NEO KIDS-TPBVSK Gummies K2ALCIUM+150g</v>
          </cell>
          <cell r="R1249">
            <v>390000</v>
          </cell>
          <cell r="S1249">
            <v>1</v>
          </cell>
          <cell r="T1249">
            <v>390000</v>
          </cell>
          <cell r="U1249">
            <v>0</v>
          </cell>
          <cell r="V1249">
            <v>390000</v>
          </cell>
          <cell r="W1249" t="str">
            <v>8436036590635</v>
          </cell>
        </row>
        <row r="1250">
          <cell r="A1250">
            <v>2026</v>
          </cell>
          <cell r="B1250">
            <v>5</v>
          </cell>
          <cell r="C1250">
            <v>46153</v>
          </cell>
          <cell r="D1250" t="str">
            <v>1. SKK store</v>
          </cell>
          <cell r="E1250" t="str">
            <v>S1004</v>
          </cell>
          <cell r="F1250" t="str">
            <v>SKK  Mandarin C1</v>
          </cell>
          <cell r="G1250" t="str">
            <v>0963010566</v>
          </cell>
          <cell r="H1250" t="str">
            <v>cô hồng vân</v>
          </cell>
          <cell r="I1250" t="str">
            <v>Khách cũ</v>
          </cell>
          <cell r="J1250" t="str">
            <v>Đơn bán</v>
          </cell>
          <cell r="K1250" t="str">
            <v>SAKUKO772478</v>
          </cell>
          <cell r="L1250" t="str">
            <v>NHÀ CỬA ĐỜI SỐNG</v>
          </cell>
          <cell r="M1250" t="str">
            <v>ĐỒ DÙNG SINH HOẠT GIA ĐÌNH</v>
          </cell>
          <cell r="N1250" t="str">
            <v>VẬT DỤNG SINH HOẠT KHÁC</v>
          </cell>
          <cell r="O1250" t="str">
            <v>135039</v>
          </cell>
          <cell r="P1250" t="str">
            <v>4968988074993</v>
          </cell>
          <cell r="Q1250" t="str">
            <v>OMAICHI- Set 2 lọ chiết mỹ phẩm 40ml kèm hộp đựng</v>
          </cell>
          <cell r="R1250">
            <v>52000</v>
          </cell>
          <cell r="S1250">
            <v>1</v>
          </cell>
          <cell r="T1250">
            <v>52000</v>
          </cell>
          <cell r="U1250">
            <v>0</v>
          </cell>
          <cell r="V1250">
            <v>52000</v>
          </cell>
          <cell r="W1250" t="str">
            <v>4968988074993</v>
          </cell>
        </row>
        <row r="1251">
          <cell r="A1251">
            <v>2026</v>
          </cell>
          <cell r="B1251">
            <v>5</v>
          </cell>
          <cell r="C1251">
            <v>46153</v>
          </cell>
          <cell r="D1251" t="str">
            <v>1. SKK store</v>
          </cell>
          <cell r="E1251" t="str">
            <v>S1006</v>
          </cell>
          <cell r="F1251" t="str">
            <v>SKK Trần Đăng Ninh</v>
          </cell>
          <cell r="G1251" t="str">
            <v>0902187999</v>
          </cell>
          <cell r="H1251" t="str">
            <v>chị hà</v>
          </cell>
          <cell r="I1251" t="str">
            <v>Khách cũ</v>
          </cell>
          <cell r="J1251" t="str">
            <v>Đơn bán</v>
          </cell>
          <cell r="K1251" t="str">
            <v>SAKUKO772626</v>
          </cell>
          <cell r="L1251" t="str">
            <v>THỰC PHẨM</v>
          </cell>
          <cell r="M1251" t="str">
            <v>BÁNH KẸO, ĐỒ ĂN VẶT</v>
          </cell>
          <cell r="N1251" t="str">
            <v>KẸO CAO SU</v>
          </cell>
          <cell r="O1251" t="str">
            <v>231376</v>
          </cell>
          <cell r="P1251" t="str">
            <v>4903333228577</v>
          </cell>
          <cell r="Q1251" t="str">
            <v>LOTTE-Kẹo cao su tổng hợp 7 loại dạng lọ 133g</v>
          </cell>
          <cell r="R1251">
            <v>235000</v>
          </cell>
          <cell r="S1251">
            <v>1</v>
          </cell>
          <cell r="T1251">
            <v>235000</v>
          </cell>
          <cell r="U1251">
            <v>0</v>
          </cell>
          <cell r="V1251">
            <v>235000</v>
          </cell>
          <cell r="W1251" t="str">
            <v>4903333228577</v>
          </cell>
        </row>
        <row r="1252">
          <cell r="A1252">
            <v>2026</v>
          </cell>
          <cell r="B1252">
            <v>5</v>
          </cell>
          <cell r="C1252">
            <v>46153</v>
          </cell>
          <cell r="D1252" t="str">
            <v>1. SKK store</v>
          </cell>
          <cell r="E1252" t="str">
            <v>S1006</v>
          </cell>
          <cell r="F1252" t="str">
            <v>SKK Trần Đăng Ninh</v>
          </cell>
          <cell r="G1252" t="str">
            <v>0904141048</v>
          </cell>
          <cell r="H1252" t="str">
            <v>Chị Nguyễn Thị Hồng Thu</v>
          </cell>
          <cell r="I1252" t="str">
            <v>Khách cũ</v>
          </cell>
          <cell r="J1252" t="str">
            <v>Đơn bán</v>
          </cell>
          <cell r="K1252" t="str">
            <v>SAKUKO772983</v>
          </cell>
          <cell r="L1252" t="str">
            <v>THỰC PHẨM</v>
          </cell>
          <cell r="M1252" t="str">
            <v>BÁNH KẸO, ĐỒ ĂN VẶT</v>
          </cell>
          <cell r="N1252" t="str">
            <v>KẸO CAO SU</v>
          </cell>
          <cell r="O1252" t="str">
            <v>231374</v>
          </cell>
          <cell r="P1252" t="str">
            <v>4547894156315</v>
          </cell>
          <cell r="Q1252" t="str">
            <v>CLORETS-Kẹo cao su hương vị 4 mùa 140g</v>
          </cell>
          <cell r="R1252">
            <v>235000</v>
          </cell>
          <cell r="S1252">
            <v>1</v>
          </cell>
          <cell r="T1252">
            <v>235000</v>
          </cell>
          <cell r="U1252">
            <v>0</v>
          </cell>
          <cell r="V1252">
            <v>235000</v>
          </cell>
          <cell r="W1252" t="str">
            <v>4547894156315</v>
          </cell>
        </row>
        <row r="1253">
          <cell r="A1253">
            <v>2026</v>
          </cell>
          <cell r="B1253">
            <v>5</v>
          </cell>
          <cell r="C1253">
            <v>46153</v>
          </cell>
          <cell r="D1253" t="str">
            <v>1. SKK store</v>
          </cell>
          <cell r="E1253" t="str">
            <v>S1006</v>
          </cell>
          <cell r="F1253" t="str">
            <v>SKK Trần Đăng Ninh</v>
          </cell>
          <cell r="G1253" t="str">
            <v>0964622888</v>
          </cell>
          <cell r="H1253" t="str">
            <v>Chị Hồng</v>
          </cell>
          <cell r="I1253" t="str">
            <v>Khách cũ</v>
          </cell>
          <cell r="J1253" t="str">
            <v>Đơn bán</v>
          </cell>
          <cell r="K1253" t="str">
            <v>SAKUKO773167</v>
          </cell>
          <cell r="L1253" t="str">
            <v>NHÀ CỬA ĐỜI SỐNG</v>
          </cell>
          <cell r="M1253" t="str">
            <v>PHÒNG CHỐNG CÔN TRÙNG</v>
          </cell>
          <cell r="N1253" t="str">
            <v>DIỆT CÔN TRÙNG</v>
          </cell>
          <cell r="O1253" t="str">
            <v>134478</v>
          </cell>
          <cell r="P1253" t="str">
            <v>4987115545939</v>
          </cell>
          <cell r="Q1253" t="str">
            <v>KINCHO-DD làm thơm phòng đuổi muỗi (không mùi)</v>
          </cell>
          <cell r="R1253">
            <v>199000</v>
          </cell>
          <cell r="S1253">
            <v>1</v>
          </cell>
          <cell r="T1253">
            <v>199000</v>
          </cell>
          <cell r="U1253">
            <v>9950</v>
          </cell>
          <cell r="V1253">
            <v>189050</v>
          </cell>
          <cell r="W1253" t="str">
            <v>4987115545939</v>
          </cell>
        </row>
        <row r="1254">
          <cell r="A1254">
            <v>2026</v>
          </cell>
          <cell r="B1254">
            <v>5</v>
          </cell>
          <cell r="C1254">
            <v>46153</v>
          </cell>
          <cell r="D1254" t="str">
            <v>1. SKK store</v>
          </cell>
          <cell r="E1254" t="str">
            <v>S1006</v>
          </cell>
          <cell r="F1254" t="str">
            <v>SKK Trần Đăng Ninh</v>
          </cell>
          <cell r="G1254" t="str">
            <v>0986529168</v>
          </cell>
          <cell r="H1254" t="str">
            <v>Chị oanh</v>
          </cell>
          <cell r="I1254" t="str">
            <v>Khách cũ</v>
          </cell>
          <cell r="J1254" t="str">
            <v>Đơn bán</v>
          </cell>
          <cell r="K1254" t="str">
            <v>SAKUKO773277</v>
          </cell>
          <cell r="L1254" t="str">
            <v>ĐỒ CHO MẸ BÉ</v>
          </cell>
          <cell r="M1254" t="str">
            <v>GIẤY ƯỚT</v>
          </cell>
          <cell r="N1254" t="str">
            <v>GIẤY ƯỚT CHO BÉ</v>
          </cell>
          <cell r="O1254" t="str">
            <v>121665</v>
          </cell>
          <cell r="P1254" t="str">
            <v>8934755035289</v>
          </cell>
          <cell r="Q1254" t="str">
            <v>BOBBY- Khăn ướt em bé không mùi 100 miếng</v>
          </cell>
          <cell r="R1254">
            <v>46000</v>
          </cell>
          <cell r="S1254">
            <v>1</v>
          </cell>
          <cell r="T1254">
            <v>46000</v>
          </cell>
          <cell r="U1254">
            <v>0</v>
          </cell>
          <cell r="V1254">
            <v>46000</v>
          </cell>
          <cell r="W1254" t="str">
            <v>8934755035289</v>
          </cell>
        </row>
        <row r="1255">
          <cell r="A1255">
            <v>2026</v>
          </cell>
          <cell r="B1255">
            <v>5</v>
          </cell>
          <cell r="C1255">
            <v>46153</v>
          </cell>
          <cell r="D1255" t="str">
            <v>1. SKK store</v>
          </cell>
          <cell r="E1255" t="str">
            <v>S1008</v>
          </cell>
          <cell r="F1255" t="str">
            <v>SKK  Hàng Bông</v>
          </cell>
          <cell r="G1255" t="str">
            <v>0912020312</v>
          </cell>
          <cell r="H1255" t="str">
            <v>Cô Quỳnh Hương</v>
          </cell>
          <cell r="I1255" t="str">
            <v>Khách cũ</v>
          </cell>
          <cell r="J1255" t="str">
            <v>Đơn bán</v>
          </cell>
          <cell r="K1255" t="str">
            <v>SAKUKO773119</v>
          </cell>
          <cell r="L1255" t="str">
            <v>ĐỒ CHO MẸ BÉ</v>
          </cell>
          <cell r="M1255" t="str">
            <v>GIẤY ƯỚT</v>
          </cell>
          <cell r="N1255" t="str">
            <v>GIẤY ƯỚT CHO BÉ</v>
          </cell>
          <cell r="O1255" t="str">
            <v>121663</v>
          </cell>
          <cell r="P1255" t="str">
            <v>8934755035197</v>
          </cell>
          <cell r="Q1255" t="str">
            <v>FRESSI- Khăn ướt Care For All 100 miếng</v>
          </cell>
          <cell r="R1255">
            <v>49000</v>
          </cell>
          <cell r="S1255">
            <v>1</v>
          </cell>
          <cell r="T1255">
            <v>49000</v>
          </cell>
          <cell r="U1255">
            <v>0</v>
          </cell>
          <cell r="V1255">
            <v>49000</v>
          </cell>
          <cell r="W1255" t="str">
            <v>8934755035197</v>
          </cell>
        </row>
        <row r="1256">
          <cell r="A1256">
            <v>2026</v>
          </cell>
          <cell r="B1256">
            <v>5</v>
          </cell>
          <cell r="C1256">
            <v>46153</v>
          </cell>
          <cell r="D1256" t="str">
            <v>1. SKK store</v>
          </cell>
          <cell r="E1256" t="str">
            <v>S1008</v>
          </cell>
          <cell r="F1256" t="str">
            <v>SKK  Hàng Bông</v>
          </cell>
          <cell r="G1256" t="str">
            <v>0912345532</v>
          </cell>
          <cell r="H1256" t="str">
            <v>Cô Linh</v>
          </cell>
          <cell r="I1256" t="str">
            <v>Khách cũ</v>
          </cell>
          <cell r="J1256" t="str">
            <v>Đơn bán</v>
          </cell>
          <cell r="K1256" t="str">
            <v>SAKUKO772981</v>
          </cell>
          <cell r="L1256" t="str">
            <v>THỰC PHẨM</v>
          </cell>
          <cell r="M1256" t="str">
            <v>MỲ, MIẾN</v>
          </cell>
          <cell r="N1256" t="str">
            <v>MỲ CHẾ BIẾN</v>
          </cell>
          <cell r="O1256" t="str">
            <v>175435</v>
          </cell>
          <cell r="P1256" t="str">
            <v>4901726014752</v>
          </cell>
          <cell r="Q1256" t="str">
            <v>ITSUKI FOODS- Mì soumen rau củ ngũ sắc320g</v>
          </cell>
          <cell r="R1256">
            <v>76000</v>
          </cell>
          <cell r="S1256">
            <v>4</v>
          </cell>
          <cell r="T1256">
            <v>304000</v>
          </cell>
          <cell r="U1256">
            <v>0</v>
          </cell>
          <cell r="V1256">
            <v>304000</v>
          </cell>
          <cell r="W1256" t="str">
            <v>4901726014752</v>
          </cell>
        </row>
        <row r="1257">
          <cell r="A1257">
            <v>2026</v>
          </cell>
          <cell r="B1257">
            <v>5</v>
          </cell>
          <cell r="C1257">
            <v>46153</v>
          </cell>
          <cell r="D1257" t="str">
            <v>1. SKK store</v>
          </cell>
          <cell r="E1257" t="str">
            <v>S1008</v>
          </cell>
          <cell r="F1257" t="str">
            <v>SKK  Hàng Bông</v>
          </cell>
          <cell r="G1257" t="str">
            <v>0916120391</v>
          </cell>
          <cell r="H1257" t="str">
            <v>A Chí</v>
          </cell>
          <cell r="I1257" t="str">
            <v>Khách cũ</v>
          </cell>
          <cell r="J1257" t="str">
            <v>Đơn bán</v>
          </cell>
          <cell r="K1257" t="str">
            <v>SAKUKO773419</v>
          </cell>
          <cell r="L1257" t="str">
            <v>THỰC PHẨM</v>
          </cell>
          <cell r="M1257" t="str">
            <v>BÁNH KẸO, ĐỒ ĂN VẶT</v>
          </cell>
          <cell r="N1257" t="str">
            <v>KẸO CAO SU</v>
          </cell>
          <cell r="O1257" t="str">
            <v>231376</v>
          </cell>
          <cell r="P1257" t="str">
            <v>4903333228577</v>
          </cell>
          <cell r="Q1257" t="str">
            <v>LOTTE-Kẹo cao su tổng hợp 7 loại dạng lọ 133g</v>
          </cell>
          <cell r="R1257">
            <v>235000</v>
          </cell>
          <cell r="S1257">
            <v>1</v>
          </cell>
          <cell r="T1257">
            <v>235000</v>
          </cell>
          <cell r="U1257">
            <v>0</v>
          </cell>
          <cell r="V1257">
            <v>235000</v>
          </cell>
          <cell r="W1257" t="str">
            <v>4903333228577</v>
          </cell>
        </row>
        <row r="1258">
          <cell r="A1258">
            <v>2026</v>
          </cell>
          <cell r="B1258">
            <v>5</v>
          </cell>
          <cell r="C1258">
            <v>46153</v>
          </cell>
          <cell r="D1258" t="str">
            <v>1. SKK store</v>
          </cell>
          <cell r="E1258" t="str">
            <v>S1015</v>
          </cell>
          <cell r="F1258" t="str">
            <v>SKK Hàm Nghi</v>
          </cell>
          <cell r="G1258" t="str">
            <v>0915439229</v>
          </cell>
          <cell r="H1258" t="str">
            <v>Chị Quỳnh</v>
          </cell>
          <cell r="I1258" t="str">
            <v>Khách cũ</v>
          </cell>
          <cell r="J1258" t="str">
            <v>Đơn bán</v>
          </cell>
          <cell r="K1258" t="str">
            <v>SAKUKO773431</v>
          </cell>
          <cell r="L1258" t="str">
            <v>THỰC PHẨM</v>
          </cell>
          <cell r="M1258" t="str">
            <v>BÁNH KẸO, ĐỒ ĂN VẶT</v>
          </cell>
          <cell r="N1258" t="str">
            <v>KẸO CAO SU</v>
          </cell>
          <cell r="O1258" t="str">
            <v>231376</v>
          </cell>
          <cell r="P1258" t="str">
            <v>4903333228577</v>
          </cell>
          <cell r="Q1258" t="str">
            <v>LOTTE-Kẹo cao su tổng hợp 7 loại dạng lọ 133g</v>
          </cell>
          <cell r="R1258">
            <v>235000</v>
          </cell>
          <cell r="S1258">
            <v>1</v>
          </cell>
          <cell r="T1258">
            <v>235000</v>
          </cell>
          <cell r="U1258">
            <v>0</v>
          </cell>
          <cell r="V1258">
            <v>235000</v>
          </cell>
          <cell r="W1258" t="str">
            <v>4903333228577</v>
          </cell>
        </row>
        <row r="1259">
          <cell r="A1259">
            <v>2026</v>
          </cell>
          <cell r="B1259">
            <v>5</v>
          </cell>
          <cell r="C1259">
            <v>46153</v>
          </cell>
          <cell r="D1259" t="str">
            <v>1. SKK store</v>
          </cell>
          <cell r="E1259" t="str">
            <v>S1015</v>
          </cell>
          <cell r="F1259" t="str">
            <v>SKK Hàm Nghi</v>
          </cell>
          <cell r="G1259" t="str">
            <v>0915439229</v>
          </cell>
          <cell r="H1259" t="str">
            <v>Chị Quỳnh</v>
          </cell>
          <cell r="I1259" t="str">
            <v>Khách cũ</v>
          </cell>
          <cell r="J1259" t="str">
            <v>Đơn bán</v>
          </cell>
          <cell r="K1259" t="str">
            <v>SAKUKO773431</v>
          </cell>
          <cell r="L1259" t="str">
            <v>THỰC PHẨM</v>
          </cell>
          <cell r="M1259" t="str">
            <v>BÁNH KẸO, ĐỒ ĂN VẶT</v>
          </cell>
          <cell r="N1259" t="str">
            <v>KẸO CAO SU</v>
          </cell>
          <cell r="O1259" t="str">
            <v>231377</v>
          </cell>
          <cell r="P1259" t="str">
            <v>4903333200375</v>
          </cell>
          <cell r="Q1259" t="str">
            <v>LOTTE-Kẹo cao su tổng hợp dạng lọ 114g</v>
          </cell>
          <cell r="R1259">
            <v>235000</v>
          </cell>
          <cell r="S1259">
            <v>1</v>
          </cell>
          <cell r="T1259">
            <v>235000</v>
          </cell>
          <cell r="U1259">
            <v>0</v>
          </cell>
          <cell r="V1259">
            <v>235000</v>
          </cell>
          <cell r="W1259" t="str">
            <v>4903333200375</v>
          </cell>
        </row>
        <row r="1260">
          <cell r="A1260">
            <v>2026</v>
          </cell>
          <cell r="B1260">
            <v>5</v>
          </cell>
          <cell r="C1260">
            <v>46153</v>
          </cell>
          <cell r="D1260" t="str">
            <v>1. SKK store</v>
          </cell>
          <cell r="E1260" t="str">
            <v>S1015</v>
          </cell>
          <cell r="F1260" t="str">
            <v>SKK Hàm Nghi</v>
          </cell>
          <cell r="G1260" t="str">
            <v>0975997818</v>
          </cell>
          <cell r="H1260" t="str">
            <v>Chị Thúy</v>
          </cell>
          <cell r="I1260" t="str">
            <v>Khách cũ</v>
          </cell>
          <cell r="J1260" t="str">
            <v>Đơn bán</v>
          </cell>
          <cell r="K1260" t="str">
            <v>SAKUKO772961</v>
          </cell>
          <cell r="L1260" t="str">
            <v>CHĂM SÓC SẮC ĐẸP</v>
          </cell>
          <cell r="M1260" t="str">
            <v>CHĂM SÓC DA</v>
          </cell>
          <cell r="N1260" t="str">
            <v>KEM DƯỠNG</v>
          </cell>
          <cell r="O1260" t="str">
            <v>102420</v>
          </cell>
          <cell r="P1260" t="str">
            <v>4902468820007</v>
          </cell>
          <cell r="Q1260" t="str">
            <v>MEISHOKU- Tinh chất dưỡng ẩm chuyên sâu 30ml</v>
          </cell>
          <cell r="R1260">
            <v>555000</v>
          </cell>
          <cell r="S1260">
            <v>1</v>
          </cell>
          <cell r="T1260">
            <v>555000</v>
          </cell>
          <cell r="U1260">
            <v>0</v>
          </cell>
          <cell r="V1260">
            <v>555000</v>
          </cell>
          <cell r="W1260" t="str">
            <v>4902468820007</v>
          </cell>
        </row>
        <row r="1261">
          <cell r="A1261">
            <v>2026</v>
          </cell>
          <cell r="B1261">
            <v>5</v>
          </cell>
          <cell r="C1261">
            <v>46153</v>
          </cell>
          <cell r="D1261" t="str">
            <v>1. SKK store</v>
          </cell>
          <cell r="E1261" t="str">
            <v>S1025</v>
          </cell>
          <cell r="F1261" t="str">
            <v>SKK T6 Time City</v>
          </cell>
          <cell r="G1261" t="str">
            <v>0365508885</v>
          </cell>
          <cell r="H1261" t="str">
            <v>Chị Hằng</v>
          </cell>
          <cell r="I1261" t="str">
            <v>Khách cũ</v>
          </cell>
          <cell r="J1261" t="str">
            <v>Đơn bán</v>
          </cell>
          <cell r="K1261" t="str">
            <v>SAKUKO772608</v>
          </cell>
          <cell r="L1261" t="str">
            <v>NHÀ CỬA ĐỜI SỐNG</v>
          </cell>
          <cell r="M1261" t="str">
            <v>ĐỒ DÙNG SINH HOẠT GIA ĐÌNH</v>
          </cell>
          <cell r="N1261" t="str">
            <v>VẬT DỤNG SINH HOẠT KHÁC</v>
          </cell>
          <cell r="O1261" t="str">
            <v>135039</v>
          </cell>
          <cell r="P1261" t="str">
            <v>4968988074993</v>
          </cell>
          <cell r="Q1261" t="str">
            <v>OMAICHI- Set 2 lọ chiết mỹ phẩm 40ml kèm hộp đựng</v>
          </cell>
          <cell r="R1261">
            <v>52000</v>
          </cell>
          <cell r="S1261">
            <v>1</v>
          </cell>
          <cell r="T1261">
            <v>52000</v>
          </cell>
          <cell r="U1261">
            <v>0</v>
          </cell>
          <cell r="V1261">
            <v>52000</v>
          </cell>
          <cell r="W1261" t="str">
            <v>4968988074993</v>
          </cell>
        </row>
        <row r="1262">
          <cell r="A1262">
            <v>2026</v>
          </cell>
          <cell r="B1262">
            <v>5</v>
          </cell>
          <cell r="C1262">
            <v>46152</v>
          </cell>
          <cell r="D1262" t="str">
            <v>1. SKK store</v>
          </cell>
          <cell r="E1262" t="str">
            <v>S1004</v>
          </cell>
          <cell r="F1262" t="str">
            <v>SKK  Mandarin C1</v>
          </cell>
          <cell r="G1262" t="str">
            <v>0982108118</v>
          </cell>
          <cell r="H1262" t="str">
            <v>Chi Mai</v>
          </cell>
          <cell r="I1262" t="str">
            <v>Khách cũ</v>
          </cell>
          <cell r="J1262" t="str">
            <v>Đơn bán</v>
          </cell>
          <cell r="K1262" t="str">
            <v>SAKUKO771318</v>
          </cell>
          <cell r="L1262" t="str">
            <v>ĐỒ CHO MẸ BÉ</v>
          </cell>
          <cell r="M1262" t="str">
            <v>GIẤY ƯỚT</v>
          </cell>
          <cell r="N1262" t="str">
            <v>GIẤY ƯỚT CHO BÉ</v>
          </cell>
          <cell r="O1262" t="str">
            <v>121665</v>
          </cell>
          <cell r="P1262" t="str">
            <v>8934755035289</v>
          </cell>
          <cell r="Q1262" t="str">
            <v>BOBBY- Khăn ướt em bé không mùi 100 miếng</v>
          </cell>
          <cell r="R1262">
            <v>46000</v>
          </cell>
          <cell r="S1262">
            <v>1</v>
          </cell>
          <cell r="T1262">
            <v>46000</v>
          </cell>
          <cell r="U1262">
            <v>0</v>
          </cell>
          <cell r="V1262">
            <v>46000</v>
          </cell>
          <cell r="W1262" t="str">
            <v>8934755035289</v>
          </cell>
        </row>
        <row r="1263">
          <cell r="A1263">
            <v>2026</v>
          </cell>
          <cell r="B1263">
            <v>5</v>
          </cell>
          <cell r="C1263">
            <v>46152</v>
          </cell>
          <cell r="D1263" t="str">
            <v>1. SKK store</v>
          </cell>
          <cell r="E1263" t="str">
            <v>S1005</v>
          </cell>
          <cell r="F1263" t="str">
            <v>SKK  Thái Hà</v>
          </cell>
          <cell r="G1263" t="str">
            <v>02466810505</v>
          </cell>
          <cell r="H1263" t="str">
            <v>klth</v>
          </cell>
          <cell r="I1263" t="str">
            <v>Khách vãng lai</v>
          </cell>
          <cell r="J1263" t="str">
            <v>Đơn bán</v>
          </cell>
          <cell r="K1263" t="str">
            <v>SAKUKO771745</v>
          </cell>
          <cell r="L1263" t="str">
            <v>THỰC PHẨM</v>
          </cell>
          <cell r="M1263" t="str">
            <v>BÁNH KẸO, ĐỒ ĂN VẶT</v>
          </cell>
          <cell r="N1263" t="str">
            <v>KẸO CAO SU</v>
          </cell>
          <cell r="O1263" t="str">
            <v>231377</v>
          </cell>
          <cell r="P1263" t="str">
            <v>4903333200375</v>
          </cell>
          <cell r="Q1263" t="str">
            <v>LOTTE-Kẹo cao su tổng hợp dạng lọ 114g</v>
          </cell>
          <cell r="R1263">
            <v>235000</v>
          </cell>
          <cell r="S1263">
            <v>1</v>
          </cell>
          <cell r="T1263">
            <v>235000</v>
          </cell>
          <cell r="U1263">
            <v>0</v>
          </cell>
          <cell r="V1263">
            <v>235000</v>
          </cell>
          <cell r="W1263" t="str">
            <v>4903333200375</v>
          </cell>
        </row>
        <row r="1264">
          <cell r="A1264">
            <v>2026</v>
          </cell>
          <cell r="B1264">
            <v>5</v>
          </cell>
          <cell r="C1264">
            <v>46152</v>
          </cell>
          <cell r="D1264" t="str">
            <v>1. SKK store</v>
          </cell>
          <cell r="E1264" t="str">
            <v>S1005</v>
          </cell>
          <cell r="F1264" t="str">
            <v>SKK  Thái Hà</v>
          </cell>
          <cell r="G1264" t="str">
            <v>0942436699</v>
          </cell>
          <cell r="H1264" t="str">
            <v>Trần Phương Thảo</v>
          </cell>
          <cell r="I1264" t="str">
            <v>Khách cũ</v>
          </cell>
          <cell r="J1264" t="str">
            <v>Đơn bán</v>
          </cell>
          <cell r="K1264" t="str">
            <v>SAKUKO771182</v>
          </cell>
          <cell r="L1264" t="str">
            <v>CHĂM SÓC SẮC ĐẸP</v>
          </cell>
          <cell r="M1264" t="str">
            <v>CHĂM SÓC DA</v>
          </cell>
          <cell r="N1264" t="str">
            <v>RỬA MẶT</v>
          </cell>
          <cell r="O1264" t="str">
            <v>230269</v>
          </cell>
          <cell r="P1264" t="str">
            <v>4987241173242</v>
          </cell>
          <cell r="Q1264" t="str">
            <v>ROHTO- SRM Melano CC mờ thâm nám (130g)</v>
          </cell>
          <cell r="R1264">
            <v>294000</v>
          </cell>
          <cell r="S1264">
            <v>1</v>
          </cell>
          <cell r="T1264">
            <v>294000</v>
          </cell>
          <cell r="U1264">
            <v>0</v>
          </cell>
          <cell r="V1264">
            <v>294000</v>
          </cell>
          <cell r="W1264" t="str">
            <v>4987241173242</v>
          </cell>
        </row>
        <row r="1265">
          <cell r="A1265">
            <v>2026</v>
          </cell>
          <cell r="B1265">
            <v>5</v>
          </cell>
          <cell r="C1265">
            <v>46152</v>
          </cell>
          <cell r="D1265" t="str">
            <v>1. SKK store</v>
          </cell>
          <cell r="E1265" t="str">
            <v>S1006</v>
          </cell>
          <cell r="F1265" t="str">
            <v>SKK Trần Đăng Ninh</v>
          </cell>
          <cell r="G1265" t="str">
            <v>0965653886</v>
          </cell>
          <cell r="H1265" t="str">
            <v>Chị AN</v>
          </cell>
          <cell r="I1265" t="str">
            <v>Khách mới</v>
          </cell>
          <cell r="J1265" t="str">
            <v>Đơn bán</v>
          </cell>
          <cell r="K1265" t="str">
            <v>SAKUKO771328</v>
          </cell>
          <cell r="L1265" t="str">
            <v>NHÀ CỬA ĐỜI SỐNG</v>
          </cell>
          <cell r="M1265" t="str">
            <v>KHĂN</v>
          </cell>
          <cell r="N1265" t="str">
            <v>KHĂN MẶT</v>
          </cell>
          <cell r="O1265" t="str">
            <v>102390</v>
          </cell>
          <cell r="P1265" t="str">
            <v>4906327905980</v>
          </cell>
          <cell r="Q1265" t="str">
            <v>KOMODA - Khăn mặt khô dùng 1 lần 46m 20x20cm</v>
          </cell>
          <cell r="R1265">
            <v>52000</v>
          </cell>
          <cell r="S1265">
            <v>1</v>
          </cell>
          <cell r="T1265">
            <v>52000</v>
          </cell>
          <cell r="U1265">
            <v>0</v>
          </cell>
          <cell r="V1265">
            <v>52000</v>
          </cell>
          <cell r="W1265" t="str">
            <v>4906327905980</v>
          </cell>
        </row>
        <row r="1266">
          <cell r="A1266">
            <v>2026</v>
          </cell>
          <cell r="B1266">
            <v>5</v>
          </cell>
          <cell r="C1266">
            <v>46152</v>
          </cell>
          <cell r="D1266" t="str">
            <v>1. SKK store</v>
          </cell>
          <cell r="E1266" t="str">
            <v>S1006</v>
          </cell>
          <cell r="F1266" t="str">
            <v>SKK Trần Đăng Ninh</v>
          </cell>
          <cell r="G1266" t="str">
            <v>0989537370</v>
          </cell>
          <cell r="H1266" t="str">
            <v>Anh Thành</v>
          </cell>
          <cell r="I1266" t="str">
            <v>Khách cũ</v>
          </cell>
          <cell r="J1266" t="str">
            <v>Đơn bán</v>
          </cell>
          <cell r="K1266" t="str">
            <v>SAKUKO772047</v>
          </cell>
          <cell r="L1266" t="str">
            <v>CHĂM SÓC SẮC ĐẸP</v>
          </cell>
          <cell r="M1266" t="str">
            <v>Mỹ phẩm khác</v>
          </cell>
          <cell r="N1266" t="str">
            <v>PHỤ KIỆN LÀM ĐẸP</v>
          </cell>
          <cell r="O1266" t="str">
            <v>102389</v>
          </cell>
          <cell r="P1266" t="str">
            <v>4969757110652</v>
          </cell>
          <cell r="Q1266" t="str">
            <v>KYOWA- Gói bông tẩy trang 130 miếng</v>
          </cell>
          <cell r="R1266">
            <v>49000</v>
          </cell>
          <cell r="S1266">
            <v>1</v>
          </cell>
          <cell r="T1266">
            <v>49000</v>
          </cell>
          <cell r="U1266">
            <v>0</v>
          </cell>
          <cell r="V1266">
            <v>49000</v>
          </cell>
          <cell r="W1266" t="str">
            <v>4969757110652</v>
          </cell>
        </row>
        <row r="1267">
          <cell r="A1267">
            <v>2026</v>
          </cell>
          <cell r="B1267">
            <v>5</v>
          </cell>
          <cell r="C1267">
            <v>46152</v>
          </cell>
          <cell r="D1267" t="str">
            <v>1. SKK store</v>
          </cell>
          <cell r="E1267" t="str">
            <v>S1006</v>
          </cell>
          <cell r="F1267" t="str">
            <v>SKK Trần Đăng Ninh</v>
          </cell>
          <cell r="G1267" t="str">
            <v>0989537370</v>
          </cell>
          <cell r="H1267" t="str">
            <v>Anh Thành</v>
          </cell>
          <cell r="I1267" t="str">
            <v>Khách cũ</v>
          </cell>
          <cell r="J1267" t="str">
            <v>Đơn bán</v>
          </cell>
          <cell r="K1267" t="str">
            <v>SAKUKO772047</v>
          </cell>
          <cell r="L1267" t="str">
            <v>NHÀ CỬA ĐỜI SỐNG</v>
          </cell>
          <cell r="M1267" t="str">
            <v>KHĂN</v>
          </cell>
          <cell r="N1267" t="str">
            <v>KHĂN MẶT</v>
          </cell>
          <cell r="O1267" t="str">
            <v>102390</v>
          </cell>
          <cell r="P1267" t="str">
            <v>4906327905980</v>
          </cell>
          <cell r="Q1267" t="str">
            <v>KOMODA - Khăn mặt khô dùng 1 lần 46m 20x20cm</v>
          </cell>
          <cell r="R1267">
            <v>52000</v>
          </cell>
          <cell r="S1267">
            <v>1</v>
          </cell>
          <cell r="T1267">
            <v>52000</v>
          </cell>
          <cell r="U1267">
            <v>0</v>
          </cell>
          <cell r="V1267">
            <v>52000</v>
          </cell>
          <cell r="W1267" t="str">
            <v>4906327905980</v>
          </cell>
        </row>
        <row r="1268">
          <cell r="A1268">
            <v>2026</v>
          </cell>
          <cell r="B1268">
            <v>5</v>
          </cell>
          <cell r="C1268">
            <v>46152</v>
          </cell>
          <cell r="D1268" t="str">
            <v>1. SKK store</v>
          </cell>
          <cell r="E1268" t="str">
            <v>S1007</v>
          </cell>
          <cell r="F1268" t="str">
            <v>SKK  Nguyễn Du</v>
          </cell>
          <cell r="G1268" t="str">
            <v>0862954339</v>
          </cell>
          <cell r="H1268" t="str">
            <v>Klnd</v>
          </cell>
          <cell r="I1268" t="str">
            <v>Khách vãng lai</v>
          </cell>
          <cell r="J1268" t="str">
            <v>Đơn bán</v>
          </cell>
          <cell r="K1268" t="str">
            <v>SAKUKO771463</v>
          </cell>
          <cell r="L1268" t="str">
            <v>CHĂM SÓC SẮC ĐẸP</v>
          </cell>
          <cell r="M1268" t="str">
            <v>CHĂM SÓC DA</v>
          </cell>
          <cell r="N1268" t="str">
            <v>KEM DƯỠNG</v>
          </cell>
          <cell r="O1268" t="str">
            <v>102384</v>
          </cell>
          <cell r="P1268" t="str">
            <v>4902468820014</v>
          </cell>
          <cell r="Q1268" t="str">
            <v>MEISHOKU- Kem gel dưỡng ẩm phục hồi chuyên sâu 50g</v>
          </cell>
          <cell r="R1268">
            <v>575000</v>
          </cell>
          <cell r="S1268">
            <v>1</v>
          </cell>
          <cell r="T1268">
            <v>575000</v>
          </cell>
          <cell r="U1268">
            <v>0</v>
          </cell>
          <cell r="V1268">
            <v>575000</v>
          </cell>
          <cell r="W1268" t="str">
            <v>4902468820014</v>
          </cell>
        </row>
        <row r="1269">
          <cell r="A1269">
            <v>2026</v>
          </cell>
          <cell r="B1269">
            <v>5</v>
          </cell>
          <cell r="C1269">
            <v>46152</v>
          </cell>
          <cell r="D1269" t="str">
            <v>1. SKK store</v>
          </cell>
          <cell r="E1269" t="str">
            <v>S1007</v>
          </cell>
          <cell r="F1269" t="str">
            <v>SKK  Nguyễn Du</v>
          </cell>
          <cell r="G1269" t="str">
            <v>0904114867</v>
          </cell>
          <cell r="H1269" t="str">
            <v>Chị Nga</v>
          </cell>
          <cell r="I1269" t="str">
            <v>Khách cũ</v>
          </cell>
          <cell r="J1269" t="str">
            <v>Đơn bán</v>
          </cell>
          <cell r="K1269" t="str">
            <v>SAKUKO771202</v>
          </cell>
          <cell r="L1269" t="str">
            <v>CHĂM SÓC SẮC ĐẸP</v>
          </cell>
          <cell r="M1269" t="str">
            <v>CHĂM SÓC DA</v>
          </cell>
          <cell r="N1269" t="str">
            <v>KEM DƯỠNG</v>
          </cell>
          <cell r="O1269" t="str">
            <v>102384</v>
          </cell>
          <cell r="P1269" t="str">
            <v>4902468820014</v>
          </cell>
          <cell r="Q1269" t="str">
            <v>MEISHOKU- Kem gel dưỡng ẩm phục hồi chuyên sâu 50g</v>
          </cell>
          <cell r="R1269">
            <v>575000</v>
          </cell>
          <cell r="S1269">
            <v>1</v>
          </cell>
          <cell r="T1269">
            <v>575000</v>
          </cell>
          <cell r="U1269">
            <v>0</v>
          </cell>
          <cell r="V1269">
            <v>575000</v>
          </cell>
          <cell r="W1269" t="str">
            <v>4902468820014</v>
          </cell>
        </row>
        <row r="1270">
          <cell r="A1270">
            <v>2026</v>
          </cell>
          <cell r="B1270">
            <v>5</v>
          </cell>
          <cell r="C1270">
            <v>46152</v>
          </cell>
          <cell r="D1270" t="str">
            <v>1. SKK store</v>
          </cell>
          <cell r="E1270" t="str">
            <v>S1008</v>
          </cell>
          <cell r="F1270" t="str">
            <v>SKK  Hàng Bông</v>
          </cell>
          <cell r="G1270" t="str">
            <v>0386506306</v>
          </cell>
          <cell r="H1270" t="str">
            <v>cô vân</v>
          </cell>
          <cell r="I1270" t="str">
            <v>Khách cũ</v>
          </cell>
          <cell r="J1270" t="str">
            <v>Đơn bán</v>
          </cell>
          <cell r="K1270" t="str">
            <v>SAKUKO771249</v>
          </cell>
          <cell r="L1270" t="str">
            <v>ĐỒ CHO MẸ BÉ</v>
          </cell>
          <cell r="M1270" t="str">
            <v>GIẤY ƯỚT</v>
          </cell>
          <cell r="N1270" t="str">
            <v>GIẤY ƯỚT CHO BÉ</v>
          </cell>
          <cell r="O1270" t="str">
            <v>121662</v>
          </cell>
          <cell r="P1270" t="str">
            <v>8934755035036</v>
          </cell>
          <cell r="Q1270" t="str">
            <v>FRESSI- Khăn ướt Care For All 20 miếng</v>
          </cell>
          <cell r="R1270">
            <v>14000</v>
          </cell>
          <cell r="S1270">
            <v>2</v>
          </cell>
          <cell r="T1270">
            <v>28000</v>
          </cell>
          <cell r="U1270">
            <v>0</v>
          </cell>
          <cell r="V1270">
            <v>28000</v>
          </cell>
          <cell r="W1270" t="str">
            <v>8934755035036</v>
          </cell>
        </row>
        <row r="1271">
          <cell r="A1271">
            <v>2026</v>
          </cell>
          <cell r="B1271">
            <v>5</v>
          </cell>
          <cell r="C1271">
            <v>46152</v>
          </cell>
          <cell r="D1271" t="str">
            <v>1. SKK store</v>
          </cell>
          <cell r="E1271" t="str">
            <v>S1008</v>
          </cell>
          <cell r="F1271" t="str">
            <v>SKK  Hàng Bông</v>
          </cell>
          <cell r="G1271" t="str">
            <v>0862947989</v>
          </cell>
          <cell r="H1271" t="str">
            <v>KLHB</v>
          </cell>
          <cell r="I1271" t="str">
            <v>Khách vãng lai</v>
          </cell>
          <cell r="J1271" t="str">
            <v>Đơn bán</v>
          </cell>
          <cell r="K1271" t="str">
            <v>SAKUKO771410</v>
          </cell>
          <cell r="L1271" t="str">
            <v>THỰC PHẨM</v>
          </cell>
          <cell r="M1271" t="str">
            <v>BÁNH KẸO, ĐỒ ĂN VẶT</v>
          </cell>
          <cell r="N1271" t="str">
            <v>KẸO CAO SU</v>
          </cell>
          <cell r="O1271" t="str">
            <v>231376</v>
          </cell>
          <cell r="P1271" t="str">
            <v>4903333228577</v>
          </cell>
          <cell r="Q1271" t="str">
            <v>LOTTE-Kẹo cao su tổng hợp 7 loại dạng lọ 133g</v>
          </cell>
          <cell r="R1271">
            <v>235000</v>
          </cell>
          <cell r="S1271">
            <v>1</v>
          </cell>
          <cell r="T1271">
            <v>235000</v>
          </cell>
          <cell r="U1271">
            <v>0</v>
          </cell>
          <cell r="V1271">
            <v>235000</v>
          </cell>
          <cell r="W1271" t="str">
            <v>4903333228577</v>
          </cell>
        </row>
        <row r="1272">
          <cell r="A1272">
            <v>2026</v>
          </cell>
          <cell r="B1272">
            <v>5</v>
          </cell>
          <cell r="C1272">
            <v>46152</v>
          </cell>
          <cell r="D1272" t="str">
            <v>1. SKK store</v>
          </cell>
          <cell r="E1272" t="str">
            <v>S1008</v>
          </cell>
          <cell r="F1272" t="str">
            <v>SKK  Hàng Bông</v>
          </cell>
          <cell r="G1272" t="str">
            <v>0904306624</v>
          </cell>
          <cell r="H1272" t="str">
            <v>chị Hương</v>
          </cell>
          <cell r="I1272" t="str">
            <v>Khách cũ</v>
          </cell>
          <cell r="J1272" t="str">
            <v>Đơn bán</v>
          </cell>
          <cell r="K1272" t="str">
            <v>SAKUKO771250</v>
          </cell>
          <cell r="L1272" t="str">
            <v>ĐỒ CHO MẸ BÉ</v>
          </cell>
          <cell r="M1272" t="str">
            <v>GIẤY ƯỚT</v>
          </cell>
          <cell r="N1272" t="str">
            <v>GIẤY ƯỚT CHO BÉ</v>
          </cell>
          <cell r="O1272" t="str">
            <v>121665</v>
          </cell>
          <cell r="P1272" t="str">
            <v>8934755035289</v>
          </cell>
          <cell r="Q1272" t="str">
            <v>BOBBY- Khăn ướt em bé không mùi 100 miếng</v>
          </cell>
          <cell r="R1272">
            <v>46000</v>
          </cell>
          <cell r="S1272">
            <v>1</v>
          </cell>
          <cell r="T1272">
            <v>46000</v>
          </cell>
          <cell r="U1272">
            <v>0</v>
          </cell>
          <cell r="V1272">
            <v>46000</v>
          </cell>
          <cell r="W1272" t="str">
            <v>8934755035289</v>
          </cell>
        </row>
        <row r="1273">
          <cell r="A1273">
            <v>2026</v>
          </cell>
          <cell r="B1273">
            <v>5</v>
          </cell>
          <cell r="C1273">
            <v>46152</v>
          </cell>
          <cell r="D1273" t="str">
            <v>1. SKK store</v>
          </cell>
          <cell r="E1273" t="str">
            <v>S1008</v>
          </cell>
          <cell r="F1273" t="str">
            <v>SKK  Hàng Bông</v>
          </cell>
          <cell r="G1273" t="str">
            <v>0912346664</v>
          </cell>
          <cell r="H1273" t="str">
            <v>Chi Hiền</v>
          </cell>
          <cell r="I1273" t="str">
            <v>Khách cũ</v>
          </cell>
          <cell r="J1273" t="str">
            <v>Đơn bán</v>
          </cell>
          <cell r="K1273" t="str">
            <v>SAKUKO771230</v>
          </cell>
          <cell r="L1273" t="str">
            <v>ĐỒ CHO MẸ BÉ</v>
          </cell>
          <cell r="M1273" t="str">
            <v>CHĂM SÓC CƠ THỂ BÉ</v>
          </cell>
          <cell r="N1273" t="str">
            <v>THỰC PHẨM CHỨC NĂNG CHO BÉ</v>
          </cell>
          <cell r="O1273" t="str">
            <v>121667</v>
          </cell>
          <cell r="P1273" t="str">
            <v>8436036590635</v>
          </cell>
          <cell r="Q1273" t="str">
            <v>NEO KIDS-TPBVSK Gummies K2ALCIUM+150g</v>
          </cell>
          <cell r="R1273">
            <v>390000</v>
          </cell>
          <cell r="S1273">
            <v>1</v>
          </cell>
          <cell r="T1273">
            <v>390000</v>
          </cell>
          <cell r="U1273">
            <v>0</v>
          </cell>
          <cell r="V1273">
            <v>390000</v>
          </cell>
          <cell r="W1273" t="str">
            <v>8436036590635</v>
          </cell>
        </row>
        <row r="1274">
          <cell r="A1274">
            <v>2026</v>
          </cell>
          <cell r="B1274">
            <v>5</v>
          </cell>
          <cell r="C1274">
            <v>46152</v>
          </cell>
          <cell r="D1274" t="str">
            <v>1. SKK store</v>
          </cell>
          <cell r="E1274" t="str">
            <v>S1008</v>
          </cell>
          <cell r="F1274" t="str">
            <v>SKK  Hàng Bông</v>
          </cell>
          <cell r="G1274" t="str">
            <v>0916110330</v>
          </cell>
          <cell r="H1274" t="str">
            <v>chị hà</v>
          </cell>
          <cell r="I1274" t="str">
            <v>Khách cũ</v>
          </cell>
          <cell r="J1274" t="str">
            <v>Đơn bán</v>
          </cell>
          <cell r="K1274" t="str">
            <v>SAKUKO771771</v>
          </cell>
          <cell r="L1274" t="str">
            <v>THỰC PHẨM</v>
          </cell>
          <cell r="M1274" t="str">
            <v>BÁNH KẸO, ĐỒ ĂN VẶT</v>
          </cell>
          <cell r="N1274" t="str">
            <v>KẸO CAO SU</v>
          </cell>
          <cell r="O1274" t="str">
            <v>154653</v>
          </cell>
          <cell r="P1274" t="str">
            <v>4547894156650</v>
          </cell>
          <cell r="Q1274" t="str">
            <v>MONDELEZ JAPAN - Kẹo cao su vị bưởi hồng 130g</v>
          </cell>
          <cell r="R1274">
            <v>235000</v>
          </cell>
          <cell r="S1274">
            <v>1</v>
          </cell>
          <cell r="T1274">
            <v>235000</v>
          </cell>
          <cell r="U1274">
            <v>0</v>
          </cell>
          <cell r="V1274">
            <v>235000</v>
          </cell>
          <cell r="W1274" t="str">
            <v>4547894156650</v>
          </cell>
        </row>
        <row r="1275">
          <cell r="A1275">
            <v>2026</v>
          </cell>
          <cell r="B1275">
            <v>5</v>
          </cell>
          <cell r="C1275">
            <v>46152</v>
          </cell>
          <cell r="D1275" t="str">
            <v>1. SKK store</v>
          </cell>
          <cell r="E1275" t="str">
            <v>S1015</v>
          </cell>
          <cell r="F1275" t="str">
            <v>SKK Hàm Nghi</v>
          </cell>
          <cell r="G1275" t="str">
            <v>0905006262</v>
          </cell>
          <cell r="H1275" t="str">
            <v>chị Giang</v>
          </cell>
          <cell r="I1275" t="str">
            <v>Khách cũ</v>
          </cell>
          <cell r="J1275" t="str">
            <v>Đơn bán</v>
          </cell>
          <cell r="K1275" t="str">
            <v>SAKUKO772131</v>
          </cell>
          <cell r="L1275" t="str">
            <v>THỰC PHẨM</v>
          </cell>
          <cell r="M1275" t="str">
            <v>BÁNH KẸO, ĐỒ ĂN VẶT</v>
          </cell>
          <cell r="N1275" t="str">
            <v>KẸO CAO SU</v>
          </cell>
          <cell r="O1275" t="str">
            <v>154105</v>
          </cell>
          <cell r="P1275" t="str">
            <v>4547894156612</v>
          </cell>
          <cell r="Q1275" t="str">
            <v>MONDELEZ JAPAN - Kẹo cao su 112g</v>
          </cell>
          <cell r="R1275">
            <v>235000</v>
          </cell>
          <cell r="S1275">
            <v>1</v>
          </cell>
          <cell r="T1275">
            <v>235000</v>
          </cell>
          <cell r="U1275">
            <v>0</v>
          </cell>
          <cell r="V1275">
            <v>235000</v>
          </cell>
          <cell r="W1275" t="str">
            <v>4547894156612</v>
          </cell>
        </row>
        <row r="1276">
          <cell r="A1276">
            <v>2026</v>
          </cell>
          <cell r="B1276">
            <v>5</v>
          </cell>
          <cell r="C1276">
            <v>46152</v>
          </cell>
          <cell r="D1276" t="str">
            <v>1. SKK store</v>
          </cell>
          <cell r="E1276" t="str">
            <v>S1015</v>
          </cell>
          <cell r="F1276" t="str">
            <v>SKK Hàm Nghi</v>
          </cell>
          <cell r="G1276" t="str">
            <v>0905006262</v>
          </cell>
          <cell r="H1276" t="str">
            <v>chị Giang</v>
          </cell>
          <cell r="I1276" t="str">
            <v>Khách cũ</v>
          </cell>
          <cell r="J1276" t="str">
            <v>Đơn bán</v>
          </cell>
          <cell r="K1276" t="str">
            <v>SAKUKO772131</v>
          </cell>
          <cell r="L1276" t="str">
            <v>THỰC PHẨM</v>
          </cell>
          <cell r="M1276" t="str">
            <v>BÁNH KẸO, ĐỒ ĂN VẶT</v>
          </cell>
          <cell r="N1276" t="str">
            <v>KẸO CAO SU</v>
          </cell>
          <cell r="O1276" t="str">
            <v>231377</v>
          </cell>
          <cell r="P1276" t="str">
            <v>4903333200375</v>
          </cell>
          <cell r="Q1276" t="str">
            <v>LOTTE-Kẹo cao su tổng hợp dạng lọ 114g</v>
          </cell>
          <cell r="R1276">
            <v>235000</v>
          </cell>
          <cell r="S1276">
            <v>1</v>
          </cell>
          <cell r="T1276">
            <v>235000</v>
          </cell>
          <cell r="U1276">
            <v>0</v>
          </cell>
          <cell r="V1276">
            <v>235000</v>
          </cell>
          <cell r="W1276" t="str">
            <v>4903333200375</v>
          </cell>
        </row>
        <row r="1277">
          <cell r="A1277">
            <v>2026</v>
          </cell>
          <cell r="B1277">
            <v>5</v>
          </cell>
          <cell r="C1277">
            <v>46152</v>
          </cell>
          <cell r="D1277" t="str">
            <v>1. SKK store</v>
          </cell>
          <cell r="E1277" t="str">
            <v>S1015</v>
          </cell>
          <cell r="F1277" t="str">
            <v>SKK Hàm Nghi</v>
          </cell>
          <cell r="G1277" t="str">
            <v>0989242222</v>
          </cell>
          <cell r="H1277" t="str">
            <v>Chị Điệp</v>
          </cell>
          <cell r="I1277" t="str">
            <v>Khách cũ</v>
          </cell>
          <cell r="J1277" t="str">
            <v>Đơn bán</v>
          </cell>
          <cell r="K1277" t="str">
            <v>SAKUKO771824</v>
          </cell>
          <cell r="L1277" t="str">
            <v>THỰC PHẨM</v>
          </cell>
          <cell r="M1277" t="str">
            <v>BÁNH KẸO, ĐỒ ĂN VẶT</v>
          </cell>
          <cell r="N1277" t="str">
            <v>KẸO CAO SU</v>
          </cell>
          <cell r="O1277" t="str">
            <v>153932</v>
          </cell>
          <cell r="P1277" t="str">
            <v>4903333241651</v>
          </cell>
          <cell r="Q1277" t="str">
            <v>LOTTE - Kẹo cao su black black ít đường 133g</v>
          </cell>
          <cell r="R1277">
            <v>235000</v>
          </cell>
          <cell r="S1277">
            <v>1</v>
          </cell>
          <cell r="T1277">
            <v>235000</v>
          </cell>
          <cell r="U1277">
            <v>0</v>
          </cell>
          <cell r="V1277">
            <v>235000</v>
          </cell>
          <cell r="W1277" t="str">
            <v>4903333241651</v>
          </cell>
        </row>
        <row r="1278">
          <cell r="A1278">
            <v>2026</v>
          </cell>
          <cell r="B1278">
            <v>5</v>
          </cell>
          <cell r="C1278">
            <v>46152</v>
          </cell>
          <cell r="D1278" t="str">
            <v>1. SKK store</v>
          </cell>
          <cell r="E1278" t="str">
            <v>S1015</v>
          </cell>
          <cell r="F1278" t="str">
            <v>SKK Hàm Nghi</v>
          </cell>
          <cell r="G1278" t="str">
            <v>0989242222</v>
          </cell>
          <cell r="H1278" t="str">
            <v>Chị Điệp</v>
          </cell>
          <cell r="I1278" t="str">
            <v>Khách cũ</v>
          </cell>
          <cell r="J1278" t="str">
            <v>Đơn bán</v>
          </cell>
          <cell r="K1278" t="str">
            <v>SAKUKO771824</v>
          </cell>
          <cell r="L1278" t="str">
            <v>THỰC PHẨM</v>
          </cell>
          <cell r="M1278" t="str">
            <v>BÁNH KẸO, ĐỒ ĂN VẶT</v>
          </cell>
          <cell r="N1278" t="str">
            <v>KẸO CAO SU</v>
          </cell>
          <cell r="O1278" t="str">
            <v>231376</v>
          </cell>
          <cell r="P1278" t="str">
            <v>4903333228577</v>
          </cell>
          <cell r="Q1278" t="str">
            <v>LOTTE-Kẹo cao su tổng hợp 7 loại dạng lọ 133g</v>
          </cell>
          <cell r="R1278">
            <v>235000</v>
          </cell>
          <cell r="S1278">
            <v>1</v>
          </cell>
          <cell r="T1278">
            <v>235000</v>
          </cell>
          <cell r="U1278">
            <v>0</v>
          </cell>
          <cell r="V1278">
            <v>235000</v>
          </cell>
          <cell r="W1278" t="str">
            <v>4903333228577</v>
          </cell>
        </row>
        <row r="1279">
          <cell r="A1279">
            <v>2026</v>
          </cell>
          <cell r="B1279">
            <v>5</v>
          </cell>
          <cell r="C1279">
            <v>46152</v>
          </cell>
          <cell r="D1279" t="str">
            <v>1. SKK store</v>
          </cell>
          <cell r="E1279" t="str">
            <v>S1015</v>
          </cell>
          <cell r="F1279" t="str">
            <v>SKK Hàm Nghi</v>
          </cell>
          <cell r="G1279" t="str">
            <v>0989686886</v>
          </cell>
          <cell r="H1279" t="str">
            <v>chị khuyến</v>
          </cell>
          <cell r="I1279" t="str">
            <v>Khách cũ</v>
          </cell>
          <cell r="J1279" t="str">
            <v>Đơn bán</v>
          </cell>
          <cell r="K1279" t="str">
            <v>SAKUKO771568</v>
          </cell>
          <cell r="L1279" t="str">
            <v>THỰC PHẨM</v>
          </cell>
          <cell r="M1279" t="str">
            <v>MỲ, MIẾN</v>
          </cell>
          <cell r="N1279" t="str">
            <v>MỲ CHẾ BIẾN</v>
          </cell>
          <cell r="O1279" t="str">
            <v>154247</v>
          </cell>
          <cell r="P1279" t="str">
            <v>4902902105004</v>
          </cell>
          <cell r="Q1279" t="str">
            <v>MALONY_Miến khoai tây 500g</v>
          </cell>
          <cell r="R1279">
            <v>139000</v>
          </cell>
          <cell r="S1279">
            <v>1</v>
          </cell>
          <cell r="T1279">
            <v>139000</v>
          </cell>
          <cell r="U1279">
            <v>0</v>
          </cell>
          <cell r="V1279">
            <v>139000</v>
          </cell>
          <cell r="W1279" t="str">
            <v>4902902105004</v>
          </cell>
        </row>
        <row r="1280">
          <cell r="A1280">
            <v>2026</v>
          </cell>
          <cell r="B1280">
            <v>5</v>
          </cell>
          <cell r="C1280">
            <v>46152</v>
          </cell>
          <cell r="D1280" t="str">
            <v>1. SKK store</v>
          </cell>
          <cell r="E1280" t="str">
            <v>S1025</v>
          </cell>
          <cell r="F1280" t="str">
            <v>SKK T6 Time City</v>
          </cell>
          <cell r="G1280" t="str">
            <v>0904555580</v>
          </cell>
          <cell r="H1280" t="str">
            <v>Chị Thủy</v>
          </cell>
          <cell r="I1280" t="str">
            <v>Khách cũ</v>
          </cell>
          <cell r="J1280" t="str">
            <v>Đơn bán</v>
          </cell>
          <cell r="K1280" t="str">
            <v>SAKUKO771261</v>
          </cell>
          <cell r="L1280" t="str">
            <v>CHĂM SÓC SẮC ĐẸP</v>
          </cell>
          <cell r="M1280" t="str">
            <v>CHĂM SÓC DA</v>
          </cell>
          <cell r="N1280" t="str">
            <v>KEM DƯỠNG</v>
          </cell>
          <cell r="O1280" t="str">
            <v>102384</v>
          </cell>
          <cell r="P1280" t="str">
            <v>4902468820014</v>
          </cell>
          <cell r="Q1280" t="str">
            <v>MEISHOKU- Kem gel dưỡng ẩm phục hồi chuyên sâu 50g</v>
          </cell>
          <cell r="R1280">
            <v>575000</v>
          </cell>
          <cell r="S1280">
            <v>1</v>
          </cell>
          <cell r="T1280">
            <v>575000</v>
          </cell>
          <cell r="U1280">
            <v>0</v>
          </cell>
          <cell r="V1280">
            <v>575000</v>
          </cell>
          <cell r="W1280" t="str">
            <v>4902468820014</v>
          </cell>
        </row>
        <row r="1281">
          <cell r="A1281">
            <v>2026</v>
          </cell>
          <cell r="B1281">
            <v>5</v>
          </cell>
          <cell r="C1281">
            <v>46152</v>
          </cell>
          <cell r="D1281" t="str">
            <v>1. SKK store</v>
          </cell>
          <cell r="E1281" t="str">
            <v>S1025</v>
          </cell>
          <cell r="F1281" t="str">
            <v>SKK T6 Time City</v>
          </cell>
          <cell r="G1281" t="str">
            <v>0975711111</v>
          </cell>
          <cell r="H1281" t="str">
            <v>anh Minh</v>
          </cell>
          <cell r="I1281" t="str">
            <v>Khách cũ</v>
          </cell>
          <cell r="J1281" t="str">
            <v>Đơn bán</v>
          </cell>
          <cell r="K1281" t="str">
            <v>SAKUKO772369</v>
          </cell>
          <cell r="L1281" t="str">
            <v>THỰC PHẨM</v>
          </cell>
          <cell r="M1281" t="str">
            <v>MỲ, MIẾN</v>
          </cell>
          <cell r="N1281" t="str">
            <v>MỲ ĂN LIỀN</v>
          </cell>
          <cell r="O1281" t="str">
            <v>154196</v>
          </cell>
          <cell r="P1281" t="str">
            <v>4979397000152</v>
          </cell>
          <cell r="Q1281" t="str">
            <v>YAMAMOTO_Mì xào kiểu Nhật 89g*5</v>
          </cell>
          <cell r="R1281">
            <v>99000</v>
          </cell>
          <cell r="S1281">
            <v>1</v>
          </cell>
          <cell r="T1281">
            <v>99000</v>
          </cell>
          <cell r="U1281">
            <v>44550</v>
          </cell>
          <cell r="V1281">
            <v>54450</v>
          </cell>
          <cell r="W1281" t="str">
            <v>4979397000152</v>
          </cell>
        </row>
        <row r="1282">
          <cell r="A1282">
            <v>2026</v>
          </cell>
          <cell r="B1282">
            <v>5</v>
          </cell>
          <cell r="C1282">
            <v>46152</v>
          </cell>
          <cell r="D1282" t="str">
            <v>1. SKK store</v>
          </cell>
          <cell r="E1282" t="str">
            <v>S1025</v>
          </cell>
          <cell r="F1282" t="str">
            <v>SKK T6 Time City</v>
          </cell>
          <cell r="G1282" t="str">
            <v>0977851299</v>
          </cell>
          <cell r="H1282" t="str">
            <v>Hải hà</v>
          </cell>
          <cell r="I1282" t="str">
            <v>Khách cũ</v>
          </cell>
          <cell r="J1282" t="str">
            <v>Đơn bán</v>
          </cell>
          <cell r="K1282" t="str">
            <v>SAKUKO771014</v>
          </cell>
          <cell r="L1282" t="str">
            <v>ĐỒ CHO MẸ BÉ</v>
          </cell>
          <cell r="M1282" t="str">
            <v>GIẤY ƯỚT</v>
          </cell>
          <cell r="N1282" t="str">
            <v>GIẤY ƯỚT CHO BÉ</v>
          </cell>
          <cell r="O1282" t="str">
            <v>121662</v>
          </cell>
          <cell r="P1282" t="str">
            <v>8934755035036</v>
          </cell>
          <cell r="Q1282" t="str">
            <v>FRESSI- Khăn ướt Care For All 20 miếng</v>
          </cell>
          <cell r="R1282">
            <v>14000</v>
          </cell>
          <cell r="S1282">
            <v>1</v>
          </cell>
          <cell r="T1282">
            <v>14000</v>
          </cell>
          <cell r="U1282">
            <v>0</v>
          </cell>
          <cell r="V1282">
            <v>14000</v>
          </cell>
          <cell r="W1282" t="str">
            <v>8934755035036</v>
          </cell>
        </row>
        <row r="1283">
          <cell r="A1283">
            <v>2026</v>
          </cell>
          <cell r="B1283">
            <v>5</v>
          </cell>
          <cell r="C1283">
            <v>46151</v>
          </cell>
          <cell r="D1283" t="str">
            <v>1. SKK store</v>
          </cell>
          <cell r="E1283" t="str">
            <v>S1004</v>
          </cell>
          <cell r="F1283" t="str">
            <v>SKK  Mandarin C1</v>
          </cell>
          <cell r="G1283" t="str">
            <v>02466810404</v>
          </cell>
          <cell r="H1283" t="str">
            <v>KLHMG</v>
          </cell>
          <cell r="I1283" t="str">
            <v>Khách vãng lai</v>
          </cell>
          <cell r="J1283" t="str">
            <v>Đơn bán</v>
          </cell>
          <cell r="K1283" t="str">
            <v>SAKUKO769569</v>
          </cell>
          <cell r="L1283" t="str">
            <v>CHĂM SÓC SẮC ĐẸP</v>
          </cell>
          <cell r="M1283" t="str">
            <v>Mỹ phẩm khác</v>
          </cell>
          <cell r="N1283" t="str">
            <v>PHỤ KIỆN LÀM ĐẸP</v>
          </cell>
          <cell r="O1283" t="str">
            <v>102389</v>
          </cell>
          <cell r="P1283" t="str">
            <v>4969757110652</v>
          </cell>
          <cell r="Q1283" t="str">
            <v>KYOWA- Gói bông tẩy trang 130 miếng</v>
          </cell>
          <cell r="R1283">
            <v>49000</v>
          </cell>
          <cell r="S1283">
            <v>2</v>
          </cell>
          <cell r="T1283">
            <v>98000</v>
          </cell>
          <cell r="U1283">
            <v>0</v>
          </cell>
          <cell r="V1283">
            <v>98000</v>
          </cell>
          <cell r="W1283" t="str">
            <v>4969757110652</v>
          </cell>
        </row>
        <row r="1284">
          <cell r="A1284">
            <v>2026</v>
          </cell>
          <cell r="B1284">
            <v>5</v>
          </cell>
          <cell r="C1284">
            <v>46151</v>
          </cell>
          <cell r="D1284" t="str">
            <v>1. SKK store</v>
          </cell>
          <cell r="E1284" t="str">
            <v>S1005</v>
          </cell>
          <cell r="F1284" t="str">
            <v>SKK  Thái Hà</v>
          </cell>
          <cell r="G1284" t="str">
            <v>0915471099</v>
          </cell>
          <cell r="H1284" t="str">
            <v>Chị Xuân</v>
          </cell>
          <cell r="I1284" t="str">
            <v>Khách mới</v>
          </cell>
          <cell r="J1284" t="str">
            <v>Đơn bán</v>
          </cell>
          <cell r="K1284" t="str">
            <v>SAKUKO769896</v>
          </cell>
          <cell r="L1284" t="str">
            <v>ĐỒ CHO MẸ BÉ</v>
          </cell>
          <cell r="M1284" t="str">
            <v>GIẤY ƯỚT</v>
          </cell>
          <cell r="N1284" t="str">
            <v>GIẤY ƯỚT CHO BÉ</v>
          </cell>
          <cell r="O1284" t="str">
            <v>121664</v>
          </cell>
          <cell r="P1284" t="str">
            <v>8934755035074</v>
          </cell>
          <cell r="Q1284" t="str">
            <v>BOBBY- Khăn ướt em bé có hương 100 miếng</v>
          </cell>
          <cell r="R1284">
            <v>46000</v>
          </cell>
          <cell r="S1284">
            <v>1</v>
          </cell>
          <cell r="T1284">
            <v>46000</v>
          </cell>
          <cell r="U1284">
            <v>0</v>
          </cell>
          <cell r="V1284">
            <v>46000</v>
          </cell>
          <cell r="W1284" t="str">
            <v>8934755035074</v>
          </cell>
        </row>
        <row r="1285">
          <cell r="A1285">
            <v>2026</v>
          </cell>
          <cell r="B1285">
            <v>5</v>
          </cell>
          <cell r="C1285">
            <v>46151</v>
          </cell>
          <cell r="D1285" t="str">
            <v>1. SKK store</v>
          </cell>
          <cell r="E1285" t="str">
            <v>S1005</v>
          </cell>
          <cell r="F1285" t="str">
            <v>SKK  Thái Hà</v>
          </cell>
          <cell r="G1285" t="str">
            <v>0986112612</v>
          </cell>
          <cell r="H1285" t="str">
            <v>Cô Linh</v>
          </cell>
          <cell r="I1285" t="str">
            <v>Khách cũ</v>
          </cell>
          <cell r="J1285" t="str">
            <v>Đơn bán</v>
          </cell>
          <cell r="K1285" t="str">
            <v>SAKUKO769639</v>
          </cell>
          <cell r="L1285" t="str">
            <v>THỰC PHẨM</v>
          </cell>
          <cell r="M1285" t="str">
            <v>MỲ, MIẾN</v>
          </cell>
          <cell r="N1285" t="str">
            <v>MỲ CHẾ BIẾN</v>
          </cell>
          <cell r="O1285" t="str">
            <v>154251</v>
          </cell>
          <cell r="P1285" t="str">
            <v>4560159440776</v>
          </cell>
          <cell r="Q1285" t="str">
            <v>SATO_Mì soba khô 800g</v>
          </cell>
          <cell r="R1285">
            <v>104000</v>
          </cell>
          <cell r="S1285">
            <v>1</v>
          </cell>
          <cell r="T1285">
            <v>104000</v>
          </cell>
          <cell r="U1285">
            <v>0</v>
          </cell>
          <cell r="V1285">
            <v>104000</v>
          </cell>
          <cell r="W1285" t="str">
            <v>4560159440776</v>
          </cell>
        </row>
        <row r="1286">
          <cell r="A1286">
            <v>2026</v>
          </cell>
          <cell r="B1286">
            <v>5</v>
          </cell>
          <cell r="C1286">
            <v>46151</v>
          </cell>
          <cell r="D1286" t="str">
            <v>1. SKK store</v>
          </cell>
          <cell r="E1286" t="str">
            <v>S1005</v>
          </cell>
          <cell r="F1286" t="str">
            <v>SKK  Thái Hà</v>
          </cell>
          <cell r="G1286" t="str">
            <v>0986984043</v>
          </cell>
          <cell r="H1286" t="str">
            <v>c phượng</v>
          </cell>
          <cell r="I1286" t="str">
            <v>Khách cũ</v>
          </cell>
          <cell r="J1286" t="str">
            <v>Đơn bán</v>
          </cell>
          <cell r="K1286" t="str">
            <v>SAKUKO770606</v>
          </cell>
          <cell r="L1286" t="str">
            <v>CHĂM SÓC SẮC ĐẸP</v>
          </cell>
          <cell r="M1286" t="str">
            <v>CHĂM SÓC DA</v>
          </cell>
          <cell r="N1286" t="str">
            <v>KEM DƯỠNG</v>
          </cell>
          <cell r="O1286" t="str">
            <v>102384</v>
          </cell>
          <cell r="P1286" t="str">
            <v>4902468820014</v>
          </cell>
          <cell r="Q1286" t="str">
            <v>MEISHOKU- Kem gel dưỡng ẩm phục hồi chuyên sâu 50g</v>
          </cell>
          <cell r="R1286">
            <v>575000</v>
          </cell>
          <cell r="S1286">
            <v>1</v>
          </cell>
          <cell r="T1286">
            <v>575000</v>
          </cell>
          <cell r="U1286">
            <v>0</v>
          </cell>
          <cell r="V1286">
            <v>575000</v>
          </cell>
          <cell r="W1286" t="str">
            <v>4902468820014</v>
          </cell>
        </row>
        <row r="1287">
          <cell r="A1287">
            <v>2026</v>
          </cell>
          <cell r="B1287">
            <v>5</v>
          </cell>
          <cell r="C1287">
            <v>46151</v>
          </cell>
          <cell r="D1287" t="str">
            <v>1. SKK store</v>
          </cell>
          <cell r="E1287" t="str">
            <v>S1005</v>
          </cell>
          <cell r="F1287" t="str">
            <v>SKK  Thái Hà</v>
          </cell>
          <cell r="G1287" t="str">
            <v>0989567251</v>
          </cell>
          <cell r="H1287" t="str">
            <v>C Hân</v>
          </cell>
          <cell r="I1287" t="str">
            <v>Khách cũ</v>
          </cell>
          <cell r="J1287" t="str">
            <v>Đơn bán</v>
          </cell>
          <cell r="K1287" t="str">
            <v>SAKUKO770059</v>
          </cell>
          <cell r="L1287" t="str">
            <v>THỰC PHẨM</v>
          </cell>
          <cell r="M1287" t="str">
            <v>BÁNH KẸO, ĐỒ ĂN VẶT</v>
          </cell>
          <cell r="N1287" t="str">
            <v>KẸO CAO SU</v>
          </cell>
          <cell r="O1287" t="str">
            <v>153932</v>
          </cell>
          <cell r="P1287" t="str">
            <v>4903333241651</v>
          </cell>
          <cell r="Q1287" t="str">
            <v>LOTTE - Kẹo cao su black black ít đường 133g</v>
          </cell>
          <cell r="R1287">
            <v>235000</v>
          </cell>
          <cell r="S1287">
            <v>1</v>
          </cell>
          <cell r="T1287">
            <v>235000</v>
          </cell>
          <cell r="U1287">
            <v>0</v>
          </cell>
          <cell r="V1287">
            <v>235000</v>
          </cell>
          <cell r="W1287" t="str">
            <v>4903333241651</v>
          </cell>
        </row>
        <row r="1288">
          <cell r="A1288">
            <v>2026</v>
          </cell>
          <cell r="B1288">
            <v>5</v>
          </cell>
          <cell r="C1288">
            <v>46151</v>
          </cell>
          <cell r="D1288" t="str">
            <v>1. SKK store</v>
          </cell>
          <cell r="E1288" t="str">
            <v>S1006</v>
          </cell>
          <cell r="F1288" t="str">
            <v>SKK Trần Đăng Ninh</v>
          </cell>
          <cell r="G1288" t="str">
            <v>0936022668</v>
          </cell>
          <cell r="H1288" t="str">
            <v>Chị</v>
          </cell>
          <cell r="I1288" t="str">
            <v>Khách mới</v>
          </cell>
          <cell r="J1288" t="str">
            <v>Đơn bán</v>
          </cell>
          <cell r="K1288" t="str">
            <v>SAKUKO769468</v>
          </cell>
          <cell r="L1288" t="str">
            <v>NHÀ CỬA ĐỜI SỐNG</v>
          </cell>
          <cell r="M1288" t="str">
            <v>KHĂN</v>
          </cell>
          <cell r="N1288" t="str">
            <v>KHĂN MẶT</v>
          </cell>
          <cell r="O1288" t="str">
            <v>102390</v>
          </cell>
          <cell r="P1288" t="str">
            <v>4906327905980</v>
          </cell>
          <cell r="Q1288" t="str">
            <v>KOMODA - Khăn mặt khô dùng 1 lần 46m 20x20cm</v>
          </cell>
          <cell r="R1288">
            <v>52000</v>
          </cell>
          <cell r="S1288">
            <v>1</v>
          </cell>
          <cell r="T1288">
            <v>52000</v>
          </cell>
          <cell r="U1288">
            <v>0</v>
          </cell>
          <cell r="V1288">
            <v>52000</v>
          </cell>
          <cell r="W1288" t="str">
            <v>4906327905980</v>
          </cell>
        </row>
        <row r="1289">
          <cell r="A1289">
            <v>2026</v>
          </cell>
          <cell r="B1289">
            <v>5</v>
          </cell>
          <cell r="C1289">
            <v>46151</v>
          </cell>
          <cell r="D1289" t="str">
            <v>1. SKK store</v>
          </cell>
          <cell r="E1289" t="str">
            <v>S1006</v>
          </cell>
          <cell r="F1289" t="str">
            <v>SKK Trần Đăng Ninh</v>
          </cell>
          <cell r="G1289" t="str">
            <v>0936022668</v>
          </cell>
          <cell r="H1289" t="str">
            <v>Chị</v>
          </cell>
          <cell r="I1289" t="str">
            <v>Khách mới</v>
          </cell>
          <cell r="J1289" t="str">
            <v>Đơn bán</v>
          </cell>
          <cell r="K1289" t="str">
            <v>SAKUKO769468</v>
          </cell>
          <cell r="L1289" t="str">
            <v>THỰC PHẨM</v>
          </cell>
          <cell r="M1289" t="str">
            <v>BÁNH KẸO, ĐỒ ĂN VẶT</v>
          </cell>
          <cell r="N1289" t="str">
            <v>KẸO CAO SU</v>
          </cell>
          <cell r="O1289" t="str">
            <v>154105</v>
          </cell>
          <cell r="P1289" t="str">
            <v>4547894156612</v>
          </cell>
          <cell r="Q1289" t="str">
            <v>MONDELEZ JAPAN - Kẹo cao su 112g</v>
          </cell>
          <cell r="R1289">
            <v>235000</v>
          </cell>
          <cell r="S1289">
            <v>1</v>
          </cell>
          <cell r="T1289">
            <v>235000</v>
          </cell>
          <cell r="U1289">
            <v>0</v>
          </cell>
          <cell r="V1289">
            <v>235000</v>
          </cell>
          <cell r="W1289" t="str">
            <v>4547894156612</v>
          </cell>
        </row>
        <row r="1290">
          <cell r="A1290">
            <v>2026</v>
          </cell>
          <cell r="B1290">
            <v>5</v>
          </cell>
          <cell r="C1290">
            <v>46151</v>
          </cell>
          <cell r="D1290" t="str">
            <v>1. SKK store</v>
          </cell>
          <cell r="E1290" t="str">
            <v>S1006</v>
          </cell>
          <cell r="F1290" t="str">
            <v>SKK Trần Đăng Ninh</v>
          </cell>
          <cell r="G1290" t="str">
            <v>0982098058</v>
          </cell>
          <cell r="H1290" t="str">
            <v>chị ĐIỆP</v>
          </cell>
          <cell r="I1290" t="str">
            <v>Khách mới</v>
          </cell>
          <cell r="J1290" t="str">
            <v>Đơn bán</v>
          </cell>
          <cell r="K1290" t="str">
            <v>SAKUKO770307</v>
          </cell>
          <cell r="L1290" t="str">
            <v>CHĂM SÓC SẮC ĐẸP</v>
          </cell>
          <cell r="M1290" t="str">
            <v>Mỹ phẩm khác</v>
          </cell>
          <cell r="N1290" t="str">
            <v>PHỤ KIỆN LÀM ĐẸP</v>
          </cell>
          <cell r="O1290" t="str">
            <v>102389</v>
          </cell>
          <cell r="P1290" t="str">
            <v>4969757110652</v>
          </cell>
          <cell r="Q1290" t="str">
            <v>KYOWA- Gói bông tẩy trang 130 miếng</v>
          </cell>
          <cell r="R1290">
            <v>49000</v>
          </cell>
          <cell r="S1290">
            <v>1</v>
          </cell>
          <cell r="T1290">
            <v>49000</v>
          </cell>
          <cell r="U1290">
            <v>0</v>
          </cell>
          <cell r="V1290">
            <v>49000</v>
          </cell>
          <cell r="W1290" t="str">
            <v>4969757110652</v>
          </cell>
        </row>
        <row r="1291">
          <cell r="A1291">
            <v>2026</v>
          </cell>
          <cell r="B1291">
            <v>5</v>
          </cell>
          <cell r="C1291">
            <v>46151</v>
          </cell>
          <cell r="D1291" t="str">
            <v>1. SKK store</v>
          </cell>
          <cell r="E1291" t="str">
            <v>S1006</v>
          </cell>
          <cell r="F1291" t="str">
            <v>SKK Trần Đăng Ninh</v>
          </cell>
          <cell r="G1291" t="str">
            <v>0983312606</v>
          </cell>
          <cell r="H1291" t="str">
            <v>Chị Trương Thị Mỹ Hà</v>
          </cell>
          <cell r="I1291" t="str">
            <v>Khách cũ</v>
          </cell>
          <cell r="J1291" t="str">
            <v>Đơn bán</v>
          </cell>
          <cell r="K1291" t="str">
            <v>SAKUKO770382</v>
          </cell>
          <cell r="L1291" t="str">
            <v>THỰC PHẨM</v>
          </cell>
          <cell r="M1291" t="str">
            <v>BÁNH KẸO, ĐỒ ĂN VẶT</v>
          </cell>
          <cell r="N1291" t="str">
            <v>KẸO CAO SU</v>
          </cell>
          <cell r="O1291" t="str">
            <v>153932</v>
          </cell>
          <cell r="P1291" t="str">
            <v>4903333241651</v>
          </cell>
          <cell r="Q1291" t="str">
            <v>LOTTE - Kẹo cao su black black ít đường 133g</v>
          </cell>
          <cell r="R1291">
            <v>235000</v>
          </cell>
          <cell r="S1291">
            <v>1</v>
          </cell>
          <cell r="T1291">
            <v>235000</v>
          </cell>
          <cell r="U1291">
            <v>0</v>
          </cell>
          <cell r="V1291">
            <v>235000</v>
          </cell>
          <cell r="W1291" t="str">
            <v>4903333241651</v>
          </cell>
        </row>
        <row r="1292">
          <cell r="A1292">
            <v>2026</v>
          </cell>
          <cell r="B1292">
            <v>5</v>
          </cell>
          <cell r="C1292">
            <v>46151</v>
          </cell>
          <cell r="D1292" t="str">
            <v>1. SKK store</v>
          </cell>
          <cell r="E1292" t="str">
            <v>S1006</v>
          </cell>
          <cell r="F1292" t="str">
            <v>SKK Trần Đăng Ninh</v>
          </cell>
          <cell r="G1292" t="str">
            <v>0983312606</v>
          </cell>
          <cell r="H1292" t="str">
            <v>Chị Trương Thị Mỹ Hà</v>
          </cell>
          <cell r="I1292" t="str">
            <v>Khách cũ</v>
          </cell>
          <cell r="J1292" t="str">
            <v>Đơn bán</v>
          </cell>
          <cell r="K1292" t="str">
            <v>SAKUKO770382</v>
          </cell>
          <cell r="L1292" t="str">
            <v>THỰC PHẨM</v>
          </cell>
          <cell r="M1292" t="str">
            <v>BÁNH KẸO, ĐỒ ĂN VẶT</v>
          </cell>
          <cell r="N1292" t="str">
            <v>KẸO CAO SU</v>
          </cell>
          <cell r="O1292" t="str">
            <v>231377</v>
          </cell>
          <cell r="P1292" t="str">
            <v>4903333200375</v>
          </cell>
          <cell r="Q1292" t="str">
            <v>LOTTE-Kẹo cao su tổng hợp dạng lọ 114g</v>
          </cell>
          <cell r="R1292">
            <v>235000</v>
          </cell>
          <cell r="S1292">
            <v>1</v>
          </cell>
          <cell r="T1292">
            <v>235000</v>
          </cell>
          <cell r="U1292">
            <v>0</v>
          </cell>
          <cell r="V1292">
            <v>235000</v>
          </cell>
          <cell r="W1292" t="str">
            <v>4903333200375</v>
          </cell>
        </row>
        <row r="1293">
          <cell r="A1293">
            <v>2026</v>
          </cell>
          <cell r="B1293">
            <v>5</v>
          </cell>
          <cell r="C1293">
            <v>46151</v>
          </cell>
          <cell r="D1293" t="str">
            <v>1. SKK store</v>
          </cell>
          <cell r="E1293" t="str">
            <v>S1006</v>
          </cell>
          <cell r="F1293" t="str">
            <v>SKK Trần Đăng Ninh</v>
          </cell>
          <cell r="G1293" t="str">
            <v>0988515815</v>
          </cell>
          <cell r="H1293" t="str">
            <v>chị lan</v>
          </cell>
          <cell r="I1293" t="str">
            <v>Khách cũ</v>
          </cell>
          <cell r="J1293" t="str">
            <v>Đơn bán</v>
          </cell>
          <cell r="K1293" t="str">
            <v>SAKUKO770322</v>
          </cell>
          <cell r="L1293" t="str">
            <v>THỰC PHẨM</v>
          </cell>
          <cell r="M1293" t="str">
            <v>MỲ, MIẾN</v>
          </cell>
          <cell r="N1293" t="str">
            <v>MỲ CHẾ BIẾN</v>
          </cell>
          <cell r="O1293" t="str">
            <v>174948</v>
          </cell>
          <cell r="P1293" t="str">
            <v>4582114354119</v>
          </cell>
          <cell r="Q1293" t="str">
            <v>SANUKISHISEI- Mì soumen 300g</v>
          </cell>
          <cell r="R1293">
            <v>35000</v>
          </cell>
          <cell r="S1293">
            <v>1</v>
          </cell>
          <cell r="T1293">
            <v>35000</v>
          </cell>
          <cell r="U1293">
            <v>0</v>
          </cell>
          <cell r="V1293">
            <v>35000</v>
          </cell>
          <cell r="W1293" t="str">
            <v>4582114354119</v>
          </cell>
        </row>
        <row r="1294">
          <cell r="A1294">
            <v>2026</v>
          </cell>
          <cell r="B1294">
            <v>5</v>
          </cell>
          <cell r="C1294">
            <v>46151</v>
          </cell>
          <cell r="D1294" t="str">
            <v>1. SKK store</v>
          </cell>
          <cell r="E1294" t="str">
            <v>S1007</v>
          </cell>
          <cell r="F1294" t="str">
            <v>SKK  Nguyễn Du</v>
          </cell>
          <cell r="G1294" t="str">
            <v>0984180395</v>
          </cell>
          <cell r="H1294" t="str">
            <v>chị Diệp</v>
          </cell>
          <cell r="I1294" t="str">
            <v>Khách mới</v>
          </cell>
          <cell r="J1294" t="str">
            <v>Đơn bán</v>
          </cell>
          <cell r="K1294" t="str">
            <v>SAKUKO769987</v>
          </cell>
          <cell r="L1294" t="str">
            <v>ĐỒ CHO MẸ BÉ</v>
          </cell>
          <cell r="M1294" t="str">
            <v>GIẤY ƯỚT</v>
          </cell>
          <cell r="N1294" t="str">
            <v>GIẤY ƯỚT CHO BÉ</v>
          </cell>
          <cell r="O1294" t="str">
            <v>121664</v>
          </cell>
          <cell r="P1294" t="str">
            <v>8934755035074</v>
          </cell>
          <cell r="Q1294" t="str">
            <v>BOBBY- Khăn ướt em bé có hương 100 miếng</v>
          </cell>
          <cell r="R1294">
            <v>46000</v>
          </cell>
          <cell r="S1294">
            <v>1</v>
          </cell>
          <cell r="T1294">
            <v>46000</v>
          </cell>
          <cell r="U1294">
            <v>0</v>
          </cell>
          <cell r="V1294">
            <v>46000</v>
          </cell>
          <cell r="W1294" t="str">
            <v>8934755035074</v>
          </cell>
        </row>
        <row r="1295">
          <cell r="A1295">
            <v>2026</v>
          </cell>
          <cell r="B1295">
            <v>5</v>
          </cell>
          <cell r="C1295">
            <v>46151</v>
          </cell>
          <cell r="D1295" t="str">
            <v>1. SKK store</v>
          </cell>
          <cell r="E1295" t="str">
            <v>S1008</v>
          </cell>
          <cell r="F1295" t="str">
            <v>SKK  Hàng Bông</v>
          </cell>
          <cell r="G1295" t="str">
            <v>02466810202</v>
          </cell>
          <cell r="H1295" t="str">
            <v>KH Tây</v>
          </cell>
          <cell r="I1295" t="str">
            <v>Khách vãng lai</v>
          </cell>
          <cell r="J1295" t="str">
            <v>Đơn bán</v>
          </cell>
          <cell r="K1295" t="str">
            <v>SAKUKO770813</v>
          </cell>
          <cell r="L1295" t="str">
            <v>ĐỒ CHO MẸ BÉ</v>
          </cell>
          <cell r="M1295" t="str">
            <v>GIẤY ƯỚT</v>
          </cell>
          <cell r="N1295" t="str">
            <v>GIẤY ƯỚT CHO BÉ</v>
          </cell>
          <cell r="O1295" t="str">
            <v>121662</v>
          </cell>
          <cell r="P1295" t="str">
            <v>8934755035036</v>
          </cell>
          <cell r="Q1295" t="str">
            <v>FRESSI- Khăn ướt Care For All 20 miếng</v>
          </cell>
          <cell r="R1295">
            <v>14000</v>
          </cell>
          <cell r="S1295">
            <v>2</v>
          </cell>
          <cell r="T1295">
            <v>28000</v>
          </cell>
          <cell r="U1295">
            <v>0</v>
          </cell>
          <cell r="V1295">
            <v>28000</v>
          </cell>
          <cell r="W1295" t="str">
            <v>8934755035036</v>
          </cell>
        </row>
        <row r="1296">
          <cell r="A1296">
            <v>2026</v>
          </cell>
          <cell r="B1296">
            <v>5</v>
          </cell>
          <cell r="C1296">
            <v>46151</v>
          </cell>
          <cell r="D1296" t="str">
            <v>1. SKK store</v>
          </cell>
          <cell r="E1296" t="str">
            <v>S1008</v>
          </cell>
          <cell r="F1296" t="str">
            <v>SKK  Hàng Bông</v>
          </cell>
          <cell r="G1296" t="str">
            <v>02466810202</v>
          </cell>
          <cell r="H1296" t="str">
            <v>KH Tây</v>
          </cell>
          <cell r="I1296" t="str">
            <v>Khách vãng lai</v>
          </cell>
          <cell r="J1296" t="str">
            <v>Đơn bán</v>
          </cell>
          <cell r="K1296" t="str">
            <v>SAKUKO770903</v>
          </cell>
          <cell r="L1296" t="str">
            <v>CHĂM SÓC SẮC ĐẸP</v>
          </cell>
          <cell r="M1296" t="str">
            <v>Mỹ phẩm khác</v>
          </cell>
          <cell r="N1296" t="str">
            <v>PHỤ KIỆN LÀM ĐẸP</v>
          </cell>
          <cell r="O1296" t="str">
            <v>102389</v>
          </cell>
          <cell r="P1296" t="str">
            <v>4969757110652</v>
          </cell>
          <cell r="Q1296" t="str">
            <v>KYOWA- Gói bông tẩy trang 130 miếng</v>
          </cell>
          <cell r="R1296">
            <v>49000</v>
          </cell>
          <cell r="S1296">
            <v>1</v>
          </cell>
          <cell r="T1296">
            <v>49000</v>
          </cell>
          <cell r="U1296">
            <v>0</v>
          </cell>
          <cell r="V1296">
            <v>49000</v>
          </cell>
          <cell r="W1296" t="str">
            <v>4969757110652</v>
          </cell>
        </row>
        <row r="1297">
          <cell r="A1297">
            <v>2026</v>
          </cell>
          <cell r="B1297">
            <v>5</v>
          </cell>
          <cell r="C1297">
            <v>46151</v>
          </cell>
          <cell r="D1297" t="str">
            <v>1. SKK store</v>
          </cell>
          <cell r="E1297" t="str">
            <v>S1008</v>
          </cell>
          <cell r="F1297" t="str">
            <v>SKK  Hàng Bông</v>
          </cell>
          <cell r="G1297" t="str">
            <v>0903421386</v>
          </cell>
          <cell r="H1297" t="str">
            <v>Chị duyên</v>
          </cell>
          <cell r="I1297" t="str">
            <v>Khách mới</v>
          </cell>
          <cell r="J1297" t="str">
            <v>Đơn bán</v>
          </cell>
          <cell r="K1297" t="str">
            <v>SAKUKO769601</v>
          </cell>
          <cell r="L1297" t="str">
            <v>ĐỒ CHO MẸ BÉ</v>
          </cell>
          <cell r="M1297" t="str">
            <v>GIẤY ƯỚT</v>
          </cell>
          <cell r="N1297" t="str">
            <v>GIẤY ƯỚT CHO BÉ</v>
          </cell>
          <cell r="O1297" t="str">
            <v>121663</v>
          </cell>
          <cell r="P1297" t="str">
            <v>8934755035197</v>
          </cell>
          <cell r="Q1297" t="str">
            <v>FRESSI- Khăn ướt Care For All 100 miếng</v>
          </cell>
          <cell r="R1297">
            <v>49000</v>
          </cell>
          <cell r="S1297">
            <v>1</v>
          </cell>
          <cell r="T1297">
            <v>49000</v>
          </cell>
          <cell r="U1297">
            <v>0</v>
          </cell>
          <cell r="V1297">
            <v>49000</v>
          </cell>
          <cell r="W1297" t="str">
            <v>8934755035197</v>
          </cell>
        </row>
        <row r="1298">
          <cell r="A1298">
            <v>2026</v>
          </cell>
          <cell r="B1298">
            <v>5</v>
          </cell>
          <cell r="C1298">
            <v>46151</v>
          </cell>
          <cell r="D1298" t="str">
            <v>1. SKK store</v>
          </cell>
          <cell r="E1298" t="str">
            <v>S1008</v>
          </cell>
          <cell r="F1298" t="str">
            <v>SKK  Hàng Bông</v>
          </cell>
          <cell r="G1298" t="str">
            <v>0903421386</v>
          </cell>
          <cell r="H1298" t="str">
            <v>Chị duyên</v>
          </cell>
          <cell r="I1298" t="str">
            <v>Khách mới</v>
          </cell>
          <cell r="J1298" t="str">
            <v>Đơn bán</v>
          </cell>
          <cell r="K1298" t="str">
            <v>SAKUKO769601</v>
          </cell>
          <cell r="L1298" t="str">
            <v>THỰC PHẨM</v>
          </cell>
          <cell r="M1298" t="str">
            <v>MỲ, MIẾN</v>
          </cell>
          <cell r="N1298" t="str">
            <v>MỲ ĂN LIỀN</v>
          </cell>
          <cell r="O1298" t="str">
            <v>153693</v>
          </cell>
          <cell r="P1298" t="str">
            <v>4902881066440</v>
          </cell>
          <cell r="Q1298" t="str">
            <v>MYOJO- Mỳ ramen vị miso 5 gói</v>
          </cell>
          <cell r="R1298">
            <v>105000</v>
          </cell>
          <cell r="S1298">
            <v>1</v>
          </cell>
          <cell r="T1298">
            <v>105000</v>
          </cell>
          <cell r="U1298">
            <v>0</v>
          </cell>
          <cell r="V1298">
            <v>105000</v>
          </cell>
          <cell r="W1298" t="str">
            <v>4902881066440</v>
          </cell>
        </row>
        <row r="1299">
          <cell r="A1299">
            <v>2026</v>
          </cell>
          <cell r="B1299">
            <v>5</v>
          </cell>
          <cell r="C1299">
            <v>46151</v>
          </cell>
          <cell r="D1299" t="str">
            <v>1. SKK store</v>
          </cell>
          <cell r="E1299" t="str">
            <v>S1008</v>
          </cell>
          <cell r="F1299" t="str">
            <v>SKK  Hàng Bông</v>
          </cell>
          <cell r="G1299" t="str">
            <v>0904380655</v>
          </cell>
          <cell r="H1299" t="str">
            <v>C Thoa</v>
          </cell>
          <cell r="I1299" t="str">
            <v>Khách cũ</v>
          </cell>
          <cell r="J1299" t="str">
            <v>Đơn bán</v>
          </cell>
          <cell r="K1299" t="str">
            <v>SAKUKO770664</v>
          </cell>
          <cell r="L1299" t="str">
            <v>THỰC PHẨM</v>
          </cell>
          <cell r="M1299" t="str">
            <v>MỲ, MIẾN</v>
          </cell>
          <cell r="N1299" t="str">
            <v>MỲ CHẾ BIẾN</v>
          </cell>
          <cell r="O1299" t="str">
            <v>175435</v>
          </cell>
          <cell r="P1299" t="str">
            <v>4901726014752</v>
          </cell>
          <cell r="Q1299" t="str">
            <v>ITSUKI FOODS- Mì soumen rau củ ngũ sắc320g</v>
          </cell>
          <cell r="R1299">
            <v>76000</v>
          </cell>
          <cell r="S1299">
            <v>1</v>
          </cell>
          <cell r="T1299">
            <v>76000</v>
          </cell>
          <cell r="U1299">
            <v>0</v>
          </cell>
          <cell r="V1299">
            <v>76000</v>
          </cell>
          <cell r="W1299" t="str">
            <v>4901726014752</v>
          </cell>
        </row>
        <row r="1300">
          <cell r="A1300">
            <v>2026</v>
          </cell>
          <cell r="B1300">
            <v>5</v>
          </cell>
          <cell r="C1300">
            <v>46151</v>
          </cell>
          <cell r="D1300" t="str">
            <v>1. SKK store</v>
          </cell>
          <cell r="E1300" t="str">
            <v>S1008</v>
          </cell>
          <cell r="F1300" t="str">
            <v>SKK  Hàng Bông</v>
          </cell>
          <cell r="G1300" t="str">
            <v>0912043407</v>
          </cell>
          <cell r="H1300" t="str">
            <v>Anh Khải</v>
          </cell>
          <cell r="I1300" t="str">
            <v>Khách cũ</v>
          </cell>
          <cell r="J1300" t="str">
            <v>Đơn bán</v>
          </cell>
          <cell r="K1300" t="str">
            <v>SAKUKO769608</v>
          </cell>
          <cell r="L1300" t="str">
            <v>CHĂM SÓC SẮC ĐẸP</v>
          </cell>
          <cell r="M1300" t="str">
            <v>CHĂM SÓC DA</v>
          </cell>
          <cell r="N1300" t="str">
            <v>RỬA MẶT</v>
          </cell>
          <cell r="O1300" t="str">
            <v>230269</v>
          </cell>
          <cell r="P1300" t="str">
            <v>4987241173242</v>
          </cell>
          <cell r="Q1300" t="str">
            <v>ROHTO- SRM Melano CC mờ thâm nám (130g)</v>
          </cell>
          <cell r="R1300">
            <v>294000</v>
          </cell>
          <cell r="S1300">
            <v>1</v>
          </cell>
          <cell r="T1300">
            <v>294000</v>
          </cell>
          <cell r="U1300">
            <v>0</v>
          </cell>
          <cell r="V1300">
            <v>294000</v>
          </cell>
          <cell r="W1300" t="str">
            <v>4987241173242</v>
          </cell>
        </row>
        <row r="1301">
          <cell r="A1301">
            <v>2026</v>
          </cell>
          <cell r="B1301">
            <v>5</v>
          </cell>
          <cell r="C1301">
            <v>46151</v>
          </cell>
          <cell r="D1301" t="str">
            <v>1. SKK store</v>
          </cell>
          <cell r="E1301" t="str">
            <v>S1015</v>
          </cell>
          <cell r="F1301" t="str">
            <v>SKK Hàm Nghi</v>
          </cell>
          <cell r="G1301" t="str">
            <v>02422409595</v>
          </cell>
          <cell r="H1301" t="str">
            <v>klhn</v>
          </cell>
          <cell r="I1301" t="str">
            <v>Khách vãng lai</v>
          </cell>
          <cell r="J1301" t="str">
            <v>Đơn bán</v>
          </cell>
          <cell r="K1301" t="str">
            <v>SAKUKO770842</v>
          </cell>
          <cell r="L1301" t="str">
            <v>THỰC PHẨM</v>
          </cell>
          <cell r="M1301" t="str">
            <v>MỲ, MIẾN</v>
          </cell>
          <cell r="N1301" t="str">
            <v>MỲ ĂN LIỀN</v>
          </cell>
          <cell r="O1301" t="str">
            <v>153999</v>
          </cell>
          <cell r="P1301" t="str">
            <v>4906871010246</v>
          </cell>
          <cell r="Q1301" t="str">
            <v>HATO - Mỳ Udon Tokyo 20g</v>
          </cell>
          <cell r="R1301">
            <v>47000</v>
          </cell>
          <cell r="S1301">
            <v>2</v>
          </cell>
          <cell r="T1301">
            <v>94000</v>
          </cell>
          <cell r="U1301">
            <v>0</v>
          </cell>
          <cell r="V1301">
            <v>94000</v>
          </cell>
          <cell r="W1301" t="str">
            <v>4906871010246</v>
          </cell>
        </row>
        <row r="1302">
          <cell r="A1302">
            <v>2026</v>
          </cell>
          <cell r="B1302">
            <v>5</v>
          </cell>
          <cell r="C1302">
            <v>46151</v>
          </cell>
          <cell r="D1302" t="str">
            <v>1. SKK store</v>
          </cell>
          <cell r="E1302" t="str">
            <v>S1015</v>
          </cell>
          <cell r="F1302" t="str">
            <v>SKK Hàm Nghi</v>
          </cell>
          <cell r="G1302" t="str">
            <v>02422409595</v>
          </cell>
          <cell r="H1302" t="str">
            <v>klhn</v>
          </cell>
          <cell r="I1302" t="str">
            <v>Khách vãng lai</v>
          </cell>
          <cell r="J1302" t="str">
            <v>Đơn bán</v>
          </cell>
          <cell r="K1302" t="str">
            <v>SAKUKO770842</v>
          </cell>
          <cell r="L1302" t="str">
            <v>THỰC PHẨM</v>
          </cell>
          <cell r="M1302" t="str">
            <v>MỲ, MIẾN</v>
          </cell>
          <cell r="N1302" t="str">
            <v>MỲ CHẾ BIẾN</v>
          </cell>
          <cell r="O1302" t="str">
            <v>154251</v>
          </cell>
          <cell r="P1302" t="str">
            <v>4560159440776</v>
          </cell>
          <cell r="Q1302" t="str">
            <v>SATO_Mì soba khô 800g</v>
          </cell>
          <cell r="R1302">
            <v>104000</v>
          </cell>
          <cell r="S1302">
            <v>1</v>
          </cell>
          <cell r="T1302">
            <v>104000</v>
          </cell>
          <cell r="U1302">
            <v>0</v>
          </cell>
          <cell r="V1302">
            <v>104000</v>
          </cell>
          <cell r="W1302" t="str">
            <v>4560159440776</v>
          </cell>
        </row>
        <row r="1303">
          <cell r="A1303">
            <v>2026</v>
          </cell>
          <cell r="B1303">
            <v>5</v>
          </cell>
          <cell r="C1303">
            <v>46151</v>
          </cell>
          <cell r="D1303" t="str">
            <v>1. SKK store</v>
          </cell>
          <cell r="E1303" t="str">
            <v>S1015</v>
          </cell>
          <cell r="F1303" t="str">
            <v>SKK Hàm Nghi</v>
          </cell>
          <cell r="G1303" t="str">
            <v>0983170304</v>
          </cell>
          <cell r="H1303" t="str">
            <v>Chị Hoàng Thu Thủy</v>
          </cell>
          <cell r="I1303" t="str">
            <v>Khách cũ</v>
          </cell>
          <cell r="J1303" t="str">
            <v>Đơn bán</v>
          </cell>
          <cell r="K1303" t="str">
            <v>SAKUKO769701</v>
          </cell>
          <cell r="L1303" t="str">
            <v>THỰC PHẨM</v>
          </cell>
          <cell r="M1303" t="str">
            <v>MỲ, MIẾN</v>
          </cell>
          <cell r="N1303" t="str">
            <v>MỲ ĂN LIỀN</v>
          </cell>
          <cell r="O1303" t="str">
            <v>153999</v>
          </cell>
          <cell r="P1303" t="str">
            <v>4906871010246</v>
          </cell>
          <cell r="Q1303" t="str">
            <v>HATO - Mỳ Udon Tokyo 20g</v>
          </cell>
          <cell r="R1303">
            <v>47000</v>
          </cell>
          <cell r="S1303">
            <v>1</v>
          </cell>
          <cell r="T1303">
            <v>47000</v>
          </cell>
          <cell r="U1303">
            <v>0</v>
          </cell>
          <cell r="V1303">
            <v>47000</v>
          </cell>
          <cell r="W1303" t="str">
            <v>4906871010246</v>
          </cell>
        </row>
        <row r="1304">
          <cell r="A1304">
            <v>2026</v>
          </cell>
          <cell r="B1304">
            <v>5</v>
          </cell>
          <cell r="C1304">
            <v>46151</v>
          </cell>
          <cell r="D1304" t="str">
            <v>1. SKK store</v>
          </cell>
          <cell r="E1304" t="str">
            <v>S1018</v>
          </cell>
          <cell r="F1304" t="str">
            <v>SKK Nguyễn Tuân</v>
          </cell>
          <cell r="G1304" t="str">
            <v>0966169681</v>
          </cell>
          <cell r="H1304" t="str">
            <v>David Bond</v>
          </cell>
          <cell r="I1304" t="str">
            <v>Khách mới</v>
          </cell>
          <cell r="J1304" t="str">
            <v>Đơn bán</v>
          </cell>
          <cell r="K1304" t="str">
            <v>SAKUKO770932</v>
          </cell>
          <cell r="L1304" t="str">
            <v>CHĂM SÓC SẮC ĐẸP</v>
          </cell>
          <cell r="M1304" t="str">
            <v>CHĂM SÓC DA</v>
          </cell>
          <cell r="N1304" t="str">
            <v>KEM DƯỠNG</v>
          </cell>
          <cell r="O1304" t="str">
            <v>102384</v>
          </cell>
          <cell r="P1304" t="str">
            <v>4902468820014</v>
          </cell>
          <cell r="Q1304" t="str">
            <v>MEISHOKU- Kem gel dưỡng ẩm phục hồi chuyên sâu 50g</v>
          </cell>
          <cell r="R1304">
            <v>575000</v>
          </cell>
          <cell r="S1304">
            <v>1</v>
          </cell>
          <cell r="T1304">
            <v>575000</v>
          </cell>
          <cell r="U1304">
            <v>0</v>
          </cell>
          <cell r="V1304">
            <v>575000</v>
          </cell>
          <cell r="W1304" t="str">
            <v>4902468820014</v>
          </cell>
        </row>
        <row r="1305">
          <cell r="A1305">
            <v>2026</v>
          </cell>
          <cell r="B1305">
            <v>5</v>
          </cell>
          <cell r="C1305">
            <v>46151</v>
          </cell>
          <cell r="D1305" t="str">
            <v>1. SKK store</v>
          </cell>
          <cell r="E1305" t="str">
            <v>S1025</v>
          </cell>
          <cell r="F1305" t="str">
            <v>SKK T6 Time City</v>
          </cell>
          <cell r="G1305" t="str">
            <v>0359425194</v>
          </cell>
          <cell r="H1305" t="str">
            <v>Cô Hà</v>
          </cell>
          <cell r="I1305" t="str">
            <v>Khách cũ</v>
          </cell>
          <cell r="J1305" t="str">
            <v>Đơn bán</v>
          </cell>
          <cell r="K1305" t="str">
            <v>SAKUKO770191</v>
          </cell>
          <cell r="L1305" t="str">
            <v>THỰC PHẨM</v>
          </cell>
          <cell r="M1305" t="str">
            <v>MỲ, MIẾN</v>
          </cell>
          <cell r="N1305" t="str">
            <v>MỲ CHẾ BIẾN</v>
          </cell>
          <cell r="O1305" t="str">
            <v>174948</v>
          </cell>
          <cell r="P1305" t="str">
            <v>4582114354119</v>
          </cell>
          <cell r="Q1305" t="str">
            <v>SANUKISHISEI- Mì soumen 300g</v>
          </cell>
          <cell r="R1305">
            <v>35000</v>
          </cell>
          <cell r="S1305">
            <v>1</v>
          </cell>
          <cell r="T1305">
            <v>35000</v>
          </cell>
          <cell r="U1305">
            <v>0</v>
          </cell>
          <cell r="V1305">
            <v>35000</v>
          </cell>
          <cell r="W1305" t="str">
            <v>4582114354119</v>
          </cell>
        </row>
        <row r="1306">
          <cell r="A1306">
            <v>2026</v>
          </cell>
          <cell r="B1306">
            <v>5</v>
          </cell>
          <cell r="C1306">
            <v>46150</v>
          </cell>
          <cell r="D1306" t="str">
            <v>1. SKK store</v>
          </cell>
          <cell r="E1306" t="str">
            <v>S1004</v>
          </cell>
          <cell r="F1306" t="str">
            <v>SKK  Mandarin C1</v>
          </cell>
          <cell r="G1306" t="str">
            <v>0912711199</v>
          </cell>
          <cell r="H1306" t="str">
            <v>Hoang Thi Quynh loan</v>
          </cell>
          <cell r="I1306" t="str">
            <v>Khách cũ</v>
          </cell>
          <cell r="J1306" t="str">
            <v>Đơn bán</v>
          </cell>
          <cell r="K1306" t="str">
            <v>SAKUKO768796</v>
          </cell>
          <cell r="L1306" t="str">
            <v>ĐỒ CHO MẸ BÉ</v>
          </cell>
          <cell r="M1306" t="str">
            <v>CHĂM SÓC CƠ THỂ BÉ</v>
          </cell>
          <cell r="N1306" t="str">
            <v>THỰC PHẨM CHỨC NĂNG CHO BÉ</v>
          </cell>
          <cell r="O1306" t="str">
            <v>121669</v>
          </cell>
          <cell r="P1306" t="str">
            <v>8436036591915</v>
          </cell>
          <cell r="Q1306" t="str">
            <v>NEO KIDS-TPBVSK Omega 3 DHA 150ml</v>
          </cell>
          <cell r="R1306">
            <v>275000</v>
          </cell>
          <cell r="S1306">
            <v>1</v>
          </cell>
          <cell r="T1306">
            <v>275000</v>
          </cell>
          <cell r="U1306">
            <v>0</v>
          </cell>
          <cell r="V1306">
            <v>275000</v>
          </cell>
          <cell r="W1306" t="str">
            <v>8436036591915</v>
          </cell>
        </row>
        <row r="1307">
          <cell r="A1307">
            <v>2026</v>
          </cell>
          <cell r="B1307">
            <v>5</v>
          </cell>
          <cell r="C1307">
            <v>46150</v>
          </cell>
          <cell r="D1307" t="str">
            <v>1. SKK store</v>
          </cell>
          <cell r="E1307" t="str">
            <v>S1004</v>
          </cell>
          <cell r="F1307" t="str">
            <v>SKK  Mandarin C1</v>
          </cell>
          <cell r="G1307" t="str">
            <v>0942936789</v>
          </cell>
          <cell r="H1307" t="str">
            <v>ANH KIEN</v>
          </cell>
          <cell r="I1307" t="str">
            <v>Khách cũ</v>
          </cell>
          <cell r="J1307" t="str">
            <v>Đơn bán</v>
          </cell>
          <cell r="K1307" t="str">
            <v>SAKUKO769338</v>
          </cell>
          <cell r="L1307" t="str">
            <v>THỰC PHẨM</v>
          </cell>
          <cell r="M1307" t="str">
            <v>BÁNH KẸO, ĐỒ ĂN VẶT</v>
          </cell>
          <cell r="N1307" t="str">
            <v>KẸO CAO SU</v>
          </cell>
          <cell r="O1307" t="str">
            <v>231377</v>
          </cell>
          <cell r="P1307" t="str">
            <v>4903333200375</v>
          </cell>
          <cell r="Q1307" t="str">
            <v>LOTTE-Kẹo cao su tổng hợp dạng lọ 114g</v>
          </cell>
          <cell r="R1307">
            <v>235000</v>
          </cell>
          <cell r="S1307">
            <v>1</v>
          </cell>
          <cell r="T1307">
            <v>235000</v>
          </cell>
          <cell r="U1307">
            <v>0</v>
          </cell>
          <cell r="V1307">
            <v>235000</v>
          </cell>
          <cell r="W1307" t="str">
            <v>4903333200375</v>
          </cell>
        </row>
        <row r="1308">
          <cell r="A1308">
            <v>2026</v>
          </cell>
          <cell r="B1308">
            <v>5</v>
          </cell>
          <cell r="C1308">
            <v>46150</v>
          </cell>
          <cell r="D1308" t="str">
            <v>1. SKK store</v>
          </cell>
          <cell r="E1308" t="str">
            <v>S1004</v>
          </cell>
          <cell r="F1308" t="str">
            <v>SKK  Mandarin C1</v>
          </cell>
          <cell r="G1308" t="str">
            <v>0972777676</v>
          </cell>
          <cell r="H1308" t="str">
            <v>Chị Quỳnh</v>
          </cell>
          <cell r="I1308" t="str">
            <v>Khách cũ</v>
          </cell>
          <cell r="J1308" t="str">
            <v>Đơn bán</v>
          </cell>
          <cell r="K1308" t="str">
            <v>SAKUKO769314</v>
          </cell>
          <cell r="L1308" t="str">
            <v>ĐỒ CHO MẸ BÉ</v>
          </cell>
          <cell r="M1308" t="str">
            <v>GIẤY ƯỚT</v>
          </cell>
          <cell r="N1308" t="str">
            <v>GIẤY ƯỚT CHO BÉ</v>
          </cell>
          <cell r="O1308" t="str">
            <v>121662</v>
          </cell>
          <cell r="P1308" t="str">
            <v>8934755035036</v>
          </cell>
          <cell r="Q1308" t="str">
            <v>FRESSI- Khăn ướt Care For All 20 miếng</v>
          </cell>
          <cell r="R1308">
            <v>14000</v>
          </cell>
          <cell r="S1308">
            <v>1</v>
          </cell>
          <cell r="T1308">
            <v>14000</v>
          </cell>
          <cell r="U1308">
            <v>0</v>
          </cell>
          <cell r="V1308">
            <v>14000</v>
          </cell>
          <cell r="W1308" t="str">
            <v>8934755035036</v>
          </cell>
        </row>
        <row r="1309">
          <cell r="A1309">
            <v>2026</v>
          </cell>
          <cell r="B1309">
            <v>5</v>
          </cell>
          <cell r="C1309">
            <v>46150</v>
          </cell>
          <cell r="D1309" t="str">
            <v>1. SKK store</v>
          </cell>
          <cell r="E1309" t="str">
            <v>S1004</v>
          </cell>
          <cell r="F1309" t="str">
            <v>SKK  Mandarin C1</v>
          </cell>
          <cell r="G1309" t="str">
            <v>0989017458</v>
          </cell>
          <cell r="H1309" t="str">
            <v>C yến</v>
          </cell>
          <cell r="I1309" t="str">
            <v>Khách cũ</v>
          </cell>
          <cell r="J1309" t="str">
            <v>Đơn bán</v>
          </cell>
          <cell r="K1309" t="str">
            <v>SAKUKO768559</v>
          </cell>
          <cell r="L1309" t="str">
            <v>ĐỒ CHO MẸ BÉ</v>
          </cell>
          <cell r="M1309" t="str">
            <v>CHĂM SÓC CƠ THỂ BÉ</v>
          </cell>
          <cell r="N1309" t="str">
            <v>THỰC PHẨM CHỨC NĂNG CHO BÉ</v>
          </cell>
          <cell r="O1309" t="str">
            <v>121673</v>
          </cell>
          <cell r="P1309" t="str">
            <v>3830056330328</v>
          </cell>
          <cell r="Q1309" t="str">
            <v>LINEABON- TPBVSK Vitamin K2 + D3 Drop 10ml</v>
          </cell>
          <cell r="R1309">
            <v>295000</v>
          </cell>
          <cell r="S1309">
            <v>1</v>
          </cell>
          <cell r="T1309">
            <v>295000</v>
          </cell>
          <cell r="U1309">
            <v>0</v>
          </cell>
          <cell r="V1309">
            <v>295000</v>
          </cell>
          <cell r="W1309" t="str">
            <v>3830056330328</v>
          </cell>
        </row>
        <row r="1310">
          <cell r="A1310">
            <v>2026</v>
          </cell>
          <cell r="B1310">
            <v>5</v>
          </cell>
          <cell r="C1310">
            <v>46150</v>
          </cell>
          <cell r="D1310" t="str">
            <v>1. SKK store</v>
          </cell>
          <cell r="E1310" t="str">
            <v>S1006</v>
          </cell>
          <cell r="F1310" t="str">
            <v>SKK Trần Đăng Ninh</v>
          </cell>
          <cell r="G1310" t="str">
            <v>0862954688</v>
          </cell>
          <cell r="H1310" t="str">
            <v>KLTDN</v>
          </cell>
          <cell r="I1310" t="str">
            <v>Khách vãng lai</v>
          </cell>
          <cell r="J1310" t="str">
            <v>Đơn bán</v>
          </cell>
          <cell r="K1310" t="str">
            <v>SAKUKO768589</v>
          </cell>
          <cell r="L1310" t="str">
            <v>ĐỒ CHO MẸ BÉ</v>
          </cell>
          <cell r="M1310" t="str">
            <v>GIẤY ƯỚT</v>
          </cell>
          <cell r="N1310" t="str">
            <v>GIẤY ƯỚT CHO BÉ</v>
          </cell>
          <cell r="O1310" t="str">
            <v>121662</v>
          </cell>
          <cell r="P1310" t="str">
            <v>8934755035036</v>
          </cell>
          <cell r="Q1310" t="str">
            <v>FRESSI- Khăn ướt Care For All 20 miếng</v>
          </cell>
          <cell r="R1310">
            <v>14000</v>
          </cell>
          <cell r="S1310">
            <v>1</v>
          </cell>
          <cell r="T1310">
            <v>14000</v>
          </cell>
          <cell r="U1310">
            <v>0</v>
          </cell>
          <cell r="V1310">
            <v>14000</v>
          </cell>
          <cell r="W1310" t="str">
            <v>8934755035036</v>
          </cell>
        </row>
        <row r="1311">
          <cell r="A1311">
            <v>2026</v>
          </cell>
          <cell r="B1311">
            <v>5</v>
          </cell>
          <cell r="C1311">
            <v>46150</v>
          </cell>
          <cell r="D1311" t="str">
            <v>1. SKK store</v>
          </cell>
          <cell r="E1311" t="str">
            <v>S1006</v>
          </cell>
          <cell r="F1311" t="str">
            <v>SKK Trần Đăng Ninh</v>
          </cell>
          <cell r="G1311" t="str">
            <v>0904333668</v>
          </cell>
          <cell r="H1311" t="str">
            <v>Chị Vân</v>
          </cell>
          <cell r="I1311" t="str">
            <v>Khách cũ</v>
          </cell>
          <cell r="J1311" t="str">
            <v>Đơn bán</v>
          </cell>
          <cell r="K1311" t="str">
            <v>SAKUKO768798</v>
          </cell>
          <cell r="L1311" t="str">
            <v>THỰC PHẨM</v>
          </cell>
          <cell r="M1311" t="str">
            <v>BÁNH KẸO, ĐỒ ĂN VẶT</v>
          </cell>
          <cell r="N1311" t="str">
            <v>KẸO CAO SU</v>
          </cell>
          <cell r="O1311" t="str">
            <v>231376</v>
          </cell>
          <cell r="P1311" t="str">
            <v>4903333228577</v>
          </cell>
          <cell r="Q1311" t="str">
            <v>LOTTE-Kẹo cao su tổng hợp 7 loại dạng lọ 133g</v>
          </cell>
          <cell r="R1311">
            <v>235000</v>
          </cell>
          <cell r="S1311">
            <v>1</v>
          </cell>
          <cell r="T1311">
            <v>235000</v>
          </cell>
          <cell r="U1311">
            <v>0</v>
          </cell>
          <cell r="V1311">
            <v>235000</v>
          </cell>
          <cell r="W1311" t="str">
            <v>4903333228577</v>
          </cell>
        </row>
        <row r="1312">
          <cell r="A1312">
            <v>2026</v>
          </cell>
          <cell r="B1312">
            <v>5</v>
          </cell>
          <cell r="C1312">
            <v>46150</v>
          </cell>
          <cell r="D1312" t="str">
            <v>1. SKK store</v>
          </cell>
          <cell r="E1312" t="str">
            <v>S1006</v>
          </cell>
          <cell r="F1312" t="str">
            <v>SKK Trần Đăng Ninh</v>
          </cell>
          <cell r="G1312" t="str">
            <v>0914508218</v>
          </cell>
          <cell r="H1312" t="str">
            <v>chi thao</v>
          </cell>
          <cell r="I1312" t="str">
            <v>Khách mới</v>
          </cell>
          <cell r="J1312" t="str">
            <v>Đơn bán</v>
          </cell>
          <cell r="K1312" t="str">
            <v>SAKUKO768395</v>
          </cell>
          <cell r="L1312" t="str">
            <v>NHÀ CỬA ĐỜI SỐNG</v>
          </cell>
          <cell r="M1312" t="str">
            <v>ĐỒ DÙNG SINH HOẠT GIA ĐÌNH</v>
          </cell>
          <cell r="N1312" t="str">
            <v>VẬT DỤNG SINH HOẠT KHÁC</v>
          </cell>
          <cell r="O1312" t="str">
            <v>135039</v>
          </cell>
          <cell r="P1312" t="str">
            <v>4968988074993</v>
          </cell>
          <cell r="Q1312" t="str">
            <v>OMAICHI- Set 2 lọ chiết mỹ phẩm 40ml kèm hộp đựng</v>
          </cell>
          <cell r="R1312">
            <v>52000</v>
          </cell>
          <cell r="S1312">
            <v>1</v>
          </cell>
          <cell r="T1312">
            <v>52000</v>
          </cell>
          <cell r="U1312">
            <v>0</v>
          </cell>
          <cell r="V1312">
            <v>52000</v>
          </cell>
          <cell r="W1312" t="str">
            <v>4968988074993</v>
          </cell>
        </row>
        <row r="1313">
          <cell r="A1313">
            <v>2026</v>
          </cell>
          <cell r="B1313">
            <v>5</v>
          </cell>
          <cell r="C1313">
            <v>46150</v>
          </cell>
          <cell r="D1313" t="str">
            <v>1. SKK store</v>
          </cell>
          <cell r="E1313" t="str">
            <v>S1008</v>
          </cell>
          <cell r="F1313" t="str">
            <v>SKK  Hàng Bông</v>
          </cell>
          <cell r="G1313" t="str">
            <v>02466810202</v>
          </cell>
          <cell r="H1313" t="str">
            <v>KH Tây</v>
          </cell>
          <cell r="I1313" t="str">
            <v>Khách vãng lai</v>
          </cell>
          <cell r="J1313" t="str">
            <v>Đơn bán</v>
          </cell>
          <cell r="K1313" t="str">
            <v>SAKUKO769027</v>
          </cell>
          <cell r="L1313" t="str">
            <v>THỰC PHẨM</v>
          </cell>
          <cell r="M1313" t="str">
            <v>MỲ, MIẾN</v>
          </cell>
          <cell r="N1313" t="str">
            <v>MỲ CHẾ BIẾN</v>
          </cell>
          <cell r="O1313" t="str">
            <v>175435</v>
          </cell>
          <cell r="P1313" t="str">
            <v>4901726014752</v>
          </cell>
          <cell r="Q1313" t="str">
            <v>ITSUKI FOODS- Mì soumen rau củ ngũ sắc320g</v>
          </cell>
          <cell r="R1313">
            <v>76000</v>
          </cell>
          <cell r="S1313">
            <v>1</v>
          </cell>
          <cell r="T1313">
            <v>76000</v>
          </cell>
          <cell r="U1313">
            <v>0</v>
          </cell>
          <cell r="V1313">
            <v>76000</v>
          </cell>
          <cell r="W1313" t="str">
            <v>4901726014752</v>
          </cell>
        </row>
        <row r="1314">
          <cell r="A1314">
            <v>2026</v>
          </cell>
          <cell r="B1314">
            <v>5</v>
          </cell>
          <cell r="C1314">
            <v>46150</v>
          </cell>
          <cell r="D1314" t="str">
            <v>1. SKK store</v>
          </cell>
          <cell r="E1314" t="str">
            <v>S1008</v>
          </cell>
          <cell r="F1314" t="str">
            <v>SKK  Hàng Bông</v>
          </cell>
          <cell r="G1314" t="str">
            <v>0915949539</v>
          </cell>
          <cell r="H1314" t="str">
            <v>Cô Phương</v>
          </cell>
          <cell r="I1314" t="str">
            <v>Khách cũ</v>
          </cell>
          <cell r="J1314" t="str">
            <v>Đơn bán</v>
          </cell>
          <cell r="K1314" t="str">
            <v>SAKUKO768648</v>
          </cell>
          <cell r="L1314" t="str">
            <v>CHĂM SÓC SẮC ĐẸP</v>
          </cell>
          <cell r="M1314" t="str">
            <v>Mỹ phẩm khác</v>
          </cell>
          <cell r="N1314" t="str">
            <v>PHỤ KIỆN LÀM ĐẸP</v>
          </cell>
          <cell r="O1314" t="str">
            <v>102389</v>
          </cell>
          <cell r="P1314" t="str">
            <v>4969757110652</v>
          </cell>
          <cell r="Q1314" t="str">
            <v>KYOWA- Gói bông tẩy trang 130 miếng</v>
          </cell>
          <cell r="R1314">
            <v>49000</v>
          </cell>
          <cell r="S1314">
            <v>1</v>
          </cell>
          <cell r="T1314">
            <v>49000</v>
          </cell>
          <cell r="U1314">
            <v>0</v>
          </cell>
          <cell r="V1314">
            <v>49000</v>
          </cell>
          <cell r="W1314" t="str">
            <v>4969757110652</v>
          </cell>
        </row>
        <row r="1315">
          <cell r="A1315">
            <v>2026</v>
          </cell>
          <cell r="B1315">
            <v>5</v>
          </cell>
          <cell r="C1315">
            <v>46150</v>
          </cell>
          <cell r="D1315" t="str">
            <v>1. SKK store</v>
          </cell>
          <cell r="E1315" t="str">
            <v>S1018</v>
          </cell>
          <cell r="F1315" t="str">
            <v>SKK Nguyễn Tuân</v>
          </cell>
          <cell r="G1315" t="str">
            <v>0972238404</v>
          </cell>
          <cell r="H1315" t="str">
            <v>chị nguyễn thị minh nguyệt</v>
          </cell>
          <cell r="I1315" t="str">
            <v>Khách cũ</v>
          </cell>
          <cell r="J1315" t="str">
            <v>Đơn bán</v>
          </cell>
          <cell r="K1315" t="str">
            <v>SAKUKO768689</v>
          </cell>
          <cell r="L1315" t="str">
            <v>THỰC PHẨM</v>
          </cell>
          <cell r="M1315" t="str">
            <v>MỲ, MIẾN</v>
          </cell>
          <cell r="N1315" t="str">
            <v>MỲ CHẾ BIẾN</v>
          </cell>
          <cell r="O1315" t="str">
            <v>175435</v>
          </cell>
          <cell r="P1315" t="str">
            <v>4901726014752</v>
          </cell>
          <cell r="Q1315" t="str">
            <v>ITSUKI FOODS- Mì soumen rau củ ngũ sắc320g</v>
          </cell>
          <cell r="R1315">
            <v>76000</v>
          </cell>
          <cell r="S1315">
            <v>1</v>
          </cell>
          <cell r="T1315">
            <v>76000</v>
          </cell>
          <cell r="U1315">
            <v>0</v>
          </cell>
          <cell r="V1315">
            <v>76000</v>
          </cell>
          <cell r="W1315" t="str">
            <v>4901726014752</v>
          </cell>
        </row>
        <row r="1316">
          <cell r="A1316">
            <v>2026</v>
          </cell>
          <cell r="B1316">
            <v>5</v>
          </cell>
          <cell r="C1316">
            <v>46150</v>
          </cell>
          <cell r="D1316" t="str">
            <v>1. SKK store</v>
          </cell>
          <cell r="E1316" t="str">
            <v>S1025</v>
          </cell>
          <cell r="F1316" t="str">
            <v>SKK T6 Time City</v>
          </cell>
          <cell r="G1316" t="str">
            <v>0832998982</v>
          </cell>
          <cell r="H1316" t="str">
            <v>Chị Nguyễn Quỳnh Trang</v>
          </cell>
          <cell r="I1316" t="str">
            <v>Khách cũ</v>
          </cell>
          <cell r="J1316" t="str">
            <v>Đơn bán</v>
          </cell>
          <cell r="K1316" t="str">
            <v>SAKUKO769329</v>
          </cell>
          <cell r="L1316" t="str">
            <v>ĐỒ CHO MẸ BÉ</v>
          </cell>
          <cell r="M1316" t="str">
            <v>GIẤY ƯỚT</v>
          </cell>
          <cell r="N1316" t="str">
            <v>GIẤY ƯỚT CHO BÉ</v>
          </cell>
          <cell r="O1316" t="str">
            <v>121662</v>
          </cell>
          <cell r="P1316" t="str">
            <v>8934755035036</v>
          </cell>
          <cell r="Q1316" t="str">
            <v>FRESSI- Khăn ướt Care For All 20 miếng</v>
          </cell>
          <cell r="R1316">
            <v>14000</v>
          </cell>
          <cell r="S1316">
            <v>2</v>
          </cell>
          <cell r="T1316">
            <v>28000</v>
          </cell>
          <cell r="U1316">
            <v>0</v>
          </cell>
          <cell r="V1316">
            <v>28000</v>
          </cell>
          <cell r="W1316" t="str">
            <v>8934755035036</v>
          </cell>
        </row>
        <row r="1317">
          <cell r="A1317">
            <v>2026</v>
          </cell>
          <cell r="B1317">
            <v>5</v>
          </cell>
          <cell r="C1317">
            <v>46150</v>
          </cell>
          <cell r="D1317" t="str">
            <v>1. SKK store</v>
          </cell>
          <cell r="E1317" t="str">
            <v>S1025</v>
          </cell>
          <cell r="F1317" t="str">
            <v>SKK T6 Time City</v>
          </cell>
          <cell r="G1317" t="str">
            <v>0983995399</v>
          </cell>
          <cell r="H1317" t="str">
            <v>Chị Uyên</v>
          </cell>
          <cell r="I1317" t="str">
            <v>Khách cũ</v>
          </cell>
          <cell r="J1317" t="str">
            <v>Đơn bán</v>
          </cell>
          <cell r="K1317" t="str">
            <v>SAKUKO769411</v>
          </cell>
          <cell r="L1317" t="str">
            <v>THỰC PHẨM</v>
          </cell>
          <cell r="M1317" t="str">
            <v>BÁNH KẸO, ĐỒ ĂN VẶT</v>
          </cell>
          <cell r="N1317" t="str">
            <v>KẸO CAO SU</v>
          </cell>
          <cell r="O1317" t="str">
            <v>153932</v>
          </cell>
          <cell r="P1317" t="str">
            <v>4903333241651</v>
          </cell>
          <cell r="Q1317" t="str">
            <v>LOTTE - Kẹo cao su black black ít đường 133g</v>
          </cell>
          <cell r="R1317">
            <v>235000</v>
          </cell>
          <cell r="S1317">
            <v>1</v>
          </cell>
          <cell r="T1317">
            <v>235000</v>
          </cell>
          <cell r="U1317">
            <v>0</v>
          </cell>
          <cell r="V1317">
            <v>235000</v>
          </cell>
          <cell r="W1317" t="str">
            <v>4903333241651</v>
          </cell>
        </row>
        <row r="1318">
          <cell r="A1318">
            <v>2026</v>
          </cell>
          <cell r="B1318">
            <v>5</v>
          </cell>
          <cell r="C1318">
            <v>46149</v>
          </cell>
          <cell r="D1318" t="str">
            <v>1. SKK store</v>
          </cell>
          <cell r="E1318" t="str">
            <v>S1005</v>
          </cell>
          <cell r="F1318" t="str">
            <v>SKK  Thái Hà</v>
          </cell>
          <cell r="G1318" t="str">
            <v>0914325566</v>
          </cell>
          <cell r="H1318" t="str">
            <v>Dương Thị Kiều Chinh</v>
          </cell>
          <cell r="I1318" t="str">
            <v>Khách cũ</v>
          </cell>
          <cell r="J1318" t="str">
            <v>Đơn bán</v>
          </cell>
          <cell r="K1318" t="str">
            <v>SAKUKO767916</v>
          </cell>
          <cell r="L1318" t="str">
            <v>THỰC PHẨM</v>
          </cell>
          <cell r="M1318" t="str">
            <v>MỲ, MIẾN</v>
          </cell>
          <cell r="N1318" t="str">
            <v>MỲ CHẾ BIẾN</v>
          </cell>
          <cell r="O1318" t="str">
            <v>154249</v>
          </cell>
          <cell r="P1318" t="str">
            <v>4517244004627</v>
          </cell>
          <cell r="Q1318" t="str">
            <v>ASAHI_Mì udon khô 400g</v>
          </cell>
          <cell r="R1318">
            <v>69000</v>
          </cell>
          <cell r="S1318">
            <v>1</v>
          </cell>
          <cell r="T1318">
            <v>69000</v>
          </cell>
          <cell r="U1318">
            <v>0</v>
          </cell>
          <cell r="V1318">
            <v>69000</v>
          </cell>
          <cell r="W1318" t="str">
            <v>4517244004627</v>
          </cell>
        </row>
        <row r="1319">
          <cell r="A1319">
            <v>2026</v>
          </cell>
          <cell r="B1319">
            <v>5</v>
          </cell>
          <cell r="C1319">
            <v>46149</v>
          </cell>
          <cell r="D1319" t="str">
            <v>1. SKK store</v>
          </cell>
          <cell r="E1319" t="str">
            <v>S1005</v>
          </cell>
          <cell r="F1319" t="str">
            <v>SKK  Thái Hà</v>
          </cell>
          <cell r="G1319" t="str">
            <v>0914772822</v>
          </cell>
          <cell r="H1319" t="str">
            <v>chị Cẩm Tú</v>
          </cell>
          <cell r="I1319" t="str">
            <v>Khách cũ</v>
          </cell>
          <cell r="J1319" t="str">
            <v>Đơn bán</v>
          </cell>
          <cell r="K1319" t="str">
            <v>SAKUKO767906</v>
          </cell>
          <cell r="L1319" t="str">
            <v>THỰC PHẨM</v>
          </cell>
          <cell r="M1319" t="str">
            <v>BÁNH KẸO, ĐỒ ĂN VẶT</v>
          </cell>
          <cell r="N1319" t="str">
            <v>KẸO CAO SU</v>
          </cell>
          <cell r="O1319" t="str">
            <v>231376</v>
          </cell>
          <cell r="P1319" t="str">
            <v>4903333228577</v>
          </cell>
          <cell r="Q1319" t="str">
            <v>LOTTE-Kẹo cao su tổng hợp 7 loại dạng lọ 133g</v>
          </cell>
          <cell r="R1319">
            <v>235000</v>
          </cell>
          <cell r="S1319">
            <v>1</v>
          </cell>
          <cell r="T1319">
            <v>235000</v>
          </cell>
          <cell r="U1319">
            <v>0</v>
          </cell>
          <cell r="V1319">
            <v>235000</v>
          </cell>
          <cell r="W1319" t="str">
            <v>4903333228577</v>
          </cell>
        </row>
        <row r="1320">
          <cell r="A1320">
            <v>2026</v>
          </cell>
          <cell r="B1320">
            <v>5</v>
          </cell>
          <cell r="C1320">
            <v>46149</v>
          </cell>
          <cell r="D1320" t="str">
            <v>1. SKK store</v>
          </cell>
          <cell r="E1320" t="str">
            <v>S1005</v>
          </cell>
          <cell r="F1320" t="str">
            <v>SKK  Thái Hà</v>
          </cell>
          <cell r="G1320" t="str">
            <v>0985093503</v>
          </cell>
          <cell r="H1320" t="str">
            <v>Chị Nguyễn Lê</v>
          </cell>
          <cell r="I1320" t="str">
            <v>Khách cũ</v>
          </cell>
          <cell r="J1320" t="str">
            <v>Đơn bán</v>
          </cell>
          <cell r="K1320" t="str">
            <v>SAKUKO768208</v>
          </cell>
          <cell r="L1320" t="str">
            <v>THỰC PHẨM</v>
          </cell>
          <cell r="M1320" t="str">
            <v>BÁNH KẸO, ĐỒ ĂN VẶT</v>
          </cell>
          <cell r="N1320" t="str">
            <v>KẸO CAO SU</v>
          </cell>
          <cell r="O1320" t="str">
            <v>231374</v>
          </cell>
          <cell r="P1320" t="str">
            <v>4547894156315</v>
          </cell>
          <cell r="Q1320" t="str">
            <v>CLORETS-Kẹo cao su hương vị 4 mùa 140g</v>
          </cell>
          <cell r="R1320">
            <v>235000</v>
          </cell>
          <cell r="S1320">
            <v>1</v>
          </cell>
          <cell r="T1320">
            <v>235000</v>
          </cell>
          <cell r="U1320">
            <v>0</v>
          </cell>
          <cell r="V1320">
            <v>235000</v>
          </cell>
          <cell r="W1320" t="str">
            <v>4547894156315</v>
          </cell>
        </row>
        <row r="1321">
          <cell r="A1321">
            <v>2026</v>
          </cell>
          <cell r="B1321">
            <v>5</v>
          </cell>
          <cell r="C1321">
            <v>46149</v>
          </cell>
          <cell r="D1321" t="str">
            <v>1. SKK store</v>
          </cell>
          <cell r="E1321" t="str">
            <v>S1006</v>
          </cell>
          <cell r="F1321" t="str">
            <v>SKK Trần Đăng Ninh</v>
          </cell>
          <cell r="G1321" t="str">
            <v>0982541592</v>
          </cell>
          <cell r="H1321" t="str">
            <v>Chị Thủy</v>
          </cell>
          <cell r="I1321" t="str">
            <v>Khách cũ</v>
          </cell>
          <cell r="J1321" t="str">
            <v>Đơn bán</v>
          </cell>
          <cell r="K1321" t="str">
            <v>SAKUKO768102</v>
          </cell>
          <cell r="L1321" t="str">
            <v>THỰC PHẨM</v>
          </cell>
          <cell r="M1321" t="str">
            <v>BÁNH KẸO, ĐỒ ĂN VẶT</v>
          </cell>
          <cell r="N1321" t="str">
            <v>KẸO CAO SU</v>
          </cell>
          <cell r="O1321" t="str">
            <v>154105</v>
          </cell>
          <cell r="P1321" t="str">
            <v>4547894156612</v>
          </cell>
          <cell r="Q1321" t="str">
            <v>MONDELEZ JAPAN - Kẹo cao su 112g</v>
          </cell>
          <cell r="R1321">
            <v>235000</v>
          </cell>
          <cell r="S1321">
            <v>1</v>
          </cell>
          <cell r="T1321">
            <v>235000</v>
          </cell>
          <cell r="U1321">
            <v>0</v>
          </cell>
          <cell r="V1321">
            <v>235000</v>
          </cell>
          <cell r="W1321" t="str">
            <v>4547894156612</v>
          </cell>
        </row>
        <row r="1322">
          <cell r="A1322">
            <v>2026</v>
          </cell>
          <cell r="B1322">
            <v>5</v>
          </cell>
          <cell r="C1322">
            <v>46149</v>
          </cell>
          <cell r="D1322" t="str">
            <v>1. SKK store</v>
          </cell>
          <cell r="E1322" t="str">
            <v>S1007</v>
          </cell>
          <cell r="F1322" t="str">
            <v>SKK  Nguyễn Du</v>
          </cell>
          <cell r="G1322" t="str">
            <v>0904276977</v>
          </cell>
          <cell r="H1322" t="str">
            <v>Nguyễn Hồng Hoa</v>
          </cell>
          <cell r="I1322" t="str">
            <v>Khách cũ</v>
          </cell>
          <cell r="J1322" t="str">
            <v>Đơn bán</v>
          </cell>
          <cell r="K1322" t="str">
            <v>SAKUKO767367</v>
          </cell>
          <cell r="L1322" t="str">
            <v>THỰC PHẨM</v>
          </cell>
          <cell r="M1322" t="str">
            <v>MỲ, MIẾN</v>
          </cell>
          <cell r="N1322" t="str">
            <v>MỲ CHẾ BIẾN</v>
          </cell>
          <cell r="O1322" t="str">
            <v>174948</v>
          </cell>
          <cell r="P1322" t="str">
            <v>4582114354119</v>
          </cell>
          <cell r="Q1322" t="str">
            <v>SANUKISHISEI- Mì soumen 300g</v>
          </cell>
          <cell r="R1322">
            <v>35000</v>
          </cell>
          <cell r="S1322">
            <v>1</v>
          </cell>
          <cell r="T1322">
            <v>35000</v>
          </cell>
          <cell r="U1322">
            <v>0</v>
          </cell>
          <cell r="V1322">
            <v>35000</v>
          </cell>
          <cell r="W1322" t="str">
            <v>4582114354119</v>
          </cell>
        </row>
        <row r="1323">
          <cell r="A1323">
            <v>2026</v>
          </cell>
          <cell r="B1323">
            <v>5</v>
          </cell>
          <cell r="C1323">
            <v>46149</v>
          </cell>
          <cell r="D1323" t="str">
            <v>1. SKK store</v>
          </cell>
          <cell r="E1323" t="str">
            <v>S1007</v>
          </cell>
          <cell r="F1323" t="str">
            <v>SKK  Nguyễn Du</v>
          </cell>
          <cell r="G1323" t="str">
            <v>0904276977</v>
          </cell>
          <cell r="H1323" t="str">
            <v>Nguyễn Hồng Hoa</v>
          </cell>
          <cell r="I1323" t="str">
            <v>Khách cũ</v>
          </cell>
          <cell r="J1323" t="str">
            <v>Đơn bán</v>
          </cell>
          <cell r="K1323" t="str">
            <v>SAKUKO767367</v>
          </cell>
          <cell r="L1323" t="str">
            <v>THỰC PHẨM</v>
          </cell>
          <cell r="M1323" t="str">
            <v>MỲ, MIẾN</v>
          </cell>
          <cell r="N1323" t="str">
            <v>MỲ CHẾ BIẾN</v>
          </cell>
          <cell r="O1323" t="str">
            <v>175435</v>
          </cell>
          <cell r="P1323" t="str">
            <v>4901726014752</v>
          </cell>
          <cell r="Q1323" t="str">
            <v>ITSUKI FOODS- Mì soumen rau củ ngũ sắc320g</v>
          </cell>
          <cell r="R1323">
            <v>76000</v>
          </cell>
          <cell r="S1323">
            <v>1</v>
          </cell>
          <cell r="T1323">
            <v>76000</v>
          </cell>
          <cell r="U1323">
            <v>0</v>
          </cell>
          <cell r="V1323">
            <v>76000</v>
          </cell>
          <cell r="W1323" t="str">
            <v>4901726014752</v>
          </cell>
        </row>
        <row r="1324">
          <cell r="A1324">
            <v>2026</v>
          </cell>
          <cell r="B1324">
            <v>5</v>
          </cell>
          <cell r="C1324">
            <v>46149</v>
          </cell>
          <cell r="D1324" t="str">
            <v>1. SKK store</v>
          </cell>
          <cell r="E1324" t="str">
            <v>S1007</v>
          </cell>
          <cell r="F1324" t="str">
            <v>SKK  Nguyễn Du</v>
          </cell>
          <cell r="G1324" t="str">
            <v>0904842396</v>
          </cell>
          <cell r="H1324" t="str">
            <v>C Nhung</v>
          </cell>
          <cell r="I1324" t="str">
            <v>Khách cũ</v>
          </cell>
          <cell r="J1324" t="str">
            <v>Đơn bán</v>
          </cell>
          <cell r="K1324" t="str">
            <v>SAKUKO767807</v>
          </cell>
          <cell r="L1324" t="str">
            <v>THỰC PHẨM</v>
          </cell>
          <cell r="M1324" t="str">
            <v>BÁNH KẸO, ĐỒ ĂN VẶT</v>
          </cell>
          <cell r="N1324" t="str">
            <v>KẸO CAO SU</v>
          </cell>
          <cell r="O1324" t="str">
            <v>153932</v>
          </cell>
          <cell r="P1324" t="str">
            <v>4903333241651</v>
          </cell>
          <cell r="Q1324" t="str">
            <v>LOTTE - Kẹo cao su black black ít đường 133g</v>
          </cell>
          <cell r="R1324">
            <v>235000</v>
          </cell>
          <cell r="S1324">
            <v>1</v>
          </cell>
          <cell r="T1324">
            <v>235000</v>
          </cell>
          <cell r="U1324">
            <v>0</v>
          </cell>
          <cell r="V1324">
            <v>235000</v>
          </cell>
          <cell r="W1324" t="str">
            <v>4903333241651</v>
          </cell>
        </row>
        <row r="1325">
          <cell r="A1325">
            <v>2026</v>
          </cell>
          <cell r="B1325">
            <v>5</v>
          </cell>
          <cell r="C1325">
            <v>46149</v>
          </cell>
          <cell r="D1325" t="str">
            <v>1. SKK store</v>
          </cell>
          <cell r="E1325" t="str">
            <v>S1007</v>
          </cell>
          <cell r="F1325" t="str">
            <v>SKK  Nguyễn Du</v>
          </cell>
          <cell r="G1325" t="str">
            <v>0915114818</v>
          </cell>
          <cell r="H1325" t="str">
            <v>Kh</v>
          </cell>
          <cell r="I1325" t="str">
            <v>Khách cũ</v>
          </cell>
          <cell r="J1325" t="str">
            <v>Đơn bán</v>
          </cell>
          <cell r="K1325" t="str">
            <v>SAKUKO767686</v>
          </cell>
          <cell r="L1325" t="str">
            <v>THỰC PHẨM</v>
          </cell>
          <cell r="M1325" t="str">
            <v>BÁNH KẸO, ĐỒ ĂN VẶT</v>
          </cell>
          <cell r="N1325" t="str">
            <v>KẸO CAO SU</v>
          </cell>
          <cell r="O1325" t="str">
            <v>231376</v>
          </cell>
          <cell r="P1325" t="str">
            <v>4903333228577</v>
          </cell>
          <cell r="Q1325" t="str">
            <v>LOTTE-Kẹo cao su tổng hợp 7 loại dạng lọ 133g</v>
          </cell>
          <cell r="R1325">
            <v>235000</v>
          </cell>
          <cell r="S1325">
            <v>1</v>
          </cell>
          <cell r="T1325">
            <v>235000</v>
          </cell>
          <cell r="U1325">
            <v>0</v>
          </cell>
          <cell r="V1325">
            <v>235000</v>
          </cell>
          <cell r="W1325" t="str">
            <v>4903333228577</v>
          </cell>
        </row>
        <row r="1326">
          <cell r="A1326">
            <v>2026</v>
          </cell>
          <cell r="B1326">
            <v>5</v>
          </cell>
          <cell r="C1326">
            <v>46149</v>
          </cell>
          <cell r="D1326" t="str">
            <v>1. SKK store</v>
          </cell>
          <cell r="E1326" t="str">
            <v>S1008</v>
          </cell>
          <cell r="F1326" t="str">
            <v>SKK  Hàng Bông</v>
          </cell>
          <cell r="G1326" t="str">
            <v>0832973661</v>
          </cell>
          <cell r="H1326" t="str">
            <v>chị Diệp</v>
          </cell>
          <cell r="I1326" t="str">
            <v>Khách cũ</v>
          </cell>
          <cell r="J1326" t="str">
            <v>Đơn bán</v>
          </cell>
          <cell r="K1326" t="str">
            <v>SAKUKO767682</v>
          </cell>
          <cell r="L1326" t="str">
            <v>NHÀ CỬA ĐỜI SỐNG</v>
          </cell>
          <cell r="M1326" t="str">
            <v>PHÒNG CHỐNG CÔN TRÙNG</v>
          </cell>
          <cell r="N1326" t="str">
            <v>CHỐNG CÔN TRÙNG</v>
          </cell>
          <cell r="O1326" t="str">
            <v>133079</v>
          </cell>
          <cell r="P1326" t="str">
            <v>4987115545946</v>
          </cell>
          <cell r="Q1326" t="str">
            <v>KINCHO-Dung dịch khử mùi đuổi côn trùng hương hoa</v>
          </cell>
          <cell r="R1326">
            <v>199000</v>
          </cell>
          <cell r="S1326">
            <v>1</v>
          </cell>
          <cell r="T1326">
            <v>199000</v>
          </cell>
          <cell r="U1326">
            <v>9950</v>
          </cell>
          <cell r="V1326">
            <v>189050</v>
          </cell>
          <cell r="W1326" t="str">
            <v>4987115545946</v>
          </cell>
        </row>
        <row r="1327">
          <cell r="A1327">
            <v>2026</v>
          </cell>
          <cell r="B1327">
            <v>5</v>
          </cell>
          <cell r="C1327">
            <v>46149</v>
          </cell>
          <cell r="D1327" t="str">
            <v>1. SKK store</v>
          </cell>
          <cell r="E1327" t="str">
            <v>S1008</v>
          </cell>
          <cell r="F1327" t="str">
            <v>SKK  Hàng Bông</v>
          </cell>
          <cell r="G1327" t="str">
            <v>0904380655</v>
          </cell>
          <cell r="H1327" t="str">
            <v>C Thoa</v>
          </cell>
          <cell r="I1327" t="str">
            <v>Khách cũ</v>
          </cell>
          <cell r="J1327" t="str">
            <v>Đơn bán</v>
          </cell>
          <cell r="K1327" t="str">
            <v>SAKUKO767678</v>
          </cell>
          <cell r="L1327" t="str">
            <v>THỰC PHẨM</v>
          </cell>
          <cell r="M1327" t="str">
            <v>MỲ, MIẾN</v>
          </cell>
          <cell r="N1327" t="str">
            <v>MỲ CHẾ BIẾN</v>
          </cell>
          <cell r="O1327" t="str">
            <v>154251</v>
          </cell>
          <cell r="P1327" t="str">
            <v>4560159440776</v>
          </cell>
          <cell r="Q1327" t="str">
            <v>SATO_Mì soba khô 800g</v>
          </cell>
          <cell r="R1327">
            <v>104000</v>
          </cell>
          <cell r="S1327">
            <v>1</v>
          </cell>
          <cell r="T1327">
            <v>104000</v>
          </cell>
          <cell r="U1327">
            <v>0</v>
          </cell>
          <cell r="V1327">
            <v>104000</v>
          </cell>
          <cell r="W1327" t="str">
            <v>4560159440776</v>
          </cell>
        </row>
        <row r="1328">
          <cell r="A1328">
            <v>2026</v>
          </cell>
          <cell r="B1328">
            <v>5</v>
          </cell>
          <cell r="C1328">
            <v>46149</v>
          </cell>
          <cell r="D1328" t="str">
            <v>1. SKK store</v>
          </cell>
          <cell r="E1328" t="str">
            <v>S1008</v>
          </cell>
          <cell r="F1328" t="str">
            <v>SKK  Hàng Bông</v>
          </cell>
          <cell r="G1328" t="str">
            <v>0915344144</v>
          </cell>
          <cell r="H1328" t="str">
            <v>CHI YEN</v>
          </cell>
          <cell r="I1328" t="str">
            <v>Khách mới</v>
          </cell>
          <cell r="J1328" t="str">
            <v>Đơn bán</v>
          </cell>
          <cell r="K1328" t="str">
            <v>SAKUKO767467</v>
          </cell>
          <cell r="L1328" t="str">
            <v>NHÀ CỬA ĐỜI SỐNG</v>
          </cell>
          <cell r="M1328" t="str">
            <v>ĐỒ DÙNG SINH HOẠT GIA ĐÌNH</v>
          </cell>
          <cell r="N1328" t="str">
            <v>VẬT DỤNG SINH HOẠT KHÁC</v>
          </cell>
          <cell r="O1328" t="str">
            <v>135039</v>
          </cell>
          <cell r="P1328" t="str">
            <v>4968988074993</v>
          </cell>
          <cell r="Q1328" t="str">
            <v>OMAICHI- Set 2 lọ chiết mỹ phẩm 40ml kèm hộp đựng</v>
          </cell>
          <cell r="R1328">
            <v>52000</v>
          </cell>
          <cell r="S1328">
            <v>1</v>
          </cell>
          <cell r="T1328">
            <v>52000</v>
          </cell>
          <cell r="U1328">
            <v>0</v>
          </cell>
          <cell r="V1328">
            <v>52000</v>
          </cell>
          <cell r="W1328" t="str">
            <v>4968988074993</v>
          </cell>
        </row>
        <row r="1329">
          <cell r="A1329">
            <v>2026</v>
          </cell>
          <cell r="B1329">
            <v>5</v>
          </cell>
          <cell r="C1329">
            <v>46149</v>
          </cell>
          <cell r="D1329" t="str">
            <v>1. SKK store</v>
          </cell>
          <cell r="E1329" t="str">
            <v>S1008</v>
          </cell>
          <cell r="F1329" t="str">
            <v>SKK  Hàng Bông</v>
          </cell>
          <cell r="G1329" t="str">
            <v>0915344144</v>
          </cell>
          <cell r="H1329" t="str">
            <v>CHI YEN</v>
          </cell>
          <cell r="I1329" t="str">
            <v>Khách mới</v>
          </cell>
          <cell r="J1329" t="str">
            <v>Đơn bán</v>
          </cell>
          <cell r="K1329" t="str">
            <v>SAKUKO767467</v>
          </cell>
          <cell r="L1329" t="str">
            <v>NHÀ CỬA ĐỜI SỐNG</v>
          </cell>
          <cell r="M1329" t="str">
            <v>KHĂN</v>
          </cell>
          <cell r="N1329" t="str">
            <v>KHĂN MẶT</v>
          </cell>
          <cell r="O1329" t="str">
            <v>102391</v>
          </cell>
          <cell r="P1329" t="str">
            <v>4991203205759</v>
          </cell>
          <cell r="Q1329" t="str">
            <v>ECHO - Khăn mặt dạng nén 20v size 26x16cm</v>
          </cell>
          <cell r="R1329">
            <v>45000</v>
          </cell>
          <cell r="S1329">
            <v>1</v>
          </cell>
          <cell r="T1329">
            <v>45000</v>
          </cell>
          <cell r="U1329">
            <v>0</v>
          </cell>
          <cell r="V1329">
            <v>45000</v>
          </cell>
          <cell r="W1329" t="str">
            <v>4991203205759</v>
          </cell>
        </row>
        <row r="1330">
          <cell r="A1330">
            <v>2026</v>
          </cell>
          <cell r="B1330">
            <v>5</v>
          </cell>
          <cell r="C1330">
            <v>46149</v>
          </cell>
          <cell r="D1330" t="str">
            <v>1. SKK store</v>
          </cell>
          <cell r="E1330" t="str">
            <v>S1008</v>
          </cell>
          <cell r="F1330" t="str">
            <v>SKK  Hàng Bông</v>
          </cell>
          <cell r="G1330" t="str">
            <v>0915344144</v>
          </cell>
          <cell r="H1330" t="str">
            <v>CHI YEN</v>
          </cell>
          <cell r="I1330" t="str">
            <v>Khách mới</v>
          </cell>
          <cell r="J1330" t="str">
            <v>Đơn bán</v>
          </cell>
          <cell r="K1330" t="str">
            <v>SAKUKO767467</v>
          </cell>
          <cell r="L1330" t="str">
            <v>THỰC PHẨM</v>
          </cell>
          <cell r="M1330" t="str">
            <v>BÁNH KẸO, ĐỒ ĂN VẶT</v>
          </cell>
          <cell r="N1330" t="str">
            <v>KẸO CAO SU</v>
          </cell>
          <cell r="O1330" t="str">
            <v>231376</v>
          </cell>
          <cell r="P1330" t="str">
            <v>4903333228577</v>
          </cell>
          <cell r="Q1330" t="str">
            <v>LOTTE-Kẹo cao su tổng hợp 7 loại dạng lọ 133g</v>
          </cell>
          <cell r="R1330">
            <v>235000</v>
          </cell>
          <cell r="S1330">
            <v>1</v>
          </cell>
          <cell r="T1330">
            <v>235000</v>
          </cell>
          <cell r="U1330">
            <v>0</v>
          </cell>
          <cell r="V1330">
            <v>235000</v>
          </cell>
          <cell r="W1330" t="str">
            <v>4903333228577</v>
          </cell>
        </row>
        <row r="1331">
          <cell r="A1331">
            <v>2026</v>
          </cell>
          <cell r="B1331">
            <v>5</v>
          </cell>
          <cell r="C1331">
            <v>46149</v>
          </cell>
          <cell r="D1331" t="str">
            <v>1. SKK store</v>
          </cell>
          <cell r="E1331" t="str">
            <v>S1015</v>
          </cell>
          <cell r="F1331" t="str">
            <v>SKK Hàm Nghi</v>
          </cell>
          <cell r="G1331" t="str">
            <v>0868226223</v>
          </cell>
          <cell r="H1331" t="str">
            <v>Chị Nguyệt</v>
          </cell>
          <cell r="I1331" t="str">
            <v>Khách cũ</v>
          </cell>
          <cell r="J1331" t="str">
            <v>Đơn bán</v>
          </cell>
          <cell r="K1331" t="str">
            <v>SAKUKO767283</v>
          </cell>
          <cell r="L1331" t="str">
            <v>CHĂM SÓC SẮC ĐẸP</v>
          </cell>
          <cell r="M1331" t="str">
            <v>CHĂM SÓC DA</v>
          </cell>
          <cell r="N1331" t="str">
            <v>KEM DƯỠNG</v>
          </cell>
          <cell r="O1331" t="str">
            <v>102384</v>
          </cell>
          <cell r="P1331" t="str">
            <v>4902468820014</v>
          </cell>
          <cell r="Q1331" t="str">
            <v>MEISHOKU- Kem gel dưỡng ẩm phục hồi chuyên sâu 50g</v>
          </cell>
          <cell r="R1331">
            <v>575000</v>
          </cell>
          <cell r="S1331">
            <v>1</v>
          </cell>
          <cell r="T1331">
            <v>575000</v>
          </cell>
          <cell r="U1331">
            <v>0</v>
          </cell>
          <cell r="V1331">
            <v>575000</v>
          </cell>
          <cell r="W1331" t="str">
            <v>4902468820014</v>
          </cell>
        </row>
        <row r="1332">
          <cell r="A1332">
            <v>2026</v>
          </cell>
          <cell r="B1332">
            <v>5</v>
          </cell>
          <cell r="C1332">
            <v>46149</v>
          </cell>
          <cell r="D1332" t="str">
            <v>1. SKK store</v>
          </cell>
          <cell r="E1332" t="str">
            <v>S1018</v>
          </cell>
          <cell r="F1332" t="str">
            <v>SKK Nguyễn Tuân</v>
          </cell>
          <cell r="G1332" t="str">
            <v>0975968529</v>
          </cell>
          <cell r="H1332" t="str">
            <v>chị Hương</v>
          </cell>
          <cell r="I1332" t="str">
            <v>Khách cũ</v>
          </cell>
          <cell r="J1332" t="str">
            <v>Đơn bán</v>
          </cell>
          <cell r="K1332" t="str">
            <v>SAKUKO767759</v>
          </cell>
          <cell r="L1332" t="str">
            <v>NHÀ CỬA ĐỜI SỐNG</v>
          </cell>
          <cell r="M1332" t="str">
            <v>PHÒNG CHỐNG CÔN TRÙNG</v>
          </cell>
          <cell r="N1332" t="str">
            <v>DIỆT CÔN TRÙNG</v>
          </cell>
          <cell r="O1332" t="str">
            <v>134479</v>
          </cell>
          <cell r="P1332" t="str">
            <v>4987115545892</v>
          </cell>
          <cell r="Q1332" t="str">
            <v>KINCHO-DD làm thơm phòng và đuổi muỗi Hoa SIBERIAN</v>
          </cell>
          <cell r="R1332">
            <v>239000</v>
          </cell>
          <cell r="S1332">
            <v>2</v>
          </cell>
          <cell r="T1332">
            <v>478000</v>
          </cell>
          <cell r="U1332">
            <v>23900</v>
          </cell>
          <cell r="V1332">
            <v>454100</v>
          </cell>
          <cell r="W1332" t="str">
            <v>4987115545892</v>
          </cell>
        </row>
        <row r="1333">
          <cell r="A1333">
            <v>2026</v>
          </cell>
          <cell r="B1333">
            <v>5</v>
          </cell>
          <cell r="C1333">
            <v>46148</v>
          </cell>
          <cell r="D1333" t="str">
            <v>1. SKK store</v>
          </cell>
          <cell r="E1333" t="str">
            <v>S1004</v>
          </cell>
          <cell r="F1333" t="str">
            <v>SKK  Mandarin C1</v>
          </cell>
          <cell r="G1333" t="str">
            <v>0379944092</v>
          </cell>
          <cell r="H1333" t="str">
            <v>Nghiêm Thị Bảo Yến</v>
          </cell>
          <cell r="I1333" t="str">
            <v>Khách cũ</v>
          </cell>
          <cell r="J1333" t="str">
            <v>Đơn bán</v>
          </cell>
          <cell r="K1333" t="str">
            <v>SAKUKO766835</v>
          </cell>
          <cell r="L1333" t="str">
            <v>ĐỒ CHO MẸ BÉ</v>
          </cell>
          <cell r="M1333" t="str">
            <v>CHĂM SÓC CƠ THỂ BÉ</v>
          </cell>
          <cell r="N1333" t="str">
            <v>THỰC PHẨM CHỨC NĂNG CHO BÉ</v>
          </cell>
          <cell r="O1333" t="str">
            <v>121673</v>
          </cell>
          <cell r="P1333" t="str">
            <v>3830056330328</v>
          </cell>
          <cell r="Q1333" t="str">
            <v>LINEABON- TPBVSK Vitamin K2 + D3 Drop 10ml</v>
          </cell>
          <cell r="R1333">
            <v>295000</v>
          </cell>
          <cell r="S1333">
            <v>1</v>
          </cell>
          <cell r="T1333">
            <v>295000</v>
          </cell>
          <cell r="U1333">
            <v>0</v>
          </cell>
          <cell r="V1333">
            <v>295000</v>
          </cell>
          <cell r="W1333" t="str">
            <v>3830056330328</v>
          </cell>
        </row>
        <row r="1334">
          <cell r="A1334">
            <v>2026</v>
          </cell>
          <cell r="B1334">
            <v>5</v>
          </cell>
          <cell r="C1334">
            <v>46148</v>
          </cell>
          <cell r="D1334" t="str">
            <v>1. SKK store</v>
          </cell>
          <cell r="E1334" t="str">
            <v>S1006</v>
          </cell>
          <cell r="F1334" t="str">
            <v>SKK Trần Đăng Ninh</v>
          </cell>
          <cell r="G1334" t="str">
            <v>0932165599</v>
          </cell>
          <cell r="H1334" t="str">
            <v>chi Mỹ</v>
          </cell>
          <cell r="I1334" t="str">
            <v>Khách cũ</v>
          </cell>
          <cell r="J1334" t="str">
            <v>Đơn bán</v>
          </cell>
          <cell r="K1334" t="str">
            <v>SAKUKO766633</v>
          </cell>
          <cell r="L1334" t="str">
            <v>THỰC PHẨM</v>
          </cell>
          <cell r="M1334" t="str">
            <v>BÁNH KẸO, ĐỒ ĂN VẶT</v>
          </cell>
          <cell r="N1334" t="str">
            <v>KẸO CAO SU</v>
          </cell>
          <cell r="O1334" t="str">
            <v>231374</v>
          </cell>
          <cell r="P1334" t="str">
            <v>4547894156315</v>
          </cell>
          <cell r="Q1334" t="str">
            <v>CLORETS-Kẹo cao su hương vị 4 mùa 140g</v>
          </cell>
          <cell r="R1334">
            <v>235000</v>
          </cell>
          <cell r="S1334">
            <v>1</v>
          </cell>
          <cell r="T1334">
            <v>235000</v>
          </cell>
          <cell r="U1334">
            <v>0</v>
          </cell>
          <cell r="V1334">
            <v>235000</v>
          </cell>
          <cell r="W1334" t="str">
            <v>4547894156315</v>
          </cell>
        </row>
        <row r="1335">
          <cell r="A1335">
            <v>2026</v>
          </cell>
          <cell r="B1335">
            <v>5</v>
          </cell>
          <cell r="C1335">
            <v>46148</v>
          </cell>
          <cell r="D1335" t="str">
            <v>1. SKK store</v>
          </cell>
          <cell r="E1335" t="str">
            <v>S1006</v>
          </cell>
          <cell r="F1335" t="str">
            <v>SKK Trần Đăng Ninh</v>
          </cell>
          <cell r="G1335" t="str">
            <v>0967819919</v>
          </cell>
          <cell r="H1335" t="str">
            <v>Chú Dũng</v>
          </cell>
          <cell r="I1335" t="str">
            <v>Khách cũ</v>
          </cell>
          <cell r="J1335" t="str">
            <v>Đơn bán</v>
          </cell>
          <cell r="K1335" t="str">
            <v>SAKUKO766089</v>
          </cell>
          <cell r="L1335" t="str">
            <v>THỰC PHẨM</v>
          </cell>
          <cell r="M1335" t="str">
            <v>MỲ, MIẾN</v>
          </cell>
          <cell r="N1335" t="str">
            <v>MỲ ĂN LIỀN</v>
          </cell>
          <cell r="O1335" t="str">
            <v>154196</v>
          </cell>
          <cell r="P1335" t="str">
            <v>4979397000152</v>
          </cell>
          <cell r="Q1335" t="str">
            <v>YAMAMOTO_Mì xào kiểu Nhật 89g*5</v>
          </cell>
          <cell r="R1335">
            <v>99000</v>
          </cell>
          <cell r="S1335">
            <v>1</v>
          </cell>
          <cell r="T1335">
            <v>99000</v>
          </cell>
          <cell r="U1335">
            <v>44550</v>
          </cell>
          <cell r="V1335">
            <v>54450</v>
          </cell>
          <cell r="W1335" t="str">
            <v>4979397000152</v>
          </cell>
        </row>
        <row r="1336">
          <cell r="A1336">
            <v>2026</v>
          </cell>
          <cell r="B1336">
            <v>5</v>
          </cell>
          <cell r="C1336">
            <v>46148</v>
          </cell>
          <cell r="D1336" t="str">
            <v>1. SKK store</v>
          </cell>
          <cell r="E1336" t="str">
            <v>S1006</v>
          </cell>
          <cell r="F1336" t="str">
            <v>SKK Trần Đăng Ninh</v>
          </cell>
          <cell r="G1336" t="str">
            <v>0974290954</v>
          </cell>
          <cell r="H1336" t="str">
            <v>Cô nguyễn thị thúy nga</v>
          </cell>
          <cell r="I1336" t="str">
            <v>Khách cũ</v>
          </cell>
          <cell r="J1336" t="str">
            <v>Đơn bán</v>
          </cell>
          <cell r="K1336" t="str">
            <v>SAKUKO766265</v>
          </cell>
          <cell r="L1336" t="str">
            <v>THỰC PHẨM</v>
          </cell>
          <cell r="M1336" t="str">
            <v>MỲ, MIẾN</v>
          </cell>
          <cell r="N1336" t="str">
            <v>MỲ ĂN LIỀN</v>
          </cell>
          <cell r="O1336" t="str">
            <v>154359</v>
          </cell>
          <cell r="P1336" t="str">
            <v>4979397000138</v>
          </cell>
          <cell r="Q1336" t="str">
            <v>YAMAMOTO- Mì ramen ăn liền hải sản thịt heo 88g*5</v>
          </cell>
          <cell r="R1336">
            <v>99000</v>
          </cell>
          <cell r="S1336">
            <v>1</v>
          </cell>
          <cell r="T1336">
            <v>99000</v>
          </cell>
          <cell r="U1336">
            <v>44550</v>
          </cell>
          <cell r="V1336">
            <v>54450</v>
          </cell>
          <cell r="W1336" t="str">
            <v>4979397000138</v>
          </cell>
        </row>
        <row r="1337">
          <cell r="A1337">
            <v>2026</v>
          </cell>
          <cell r="B1337">
            <v>5</v>
          </cell>
          <cell r="C1337">
            <v>46148</v>
          </cell>
          <cell r="D1337" t="str">
            <v>1. SKK store</v>
          </cell>
          <cell r="E1337" t="str">
            <v>S1006</v>
          </cell>
          <cell r="F1337" t="str">
            <v>SKK Trần Đăng Ninh</v>
          </cell>
          <cell r="G1337" t="str">
            <v>0983890066</v>
          </cell>
          <cell r="H1337" t="str">
            <v>Chị Trần Thị Kim Cúc</v>
          </cell>
          <cell r="I1337" t="str">
            <v>Khách cũ</v>
          </cell>
          <cell r="J1337" t="str">
            <v>Đơn bán</v>
          </cell>
          <cell r="K1337" t="str">
            <v>SAKUKO767002</v>
          </cell>
          <cell r="L1337" t="str">
            <v>THỰC PHẨM</v>
          </cell>
          <cell r="M1337" t="str">
            <v>MỲ, MIẾN</v>
          </cell>
          <cell r="N1337" t="str">
            <v>MỲ ĂN LIỀN</v>
          </cell>
          <cell r="O1337" t="str">
            <v>154359</v>
          </cell>
          <cell r="P1337" t="str">
            <v>4979397000138</v>
          </cell>
          <cell r="Q1337" t="str">
            <v>YAMAMOTO- Mì ramen ăn liền hải sản thịt heo 88g*5</v>
          </cell>
          <cell r="R1337">
            <v>99000</v>
          </cell>
          <cell r="S1337">
            <v>1</v>
          </cell>
          <cell r="T1337">
            <v>99000</v>
          </cell>
          <cell r="U1337">
            <v>44550</v>
          </cell>
          <cell r="V1337">
            <v>54450</v>
          </cell>
          <cell r="W1337" t="str">
            <v>4979397000138</v>
          </cell>
        </row>
        <row r="1338">
          <cell r="A1338">
            <v>2026</v>
          </cell>
          <cell r="B1338">
            <v>5</v>
          </cell>
          <cell r="C1338">
            <v>46148</v>
          </cell>
          <cell r="D1338" t="str">
            <v>1. SKK store</v>
          </cell>
          <cell r="E1338" t="str">
            <v>S1008</v>
          </cell>
          <cell r="F1338" t="str">
            <v>SKK  Hàng Bông</v>
          </cell>
          <cell r="G1338" t="str">
            <v>02466810202</v>
          </cell>
          <cell r="H1338" t="str">
            <v>KH Tây</v>
          </cell>
          <cell r="I1338" t="str">
            <v>Khách vãng lai</v>
          </cell>
          <cell r="J1338" t="str">
            <v>Đơn bán</v>
          </cell>
          <cell r="K1338" t="str">
            <v>SAKUKO766983</v>
          </cell>
          <cell r="L1338" t="str">
            <v>THỰC PHẨM</v>
          </cell>
          <cell r="M1338" t="str">
            <v>BÁNH KẸO, ĐỒ ĂN VẶT</v>
          </cell>
          <cell r="N1338" t="str">
            <v>KẸO CAO SU</v>
          </cell>
          <cell r="O1338" t="str">
            <v>231374</v>
          </cell>
          <cell r="P1338" t="str">
            <v>4547894156315</v>
          </cell>
          <cell r="Q1338" t="str">
            <v>CLORETS-Kẹo cao su hương vị 4 mùa 140g</v>
          </cell>
          <cell r="R1338">
            <v>235000</v>
          </cell>
          <cell r="S1338">
            <v>1</v>
          </cell>
          <cell r="T1338">
            <v>235000</v>
          </cell>
          <cell r="U1338">
            <v>0</v>
          </cell>
          <cell r="V1338">
            <v>235000</v>
          </cell>
          <cell r="W1338" t="str">
            <v>4547894156315</v>
          </cell>
        </row>
        <row r="1339">
          <cell r="A1339">
            <v>2026</v>
          </cell>
          <cell r="B1339">
            <v>5</v>
          </cell>
          <cell r="C1339">
            <v>46148</v>
          </cell>
          <cell r="D1339" t="str">
            <v>1. SKK store</v>
          </cell>
          <cell r="E1339" t="str">
            <v>S1008</v>
          </cell>
          <cell r="F1339" t="str">
            <v>SKK  Hàng Bông</v>
          </cell>
          <cell r="G1339" t="str">
            <v>02466810202</v>
          </cell>
          <cell r="H1339" t="str">
            <v>KH Tây</v>
          </cell>
          <cell r="I1339" t="str">
            <v>Khách vãng lai</v>
          </cell>
          <cell r="J1339" t="str">
            <v>Đơn bán</v>
          </cell>
          <cell r="K1339" t="str">
            <v>SAKUKO767065</v>
          </cell>
          <cell r="L1339" t="str">
            <v>ĐỒ CHO MẸ BÉ</v>
          </cell>
          <cell r="M1339" t="str">
            <v>GIẤY ƯỚT</v>
          </cell>
          <cell r="N1339" t="str">
            <v>GIẤY ƯỚT CHO BÉ</v>
          </cell>
          <cell r="O1339" t="str">
            <v>121662</v>
          </cell>
          <cell r="P1339" t="str">
            <v>8934755035036</v>
          </cell>
          <cell r="Q1339" t="str">
            <v>FRESSI- Khăn ướt Care For All 20 miếng</v>
          </cell>
          <cell r="R1339">
            <v>14000</v>
          </cell>
          <cell r="S1339">
            <v>1</v>
          </cell>
          <cell r="T1339">
            <v>14000</v>
          </cell>
          <cell r="U1339">
            <v>0</v>
          </cell>
          <cell r="V1339">
            <v>14000</v>
          </cell>
          <cell r="W1339" t="str">
            <v>8934755035036</v>
          </cell>
        </row>
        <row r="1340">
          <cell r="A1340">
            <v>2026</v>
          </cell>
          <cell r="B1340">
            <v>5</v>
          </cell>
          <cell r="C1340">
            <v>46148</v>
          </cell>
          <cell r="D1340" t="str">
            <v>1. SKK store</v>
          </cell>
          <cell r="E1340" t="str">
            <v>S1008</v>
          </cell>
          <cell r="F1340" t="str">
            <v>SKK  Hàng Bông</v>
          </cell>
          <cell r="G1340" t="str">
            <v>0986926768</v>
          </cell>
          <cell r="H1340" t="str">
            <v>Cô phượng</v>
          </cell>
          <cell r="I1340" t="str">
            <v>Khách mới</v>
          </cell>
          <cell r="J1340" t="str">
            <v>Đơn bán</v>
          </cell>
          <cell r="K1340" t="str">
            <v>SAKUKO766110</v>
          </cell>
          <cell r="L1340" t="str">
            <v>CHĂM SÓC SẮC ĐẸP</v>
          </cell>
          <cell r="M1340" t="str">
            <v>CHĂM SÓC DA</v>
          </cell>
          <cell r="N1340" t="str">
            <v>CHĂM SÓC DA KHÁC</v>
          </cell>
          <cell r="O1340" t="str">
            <v>102388</v>
          </cell>
          <cell r="P1340" t="str">
            <v>8935006542914</v>
          </cell>
          <cell r="Q1340" t="str">
            <v>HADA LABO- Bộ sản phẩm dưỡng trắng (travel kit)47g</v>
          </cell>
          <cell r="R1340">
            <v>135000</v>
          </cell>
          <cell r="S1340">
            <v>2</v>
          </cell>
          <cell r="T1340">
            <v>270000</v>
          </cell>
          <cell r="U1340">
            <v>0</v>
          </cell>
          <cell r="V1340">
            <v>270000</v>
          </cell>
          <cell r="W1340" t="str">
            <v>8935006542914</v>
          </cell>
        </row>
        <row r="1341">
          <cell r="A1341">
            <v>2026</v>
          </cell>
          <cell r="B1341">
            <v>5</v>
          </cell>
          <cell r="C1341">
            <v>46148</v>
          </cell>
          <cell r="D1341" t="str">
            <v>1. SKK store</v>
          </cell>
          <cell r="E1341" t="str">
            <v>S1015</v>
          </cell>
          <cell r="F1341" t="str">
            <v>SKK Hàm Nghi</v>
          </cell>
          <cell r="G1341" t="str">
            <v>0379908156</v>
          </cell>
          <cell r="H1341" t="str">
            <v>C Hân</v>
          </cell>
          <cell r="I1341" t="str">
            <v>Khách cũ</v>
          </cell>
          <cell r="J1341" t="str">
            <v>Đơn bán</v>
          </cell>
          <cell r="K1341" t="str">
            <v>SAKUKO766112</v>
          </cell>
          <cell r="L1341" t="str">
            <v>THỰC PHẨM</v>
          </cell>
          <cell r="M1341" t="str">
            <v>MỲ, MIẾN</v>
          </cell>
          <cell r="N1341" t="str">
            <v>MỲ CHẾ BIẾN</v>
          </cell>
          <cell r="O1341" t="str">
            <v>175435</v>
          </cell>
          <cell r="P1341" t="str">
            <v>4901726014752</v>
          </cell>
          <cell r="Q1341" t="str">
            <v>ITSUKI FOODS- Mì soumen rau củ ngũ sắc320g</v>
          </cell>
          <cell r="R1341">
            <v>76000</v>
          </cell>
          <cell r="S1341">
            <v>1</v>
          </cell>
          <cell r="T1341">
            <v>76000</v>
          </cell>
          <cell r="U1341">
            <v>0</v>
          </cell>
          <cell r="V1341">
            <v>76000</v>
          </cell>
          <cell r="W1341" t="str">
            <v>4901726014752</v>
          </cell>
        </row>
        <row r="1342">
          <cell r="A1342">
            <v>2026</v>
          </cell>
          <cell r="B1342">
            <v>5</v>
          </cell>
          <cell r="C1342">
            <v>46148</v>
          </cell>
          <cell r="D1342" t="str">
            <v>1. SKK store</v>
          </cell>
          <cell r="E1342" t="str">
            <v>S1015</v>
          </cell>
          <cell r="F1342" t="str">
            <v>SKK Hàm Nghi</v>
          </cell>
          <cell r="G1342" t="str">
            <v>0913258328</v>
          </cell>
          <cell r="H1342" t="str">
            <v>C LIÊN</v>
          </cell>
          <cell r="I1342" t="str">
            <v>Khách cũ</v>
          </cell>
          <cell r="J1342" t="str">
            <v>Đơn bán</v>
          </cell>
          <cell r="K1342" t="str">
            <v>SAKUKO767063</v>
          </cell>
          <cell r="L1342" t="str">
            <v>THỰC PHẨM</v>
          </cell>
          <cell r="M1342" t="str">
            <v>BÁNH KẸO, ĐỒ ĂN VẶT</v>
          </cell>
          <cell r="N1342" t="str">
            <v>KẸO CAO SU</v>
          </cell>
          <cell r="O1342" t="str">
            <v>231376</v>
          </cell>
          <cell r="P1342" t="str">
            <v>4903333228577</v>
          </cell>
          <cell r="Q1342" t="str">
            <v>LOTTE-Kẹo cao su tổng hợp 7 loại dạng lọ 133g</v>
          </cell>
          <cell r="R1342">
            <v>235000</v>
          </cell>
          <cell r="S1342">
            <v>1</v>
          </cell>
          <cell r="T1342">
            <v>235000</v>
          </cell>
          <cell r="U1342">
            <v>0</v>
          </cell>
          <cell r="V1342">
            <v>235000</v>
          </cell>
          <cell r="W1342" t="str">
            <v>4903333228577</v>
          </cell>
        </row>
        <row r="1343">
          <cell r="A1343">
            <v>2026</v>
          </cell>
          <cell r="B1343">
            <v>5</v>
          </cell>
          <cell r="C1343">
            <v>46148</v>
          </cell>
          <cell r="D1343" t="str">
            <v>1. SKK store</v>
          </cell>
          <cell r="E1343" t="str">
            <v>S1015</v>
          </cell>
          <cell r="F1343" t="str">
            <v>SKK Hàm Nghi</v>
          </cell>
          <cell r="G1343" t="str">
            <v>0934238822</v>
          </cell>
          <cell r="H1343" t="str">
            <v>C Quỳnh</v>
          </cell>
          <cell r="I1343" t="str">
            <v>Khách mới</v>
          </cell>
          <cell r="J1343" t="str">
            <v>Đơn bán</v>
          </cell>
          <cell r="K1343" t="str">
            <v>SAKUKO766800</v>
          </cell>
          <cell r="L1343" t="str">
            <v>THỰC PHẨM</v>
          </cell>
          <cell r="M1343" t="str">
            <v>MỲ, MIẾN</v>
          </cell>
          <cell r="N1343" t="str">
            <v>MỲ ĂN LIỀN</v>
          </cell>
          <cell r="O1343" t="str">
            <v>154196</v>
          </cell>
          <cell r="P1343" t="str">
            <v>4979397000152</v>
          </cell>
          <cell r="Q1343" t="str">
            <v>YAMAMOTO_Mì xào kiểu Nhật 89g*5</v>
          </cell>
          <cell r="R1343">
            <v>99000</v>
          </cell>
          <cell r="S1343">
            <v>1</v>
          </cell>
          <cell r="T1343">
            <v>99000</v>
          </cell>
          <cell r="U1343">
            <v>44550</v>
          </cell>
          <cell r="V1343">
            <v>54450</v>
          </cell>
          <cell r="W1343" t="str">
            <v>4979397000152</v>
          </cell>
        </row>
        <row r="1344">
          <cell r="A1344">
            <v>2026</v>
          </cell>
          <cell r="B1344">
            <v>5</v>
          </cell>
          <cell r="C1344">
            <v>46148</v>
          </cell>
          <cell r="D1344" t="str">
            <v>1. SKK store</v>
          </cell>
          <cell r="E1344" t="str">
            <v>S1025</v>
          </cell>
          <cell r="F1344" t="str">
            <v>SKK T6 Time City</v>
          </cell>
          <cell r="G1344" t="str">
            <v>0372296789</v>
          </cell>
          <cell r="H1344" t="str">
            <v>chị lan anh</v>
          </cell>
          <cell r="I1344" t="str">
            <v>Khách cũ</v>
          </cell>
          <cell r="J1344" t="str">
            <v>Đơn bán</v>
          </cell>
          <cell r="K1344" t="str">
            <v>SAKUKO766351</v>
          </cell>
          <cell r="L1344" t="str">
            <v>THỰC PHẨM</v>
          </cell>
          <cell r="M1344" t="str">
            <v>MỲ, MIẾN</v>
          </cell>
          <cell r="N1344" t="str">
            <v>MỲ ĂN LIỀN</v>
          </cell>
          <cell r="O1344" t="str">
            <v>154359</v>
          </cell>
          <cell r="P1344" t="str">
            <v>4979397000138</v>
          </cell>
          <cell r="Q1344" t="str">
            <v>YAMAMOTO- Mì ramen ăn liền hải sản thịt heo 88g*5</v>
          </cell>
          <cell r="R1344">
            <v>99000</v>
          </cell>
          <cell r="S1344">
            <v>1</v>
          </cell>
          <cell r="T1344">
            <v>99000</v>
          </cell>
          <cell r="U1344">
            <v>44550</v>
          </cell>
          <cell r="V1344">
            <v>54450</v>
          </cell>
          <cell r="W1344" t="str">
            <v>4979397000138</v>
          </cell>
        </row>
        <row r="1345">
          <cell r="A1345">
            <v>2026</v>
          </cell>
          <cell r="B1345">
            <v>5</v>
          </cell>
          <cell r="C1345">
            <v>46148</v>
          </cell>
          <cell r="D1345" t="str">
            <v>1. SKK store</v>
          </cell>
          <cell r="E1345" t="str">
            <v>S1025</v>
          </cell>
          <cell r="F1345" t="str">
            <v>SKK T6 Time City</v>
          </cell>
          <cell r="G1345" t="str">
            <v>0913253530</v>
          </cell>
          <cell r="H1345" t="str">
            <v>cô Oanh</v>
          </cell>
          <cell r="I1345" t="str">
            <v>Khách cũ</v>
          </cell>
          <cell r="J1345" t="str">
            <v>Đơn bán</v>
          </cell>
          <cell r="K1345" t="str">
            <v>SAKUKO766356</v>
          </cell>
          <cell r="L1345" t="str">
            <v>CHĂM SÓC SẮC ĐẸP</v>
          </cell>
          <cell r="M1345" t="str">
            <v>CHĂM SÓC DA</v>
          </cell>
          <cell r="N1345" t="str">
            <v>KEM DƯỠNG</v>
          </cell>
          <cell r="O1345" t="str">
            <v>102384</v>
          </cell>
          <cell r="P1345" t="str">
            <v>4902468820014</v>
          </cell>
          <cell r="Q1345" t="str">
            <v>MEISHOKU- Kem gel dưỡng ẩm phục hồi chuyên sâu 50g</v>
          </cell>
          <cell r="R1345">
            <v>575000</v>
          </cell>
          <cell r="S1345">
            <v>1</v>
          </cell>
          <cell r="T1345">
            <v>575000</v>
          </cell>
          <cell r="U1345">
            <v>0</v>
          </cell>
          <cell r="V1345">
            <v>575000</v>
          </cell>
          <cell r="W1345" t="str">
            <v>4902468820014</v>
          </cell>
        </row>
        <row r="1346">
          <cell r="A1346">
            <v>2026</v>
          </cell>
          <cell r="B1346">
            <v>5</v>
          </cell>
          <cell r="C1346">
            <v>46148</v>
          </cell>
          <cell r="D1346" t="str">
            <v>1. SKK store</v>
          </cell>
          <cell r="E1346" t="str">
            <v>S1025</v>
          </cell>
          <cell r="F1346" t="str">
            <v>SKK T6 Time City</v>
          </cell>
          <cell r="G1346" t="str">
            <v>0942462609</v>
          </cell>
          <cell r="H1346" t="str">
            <v>chị Ngọc</v>
          </cell>
          <cell r="I1346" t="str">
            <v>Khách cũ</v>
          </cell>
          <cell r="J1346" t="str">
            <v>Đơn bán</v>
          </cell>
          <cell r="K1346" t="str">
            <v>SAKUKO766317</v>
          </cell>
          <cell r="L1346" t="str">
            <v>THỰC PHẨM</v>
          </cell>
          <cell r="M1346" t="str">
            <v>MỲ, MIẾN</v>
          </cell>
          <cell r="N1346" t="str">
            <v>MỲ ĂN LIỀN</v>
          </cell>
          <cell r="O1346" t="str">
            <v>153693</v>
          </cell>
          <cell r="P1346" t="str">
            <v>4902881066440</v>
          </cell>
          <cell r="Q1346" t="str">
            <v>MYOJO- Mỳ ramen vị miso 5 gói</v>
          </cell>
          <cell r="R1346">
            <v>105000</v>
          </cell>
          <cell r="S1346">
            <v>1</v>
          </cell>
          <cell r="T1346">
            <v>105000</v>
          </cell>
          <cell r="U1346">
            <v>0</v>
          </cell>
          <cell r="V1346">
            <v>105000</v>
          </cell>
          <cell r="W1346" t="str">
            <v>4902881066440</v>
          </cell>
        </row>
        <row r="1347">
          <cell r="A1347">
            <v>2026</v>
          </cell>
          <cell r="B1347">
            <v>5</v>
          </cell>
          <cell r="C1347">
            <v>46147</v>
          </cell>
          <cell r="D1347" t="str">
            <v>1. SKK store</v>
          </cell>
          <cell r="E1347" t="str">
            <v>S1004</v>
          </cell>
          <cell r="F1347" t="str">
            <v>SKK  Mandarin C1</v>
          </cell>
          <cell r="G1347" t="str">
            <v>0989550937</v>
          </cell>
          <cell r="H1347" t="str">
            <v>Thoa</v>
          </cell>
          <cell r="I1347" t="str">
            <v>Khách cũ</v>
          </cell>
          <cell r="J1347" t="str">
            <v>Đơn bán</v>
          </cell>
          <cell r="K1347" t="str">
            <v>SAKUKO765010</v>
          </cell>
          <cell r="L1347" t="str">
            <v>THỰC PHẨM</v>
          </cell>
          <cell r="M1347" t="str">
            <v>MỲ, MIẾN</v>
          </cell>
          <cell r="N1347" t="str">
            <v>MỲ CHẾ BIẾN</v>
          </cell>
          <cell r="O1347" t="str">
            <v>175435</v>
          </cell>
          <cell r="P1347" t="str">
            <v>4901726014752</v>
          </cell>
          <cell r="Q1347" t="str">
            <v>ITSUKI FOODS- Mì soumen rau củ ngũ sắc320g</v>
          </cell>
          <cell r="R1347">
            <v>76000</v>
          </cell>
          <cell r="S1347">
            <v>1</v>
          </cell>
          <cell r="T1347">
            <v>76000</v>
          </cell>
          <cell r="U1347">
            <v>0</v>
          </cell>
          <cell r="V1347">
            <v>76000</v>
          </cell>
          <cell r="W1347" t="str">
            <v>4901726014752</v>
          </cell>
        </row>
        <row r="1348">
          <cell r="A1348">
            <v>2026</v>
          </cell>
          <cell r="B1348">
            <v>5</v>
          </cell>
          <cell r="C1348">
            <v>46147</v>
          </cell>
          <cell r="D1348" t="str">
            <v>1. SKK store</v>
          </cell>
          <cell r="E1348" t="str">
            <v>S1005</v>
          </cell>
          <cell r="F1348" t="str">
            <v>SKK  Thái Hà</v>
          </cell>
          <cell r="G1348" t="str">
            <v>0912524275</v>
          </cell>
          <cell r="H1348" t="str">
            <v>chú hồng lương</v>
          </cell>
          <cell r="I1348" t="str">
            <v>Khách cũ</v>
          </cell>
          <cell r="J1348" t="str">
            <v>Đơn bán</v>
          </cell>
          <cell r="K1348" t="str">
            <v>SAKUKO765819</v>
          </cell>
          <cell r="L1348" t="str">
            <v>ĐỒ CHO MẸ BÉ</v>
          </cell>
          <cell r="M1348" t="str">
            <v>GIẤY ƯỚT</v>
          </cell>
          <cell r="N1348" t="str">
            <v>GIẤY ƯỚT CHO BÉ</v>
          </cell>
          <cell r="O1348" t="str">
            <v>121662</v>
          </cell>
          <cell r="P1348" t="str">
            <v>8934755035036</v>
          </cell>
          <cell r="Q1348" t="str">
            <v>FRESSI- Khăn ướt Care For All 20 miếng</v>
          </cell>
          <cell r="R1348">
            <v>14000</v>
          </cell>
          <cell r="S1348">
            <v>3</v>
          </cell>
          <cell r="T1348">
            <v>42000</v>
          </cell>
          <cell r="U1348">
            <v>0</v>
          </cell>
          <cell r="V1348">
            <v>42000</v>
          </cell>
          <cell r="W1348" t="str">
            <v>8934755035036</v>
          </cell>
        </row>
        <row r="1349">
          <cell r="A1349">
            <v>2026</v>
          </cell>
          <cell r="B1349">
            <v>5</v>
          </cell>
          <cell r="C1349">
            <v>46147</v>
          </cell>
          <cell r="D1349" t="str">
            <v>1. SKK store</v>
          </cell>
          <cell r="E1349" t="str">
            <v>S1005</v>
          </cell>
          <cell r="F1349" t="str">
            <v>SKK  Thái Hà</v>
          </cell>
          <cell r="G1349" t="str">
            <v>0912524275</v>
          </cell>
          <cell r="H1349" t="str">
            <v>chú hồng lương</v>
          </cell>
          <cell r="I1349" t="str">
            <v>Khách cũ</v>
          </cell>
          <cell r="J1349" t="str">
            <v>Đơn bán</v>
          </cell>
          <cell r="K1349" t="str">
            <v>SAKUKO765819</v>
          </cell>
          <cell r="L1349" t="str">
            <v>ĐỒ CHO MẸ BÉ</v>
          </cell>
          <cell r="M1349" t="str">
            <v>GIẤY ƯỚT</v>
          </cell>
          <cell r="N1349" t="str">
            <v>GIẤY ƯỚT CHO BÉ</v>
          </cell>
          <cell r="O1349" t="str">
            <v>121663</v>
          </cell>
          <cell r="P1349" t="str">
            <v>8934755035197</v>
          </cell>
          <cell r="Q1349" t="str">
            <v>FRESSI- Khăn ướt Care For All 100 miếng</v>
          </cell>
          <cell r="R1349">
            <v>49000</v>
          </cell>
          <cell r="S1349">
            <v>1</v>
          </cell>
          <cell r="T1349">
            <v>49000</v>
          </cell>
          <cell r="U1349">
            <v>0</v>
          </cell>
          <cell r="V1349">
            <v>49000</v>
          </cell>
          <cell r="W1349" t="str">
            <v>8934755035197</v>
          </cell>
        </row>
        <row r="1350">
          <cell r="A1350">
            <v>2026</v>
          </cell>
          <cell r="B1350">
            <v>5</v>
          </cell>
          <cell r="C1350">
            <v>46147</v>
          </cell>
          <cell r="D1350" t="str">
            <v>1. SKK store</v>
          </cell>
          <cell r="E1350" t="str">
            <v>S1005</v>
          </cell>
          <cell r="F1350" t="str">
            <v>SKK  Thái Hà</v>
          </cell>
          <cell r="G1350" t="str">
            <v>0981365309</v>
          </cell>
          <cell r="H1350" t="str">
            <v>anh Thắng</v>
          </cell>
          <cell r="I1350" t="str">
            <v>Khách cũ</v>
          </cell>
          <cell r="J1350" t="str">
            <v>Đơn bán</v>
          </cell>
          <cell r="K1350" t="str">
            <v>SAKUKO765920</v>
          </cell>
          <cell r="L1350" t="str">
            <v>THỰC PHẨM</v>
          </cell>
          <cell r="M1350" t="str">
            <v>BÁNH KẸO, ĐỒ ĂN VẶT</v>
          </cell>
          <cell r="N1350" t="str">
            <v>KẸO CAO SU</v>
          </cell>
          <cell r="O1350" t="str">
            <v>231374</v>
          </cell>
          <cell r="P1350" t="str">
            <v>4547894156315</v>
          </cell>
          <cell r="Q1350" t="str">
            <v>CLORETS-Kẹo cao su hương vị 4 mùa 140g</v>
          </cell>
          <cell r="R1350">
            <v>235000</v>
          </cell>
          <cell r="S1350">
            <v>1</v>
          </cell>
          <cell r="T1350">
            <v>235000</v>
          </cell>
          <cell r="U1350">
            <v>0</v>
          </cell>
          <cell r="V1350">
            <v>235000</v>
          </cell>
          <cell r="W1350" t="str">
            <v>4547894156315</v>
          </cell>
        </row>
        <row r="1351">
          <cell r="A1351">
            <v>2026</v>
          </cell>
          <cell r="B1351">
            <v>5</v>
          </cell>
          <cell r="C1351">
            <v>46147</v>
          </cell>
          <cell r="D1351" t="str">
            <v>1. SKK store</v>
          </cell>
          <cell r="E1351" t="str">
            <v>S1006</v>
          </cell>
          <cell r="F1351" t="str">
            <v>SKK Trần Đăng Ninh</v>
          </cell>
          <cell r="G1351" t="str">
            <v>0912494262</v>
          </cell>
          <cell r="H1351" t="str">
            <v>Chị Nguyễn Thị Thu Hoa</v>
          </cell>
          <cell r="I1351" t="str">
            <v>Khách cũ</v>
          </cell>
          <cell r="J1351" t="str">
            <v>Đơn bán</v>
          </cell>
          <cell r="K1351" t="str">
            <v>SAKUKO765325</v>
          </cell>
          <cell r="L1351" t="str">
            <v>CHĂM SÓC SẮC ĐẸP</v>
          </cell>
          <cell r="M1351" t="str">
            <v>CHĂM SÓC DA</v>
          </cell>
          <cell r="N1351" t="str">
            <v>CHĂM SÓC DA KHÁC</v>
          </cell>
          <cell r="O1351" t="str">
            <v>102387</v>
          </cell>
          <cell r="P1351" t="str">
            <v>8935006542907</v>
          </cell>
          <cell r="Q1351" t="str">
            <v>HADA LABO- Bộ sản phẩm dưỡng ẩm (travel kit)47g</v>
          </cell>
          <cell r="R1351">
            <v>129000</v>
          </cell>
          <cell r="S1351">
            <v>1</v>
          </cell>
          <cell r="T1351">
            <v>129000</v>
          </cell>
          <cell r="U1351">
            <v>0</v>
          </cell>
          <cell r="V1351">
            <v>129000</v>
          </cell>
          <cell r="W1351" t="str">
            <v>8935006542907</v>
          </cell>
        </row>
        <row r="1352">
          <cell r="A1352">
            <v>2026</v>
          </cell>
          <cell r="B1352">
            <v>5</v>
          </cell>
          <cell r="C1352">
            <v>46147</v>
          </cell>
          <cell r="D1352" t="str">
            <v>1. SKK store</v>
          </cell>
          <cell r="E1352" t="str">
            <v>S1006</v>
          </cell>
          <cell r="F1352" t="str">
            <v>SKK Trần Đăng Ninh</v>
          </cell>
          <cell r="G1352" t="str">
            <v>0985388459</v>
          </cell>
          <cell r="H1352" t="str">
            <v>Nguyễn Thị Thu Hiền</v>
          </cell>
          <cell r="I1352" t="str">
            <v>Khách cũ</v>
          </cell>
          <cell r="J1352" t="str">
            <v>Đơn bán</v>
          </cell>
          <cell r="K1352" t="str">
            <v>SAKUKO765380</v>
          </cell>
          <cell r="L1352" t="str">
            <v>CHĂM SÓC SẮC ĐẸP</v>
          </cell>
          <cell r="M1352" t="str">
            <v>CHĂM SÓC DA</v>
          </cell>
          <cell r="N1352" t="str">
            <v>RỬA MẶT</v>
          </cell>
          <cell r="O1352" t="str">
            <v>230269</v>
          </cell>
          <cell r="P1352" t="str">
            <v>4987241173242</v>
          </cell>
          <cell r="Q1352" t="str">
            <v>ROHTO- SRM Melano CC mờ thâm nám (130g)</v>
          </cell>
          <cell r="R1352">
            <v>294000</v>
          </cell>
          <cell r="S1352">
            <v>1</v>
          </cell>
          <cell r="T1352">
            <v>294000</v>
          </cell>
          <cell r="U1352">
            <v>0</v>
          </cell>
          <cell r="V1352">
            <v>294000</v>
          </cell>
          <cell r="W1352" t="str">
            <v>4987241173242</v>
          </cell>
        </row>
        <row r="1353">
          <cell r="A1353">
            <v>2026</v>
          </cell>
          <cell r="B1353">
            <v>5</v>
          </cell>
          <cell r="C1353">
            <v>46147</v>
          </cell>
          <cell r="D1353" t="str">
            <v>1. SKK store</v>
          </cell>
          <cell r="E1353" t="str">
            <v>S1007</v>
          </cell>
          <cell r="F1353" t="str">
            <v>SKK  Nguyễn Du</v>
          </cell>
          <cell r="G1353" t="str">
            <v>0902233486</v>
          </cell>
          <cell r="H1353" t="str">
            <v>Chị Phương</v>
          </cell>
          <cell r="I1353" t="str">
            <v>Khách cũ</v>
          </cell>
          <cell r="J1353" t="str">
            <v>Đơn bán</v>
          </cell>
          <cell r="K1353" t="str">
            <v>SAKUKO765684</v>
          </cell>
          <cell r="L1353" t="str">
            <v>THỰC PHẨM</v>
          </cell>
          <cell r="M1353" t="str">
            <v>BÁNH KẸO, ĐỒ ĂN VẶT</v>
          </cell>
          <cell r="N1353" t="str">
            <v>KẸO CAO SU</v>
          </cell>
          <cell r="O1353" t="str">
            <v>231376</v>
          </cell>
          <cell r="P1353" t="str">
            <v>4903333228577</v>
          </cell>
          <cell r="Q1353" t="str">
            <v>LOTTE-Kẹo cao su tổng hợp 7 loại dạng lọ 133g</v>
          </cell>
          <cell r="R1353">
            <v>235000</v>
          </cell>
          <cell r="S1353">
            <v>1</v>
          </cell>
          <cell r="T1353">
            <v>235000</v>
          </cell>
          <cell r="U1353">
            <v>0</v>
          </cell>
          <cell r="V1353">
            <v>235000</v>
          </cell>
          <cell r="W1353" t="str">
            <v>4903333228577</v>
          </cell>
        </row>
        <row r="1354">
          <cell r="A1354">
            <v>2026</v>
          </cell>
          <cell r="B1354">
            <v>5</v>
          </cell>
          <cell r="C1354">
            <v>46147</v>
          </cell>
          <cell r="D1354" t="str">
            <v>1. SKK store</v>
          </cell>
          <cell r="E1354" t="str">
            <v>S1008</v>
          </cell>
          <cell r="F1354" t="str">
            <v>SKK  Hàng Bông</v>
          </cell>
          <cell r="G1354" t="str">
            <v>02466810202</v>
          </cell>
          <cell r="H1354" t="str">
            <v>KH Tây</v>
          </cell>
          <cell r="I1354" t="str">
            <v>Khách vãng lai</v>
          </cell>
          <cell r="J1354" t="str">
            <v>Đơn bán</v>
          </cell>
          <cell r="K1354" t="str">
            <v>SAKUKO765379</v>
          </cell>
          <cell r="L1354" t="str">
            <v>ĐỒ CHO MẸ BÉ</v>
          </cell>
          <cell r="M1354" t="str">
            <v>GIẤY ƯỚT</v>
          </cell>
          <cell r="N1354" t="str">
            <v>GIẤY ƯỚT CHO BÉ</v>
          </cell>
          <cell r="O1354" t="str">
            <v>121662</v>
          </cell>
          <cell r="P1354" t="str">
            <v>8934755035036</v>
          </cell>
          <cell r="Q1354" t="str">
            <v>FRESSI- Khăn ướt Care For All 20 miếng</v>
          </cell>
          <cell r="R1354">
            <v>14000</v>
          </cell>
          <cell r="S1354">
            <v>2</v>
          </cell>
          <cell r="T1354">
            <v>28000</v>
          </cell>
          <cell r="U1354">
            <v>0</v>
          </cell>
          <cell r="V1354">
            <v>28000</v>
          </cell>
          <cell r="W1354" t="str">
            <v>8934755035036</v>
          </cell>
        </row>
        <row r="1355">
          <cell r="A1355">
            <v>2026</v>
          </cell>
          <cell r="B1355">
            <v>5</v>
          </cell>
          <cell r="C1355">
            <v>46147</v>
          </cell>
          <cell r="D1355" t="str">
            <v>1. SKK store</v>
          </cell>
          <cell r="E1355" t="str">
            <v>S1008</v>
          </cell>
          <cell r="F1355" t="str">
            <v>SKK  Hàng Bông</v>
          </cell>
          <cell r="G1355" t="str">
            <v>02466810202</v>
          </cell>
          <cell r="H1355" t="str">
            <v>KH Tây</v>
          </cell>
          <cell r="I1355" t="str">
            <v>Khách vãng lai</v>
          </cell>
          <cell r="J1355" t="str">
            <v>Đơn bán</v>
          </cell>
          <cell r="K1355" t="str">
            <v>SAKUKO765379</v>
          </cell>
          <cell r="L1355" t="str">
            <v>NHÀ CỬA ĐỜI SỐNG</v>
          </cell>
          <cell r="M1355" t="str">
            <v>KHĂN</v>
          </cell>
          <cell r="N1355" t="str">
            <v>KHĂN MẶT</v>
          </cell>
          <cell r="O1355" t="str">
            <v>102391</v>
          </cell>
          <cell r="P1355" t="str">
            <v>4991203205759</v>
          </cell>
          <cell r="Q1355" t="str">
            <v>ECHO - Khăn mặt dạng nén 20v size 26x16cm</v>
          </cell>
          <cell r="R1355">
            <v>45000</v>
          </cell>
          <cell r="S1355">
            <v>2</v>
          </cell>
          <cell r="T1355">
            <v>90000</v>
          </cell>
          <cell r="U1355">
            <v>0</v>
          </cell>
          <cell r="V1355">
            <v>90000</v>
          </cell>
          <cell r="W1355" t="str">
            <v>4991203205759</v>
          </cell>
        </row>
        <row r="1356">
          <cell r="A1356">
            <v>2026</v>
          </cell>
          <cell r="B1356">
            <v>5</v>
          </cell>
          <cell r="C1356">
            <v>46147</v>
          </cell>
          <cell r="D1356" t="str">
            <v>1. SKK store</v>
          </cell>
          <cell r="E1356" t="str">
            <v>S1008</v>
          </cell>
          <cell r="F1356" t="str">
            <v>SKK  Hàng Bông</v>
          </cell>
          <cell r="G1356" t="str">
            <v>0912003567</v>
          </cell>
          <cell r="H1356" t="str">
            <v>C HANG</v>
          </cell>
          <cell r="I1356" t="str">
            <v>Khách cũ</v>
          </cell>
          <cell r="J1356" t="str">
            <v>Đơn bán</v>
          </cell>
          <cell r="K1356" t="str">
            <v>SAKUKO765699</v>
          </cell>
          <cell r="L1356" t="str">
            <v>CHĂM SÓC SẮC ĐẸP</v>
          </cell>
          <cell r="M1356" t="str">
            <v>CHĂM SÓC DA</v>
          </cell>
          <cell r="N1356" t="str">
            <v>RỬA MẶT</v>
          </cell>
          <cell r="O1356" t="str">
            <v>230269</v>
          </cell>
          <cell r="P1356" t="str">
            <v>4987241173242</v>
          </cell>
          <cell r="Q1356" t="str">
            <v>ROHTO- SRM Melano CC mờ thâm nám (130g)</v>
          </cell>
          <cell r="R1356">
            <v>294000</v>
          </cell>
          <cell r="S1356">
            <v>1</v>
          </cell>
          <cell r="T1356">
            <v>294000</v>
          </cell>
          <cell r="U1356">
            <v>0</v>
          </cell>
          <cell r="V1356">
            <v>294000</v>
          </cell>
          <cell r="W1356" t="str">
            <v>4987241173242</v>
          </cell>
        </row>
        <row r="1357">
          <cell r="A1357">
            <v>2026</v>
          </cell>
          <cell r="B1357">
            <v>5</v>
          </cell>
          <cell r="C1357">
            <v>46147</v>
          </cell>
          <cell r="D1357" t="str">
            <v>1. SKK store</v>
          </cell>
          <cell r="E1357" t="str">
            <v>S1008</v>
          </cell>
          <cell r="F1357" t="str">
            <v>SKK  Hàng Bông</v>
          </cell>
          <cell r="G1357" t="str">
            <v>0912003567</v>
          </cell>
          <cell r="H1357" t="str">
            <v>C HANG</v>
          </cell>
          <cell r="I1357" t="str">
            <v>Khách cũ</v>
          </cell>
          <cell r="J1357" t="str">
            <v>Đơn bán</v>
          </cell>
          <cell r="K1357" t="str">
            <v>SAKUKO765699</v>
          </cell>
          <cell r="L1357" t="str">
            <v>NHÀ CỬA ĐỜI SỐNG</v>
          </cell>
          <cell r="M1357" t="str">
            <v>ĐỒ DÙNG SINH HOẠT GIA ĐÌNH</v>
          </cell>
          <cell r="N1357" t="str">
            <v>VẬT DỤNG SINH HOẠT KHÁC</v>
          </cell>
          <cell r="O1357" t="str">
            <v>135039</v>
          </cell>
          <cell r="P1357" t="str">
            <v>4968988074993</v>
          </cell>
          <cell r="Q1357" t="str">
            <v>OMAICHI- Set 2 lọ chiết mỹ phẩm 40ml kèm hộp đựng</v>
          </cell>
          <cell r="R1357">
            <v>52000</v>
          </cell>
          <cell r="S1357">
            <v>1</v>
          </cell>
          <cell r="T1357">
            <v>52000</v>
          </cell>
          <cell r="U1357">
            <v>0</v>
          </cell>
          <cell r="V1357">
            <v>52000</v>
          </cell>
          <cell r="W1357" t="str">
            <v>4968988074993</v>
          </cell>
        </row>
        <row r="1358">
          <cell r="A1358">
            <v>2026</v>
          </cell>
          <cell r="B1358">
            <v>5</v>
          </cell>
          <cell r="C1358">
            <v>46147</v>
          </cell>
          <cell r="D1358" t="str">
            <v>1. SKK store</v>
          </cell>
          <cell r="E1358" t="str">
            <v>S1025</v>
          </cell>
          <cell r="F1358" t="str">
            <v>SKK T6 Time City</v>
          </cell>
          <cell r="G1358" t="str">
            <v>0394648065</v>
          </cell>
          <cell r="H1358" t="str">
            <v>Chị Ngân</v>
          </cell>
          <cell r="I1358" t="str">
            <v>Khách mới</v>
          </cell>
          <cell r="J1358" t="str">
            <v>Đơn bán</v>
          </cell>
          <cell r="K1358" t="str">
            <v>SAKUKO765717</v>
          </cell>
          <cell r="L1358" t="str">
            <v>ĐỒ CHO MẸ BÉ</v>
          </cell>
          <cell r="M1358" t="str">
            <v>GIẤY ƯỚT</v>
          </cell>
          <cell r="N1358" t="str">
            <v>GIẤY ƯỚT CHO BÉ</v>
          </cell>
          <cell r="O1358" t="str">
            <v>121662</v>
          </cell>
          <cell r="P1358" t="str">
            <v>8934755035036</v>
          </cell>
          <cell r="Q1358" t="str">
            <v>FRESSI- Khăn ướt Care For All 20 miếng</v>
          </cell>
          <cell r="R1358">
            <v>14000</v>
          </cell>
          <cell r="S1358">
            <v>1</v>
          </cell>
          <cell r="T1358">
            <v>14000</v>
          </cell>
          <cell r="U1358">
            <v>0</v>
          </cell>
          <cell r="V1358">
            <v>14000</v>
          </cell>
          <cell r="W1358" t="str">
            <v>8934755035036</v>
          </cell>
        </row>
        <row r="1359">
          <cell r="A1359">
            <v>2026</v>
          </cell>
          <cell r="B1359">
            <v>5</v>
          </cell>
          <cell r="C1359">
            <v>46147</v>
          </cell>
          <cell r="D1359" t="str">
            <v>1. SKK store</v>
          </cell>
          <cell r="E1359" t="str">
            <v>S1025</v>
          </cell>
          <cell r="F1359" t="str">
            <v>SKK T6 Time City</v>
          </cell>
          <cell r="G1359" t="str">
            <v>0944292007</v>
          </cell>
          <cell r="H1359" t="str">
            <v>chị Ngọc</v>
          </cell>
          <cell r="I1359" t="str">
            <v>Khách cũ</v>
          </cell>
          <cell r="J1359" t="str">
            <v>Đơn bán</v>
          </cell>
          <cell r="K1359" t="str">
            <v>SAKUKO765612</v>
          </cell>
          <cell r="L1359" t="str">
            <v>THỰC PHẨM</v>
          </cell>
          <cell r="M1359" t="str">
            <v>MỲ, MIẾN</v>
          </cell>
          <cell r="N1359" t="str">
            <v>MỲ ĂN LIỀN</v>
          </cell>
          <cell r="O1359" t="str">
            <v>154359</v>
          </cell>
          <cell r="P1359" t="str">
            <v>4979397000138</v>
          </cell>
          <cell r="Q1359" t="str">
            <v>YAMAMOTO- Mì ramen ăn liền hải sản thịt heo 88g*5</v>
          </cell>
          <cell r="R1359">
            <v>99000</v>
          </cell>
          <cell r="S1359">
            <v>1</v>
          </cell>
          <cell r="T1359">
            <v>99000</v>
          </cell>
          <cell r="U1359">
            <v>44550</v>
          </cell>
          <cell r="V1359">
            <v>54450</v>
          </cell>
          <cell r="W1359" t="str">
            <v>4979397000138</v>
          </cell>
        </row>
        <row r="1360">
          <cell r="A1360">
            <v>2026</v>
          </cell>
          <cell r="B1360">
            <v>5</v>
          </cell>
          <cell r="C1360">
            <v>46146</v>
          </cell>
          <cell r="D1360" t="str">
            <v>1. SKK store</v>
          </cell>
          <cell r="E1360" t="str">
            <v>S1004</v>
          </cell>
          <cell r="F1360" t="str">
            <v>SKK  Mandarin C1</v>
          </cell>
          <cell r="G1360" t="str">
            <v>0353579990</v>
          </cell>
          <cell r="H1360" t="str">
            <v>ANH ĐẠT</v>
          </cell>
          <cell r="I1360" t="str">
            <v>Khách mới</v>
          </cell>
          <cell r="J1360" t="str">
            <v>Đơn bán</v>
          </cell>
          <cell r="K1360" t="str">
            <v>SAKUKO764280</v>
          </cell>
          <cell r="L1360" t="str">
            <v>THỰC PHẨM</v>
          </cell>
          <cell r="M1360" t="str">
            <v>MỲ, MIẾN</v>
          </cell>
          <cell r="N1360" t="str">
            <v>MỲ CHẾ BIẾN</v>
          </cell>
          <cell r="O1360" t="str">
            <v>174948</v>
          </cell>
          <cell r="P1360" t="str">
            <v>4582114354119</v>
          </cell>
          <cell r="Q1360" t="str">
            <v>SANUKISHISEI- Mì soumen 300g</v>
          </cell>
          <cell r="R1360">
            <v>35000</v>
          </cell>
          <cell r="S1360">
            <v>1</v>
          </cell>
          <cell r="T1360">
            <v>35000</v>
          </cell>
          <cell r="U1360">
            <v>0</v>
          </cell>
          <cell r="V1360">
            <v>35000</v>
          </cell>
          <cell r="W1360" t="str">
            <v>4582114354119</v>
          </cell>
        </row>
        <row r="1361">
          <cell r="A1361">
            <v>2026</v>
          </cell>
          <cell r="B1361">
            <v>5</v>
          </cell>
          <cell r="C1361">
            <v>46146</v>
          </cell>
          <cell r="D1361" t="str">
            <v>1. SKK store</v>
          </cell>
          <cell r="E1361" t="str">
            <v>S1004</v>
          </cell>
          <cell r="F1361" t="str">
            <v>SKK  Mandarin C1</v>
          </cell>
          <cell r="G1361" t="str">
            <v>0938566876</v>
          </cell>
          <cell r="H1361" t="str">
            <v>chị tuệ vân</v>
          </cell>
          <cell r="I1361" t="str">
            <v>Khách cũ</v>
          </cell>
          <cell r="J1361" t="str">
            <v>Đơn bán</v>
          </cell>
          <cell r="K1361" t="str">
            <v>SAKUKO763904</v>
          </cell>
          <cell r="L1361" t="str">
            <v>CHĂM SÓC SẮC ĐẸP</v>
          </cell>
          <cell r="M1361" t="str">
            <v>CHĂM SÓC DA</v>
          </cell>
          <cell r="N1361" t="str">
            <v>CHĂM SÓC DA KHÁC</v>
          </cell>
          <cell r="O1361" t="str">
            <v>102388</v>
          </cell>
          <cell r="P1361" t="str">
            <v>8935006542914</v>
          </cell>
          <cell r="Q1361" t="str">
            <v>HADA LABO- Bộ sản phẩm dưỡng trắng (travel kit)47g</v>
          </cell>
          <cell r="R1361">
            <v>135000</v>
          </cell>
          <cell r="S1361">
            <v>1</v>
          </cell>
          <cell r="T1361">
            <v>135000</v>
          </cell>
          <cell r="U1361">
            <v>0</v>
          </cell>
          <cell r="V1361">
            <v>135000</v>
          </cell>
          <cell r="W1361" t="str">
            <v>8935006542914</v>
          </cell>
        </row>
        <row r="1362">
          <cell r="A1362">
            <v>2026</v>
          </cell>
          <cell r="B1362">
            <v>5</v>
          </cell>
          <cell r="C1362">
            <v>46146</v>
          </cell>
          <cell r="D1362" t="str">
            <v>1. SKK store</v>
          </cell>
          <cell r="E1362" t="str">
            <v>S1005</v>
          </cell>
          <cell r="F1362" t="str">
            <v>SKK  Thái Hà</v>
          </cell>
          <cell r="G1362" t="str">
            <v>0395733957</v>
          </cell>
          <cell r="H1362" t="str">
            <v>Cô hương</v>
          </cell>
          <cell r="I1362" t="str">
            <v>Khách cũ</v>
          </cell>
          <cell r="J1362" t="str">
            <v>Đơn bán</v>
          </cell>
          <cell r="K1362" t="str">
            <v>SAKUKO764099</v>
          </cell>
          <cell r="L1362" t="str">
            <v>THỰC PHẨM</v>
          </cell>
          <cell r="M1362" t="str">
            <v>MỲ, MIẾN</v>
          </cell>
          <cell r="N1362" t="str">
            <v>MỲ CHẾ BIẾN</v>
          </cell>
          <cell r="O1362" t="str">
            <v>174948</v>
          </cell>
          <cell r="P1362" t="str">
            <v>4582114354119</v>
          </cell>
          <cell r="Q1362" t="str">
            <v>SANUKISHISEI- Mì soumen 300g</v>
          </cell>
          <cell r="R1362">
            <v>35000</v>
          </cell>
          <cell r="S1362">
            <v>2</v>
          </cell>
          <cell r="T1362">
            <v>70000</v>
          </cell>
          <cell r="U1362">
            <v>0</v>
          </cell>
          <cell r="V1362">
            <v>70000</v>
          </cell>
          <cell r="W1362" t="str">
            <v>4582114354119</v>
          </cell>
        </row>
        <row r="1363">
          <cell r="A1363">
            <v>2026</v>
          </cell>
          <cell r="B1363">
            <v>5</v>
          </cell>
          <cell r="C1363">
            <v>46146</v>
          </cell>
          <cell r="D1363" t="str">
            <v>1. SKK store</v>
          </cell>
          <cell r="E1363" t="str">
            <v>S1005</v>
          </cell>
          <cell r="F1363" t="str">
            <v>SKK  Thái Hà</v>
          </cell>
          <cell r="G1363" t="str">
            <v>0395733957</v>
          </cell>
          <cell r="H1363" t="str">
            <v>Cô hương</v>
          </cell>
          <cell r="I1363" t="str">
            <v>Khách cũ</v>
          </cell>
          <cell r="J1363" t="str">
            <v>Đơn bán</v>
          </cell>
          <cell r="K1363" t="str">
            <v>SAKUKO764099</v>
          </cell>
          <cell r="L1363" t="str">
            <v>THỰC PHẨM</v>
          </cell>
          <cell r="M1363" t="str">
            <v>MỲ, MIẾN</v>
          </cell>
          <cell r="N1363" t="str">
            <v>MỲ CHẾ BIẾN</v>
          </cell>
          <cell r="O1363" t="str">
            <v>175435</v>
          </cell>
          <cell r="P1363" t="str">
            <v>4901726014752</v>
          </cell>
          <cell r="Q1363" t="str">
            <v>ITSUKI FOODS- Mì soumen rau củ ngũ sắc320g</v>
          </cell>
          <cell r="R1363">
            <v>76000</v>
          </cell>
          <cell r="S1363">
            <v>1</v>
          </cell>
          <cell r="T1363">
            <v>76000</v>
          </cell>
          <cell r="U1363">
            <v>0</v>
          </cell>
          <cell r="V1363">
            <v>76000</v>
          </cell>
          <cell r="W1363" t="str">
            <v>4901726014752</v>
          </cell>
        </row>
        <row r="1364">
          <cell r="A1364">
            <v>2026</v>
          </cell>
          <cell r="B1364">
            <v>5</v>
          </cell>
          <cell r="C1364">
            <v>46146</v>
          </cell>
          <cell r="D1364" t="str">
            <v>1. SKK store</v>
          </cell>
          <cell r="E1364" t="str">
            <v>S1005</v>
          </cell>
          <cell r="F1364" t="str">
            <v>SKK  Thái Hà</v>
          </cell>
          <cell r="G1364" t="str">
            <v>0903443098</v>
          </cell>
          <cell r="H1364" t="str">
            <v>anh LÂM</v>
          </cell>
          <cell r="I1364" t="str">
            <v>Khách mới</v>
          </cell>
          <cell r="J1364" t="str">
            <v>Đơn bán</v>
          </cell>
          <cell r="K1364" t="str">
            <v>SAKUKO764079</v>
          </cell>
          <cell r="L1364" t="str">
            <v>THỰC PHẨM</v>
          </cell>
          <cell r="M1364" t="str">
            <v>BÁNH KẸO, ĐỒ ĂN VẶT</v>
          </cell>
          <cell r="N1364" t="str">
            <v>KẸO CAO SU</v>
          </cell>
          <cell r="O1364" t="str">
            <v>231376</v>
          </cell>
          <cell r="P1364" t="str">
            <v>4903333228577</v>
          </cell>
          <cell r="Q1364" t="str">
            <v>LOTTE-Kẹo cao su tổng hợp 7 loại dạng lọ 133g</v>
          </cell>
          <cell r="R1364">
            <v>235000</v>
          </cell>
          <cell r="S1364">
            <v>1</v>
          </cell>
          <cell r="T1364">
            <v>235000</v>
          </cell>
          <cell r="U1364">
            <v>0</v>
          </cell>
          <cell r="V1364">
            <v>235000</v>
          </cell>
          <cell r="W1364" t="str">
            <v>4903333228577</v>
          </cell>
        </row>
        <row r="1365">
          <cell r="A1365">
            <v>2026</v>
          </cell>
          <cell r="B1365">
            <v>5</v>
          </cell>
          <cell r="C1365">
            <v>46146</v>
          </cell>
          <cell r="D1365" t="str">
            <v>1. SKK store</v>
          </cell>
          <cell r="E1365" t="str">
            <v>S1006</v>
          </cell>
          <cell r="F1365" t="str">
            <v>SKK Trần Đăng Ninh</v>
          </cell>
          <cell r="G1365" t="str">
            <v>0346083568</v>
          </cell>
          <cell r="H1365" t="str">
            <v>cô hường</v>
          </cell>
          <cell r="I1365" t="str">
            <v>Khách cũ</v>
          </cell>
          <cell r="J1365" t="str">
            <v>Đơn bán</v>
          </cell>
          <cell r="K1365" t="str">
            <v>SAKUKO764210</v>
          </cell>
          <cell r="L1365" t="str">
            <v>CHĂM SÓC SẮC ĐẸP</v>
          </cell>
          <cell r="M1365" t="str">
            <v>CHĂM SÓC DA</v>
          </cell>
          <cell r="N1365" t="str">
            <v>KEM DƯỠNG</v>
          </cell>
          <cell r="O1365" t="str">
            <v>102384</v>
          </cell>
          <cell r="P1365" t="str">
            <v>4902468820014</v>
          </cell>
          <cell r="Q1365" t="str">
            <v>MEISHOKU- Kem gel dưỡng ẩm phục hồi chuyên sâu 50g</v>
          </cell>
          <cell r="R1365">
            <v>575000</v>
          </cell>
          <cell r="S1365">
            <v>1</v>
          </cell>
          <cell r="T1365">
            <v>575000</v>
          </cell>
          <cell r="U1365">
            <v>0</v>
          </cell>
          <cell r="V1365">
            <v>575000</v>
          </cell>
          <cell r="W1365" t="str">
            <v>4902468820014</v>
          </cell>
        </row>
        <row r="1366">
          <cell r="A1366">
            <v>2026</v>
          </cell>
          <cell r="B1366">
            <v>5</v>
          </cell>
          <cell r="C1366">
            <v>46146</v>
          </cell>
          <cell r="D1366" t="str">
            <v>1. SKK store</v>
          </cell>
          <cell r="E1366" t="str">
            <v>S1006</v>
          </cell>
          <cell r="F1366" t="str">
            <v>SKK Trần Đăng Ninh</v>
          </cell>
          <cell r="G1366" t="str">
            <v>0937122696</v>
          </cell>
          <cell r="H1366" t="str">
            <v>c điệp</v>
          </cell>
          <cell r="I1366" t="str">
            <v>Khách cũ</v>
          </cell>
          <cell r="J1366" t="str">
            <v>Đơn bán</v>
          </cell>
          <cell r="K1366" t="str">
            <v>SAKUKO764360</v>
          </cell>
          <cell r="L1366" t="str">
            <v>THỰC PHẨM</v>
          </cell>
          <cell r="M1366" t="str">
            <v>MỲ, MIẾN</v>
          </cell>
          <cell r="N1366" t="str">
            <v>MỲ ĂN LIỀN</v>
          </cell>
          <cell r="O1366" t="str">
            <v>154196</v>
          </cell>
          <cell r="P1366" t="str">
            <v>4979397000152</v>
          </cell>
          <cell r="Q1366" t="str">
            <v>YAMAMOTO_Mì xào kiểu Nhật 89g*5</v>
          </cell>
          <cell r="R1366">
            <v>99000</v>
          </cell>
          <cell r="S1366">
            <v>1</v>
          </cell>
          <cell r="T1366">
            <v>99000</v>
          </cell>
          <cell r="U1366">
            <v>0</v>
          </cell>
          <cell r="V1366">
            <v>99000</v>
          </cell>
          <cell r="W1366" t="str">
            <v>4979397000152</v>
          </cell>
        </row>
        <row r="1367">
          <cell r="A1367">
            <v>2026</v>
          </cell>
          <cell r="B1367">
            <v>5</v>
          </cell>
          <cell r="C1367">
            <v>46146</v>
          </cell>
          <cell r="D1367" t="str">
            <v>1. SKK store</v>
          </cell>
          <cell r="E1367" t="str">
            <v>S1007</v>
          </cell>
          <cell r="F1367" t="str">
            <v>SKK  Nguyễn Du</v>
          </cell>
          <cell r="G1367" t="str">
            <v>0933100778</v>
          </cell>
          <cell r="H1367" t="str">
            <v>anh Tân</v>
          </cell>
          <cell r="I1367" t="str">
            <v>Khách cũ</v>
          </cell>
          <cell r="J1367" t="str">
            <v>Đơn bán</v>
          </cell>
          <cell r="K1367" t="str">
            <v>SAKUKO764562</v>
          </cell>
          <cell r="L1367" t="str">
            <v>THỰC PHẨM</v>
          </cell>
          <cell r="M1367" t="str">
            <v>MỲ, MIẾN</v>
          </cell>
          <cell r="N1367" t="str">
            <v>MỲ CHẾ BIẾN</v>
          </cell>
          <cell r="O1367" t="str">
            <v>175435</v>
          </cell>
          <cell r="P1367" t="str">
            <v>4901726014752</v>
          </cell>
          <cell r="Q1367" t="str">
            <v>ITSUKI FOODS- Mì soumen rau củ ngũ sắc320g</v>
          </cell>
          <cell r="R1367">
            <v>76000</v>
          </cell>
          <cell r="S1367">
            <v>1</v>
          </cell>
          <cell r="T1367">
            <v>76000</v>
          </cell>
          <cell r="U1367">
            <v>0</v>
          </cell>
          <cell r="V1367">
            <v>76000</v>
          </cell>
          <cell r="W1367" t="str">
            <v>4901726014752</v>
          </cell>
        </row>
        <row r="1368">
          <cell r="A1368">
            <v>2026</v>
          </cell>
          <cell r="B1368">
            <v>5</v>
          </cell>
          <cell r="C1368">
            <v>46146</v>
          </cell>
          <cell r="D1368" t="str">
            <v>1. SKK store</v>
          </cell>
          <cell r="E1368" t="str">
            <v>S1008</v>
          </cell>
          <cell r="F1368" t="str">
            <v>SKK  Hàng Bông</v>
          </cell>
          <cell r="G1368" t="str">
            <v>02466810202</v>
          </cell>
          <cell r="H1368" t="str">
            <v>KH Tây</v>
          </cell>
          <cell r="I1368" t="str">
            <v>Khách vãng lai</v>
          </cell>
          <cell r="J1368" t="str">
            <v>Đơn bán</v>
          </cell>
          <cell r="K1368" t="str">
            <v>SAKUKO763922</v>
          </cell>
          <cell r="L1368" t="str">
            <v>CHĂM SÓC SẮC ĐẸP</v>
          </cell>
          <cell r="M1368" t="str">
            <v>CHĂM SÓC DA</v>
          </cell>
          <cell r="N1368" t="str">
            <v>CHĂM SÓC DA KHÁC</v>
          </cell>
          <cell r="O1368" t="str">
            <v>102387</v>
          </cell>
          <cell r="P1368" t="str">
            <v>8935006542907</v>
          </cell>
          <cell r="Q1368" t="str">
            <v>HADA LABO- Bộ sản phẩm dưỡng ẩm (travel kit)47g</v>
          </cell>
          <cell r="R1368">
            <v>129000</v>
          </cell>
          <cell r="S1368">
            <v>1</v>
          </cell>
          <cell r="T1368">
            <v>129000</v>
          </cell>
          <cell r="U1368">
            <v>0</v>
          </cell>
          <cell r="V1368">
            <v>129000</v>
          </cell>
          <cell r="W1368" t="str">
            <v>8935006542907</v>
          </cell>
        </row>
        <row r="1369">
          <cell r="A1369">
            <v>2026</v>
          </cell>
          <cell r="B1369">
            <v>5</v>
          </cell>
          <cell r="C1369">
            <v>46146</v>
          </cell>
          <cell r="D1369" t="str">
            <v>1. SKK store</v>
          </cell>
          <cell r="E1369" t="str">
            <v>S1008</v>
          </cell>
          <cell r="F1369" t="str">
            <v>SKK  Hàng Bông</v>
          </cell>
          <cell r="G1369" t="str">
            <v>0827498465</v>
          </cell>
          <cell r="H1369" t="str">
            <v>chị nhi</v>
          </cell>
          <cell r="I1369" t="str">
            <v>Khách mới</v>
          </cell>
          <cell r="J1369" t="str">
            <v>Đơn bán</v>
          </cell>
          <cell r="K1369" t="str">
            <v>SAKUKO764323</v>
          </cell>
          <cell r="L1369" t="str">
            <v>THỰC PHẨM</v>
          </cell>
          <cell r="M1369" t="str">
            <v>BÁNH KẸO, ĐỒ ĂN VẶT</v>
          </cell>
          <cell r="N1369" t="str">
            <v>KẸO CAO SU</v>
          </cell>
          <cell r="O1369" t="str">
            <v>231376</v>
          </cell>
          <cell r="P1369" t="str">
            <v>4903333228577</v>
          </cell>
          <cell r="Q1369" t="str">
            <v>LOTTE-Kẹo cao su tổng hợp 7 loại dạng lọ 133g</v>
          </cell>
          <cell r="R1369">
            <v>235000</v>
          </cell>
          <cell r="S1369">
            <v>1</v>
          </cell>
          <cell r="T1369">
            <v>235000</v>
          </cell>
          <cell r="U1369">
            <v>0</v>
          </cell>
          <cell r="V1369">
            <v>235000</v>
          </cell>
          <cell r="W1369" t="str">
            <v>4903333228577</v>
          </cell>
        </row>
        <row r="1370">
          <cell r="A1370">
            <v>2026</v>
          </cell>
          <cell r="B1370">
            <v>5</v>
          </cell>
          <cell r="C1370">
            <v>46145</v>
          </cell>
          <cell r="D1370" t="str">
            <v>1. SKK store</v>
          </cell>
          <cell r="E1370" t="str">
            <v>S1004</v>
          </cell>
          <cell r="F1370" t="str">
            <v>SKK  Mandarin C1</v>
          </cell>
          <cell r="G1370" t="str">
            <v>0364083783</v>
          </cell>
          <cell r="H1370" t="str">
            <v>Chị Lịch</v>
          </cell>
          <cell r="I1370" t="str">
            <v>Khách cũ</v>
          </cell>
          <cell r="J1370" t="str">
            <v>Đơn bán</v>
          </cell>
          <cell r="K1370" t="str">
            <v>SAKUKO763058</v>
          </cell>
          <cell r="L1370" t="str">
            <v>THỰC PHẨM</v>
          </cell>
          <cell r="M1370" t="str">
            <v>MỲ, MIẾN</v>
          </cell>
          <cell r="N1370" t="str">
            <v>MỲ CHẾ BIẾN</v>
          </cell>
          <cell r="O1370" t="str">
            <v>175435</v>
          </cell>
          <cell r="P1370" t="str">
            <v>4901726014752</v>
          </cell>
          <cell r="Q1370" t="str">
            <v>ITSUKI FOODS- Mì soumen rau củ ngũ sắc320g</v>
          </cell>
          <cell r="R1370">
            <v>76000</v>
          </cell>
          <cell r="S1370">
            <v>1</v>
          </cell>
          <cell r="T1370">
            <v>76000</v>
          </cell>
          <cell r="U1370">
            <v>0</v>
          </cell>
          <cell r="V1370">
            <v>76000</v>
          </cell>
          <cell r="W1370" t="str">
            <v>4901726014752</v>
          </cell>
        </row>
        <row r="1371">
          <cell r="A1371">
            <v>2026</v>
          </cell>
          <cell r="B1371">
            <v>5</v>
          </cell>
          <cell r="C1371">
            <v>46145</v>
          </cell>
          <cell r="D1371" t="str">
            <v>1. SKK store</v>
          </cell>
          <cell r="E1371" t="str">
            <v>S1004</v>
          </cell>
          <cell r="F1371" t="str">
            <v>SKK  Mandarin C1</v>
          </cell>
          <cell r="G1371" t="str">
            <v>0369686868</v>
          </cell>
          <cell r="H1371" t="str">
            <v>Chị Phan Diễm Hằng</v>
          </cell>
          <cell r="I1371" t="str">
            <v>Khách cũ</v>
          </cell>
          <cell r="J1371" t="str">
            <v>Đơn bán</v>
          </cell>
          <cell r="K1371" t="str">
            <v>SAKUKO763846</v>
          </cell>
          <cell r="L1371" t="str">
            <v>THỰC PHẨM</v>
          </cell>
          <cell r="M1371" t="str">
            <v>BÁNH KẸO, ĐỒ ĂN VẶT</v>
          </cell>
          <cell r="N1371" t="str">
            <v>KẸO CAO SU</v>
          </cell>
          <cell r="O1371" t="str">
            <v>231376</v>
          </cell>
          <cell r="P1371" t="str">
            <v>4903333228577</v>
          </cell>
          <cell r="Q1371" t="str">
            <v>LOTTE-Kẹo cao su tổng hợp 7 loại dạng lọ 133g</v>
          </cell>
          <cell r="R1371">
            <v>235000</v>
          </cell>
          <cell r="S1371">
            <v>1</v>
          </cell>
          <cell r="T1371">
            <v>235000</v>
          </cell>
          <cell r="U1371">
            <v>0</v>
          </cell>
          <cell r="V1371">
            <v>235000</v>
          </cell>
          <cell r="W1371" t="str">
            <v>4903333228577</v>
          </cell>
        </row>
        <row r="1372">
          <cell r="A1372">
            <v>2026</v>
          </cell>
          <cell r="B1372">
            <v>5</v>
          </cell>
          <cell r="C1372">
            <v>46145</v>
          </cell>
          <cell r="D1372" t="str">
            <v>1. SKK store</v>
          </cell>
          <cell r="E1372" t="str">
            <v>S1004</v>
          </cell>
          <cell r="F1372" t="str">
            <v>SKK  Mandarin C1</v>
          </cell>
          <cell r="G1372" t="str">
            <v>0988969462</v>
          </cell>
          <cell r="H1372" t="str">
            <v>Chị Huyền</v>
          </cell>
          <cell r="I1372" t="str">
            <v>Khách cũ</v>
          </cell>
          <cell r="J1372" t="str">
            <v>Đơn bán</v>
          </cell>
          <cell r="K1372" t="str">
            <v>SAKUKO762931</v>
          </cell>
          <cell r="L1372" t="str">
            <v>ĐỒ CHO MẸ BÉ</v>
          </cell>
          <cell r="M1372" t="str">
            <v>GIẤY ƯỚT</v>
          </cell>
          <cell r="N1372" t="str">
            <v>GIẤY ƯỚT CHO BÉ</v>
          </cell>
          <cell r="O1372" t="str">
            <v>121662</v>
          </cell>
          <cell r="P1372" t="str">
            <v>8934755035036</v>
          </cell>
          <cell r="Q1372" t="str">
            <v>FRESSI- Khăn ướt Care For All 20 miếng</v>
          </cell>
          <cell r="R1372">
            <v>14000</v>
          </cell>
          <cell r="S1372">
            <v>3</v>
          </cell>
          <cell r="T1372">
            <v>42000</v>
          </cell>
          <cell r="U1372">
            <v>0</v>
          </cell>
          <cell r="V1372">
            <v>42000</v>
          </cell>
          <cell r="W1372" t="str">
            <v>8934755035036</v>
          </cell>
        </row>
        <row r="1373">
          <cell r="A1373">
            <v>2026</v>
          </cell>
          <cell r="B1373">
            <v>5</v>
          </cell>
          <cell r="C1373">
            <v>46145</v>
          </cell>
          <cell r="D1373" t="str">
            <v>1. SKK store</v>
          </cell>
          <cell r="E1373" t="str">
            <v>S1005</v>
          </cell>
          <cell r="F1373" t="str">
            <v>SKK  Thái Hà</v>
          </cell>
          <cell r="G1373" t="str">
            <v>0986088133</v>
          </cell>
          <cell r="H1373" t="str">
            <v>C Linh</v>
          </cell>
          <cell r="I1373" t="str">
            <v>Khách cũ</v>
          </cell>
          <cell r="J1373" t="str">
            <v>Đơn bán</v>
          </cell>
          <cell r="K1373" t="str">
            <v>SAKUKO762844</v>
          </cell>
          <cell r="L1373" t="str">
            <v>THỰC PHẨM</v>
          </cell>
          <cell r="M1373" t="str">
            <v>BÁNH KẸO, ĐỒ ĂN VẶT</v>
          </cell>
          <cell r="N1373" t="str">
            <v>KẸO CAO SU</v>
          </cell>
          <cell r="O1373" t="str">
            <v>231376</v>
          </cell>
          <cell r="P1373" t="str">
            <v>4903333228577</v>
          </cell>
          <cell r="Q1373" t="str">
            <v>LOTTE-Kẹo cao su tổng hợp 7 loại dạng lọ 133g</v>
          </cell>
          <cell r="R1373">
            <v>235000</v>
          </cell>
          <cell r="S1373">
            <v>1</v>
          </cell>
          <cell r="T1373">
            <v>235000</v>
          </cell>
          <cell r="U1373">
            <v>0</v>
          </cell>
          <cell r="V1373">
            <v>235000</v>
          </cell>
          <cell r="W1373" t="str">
            <v>4903333228577</v>
          </cell>
        </row>
        <row r="1374">
          <cell r="A1374">
            <v>2026</v>
          </cell>
          <cell r="B1374">
            <v>5</v>
          </cell>
          <cell r="C1374">
            <v>46145</v>
          </cell>
          <cell r="D1374" t="str">
            <v>1. SKK store</v>
          </cell>
          <cell r="E1374" t="str">
            <v>S1006</v>
          </cell>
          <cell r="F1374" t="str">
            <v>SKK Trần Đăng Ninh</v>
          </cell>
          <cell r="G1374" t="str">
            <v>0973071997</v>
          </cell>
          <cell r="H1374" t="str">
            <v>c Lý</v>
          </cell>
          <cell r="I1374" t="str">
            <v>Khách mới</v>
          </cell>
          <cell r="J1374" t="str">
            <v>Đơn bán</v>
          </cell>
          <cell r="K1374" t="str">
            <v>SAKUKO763584</v>
          </cell>
          <cell r="L1374" t="str">
            <v>CHĂM SÓC SẮC ĐẸP</v>
          </cell>
          <cell r="M1374" t="str">
            <v>Mỹ phẩm khác</v>
          </cell>
          <cell r="N1374" t="str">
            <v>PHỤ KIỆN LÀM ĐẸP</v>
          </cell>
          <cell r="O1374" t="str">
            <v>102389</v>
          </cell>
          <cell r="P1374" t="str">
            <v>4969757110652</v>
          </cell>
          <cell r="Q1374" t="str">
            <v>KYOWA- Gói bông tẩy trang 130 miếng</v>
          </cell>
          <cell r="R1374">
            <v>49000</v>
          </cell>
          <cell r="S1374">
            <v>1</v>
          </cell>
          <cell r="T1374">
            <v>49000</v>
          </cell>
          <cell r="U1374">
            <v>0</v>
          </cell>
          <cell r="V1374">
            <v>49000</v>
          </cell>
          <cell r="W1374" t="str">
            <v>4969757110652</v>
          </cell>
        </row>
        <row r="1375">
          <cell r="A1375">
            <v>2026</v>
          </cell>
          <cell r="B1375">
            <v>5</v>
          </cell>
          <cell r="C1375">
            <v>46145</v>
          </cell>
          <cell r="D1375" t="str">
            <v>1. SKK store</v>
          </cell>
          <cell r="E1375" t="str">
            <v>S1006</v>
          </cell>
          <cell r="F1375" t="str">
            <v>SKK Trần Đăng Ninh</v>
          </cell>
          <cell r="G1375" t="str">
            <v>0982181183</v>
          </cell>
          <cell r="H1375" t="str">
            <v>C Vân Anh</v>
          </cell>
          <cell r="I1375" t="str">
            <v>Khách mới</v>
          </cell>
          <cell r="J1375" t="str">
            <v>Đơn bán</v>
          </cell>
          <cell r="K1375" t="str">
            <v>SAKUKO762857</v>
          </cell>
          <cell r="L1375" t="str">
            <v>THỰC PHẨM</v>
          </cell>
          <cell r="M1375" t="str">
            <v>BÁNH KẸO, ĐỒ ĂN VẶT</v>
          </cell>
          <cell r="N1375" t="str">
            <v>KẸO CAO SU</v>
          </cell>
          <cell r="O1375" t="str">
            <v>231376</v>
          </cell>
          <cell r="P1375" t="str">
            <v>4903333228577</v>
          </cell>
          <cell r="Q1375" t="str">
            <v>LOTTE-Kẹo cao su tổng hợp 7 loại dạng lọ 133g</v>
          </cell>
          <cell r="R1375">
            <v>235000</v>
          </cell>
          <cell r="S1375">
            <v>2</v>
          </cell>
          <cell r="T1375">
            <v>470000</v>
          </cell>
          <cell r="U1375">
            <v>0</v>
          </cell>
          <cell r="V1375">
            <v>470000</v>
          </cell>
          <cell r="W1375" t="str">
            <v>4903333228577</v>
          </cell>
        </row>
        <row r="1376">
          <cell r="A1376">
            <v>2026</v>
          </cell>
          <cell r="B1376">
            <v>5</v>
          </cell>
          <cell r="C1376">
            <v>46145</v>
          </cell>
          <cell r="D1376" t="str">
            <v>1. SKK store</v>
          </cell>
          <cell r="E1376" t="str">
            <v>S1006</v>
          </cell>
          <cell r="F1376" t="str">
            <v>SKK Trần Đăng Ninh</v>
          </cell>
          <cell r="G1376" t="str">
            <v>0982181183</v>
          </cell>
          <cell r="H1376" t="str">
            <v>C Vân Anh</v>
          </cell>
          <cell r="I1376" t="str">
            <v>Khách mới</v>
          </cell>
          <cell r="J1376" t="str">
            <v>Đơn bán</v>
          </cell>
          <cell r="K1376" t="str">
            <v>SAKUKO762857</v>
          </cell>
          <cell r="L1376" t="str">
            <v>THỰC PHẨM</v>
          </cell>
          <cell r="M1376" t="str">
            <v>BÁNH KẸO, ĐỒ ĂN VẶT</v>
          </cell>
          <cell r="N1376" t="str">
            <v>KẸO CAO SU</v>
          </cell>
          <cell r="O1376" t="str">
            <v>231377</v>
          </cell>
          <cell r="P1376" t="str">
            <v>4903333200375</v>
          </cell>
          <cell r="Q1376" t="str">
            <v>LOTTE-Kẹo cao su tổng hợp dạng lọ 114g</v>
          </cell>
          <cell r="R1376">
            <v>235000</v>
          </cell>
          <cell r="S1376">
            <v>1</v>
          </cell>
          <cell r="T1376">
            <v>235000</v>
          </cell>
          <cell r="U1376">
            <v>0</v>
          </cell>
          <cell r="V1376">
            <v>235000</v>
          </cell>
          <cell r="W1376" t="str">
            <v>4903333200375</v>
          </cell>
        </row>
        <row r="1377">
          <cell r="A1377">
            <v>2026</v>
          </cell>
          <cell r="B1377">
            <v>5</v>
          </cell>
          <cell r="C1377">
            <v>46145</v>
          </cell>
          <cell r="D1377" t="str">
            <v>1. SKK store</v>
          </cell>
          <cell r="E1377" t="str">
            <v>S1006</v>
          </cell>
          <cell r="F1377" t="str">
            <v>SKK Trần Đăng Ninh</v>
          </cell>
          <cell r="G1377" t="str">
            <v>0988918277</v>
          </cell>
          <cell r="H1377" t="str">
            <v>Tân Hường</v>
          </cell>
          <cell r="I1377" t="str">
            <v>Khách cũ</v>
          </cell>
          <cell r="J1377" t="str">
            <v>Đơn bán</v>
          </cell>
          <cell r="K1377" t="str">
            <v>SAKUKO763632</v>
          </cell>
          <cell r="L1377" t="str">
            <v>NHÀ CỬA ĐỜI SỐNG</v>
          </cell>
          <cell r="M1377" t="str">
            <v>KHĂN</v>
          </cell>
          <cell r="N1377" t="str">
            <v>KHĂN MẶT</v>
          </cell>
          <cell r="O1377" t="str">
            <v>102390</v>
          </cell>
          <cell r="P1377" t="str">
            <v>4906327905980</v>
          </cell>
          <cell r="Q1377" t="str">
            <v>KOMODA - Khăn mặt khô dùng 1 lần 46m 20x20cm</v>
          </cell>
          <cell r="R1377">
            <v>52000</v>
          </cell>
          <cell r="S1377">
            <v>1</v>
          </cell>
          <cell r="T1377">
            <v>52000</v>
          </cell>
          <cell r="U1377">
            <v>0</v>
          </cell>
          <cell r="V1377">
            <v>52000</v>
          </cell>
          <cell r="W1377" t="str">
            <v>4906327905980</v>
          </cell>
        </row>
        <row r="1378">
          <cell r="A1378">
            <v>2026</v>
          </cell>
          <cell r="B1378">
            <v>5</v>
          </cell>
          <cell r="C1378">
            <v>46145</v>
          </cell>
          <cell r="D1378" t="str">
            <v>1. SKK store</v>
          </cell>
          <cell r="E1378" t="str">
            <v>S1008</v>
          </cell>
          <cell r="F1378" t="str">
            <v>SKK  Hàng Bông</v>
          </cell>
          <cell r="G1378" t="str">
            <v>0862947989</v>
          </cell>
          <cell r="H1378" t="str">
            <v>KLHB</v>
          </cell>
          <cell r="I1378" t="str">
            <v>Khách vãng lai</v>
          </cell>
          <cell r="J1378" t="str">
            <v>Đơn bán</v>
          </cell>
          <cell r="K1378" t="str">
            <v>SAKUKO763238</v>
          </cell>
          <cell r="L1378" t="str">
            <v>ĐỒ CHO MẸ BÉ</v>
          </cell>
          <cell r="M1378" t="str">
            <v>GIẤY ƯỚT</v>
          </cell>
          <cell r="N1378" t="str">
            <v>GIẤY ƯỚT CHO BÉ</v>
          </cell>
          <cell r="O1378" t="str">
            <v>121662</v>
          </cell>
          <cell r="P1378" t="str">
            <v>8934755035036</v>
          </cell>
          <cell r="Q1378" t="str">
            <v>FRESSI- Khăn ướt Care For All 20 miếng</v>
          </cell>
          <cell r="R1378">
            <v>14000</v>
          </cell>
          <cell r="S1378">
            <v>1</v>
          </cell>
          <cell r="T1378">
            <v>14000</v>
          </cell>
          <cell r="U1378">
            <v>0</v>
          </cell>
          <cell r="V1378">
            <v>14000</v>
          </cell>
          <cell r="W1378" t="str">
            <v>8934755035036</v>
          </cell>
        </row>
        <row r="1379">
          <cell r="A1379">
            <v>2026</v>
          </cell>
          <cell r="B1379">
            <v>5</v>
          </cell>
          <cell r="C1379">
            <v>46145</v>
          </cell>
          <cell r="D1379" t="str">
            <v>1. SKK store</v>
          </cell>
          <cell r="E1379" t="str">
            <v>S1008</v>
          </cell>
          <cell r="F1379" t="str">
            <v>SKK  Hàng Bông</v>
          </cell>
          <cell r="G1379" t="str">
            <v>0906273594</v>
          </cell>
          <cell r="H1379" t="str">
            <v>bạn giang</v>
          </cell>
          <cell r="I1379" t="str">
            <v>Khách mới</v>
          </cell>
          <cell r="J1379" t="str">
            <v>Đơn bán</v>
          </cell>
          <cell r="K1379" t="str">
            <v>SAKUKO763331</v>
          </cell>
          <cell r="L1379" t="str">
            <v>ĐỒ CHO MẸ BÉ</v>
          </cell>
          <cell r="M1379" t="str">
            <v>GIẤY ƯỚT</v>
          </cell>
          <cell r="N1379" t="str">
            <v>GIẤY ƯỚT CHO BÉ</v>
          </cell>
          <cell r="O1379" t="str">
            <v>121664</v>
          </cell>
          <cell r="P1379" t="str">
            <v>8934755035074</v>
          </cell>
          <cell r="Q1379" t="str">
            <v>BOBBY- Khăn ướt em bé có hương 100 miếng</v>
          </cell>
          <cell r="R1379">
            <v>46000</v>
          </cell>
          <cell r="S1379">
            <v>1</v>
          </cell>
          <cell r="T1379">
            <v>46000</v>
          </cell>
          <cell r="U1379">
            <v>0</v>
          </cell>
          <cell r="V1379">
            <v>46000</v>
          </cell>
          <cell r="W1379" t="str">
            <v>8934755035074</v>
          </cell>
        </row>
        <row r="1380">
          <cell r="A1380">
            <v>2026</v>
          </cell>
          <cell r="B1380">
            <v>5</v>
          </cell>
          <cell r="C1380">
            <v>46145</v>
          </cell>
          <cell r="D1380" t="str">
            <v>1. SKK store</v>
          </cell>
          <cell r="E1380" t="str">
            <v>S1008</v>
          </cell>
          <cell r="F1380" t="str">
            <v>SKK  Hàng Bông</v>
          </cell>
          <cell r="G1380" t="str">
            <v>0913236119</v>
          </cell>
          <cell r="H1380" t="str">
            <v>NGUYEN MINH CHI</v>
          </cell>
          <cell r="I1380" t="str">
            <v>Khách cũ</v>
          </cell>
          <cell r="J1380" t="str">
            <v>Đơn bán</v>
          </cell>
          <cell r="K1380" t="str">
            <v>SAKUKO763370</v>
          </cell>
          <cell r="L1380" t="str">
            <v>NHÀ CỬA ĐỜI SỐNG</v>
          </cell>
          <cell r="M1380" t="str">
            <v>KHĂN</v>
          </cell>
          <cell r="N1380" t="str">
            <v>KHĂN MẶT</v>
          </cell>
          <cell r="O1380" t="str">
            <v>102391</v>
          </cell>
          <cell r="P1380" t="str">
            <v>4991203205759</v>
          </cell>
          <cell r="Q1380" t="str">
            <v>ECHO - Khăn mặt dạng nén 20v size 26x16cm</v>
          </cell>
          <cell r="R1380">
            <v>45000</v>
          </cell>
          <cell r="S1380">
            <v>1</v>
          </cell>
          <cell r="T1380">
            <v>45000</v>
          </cell>
          <cell r="U1380">
            <v>0</v>
          </cell>
          <cell r="V1380">
            <v>45000</v>
          </cell>
          <cell r="W1380" t="str">
            <v>4991203205759</v>
          </cell>
        </row>
        <row r="1381">
          <cell r="A1381">
            <v>2026</v>
          </cell>
          <cell r="B1381">
            <v>5</v>
          </cell>
          <cell r="C1381">
            <v>46145</v>
          </cell>
          <cell r="D1381" t="str">
            <v>1. SKK store</v>
          </cell>
          <cell r="E1381" t="str">
            <v>S1008</v>
          </cell>
          <cell r="F1381" t="str">
            <v>SKK  Hàng Bông</v>
          </cell>
          <cell r="G1381" t="str">
            <v>0983757548</v>
          </cell>
          <cell r="H1381" t="str">
            <v>Chị Quý</v>
          </cell>
          <cell r="I1381" t="str">
            <v>Khách mới</v>
          </cell>
          <cell r="J1381" t="str">
            <v>Đơn bán</v>
          </cell>
          <cell r="K1381" t="str">
            <v>SAKUKO763820</v>
          </cell>
          <cell r="L1381" t="str">
            <v>ĐỒ CHO MẸ BÉ</v>
          </cell>
          <cell r="M1381" t="str">
            <v>CHĂM SÓC CƠ THỂ BÉ</v>
          </cell>
          <cell r="N1381" t="str">
            <v>THỰC PHẨM CHỨC NĂNG CHO BÉ</v>
          </cell>
          <cell r="O1381" t="str">
            <v>121673</v>
          </cell>
          <cell r="P1381" t="str">
            <v>3830056330328</v>
          </cell>
          <cell r="Q1381" t="str">
            <v>LINEABON- TPBVSK Vitamin K2 + D3 Drop 10ml</v>
          </cell>
          <cell r="R1381">
            <v>295000</v>
          </cell>
          <cell r="S1381">
            <v>1</v>
          </cell>
          <cell r="T1381">
            <v>295000</v>
          </cell>
          <cell r="U1381">
            <v>0</v>
          </cell>
          <cell r="V1381">
            <v>295000</v>
          </cell>
          <cell r="W1381" t="str">
            <v>3830056330328</v>
          </cell>
        </row>
        <row r="1382">
          <cell r="A1382">
            <v>2026</v>
          </cell>
          <cell r="B1382">
            <v>5</v>
          </cell>
          <cell r="C1382">
            <v>46145</v>
          </cell>
          <cell r="D1382" t="str">
            <v>1. SKK store</v>
          </cell>
          <cell r="E1382" t="str">
            <v>S1015</v>
          </cell>
          <cell r="F1382" t="str">
            <v>SKK Hàm Nghi</v>
          </cell>
          <cell r="G1382" t="str">
            <v>0923666616</v>
          </cell>
          <cell r="H1382" t="str">
            <v>anh tuân</v>
          </cell>
          <cell r="I1382" t="str">
            <v>Khách cũ</v>
          </cell>
          <cell r="J1382" t="str">
            <v>Đơn bán</v>
          </cell>
          <cell r="K1382" t="str">
            <v>SAKUKO763096</v>
          </cell>
          <cell r="L1382" t="str">
            <v>THỰC PHẨM</v>
          </cell>
          <cell r="M1382" t="str">
            <v>BÁNH KẸO, ĐỒ ĂN VẶT</v>
          </cell>
          <cell r="N1382" t="str">
            <v>KẸO CAO SU</v>
          </cell>
          <cell r="O1382" t="str">
            <v>231374</v>
          </cell>
          <cell r="P1382" t="str">
            <v>4547894156315</v>
          </cell>
          <cell r="Q1382" t="str">
            <v>CLORETS-Kẹo cao su hương vị 4 mùa 140g</v>
          </cell>
          <cell r="R1382">
            <v>235000</v>
          </cell>
          <cell r="S1382">
            <v>1</v>
          </cell>
          <cell r="T1382">
            <v>235000</v>
          </cell>
          <cell r="U1382">
            <v>0</v>
          </cell>
          <cell r="V1382">
            <v>235000</v>
          </cell>
          <cell r="W1382" t="str">
            <v>4547894156315</v>
          </cell>
        </row>
        <row r="1383">
          <cell r="A1383">
            <v>2026</v>
          </cell>
          <cell r="B1383">
            <v>5</v>
          </cell>
          <cell r="C1383">
            <v>46145</v>
          </cell>
          <cell r="D1383" t="str">
            <v>1. SKK store</v>
          </cell>
          <cell r="E1383" t="str">
            <v>S1015</v>
          </cell>
          <cell r="F1383" t="str">
            <v>SKK Hàm Nghi</v>
          </cell>
          <cell r="G1383" t="str">
            <v>0975521180</v>
          </cell>
          <cell r="H1383" t="str">
            <v>chị Hương</v>
          </cell>
          <cell r="I1383" t="str">
            <v>Khách cũ</v>
          </cell>
          <cell r="J1383" t="str">
            <v>Đơn bán</v>
          </cell>
          <cell r="K1383" t="str">
            <v>SAKUKO763595</v>
          </cell>
          <cell r="L1383" t="str">
            <v>THỰC PHẨM</v>
          </cell>
          <cell r="M1383" t="str">
            <v>BÁNH KẸO, ĐỒ ĂN VẶT</v>
          </cell>
          <cell r="N1383" t="str">
            <v>KẸO CAO SU</v>
          </cell>
          <cell r="O1383" t="str">
            <v>231376</v>
          </cell>
          <cell r="P1383" t="str">
            <v>4903333228577</v>
          </cell>
          <cell r="Q1383" t="str">
            <v>LOTTE-Kẹo cao su tổng hợp 7 loại dạng lọ 133g</v>
          </cell>
          <cell r="R1383">
            <v>235000</v>
          </cell>
          <cell r="S1383">
            <v>1</v>
          </cell>
          <cell r="T1383">
            <v>235000</v>
          </cell>
          <cell r="U1383">
            <v>0</v>
          </cell>
          <cell r="V1383">
            <v>235000</v>
          </cell>
          <cell r="W1383" t="str">
            <v>4903333228577</v>
          </cell>
        </row>
        <row r="1384">
          <cell r="A1384">
            <v>2026</v>
          </cell>
          <cell r="B1384">
            <v>5</v>
          </cell>
          <cell r="C1384">
            <v>46145</v>
          </cell>
          <cell r="D1384" t="str">
            <v>1. SKK store</v>
          </cell>
          <cell r="E1384" t="str">
            <v>S1018</v>
          </cell>
          <cell r="F1384" t="str">
            <v>SKK Nguyễn Tuân</v>
          </cell>
          <cell r="G1384" t="str">
            <v>0986593288</v>
          </cell>
          <cell r="H1384" t="str">
            <v>Chị Nguyễn Thị Ngọc Bích</v>
          </cell>
          <cell r="I1384" t="str">
            <v>Khách cũ</v>
          </cell>
          <cell r="J1384" t="str">
            <v>Đơn bán</v>
          </cell>
          <cell r="K1384" t="str">
            <v>SAKUKO763688</v>
          </cell>
          <cell r="L1384" t="str">
            <v>THỰC PHẨM</v>
          </cell>
          <cell r="M1384" t="str">
            <v>MỲ, MIẾN</v>
          </cell>
          <cell r="N1384" t="str">
            <v>MỲ CHẾ BIẾN</v>
          </cell>
          <cell r="O1384" t="str">
            <v>174948</v>
          </cell>
          <cell r="P1384" t="str">
            <v>4582114354119</v>
          </cell>
          <cell r="Q1384" t="str">
            <v>SANUKISHISEI- Mì soumen 300g</v>
          </cell>
          <cell r="R1384">
            <v>35000</v>
          </cell>
          <cell r="S1384">
            <v>1</v>
          </cell>
          <cell r="T1384">
            <v>35000</v>
          </cell>
          <cell r="U1384">
            <v>0</v>
          </cell>
          <cell r="V1384">
            <v>35000</v>
          </cell>
          <cell r="W1384" t="str">
            <v>4582114354119</v>
          </cell>
        </row>
        <row r="1385">
          <cell r="A1385">
            <v>2026</v>
          </cell>
          <cell r="B1385">
            <v>5</v>
          </cell>
          <cell r="C1385">
            <v>46145</v>
          </cell>
          <cell r="D1385" t="str">
            <v>1. SKK store</v>
          </cell>
          <cell r="E1385" t="str">
            <v>S1018</v>
          </cell>
          <cell r="F1385" t="str">
            <v>SKK Nguyễn Tuân</v>
          </cell>
          <cell r="G1385" t="str">
            <v>0988301005</v>
          </cell>
          <cell r="H1385" t="str">
            <v>Chị Hoa</v>
          </cell>
          <cell r="I1385" t="str">
            <v>Khách cũ</v>
          </cell>
          <cell r="J1385" t="str">
            <v>Đơn bán</v>
          </cell>
          <cell r="K1385" t="str">
            <v>SAKUKO763011</v>
          </cell>
          <cell r="L1385" t="str">
            <v>THỰC PHẨM</v>
          </cell>
          <cell r="M1385" t="str">
            <v>MỲ, MIẾN</v>
          </cell>
          <cell r="N1385" t="str">
            <v>MỲ CHẾ BIẾN</v>
          </cell>
          <cell r="O1385" t="str">
            <v>154251</v>
          </cell>
          <cell r="P1385" t="str">
            <v>4560159440776</v>
          </cell>
          <cell r="Q1385" t="str">
            <v>SATO_Mì soba khô 800g</v>
          </cell>
          <cell r="R1385">
            <v>104000</v>
          </cell>
          <cell r="S1385">
            <v>1</v>
          </cell>
          <cell r="T1385">
            <v>104000</v>
          </cell>
          <cell r="U1385">
            <v>0</v>
          </cell>
          <cell r="V1385">
            <v>104000</v>
          </cell>
          <cell r="W1385" t="str">
            <v>4560159440776</v>
          </cell>
        </row>
        <row r="1386">
          <cell r="A1386">
            <v>2026</v>
          </cell>
          <cell r="B1386">
            <v>5</v>
          </cell>
          <cell r="C1386">
            <v>46145</v>
          </cell>
          <cell r="D1386" t="str">
            <v>1. SKK store</v>
          </cell>
          <cell r="E1386" t="str">
            <v>S1025</v>
          </cell>
          <cell r="F1386" t="str">
            <v>SKK T6 Time City</v>
          </cell>
          <cell r="G1386" t="str">
            <v>0858682124</v>
          </cell>
          <cell r="H1386" t="str">
            <v>chị hiền</v>
          </cell>
          <cell r="I1386" t="str">
            <v>Khách cũ</v>
          </cell>
          <cell r="J1386" t="str">
            <v>Đơn bán</v>
          </cell>
          <cell r="K1386" t="str">
            <v>SAKUKO762800</v>
          </cell>
          <cell r="L1386" t="str">
            <v>THỰC PHẨM</v>
          </cell>
          <cell r="M1386" t="str">
            <v>MỲ, MIẾN</v>
          </cell>
          <cell r="N1386" t="str">
            <v>MỲ CHẾ BIẾN</v>
          </cell>
          <cell r="O1386" t="str">
            <v>175435</v>
          </cell>
          <cell r="P1386" t="str">
            <v>4901726014752</v>
          </cell>
          <cell r="Q1386" t="str">
            <v>ITSUKI FOODS- Mì soumen rau củ ngũ sắc320g</v>
          </cell>
          <cell r="R1386">
            <v>76000</v>
          </cell>
          <cell r="S1386">
            <v>1</v>
          </cell>
          <cell r="T1386">
            <v>76000</v>
          </cell>
          <cell r="U1386">
            <v>0</v>
          </cell>
          <cell r="V1386">
            <v>76000</v>
          </cell>
          <cell r="W1386" t="str">
            <v>4901726014752</v>
          </cell>
        </row>
        <row r="1387">
          <cell r="A1387">
            <v>2026</v>
          </cell>
          <cell r="B1387">
            <v>5</v>
          </cell>
          <cell r="C1387">
            <v>46145</v>
          </cell>
          <cell r="D1387" t="str">
            <v>1. SKK store</v>
          </cell>
          <cell r="E1387" t="str">
            <v>S1025</v>
          </cell>
          <cell r="F1387" t="str">
            <v>SKK T6 Time City</v>
          </cell>
          <cell r="G1387" t="str">
            <v>0912817667</v>
          </cell>
          <cell r="H1387" t="str">
            <v>Chị Phạm hồng Hạnh</v>
          </cell>
          <cell r="I1387" t="str">
            <v>Khách cũ</v>
          </cell>
          <cell r="J1387" t="str">
            <v>Đơn bán</v>
          </cell>
          <cell r="K1387" t="str">
            <v>SAKUKO763735</v>
          </cell>
          <cell r="L1387" t="str">
            <v>THỰC PHẨM</v>
          </cell>
          <cell r="M1387" t="str">
            <v>MỲ, MIẾN</v>
          </cell>
          <cell r="N1387" t="str">
            <v>MỲ ĂN LIỀN</v>
          </cell>
          <cell r="O1387" t="str">
            <v>154196</v>
          </cell>
          <cell r="P1387" t="str">
            <v>4979397000152</v>
          </cell>
          <cell r="Q1387" t="str">
            <v>YAMAMOTO_Mì xào kiểu Nhật 89g*5</v>
          </cell>
          <cell r="R1387">
            <v>54450</v>
          </cell>
          <cell r="S1387">
            <v>1</v>
          </cell>
          <cell r="T1387">
            <v>54450</v>
          </cell>
          <cell r="U1387">
            <v>0</v>
          </cell>
          <cell r="V1387">
            <v>54450</v>
          </cell>
          <cell r="W1387" t="str">
            <v>4979397000152</v>
          </cell>
        </row>
        <row r="1388">
          <cell r="A1388">
            <v>2026</v>
          </cell>
          <cell r="B1388">
            <v>5</v>
          </cell>
          <cell r="C1388">
            <v>46145</v>
          </cell>
          <cell r="D1388" t="str">
            <v>1. SKK store</v>
          </cell>
          <cell r="E1388" t="str">
            <v>S1025</v>
          </cell>
          <cell r="F1388" t="str">
            <v>SKK T6 Time City</v>
          </cell>
          <cell r="G1388" t="str">
            <v>0912817667</v>
          </cell>
          <cell r="H1388" t="str">
            <v>Chị Phạm hồng Hạnh</v>
          </cell>
          <cell r="I1388" t="str">
            <v>Khách cũ</v>
          </cell>
          <cell r="J1388" t="str">
            <v>Đơn bán</v>
          </cell>
          <cell r="K1388" t="str">
            <v>SAKUKO763735</v>
          </cell>
          <cell r="L1388" t="str">
            <v>THỰC PHẨM</v>
          </cell>
          <cell r="M1388" t="str">
            <v>MỲ, MIẾN</v>
          </cell>
          <cell r="N1388" t="str">
            <v>MỲ ĂN LIỀN</v>
          </cell>
          <cell r="O1388" t="str">
            <v>154198</v>
          </cell>
          <cell r="P1388" t="str">
            <v>4979397000145</v>
          </cell>
          <cell r="Q1388" t="str">
            <v>YAMAMOTO_Mì ramen ăn liền vị miso 90g*5</v>
          </cell>
          <cell r="R1388">
            <v>54450</v>
          </cell>
          <cell r="S1388">
            <v>1</v>
          </cell>
          <cell r="T1388">
            <v>54450</v>
          </cell>
          <cell r="U1388">
            <v>0</v>
          </cell>
          <cell r="V1388">
            <v>54450</v>
          </cell>
          <cell r="W1388" t="str">
            <v>4979397000145</v>
          </cell>
        </row>
        <row r="1389">
          <cell r="A1389">
            <v>2026</v>
          </cell>
          <cell r="B1389">
            <v>5</v>
          </cell>
          <cell r="C1389">
            <v>46145</v>
          </cell>
          <cell r="D1389" t="str">
            <v>1. SKK store</v>
          </cell>
          <cell r="E1389" t="str">
            <v>S1025</v>
          </cell>
          <cell r="F1389" t="str">
            <v>SKK T6 Time City</v>
          </cell>
          <cell r="G1389" t="str">
            <v>0963039488</v>
          </cell>
          <cell r="H1389" t="str">
            <v>c trang</v>
          </cell>
          <cell r="I1389" t="str">
            <v>Khách cũ</v>
          </cell>
          <cell r="J1389" t="str">
            <v>Đơn bán</v>
          </cell>
          <cell r="K1389" t="str">
            <v>SAKUKO763342</v>
          </cell>
          <cell r="L1389" t="str">
            <v>ĐỒ CHO MẸ BÉ</v>
          </cell>
          <cell r="M1389" t="str">
            <v>CHĂM SÓC CƠ THỂ BÉ</v>
          </cell>
          <cell r="N1389" t="str">
            <v>THỰC PHẨM CHỨC NĂNG CHO BÉ</v>
          </cell>
          <cell r="O1389" t="str">
            <v>121667</v>
          </cell>
          <cell r="P1389" t="str">
            <v>8436036590635</v>
          </cell>
          <cell r="Q1389" t="str">
            <v>NEO KIDS-TPBVSK Gummies K2ALCIUM+150g</v>
          </cell>
          <cell r="R1389">
            <v>390000</v>
          </cell>
          <cell r="S1389">
            <v>1</v>
          </cell>
          <cell r="T1389">
            <v>390000</v>
          </cell>
          <cell r="U1389">
            <v>0</v>
          </cell>
          <cell r="V1389">
            <v>390000</v>
          </cell>
          <cell r="W1389" t="str">
            <v>8436036590635</v>
          </cell>
        </row>
        <row r="1390">
          <cell r="A1390">
            <v>2026</v>
          </cell>
          <cell r="B1390">
            <v>5</v>
          </cell>
          <cell r="C1390">
            <v>46145</v>
          </cell>
          <cell r="D1390" t="str">
            <v>1. SKK store</v>
          </cell>
          <cell r="E1390" t="str">
            <v>S1025</v>
          </cell>
          <cell r="F1390" t="str">
            <v>SKK T6 Time City</v>
          </cell>
          <cell r="G1390" t="str">
            <v>0986218824</v>
          </cell>
          <cell r="H1390" t="str">
            <v>Nguyệt</v>
          </cell>
          <cell r="I1390" t="str">
            <v>Khách cũ</v>
          </cell>
          <cell r="J1390" t="str">
            <v>Đơn bán</v>
          </cell>
          <cell r="K1390" t="str">
            <v>SAKUKO762724</v>
          </cell>
          <cell r="L1390" t="str">
            <v>THỰC PHẨM</v>
          </cell>
          <cell r="M1390" t="str">
            <v>MỲ, MIẾN</v>
          </cell>
          <cell r="N1390" t="str">
            <v>MỲ CHẾ BIẾN</v>
          </cell>
          <cell r="O1390" t="str">
            <v>175435</v>
          </cell>
          <cell r="P1390" t="str">
            <v>4901726014752</v>
          </cell>
          <cell r="Q1390" t="str">
            <v>ITSUKI FOODS- Mì soumen rau củ ngũ sắc320g</v>
          </cell>
          <cell r="R1390">
            <v>76000</v>
          </cell>
          <cell r="S1390">
            <v>1</v>
          </cell>
          <cell r="T1390">
            <v>76000</v>
          </cell>
          <cell r="U1390">
            <v>0</v>
          </cell>
          <cell r="V1390">
            <v>76000</v>
          </cell>
          <cell r="W1390" t="str">
            <v>4901726014752</v>
          </cell>
        </row>
        <row r="1391">
          <cell r="A1391">
            <v>2026</v>
          </cell>
          <cell r="B1391">
            <v>5</v>
          </cell>
          <cell r="C1391">
            <v>46145</v>
          </cell>
          <cell r="D1391" t="str">
            <v>1. SKK store</v>
          </cell>
          <cell r="E1391" t="str">
            <v>S1025</v>
          </cell>
          <cell r="F1391" t="str">
            <v>SKK T6 Time City</v>
          </cell>
          <cell r="G1391" t="str">
            <v>0986218824</v>
          </cell>
          <cell r="H1391" t="str">
            <v>Nguyệt</v>
          </cell>
          <cell r="I1391" t="str">
            <v>Khách cũ</v>
          </cell>
          <cell r="J1391" t="str">
            <v>Đơn bán</v>
          </cell>
          <cell r="K1391" t="str">
            <v>SAKUKO763365</v>
          </cell>
          <cell r="L1391" t="str">
            <v>THỰC PHẨM</v>
          </cell>
          <cell r="M1391" t="str">
            <v>MỲ, MIẾN</v>
          </cell>
          <cell r="N1391" t="str">
            <v>MỲ CHẾ BIẾN</v>
          </cell>
          <cell r="O1391" t="str">
            <v>154251</v>
          </cell>
          <cell r="P1391" t="str">
            <v>4560159440776</v>
          </cell>
          <cell r="Q1391" t="str">
            <v>SATO_Mì soba khô 800g</v>
          </cell>
          <cell r="R1391">
            <v>104000</v>
          </cell>
          <cell r="S1391">
            <v>1</v>
          </cell>
          <cell r="T1391">
            <v>104000</v>
          </cell>
          <cell r="U1391">
            <v>0</v>
          </cell>
          <cell r="V1391">
            <v>104000</v>
          </cell>
          <cell r="W1391" t="str">
            <v>4560159440776</v>
          </cell>
        </row>
        <row r="1392">
          <cell r="A1392">
            <v>2026</v>
          </cell>
          <cell r="B1392">
            <v>5</v>
          </cell>
          <cell r="C1392">
            <v>46144</v>
          </cell>
          <cell r="D1392" t="str">
            <v>1. SKK store</v>
          </cell>
          <cell r="E1392" t="str">
            <v>S1004</v>
          </cell>
          <cell r="F1392" t="str">
            <v>SKK  Mandarin C1</v>
          </cell>
          <cell r="G1392" t="str">
            <v>0904149588</v>
          </cell>
          <cell r="H1392" t="str">
            <v>Chị Linh</v>
          </cell>
          <cell r="I1392" t="str">
            <v>Khách cũ</v>
          </cell>
          <cell r="J1392" t="str">
            <v>Đơn bán</v>
          </cell>
          <cell r="K1392" t="str">
            <v>SAKUKO762131</v>
          </cell>
          <cell r="L1392" t="str">
            <v>NHÀ CỬA ĐỜI SỐNG</v>
          </cell>
          <cell r="M1392" t="str">
            <v>KHĂN</v>
          </cell>
          <cell r="N1392" t="str">
            <v>KHĂN MẶT</v>
          </cell>
          <cell r="O1392" t="str">
            <v>102391</v>
          </cell>
          <cell r="P1392" t="str">
            <v>4991203205759</v>
          </cell>
          <cell r="Q1392" t="str">
            <v>ECHO - Khăn mặt dạng nén 20v size 26x16cm</v>
          </cell>
          <cell r="R1392">
            <v>45000</v>
          </cell>
          <cell r="S1392">
            <v>1</v>
          </cell>
          <cell r="T1392">
            <v>45000</v>
          </cell>
          <cell r="U1392">
            <v>0</v>
          </cell>
          <cell r="V1392">
            <v>45000</v>
          </cell>
          <cell r="W1392" t="str">
            <v>4991203205759</v>
          </cell>
        </row>
        <row r="1393">
          <cell r="A1393">
            <v>2026</v>
          </cell>
          <cell r="B1393">
            <v>5</v>
          </cell>
          <cell r="C1393">
            <v>46144</v>
          </cell>
          <cell r="D1393" t="str">
            <v>1. SKK store</v>
          </cell>
          <cell r="E1393" t="str">
            <v>S1004</v>
          </cell>
          <cell r="F1393" t="str">
            <v>SKK  Mandarin C1</v>
          </cell>
          <cell r="G1393" t="str">
            <v>0965496666</v>
          </cell>
          <cell r="H1393" t="str">
            <v>Anh Tuấn</v>
          </cell>
          <cell r="I1393" t="str">
            <v>Khách cũ</v>
          </cell>
          <cell r="J1393" t="str">
            <v>Đơn bán</v>
          </cell>
          <cell r="K1393" t="str">
            <v>SAKUKO762296</v>
          </cell>
          <cell r="L1393" t="str">
            <v>ĐỒ CHO MẸ BÉ</v>
          </cell>
          <cell r="M1393" t="str">
            <v>GIẤY ƯỚT</v>
          </cell>
          <cell r="N1393" t="str">
            <v>GIẤY ƯỚT CHO BÉ</v>
          </cell>
          <cell r="O1393" t="str">
            <v>121665</v>
          </cell>
          <cell r="P1393" t="str">
            <v>8934755035289</v>
          </cell>
          <cell r="Q1393" t="str">
            <v>BOBBY- Khăn ướt em bé không mùi 100 miếng</v>
          </cell>
          <cell r="R1393">
            <v>46000</v>
          </cell>
          <cell r="S1393">
            <v>1</v>
          </cell>
          <cell r="T1393">
            <v>46000</v>
          </cell>
          <cell r="U1393">
            <v>0</v>
          </cell>
          <cell r="V1393">
            <v>46000</v>
          </cell>
          <cell r="W1393" t="str">
            <v>8934755035289</v>
          </cell>
        </row>
        <row r="1394">
          <cell r="A1394">
            <v>2026</v>
          </cell>
          <cell r="B1394">
            <v>5</v>
          </cell>
          <cell r="C1394">
            <v>46144</v>
          </cell>
          <cell r="D1394" t="str">
            <v>1. SKK store</v>
          </cell>
          <cell r="E1394" t="str">
            <v>S1005</v>
          </cell>
          <cell r="F1394" t="str">
            <v>SKK  Thái Hà</v>
          </cell>
          <cell r="G1394" t="str">
            <v>0389333398</v>
          </cell>
          <cell r="H1394" t="str">
            <v/>
          </cell>
          <cell r="I1394" t="str">
            <v>Khách cũ</v>
          </cell>
          <cell r="J1394" t="str">
            <v>Đơn bán</v>
          </cell>
          <cell r="K1394" t="str">
            <v>SAKUKO762586</v>
          </cell>
          <cell r="L1394" t="str">
            <v>THỰC PHẨM</v>
          </cell>
          <cell r="M1394" t="str">
            <v>BÁNH KẸO, ĐỒ ĂN VẶT</v>
          </cell>
          <cell r="N1394" t="str">
            <v>KẸO CAO SU</v>
          </cell>
          <cell r="O1394" t="str">
            <v>231377</v>
          </cell>
          <cell r="P1394" t="str">
            <v>4903333200375</v>
          </cell>
          <cell r="Q1394" t="str">
            <v>LOTTE-Kẹo cao su tổng hợp dạng lọ 114g</v>
          </cell>
          <cell r="R1394">
            <v>235000</v>
          </cell>
          <cell r="S1394">
            <v>1</v>
          </cell>
          <cell r="T1394">
            <v>235000</v>
          </cell>
          <cell r="U1394">
            <v>0</v>
          </cell>
          <cell r="V1394">
            <v>235000</v>
          </cell>
          <cell r="W1394" t="str">
            <v>4903333200375</v>
          </cell>
        </row>
        <row r="1395">
          <cell r="A1395">
            <v>2026</v>
          </cell>
          <cell r="B1395">
            <v>5</v>
          </cell>
          <cell r="C1395">
            <v>46144</v>
          </cell>
          <cell r="D1395" t="str">
            <v>1. SKK store</v>
          </cell>
          <cell r="E1395" t="str">
            <v>S1006</v>
          </cell>
          <cell r="F1395" t="str">
            <v>SKK Trần Đăng Ninh</v>
          </cell>
          <cell r="G1395" t="str">
            <v>0328196295</v>
          </cell>
          <cell r="H1395" t="str">
            <v>Lâm Anh</v>
          </cell>
          <cell r="I1395" t="str">
            <v>Khách cũ</v>
          </cell>
          <cell r="J1395" t="str">
            <v>Đơn bán</v>
          </cell>
          <cell r="K1395" t="str">
            <v>SAKUKO761794</v>
          </cell>
          <cell r="L1395" t="str">
            <v>THỰC PHẨM</v>
          </cell>
          <cell r="M1395" t="str">
            <v>MỲ, MIẾN</v>
          </cell>
          <cell r="N1395" t="str">
            <v>MỲ CHẾ BIẾN</v>
          </cell>
          <cell r="O1395" t="str">
            <v>175435</v>
          </cell>
          <cell r="P1395" t="str">
            <v>4901726014752</v>
          </cell>
          <cell r="Q1395" t="str">
            <v>ITSUKI FOODS- Mì soumen rau củ ngũ sắc320g</v>
          </cell>
          <cell r="R1395">
            <v>76000</v>
          </cell>
          <cell r="S1395">
            <v>2</v>
          </cell>
          <cell r="T1395">
            <v>152000</v>
          </cell>
          <cell r="U1395">
            <v>0</v>
          </cell>
          <cell r="V1395">
            <v>152000</v>
          </cell>
          <cell r="W1395" t="str">
            <v>4901726014752</v>
          </cell>
        </row>
        <row r="1396">
          <cell r="A1396">
            <v>2026</v>
          </cell>
          <cell r="B1396">
            <v>5</v>
          </cell>
          <cell r="C1396">
            <v>46144</v>
          </cell>
          <cell r="D1396" t="str">
            <v>1. SKK store</v>
          </cell>
          <cell r="E1396" t="str">
            <v>S1006</v>
          </cell>
          <cell r="F1396" t="str">
            <v>SKK Trần Đăng Ninh</v>
          </cell>
          <cell r="G1396" t="str">
            <v>0944272768</v>
          </cell>
          <cell r="H1396" t="str">
            <v>chị hiền</v>
          </cell>
          <cell r="I1396" t="str">
            <v>Khách cũ</v>
          </cell>
          <cell r="J1396" t="str">
            <v>Đơn bán</v>
          </cell>
          <cell r="K1396" t="str">
            <v>SAKUKO762144</v>
          </cell>
          <cell r="L1396" t="str">
            <v>CHĂM SÓC SẮC ĐẸP</v>
          </cell>
          <cell r="M1396" t="str">
            <v>Mỹ phẩm khác</v>
          </cell>
          <cell r="N1396" t="str">
            <v>PHỤ KIỆN LÀM ĐẸP</v>
          </cell>
          <cell r="O1396" t="str">
            <v>102389</v>
          </cell>
          <cell r="P1396" t="str">
            <v>4969757110652</v>
          </cell>
          <cell r="Q1396" t="str">
            <v>KYOWA- Gói bông tẩy trang 130 miếng</v>
          </cell>
          <cell r="R1396">
            <v>49000</v>
          </cell>
          <cell r="S1396">
            <v>1</v>
          </cell>
          <cell r="T1396">
            <v>49000</v>
          </cell>
          <cell r="U1396">
            <v>0</v>
          </cell>
          <cell r="V1396">
            <v>49000</v>
          </cell>
          <cell r="W1396" t="str">
            <v>4969757110652</v>
          </cell>
        </row>
        <row r="1397">
          <cell r="A1397">
            <v>2026</v>
          </cell>
          <cell r="B1397">
            <v>5</v>
          </cell>
          <cell r="C1397">
            <v>46144</v>
          </cell>
          <cell r="D1397" t="str">
            <v>1. SKK store</v>
          </cell>
          <cell r="E1397" t="str">
            <v>S1006</v>
          </cell>
          <cell r="F1397" t="str">
            <v>SKK Trần Đăng Ninh</v>
          </cell>
          <cell r="G1397" t="str">
            <v>0962895999</v>
          </cell>
          <cell r="H1397" t="str">
            <v>Chị Nguyệt</v>
          </cell>
          <cell r="I1397" t="str">
            <v>Khách cũ</v>
          </cell>
          <cell r="J1397" t="str">
            <v>Đơn bán</v>
          </cell>
          <cell r="K1397" t="str">
            <v>SAKUKO761834</v>
          </cell>
          <cell r="L1397" t="str">
            <v>NHÀ CỬA ĐỜI SỐNG</v>
          </cell>
          <cell r="M1397" t="str">
            <v>KHĂN</v>
          </cell>
          <cell r="N1397" t="str">
            <v>KHĂN MẶT</v>
          </cell>
          <cell r="O1397" t="str">
            <v>102391</v>
          </cell>
          <cell r="P1397" t="str">
            <v>4991203205759</v>
          </cell>
          <cell r="Q1397" t="str">
            <v>ECHO - Khăn mặt dạng nén 20v size 26x16cm</v>
          </cell>
          <cell r="R1397">
            <v>45000</v>
          </cell>
          <cell r="S1397">
            <v>1</v>
          </cell>
          <cell r="T1397">
            <v>45000</v>
          </cell>
          <cell r="U1397">
            <v>0</v>
          </cell>
          <cell r="V1397">
            <v>45000</v>
          </cell>
          <cell r="W1397" t="str">
            <v>4991203205759</v>
          </cell>
        </row>
        <row r="1398">
          <cell r="A1398">
            <v>2026</v>
          </cell>
          <cell r="B1398">
            <v>5</v>
          </cell>
          <cell r="C1398">
            <v>46144</v>
          </cell>
          <cell r="D1398" t="str">
            <v>1. SKK store</v>
          </cell>
          <cell r="E1398" t="str">
            <v>S1006</v>
          </cell>
          <cell r="F1398" t="str">
            <v>SKK Trần Đăng Ninh</v>
          </cell>
          <cell r="G1398" t="str">
            <v>0972936229</v>
          </cell>
          <cell r="H1398" t="str">
            <v>C Giang</v>
          </cell>
          <cell r="I1398" t="str">
            <v>Khách cũ</v>
          </cell>
          <cell r="J1398" t="str">
            <v>Đơn bán</v>
          </cell>
          <cell r="K1398" t="str">
            <v>SAKUKO761823</v>
          </cell>
          <cell r="L1398" t="str">
            <v>CHĂM SÓC SẮC ĐẸP</v>
          </cell>
          <cell r="M1398" t="str">
            <v>Mỹ phẩm khác</v>
          </cell>
          <cell r="N1398" t="str">
            <v>PHỤ KIỆN LÀM ĐẸP</v>
          </cell>
          <cell r="O1398" t="str">
            <v>102389</v>
          </cell>
          <cell r="P1398" t="str">
            <v>4969757110652</v>
          </cell>
          <cell r="Q1398" t="str">
            <v>KYOWA- Gói bông tẩy trang 130 miếng</v>
          </cell>
          <cell r="R1398">
            <v>49000</v>
          </cell>
          <cell r="S1398">
            <v>1</v>
          </cell>
          <cell r="T1398">
            <v>49000</v>
          </cell>
          <cell r="U1398">
            <v>0</v>
          </cell>
          <cell r="V1398">
            <v>49000</v>
          </cell>
          <cell r="W1398" t="str">
            <v>4969757110652</v>
          </cell>
        </row>
        <row r="1399">
          <cell r="A1399">
            <v>2026</v>
          </cell>
          <cell r="B1399">
            <v>5</v>
          </cell>
          <cell r="C1399">
            <v>46144</v>
          </cell>
          <cell r="D1399" t="str">
            <v>1. SKK store</v>
          </cell>
          <cell r="E1399" t="str">
            <v>S1006</v>
          </cell>
          <cell r="F1399" t="str">
            <v>SKK Trần Đăng Ninh</v>
          </cell>
          <cell r="G1399" t="str">
            <v>0978256969</v>
          </cell>
          <cell r="H1399" t="str">
            <v>C Nhẫn</v>
          </cell>
          <cell r="I1399" t="str">
            <v>Khách mới</v>
          </cell>
          <cell r="J1399" t="str">
            <v>Đơn bán</v>
          </cell>
          <cell r="K1399" t="str">
            <v>SAKUKO761849</v>
          </cell>
          <cell r="L1399" t="str">
            <v>THỰC PHẨM</v>
          </cell>
          <cell r="M1399" t="str">
            <v>BÁNH KẸO, ĐỒ ĂN VẶT</v>
          </cell>
          <cell r="N1399" t="str">
            <v>KẸO CAO SU</v>
          </cell>
          <cell r="O1399" t="str">
            <v>231376</v>
          </cell>
          <cell r="P1399" t="str">
            <v>4903333228577</v>
          </cell>
          <cell r="Q1399" t="str">
            <v>LOTTE-Kẹo cao su tổng hợp 7 loại dạng lọ 133g</v>
          </cell>
          <cell r="R1399">
            <v>235000</v>
          </cell>
          <cell r="S1399">
            <v>1</v>
          </cell>
          <cell r="T1399">
            <v>235000</v>
          </cell>
          <cell r="U1399">
            <v>0</v>
          </cell>
          <cell r="V1399">
            <v>235000</v>
          </cell>
          <cell r="W1399" t="str">
            <v>4903333228577</v>
          </cell>
        </row>
        <row r="1400">
          <cell r="A1400">
            <v>2026</v>
          </cell>
          <cell r="B1400">
            <v>5</v>
          </cell>
          <cell r="C1400">
            <v>46144</v>
          </cell>
          <cell r="D1400" t="str">
            <v>1. SKK store</v>
          </cell>
          <cell r="E1400" t="str">
            <v>S1007</v>
          </cell>
          <cell r="F1400" t="str">
            <v>SKK  Nguyễn Du</v>
          </cell>
          <cell r="G1400" t="str">
            <v>0862954339</v>
          </cell>
          <cell r="H1400" t="str">
            <v>Klnd</v>
          </cell>
          <cell r="I1400" t="str">
            <v>Khách vãng lai</v>
          </cell>
          <cell r="J1400" t="str">
            <v>Đơn bán</v>
          </cell>
          <cell r="K1400" t="str">
            <v>SAKUKO761946</v>
          </cell>
          <cell r="L1400" t="str">
            <v>THỰC PHẨM</v>
          </cell>
          <cell r="M1400" t="str">
            <v>MỲ, MIẾN</v>
          </cell>
          <cell r="N1400" t="str">
            <v>MỲ CHẾ BIẾN</v>
          </cell>
          <cell r="O1400" t="str">
            <v>174948</v>
          </cell>
          <cell r="P1400" t="str">
            <v>4582114354119</v>
          </cell>
          <cell r="Q1400" t="str">
            <v>SANUKISHISEI- Mì soumen 300g</v>
          </cell>
          <cell r="R1400">
            <v>35000</v>
          </cell>
          <cell r="S1400">
            <v>3</v>
          </cell>
          <cell r="T1400">
            <v>105000</v>
          </cell>
          <cell r="U1400">
            <v>0</v>
          </cell>
          <cell r="V1400">
            <v>105000</v>
          </cell>
          <cell r="W1400" t="str">
            <v>4582114354119</v>
          </cell>
        </row>
        <row r="1401">
          <cell r="A1401">
            <v>2026</v>
          </cell>
          <cell r="B1401">
            <v>5</v>
          </cell>
          <cell r="C1401">
            <v>46144</v>
          </cell>
          <cell r="D1401" t="str">
            <v>1. SKK store</v>
          </cell>
          <cell r="E1401" t="str">
            <v>S1007</v>
          </cell>
          <cell r="F1401" t="str">
            <v>SKK  Nguyễn Du</v>
          </cell>
          <cell r="G1401" t="str">
            <v>0914953586</v>
          </cell>
          <cell r="H1401" t="str">
            <v>C THU HUONG</v>
          </cell>
          <cell r="I1401" t="str">
            <v>Khách cũ</v>
          </cell>
          <cell r="J1401" t="str">
            <v>Đơn bán</v>
          </cell>
          <cell r="K1401" t="str">
            <v>SAKUKO761950</v>
          </cell>
          <cell r="L1401" t="str">
            <v>THỰC PHẨM</v>
          </cell>
          <cell r="M1401" t="str">
            <v>MỲ, MIẾN</v>
          </cell>
          <cell r="N1401" t="str">
            <v>MỲ CHẾ BIẾN</v>
          </cell>
          <cell r="O1401" t="str">
            <v>174948</v>
          </cell>
          <cell r="P1401" t="str">
            <v>4582114354119</v>
          </cell>
          <cell r="Q1401" t="str">
            <v>SANUKISHISEI- Mì soumen 300g</v>
          </cell>
          <cell r="R1401">
            <v>35000</v>
          </cell>
          <cell r="S1401">
            <v>3</v>
          </cell>
          <cell r="T1401">
            <v>105000</v>
          </cell>
          <cell r="U1401">
            <v>0</v>
          </cell>
          <cell r="V1401">
            <v>105000</v>
          </cell>
          <cell r="W1401" t="str">
            <v>4582114354119</v>
          </cell>
        </row>
        <row r="1402">
          <cell r="A1402">
            <v>2026</v>
          </cell>
          <cell r="B1402">
            <v>5</v>
          </cell>
          <cell r="C1402">
            <v>46144</v>
          </cell>
          <cell r="D1402" t="str">
            <v>1. SKK store</v>
          </cell>
          <cell r="E1402" t="str">
            <v>S1007</v>
          </cell>
          <cell r="F1402" t="str">
            <v>SKK  Nguyễn Du</v>
          </cell>
          <cell r="G1402" t="str">
            <v>0945676889</v>
          </cell>
          <cell r="H1402" t="str">
            <v>Anh Lâm</v>
          </cell>
          <cell r="I1402" t="str">
            <v>Khách mới</v>
          </cell>
          <cell r="J1402" t="str">
            <v>Đơn bán</v>
          </cell>
          <cell r="K1402" t="str">
            <v>SAKUKO762262</v>
          </cell>
          <cell r="L1402" t="str">
            <v>CHĂM SÓC SẮC ĐẸP</v>
          </cell>
          <cell r="M1402" t="str">
            <v>CHĂM SÓC DA</v>
          </cell>
          <cell r="N1402" t="str">
            <v>RỬA MẶT</v>
          </cell>
          <cell r="O1402" t="str">
            <v>230269</v>
          </cell>
          <cell r="P1402" t="str">
            <v>4987241173242</v>
          </cell>
          <cell r="Q1402" t="str">
            <v>ROHTO- SRM Melano CC mờ thâm nám (130g)</v>
          </cell>
          <cell r="R1402">
            <v>294000</v>
          </cell>
          <cell r="S1402">
            <v>3</v>
          </cell>
          <cell r="T1402">
            <v>882000</v>
          </cell>
          <cell r="U1402">
            <v>0</v>
          </cell>
          <cell r="V1402">
            <v>882000</v>
          </cell>
          <cell r="W1402" t="str">
            <v>4987241173242</v>
          </cell>
        </row>
        <row r="1403">
          <cell r="A1403">
            <v>2026</v>
          </cell>
          <cell r="B1403">
            <v>5</v>
          </cell>
          <cell r="C1403">
            <v>46144</v>
          </cell>
          <cell r="D1403" t="str">
            <v>1. SKK store</v>
          </cell>
          <cell r="E1403" t="str">
            <v>S1015</v>
          </cell>
          <cell r="F1403" t="str">
            <v>SKK Hàm Nghi</v>
          </cell>
          <cell r="G1403" t="str">
            <v>0983268287</v>
          </cell>
          <cell r="H1403" t="str">
            <v>Chị Thủy</v>
          </cell>
          <cell r="I1403" t="str">
            <v>Khách cũ</v>
          </cell>
          <cell r="J1403" t="str">
            <v>Đơn bán</v>
          </cell>
          <cell r="K1403" t="str">
            <v>SAKUKO762599</v>
          </cell>
          <cell r="L1403" t="str">
            <v>THỰC PHẨM</v>
          </cell>
          <cell r="M1403" t="str">
            <v>BÁNH KẸO, ĐỒ ĂN VẶT</v>
          </cell>
          <cell r="N1403" t="str">
            <v>KẸO CAO SU</v>
          </cell>
          <cell r="O1403" t="str">
            <v>231376</v>
          </cell>
          <cell r="P1403" t="str">
            <v>4903333228577</v>
          </cell>
          <cell r="Q1403" t="str">
            <v>LOTTE-Kẹo cao su tổng hợp 7 loại dạng lọ 133g</v>
          </cell>
          <cell r="R1403">
            <v>235000</v>
          </cell>
          <cell r="S1403">
            <v>1</v>
          </cell>
          <cell r="T1403">
            <v>235000</v>
          </cell>
          <cell r="U1403">
            <v>0</v>
          </cell>
          <cell r="V1403">
            <v>235000</v>
          </cell>
          <cell r="W1403" t="str">
            <v>4903333228577</v>
          </cell>
        </row>
        <row r="1404">
          <cell r="A1404">
            <v>2026</v>
          </cell>
          <cell r="B1404">
            <v>5</v>
          </cell>
          <cell r="C1404">
            <v>46144</v>
          </cell>
          <cell r="D1404" t="str">
            <v>1. SKK store</v>
          </cell>
          <cell r="E1404" t="str">
            <v>S1018</v>
          </cell>
          <cell r="F1404" t="str">
            <v>SKK Nguyễn Tuân</v>
          </cell>
          <cell r="G1404" t="str">
            <v>0912833223</v>
          </cell>
          <cell r="H1404" t="str">
            <v>Đặng Nga</v>
          </cell>
          <cell r="I1404" t="str">
            <v>Khách cũ</v>
          </cell>
          <cell r="J1404" t="str">
            <v>Đơn bán</v>
          </cell>
          <cell r="K1404" t="str">
            <v>SAKUKO761986</v>
          </cell>
          <cell r="L1404" t="str">
            <v>THỰC PHẨM</v>
          </cell>
          <cell r="M1404" t="str">
            <v>MỲ, MIẾN</v>
          </cell>
          <cell r="N1404" t="str">
            <v>MỲ ĂN LIỀN</v>
          </cell>
          <cell r="O1404" t="str">
            <v>154359</v>
          </cell>
          <cell r="P1404" t="str">
            <v>4979397000138</v>
          </cell>
          <cell r="Q1404" t="str">
            <v>YAMAMOTO- Mì ramen ăn liền hải sản thịt heo 88g*5</v>
          </cell>
          <cell r="R1404">
            <v>54450</v>
          </cell>
          <cell r="S1404">
            <v>1</v>
          </cell>
          <cell r="T1404">
            <v>54450</v>
          </cell>
          <cell r="U1404">
            <v>0</v>
          </cell>
          <cell r="V1404">
            <v>54450</v>
          </cell>
          <cell r="W1404" t="str">
            <v>4979397000138</v>
          </cell>
        </row>
        <row r="1405">
          <cell r="A1405">
            <v>2026</v>
          </cell>
          <cell r="B1405">
            <v>5</v>
          </cell>
          <cell r="C1405">
            <v>46144</v>
          </cell>
          <cell r="D1405" t="str">
            <v>1. SKK store</v>
          </cell>
          <cell r="E1405" t="str">
            <v>S1025</v>
          </cell>
          <cell r="F1405" t="str">
            <v>SKK T6 Time City</v>
          </cell>
          <cell r="G1405" t="str">
            <v>0904065965</v>
          </cell>
          <cell r="H1405" t="str">
            <v>Cô Thúy</v>
          </cell>
          <cell r="I1405" t="str">
            <v>Khách cũ</v>
          </cell>
          <cell r="J1405" t="str">
            <v>Đơn bán</v>
          </cell>
          <cell r="K1405" t="str">
            <v>SAKUKO762442</v>
          </cell>
          <cell r="L1405" t="str">
            <v>NHÀ CỬA ĐỜI SỐNG</v>
          </cell>
          <cell r="M1405" t="str">
            <v>ĐỒ DÙNG SINH HOẠT GIA ĐÌNH</v>
          </cell>
          <cell r="N1405" t="str">
            <v>VẬT DỤNG SINH HOẠT KHÁC</v>
          </cell>
          <cell r="O1405" t="str">
            <v>135039</v>
          </cell>
          <cell r="P1405" t="str">
            <v>4968988074993</v>
          </cell>
          <cell r="Q1405" t="str">
            <v>OMAICHI- Set 2 lọ chiết mỹ phẩm 40ml kèm hộp đựng</v>
          </cell>
          <cell r="R1405">
            <v>52000</v>
          </cell>
          <cell r="S1405">
            <v>2</v>
          </cell>
          <cell r="T1405">
            <v>104000</v>
          </cell>
          <cell r="U1405">
            <v>0</v>
          </cell>
          <cell r="V1405">
            <v>104000</v>
          </cell>
          <cell r="W1405" t="str">
            <v>4968988074993</v>
          </cell>
        </row>
        <row r="1406">
          <cell r="A1406">
            <v>2026</v>
          </cell>
          <cell r="B1406">
            <v>5</v>
          </cell>
          <cell r="C1406">
            <v>46144</v>
          </cell>
          <cell r="D1406" t="str">
            <v>1. SKK store</v>
          </cell>
          <cell r="E1406" t="str">
            <v>S1025</v>
          </cell>
          <cell r="F1406" t="str">
            <v>SKK T6 Time City</v>
          </cell>
          <cell r="G1406" t="str">
            <v>0961568666</v>
          </cell>
          <cell r="H1406" t="str">
            <v>Chị Việt Anh</v>
          </cell>
          <cell r="I1406" t="str">
            <v>Khách cũ</v>
          </cell>
          <cell r="J1406" t="str">
            <v>Đơn bán</v>
          </cell>
          <cell r="K1406" t="str">
            <v>SAKUKO762173</v>
          </cell>
          <cell r="L1406" t="str">
            <v>ĐỒ CHO MẸ BÉ</v>
          </cell>
          <cell r="M1406" t="str">
            <v>GIẤY ƯỚT</v>
          </cell>
          <cell r="N1406" t="str">
            <v>GIẤY ƯỚT CHO BÉ</v>
          </cell>
          <cell r="O1406" t="str">
            <v>121662</v>
          </cell>
          <cell r="P1406" t="str">
            <v>8934755035036</v>
          </cell>
          <cell r="Q1406" t="str">
            <v>FRESSI- Khăn ướt Care For All 20 miếng</v>
          </cell>
          <cell r="R1406">
            <v>14000</v>
          </cell>
          <cell r="S1406">
            <v>5</v>
          </cell>
          <cell r="T1406">
            <v>70000</v>
          </cell>
          <cell r="U1406">
            <v>0</v>
          </cell>
          <cell r="V1406">
            <v>70000</v>
          </cell>
          <cell r="W1406" t="str">
            <v>8934755035036</v>
          </cell>
        </row>
        <row r="1407">
          <cell r="A1407">
            <v>2026</v>
          </cell>
          <cell r="B1407">
            <v>5</v>
          </cell>
          <cell r="C1407">
            <v>46144</v>
          </cell>
          <cell r="D1407" t="str">
            <v>1. SKK store</v>
          </cell>
          <cell r="E1407" t="str">
            <v>S1025</v>
          </cell>
          <cell r="F1407" t="str">
            <v>SKK T6 Time City</v>
          </cell>
          <cell r="G1407" t="str">
            <v>0963123734</v>
          </cell>
          <cell r="H1407" t="str">
            <v>Chị Lê</v>
          </cell>
          <cell r="I1407" t="str">
            <v>Khách cũ</v>
          </cell>
          <cell r="J1407" t="str">
            <v>Đơn bán</v>
          </cell>
          <cell r="K1407" t="str">
            <v>SAKUKO762690</v>
          </cell>
          <cell r="L1407" t="str">
            <v>NHÀ CỬA ĐỜI SỐNG</v>
          </cell>
          <cell r="M1407" t="str">
            <v>KHĂN</v>
          </cell>
          <cell r="N1407" t="str">
            <v>KHĂN MẶT</v>
          </cell>
          <cell r="O1407" t="str">
            <v>102390</v>
          </cell>
          <cell r="P1407" t="str">
            <v>4906327905980</v>
          </cell>
          <cell r="Q1407" t="str">
            <v>KOMODA - Khăn mặt khô dùng 1 lần 46m 20x20cm</v>
          </cell>
          <cell r="R1407">
            <v>52000</v>
          </cell>
          <cell r="S1407">
            <v>2</v>
          </cell>
          <cell r="T1407">
            <v>104000</v>
          </cell>
          <cell r="U1407">
            <v>0</v>
          </cell>
          <cell r="V1407">
            <v>104000</v>
          </cell>
          <cell r="W1407" t="str">
            <v>4906327905980</v>
          </cell>
        </row>
        <row r="1408">
          <cell r="A1408">
            <v>2026</v>
          </cell>
          <cell r="B1408">
            <v>5</v>
          </cell>
          <cell r="C1408">
            <v>46144</v>
          </cell>
          <cell r="D1408" t="str">
            <v>1. SKK store</v>
          </cell>
          <cell r="E1408" t="str">
            <v>S1025</v>
          </cell>
          <cell r="F1408" t="str">
            <v>SKK T6 Time City</v>
          </cell>
          <cell r="G1408" t="str">
            <v>0963123734</v>
          </cell>
          <cell r="H1408" t="str">
            <v>Chị Lê</v>
          </cell>
          <cell r="I1408" t="str">
            <v>Khách cũ</v>
          </cell>
          <cell r="J1408" t="str">
            <v>Đơn bán</v>
          </cell>
          <cell r="K1408" t="str">
            <v>SAKUKO762690</v>
          </cell>
          <cell r="L1408" t="str">
            <v>NHÀ CỬA ĐỜI SỐNG</v>
          </cell>
          <cell r="M1408" t="str">
            <v>KHĂN</v>
          </cell>
          <cell r="N1408" t="str">
            <v>KHĂN MẶT</v>
          </cell>
          <cell r="O1408" t="str">
            <v>102391</v>
          </cell>
          <cell r="P1408" t="str">
            <v>4991203205759</v>
          </cell>
          <cell r="Q1408" t="str">
            <v>ECHO - Khăn mặt dạng nén 20v size 26x16cm</v>
          </cell>
          <cell r="R1408">
            <v>45000</v>
          </cell>
          <cell r="S1408">
            <v>6</v>
          </cell>
          <cell r="T1408">
            <v>270000</v>
          </cell>
          <cell r="U1408">
            <v>0</v>
          </cell>
          <cell r="V1408">
            <v>270000</v>
          </cell>
          <cell r="W1408" t="str">
            <v>4991203205759</v>
          </cell>
        </row>
        <row r="1409">
          <cell r="A1409">
            <v>2026</v>
          </cell>
          <cell r="B1409">
            <v>5</v>
          </cell>
          <cell r="C1409">
            <v>46143</v>
          </cell>
          <cell r="D1409" t="str">
            <v>1. SKK store</v>
          </cell>
          <cell r="E1409" t="str">
            <v>S1004</v>
          </cell>
          <cell r="F1409" t="str">
            <v>SKK  Mandarin C1</v>
          </cell>
          <cell r="G1409" t="str">
            <v>0919618323</v>
          </cell>
          <cell r="H1409" t="str">
            <v>Cô Tâm</v>
          </cell>
          <cell r="I1409" t="str">
            <v>Khách cũ</v>
          </cell>
          <cell r="J1409" t="str">
            <v>Đơn bán</v>
          </cell>
          <cell r="K1409" t="str">
            <v>SAKUKO760797</v>
          </cell>
          <cell r="L1409" t="str">
            <v>THỰC PHẨM</v>
          </cell>
          <cell r="M1409" t="str">
            <v>MỲ, MIẾN</v>
          </cell>
          <cell r="N1409" t="str">
            <v>MỲ CHẾ BIẾN</v>
          </cell>
          <cell r="O1409" t="str">
            <v>175435</v>
          </cell>
          <cell r="P1409" t="str">
            <v>4901726014752</v>
          </cell>
          <cell r="Q1409" t="str">
            <v>ITSUKI FOODS- Mì soumen rau củ ngũ sắc320g</v>
          </cell>
          <cell r="R1409">
            <v>76000</v>
          </cell>
          <cell r="S1409">
            <v>2</v>
          </cell>
          <cell r="T1409">
            <v>152000</v>
          </cell>
          <cell r="U1409">
            <v>0</v>
          </cell>
          <cell r="V1409">
            <v>152000</v>
          </cell>
          <cell r="W1409" t="str">
            <v>4901726014752</v>
          </cell>
        </row>
        <row r="1410">
          <cell r="A1410">
            <v>2026</v>
          </cell>
          <cell r="B1410">
            <v>5</v>
          </cell>
          <cell r="C1410">
            <v>46143</v>
          </cell>
          <cell r="D1410" t="str">
            <v>1. SKK store</v>
          </cell>
          <cell r="E1410" t="str">
            <v>S1004</v>
          </cell>
          <cell r="F1410" t="str">
            <v>SKK  Mandarin C1</v>
          </cell>
          <cell r="G1410" t="str">
            <v>0936143636</v>
          </cell>
          <cell r="H1410" t="str">
            <v>c chi</v>
          </cell>
          <cell r="I1410" t="str">
            <v>Khách cũ</v>
          </cell>
          <cell r="J1410" t="str">
            <v>Đơn bán</v>
          </cell>
          <cell r="K1410" t="str">
            <v>SAKUKO761669</v>
          </cell>
          <cell r="L1410" t="str">
            <v>NHÀ CỬA ĐỜI SỐNG</v>
          </cell>
          <cell r="M1410" t="str">
            <v>KHĂN</v>
          </cell>
          <cell r="N1410" t="str">
            <v>KHĂN MẶT</v>
          </cell>
          <cell r="O1410" t="str">
            <v>102390</v>
          </cell>
          <cell r="P1410" t="str">
            <v>4906327905980</v>
          </cell>
          <cell r="Q1410" t="str">
            <v>KOMODA - Khăn mặt khô dùng 1 lần 46m 20x20cm</v>
          </cell>
          <cell r="R1410">
            <v>52000</v>
          </cell>
          <cell r="S1410">
            <v>1</v>
          </cell>
          <cell r="T1410">
            <v>52000</v>
          </cell>
          <cell r="U1410">
            <v>0</v>
          </cell>
          <cell r="V1410">
            <v>52000</v>
          </cell>
          <cell r="W1410" t="str">
            <v>4906327905980</v>
          </cell>
        </row>
        <row r="1411">
          <cell r="A1411">
            <v>2026</v>
          </cell>
          <cell r="B1411">
            <v>5</v>
          </cell>
          <cell r="C1411">
            <v>46143</v>
          </cell>
          <cell r="D1411" t="str">
            <v>1. SKK store</v>
          </cell>
          <cell r="E1411" t="str">
            <v>S1006</v>
          </cell>
          <cell r="F1411" t="str">
            <v>SKK Trần Đăng Ninh</v>
          </cell>
          <cell r="G1411" t="str">
            <v>0914418692</v>
          </cell>
          <cell r="H1411" t="str">
            <v>Chi Ý</v>
          </cell>
          <cell r="I1411" t="str">
            <v>Khách cũ</v>
          </cell>
          <cell r="J1411" t="str">
            <v>Đơn bán</v>
          </cell>
          <cell r="K1411" t="str">
            <v>SAKUKO761003</v>
          </cell>
          <cell r="L1411" t="str">
            <v>THỰC PHẨM</v>
          </cell>
          <cell r="M1411" t="str">
            <v>BÁNH KẸO, ĐỒ ĂN VẶT</v>
          </cell>
          <cell r="N1411" t="str">
            <v>KẸO CAO SU</v>
          </cell>
          <cell r="O1411" t="str">
            <v>231376</v>
          </cell>
          <cell r="P1411" t="str">
            <v>4903333228577</v>
          </cell>
          <cell r="Q1411" t="str">
            <v>LOTTE-Kẹo cao su tổng hợp 7 loại dạng lọ 133g</v>
          </cell>
          <cell r="R1411">
            <v>235000</v>
          </cell>
          <cell r="S1411">
            <v>1</v>
          </cell>
          <cell r="T1411">
            <v>235000</v>
          </cell>
          <cell r="U1411">
            <v>0</v>
          </cell>
          <cell r="V1411">
            <v>235000</v>
          </cell>
          <cell r="W1411" t="str">
            <v>4903333228577</v>
          </cell>
        </row>
        <row r="1412">
          <cell r="A1412">
            <v>2026</v>
          </cell>
          <cell r="B1412">
            <v>5</v>
          </cell>
          <cell r="C1412">
            <v>46143</v>
          </cell>
          <cell r="D1412" t="str">
            <v>1. SKK store</v>
          </cell>
          <cell r="E1412" t="str">
            <v>S1006</v>
          </cell>
          <cell r="F1412" t="str">
            <v>SKK Trần Đăng Ninh</v>
          </cell>
          <cell r="G1412" t="str">
            <v>0989792626</v>
          </cell>
          <cell r="H1412" t="str">
            <v>Chị Hoàng Thị Lan Nhung</v>
          </cell>
          <cell r="I1412" t="str">
            <v>Khách cũ</v>
          </cell>
          <cell r="J1412" t="str">
            <v>Đơn bán</v>
          </cell>
          <cell r="K1412" t="str">
            <v>SAKUKO761723</v>
          </cell>
          <cell r="L1412" t="str">
            <v>CHĂM SÓC SẮC ĐẸP</v>
          </cell>
          <cell r="M1412" t="str">
            <v>CHĂM SÓC DA</v>
          </cell>
          <cell r="N1412" t="str">
            <v>RỬA MẶT</v>
          </cell>
          <cell r="O1412" t="str">
            <v>230269</v>
          </cell>
          <cell r="P1412" t="str">
            <v>4987241173242</v>
          </cell>
          <cell r="Q1412" t="str">
            <v>ROHTO- SRM Melano CC mờ thâm nám (130g)</v>
          </cell>
          <cell r="R1412">
            <v>294000</v>
          </cell>
          <cell r="S1412">
            <v>1</v>
          </cell>
          <cell r="T1412">
            <v>294000</v>
          </cell>
          <cell r="U1412">
            <v>0</v>
          </cell>
          <cell r="V1412">
            <v>294000</v>
          </cell>
          <cell r="W1412" t="str">
            <v>4987241173242</v>
          </cell>
        </row>
        <row r="1413">
          <cell r="A1413">
            <v>2026</v>
          </cell>
          <cell r="B1413">
            <v>5</v>
          </cell>
          <cell r="C1413">
            <v>46143</v>
          </cell>
          <cell r="D1413" t="str">
            <v>1. SKK store</v>
          </cell>
          <cell r="E1413" t="str">
            <v>S1007</v>
          </cell>
          <cell r="F1413" t="str">
            <v>SKK  Nguyễn Du</v>
          </cell>
          <cell r="G1413" t="str">
            <v>0913563928</v>
          </cell>
          <cell r="H1413" t="str">
            <v>Chi Lan</v>
          </cell>
          <cell r="I1413" t="str">
            <v>Khách cũ</v>
          </cell>
          <cell r="J1413" t="str">
            <v>Đơn bán</v>
          </cell>
          <cell r="K1413" t="str">
            <v>SAKUKO761726</v>
          </cell>
          <cell r="L1413" t="str">
            <v>THỰC PHẨM</v>
          </cell>
          <cell r="M1413" t="str">
            <v>BÁNH KẸO, ĐỒ ĂN VẶT</v>
          </cell>
          <cell r="N1413" t="str">
            <v>KẸO CAO SU</v>
          </cell>
          <cell r="O1413" t="str">
            <v>231377</v>
          </cell>
          <cell r="P1413" t="str">
            <v>4903333200375</v>
          </cell>
          <cell r="Q1413" t="str">
            <v>LOTTE-Kẹo cao su tổng hợp dạng lọ 114g</v>
          </cell>
          <cell r="R1413">
            <v>235000</v>
          </cell>
          <cell r="S1413">
            <v>1</v>
          </cell>
          <cell r="T1413">
            <v>235000</v>
          </cell>
          <cell r="U1413">
            <v>0</v>
          </cell>
          <cell r="V1413">
            <v>235000</v>
          </cell>
          <cell r="W1413" t="str">
            <v>4903333200375</v>
          </cell>
        </row>
        <row r="1414">
          <cell r="A1414">
            <v>2026</v>
          </cell>
          <cell r="B1414">
            <v>5</v>
          </cell>
          <cell r="C1414">
            <v>46143</v>
          </cell>
          <cell r="D1414" t="str">
            <v>1. SKK store</v>
          </cell>
          <cell r="E1414" t="str">
            <v>S1008</v>
          </cell>
          <cell r="F1414" t="str">
            <v>SKK  Hàng Bông</v>
          </cell>
          <cell r="G1414" t="str">
            <v>02466810202</v>
          </cell>
          <cell r="H1414" t="str">
            <v>KH Tây</v>
          </cell>
          <cell r="I1414" t="str">
            <v>Khách vãng lai</v>
          </cell>
          <cell r="J1414" t="str">
            <v>Đơn bán</v>
          </cell>
          <cell r="K1414" t="str">
            <v>SAKUKO761654</v>
          </cell>
          <cell r="L1414" t="str">
            <v>CHĂM SÓC SẮC ĐẸP</v>
          </cell>
          <cell r="M1414" t="str">
            <v>CHĂM SÓC DA</v>
          </cell>
          <cell r="N1414" t="str">
            <v>CHĂM SÓC DA KHÁC</v>
          </cell>
          <cell r="O1414" t="str">
            <v>102387</v>
          </cell>
          <cell r="P1414" t="str">
            <v>8935006542907</v>
          </cell>
          <cell r="Q1414" t="str">
            <v>HADA LABO- Bộ sản phẩm dưỡng ẩm (travel kit)47g</v>
          </cell>
          <cell r="R1414">
            <v>129000</v>
          </cell>
          <cell r="S1414">
            <v>1</v>
          </cell>
          <cell r="T1414">
            <v>129000</v>
          </cell>
          <cell r="U1414">
            <v>0</v>
          </cell>
          <cell r="V1414">
            <v>129000</v>
          </cell>
          <cell r="W1414" t="str">
            <v>8935006542907</v>
          </cell>
        </row>
        <row r="1415">
          <cell r="A1415">
            <v>2026</v>
          </cell>
          <cell r="B1415">
            <v>5</v>
          </cell>
          <cell r="C1415">
            <v>46143</v>
          </cell>
          <cell r="D1415" t="str">
            <v>1. SKK store</v>
          </cell>
          <cell r="E1415" t="str">
            <v>S1008</v>
          </cell>
          <cell r="F1415" t="str">
            <v>SKK  Hàng Bông</v>
          </cell>
          <cell r="G1415" t="str">
            <v>0862947989</v>
          </cell>
          <cell r="H1415" t="str">
            <v>KLHB</v>
          </cell>
          <cell r="I1415" t="str">
            <v>Khách vãng lai</v>
          </cell>
          <cell r="J1415" t="str">
            <v>Đơn bán</v>
          </cell>
          <cell r="K1415" t="str">
            <v>SAKUKO760856</v>
          </cell>
          <cell r="L1415" t="str">
            <v>ĐỒ CHO MẸ BÉ</v>
          </cell>
          <cell r="M1415" t="str">
            <v>GIẤY ƯỚT</v>
          </cell>
          <cell r="N1415" t="str">
            <v>GIẤY ƯỚT CHO BÉ</v>
          </cell>
          <cell r="O1415" t="str">
            <v>121664</v>
          </cell>
          <cell r="P1415" t="str">
            <v>8934755035074</v>
          </cell>
          <cell r="Q1415" t="str">
            <v>BOBBY- Khăn ướt em bé có hương 100 miếng</v>
          </cell>
          <cell r="R1415">
            <v>46000</v>
          </cell>
          <cell r="S1415">
            <v>1</v>
          </cell>
          <cell r="T1415">
            <v>46000</v>
          </cell>
          <cell r="U1415">
            <v>0</v>
          </cell>
          <cell r="V1415">
            <v>46000</v>
          </cell>
          <cell r="W1415" t="str">
            <v>8934755035074</v>
          </cell>
        </row>
        <row r="1416">
          <cell r="A1416">
            <v>2026</v>
          </cell>
          <cell r="B1416">
            <v>5</v>
          </cell>
          <cell r="C1416">
            <v>46143</v>
          </cell>
          <cell r="D1416" t="str">
            <v>1. SKK store</v>
          </cell>
          <cell r="E1416" t="str">
            <v>S1008</v>
          </cell>
          <cell r="F1416" t="str">
            <v>SKK  Hàng Bông</v>
          </cell>
          <cell r="G1416" t="str">
            <v>0902290101</v>
          </cell>
          <cell r="H1416" t="str">
            <v>C Bùi Phương Anh</v>
          </cell>
          <cell r="I1416" t="str">
            <v>Khách cũ</v>
          </cell>
          <cell r="J1416" t="str">
            <v>Đơn bán</v>
          </cell>
          <cell r="K1416" t="str">
            <v>SAKUKO761343</v>
          </cell>
          <cell r="L1416" t="str">
            <v>THỰC PHẨM</v>
          </cell>
          <cell r="M1416" t="str">
            <v>BÁNH KẸO, ĐỒ ĂN VẶT</v>
          </cell>
          <cell r="N1416" t="str">
            <v>KẸO CAO SU</v>
          </cell>
          <cell r="O1416" t="str">
            <v>231374</v>
          </cell>
          <cell r="P1416" t="str">
            <v>4547894156315</v>
          </cell>
          <cell r="Q1416" t="str">
            <v>CLORETS-Kẹo cao su hương vị 4 mùa 140g</v>
          </cell>
          <cell r="R1416">
            <v>235000</v>
          </cell>
          <cell r="S1416">
            <v>1</v>
          </cell>
          <cell r="T1416">
            <v>235000</v>
          </cell>
          <cell r="U1416">
            <v>0</v>
          </cell>
          <cell r="V1416">
            <v>235000</v>
          </cell>
          <cell r="W1416" t="str">
            <v>4547894156315</v>
          </cell>
        </row>
        <row r="1417">
          <cell r="A1417">
            <v>2026</v>
          </cell>
          <cell r="B1417">
            <v>5</v>
          </cell>
          <cell r="C1417">
            <v>46143</v>
          </cell>
          <cell r="D1417" t="str">
            <v>1. SKK store</v>
          </cell>
          <cell r="E1417" t="str">
            <v>S1008</v>
          </cell>
          <cell r="F1417" t="str">
            <v>SKK  Hàng Bông</v>
          </cell>
          <cell r="G1417" t="str">
            <v>0913233946</v>
          </cell>
          <cell r="H1417" t="str">
            <v>c trinh</v>
          </cell>
          <cell r="I1417" t="str">
            <v>Khách cũ</v>
          </cell>
          <cell r="J1417" t="str">
            <v>Đơn bán</v>
          </cell>
          <cell r="K1417" t="str">
            <v>SAKUKO761395</v>
          </cell>
          <cell r="L1417" t="str">
            <v>THỰC PHẨM</v>
          </cell>
          <cell r="M1417" t="str">
            <v>MỲ, MIẾN</v>
          </cell>
          <cell r="N1417" t="str">
            <v>MỲ CHẾ BIẾN</v>
          </cell>
          <cell r="O1417" t="str">
            <v>154251</v>
          </cell>
          <cell r="P1417" t="str">
            <v>4560159440776</v>
          </cell>
          <cell r="Q1417" t="str">
            <v>SATO_Mì soba khô 800g</v>
          </cell>
          <cell r="R1417">
            <v>104000</v>
          </cell>
          <cell r="S1417">
            <v>1</v>
          </cell>
          <cell r="T1417">
            <v>104000</v>
          </cell>
          <cell r="U1417">
            <v>0</v>
          </cell>
          <cell r="V1417">
            <v>104000</v>
          </cell>
          <cell r="W1417" t="str">
            <v>4560159440776</v>
          </cell>
        </row>
        <row r="1418">
          <cell r="A1418">
            <v>2026</v>
          </cell>
          <cell r="B1418">
            <v>5</v>
          </cell>
          <cell r="C1418">
            <v>46143</v>
          </cell>
          <cell r="D1418" t="str">
            <v>1. SKK store</v>
          </cell>
          <cell r="E1418" t="str">
            <v>S1008</v>
          </cell>
          <cell r="F1418" t="str">
            <v>SKK  Hàng Bông</v>
          </cell>
          <cell r="G1418" t="str">
            <v>0913233946</v>
          </cell>
          <cell r="H1418" t="str">
            <v>c trinh</v>
          </cell>
          <cell r="I1418" t="str">
            <v>Khách cũ</v>
          </cell>
          <cell r="J1418" t="str">
            <v>Đơn bán</v>
          </cell>
          <cell r="K1418" t="str">
            <v>SAKUKO761395</v>
          </cell>
          <cell r="L1418" t="str">
            <v>THỰC PHẨM</v>
          </cell>
          <cell r="M1418" t="str">
            <v>MỲ, MIẾN</v>
          </cell>
          <cell r="N1418" t="str">
            <v>MỲ CHẾ BIẾN</v>
          </cell>
          <cell r="O1418" t="str">
            <v>175435</v>
          </cell>
          <cell r="P1418" t="str">
            <v>4901726014752</v>
          </cell>
          <cell r="Q1418" t="str">
            <v>ITSUKI FOODS- Mì soumen rau củ ngũ sắc320g</v>
          </cell>
          <cell r="R1418">
            <v>76000</v>
          </cell>
          <cell r="S1418">
            <v>1</v>
          </cell>
          <cell r="T1418">
            <v>76000</v>
          </cell>
          <cell r="U1418">
            <v>0</v>
          </cell>
          <cell r="V1418">
            <v>76000</v>
          </cell>
          <cell r="W1418" t="str">
            <v>4901726014752</v>
          </cell>
        </row>
        <row r="1419">
          <cell r="A1419">
            <v>2026</v>
          </cell>
          <cell r="B1419">
            <v>5</v>
          </cell>
          <cell r="C1419">
            <v>46143</v>
          </cell>
          <cell r="D1419" t="str">
            <v>1. SKK store</v>
          </cell>
          <cell r="E1419" t="str">
            <v>S1008</v>
          </cell>
          <cell r="F1419" t="str">
            <v>SKK  Hàng Bông</v>
          </cell>
          <cell r="G1419" t="str">
            <v>0974278366</v>
          </cell>
          <cell r="H1419" t="str">
            <v>Anh Bình</v>
          </cell>
          <cell r="I1419" t="str">
            <v>Khách cũ</v>
          </cell>
          <cell r="J1419" t="str">
            <v>Đơn bán</v>
          </cell>
          <cell r="K1419" t="str">
            <v>SAKUKO760768</v>
          </cell>
          <cell r="L1419" t="str">
            <v>CHĂM SÓC SẮC ĐẸP</v>
          </cell>
          <cell r="M1419" t="str">
            <v>Mỹ phẩm khác</v>
          </cell>
          <cell r="N1419" t="str">
            <v>PHỤ KIỆN LÀM ĐẸP</v>
          </cell>
          <cell r="O1419" t="str">
            <v>102389</v>
          </cell>
          <cell r="P1419" t="str">
            <v>4969757110652</v>
          </cell>
          <cell r="Q1419" t="str">
            <v>KYOWA- Gói bông tẩy trang 130 miếng</v>
          </cell>
          <cell r="R1419">
            <v>49000</v>
          </cell>
          <cell r="S1419">
            <v>1</v>
          </cell>
          <cell r="T1419">
            <v>49000</v>
          </cell>
          <cell r="U1419">
            <v>0</v>
          </cell>
          <cell r="V1419">
            <v>49000</v>
          </cell>
          <cell r="W1419" t="str">
            <v>4969757110652</v>
          </cell>
        </row>
        <row r="1420">
          <cell r="A1420">
            <v>2026</v>
          </cell>
          <cell r="B1420">
            <v>5</v>
          </cell>
          <cell r="C1420">
            <v>46143</v>
          </cell>
          <cell r="D1420" t="str">
            <v>1. SKK store</v>
          </cell>
          <cell r="E1420" t="str">
            <v>S1018</v>
          </cell>
          <cell r="F1420" t="str">
            <v>SKK Nguyễn Tuân</v>
          </cell>
          <cell r="G1420" t="str">
            <v>0978185546</v>
          </cell>
          <cell r="H1420" t="str">
            <v>Chị Trương Liên Hương</v>
          </cell>
          <cell r="I1420" t="str">
            <v>Khách cũ</v>
          </cell>
          <cell r="J1420" t="str">
            <v>Đơn bán</v>
          </cell>
          <cell r="K1420" t="str">
            <v>SAKUKO761483</v>
          </cell>
          <cell r="L1420" t="str">
            <v>THỰC PHẨM</v>
          </cell>
          <cell r="M1420" t="str">
            <v>MỲ, MIẾN</v>
          </cell>
          <cell r="N1420" t="str">
            <v>MỲ ĂN LIỀN</v>
          </cell>
          <cell r="O1420" t="str">
            <v>154359</v>
          </cell>
          <cell r="P1420" t="str">
            <v>4979397000138</v>
          </cell>
          <cell r="Q1420" t="str">
            <v>YAMAMOTO- Mì ramen ăn liền hải sản thịt heo 88g*5</v>
          </cell>
          <cell r="R1420">
            <v>54450</v>
          </cell>
          <cell r="S1420">
            <v>1</v>
          </cell>
          <cell r="T1420">
            <v>54450</v>
          </cell>
          <cell r="U1420">
            <v>0</v>
          </cell>
          <cell r="V1420">
            <v>54450</v>
          </cell>
          <cell r="W1420" t="str">
            <v>4979397000138</v>
          </cell>
        </row>
        <row r="1421">
          <cell r="A1421">
            <v>2026</v>
          </cell>
          <cell r="B1421">
            <v>5</v>
          </cell>
          <cell r="C1421">
            <v>46143</v>
          </cell>
          <cell r="D1421" t="str">
            <v>1. SKK store</v>
          </cell>
          <cell r="E1421" t="str">
            <v>S1025</v>
          </cell>
          <cell r="F1421" t="str">
            <v>SKK T6 Time City</v>
          </cell>
          <cell r="G1421" t="str">
            <v>0903275982</v>
          </cell>
          <cell r="H1421" t="str">
            <v>cô vinh</v>
          </cell>
          <cell r="I1421" t="str">
            <v>Khách cũ</v>
          </cell>
          <cell r="J1421" t="str">
            <v>Đơn bán</v>
          </cell>
          <cell r="K1421" t="str">
            <v>SAKUKO761123</v>
          </cell>
          <cell r="L1421" t="str">
            <v>THỰC PHẨM</v>
          </cell>
          <cell r="M1421" t="str">
            <v>MỲ, MIẾN</v>
          </cell>
          <cell r="N1421" t="str">
            <v>MỲ ĂN LIỀN</v>
          </cell>
          <cell r="O1421" t="str">
            <v>154359</v>
          </cell>
          <cell r="P1421" t="str">
            <v>4979397000138</v>
          </cell>
          <cell r="Q1421" t="str">
            <v>YAMAMOTO- Mì ramen ăn liền hải sản thịt heo 88g*5</v>
          </cell>
          <cell r="R1421">
            <v>54450</v>
          </cell>
          <cell r="S1421">
            <v>1</v>
          </cell>
          <cell r="T1421">
            <v>54450</v>
          </cell>
          <cell r="U1421">
            <v>0</v>
          </cell>
          <cell r="V1421">
            <v>54450</v>
          </cell>
          <cell r="W1421" t="str">
            <v>4979397000138</v>
          </cell>
        </row>
        <row r="1422">
          <cell r="A1422">
            <v>2026</v>
          </cell>
          <cell r="B1422">
            <v>5</v>
          </cell>
          <cell r="C1422">
            <v>46143</v>
          </cell>
          <cell r="D1422" t="str">
            <v>1. SKK store</v>
          </cell>
          <cell r="E1422" t="str">
            <v>S1025</v>
          </cell>
          <cell r="F1422" t="str">
            <v>SKK T6 Time City</v>
          </cell>
          <cell r="G1422" t="str">
            <v>0969560808</v>
          </cell>
          <cell r="H1422" t="str">
            <v>chị hiền</v>
          </cell>
          <cell r="I1422" t="str">
            <v>Khách cũ</v>
          </cell>
          <cell r="J1422" t="str">
            <v>Đơn bán</v>
          </cell>
          <cell r="K1422" t="str">
            <v>SAKUKO760984</v>
          </cell>
          <cell r="L1422" t="str">
            <v>THỰC PHẨM</v>
          </cell>
          <cell r="M1422" t="str">
            <v>BÁNH KẸO, ĐỒ ĂN VẶT</v>
          </cell>
          <cell r="N1422" t="str">
            <v>KẸO CAO SU</v>
          </cell>
          <cell r="O1422" t="str">
            <v>154105</v>
          </cell>
          <cell r="P1422" t="str">
            <v>4547894156612</v>
          </cell>
          <cell r="Q1422" t="str">
            <v>MONDELEZ JAPAN - Kẹo cao su 112g</v>
          </cell>
          <cell r="R1422">
            <v>235000</v>
          </cell>
          <cell r="S1422">
            <v>1</v>
          </cell>
          <cell r="T1422">
            <v>235000</v>
          </cell>
          <cell r="U1422">
            <v>0</v>
          </cell>
          <cell r="V1422">
            <v>235000</v>
          </cell>
          <cell r="W1422" t="str">
            <v>4547894156612</v>
          </cell>
        </row>
        <row r="1423">
          <cell r="A1423">
            <v>2026</v>
          </cell>
          <cell r="B1423">
            <v>4</v>
          </cell>
          <cell r="C1423">
            <v>46142</v>
          </cell>
          <cell r="D1423" t="str">
            <v>1. SKK store</v>
          </cell>
          <cell r="E1423" t="str">
            <v>S1004</v>
          </cell>
          <cell r="F1423" t="str">
            <v>SKK  Mandarin C1</v>
          </cell>
          <cell r="G1423" t="str">
            <v>0907406688</v>
          </cell>
          <cell r="H1423" t="str">
            <v>Chú Hoàng</v>
          </cell>
          <cell r="I1423" t="str">
            <v>Khách cũ</v>
          </cell>
          <cell r="J1423" t="str">
            <v>Đơn bán</v>
          </cell>
          <cell r="K1423" t="str">
            <v>SAKUKO760201</v>
          </cell>
          <cell r="L1423" t="str">
            <v>NHÀ CỬA ĐỜI SỐNG</v>
          </cell>
          <cell r="M1423" t="str">
            <v>ĐỒ DÙNG SINH HOẠT GIA ĐÌNH</v>
          </cell>
          <cell r="N1423" t="str">
            <v>VẬT DỤNG SINH HOẠT KHÁC</v>
          </cell>
          <cell r="O1423" t="str">
            <v>135039</v>
          </cell>
          <cell r="P1423" t="str">
            <v>4968988074993</v>
          </cell>
          <cell r="Q1423" t="str">
            <v>OMAICHI- Set 2 lọ chiết mỹ phẩm 40ml kèm hộp đựng</v>
          </cell>
          <cell r="R1423">
            <v>52000</v>
          </cell>
          <cell r="S1423">
            <v>1</v>
          </cell>
          <cell r="T1423">
            <v>52000</v>
          </cell>
          <cell r="U1423">
            <v>0</v>
          </cell>
          <cell r="V1423">
            <v>52000</v>
          </cell>
          <cell r="W1423" t="str">
            <v>4968988074993</v>
          </cell>
        </row>
        <row r="1424">
          <cell r="A1424">
            <v>2026</v>
          </cell>
          <cell r="B1424">
            <v>4</v>
          </cell>
          <cell r="C1424">
            <v>46142</v>
          </cell>
          <cell r="D1424" t="str">
            <v>1. SKK store</v>
          </cell>
          <cell r="E1424" t="str">
            <v>S1006</v>
          </cell>
          <cell r="F1424" t="str">
            <v>SKK Trần Đăng Ninh</v>
          </cell>
          <cell r="G1424" t="str">
            <v>0904988377</v>
          </cell>
          <cell r="H1424" t="str">
            <v>C Thủy</v>
          </cell>
          <cell r="I1424" t="str">
            <v>Khách cũ</v>
          </cell>
          <cell r="J1424" t="str">
            <v>Đơn bán</v>
          </cell>
          <cell r="K1424" t="str">
            <v>SAKUKO759569</v>
          </cell>
          <cell r="L1424" t="str">
            <v>THỰC PHẨM</v>
          </cell>
          <cell r="M1424" t="str">
            <v>MỲ, MIẾN</v>
          </cell>
          <cell r="N1424" t="str">
            <v>MỲ ĂN LIỀN</v>
          </cell>
          <cell r="O1424" t="str">
            <v>154359</v>
          </cell>
          <cell r="P1424" t="str">
            <v>4979397000138</v>
          </cell>
          <cell r="Q1424" t="str">
            <v>YAMAMOTO- Mì ramen ăn liền hải sản thịt heo 88g*5</v>
          </cell>
          <cell r="R1424">
            <v>99000</v>
          </cell>
          <cell r="S1424">
            <v>2</v>
          </cell>
          <cell r="T1424">
            <v>198000</v>
          </cell>
          <cell r="U1424">
            <v>0</v>
          </cell>
          <cell r="V1424">
            <v>198000</v>
          </cell>
          <cell r="W1424" t="str">
            <v>4979397000138</v>
          </cell>
        </row>
        <row r="1425">
          <cell r="A1425">
            <v>2026</v>
          </cell>
          <cell r="B1425">
            <v>4</v>
          </cell>
          <cell r="C1425">
            <v>46142</v>
          </cell>
          <cell r="D1425" t="str">
            <v>1. SKK store</v>
          </cell>
          <cell r="E1425" t="str">
            <v>S1006</v>
          </cell>
          <cell r="F1425" t="str">
            <v>SKK Trần Đăng Ninh</v>
          </cell>
          <cell r="G1425" t="str">
            <v>0912691818</v>
          </cell>
          <cell r="H1425" t="str">
            <v>Cô Nguyễn Thị Phương Lâm</v>
          </cell>
          <cell r="I1425" t="str">
            <v>Khách cũ</v>
          </cell>
          <cell r="J1425" t="str">
            <v>Đơn bán</v>
          </cell>
          <cell r="K1425" t="str">
            <v>SAKUKO760166</v>
          </cell>
          <cell r="L1425" t="str">
            <v>THỰC PHẨM</v>
          </cell>
          <cell r="M1425" t="str">
            <v>MỲ, MIẾN</v>
          </cell>
          <cell r="N1425" t="str">
            <v>MỲ ĂN LIỀN</v>
          </cell>
          <cell r="O1425" t="str">
            <v>154359</v>
          </cell>
          <cell r="P1425" t="str">
            <v>4979397000138</v>
          </cell>
          <cell r="Q1425" t="str">
            <v>YAMAMOTO- Mì ramen ăn liền hải sản thịt heo 88g*5</v>
          </cell>
          <cell r="R1425">
            <v>99000</v>
          </cell>
          <cell r="S1425">
            <v>2</v>
          </cell>
          <cell r="T1425">
            <v>198000</v>
          </cell>
          <cell r="U1425">
            <v>0</v>
          </cell>
          <cell r="V1425">
            <v>198000</v>
          </cell>
          <cell r="W1425" t="str">
            <v>4979397000138</v>
          </cell>
        </row>
        <row r="1426">
          <cell r="A1426">
            <v>2026</v>
          </cell>
          <cell r="B1426">
            <v>4</v>
          </cell>
          <cell r="C1426">
            <v>46142</v>
          </cell>
          <cell r="D1426" t="str">
            <v>1. SKK store</v>
          </cell>
          <cell r="E1426" t="str">
            <v>S1006</v>
          </cell>
          <cell r="F1426" t="str">
            <v>SKK Trần Đăng Ninh</v>
          </cell>
          <cell r="G1426" t="str">
            <v>0948609911</v>
          </cell>
          <cell r="H1426" t="str">
            <v>Cúc</v>
          </cell>
          <cell r="I1426" t="str">
            <v>Khách cũ</v>
          </cell>
          <cell r="J1426" t="str">
            <v>Đơn bán</v>
          </cell>
          <cell r="K1426" t="str">
            <v>SAKUKO759651</v>
          </cell>
          <cell r="L1426" t="str">
            <v>THỰC PHẨM</v>
          </cell>
          <cell r="M1426" t="str">
            <v>BÁNH KẸO, ĐỒ ĂN VẶT</v>
          </cell>
          <cell r="N1426" t="str">
            <v>KẸO CAO SU</v>
          </cell>
          <cell r="O1426" t="str">
            <v>154105</v>
          </cell>
          <cell r="P1426" t="str">
            <v>4547894156612</v>
          </cell>
          <cell r="Q1426" t="str">
            <v>MONDELEZ JAPAN - Kẹo cao su 112g</v>
          </cell>
          <cell r="R1426">
            <v>235000</v>
          </cell>
          <cell r="S1426">
            <v>1</v>
          </cell>
          <cell r="T1426">
            <v>235000</v>
          </cell>
          <cell r="U1426">
            <v>0</v>
          </cell>
          <cell r="V1426">
            <v>235000</v>
          </cell>
          <cell r="W1426" t="str">
            <v>4547894156612</v>
          </cell>
        </row>
        <row r="1427">
          <cell r="A1427">
            <v>2026</v>
          </cell>
          <cell r="B1427">
            <v>4</v>
          </cell>
          <cell r="C1427">
            <v>46142</v>
          </cell>
          <cell r="D1427" t="str">
            <v>1. SKK store</v>
          </cell>
          <cell r="E1427" t="str">
            <v>S1007</v>
          </cell>
          <cell r="F1427" t="str">
            <v>SKK  Nguyễn Du</v>
          </cell>
          <cell r="G1427" t="str">
            <v>0973900805</v>
          </cell>
          <cell r="H1427" t="str">
            <v>chị Vũ Minh Thảo</v>
          </cell>
          <cell r="I1427" t="str">
            <v>Khách cũ</v>
          </cell>
          <cell r="J1427" t="str">
            <v>Đơn bán</v>
          </cell>
          <cell r="K1427" t="str">
            <v>SAKUKO760040</v>
          </cell>
          <cell r="L1427" t="str">
            <v>CHĂM SÓC SẮC ĐẸP</v>
          </cell>
          <cell r="M1427" t="str">
            <v>CHĂM SÓC DA</v>
          </cell>
          <cell r="N1427" t="str">
            <v>RỬA MẶT</v>
          </cell>
          <cell r="O1427" t="str">
            <v>230269</v>
          </cell>
          <cell r="P1427" t="str">
            <v>4987241173242</v>
          </cell>
          <cell r="Q1427" t="str">
            <v>ROHTO- SRM Melano CC mờ thâm nám (130g)</v>
          </cell>
          <cell r="R1427">
            <v>294000</v>
          </cell>
          <cell r="S1427">
            <v>1</v>
          </cell>
          <cell r="T1427">
            <v>294000</v>
          </cell>
          <cell r="U1427">
            <v>0</v>
          </cell>
          <cell r="V1427">
            <v>294000</v>
          </cell>
          <cell r="W1427" t="str">
            <v>4987241173242</v>
          </cell>
        </row>
        <row r="1428">
          <cell r="A1428">
            <v>2026</v>
          </cell>
          <cell r="B1428">
            <v>4</v>
          </cell>
          <cell r="C1428">
            <v>46142</v>
          </cell>
          <cell r="D1428" t="str">
            <v>1. SKK store</v>
          </cell>
          <cell r="E1428" t="str">
            <v>S1008</v>
          </cell>
          <cell r="F1428" t="str">
            <v>SKK  Hàng Bông</v>
          </cell>
          <cell r="G1428" t="str">
            <v>02466810202</v>
          </cell>
          <cell r="H1428" t="str">
            <v>KH Tây</v>
          </cell>
          <cell r="I1428" t="str">
            <v>Khách vãng lai</v>
          </cell>
          <cell r="J1428" t="str">
            <v>Đơn bán</v>
          </cell>
          <cell r="K1428" t="str">
            <v>SAKUKO759905</v>
          </cell>
          <cell r="L1428" t="str">
            <v>ĐỒ CHO MẸ BÉ</v>
          </cell>
          <cell r="M1428" t="str">
            <v>GIẤY ƯỚT</v>
          </cell>
          <cell r="N1428" t="str">
            <v>GIẤY ƯỚT CHO BÉ</v>
          </cell>
          <cell r="O1428" t="str">
            <v>121662</v>
          </cell>
          <cell r="P1428" t="str">
            <v>8934755035036</v>
          </cell>
          <cell r="Q1428" t="str">
            <v>FRESSI- Khăn ướt Care For All 20 miếng</v>
          </cell>
          <cell r="R1428">
            <v>14000</v>
          </cell>
          <cell r="S1428">
            <v>1</v>
          </cell>
          <cell r="T1428">
            <v>14000</v>
          </cell>
          <cell r="U1428">
            <v>0</v>
          </cell>
          <cell r="V1428">
            <v>14000</v>
          </cell>
          <cell r="W1428" t="str">
            <v>8934755035036</v>
          </cell>
        </row>
        <row r="1429">
          <cell r="A1429">
            <v>2026</v>
          </cell>
          <cell r="B1429">
            <v>4</v>
          </cell>
          <cell r="C1429">
            <v>46142</v>
          </cell>
          <cell r="D1429" t="str">
            <v>1. SKK store</v>
          </cell>
          <cell r="E1429" t="str">
            <v>S1008</v>
          </cell>
          <cell r="F1429" t="str">
            <v>SKK  Hàng Bông</v>
          </cell>
          <cell r="G1429" t="str">
            <v>02466810202</v>
          </cell>
          <cell r="H1429" t="str">
            <v>KH Tây</v>
          </cell>
          <cell r="I1429" t="str">
            <v>Khách vãng lai</v>
          </cell>
          <cell r="J1429" t="str">
            <v>Đơn bán</v>
          </cell>
          <cell r="K1429" t="str">
            <v>SAKUKO759905</v>
          </cell>
          <cell r="L1429" t="str">
            <v>ĐỒ CHO MẸ BÉ</v>
          </cell>
          <cell r="M1429" t="str">
            <v>GIẤY ƯỚT</v>
          </cell>
          <cell r="N1429" t="str">
            <v>GIẤY ƯỚT CHO BÉ</v>
          </cell>
          <cell r="O1429" t="str">
            <v>121663</v>
          </cell>
          <cell r="P1429" t="str">
            <v>8934755035197</v>
          </cell>
          <cell r="Q1429" t="str">
            <v>FRESSI- Khăn ướt Care For All 100 miếng</v>
          </cell>
          <cell r="R1429">
            <v>49000</v>
          </cell>
          <cell r="S1429">
            <v>1</v>
          </cell>
          <cell r="T1429">
            <v>49000</v>
          </cell>
          <cell r="U1429">
            <v>0</v>
          </cell>
          <cell r="V1429">
            <v>49000</v>
          </cell>
          <cell r="W1429" t="str">
            <v>8934755035197</v>
          </cell>
        </row>
        <row r="1430">
          <cell r="A1430">
            <v>2026</v>
          </cell>
          <cell r="B1430">
            <v>4</v>
          </cell>
          <cell r="C1430">
            <v>46142</v>
          </cell>
          <cell r="D1430" t="str">
            <v>1. SKK store</v>
          </cell>
          <cell r="E1430" t="str">
            <v>S1008</v>
          </cell>
          <cell r="F1430" t="str">
            <v>SKK  Hàng Bông</v>
          </cell>
          <cell r="G1430" t="str">
            <v>0862947989</v>
          </cell>
          <cell r="H1430" t="str">
            <v>KLHB</v>
          </cell>
          <cell r="I1430" t="str">
            <v>Khách vãng lai</v>
          </cell>
          <cell r="J1430" t="str">
            <v>Đơn bán</v>
          </cell>
          <cell r="K1430" t="str">
            <v>SAKUKO759698</v>
          </cell>
          <cell r="L1430" t="str">
            <v>CHĂM SÓC SẮC ĐẸP</v>
          </cell>
          <cell r="M1430" t="str">
            <v>CHĂM SÓC DA</v>
          </cell>
          <cell r="N1430" t="str">
            <v>CHĂM SÓC DA KHÁC</v>
          </cell>
          <cell r="O1430" t="str">
            <v>102388</v>
          </cell>
          <cell r="P1430" t="str">
            <v>8935006542914</v>
          </cell>
          <cell r="Q1430" t="str">
            <v>HADA LABO- Bộ sản phẩm dưỡng trắng (travel kit)47g</v>
          </cell>
          <cell r="R1430">
            <v>135000</v>
          </cell>
          <cell r="S1430">
            <v>1</v>
          </cell>
          <cell r="T1430">
            <v>135000</v>
          </cell>
          <cell r="U1430">
            <v>0</v>
          </cell>
          <cell r="V1430">
            <v>135000</v>
          </cell>
          <cell r="W1430" t="str">
            <v>8935006542914</v>
          </cell>
        </row>
        <row r="1431">
          <cell r="A1431">
            <v>2026</v>
          </cell>
          <cell r="B1431">
            <v>4</v>
          </cell>
          <cell r="C1431">
            <v>46142</v>
          </cell>
          <cell r="D1431" t="str">
            <v>1. SKK store</v>
          </cell>
          <cell r="E1431" t="str">
            <v>S1008</v>
          </cell>
          <cell r="F1431" t="str">
            <v>SKK  Hàng Bông</v>
          </cell>
          <cell r="G1431" t="str">
            <v>0914339160</v>
          </cell>
          <cell r="H1431" t="str">
            <v>chị nguyễn ly linh</v>
          </cell>
          <cell r="I1431" t="str">
            <v>Khách cũ</v>
          </cell>
          <cell r="J1431" t="str">
            <v>Đơn bán</v>
          </cell>
          <cell r="K1431" t="str">
            <v>SAKUKO760652</v>
          </cell>
          <cell r="L1431" t="str">
            <v>NHÀ CỬA ĐỜI SỐNG</v>
          </cell>
          <cell r="M1431" t="str">
            <v>ĐỒ DÙNG SINH HOẠT GIA ĐÌNH</v>
          </cell>
          <cell r="N1431" t="str">
            <v>VẬT DỤNG SINH HOẠT KHÁC</v>
          </cell>
          <cell r="O1431" t="str">
            <v>135039</v>
          </cell>
          <cell r="P1431" t="str">
            <v>4968988074993</v>
          </cell>
          <cell r="Q1431" t="str">
            <v>OMAICHI- Set 2 lọ chiết mỹ phẩm 40ml kèm hộp đựng</v>
          </cell>
          <cell r="R1431">
            <v>52000</v>
          </cell>
          <cell r="S1431">
            <v>1</v>
          </cell>
          <cell r="T1431">
            <v>52000</v>
          </cell>
          <cell r="U1431">
            <v>0</v>
          </cell>
          <cell r="V1431">
            <v>52000</v>
          </cell>
          <cell r="W1431" t="str">
            <v>4968988074993</v>
          </cell>
        </row>
        <row r="1432">
          <cell r="A1432">
            <v>2026</v>
          </cell>
          <cell r="B1432">
            <v>4</v>
          </cell>
          <cell r="C1432">
            <v>46142</v>
          </cell>
          <cell r="D1432" t="str">
            <v>1. SKK store</v>
          </cell>
          <cell r="E1432" t="str">
            <v>S1008</v>
          </cell>
          <cell r="F1432" t="str">
            <v>SKK  Hàng Bông</v>
          </cell>
          <cell r="G1432" t="str">
            <v>0977511906</v>
          </cell>
          <cell r="H1432" t="str">
            <v>Chị Thúy</v>
          </cell>
          <cell r="I1432" t="str">
            <v>Khách cũ</v>
          </cell>
          <cell r="J1432" t="str">
            <v>Đơn bán</v>
          </cell>
          <cell r="K1432" t="str">
            <v>SAKUKO759638</v>
          </cell>
          <cell r="L1432" t="str">
            <v>THỰC PHẨM</v>
          </cell>
          <cell r="M1432" t="str">
            <v>BÁNH KẸO, ĐỒ ĂN VẶT</v>
          </cell>
          <cell r="N1432" t="str">
            <v>KẸO CAO SU</v>
          </cell>
          <cell r="O1432" t="str">
            <v>154105</v>
          </cell>
          <cell r="P1432" t="str">
            <v>4547894156612</v>
          </cell>
          <cell r="Q1432" t="str">
            <v>MONDELEZ JAPAN - Kẹo cao su 112g</v>
          </cell>
          <cell r="R1432">
            <v>235000</v>
          </cell>
          <cell r="S1432">
            <v>1</v>
          </cell>
          <cell r="T1432">
            <v>235000</v>
          </cell>
          <cell r="U1432">
            <v>0</v>
          </cell>
          <cell r="V1432">
            <v>235000</v>
          </cell>
          <cell r="W1432" t="str">
            <v>4547894156612</v>
          </cell>
        </row>
        <row r="1433">
          <cell r="A1433">
            <v>2026</v>
          </cell>
          <cell r="B1433">
            <v>4</v>
          </cell>
          <cell r="C1433">
            <v>46142</v>
          </cell>
          <cell r="D1433" t="str">
            <v>1. SKK store</v>
          </cell>
          <cell r="E1433" t="str">
            <v>S1008</v>
          </cell>
          <cell r="F1433" t="str">
            <v>SKK  Hàng Bông</v>
          </cell>
          <cell r="G1433" t="str">
            <v>0981613523</v>
          </cell>
          <cell r="H1433" t="str">
            <v>anh Huy</v>
          </cell>
          <cell r="I1433" t="str">
            <v>Khách mới</v>
          </cell>
          <cell r="J1433" t="str">
            <v>Đơn bán</v>
          </cell>
          <cell r="K1433" t="str">
            <v>SAKUKO759444</v>
          </cell>
          <cell r="L1433" t="str">
            <v>THỰC PHẨM</v>
          </cell>
          <cell r="M1433" t="str">
            <v>BÁNH KẸO, ĐỒ ĂN VẶT</v>
          </cell>
          <cell r="N1433" t="str">
            <v>KẸO</v>
          </cell>
          <cell r="O1433" t="str">
            <v>231376</v>
          </cell>
          <cell r="P1433" t="str">
            <v>4903333228577</v>
          </cell>
          <cell r="Q1433" t="str">
            <v>LOTTE-Kẹo cao su tổng hợp 7 loại dạng lọ 133g</v>
          </cell>
          <cell r="R1433">
            <v>235000</v>
          </cell>
          <cell r="S1433">
            <v>1</v>
          </cell>
          <cell r="T1433">
            <v>235000</v>
          </cell>
          <cell r="U1433">
            <v>0</v>
          </cell>
          <cell r="V1433">
            <v>235000</v>
          </cell>
          <cell r="W1433" t="str">
            <v>4903333228577</v>
          </cell>
        </row>
        <row r="1434">
          <cell r="A1434">
            <v>2026</v>
          </cell>
          <cell r="B1434">
            <v>4</v>
          </cell>
          <cell r="C1434">
            <v>46142</v>
          </cell>
          <cell r="D1434" t="str">
            <v>1. SKK store</v>
          </cell>
          <cell r="E1434" t="str">
            <v>S1008</v>
          </cell>
          <cell r="F1434" t="str">
            <v>SKK  Hàng Bông</v>
          </cell>
          <cell r="G1434" t="str">
            <v>0986245542</v>
          </cell>
          <cell r="H1434" t="str">
            <v>Chi Huong</v>
          </cell>
          <cell r="I1434" t="str">
            <v>Khách cũ</v>
          </cell>
          <cell r="J1434" t="str">
            <v>Đơn bán</v>
          </cell>
          <cell r="K1434" t="str">
            <v>SAKUKO760254</v>
          </cell>
          <cell r="L1434" t="str">
            <v>THỰC PHẨM</v>
          </cell>
          <cell r="M1434" t="str">
            <v>BÁNH KẸO, ĐỒ ĂN VẶT</v>
          </cell>
          <cell r="N1434" t="str">
            <v>KẸO CAO SU</v>
          </cell>
          <cell r="O1434" t="str">
            <v>153932</v>
          </cell>
          <cell r="P1434" t="str">
            <v>4903333241651</v>
          </cell>
          <cell r="Q1434" t="str">
            <v>LOTTE - Kẹo cao su black black ít đường 133g</v>
          </cell>
          <cell r="R1434">
            <v>235000</v>
          </cell>
          <cell r="S1434">
            <v>1</v>
          </cell>
          <cell r="T1434">
            <v>235000</v>
          </cell>
          <cell r="U1434">
            <v>0</v>
          </cell>
          <cell r="V1434">
            <v>235000</v>
          </cell>
          <cell r="W1434" t="str">
            <v>4903333241651</v>
          </cell>
        </row>
        <row r="1435">
          <cell r="A1435">
            <v>2026</v>
          </cell>
          <cell r="B1435">
            <v>4</v>
          </cell>
          <cell r="C1435">
            <v>46142</v>
          </cell>
          <cell r="D1435" t="str">
            <v>1. SKK store</v>
          </cell>
          <cell r="E1435" t="str">
            <v>S1015</v>
          </cell>
          <cell r="F1435" t="str">
            <v>SKK Hàm Nghi</v>
          </cell>
          <cell r="G1435" t="str">
            <v>0366642222</v>
          </cell>
          <cell r="H1435" t="str">
            <v>a Tuấn</v>
          </cell>
          <cell r="I1435" t="str">
            <v>Khách cũ</v>
          </cell>
          <cell r="J1435" t="str">
            <v>Đơn bán</v>
          </cell>
          <cell r="K1435" t="str">
            <v>SAKUKO760041</v>
          </cell>
          <cell r="L1435" t="str">
            <v>THỰC PHẨM</v>
          </cell>
          <cell r="M1435" t="str">
            <v>BÁNH KẸO, ĐỒ ĂN VẶT</v>
          </cell>
          <cell r="N1435" t="str">
            <v>KẸO</v>
          </cell>
          <cell r="O1435" t="str">
            <v>231376</v>
          </cell>
          <cell r="P1435" t="str">
            <v>4903333228577</v>
          </cell>
          <cell r="Q1435" t="str">
            <v>LOTTE-Kẹo cao su tổng hợp 7 loại dạng lọ 133g</v>
          </cell>
          <cell r="R1435">
            <v>235000</v>
          </cell>
          <cell r="S1435">
            <v>1</v>
          </cell>
          <cell r="T1435">
            <v>235000</v>
          </cell>
          <cell r="U1435">
            <v>0</v>
          </cell>
          <cell r="V1435">
            <v>235000</v>
          </cell>
          <cell r="W1435" t="str">
            <v>4903333228577</v>
          </cell>
        </row>
        <row r="1436">
          <cell r="A1436">
            <v>2026</v>
          </cell>
          <cell r="B1436">
            <v>4</v>
          </cell>
          <cell r="C1436">
            <v>46142</v>
          </cell>
          <cell r="D1436" t="str">
            <v>1. SKK store</v>
          </cell>
          <cell r="E1436" t="str">
            <v>S1015</v>
          </cell>
          <cell r="F1436" t="str">
            <v>SKK Hàm Nghi</v>
          </cell>
          <cell r="G1436" t="str">
            <v>0366642222</v>
          </cell>
          <cell r="H1436" t="str">
            <v>a Tuấn</v>
          </cell>
          <cell r="I1436" t="str">
            <v>Khách cũ</v>
          </cell>
          <cell r="J1436" t="str">
            <v>Đơn bán</v>
          </cell>
          <cell r="K1436" t="str">
            <v>SAKUKO760041</v>
          </cell>
          <cell r="L1436" t="str">
            <v>THỰC PHẨM</v>
          </cell>
          <cell r="M1436" t="str">
            <v>BÁNH KẸO, ĐỒ ĂN VẶT</v>
          </cell>
          <cell r="N1436" t="str">
            <v>KẸO</v>
          </cell>
          <cell r="O1436" t="str">
            <v>231377</v>
          </cell>
          <cell r="P1436" t="str">
            <v>4903333200375</v>
          </cell>
          <cell r="Q1436" t="str">
            <v>LOTTE-Kẹo cao su tổng hợp dạng lọ 114g</v>
          </cell>
          <cell r="R1436">
            <v>235000</v>
          </cell>
          <cell r="S1436">
            <v>1</v>
          </cell>
          <cell r="T1436">
            <v>235000</v>
          </cell>
          <cell r="U1436">
            <v>0</v>
          </cell>
          <cell r="V1436">
            <v>235000</v>
          </cell>
          <cell r="W1436" t="str">
            <v>4903333200375</v>
          </cell>
        </row>
        <row r="1437">
          <cell r="A1437">
            <v>2026</v>
          </cell>
          <cell r="B1437">
            <v>4</v>
          </cell>
          <cell r="C1437">
            <v>46142</v>
          </cell>
          <cell r="D1437" t="str">
            <v>1. SKK store</v>
          </cell>
          <cell r="E1437" t="str">
            <v>S1015</v>
          </cell>
          <cell r="F1437" t="str">
            <v>SKK Hàm Nghi</v>
          </cell>
          <cell r="G1437" t="str">
            <v>0913827036</v>
          </cell>
          <cell r="H1437" t="str">
            <v>chị lý</v>
          </cell>
          <cell r="I1437" t="str">
            <v>Khách cũ</v>
          </cell>
          <cell r="J1437" t="str">
            <v>Đơn bán</v>
          </cell>
          <cell r="K1437" t="str">
            <v>SAKUKO759589</v>
          </cell>
          <cell r="L1437" t="str">
            <v>THỰC PHẨM</v>
          </cell>
          <cell r="M1437" t="str">
            <v>MỲ, MIẾN</v>
          </cell>
          <cell r="N1437" t="str">
            <v>MỲ ĂN LIỀN</v>
          </cell>
          <cell r="O1437" t="str">
            <v>153693</v>
          </cell>
          <cell r="P1437" t="str">
            <v>4902881066440</v>
          </cell>
          <cell r="Q1437" t="str">
            <v>MYOJO- Mỳ ramen vị miso 5 gói</v>
          </cell>
          <cell r="R1437">
            <v>105000</v>
          </cell>
          <cell r="S1437">
            <v>1</v>
          </cell>
          <cell r="T1437">
            <v>105000</v>
          </cell>
          <cell r="U1437">
            <v>0</v>
          </cell>
          <cell r="V1437">
            <v>105000</v>
          </cell>
          <cell r="W1437" t="str">
            <v>4902881066440</v>
          </cell>
        </row>
        <row r="1438">
          <cell r="A1438">
            <v>2026</v>
          </cell>
          <cell r="B1438">
            <v>4</v>
          </cell>
          <cell r="C1438">
            <v>46142</v>
          </cell>
          <cell r="D1438" t="str">
            <v>1. SKK store</v>
          </cell>
          <cell r="E1438" t="str">
            <v>S1025</v>
          </cell>
          <cell r="F1438" t="str">
            <v>SKK T6 Time City</v>
          </cell>
          <cell r="G1438" t="str">
            <v>0359111862</v>
          </cell>
          <cell r="H1438" t="str">
            <v>Cô Thúy</v>
          </cell>
          <cell r="I1438" t="str">
            <v>Khách cũ</v>
          </cell>
          <cell r="J1438" t="str">
            <v>Đơn bán</v>
          </cell>
          <cell r="K1438" t="str">
            <v>SAKUKO759791</v>
          </cell>
          <cell r="L1438" t="str">
            <v>THỰC PHẨM</v>
          </cell>
          <cell r="M1438" t="str">
            <v>BÁNH KẸO, ĐỒ ĂN VẶT</v>
          </cell>
          <cell r="N1438" t="str">
            <v>KẸO CAO SU</v>
          </cell>
          <cell r="O1438" t="str">
            <v>153932</v>
          </cell>
          <cell r="P1438" t="str">
            <v>4903333241651</v>
          </cell>
          <cell r="Q1438" t="str">
            <v>LOTTE - Kẹo cao su black black ít đường 133g</v>
          </cell>
          <cell r="R1438">
            <v>235000</v>
          </cell>
          <cell r="S1438">
            <v>1</v>
          </cell>
          <cell r="T1438">
            <v>235000</v>
          </cell>
          <cell r="U1438">
            <v>0</v>
          </cell>
          <cell r="V1438">
            <v>235000</v>
          </cell>
          <cell r="W1438" t="str">
            <v>4903333241651</v>
          </cell>
        </row>
        <row r="1439">
          <cell r="A1439">
            <v>2026</v>
          </cell>
          <cell r="B1439">
            <v>4</v>
          </cell>
          <cell r="C1439">
            <v>46142</v>
          </cell>
          <cell r="D1439" t="str">
            <v>1. SKK store</v>
          </cell>
          <cell r="E1439" t="str">
            <v>S1025</v>
          </cell>
          <cell r="F1439" t="str">
            <v>SKK T6 Time City</v>
          </cell>
          <cell r="G1439" t="str">
            <v>0969666869</v>
          </cell>
          <cell r="H1439" t="str">
            <v>Chị Linh</v>
          </cell>
          <cell r="I1439" t="str">
            <v>Khách cũ</v>
          </cell>
          <cell r="J1439" t="str">
            <v>Đơn bán</v>
          </cell>
          <cell r="K1439" t="str">
            <v>SAKUKO759906</v>
          </cell>
          <cell r="L1439" t="str">
            <v>CHĂM SÓC SẮC ĐẸP</v>
          </cell>
          <cell r="M1439" t="str">
            <v>Mỹ phẩm khác</v>
          </cell>
          <cell r="N1439" t="str">
            <v>PHỤ KIỆN LÀM ĐẸP</v>
          </cell>
          <cell r="O1439" t="str">
            <v>102390</v>
          </cell>
          <cell r="P1439" t="str">
            <v>4906327905980</v>
          </cell>
          <cell r="Q1439" t="str">
            <v>KOMODA - Khăn mặt khô dùng 1 lần 46m 20x20cm</v>
          </cell>
          <cell r="R1439">
            <v>52000</v>
          </cell>
          <cell r="S1439">
            <v>1</v>
          </cell>
          <cell r="T1439">
            <v>52000</v>
          </cell>
          <cell r="U1439">
            <v>0</v>
          </cell>
          <cell r="V1439">
            <v>52000</v>
          </cell>
          <cell r="W1439" t="str">
            <v>4906327905980</v>
          </cell>
        </row>
        <row r="1440">
          <cell r="A1440">
            <v>2026</v>
          </cell>
          <cell r="B1440">
            <v>4</v>
          </cell>
          <cell r="C1440">
            <v>46142</v>
          </cell>
          <cell r="D1440" t="str">
            <v>1. SKK store</v>
          </cell>
          <cell r="E1440" t="str">
            <v>S1025</v>
          </cell>
          <cell r="F1440" t="str">
            <v>SKK T6 Time City</v>
          </cell>
          <cell r="G1440" t="str">
            <v>0989328689</v>
          </cell>
          <cell r="H1440" t="str">
            <v>Chị Hương</v>
          </cell>
          <cell r="I1440" t="str">
            <v>Khách cũ</v>
          </cell>
          <cell r="J1440" t="str">
            <v>Đơn bán</v>
          </cell>
          <cell r="K1440" t="str">
            <v>SAKUKO760562</v>
          </cell>
          <cell r="L1440" t="str">
            <v>ĐỒ CHO MẸ BÉ</v>
          </cell>
          <cell r="M1440" t="str">
            <v>GIẤY ƯỚT</v>
          </cell>
          <cell r="N1440" t="str">
            <v>GIẤY ƯỚT CHO BÉ</v>
          </cell>
          <cell r="O1440" t="str">
            <v>121662</v>
          </cell>
          <cell r="P1440" t="str">
            <v>8934755035036</v>
          </cell>
          <cell r="Q1440" t="str">
            <v>FRESSI- Khăn ướt Care For All 20 miếng</v>
          </cell>
          <cell r="R1440">
            <v>14000</v>
          </cell>
          <cell r="S1440">
            <v>1</v>
          </cell>
          <cell r="T1440">
            <v>14000</v>
          </cell>
          <cell r="U1440">
            <v>0</v>
          </cell>
          <cell r="V1440">
            <v>14000</v>
          </cell>
          <cell r="W1440" t="str">
            <v>8934755035036</v>
          </cell>
        </row>
        <row r="1441">
          <cell r="A1441">
            <v>2026</v>
          </cell>
          <cell r="B1441">
            <v>4</v>
          </cell>
          <cell r="C1441">
            <v>46141</v>
          </cell>
          <cell r="D1441" t="str">
            <v>1. SKK store</v>
          </cell>
          <cell r="E1441" t="str">
            <v>S1004</v>
          </cell>
          <cell r="F1441" t="str">
            <v>SKK  Mandarin C1</v>
          </cell>
          <cell r="G1441" t="str">
            <v>0836363693</v>
          </cell>
          <cell r="H1441" t="str">
            <v>chị minh anh</v>
          </cell>
          <cell r="I1441" t="str">
            <v>Khách cũ</v>
          </cell>
          <cell r="J1441" t="str">
            <v>Đơn bán</v>
          </cell>
          <cell r="K1441" t="str">
            <v>SAKUKO758737</v>
          </cell>
          <cell r="L1441" t="str">
            <v>THỰC PHẨM</v>
          </cell>
          <cell r="M1441" t="str">
            <v>MỲ, MIẾN</v>
          </cell>
          <cell r="N1441" t="str">
            <v>MỲ CHẾ BIẾN</v>
          </cell>
          <cell r="O1441" t="str">
            <v>175435</v>
          </cell>
          <cell r="P1441" t="str">
            <v>4901726014752</v>
          </cell>
          <cell r="Q1441" t="str">
            <v>ITSUKI FOODS- Mì soumen rau củ ngũ sắc320g</v>
          </cell>
          <cell r="R1441">
            <v>76000</v>
          </cell>
          <cell r="S1441">
            <v>1</v>
          </cell>
          <cell r="T1441">
            <v>76000</v>
          </cell>
          <cell r="U1441">
            <v>0</v>
          </cell>
          <cell r="V1441">
            <v>76000</v>
          </cell>
          <cell r="W1441" t="str">
            <v>4901726014752</v>
          </cell>
        </row>
        <row r="1442">
          <cell r="A1442">
            <v>2026</v>
          </cell>
          <cell r="B1442">
            <v>4</v>
          </cell>
          <cell r="C1442">
            <v>46141</v>
          </cell>
          <cell r="D1442" t="str">
            <v>1. SKK store</v>
          </cell>
          <cell r="E1442" t="str">
            <v>S1004</v>
          </cell>
          <cell r="F1442" t="str">
            <v>SKK  Mandarin C1</v>
          </cell>
          <cell r="G1442" t="str">
            <v>0904357984</v>
          </cell>
          <cell r="H1442" t="str">
            <v>Chị Ngân 201 29t2</v>
          </cell>
          <cell r="I1442" t="str">
            <v>Khách cũ</v>
          </cell>
          <cell r="J1442" t="str">
            <v>Đơn bán</v>
          </cell>
          <cell r="K1442" t="str">
            <v>SAKUKO759131</v>
          </cell>
          <cell r="L1442" t="str">
            <v>THỰC PHẨM</v>
          </cell>
          <cell r="M1442" t="str">
            <v>MỲ, MIẾN</v>
          </cell>
          <cell r="N1442" t="str">
            <v>MỲ ĂN LIỀN</v>
          </cell>
          <cell r="O1442" t="str">
            <v>154359</v>
          </cell>
          <cell r="P1442" t="str">
            <v>4979397000138</v>
          </cell>
          <cell r="Q1442" t="str">
            <v>YAMAMOTO- Mì ramen ăn liền hải sản thịt heo 88g*5</v>
          </cell>
          <cell r="R1442">
            <v>99000</v>
          </cell>
          <cell r="S1442">
            <v>1</v>
          </cell>
          <cell r="T1442">
            <v>99000</v>
          </cell>
          <cell r="U1442">
            <v>0</v>
          </cell>
          <cell r="V1442">
            <v>99000</v>
          </cell>
          <cell r="W1442" t="str">
            <v>4979397000138</v>
          </cell>
        </row>
        <row r="1443">
          <cell r="A1443">
            <v>2026</v>
          </cell>
          <cell r="B1443">
            <v>4</v>
          </cell>
          <cell r="C1443">
            <v>46141</v>
          </cell>
          <cell r="D1443" t="str">
            <v>1. SKK store</v>
          </cell>
          <cell r="E1443" t="str">
            <v>S1005</v>
          </cell>
          <cell r="F1443" t="str">
            <v>SKK  Thái Hà</v>
          </cell>
          <cell r="G1443" t="str">
            <v>0969200769</v>
          </cell>
          <cell r="H1443" t="str">
            <v>Anh Lương</v>
          </cell>
          <cell r="I1443" t="str">
            <v>Khách mới</v>
          </cell>
          <cell r="J1443" t="str">
            <v>Đơn bán</v>
          </cell>
          <cell r="K1443" t="str">
            <v>SAKUKO758773</v>
          </cell>
          <cell r="L1443" t="str">
            <v>THỰC PHẨM</v>
          </cell>
          <cell r="M1443" t="str">
            <v>BÁNH KẸO, ĐỒ ĂN VẶT</v>
          </cell>
          <cell r="N1443" t="str">
            <v>KẸO</v>
          </cell>
          <cell r="O1443" t="str">
            <v>231377</v>
          </cell>
          <cell r="P1443" t="str">
            <v>4903333200375</v>
          </cell>
          <cell r="Q1443" t="str">
            <v>LOTTE-Kẹo cao su tổng hợp dạng lọ 114g</v>
          </cell>
          <cell r="R1443">
            <v>235000</v>
          </cell>
          <cell r="S1443">
            <v>1</v>
          </cell>
          <cell r="T1443">
            <v>235000</v>
          </cell>
          <cell r="U1443">
            <v>0</v>
          </cell>
          <cell r="V1443">
            <v>235000</v>
          </cell>
          <cell r="W1443" t="str">
            <v>4903333200375</v>
          </cell>
        </row>
        <row r="1444">
          <cell r="A1444">
            <v>2026</v>
          </cell>
          <cell r="B1444">
            <v>4</v>
          </cell>
          <cell r="C1444">
            <v>46141</v>
          </cell>
          <cell r="D1444" t="str">
            <v>1. SKK store</v>
          </cell>
          <cell r="E1444" t="str">
            <v>S1005</v>
          </cell>
          <cell r="F1444" t="str">
            <v>SKK  Thái Hà</v>
          </cell>
          <cell r="G1444" t="str">
            <v>0976652055</v>
          </cell>
          <cell r="H1444" t="str">
            <v>cô Hiền</v>
          </cell>
          <cell r="I1444" t="str">
            <v>Khách cũ</v>
          </cell>
          <cell r="J1444" t="str">
            <v>Đơn bán</v>
          </cell>
          <cell r="K1444" t="str">
            <v>SAKUKO758583</v>
          </cell>
          <cell r="L1444" t="str">
            <v>THỰC PHẨM</v>
          </cell>
          <cell r="M1444" t="str">
            <v>MỲ, MIẾN</v>
          </cell>
          <cell r="N1444" t="str">
            <v>MỲ ĂN LIỀN</v>
          </cell>
          <cell r="O1444" t="str">
            <v>154359</v>
          </cell>
          <cell r="P1444" t="str">
            <v>4979397000138</v>
          </cell>
          <cell r="Q1444" t="str">
            <v>YAMAMOTO- Mì ramen ăn liền hải sản thịt heo 88g*5</v>
          </cell>
          <cell r="R1444">
            <v>54450</v>
          </cell>
          <cell r="S1444">
            <v>1</v>
          </cell>
          <cell r="T1444">
            <v>54450</v>
          </cell>
          <cell r="U1444">
            <v>0</v>
          </cell>
          <cell r="V1444">
            <v>54450</v>
          </cell>
          <cell r="W1444" t="str">
            <v>4979397000138</v>
          </cell>
        </row>
        <row r="1445">
          <cell r="A1445">
            <v>2026</v>
          </cell>
          <cell r="B1445">
            <v>4</v>
          </cell>
          <cell r="C1445">
            <v>46141</v>
          </cell>
          <cell r="D1445" t="str">
            <v>1. SKK store</v>
          </cell>
          <cell r="E1445" t="str">
            <v>S1006</v>
          </cell>
          <cell r="F1445" t="str">
            <v>SKK Trần Đăng Ninh</v>
          </cell>
          <cell r="G1445" t="str">
            <v>0912191279</v>
          </cell>
          <cell r="H1445" t="str">
            <v>anh tiến</v>
          </cell>
          <cell r="I1445" t="str">
            <v>Khách cũ</v>
          </cell>
          <cell r="J1445" t="str">
            <v>Đơn bán</v>
          </cell>
          <cell r="K1445" t="str">
            <v>SAKUKO758941</v>
          </cell>
          <cell r="L1445" t="str">
            <v>CHĂM SÓC SẮC ĐẸP</v>
          </cell>
          <cell r="M1445" t="str">
            <v>CHĂM SÓC DA</v>
          </cell>
          <cell r="N1445" t="str">
            <v>RỬA MẶT</v>
          </cell>
          <cell r="O1445" t="str">
            <v>102386</v>
          </cell>
          <cell r="P1445" t="str">
            <v>4902468816062</v>
          </cell>
          <cell r="Q1445" t="str">
            <v>MEISHOKU- Sữa rửa mặt sáng da Cvita 100g</v>
          </cell>
          <cell r="R1445">
            <v>290000</v>
          </cell>
          <cell r="S1445">
            <v>1</v>
          </cell>
          <cell r="T1445">
            <v>290000</v>
          </cell>
          <cell r="U1445">
            <v>0</v>
          </cell>
          <cell r="V1445">
            <v>290000</v>
          </cell>
          <cell r="W1445" t="str">
            <v>4902468816062</v>
          </cell>
        </row>
        <row r="1446">
          <cell r="A1446">
            <v>2026</v>
          </cell>
          <cell r="B1446">
            <v>4</v>
          </cell>
          <cell r="C1446">
            <v>46141</v>
          </cell>
          <cell r="D1446" t="str">
            <v>1. SKK store</v>
          </cell>
          <cell r="E1446" t="str">
            <v>S1006</v>
          </cell>
          <cell r="F1446" t="str">
            <v>SKK Trần Đăng Ninh</v>
          </cell>
          <cell r="G1446" t="str">
            <v>0962380119</v>
          </cell>
          <cell r="H1446" t="str">
            <v>Chị Hường</v>
          </cell>
          <cell r="I1446" t="str">
            <v>Khách mới</v>
          </cell>
          <cell r="J1446" t="str">
            <v>Đơn bán</v>
          </cell>
          <cell r="K1446" t="str">
            <v>SAKUKO758297</v>
          </cell>
          <cell r="L1446" t="str">
            <v>THỰC PHẨM</v>
          </cell>
          <cell r="M1446" t="str">
            <v>BÁNH KẸO, ĐỒ ĂN VẶT</v>
          </cell>
          <cell r="N1446" t="str">
            <v>KẸO CAO SU</v>
          </cell>
          <cell r="O1446" t="str">
            <v>153932</v>
          </cell>
          <cell r="P1446" t="str">
            <v>4903333241651</v>
          </cell>
          <cell r="Q1446" t="str">
            <v>LOTTE - Kẹo cao su black black ít đường 133g</v>
          </cell>
          <cell r="R1446">
            <v>235000</v>
          </cell>
          <cell r="S1446">
            <v>1</v>
          </cell>
          <cell r="T1446">
            <v>235000</v>
          </cell>
          <cell r="U1446">
            <v>0</v>
          </cell>
          <cell r="V1446">
            <v>235000</v>
          </cell>
          <cell r="W1446" t="str">
            <v>4903333241651</v>
          </cell>
        </row>
        <row r="1447">
          <cell r="A1447">
            <v>2026</v>
          </cell>
          <cell r="B1447">
            <v>4</v>
          </cell>
          <cell r="C1447">
            <v>46141</v>
          </cell>
          <cell r="D1447" t="str">
            <v>1. SKK store</v>
          </cell>
          <cell r="E1447" t="str">
            <v>S1006</v>
          </cell>
          <cell r="F1447" t="str">
            <v>SKK Trần Đăng Ninh</v>
          </cell>
          <cell r="G1447" t="str">
            <v>0973588865</v>
          </cell>
          <cell r="H1447" t="str">
            <v>Chị Đinh Thị Phương Lâm</v>
          </cell>
          <cell r="I1447" t="str">
            <v>Khách cũ</v>
          </cell>
          <cell r="J1447" t="str">
            <v>Đơn bán</v>
          </cell>
          <cell r="K1447" t="str">
            <v>SAKUKO758112</v>
          </cell>
          <cell r="L1447" t="str">
            <v>CHĂM SÓC SẮC ĐẸP</v>
          </cell>
          <cell r="M1447" t="str">
            <v>CHĂM SÓC DA</v>
          </cell>
          <cell r="N1447" t="str">
            <v>RỬA MẶT</v>
          </cell>
          <cell r="O1447" t="str">
            <v>230269</v>
          </cell>
          <cell r="P1447" t="str">
            <v>4987241173242</v>
          </cell>
          <cell r="Q1447" t="str">
            <v>ROHTO- SRM Melano CC mờ thâm nám (130g)</v>
          </cell>
          <cell r="R1447">
            <v>294000</v>
          </cell>
          <cell r="S1447">
            <v>1</v>
          </cell>
          <cell r="T1447">
            <v>294000</v>
          </cell>
          <cell r="U1447">
            <v>0</v>
          </cell>
          <cell r="V1447">
            <v>294000</v>
          </cell>
          <cell r="W1447" t="str">
            <v>4987241173242</v>
          </cell>
        </row>
        <row r="1448">
          <cell r="A1448">
            <v>2026</v>
          </cell>
          <cell r="B1448">
            <v>4</v>
          </cell>
          <cell r="C1448">
            <v>46141</v>
          </cell>
          <cell r="D1448" t="str">
            <v>1. SKK store</v>
          </cell>
          <cell r="E1448" t="str">
            <v>S1007</v>
          </cell>
          <cell r="F1448" t="str">
            <v>SKK  Nguyễn Du</v>
          </cell>
          <cell r="G1448" t="str">
            <v>0964336393</v>
          </cell>
          <cell r="H1448" t="str">
            <v>Chú Nguyễn Văn Hưng</v>
          </cell>
          <cell r="I1448" t="str">
            <v>Khách cũ</v>
          </cell>
          <cell r="J1448" t="str">
            <v>Đơn bán</v>
          </cell>
          <cell r="K1448" t="str">
            <v>SAKUKO758218</v>
          </cell>
          <cell r="L1448" t="str">
            <v>THỰC PHẨM</v>
          </cell>
          <cell r="M1448" t="str">
            <v>MỲ, MIẾN</v>
          </cell>
          <cell r="N1448" t="str">
            <v>MỲ ĂN LIỀN</v>
          </cell>
          <cell r="O1448" t="str">
            <v>154359</v>
          </cell>
          <cell r="P1448" t="str">
            <v>4979397000138</v>
          </cell>
          <cell r="Q1448" t="str">
            <v>YAMAMOTO- Mì ramen ăn liền hải sản thịt heo 88g*5</v>
          </cell>
          <cell r="R1448">
            <v>54450</v>
          </cell>
          <cell r="S1448">
            <v>4</v>
          </cell>
          <cell r="T1448">
            <v>217800</v>
          </cell>
          <cell r="U1448">
            <v>0</v>
          </cell>
          <cell r="V1448">
            <v>217800</v>
          </cell>
          <cell r="W1448" t="str">
            <v>4979397000138</v>
          </cell>
        </row>
        <row r="1449">
          <cell r="A1449">
            <v>2026</v>
          </cell>
          <cell r="B1449">
            <v>4</v>
          </cell>
          <cell r="C1449">
            <v>46141</v>
          </cell>
          <cell r="D1449" t="str">
            <v>1. SKK store</v>
          </cell>
          <cell r="E1449" t="str">
            <v>S1007</v>
          </cell>
          <cell r="F1449" t="str">
            <v>SKK  Nguyễn Du</v>
          </cell>
          <cell r="G1449" t="str">
            <v>0964336393</v>
          </cell>
          <cell r="H1449" t="str">
            <v>Chú Nguyễn Văn Hưng</v>
          </cell>
          <cell r="I1449" t="str">
            <v>Khách cũ</v>
          </cell>
          <cell r="J1449" t="str">
            <v>Đơn bán</v>
          </cell>
          <cell r="K1449" t="str">
            <v>SAKUKO758218</v>
          </cell>
          <cell r="L1449" t="str">
            <v>THỰC PHẨM</v>
          </cell>
          <cell r="M1449" t="str">
            <v>MỲ, MIẾN</v>
          </cell>
          <cell r="N1449" t="str">
            <v>MỲ CHẾ BIẾN</v>
          </cell>
          <cell r="O1449" t="str">
            <v>154251</v>
          </cell>
          <cell r="P1449" t="str">
            <v>4560159440776</v>
          </cell>
          <cell r="Q1449" t="str">
            <v>SATO_Mì soba khô 800g</v>
          </cell>
          <cell r="R1449">
            <v>104000</v>
          </cell>
          <cell r="S1449">
            <v>2</v>
          </cell>
          <cell r="T1449">
            <v>208000</v>
          </cell>
          <cell r="U1449">
            <v>0</v>
          </cell>
          <cell r="V1449">
            <v>208000</v>
          </cell>
          <cell r="W1449" t="str">
            <v>4560159440776</v>
          </cell>
        </row>
        <row r="1450">
          <cell r="A1450">
            <v>2026</v>
          </cell>
          <cell r="B1450">
            <v>4</v>
          </cell>
          <cell r="C1450">
            <v>46141</v>
          </cell>
          <cell r="D1450" t="str">
            <v>1. SKK store</v>
          </cell>
          <cell r="E1450" t="str">
            <v>S1008</v>
          </cell>
          <cell r="F1450" t="str">
            <v>SKK  Hàng Bông</v>
          </cell>
          <cell r="G1450" t="str">
            <v>02466810202</v>
          </cell>
          <cell r="H1450" t="str">
            <v>KH Tây</v>
          </cell>
          <cell r="I1450" t="str">
            <v>Khách vãng lai</v>
          </cell>
          <cell r="J1450" t="str">
            <v>Đơn bán</v>
          </cell>
          <cell r="K1450" t="str">
            <v>SAKUKO758789</v>
          </cell>
          <cell r="L1450" t="str">
            <v>THỰC PHẨM</v>
          </cell>
          <cell r="M1450" t="str">
            <v>BÁNH KẸO, ĐỒ ĂN VẶT</v>
          </cell>
          <cell r="N1450" t="str">
            <v>KẸO CAO SU</v>
          </cell>
          <cell r="O1450" t="str">
            <v>153932</v>
          </cell>
          <cell r="P1450" t="str">
            <v>4903333241651</v>
          </cell>
          <cell r="Q1450" t="str">
            <v>LOTTE - Kẹo cao su black black ít đường 133g</v>
          </cell>
          <cell r="R1450">
            <v>235000</v>
          </cell>
          <cell r="S1450">
            <v>1</v>
          </cell>
          <cell r="T1450">
            <v>235000</v>
          </cell>
          <cell r="U1450">
            <v>0</v>
          </cell>
          <cell r="V1450">
            <v>235000</v>
          </cell>
          <cell r="W1450" t="str">
            <v>4903333241651</v>
          </cell>
        </row>
        <row r="1451">
          <cell r="A1451">
            <v>2026</v>
          </cell>
          <cell r="B1451">
            <v>4</v>
          </cell>
          <cell r="C1451">
            <v>46141</v>
          </cell>
          <cell r="D1451" t="str">
            <v>1. SKK store</v>
          </cell>
          <cell r="E1451" t="str">
            <v>S1008</v>
          </cell>
          <cell r="F1451" t="str">
            <v>SKK  Hàng Bông</v>
          </cell>
          <cell r="G1451" t="str">
            <v>0862947989</v>
          </cell>
          <cell r="H1451" t="str">
            <v>KLHB</v>
          </cell>
          <cell r="I1451" t="str">
            <v>Khách vãng lai</v>
          </cell>
          <cell r="J1451" t="str">
            <v>Đơn bán</v>
          </cell>
          <cell r="K1451" t="str">
            <v>SAKUKO758411</v>
          </cell>
          <cell r="L1451" t="str">
            <v>THỰC PHẨM</v>
          </cell>
          <cell r="M1451" t="str">
            <v>BÁNH KẸO, ĐỒ ĂN VẶT</v>
          </cell>
          <cell r="N1451" t="str">
            <v>KẸO</v>
          </cell>
          <cell r="O1451" t="str">
            <v>231377</v>
          </cell>
          <cell r="P1451" t="str">
            <v>4903333200375</v>
          </cell>
          <cell r="Q1451" t="str">
            <v>LOTTE-Kẹo cao su tổng hợp dạng lọ 114g</v>
          </cell>
          <cell r="R1451">
            <v>235000</v>
          </cell>
          <cell r="S1451">
            <v>1</v>
          </cell>
          <cell r="T1451">
            <v>235000</v>
          </cell>
          <cell r="U1451">
            <v>0</v>
          </cell>
          <cell r="V1451">
            <v>235000</v>
          </cell>
          <cell r="W1451" t="str">
            <v>4903333200375</v>
          </cell>
        </row>
        <row r="1452">
          <cell r="A1452">
            <v>2026</v>
          </cell>
          <cell r="B1452">
            <v>4</v>
          </cell>
          <cell r="C1452">
            <v>46141</v>
          </cell>
          <cell r="D1452" t="str">
            <v>1. SKK store</v>
          </cell>
          <cell r="E1452" t="str">
            <v>S1008</v>
          </cell>
          <cell r="F1452" t="str">
            <v>SKK  Hàng Bông</v>
          </cell>
          <cell r="G1452" t="str">
            <v>0975669914</v>
          </cell>
          <cell r="H1452" t="str">
            <v>Chị Đinh Thị Hoa Hậu</v>
          </cell>
          <cell r="I1452" t="str">
            <v>Khách cũ</v>
          </cell>
          <cell r="J1452" t="str">
            <v>Đơn bán</v>
          </cell>
          <cell r="K1452" t="str">
            <v>SAKUKO758704</v>
          </cell>
          <cell r="L1452" t="str">
            <v>NHÀ CỬA ĐỜI SỐNG</v>
          </cell>
          <cell r="M1452" t="str">
            <v>ĐỒ DÙNG SINH HOẠT GIA ĐÌNH</v>
          </cell>
          <cell r="N1452" t="str">
            <v>VẬT DỤNG SINH HOẠT KHÁC</v>
          </cell>
          <cell r="O1452" t="str">
            <v>135039</v>
          </cell>
          <cell r="P1452" t="str">
            <v>4968988074993</v>
          </cell>
          <cell r="Q1452" t="str">
            <v>OMAICHI- Set 2 lọ chiết mỹ phẩm 40ml kèm hộp đựng</v>
          </cell>
          <cell r="R1452">
            <v>52000</v>
          </cell>
          <cell r="S1452">
            <v>1</v>
          </cell>
          <cell r="T1452">
            <v>52000</v>
          </cell>
          <cell r="U1452">
            <v>0</v>
          </cell>
          <cell r="V1452">
            <v>52000</v>
          </cell>
          <cell r="W1452" t="str">
            <v>4968988074993</v>
          </cell>
        </row>
        <row r="1453">
          <cell r="A1453">
            <v>2026</v>
          </cell>
          <cell r="B1453">
            <v>4</v>
          </cell>
          <cell r="C1453">
            <v>46141</v>
          </cell>
          <cell r="D1453" t="str">
            <v>1. SKK store</v>
          </cell>
          <cell r="E1453" t="str">
            <v>S1008</v>
          </cell>
          <cell r="F1453" t="str">
            <v>SKK  Hàng Bông</v>
          </cell>
          <cell r="G1453" t="str">
            <v>0983227891</v>
          </cell>
          <cell r="H1453" t="str">
            <v>CO HA</v>
          </cell>
          <cell r="I1453" t="str">
            <v>Khách cũ</v>
          </cell>
          <cell r="J1453" t="str">
            <v>Đơn bán</v>
          </cell>
          <cell r="K1453" t="str">
            <v>SAKUKO758540</v>
          </cell>
          <cell r="L1453" t="str">
            <v>CHĂM SÓC SẮC ĐẸP</v>
          </cell>
          <cell r="M1453" t="str">
            <v>Mỹ phẩm khác</v>
          </cell>
          <cell r="N1453" t="str">
            <v>PHỤ KIỆN LÀM ĐẸP</v>
          </cell>
          <cell r="O1453" t="str">
            <v>102391</v>
          </cell>
          <cell r="P1453" t="str">
            <v>4991203205759</v>
          </cell>
          <cell r="Q1453" t="str">
            <v>ECHO - Khăn mặt dạng nén 20v size 26x16cm</v>
          </cell>
          <cell r="R1453">
            <v>45000</v>
          </cell>
          <cell r="S1453">
            <v>1</v>
          </cell>
          <cell r="T1453">
            <v>45000</v>
          </cell>
          <cell r="U1453">
            <v>0</v>
          </cell>
          <cell r="V1453">
            <v>45000</v>
          </cell>
          <cell r="W1453" t="str">
            <v>4991203205759</v>
          </cell>
        </row>
        <row r="1454">
          <cell r="A1454">
            <v>2026</v>
          </cell>
          <cell r="B1454">
            <v>4</v>
          </cell>
          <cell r="C1454">
            <v>46141</v>
          </cell>
          <cell r="D1454" t="str">
            <v>1. SKK store</v>
          </cell>
          <cell r="E1454" t="str">
            <v>S1015</v>
          </cell>
          <cell r="F1454" t="str">
            <v>SKK Hàm Nghi</v>
          </cell>
          <cell r="G1454" t="str">
            <v>0386378222</v>
          </cell>
          <cell r="H1454" t="str">
            <v>Cô Lê Kim Tân</v>
          </cell>
          <cell r="I1454" t="str">
            <v>Khách cũ</v>
          </cell>
          <cell r="J1454" t="str">
            <v>Đơn bán</v>
          </cell>
          <cell r="K1454" t="str">
            <v>SAKUKO758268</v>
          </cell>
          <cell r="L1454" t="str">
            <v>THỰC PHẨM</v>
          </cell>
          <cell r="M1454" t="str">
            <v>MỲ, MIẾN</v>
          </cell>
          <cell r="N1454" t="str">
            <v>MỲ CHẾ BIẾN</v>
          </cell>
          <cell r="O1454" t="str">
            <v>174948</v>
          </cell>
          <cell r="P1454" t="str">
            <v>4582114354119</v>
          </cell>
          <cell r="Q1454" t="str">
            <v>SANUKISHISEI- Mì soumen 300g</v>
          </cell>
          <cell r="R1454">
            <v>35000</v>
          </cell>
          <cell r="S1454">
            <v>2</v>
          </cell>
          <cell r="T1454">
            <v>70000</v>
          </cell>
          <cell r="U1454">
            <v>0</v>
          </cell>
          <cell r="V1454">
            <v>70000</v>
          </cell>
          <cell r="W1454" t="str">
            <v>4582114354119</v>
          </cell>
        </row>
        <row r="1455">
          <cell r="A1455">
            <v>2026</v>
          </cell>
          <cell r="B1455">
            <v>4</v>
          </cell>
          <cell r="C1455">
            <v>46141</v>
          </cell>
          <cell r="D1455" t="str">
            <v>1. SKK store</v>
          </cell>
          <cell r="E1455" t="str">
            <v>S1015</v>
          </cell>
          <cell r="F1455" t="str">
            <v>SKK Hàm Nghi</v>
          </cell>
          <cell r="G1455" t="str">
            <v>0904518552</v>
          </cell>
          <cell r="H1455" t="str">
            <v>Cô Huỳnh Thị Hồng</v>
          </cell>
          <cell r="I1455" t="str">
            <v>Khách cũ</v>
          </cell>
          <cell r="J1455" t="str">
            <v>Đơn bán</v>
          </cell>
          <cell r="K1455" t="str">
            <v>SAKUKO759109</v>
          </cell>
          <cell r="L1455" t="str">
            <v>THỰC PHẨM</v>
          </cell>
          <cell r="M1455" t="str">
            <v>BÁNH KẸO, ĐỒ ĂN VẶT</v>
          </cell>
          <cell r="N1455" t="str">
            <v>KẸO CAO SU</v>
          </cell>
          <cell r="O1455" t="str">
            <v>154105</v>
          </cell>
          <cell r="P1455" t="str">
            <v>4547894156612</v>
          </cell>
          <cell r="Q1455" t="str">
            <v>MONDELEZ JAPAN - Kẹo cao su 112g</v>
          </cell>
          <cell r="R1455">
            <v>235000</v>
          </cell>
          <cell r="S1455">
            <v>1</v>
          </cell>
          <cell r="T1455">
            <v>235000</v>
          </cell>
          <cell r="U1455">
            <v>0</v>
          </cell>
          <cell r="V1455">
            <v>235000</v>
          </cell>
          <cell r="W1455" t="str">
            <v>4547894156612</v>
          </cell>
        </row>
        <row r="1456">
          <cell r="A1456">
            <v>2026</v>
          </cell>
          <cell r="B1456">
            <v>4</v>
          </cell>
          <cell r="C1456">
            <v>46141</v>
          </cell>
          <cell r="D1456" t="str">
            <v>1. SKK store</v>
          </cell>
          <cell r="E1456" t="str">
            <v>S1015</v>
          </cell>
          <cell r="F1456" t="str">
            <v>SKK Hàm Nghi</v>
          </cell>
          <cell r="G1456" t="str">
            <v>0936499666</v>
          </cell>
          <cell r="H1456" t="str">
            <v>Cô Đặng Thị Cúc</v>
          </cell>
          <cell r="I1456" t="str">
            <v>Khách cũ</v>
          </cell>
          <cell r="J1456" t="str">
            <v>Đơn bán</v>
          </cell>
          <cell r="K1456" t="str">
            <v>SAKUKO758782</v>
          </cell>
          <cell r="L1456" t="str">
            <v>THỰC PHẨM</v>
          </cell>
          <cell r="M1456" t="str">
            <v>BÁNH KẸO, ĐỒ ĂN VẶT</v>
          </cell>
          <cell r="N1456" t="str">
            <v>KẸO</v>
          </cell>
          <cell r="O1456" t="str">
            <v>231376</v>
          </cell>
          <cell r="P1456" t="str">
            <v>4903333228577</v>
          </cell>
          <cell r="Q1456" t="str">
            <v>LOTTE-Kẹo cao su tổng hợp 7 loại dạng lọ 133g</v>
          </cell>
          <cell r="R1456">
            <v>235000</v>
          </cell>
          <cell r="S1456">
            <v>1</v>
          </cell>
          <cell r="T1456">
            <v>235000</v>
          </cell>
          <cell r="U1456">
            <v>0</v>
          </cell>
          <cell r="V1456">
            <v>235000</v>
          </cell>
          <cell r="W1456" t="str">
            <v>4903333228577</v>
          </cell>
        </row>
        <row r="1457">
          <cell r="A1457">
            <v>2026</v>
          </cell>
          <cell r="B1457">
            <v>4</v>
          </cell>
          <cell r="C1457">
            <v>46141</v>
          </cell>
          <cell r="D1457" t="str">
            <v>1. SKK store</v>
          </cell>
          <cell r="E1457" t="str">
            <v>S1015</v>
          </cell>
          <cell r="F1457" t="str">
            <v>SKK Hàm Nghi</v>
          </cell>
          <cell r="G1457" t="str">
            <v>0988601683</v>
          </cell>
          <cell r="H1457" t="str">
            <v>CÔ LIÊN</v>
          </cell>
          <cell r="I1457" t="str">
            <v>Khách cũ</v>
          </cell>
          <cell r="J1457" t="str">
            <v>Đơn bán</v>
          </cell>
          <cell r="K1457" t="str">
            <v>SAKUKO758287</v>
          </cell>
          <cell r="L1457" t="str">
            <v>THỰC PHẨM</v>
          </cell>
          <cell r="M1457" t="str">
            <v>BÁNH KẸO, ĐỒ ĂN VẶT</v>
          </cell>
          <cell r="N1457" t="str">
            <v>KẸO</v>
          </cell>
          <cell r="O1457" t="str">
            <v>231376</v>
          </cell>
          <cell r="P1457" t="str">
            <v>4903333228577</v>
          </cell>
          <cell r="Q1457" t="str">
            <v>LOTTE-Kẹo cao su tổng hợp 7 loại dạng lọ 133g</v>
          </cell>
          <cell r="R1457">
            <v>235000</v>
          </cell>
          <cell r="S1457">
            <v>1</v>
          </cell>
          <cell r="T1457">
            <v>235000</v>
          </cell>
          <cell r="U1457">
            <v>0</v>
          </cell>
          <cell r="V1457">
            <v>235000</v>
          </cell>
          <cell r="W1457" t="str">
            <v>4903333228577</v>
          </cell>
        </row>
        <row r="1458">
          <cell r="A1458">
            <v>2026</v>
          </cell>
          <cell r="B1458">
            <v>4</v>
          </cell>
          <cell r="C1458">
            <v>46141</v>
          </cell>
          <cell r="D1458" t="str">
            <v>1. SKK store</v>
          </cell>
          <cell r="E1458" t="str">
            <v>S1018</v>
          </cell>
          <cell r="F1458" t="str">
            <v>SKK Nguyễn Tuân</v>
          </cell>
          <cell r="G1458" t="str">
            <v>0916710458</v>
          </cell>
          <cell r="H1458" t="str">
            <v>c yến</v>
          </cell>
          <cell r="I1458" t="str">
            <v>Khách cũ</v>
          </cell>
          <cell r="J1458" t="str">
            <v>Đơn bán</v>
          </cell>
          <cell r="K1458" t="str">
            <v>SAKUKO758588</v>
          </cell>
          <cell r="L1458" t="str">
            <v>CHĂM SÓC SẮC ĐẸP</v>
          </cell>
          <cell r="M1458" t="str">
            <v>CHĂM SÓC DA</v>
          </cell>
          <cell r="N1458" t="str">
            <v>RỬA MẶT</v>
          </cell>
          <cell r="O1458" t="str">
            <v>230269</v>
          </cell>
          <cell r="P1458" t="str">
            <v>4987241173242</v>
          </cell>
          <cell r="Q1458" t="str">
            <v>ROHTO- SRM Melano CC mờ thâm nám (130g)</v>
          </cell>
          <cell r="R1458">
            <v>294000</v>
          </cell>
          <cell r="S1458">
            <v>1</v>
          </cell>
          <cell r="T1458">
            <v>294000</v>
          </cell>
          <cell r="U1458">
            <v>0</v>
          </cell>
          <cell r="V1458">
            <v>294000</v>
          </cell>
          <cell r="W1458" t="str">
            <v>4987241173242</v>
          </cell>
        </row>
        <row r="1459">
          <cell r="A1459">
            <v>2026</v>
          </cell>
          <cell r="B1459">
            <v>4</v>
          </cell>
          <cell r="C1459">
            <v>46140</v>
          </cell>
          <cell r="D1459" t="str">
            <v>1. SKK store</v>
          </cell>
          <cell r="E1459" t="str">
            <v>S1004</v>
          </cell>
          <cell r="F1459" t="str">
            <v>SKK  Mandarin C1</v>
          </cell>
          <cell r="G1459" t="str">
            <v>0903211661</v>
          </cell>
          <cell r="H1459" t="str">
            <v>Nguyễn Lộc</v>
          </cell>
          <cell r="I1459" t="str">
            <v>Khách cũ</v>
          </cell>
          <cell r="J1459" t="str">
            <v>Đơn bán</v>
          </cell>
          <cell r="K1459" t="str">
            <v>SAKUKO757725</v>
          </cell>
          <cell r="L1459" t="str">
            <v>THỰC PHẨM</v>
          </cell>
          <cell r="M1459" t="str">
            <v>BÁNH KẸO, ĐỒ ĂN VẶT</v>
          </cell>
          <cell r="N1459" t="str">
            <v>KẸO CAO SU</v>
          </cell>
          <cell r="O1459" t="str">
            <v>153932</v>
          </cell>
          <cell r="P1459" t="str">
            <v>4903333241651</v>
          </cell>
          <cell r="Q1459" t="str">
            <v>LOTTE - Kẹo cao su black black ít đường 133g</v>
          </cell>
          <cell r="R1459">
            <v>235000</v>
          </cell>
          <cell r="S1459">
            <v>2</v>
          </cell>
          <cell r="T1459">
            <v>470000</v>
          </cell>
          <cell r="U1459">
            <v>0</v>
          </cell>
          <cell r="V1459">
            <v>470000</v>
          </cell>
          <cell r="W1459" t="str">
            <v>4903333241651</v>
          </cell>
        </row>
        <row r="1460">
          <cell r="A1460">
            <v>2026</v>
          </cell>
          <cell r="B1460">
            <v>4</v>
          </cell>
          <cell r="C1460">
            <v>46140</v>
          </cell>
          <cell r="D1460" t="str">
            <v>1. SKK store</v>
          </cell>
          <cell r="E1460" t="str">
            <v>S1004</v>
          </cell>
          <cell r="F1460" t="str">
            <v>SKK  Mandarin C1</v>
          </cell>
          <cell r="G1460" t="str">
            <v>0906246123</v>
          </cell>
          <cell r="H1460" t="str">
            <v>Chị Trang</v>
          </cell>
          <cell r="I1460" t="str">
            <v>Khách cũ</v>
          </cell>
          <cell r="J1460" t="str">
            <v>Đơn bán</v>
          </cell>
          <cell r="K1460" t="str">
            <v>SAKUKO757751</v>
          </cell>
          <cell r="L1460" t="str">
            <v>ĐỒ CHO MẸ BÉ</v>
          </cell>
          <cell r="M1460" t="str">
            <v>GIẤY ƯỚT</v>
          </cell>
          <cell r="N1460" t="str">
            <v>GIẤY ƯỚT CHO BÉ</v>
          </cell>
          <cell r="O1460" t="str">
            <v>121663</v>
          </cell>
          <cell r="P1460" t="str">
            <v>8934755035197</v>
          </cell>
          <cell r="Q1460" t="str">
            <v>FRESSI- Khăn ướt Care For All 100 miếng</v>
          </cell>
          <cell r="R1460">
            <v>49000</v>
          </cell>
          <cell r="S1460">
            <v>1</v>
          </cell>
          <cell r="T1460">
            <v>49000</v>
          </cell>
          <cell r="U1460">
            <v>0</v>
          </cell>
          <cell r="V1460">
            <v>49000</v>
          </cell>
          <cell r="W1460" t="str">
            <v>8934755035197</v>
          </cell>
        </row>
        <row r="1461">
          <cell r="A1461">
            <v>2026</v>
          </cell>
          <cell r="B1461">
            <v>4</v>
          </cell>
          <cell r="C1461">
            <v>46140</v>
          </cell>
          <cell r="D1461" t="str">
            <v>1. SKK store</v>
          </cell>
          <cell r="E1461" t="str">
            <v>S1004</v>
          </cell>
          <cell r="F1461" t="str">
            <v>SKK  Mandarin C1</v>
          </cell>
          <cell r="G1461" t="str">
            <v>0972920999</v>
          </cell>
          <cell r="H1461" t="str">
            <v>C TRAM</v>
          </cell>
          <cell r="I1461" t="str">
            <v>Khách cũ</v>
          </cell>
          <cell r="J1461" t="str">
            <v>Đơn bán</v>
          </cell>
          <cell r="K1461" t="str">
            <v>SAKUKO757098</v>
          </cell>
          <cell r="L1461" t="str">
            <v>THỰC PHẨM</v>
          </cell>
          <cell r="M1461" t="str">
            <v>MỲ, MIẾN</v>
          </cell>
          <cell r="N1461" t="str">
            <v>MỲ ĂN LIỀN</v>
          </cell>
          <cell r="O1461" t="str">
            <v>154359</v>
          </cell>
          <cell r="P1461" t="str">
            <v>4979397000138</v>
          </cell>
          <cell r="Q1461" t="str">
            <v>YAMAMOTO- Mì ramen ăn liền hải sản thịt heo 88g*5</v>
          </cell>
          <cell r="R1461">
            <v>99000</v>
          </cell>
          <cell r="S1461">
            <v>3</v>
          </cell>
          <cell r="T1461">
            <v>297000</v>
          </cell>
          <cell r="U1461">
            <v>0</v>
          </cell>
          <cell r="V1461">
            <v>297000</v>
          </cell>
          <cell r="W1461" t="str">
            <v>4979397000138</v>
          </cell>
        </row>
        <row r="1462">
          <cell r="A1462">
            <v>2026</v>
          </cell>
          <cell r="B1462">
            <v>4</v>
          </cell>
          <cell r="C1462">
            <v>46140</v>
          </cell>
          <cell r="D1462" t="str">
            <v>1. SKK store</v>
          </cell>
          <cell r="E1462" t="str">
            <v>S1006</v>
          </cell>
          <cell r="F1462" t="str">
            <v>SKK Trần Đăng Ninh</v>
          </cell>
          <cell r="G1462" t="str">
            <v>0934456547</v>
          </cell>
          <cell r="H1462" t="str">
            <v>chị trần thị hòa</v>
          </cell>
          <cell r="I1462" t="str">
            <v>Khách cũ</v>
          </cell>
          <cell r="J1462" t="str">
            <v>Đơn bán</v>
          </cell>
          <cell r="K1462" t="str">
            <v>SAKUKO757583</v>
          </cell>
          <cell r="L1462" t="str">
            <v>CHĂM SÓC SẮC ĐẸP</v>
          </cell>
          <cell r="M1462" t="str">
            <v>Mỹ phẩm khác</v>
          </cell>
          <cell r="N1462" t="str">
            <v>PHỤ KIỆN LÀM ĐẸP</v>
          </cell>
          <cell r="O1462" t="str">
            <v>102391</v>
          </cell>
          <cell r="P1462" t="str">
            <v>4991203205759</v>
          </cell>
          <cell r="Q1462" t="str">
            <v>ECHO - Khăn mặt dạng nén 20v size 26x16cm</v>
          </cell>
          <cell r="R1462">
            <v>45000</v>
          </cell>
          <cell r="S1462">
            <v>1</v>
          </cell>
          <cell r="T1462">
            <v>45000</v>
          </cell>
          <cell r="U1462">
            <v>0</v>
          </cell>
          <cell r="V1462">
            <v>45000</v>
          </cell>
          <cell r="W1462" t="str">
            <v>4991203205759</v>
          </cell>
        </row>
        <row r="1463">
          <cell r="A1463">
            <v>2026</v>
          </cell>
          <cell r="B1463">
            <v>4</v>
          </cell>
          <cell r="C1463">
            <v>46140</v>
          </cell>
          <cell r="D1463" t="str">
            <v>1. SKK store</v>
          </cell>
          <cell r="E1463" t="str">
            <v>S1006</v>
          </cell>
          <cell r="F1463" t="str">
            <v>SKK Trần Đăng Ninh</v>
          </cell>
          <cell r="G1463" t="str">
            <v>0978858898</v>
          </cell>
          <cell r="H1463" t="str">
            <v>Lan</v>
          </cell>
          <cell r="I1463" t="str">
            <v>Khách cũ</v>
          </cell>
          <cell r="J1463" t="str">
            <v>Đơn bán</v>
          </cell>
          <cell r="K1463" t="str">
            <v>SAKUKO757115</v>
          </cell>
          <cell r="L1463" t="str">
            <v>CHĂM SÓC SẮC ĐẸP</v>
          </cell>
          <cell r="M1463" t="str">
            <v>Mỹ phẩm khác</v>
          </cell>
          <cell r="N1463" t="str">
            <v>PHỤ KIỆN LÀM ĐẸP</v>
          </cell>
          <cell r="O1463" t="str">
            <v>102389</v>
          </cell>
          <cell r="P1463" t="str">
            <v>4969757110652</v>
          </cell>
          <cell r="Q1463" t="str">
            <v>KYOWA- Gói bông tẩy trang 130 miếng</v>
          </cell>
          <cell r="R1463">
            <v>49000</v>
          </cell>
          <cell r="S1463">
            <v>1</v>
          </cell>
          <cell r="T1463">
            <v>49000</v>
          </cell>
          <cell r="U1463">
            <v>0</v>
          </cell>
          <cell r="V1463">
            <v>49000</v>
          </cell>
          <cell r="W1463" t="str">
            <v>4969757110652</v>
          </cell>
        </row>
        <row r="1464">
          <cell r="A1464">
            <v>2026</v>
          </cell>
          <cell r="B1464">
            <v>4</v>
          </cell>
          <cell r="C1464">
            <v>46140</v>
          </cell>
          <cell r="D1464" t="str">
            <v>1. SKK store</v>
          </cell>
          <cell r="E1464" t="str">
            <v>S1007</v>
          </cell>
          <cell r="F1464" t="str">
            <v>SKK  Nguyễn Du</v>
          </cell>
          <cell r="G1464" t="str">
            <v>0978698312</v>
          </cell>
          <cell r="H1464" t="str">
            <v>Chị Nhung</v>
          </cell>
          <cell r="I1464" t="str">
            <v>Khách cũ</v>
          </cell>
          <cell r="J1464" t="str">
            <v>Đơn bán</v>
          </cell>
          <cell r="K1464" t="str">
            <v>SAKUKO757037</v>
          </cell>
          <cell r="L1464" t="str">
            <v>THỰC PHẨM</v>
          </cell>
          <cell r="M1464" t="str">
            <v>MỲ, MIẾN</v>
          </cell>
          <cell r="N1464" t="str">
            <v>MỲ CHẾ BIẾN</v>
          </cell>
          <cell r="O1464" t="str">
            <v>175435</v>
          </cell>
          <cell r="P1464" t="str">
            <v>4901726014752</v>
          </cell>
          <cell r="Q1464" t="str">
            <v>ITSUKI FOODS- Mì soumen rau củ ngũ sắc320g</v>
          </cell>
          <cell r="R1464">
            <v>76000</v>
          </cell>
          <cell r="S1464">
            <v>1</v>
          </cell>
          <cell r="T1464">
            <v>76000</v>
          </cell>
          <cell r="U1464">
            <v>0</v>
          </cell>
          <cell r="V1464">
            <v>76000</v>
          </cell>
          <cell r="W1464" t="str">
            <v>4901726014752</v>
          </cell>
        </row>
        <row r="1465">
          <cell r="A1465">
            <v>2026</v>
          </cell>
          <cell r="B1465">
            <v>4</v>
          </cell>
          <cell r="C1465">
            <v>46140</v>
          </cell>
          <cell r="D1465" t="str">
            <v>1. SKK store</v>
          </cell>
          <cell r="E1465" t="str">
            <v>S1008</v>
          </cell>
          <cell r="F1465" t="str">
            <v>SKK  Hàng Bông</v>
          </cell>
          <cell r="G1465" t="str">
            <v>02466810202</v>
          </cell>
          <cell r="H1465" t="str">
            <v>KH Tây</v>
          </cell>
          <cell r="I1465" t="str">
            <v>Khách vãng lai</v>
          </cell>
          <cell r="J1465" t="str">
            <v>Đơn bán</v>
          </cell>
          <cell r="K1465" t="str">
            <v>SAKUKO757621</v>
          </cell>
          <cell r="L1465" t="str">
            <v>ĐỒ CHO MẸ BÉ</v>
          </cell>
          <cell r="M1465" t="str">
            <v>GIẤY ƯỚT</v>
          </cell>
          <cell r="N1465" t="str">
            <v>GIẤY ƯỚT CHO BÉ</v>
          </cell>
          <cell r="O1465" t="str">
            <v>121662</v>
          </cell>
          <cell r="P1465" t="str">
            <v>8934755035036</v>
          </cell>
          <cell r="Q1465" t="str">
            <v>FRESSI- Khăn ướt Care For All 20 miếng</v>
          </cell>
          <cell r="R1465">
            <v>14000</v>
          </cell>
          <cell r="S1465">
            <v>1</v>
          </cell>
          <cell r="T1465">
            <v>14000</v>
          </cell>
          <cell r="U1465">
            <v>0</v>
          </cell>
          <cell r="V1465">
            <v>14000</v>
          </cell>
          <cell r="W1465" t="str">
            <v>8934755035036</v>
          </cell>
        </row>
        <row r="1466">
          <cell r="A1466">
            <v>2026</v>
          </cell>
          <cell r="B1466">
            <v>4</v>
          </cell>
          <cell r="C1466">
            <v>46140</v>
          </cell>
          <cell r="D1466" t="str">
            <v>1. SKK store</v>
          </cell>
          <cell r="E1466" t="str">
            <v>S1018</v>
          </cell>
          <cell r="F1466" t="str">
            <v>SKK Nguyễn Tuân</v>
          </cell>
          <cell r="G1466" t="str">
            <v>02422174499</v>
          </cell>
          <cell r="H1466" t="str">
            <v>klnt</v>
          </cell>
          <cell r="I1466" t="str">
            <v>Khách vãng lai</v>
          </cell>
          <cell r="J1466" t="str">
            <v>Đơn bán</v>
          </cell>
          <cell r="K1466" t="str">
            <v>SAKUKO756862</v>
          </cell>
          <cell r="L1466" t="str">
            <v>THỰC PHẨM</v>
          </cell>
          <cell r="M1466" t="str">
            <v>MỲ, MIẾN</v>
          </cell>
          <cell r="N1466" t="str">
            <v>MỲ CHẾ BIẾN</v>
          </cell>
          <cell r="O1466" t="str">
            <v>175435</v>
          </cell>
          <cell r="P1466" t="str">
            <v>4901726014752</v>
          </cell>
          <cell r="Q1466" t="str">
            <v>ITSUKI FOODS- Mì soumen rau củ ngũ sắc320g</v>
          </cell>
          <cell r="R1466">
            <v>76000</v>
          </cell>
          <cell r="S1466">
            <v>1</v>
          </cell>
          <cell r="T1466">
            <v>76000</v>
          </cell>
          <cell r="U1466">
            <v>0</v>
          </cell>
          <cell r="V1466">
            <v>76000</v>
          </cell>
          <cell r="W1466" t="str">
            <v>4901726014752</v>
          </cell>
        </row>
        <row r="1467">
          <cell r="A1467">
            <v>2026</v>
          </cell>
          <cell r="B1467">
            <v>4</v>
          </cell>
          <cell r="C1467">
            <v>46140</v>
          </cell>
          <cell r="D1467" t="str">
            <v>1. SKK store</v>
          </cell>
          <cell r="E1467" t="str">
            <v>S1018</v>
          </cell>
          <cell r="F1467" t="str">
            <v>SKK Nguyễn Tuân</v>
          </cell>
          <cell r="G1467" t="str">
            <v>0983854864</v>
          </cell>
          <cell r="H1467" t="str">
            <v>chị Quỳnh Anh</v>
          </cell>
          <cell r="I1467" t="str">
            <v>Khách cũ</v>
          </cell>
          <cell r="J1467" t="str">
            <v>Đơn bán</v>
          </cell>
          <cell r="K1467" t="str">
            <v>SAKUKO757403</v>
          </cell>
          <cell r="L1467" t="str">
            <v>THỰC PHẨM</v>
          </cell>
          <cell r="M1467" t="str">
            <v>MỲ, MIẾN</v>
          </cell>
          <cell r="N1467" t="str">
            <v>MỲ CHẾ BIẾN</v>
          </cell>
          <cell r="O1467" t="str">
            <v>154249</v>
          </cell>
          <cell r="P1467" t="str">
            <v>4517244004627</v>
          </cell>
          <cell r="Q1467" t="str">
            <v>ASAHI_Mì udon khô 400g</v>
          </cell>
          <cell r="R1467">
            <v>69000</v>
          </cell>
          <cell r="S1467">
            <v>1</v>
          </cell>
          <cell r="T1467">
            <v>69000</v>
          </cell>
          <cell r="U1467">
            <v>0</v>
          </cell>
          <cell r="V1467">
            <v>69000</v>
          </cell>
          <cell r="W1467" t="str">
            <v>4517244004627</v>
          </cell>
        </row>
        <row r="1468">
          <cell r="A1468">
            <v>2026</v>
          </cell>
          <cell r="B1468">
            <v>4</v>
          </cell>
          <cell r="C1468">
            <v>46140</v>
          </cell>
          <cell r="D1468" t="str">
            <v>1. SKK store</v>
          </cell>
          <cell r="E1468" t="str">
            <v>S1025</v>
          </cell>
          <cell r="F1468" t="str">
            <v>SKK T6 Time City</v>
          </cell>
          <cell r="G1468" t="str">
            <v>0963123734</v>
          </cell>
          <cell r="H1468" t="str">
            <v>Chị lê</v>
          </cell>
          <cell r="I1468" t="str">
            <v>Khách cũ</v>
          </cell>
          <cell r="J1468" t="str">
            <v>Đơn bán</v>
          </cell>
          <cell r="K1468" t="str">
            <v>SAKUKO757758</v>
          </cell>
          <cell r="L1468" t="str">
            <v>CHĂM SÓC SẮC ĐẸP</v>
          </cell>
          <cell r="M1468" t="str">
            <v>Mỹ phẩm khác</v>
          </cell>
          <cell r="N1468" t="str">
            <v>PHỤ KIỆN LÀM ĐẸP</v>
          </cell>
          <cell r="O1468" t="str">
            <v>102391</v>
          </cell>
          <cell r="P1468" t="str">
            <v>4991203205759</v>
          </cell>
          <cell r="Q1468" t="str">
            <v>ECHO - Khăn mặt dạng nén 20v size 26x16cm</v>
          </cell>
          <cell r="R1468">
            <v>45000</v>
          </cell>
          <cell r="S1468">
            <v>1</v>
          </cell>
          <cell r="T1468">
            <v>45000</v>
          </cell>
          <cell r="U1468">
            <v>0</v>
          </cell>
          <cell r="V1468">
            <v>45000</v>
          </cell>
          <cell r="W1468" t="str">
            <v>4991203205759</v>
          </cell>
        </row>
        <row r="1469">
          <cell r="A1469">
            <v>2026</v>
          </cell>
          <cell r="B1469">
            <v>4</v>
          </cell>
          <cell r="C1469">
            <v>46139</v>
          </cell>
          <cell r="D1469" t="str">
            <v>1. SKK store</v>
          </cell>
          <cell r="E1469" t="str">
            <v>S1004</v>
          </cell>
          <cell r="F1469" t="str">
            <v>SKK  Mandarin C1</v>
          </cell>
          <cell r="G1469" t="str">
            <v>0904949198</v>
          </cell>
          <cell r="H1469" t="str">
            <v>co tuyết</v>
          </cell>
          <cell r="I1469" t="str">
            <v>Khách cũ</v>
          </cell>
          <cell r="J1469" t="str">
            <v>Đơn bán</v>
          </cell>
          <cell r="K1469" t="str">
            <v>SAKUKO756290</v>
          </cell>
          <cell r="L1469" t="str">
            <v>THỰC PHẨM</v>
          </cell>
          <cell r="M1469" t="str">
            <v>MỲ, MIẾN</v>
          </cell>
          <cell r="N1469" t="str">
            <v>MỲ ĂN LIỀN</v>
          </cell>
          <cell r="O1469" t="str">
            <v>154359</v>
          </cell>
          <cell r="P1469" t="str">
            <v>4979397000138</v>
          </cell>
          <cell r="Q1469" t="str">
            <v>YAMAMOTO- Mì ramen ăn liền hải sản thịt heo 88g*5</v>
          </cell>
          <cell r="R1469">
            <v>54450</v>
          </cell>
          <cell r="S1469">
            <v>1</v>
          </cell>
          <cell r="T1469">
            <v>54450</v>
          </cell>
          <cell r="U1469">
            <v>0</v>
          </cell>
          <cell r="V1469">
            <v>54450</v>
          </cell>
          <cell r="W1469" t="str">
            <v>4979397000138</v>
          </cell>
        </row>
        <row r="1470">
          <cell r="A1470">
            <v>2026</v>
          </cell>
          <cell r="B1470">
            <v>4</v>
          </cell>
          <cell r="C1470">
            <v>46139</v>
          </cell>
          <cell r="D1470" t="str">
            <v>1. SKK store</v>
          </cell>
          <cell r="E1470" t="str">
            <v>S1004</v>
          </cell>
          <cell r="F1470" t="str">
            <v>SKK  Mandarin C1</v>
          </cell>
          <cell r="G1470" t="str">
            <v>0913579768</v>
          </cell>
          <cell r="H1470" t="str">
            <v>C Linh</v>
          </cell>
          <cell r="I1470" t="str">
            <v>Khách cũ</v>
          </cell>
          <cell r="J1470" t="str">
            <v>Đơn bán</v>
          </cell>
          <cell r="K1470" t="str">
            <v>SAKUKO756048</v>
          </cell>
          <cell r="L1470" t="str">
            <v>THỰC PHẨM</v>
          </cell>
          <cell r="M1470" t="str">
            <v>BÁNH KẸO, ĐỒ ĂN VẶT</v>
          </cell>
          <cell r="N1470" t="str">
            <v>KẸO</v>
          </cell>
          <cell r="O1470" t="str">
            <v>231376</v>
          </cell>
          <cell r="P1470" t="str">
            <v>4903333228577</v>
          </cell>
          <cell r="Q1470" t="str">
            <v>LOTTE-Kẹo cao su tổng hợp 7 loại dạng lọ 133g</v>
          </cell>
          <cell r="R1470">
            <v>235000</v>
          </cell>
          <cell r="S1470">
            <v>1</v>
          </cell>
          <cell r="T1470">
            <v>235000</v>
          </cell>
          <cell r="U1470">
            <v>0</v>
          </cell>
          <cell r="V1470">
            <v>235000</v>
          </cell>
          <cell r="W1470" t="str">
            <v>4903333228577</v>
          </cell>
        </row>
        <row r="1471">
          <cell r="A1471">
            <v>2026</v>
          </cell>
          <cell r="B1471">
            <v>4</v>
          </cell>
          <cell r="C1471">
            <v>46139</v>
          </cell>
          <cell r="D1471" t="str">
            <v>1. SKK store</v>
          </cell>
          <cell r="E1471" t="str">
            <v>S1004</v>
          </cell>
          <cell r="F1471" t="str">
            <v>SKK  Mandarin C1</v>
          </cell>
          <cell r="G1471" t="str">
            <v>0989119666</v>
          </cell>
          <cell r="H1471" t="str">
            <v>CHI HANG</v>
          </cell>
          <cell r="I1471" t="str">
            <v>Khách cũ</v>
          </cell>
          <cell r="J1471" t="str">
            <v>Đơn bán</v>
          </cell>
          <cell r="K1471" t="str">
            <v>SAKUKO755783</v>
          </cell>
          <cell r="L1471" t="str">
            <v>THỰC PHẨM</v>
          </cell>
          <cell r="M1471" t="str">
            <v>BÁNH KẸO, ĐỒ ĂN VẶT</v>
          </cell>
          <cell r="N1471" t="str">
            <v>KẸO</v>
          </cell>
          <cell r="O1471" t="str">
            <v>231376</v>
          </cell>
          <cell r="P1471" t="str">
            <v>4903333228577</v>
          </cell>
          <cell r="Q1471" t="str">
            <v>LOTTE-Kẹo cao su tổng hợp 7 loại dạng lọ 133g</v>
          </cell>
          <cell r="R1471">
            <v>235000</v>
          </cell>
          <cell r="S1471">
            <v>1</v>
          </cell>
          <cell r="T1471">
            <v>235000</v>
          </cell>
          <cell r="U1471">
            <v>0</v>
          </cell>
          <cell r="V1471">
            <v>235000</v>
          </cell>
          <cell r="W1471" t="str">
            <v>4903333228577</v>
          </cell>
        </row>
        <row r="1472">
          <cell r="A1472">
            <v>2026</v>
          </cell>
          <cell r="B1472">
            <v>4</v>
          </cell>
          <cell r="C1472">
            <v>46139</v>
          </cell>
          <cell r="D1472" t="str">
            <v>1. SKK store</v>
          </cell>
          <cell r="E1472" t="str">
            <v>S1004</v>
          </cell>
          <cell r="F1472" t="str">
            <v>SKK  Mandarin C1</v>
          </cell>
          <cell r="G1472" t="str">
            <v>0989653939</v>
          </cell>
          <cell r="H1472" t="str">
            <v>c ha</v>
          </cell>
          <cell r="I1472" t="str">
            <v>Khách cũ</v>
          </cell>
          <cell r="J1472" t="str">
            <v>Đơn bán</v>
          </cell>
          <cell r="K1472" t="str">
            <v>SAKUKO756430</v>
          </cell>
          <cell r="L1472" t="str">
            <v>CHĂM SÓC SẮC ĐẸP</v>
          </cell>
          <cell r="M1472" t="str">
            <v>CHĂM SÓC DA</v>
          </cell>
          <cell r="N1472" t="str">
            <v>RỬA MẶT</v>
          </cell>
          <cell r="O1472" t="str">
            <v>102386</v>
          </cell>
          <cell r="P1472" t="str">
            <v>4902468816062</v>
          </cell>
          <cell r="Q1472" t="str">
            <v>MEISHOKU- Sữa rửa mặt sáng da Cvita 100g</v>
          </cell>
          <cell r="R1472">
            <v>575000</v>
          </cell>
          <cell r="S1472">
            <v>1</v>
          </cell>
          <cell r="T1472">
            <v>575000</v>
          </cell>
          <cell r="U1472">
            <v>0</v>
          </cell>
          <cell r="V1472">
            <v>575000</v>
          </cell>
          <cell r="W1472" t="str">
            <v>4902468816062</v>
          </cell>
        </row>
        <row r="1473">
          <cell r="A1473">
            <v>2026</v>
          </cell>
          <cell r="B1473">
            <v>4</v>
          </cell>
          <cell r="C1473">
            <v>46139</v>
          </cell>
          <cell r="D1473" t="str">
            <v>1. SKK store</v>
          </cell>
          <cell r="E1473" t="str">
            <v>S1005</v>
          </cell>
          <cell r="F1473" t="str">
            <v>SKK  Thái Hà</v>
          </cell>
          <cell r="G1473" t="str">
            <v>0904348889</v>
          </cell>
          <cell r="H1473" t="str">
            <v>Chị Nguyễn Thị thu Hòa</v>
          </cell>
          <cell r="I1473" t="str">
            <v>Khách cũ</v>
          </cell>
          <cell r="J1473" t="str">
            <v>Đơn bán</v>
          </cell>
          <cell r="K1473" t="str">
            <v>SAKUKO755615</v>
          </cell>
          <cell r="L1473" t="str">
            <v>THỰC PHẨM</v>
          </cell>
          <cell r="M1473" t="str">
            <v>BÁNH KẸO, ĐỒ ĂN VẶT</v>
          </cell>
          <cell r="N1473" t="str">
            <v>KẸO</v>
          </cell>
          <cell r="O1473" t="str">
            <v>231376</v>
          </cell>
          <cell r="P1473" t="str">
            <v>4903333228577</v>
          </cell>
          <cell r="Q1473" t="str">
            <v>LOTTE-Kẹo cao su tổng hợp 7 loại dạng lọ 133g</v>
          </cell>
          <cell r="R1473">
            <v>235000</v>
          </cell>
          <cell r="S1473">
            <v>1</v>
          </cell>
          <cell r="T1473">
            <v>235000</v>
          </cell>
          <cell r="U1473">
            <v>0</v>
          </cell>
          <cell r="V1473">
            <v>235000</v>
          </cell>
          <cell r="W1473" t="str">
            <v>4903333228577</v>
          </cell>
        </row>
        <row r="1474">
          <cell r="A1474">
            <v>2026</v>
          </cell>
          <cell r="B1474">
            <v>4</v>
          </cell>
          <cell r="C1474">
            <v>46139</v>
          </cell>
          <cell r="D1474" t="str">
            <v>1. SKK store</v>
          </cell>
          <cell r="E1474" t="str">
            <v>S1005</v>
          </cell>
          <cell r="F1474" t="str">
            <v>SKK  Thái Hà</v>
          </cell>
          <cell r="G1474" t="str">
            <v>0979544588</v>
          </cell>
          <cell r="H1474" t="str">
            <v>CHI LE THU HANG</v>
          </cell>
          <cell r="I1474" t="str">
            <v>Khách cũ</v>
          </cell>
          <cell r="J1474" t="str">
            <v>Đơn bán</v>
          </cell>
          <cell r="K1474" t="str">
            <v>SAKUKO755764</v>
          </cell>
          <cell r="L1474" t="str">
            <v>THỰC PHẨM</v>
          </cell>
          <cell r="M1474" t="str">
            <v>MỲ, MIẾN</v>
          </cell>
          <cell r="N1474" t="str">
            <v>MỲ ĂN LIỀN</v>
          </cell>
          <cell r="O1474" t="str">
            <v>154359</v>
          </cell>
          <cell r="P1474" t="str">
            <v>4979397000138</v>
          </cell>
          <cell r="Q1474" t="str">
            <v>YAMAMOTO- Mì ramen ăn liền hải sản thịt heo 88g*5</v>
          </cell>
          <cell r="R1474">
            <v>99000</v>
          </cell>
          <cell r="S1474">
            <v>2</v>
          </cell>
          <cell r="T1474">
            <v>198000</v>
          </cell>
          <cell r="U1474">
            <v>0</v>
          </cell>
          <cell r="V1474">
            <v>198000</v>
          </cell>
          <cell r="W1474" t="str">
            <v>4979397000138</v>
          </cell>
        </row>
        <row r="1475">
          <cell r="A1475">
            <v>2026</v>
          </cell>
          <cell r="B1475">
            <v>4</v>
          </cell>
          <cell r="C1475">
            <v>46139</v>
          </cell>
          <cell r="D1475" t="str">
            <v>1. SKK store</v>
          </cell>
          <cell r="E1475" t="str">
            <v>S1006</v>
          </cell>
          <cell r="F1475" t="str">
            <v>SKK Trần Đăng Ninh</v>
          </cell>
          <cell r="G1475" t="str">
            <v>0912502987</v>
          </cell>
          <cell r="H1475" t="str">
            <v>chi duyen</v>
          </cell>
          <cell r="I1475" t="str">
            <v>Khách mới</v>
          </cell>
          <cell r="J1475" t="str">
            <v>Đơn bán</v>
          </cell>
          <cell r="K1475" t="str">
            <v>SAKUKO756348</v>
          </cell>
          <cell r="L1475" t="str">
            <v>CHĂM SÓC SẮC ĐẸP</v>
          </cell>
          <cell r="M1475" t="str">
            <v>Mỹ phẩm khác</v>
          </cell>
          <cell r="N1475" t="str">
            <v>PHỤ KIỆN LÀM ĐẸP</v>
          </cell>
          <cell r="O1475" t="str">
            <v>102389</v>
          </cell>
          <cell r="P1475" t="str">
            <v>4969757110652</v>
          </cell>
          <cell r="Q1475" t="str">
            <v>KYOWA- Gói bông tẩy trang 130 miếng</v>
          </cell>
          <cell r="R1475">
            <v>49000</v>
          </cell>
          <cell r="S1475">
            <v>1</v>
          </cell>
          <cell r="T1475">
            <v>49000</v>
          </cell>
          <cell r="U1475">
            <v>0</v>
          </cell>
          <cell r="V1475">
            <v>49000</v>
          </cell>
          <cell r="W1475" t="str">
            <v>4969757110652</v>
          </cell>
        </row>
        <row r="1476">
          <cell r="A1476">
            <v>2026</v>
          </cell>
          <cell r="B1476">
            <v>4</v>
          </cell>
          <cell r="C1476">
            <v>46139</v>
          </cell>
          <cell r="D1476" t="str">
            <v>1. SKK store</v>
          </cell>
          <cell r="E1476" t="str">
            <v>S1006</v>
          </cell>
          <cell r="F1476" t="str">
            <v>SKK Trần Đăng Ninh</v>
          </cell>
          <cell r="G1476" t="str">
            <v>0912502987</v>
          </cell>
          <cell r="H1476" t="str">
            <v>chi duyen</v>
          </cell>
          <cell r="I1476" t="str">
            <v>Khách mới</v>
          </cell>
          <cell r="J1476" t="str">
            <v>Đơn bán</v>
          </cell>
          <cell r="K1476" t="str">
            <v>SAKUKO756348</v>
          </cell>
          <cell r="L1476" t="str">
            <v>CHĂM SÓC SẮC ĐẸP</v>
          </cell>
          <cell r="M1476" t="str">
            <v>Mỹ phẩm khác</v>
          </cell>
          <cell r="N1476" t="str">
            <v>PHỤ KIỆN LÀM ĐẸP</v>
          </cell>
          <cell r="O1476" t="str">
            <v>102390</v>
          </cell>
          <cell r="P1476" t="str">
            <v>4906327905980</v>
          </cell>
          <cell r="Q1476" t="str">
            <v>KOMODA - Khăn mặt khô dùng 1 lần 46m 20x20cm</v>
          </cell>
          <cell r="R1476">
            <v>52000</v>
          </cell>
          <cell r="S1476">
            <v>1</v>
          </cell>
          <cell r="T1476">
            <v>52000</v>
          </cell>
          <cell r="U1476">
            <v>0</v>
          </cell>
          <cell r="V1476">
            <v>52000</v>
          </cell>
          <cell r="W1476" t="str">
            <v>4906327905980</v>
          </cell>
        </row>
        <row r="1477">
          <cell r="A1477">
            <v>2026</v>
          </cell>
          <cell r="B1477">
            <v>4</v>
          </cell>
          <cell r="C1477">
            <v>46139</v>
          </cell>
          <cell r="D1477" t="str">
            <v>1. SKK store</v>
          </cell>
          <cell r="E1477" t="str">
            <v>S1006</v>
          </cell>
          <cell r="F1477" t="str">
            <v>SKK Trần Đăng Ninh</v>
          </cell>
          <cell r="G1477" t="str">
            <v>0915060636</v>
          </cell>
          <cell r="H1477" t="str">
            <v>c ha</v>
          </cell>
          <cell r="I1477" t="str">
            <v>Khách cũ</v>
          </cell>
          <cell r="J1477" t="str">
            <v>Đơn bán</v>
          </cell>
          <cell r="K1477" t="str">
            <v>SAKUKO756239</v>
          </cell>
          <cell r="L1477" t="str">
            <v>NHÀ CỬA ĐỜI SỐNG</v>
          </cell>
          <cell r="M1477" t="str">
            <v>ĐỒ DÙNG SINH HOẠT GIA ĐÌNH</v>
          </cell>
          <cell r="N1477" t="str">
            <v>VẬT DỤNG SINH HOẠT KHÁC</v>
          </cell>
          <cell r="O1477" t="str">
            <v>135039</v>
          </cell>
          <cell r="P1477" t="str">
            <v>4968988074993</v>
          </cell>
          <cell r="Q1477" t="str">
            <v>OMAICHI- Set 2 lọ chiết mỹ phẩm 40ml kèm hộp đựng</v>
          </cell>
          <cell r="R1477">
            <v>52000</v>
          </cell>
          <cell r="S1477">
            <v>1</v>
          </cell>
          <cell r="T1477">
            <v>52000</v>
          </cell>
          <cell r="U1477">
            <v>0</v>
          </cell>
          <cell r="V1477">
            <v>52000</v>
          </cell>
          <cell r="W1477" t="str">
            <v>4968988074993</v>
          </cell>
        </row>
        <row r="1478">
          <cell r="A1478">
            <v>2026</v>
          </cell>
          <cell r="B1478">
            <v>4</v>
          </cell>
          <cell r="C1478">
            <v>46139</v>
          </cell>
          <cell r="D1478" t="str">
            <v>1. SKK store</v>
          </cell>
          <cell r="E1478" t="str">
            <v>S1006</v>
          </cell>
          <cell r="F1478" t="str">
            <v>SKK Trần Đăng Ninh</v>
          </cell>
          <cell r="G1478" t="str">
            <v>0983370566</v>
          </cell>
          <cell r="H1478" t="str">
            <v>Chị Thanh</v>
          </cell>
          <cell r="I1478" t="str">
            <v>Khách cũ</v>
          </cell>
          <cell r="J1478" t="str">
            <v>Đơn bán</v>
          </cell>
          <cell r="K1478" t="str">
            <v>SAKUKO756491</v>
          </cell>
          <cell r="L1478" t="str">
            <v>THỰC PHẨM</v>
          </cell>
          <cell r="M1478" t="str">
            <v>BÁNH KẸO, ĐỒ ĂN VẶT</v>
          </cell>
          <cell r="N1478" t="str">
            <v>KẸO</v>
          </cell>
          <cell r="O1478" t="str">
            <v>231374</v>
          </cell>
          <cell r="P1478" t="str">
            <v>4547894156315</v>
          </cell>
          <cell r="Q1478" t="str">
            <v>CLORETS-Kẹo cao su hương vị 4 mùa 140g</v>
          </cell>
          <cell r="R1478">
            <v>235000</v>
          </cell>
          <cell r="S1478">
            <v>1</v>
          </cell>
          <cell r="T1478">
            <v>235000</v>
          </cell>
          <cell r="U1478">
            <v>0</v>
          </cell>
          <cell r="V1478">
            <v>235000</v>
          </cell>
          <cell r="W1478" t="str">
            <v>4547894156315</v>
          </cell>
        </row>
        <row r="1479">
          <cell r="A1479">
            <v>2026</v>
          </cell>
          <cell r="B1479">
            <v>4</v>
          </cell>
          <cell r="C1479">
            <v>46139</v>
          </cell>
          <cell r="D1479" t="str">
            <v>1. SKK store</v>
          </cell>
          <cell r="E1479" t="str">
            <v>S1006</v>
          </cell>
          <cell r="F1479" t="str">
            <v>SKK Trần Đăng Ninh</v>
          </cell>
          <cell r="G1479" t="str">
            <v>0983370566</v>
          </cell>
          <cell r="H1479" t="str">
            <v>Chị Thanh</v>
          </cell>
          <cell r="I1479" t="str">
            <v>Khách cũ</v>
          </cell>
          <cell r="J1479" t="str">
            <v>Đơn bán</v>
          </cell>
          <cell r="K1479" t="str">
            <v>SAKUKO756491</v>
          </cell>
          <cell r="L1479" t="str">
            <v>THỰC PHẨM</v>
          </cell>
          <cell r="M1479" t="str">
            <v>BÁNH KẸO, ĐỒ ĂN VẶT</v>
          </cell>
          <cell r="N1479" t="str">
            <v>KẸO</v>
          </cell>
          <cell r="O1479" t="str">
            <v>231376</v>
          </cell>
          <cell r="P1479" t="str">
            <v>4903333228577</v>
          </cell>
          <cell r="Q1479" t="str">
            <v>LOTTE-Kẹo cao su tổng hợp 7 loại dạng lọ 133g</v>
          </cell>
          <cell r="R1479">
            <v>235000</v>
          </cell>
          <cell r="S1479">
            <v>1</v>
          </cell>
          <cell r="T1479">
            <v>235000</v>
          </cell>
          <cell r="U1479">
            <v>0</v>
          </cell>
          <cell r="V1479">
            <v>235000</v>
          </cell>
          <cell r="W1479" t="str">
            <v>4903333228577</v>
          </cell>
        </row>
        <row r="1480">
          <cell r="A1480">
            <v>2026</v>
          </cell>
          <cell r="B1480">
            <v>4</v>
          </cell>
          <cell r="C1480">
            <v>46139</v>
          </cell>
          <cell r="D1480" t="str">
            <v>1. SKK store</v>
          </cell>
          <cell r="E1480" t="str">
            <v>S1007</v>
          </cell>
          <cell r="F1480" t="str">
            <v>SKK  Nguyễn Du</v>
          </cell>
          <cell r="G1480" t="str">
            <v>0936150639</v>
          </cell>
          <cell r="H1480" t="str">
            <v>Chị Minh</v>
          </cell>
          <cell r="I1480" t="str">
            <v>Khách cũ</v>
          </cell>
          <cell r="J1480" t="str">
            <v>Đơn bán</v>
          </cell>
          <cell r="K1480" t="str">
            <v>SAKUKO755898</v>
          </cell>
          <cell r="L1480" t="str">
            <v>THỰC PHẨM</v>
          </cell>
          <cell r="M1480" t="str">
            <v>MỲ, MIẾN</v>
          </cell>
          <cell r="N1480" t="str">
            <v>MỲ ĂN LIỀN</v>
          </cell>
          <cell r="O1480" t="str">
            <v>154359</v>
          </cell>
          <cell r="P1480" t="str">
            <v>4979397000138</v>
          </cell>
          <cell r="Q1480" t="str">
            <v>YAMAMOTO- Mì ramen ăn liền hải sản thịt heo 88g*5</v>
          </cell>
          <cell r="R1480">
            <v>54450</v>
          </cell>
          <cell r="S1480">
            <v>1</v>
          </cell>
          <cell r="T1480">
            <v>54450</v>
          </cell>
          <cell r="U1480">
            <v>0</v>
          </cell>
          <cell r="V1480">
            <v>54450</v>
          </cell>
          <cell r="W1480" t="str">
            <v>4979397000138</v>
          </cell>
        </row>
        <row r="1481">
          <cell r="A1481">
            <v>2026</v>
          </cell>
          <cell r="B1481">
            <v>4</v>
          </cell>
          <cell r="C1481">
            <v>46139</v>
          </cell>
          <cell r="D1481" t="str">
            <v>1. SKK store</v>
          </cell>
          <cell r="E1481" t="str">
            <v>S1008</v>
          </cell>
          <cell r="F1481" t="str">
            <v>SKK  Hàng Bông</v>
          </cell>
          <cell r="G1481" t="str">
            <v>02466810202</v>
          </cell>
          <cell r="H1481" t="str">
            <v>KH Tây</v>
          </cell>
          <cell r="I1481" t="str">
            <v>Khách vãng lai</v>
          </cell>
          <cell r="J1481" t="str">
            <v>Đơn bán</v>
          </cell>
          <cell r="K1481" t="str">
            <v>SAKUKO755735</v>
          </cell>
          <cell r="L1481" t="str">
            <v>ĐỒ CHO MẸ BÉ</v>
          </cell>
          <cell r="M1481" t="str">
            <v>GIẤY ƯỚT</v>
          </cell>
          <cell r="N1481" t="str">
            <v>GIẤY ƯỚT CHO BÉ</v>
          </cell>
          <cell r="O1481" t="str">
            <v>121665</v>
          </cell>
          <cell r="P1481" t="str">
            <v>8934755035289</v>
          </cell>
          <cell r="Q1481" t="str">
            <v>BOBBY- Khăn ướt em bé không mùi 100 miếng</v>
          </cell>
          <cell r="R1481">
            <v>46000</v>
          </cell>
          <cell r="S1481">
            <v>1</v>
          </cell>
          <cell r="T1481">
            <v>46000</v>
          </cell>
          <cell r="U1481">
            <v>0</v>
          </cell>
          <cell r="V1481">
            <v>46000</v>
          </cell>
          <cell r="W1481" t="str">
            <v>8934755035289</v>
          </cell>
        </row>
        <row r="1482">
          <cell r="A1482">
            <v>2026</v>
          </cell>
          <cell r="B1482">
            <v>4</v>
          </cell>
          <cell r="C1482">
            <v>46139</v>
          </cell>
          <cell r="D1482" t="str">
            <v>1. SKK store</v>
          </cell>
          <cell r="E1482" t="str">
            <v>S1008</v>
          </cell>
          <cell r="F1482" t="str">
            <v>SKK  Hàng Bông</v>
          </cell>
          <cell r="G1482" t="str">
            <v>0912260460</v>
          </cell>
          <cell r="H1482" t="str">
            <v>co phuong</v>
          </cell>
          <cell r="I1482" t="str">
            <v>Khách cũ</v>
          </cell>
          <cell r="J1482" t="str">
            <v>Đơn bán</v>
          </cell>
          <cell r="K1482" t="str">
            <v>SAKUKO756265</v>
          </cell>
          <cell r="L1482" t="str">
            <v>CHĂM SÓC SẮC ĐẸP</v>
          </cell>
          <cell r="M1482" t="str">
            <v>Mỹ phẩm khác</v>
          </cell>
          <cell r="N1482" t="str">
            <v>PHỤ KIỆN LÀM ĐẸP</v>
          </cell>
          <cell r="O1482" t="str">
            <v>102389</v>
          </cell>
          <cell r="P1482" t="str">
            <v>4969757110652</v>
          </cell>
          <cell r="Q1482" t="str">
            <v>KYOWA- Gói bông tẩy trang 130 miếng</v>
          </cell>
          <cell r="R1482">
            <v>49000</v>
          </cell>
          <cell r="S1482">
            <v>1</v>
          </cell>
          <cell r="T1482">
            <v>49000</v>
          </cell>
          <cell r="U1482">
            <v>0</v>
          </cell>
          <cell r="V1482">
            <v>49000</v>
          </cell>
          <cell r="W1482" t="str">
            <v>4969757110652</v>
          </cell>
        </row>
        <row r="1483">
          <cell r="A1483">
            <v>2026</v>
          </cell>
          <cell r="B1483">
            <v>4</v>
          </cell>
          <cell r="C1483">
            <v>46139</v>
          </cell>
          <cell r="D1483" t="str">
            <v>1. SKK store</v>
          </cell>
          <cell r="E1483" t="str">
            <v>S1008</v>
          </cell>
          <cell r="F1483" t="str">
            <v>SKK  Hàng Bông</v>
          </cell>
          <cell r="G1483" t="str">
            <v>0912345532</v>
          </cell>
          <cell r="H1483" t="str">
            <v>cô linh</v>
          </cell>
          <cell r="I1483" t="str">
            <v>Khách cũ</v>
          </cell>
          <cell r="J1483" t="str">
            <v>Đơn bán</v>
          </cell>
          <cell r="K1483" t="str">
            <v>SAKUKO756270</v>
          </cell>
          <cell r="L1483" t="str">
            <v>THỰC PHẨM</v>
          </cell>
          <cell r="M1483" t="str">
            <v>MỲ, MIẾN</v>
          </cell>
          <cell r="N1483" t="str">
            <v>MỲ CHẾ BIẾN</v>
          </cell>
          <cell r="O1483" t="str">
            <v>175435</v>
          </cell>
          <cell r="P1483" t="str">
            <v>4901726014752</v>
          </cell>
          <cell r="Q1483" t="str">
            <v>ITSUKI FOODS- Mì soumen rau củ ngũ sắc320g</v>
          </cell>
          <cell r="R1483">
            <v>76000</v>
          </cell>
          <cell r="S1483">
            <v>1</v>
          </cell>
          <cell r="T1483">
            <v>76000</v>
          </cell>
          <cell r="U1483">
            <v>0</v>
          </cell>
          <cell r="V1483">
            <v>76000</v>
          </cell>
          <cell r="W1483" t="str">
            <v>4901726014752</v>
          </cell>
        </row>
        <row r="1484">
          <cell r="A1484">
            <v>2026</v>
          </cell>
          <cell r="B1484">
            <v>4</v>
          </cell>
          <cell r="C1484">
            <v>46139</v>
          </cell>
          <cell r="D1484" t="str">
            <v>1. SKK store</v>
          </cell>
          <cell r="E1484" t="str">
            <v>S1008</v>
          </cell>
          <cell r="F1484" t="str">
            <v>SKK  Hàng Bông</v>
          </cell>
          <cell r="G1484" t="str">
            <v>0913037170</v>
          </cell>
          <cell r="H1484" t="str">
            <v>Chi Thu Ha</v>
          </cell>
          <cell r="I1484" t="str">
            <v>Khách cũ</v>
          </cell>
          <cell r="J1484" t="str">
            <v>Đơn bán</v>
          </cell>
          <cell r="K1484" t="str">
            <v>SAKUKO756558</v>
          </cell>
          <cell r="L1484" t="str">
            <v>CHĂM SÓC SẮC ĐẸP</v>
          </cell>
          <cell r="M1484" t="str">
            <v>Mỹ phẩm khác</v>
          </cell>
          <cell r="N1484" t="str">
            <v>PHỤ KIỆN LÀM ĐẸP</v>
          </cell>
          <cell r="O1484" t="str">
            <v>102391</v>
          </cell>
          <cell r="P1484" t="str">
            <v>4991203205759</v>
          </cell>
          <cell r="Q1484" t="str">
            <v>ECHO - Khăn mặt dạng nén 20v size 26x16cm</v>
          </cell>
          <cell r="R1484">
            <v>45000</v>
          </cell>
          <cell r="S1484">
            <v>1</v>
          </cell>
          <cell r="T1484">
            <v>45000</v>
          </cell>
          <cell r="U1484">
            <v>0</v>
          </cell>
          <cell r="V1484">
            <v>45000</v>
          </cell>
          <cell r="W1484" t="str">
            <v>4991203205759</v>
          </cell>
        </row>
        <row r="1485">
          <cell r="A1485">
            <v>2026</v>
          </cell>
          <cell r="B1485">
            <v>4</v>
          </cell>
          <cell r="C1485">
            <v>46139</v>
          </cell>
          <cell r="D1485" t="str">
            <v>1. SKK store</v>
          </cell>
          <cell r="E1485" t="str">
            <v>S1008</v>
          </cell>
          <cell r="F1485" t="str">
            <v>SKK  Hàng Bông</v>
          </cell>
          <cell r="G1485" t="str">
            <v>0972625688</v>
          </cell>
          <cell r="H1485" t="str">
            <v>Chị Hiền</v>
          </cell>
          <cell r="I1485" t="str">
            <v>Khách cũ</v>
          </cell>
          <cell r="J1485" t="str">
            <v>Đơn bán</v>
          </cell>
          <cell r="K1485" t="str">
            <v>SAKUKO756496</v>
          </cell>
          <cell r="L1485" t="str">
            <v>ĐỒ CHO MẸ BÉ</v>
          </cell>
          <cell r="M1485" t="str">
            <v>GIẤY ƯỚT</v>
          </cell>
          <cell r="N1485" t="str">
            <v>GIẤY ƯỚT CHO BÉ</v>
          </cell>
          <cell r="O1485" t="str">
            <v>121665</v>
          </cell>
          <cell r="P1485" t="str">
            <v>8934755035289</v>
          </cell>
          <cell r="Q1485" t="str">
            <v>BOBBY- Khăn ướt em bé không mùi 100 miếng</v>
          </cell>
          <cell r="R1485">
            <v>46000</v>
          </cell>
          <cell r="S1485">
            <v>1</v>
          </cell>
          <cell r="T1485">
            <v>46000</v>
          </cell>
          <cell r="U1485">
            <v>0</v>
          </cell>
          <cell r="V1485">
            <v>46000</v>
          </cell>
          <cell r="W1485" t="str">
            <v>8934755035289</v>
          </cell>
        </row>
        <row r="1486">
          <cell r="A1486">
            <v>2026</v>
          </cell>
          <cell r="B1486">
            <v>4</v>
          </cell>
          <cell r="C1486">
            <v>46139</v>
          </cell>
          <cell r="D1486" t="str">
            <v>1. SKK store</v>
          </cell>
          <cell r="E1486" t="str">
            <v>S1015</v>
          </cell>
          <cell r="F1486" t="str">
            <v>SKK Hàm Nghi</v>
          </cell>
          <cell r="G1486" t="str">
            <v>0985992999</v>
          </cell>
          <cell r="H1486" t="str">
            <v>Chị Mộc Lan</v>
          </cell>
          <cell r="I1486" t="str">
            <v>Khách cũ</v>
          </cell>
          <cell r="J1486" t="str">
            <v>Đơn bán</v>
          </cell>
          <cell r="K1486" t="str">
            <v>SAKUKO755671</v>
          </cell>
          <cell r="L1486" t="str">
            <v>THỰC PHẨM</v>
          </cell>
          <cell r="M1486" t="str">
            <v>BÁNH KẸO, ĐỒ ĂN VẶT</v>
          </cell>
          <cell r="N1486" t="str">
            <v>KẸO</v>
          </cell>
          <cell r="O1486" t="str">
            <v>231376</v>
          </cell>
          <cell r="P1486" t="str">
            <v>4903333228577</v>
          </cell>
          <cell r="Q1486" t="str">
            <v>LOTTE-Kẹo cao su tổng hợp 7 loại dạng lọ 133g</v>
          </cell>
          <cell r="R1486">
            <v>235000</v>
          </cell>
          <cell r="S1486">
            <v>1</v>
          </cell>
          <cell r="T1486">
            <v>235000</v>
          </cell>
          <cell r="U1486">
            <v>0</v>
          </cell>
          <cell r="V1486">
            <v>235000</v>
          </cell>
          <cell r="W1486" t="str">
            <v>4903333228577</v>
          </cell>
        </row>
        <row r="1487">
          <cell r="A1487">
            <v>2026</v>
          </cell>
          <cell r="B1487">
            <v>4</v>
          </cell>
          <cell r="C1487">
            <v>46139</v>
          </cell>
          <cell r="D1487" t="str">
            <v>1. SKK store</v>
          </cell>
          <cell r="E1487" t="str">
            <v>S1018</v>
          </cell>
          <cell r="F1487" t="str">
            <v>SKK Nguyễn Tuân</v>
          </cell>
          <cell r="G1487" t="str">
            <v>0796838045</v>
          </cell>
          <cell r="H1487" t="str">
            <v>Chị Thủy</v>
          </cell>
          <cell r="I1487" t="str">
            <v>Khách cũ</v>
          </cell>
          <cell r="J1487" t="str">
            <v>Đơn bán</v>
          </cell>
          <cell r="K1487" t="str">
            <v>SAKUKO756500</v>
          </cell>
          <cell r="L1487" t="str">
            <v>THỰC PHẨM</v>
          </cell>
          <cell r="M1487" t="str">
            <v>MỲ, MIẾN</v>
          </cell>
          <cell r="N1487" t="str">
            <v>MỲ CHẾ BIẾN</v>
          </cell>
          <cell r="O1487" t="str">
            <v>175435</v>
          </cell>
          <cell r="P1487" t="str">
            <v>4901726014752</v>
          </cell>
          <cell r="Q1487" t="str">
            <v>ITSUKI FOODS- Mì soumen rau củ ngũ sắc320g</v>
          </cell>
          <cell r="R1487">
            <v>76000</v>
          </cell>
          <cell r="S1487">
            <v>1</v>
          </cell>
          <cell r="T1487">
            <v>76000</v>
          </cell>
          <cell r="U1487">
            <v>0</v>
          </cell>
          <cell r="V1487">
            <v>76000</v>
          </cell>
          <cell r="W1487" t="str">
            <v>4901726014752</v>
          </cell>
        </row>
        <row r="1488">
          <cell r="A1488">
            <v>2026</v>
          </cell>
          <cell r="B1488">
            <v>4</v>
          </cell>
          <cell r="C1488">
            <v>46139</v>
          </cell>
          <cell r="D1488" t="str">
            <v>1. SKK store</v>
          </cell>
          <cell r="E1488" t="str">
            <v>S1018</v>
          </cell>
          <cell r="F1488" t="str">
            <v>SKK Nguyễn Tuân</v>
          </cell>
          <cell r="G1488" t="str">
            <v>0905661978</v>
          </cell>
          <cell r="H1488" t="str">
            <v>Chị Trang</v>
          </cell>
          <cell r="I1488" t="str">
            <v>Khách cũ</v>
          </cell>
          <cell r="J1488" t="str">
            <v>Đơn bán</v>
          </cell>
          <cell r="K1488" t="str">
            <v>SAKUKO755626</v>
          </cell>
          <cell r="L1488" t="str">
            <v>NHÀ CỬA ĐỜI SỐNG</v>
          </cell>
          <cell r="M1488" t="str">
            <v>PHÒNG CHỐNG CÔN TRÙNG</v>
          </cell>
          <cell r="N1488" t="str">
            <v>DIỆT CÔN TRÙNG</v>
          </cell>
          <cell r="O1488" t="str">
            <v>134480</v>
          </cell>
          <cell r="P1488" t="str">
            <v>4987115545885</v>
          </cell>
          <cell r="Q1488" t="str">
            <v>KINCHO-DD làm thơm phòng và đuổi muỗi (trái cây)</v>
          </cell>
          <cell r="R1488">
            <v>239000</v>
          </cell>
          <cell r="S1488">
            <v>1</v>
          </cell>
          <cell r="T1488">
            <v>239000</v>
          </cell>
          <cell r="U1488">
            <v>0</v>
          </cell>
          <cell r="V1488">
            <v>239000</v>
          </cell>
          <cell r="W1488" t="str">
            <v>4987115545885</v>
          </cell>
        </row>
        <row r="1489">
          <cell r="A1489">
            <v>2026</v>
          </cell>
          <cell r="B1489">
            <v>4</v>
          </cell>
          <cell r="C1489">
            <v>46139</v>
          </cell>
          <cell r="D1489" t="str">
            <v>1. SKK store</v>
          </cell>
          <cell r="E1489" t="str">
            <v>S1025</v>
          </cell>
          <cell r="F1489" t="str">
            <v>SKK T6 Time City</v>
          </cell>
          <cell r="G1489" t="str">
            <v>0923226373</v>
          </cell>
          <cell r="H1489" t="str">
            <v>Cô Thủy</v>
          </cell>
          <cell r="I1489" t="str">
            <v>Khách cũ</v>
          </cell>
          <cell r="J1489" t="str">
            <v>Đơn bán</v>
          </cell>
          <cell r="K1489" t="str">
            <v>SAKUKO755880</v>
          </cell>
          <cell r="L1489" t="str">
            <v>ĐỒ CHO MẸ BÉ</v>
          </cell>
          <cell r="M1489" t="str">
            <v>GIẤY ƯỚT</v>
          </cell>
          <cell r="N1489" t="str">
            <v>GIẤY ƯỚT CHO BÉ</v>
          </cell>
          <cell r="O1489" t="str">
            <v>121664</v>
          </cell>
          <cell r="P1489" t="str">
            <v>8934755035074</v>
          </cell>
          <cell r="Q1489" t="str">
            <v>BOBBY- Khăn ướt em bé có hương 100 miếng</v>
          </cell>
          <cell r="R1489">
            <v>46000</v>
          </cell>
          <cell r="S1489">
            <v>1</v>
          </cell>
          <cell r="T1489">
            <v>46000</v>
          </cell>
          <cell r="U1489">
            <v>0</v>
          </cell>
          <cell r="V1489">
            <v>46000</v>
          </cell>
          <cell r="W1489" t="str">
            <v>8934755035074</v>
          </cell>
        </row>
        <row r="1490">
          <cell r="A1490">
            <v>2026</v>
          </cell>
          <cell r="B1490">
            <v>4</v>
          </cell>
          <cell r="C1490">
            <v>46139</v>
          </cell>
          <cell r="D1490" t="str">
            <v>1. SKK store</v>
          </cell>
          <cell r="E1490" t="str">
            <v>S1025</v>
          </cell>
          <cell r="F1490" t="str">
            <v>SKK T6 Time City</v>
          </cell>
          <cell r="G1490" t="str">
            <v>0934298288</v>
          </cell>
          <cell r="H1490" t="str">
            <v>Chị Hoa</v>
          </cell>
          <cell r="I1490" t="str">
            <v>Khách cũ</v>
          </cell>
          <cell r="J1490" t="str">
            <v>Đơn bán</v>
          </cell>
          <cell r="K1490" t="str">
            <v>SAKUKO755980</v>
          </cell>
          <cell r="L1490" t="str">
            <v>THỰC PHẨM</v>
          </cell>
          <cell r="M1490" t="str">
            <v>BÁNH KẸO, ĐỒ ĂN VẶT</v>
          </cell>
          <cell r="N1490" t="str">
            <v>KẸO</v>
          </cell>
          <cell r="O1490" t="str">
            <v>231376</v>
          </cell>
          <cell r="P1490" t="str">
            <v>4903333228577</v>
          </cell>
          <cell r="Q1490" t="str">
            <v>LOTTE-Kẹo cao su tổng hợp 7 loại dạng lọ 133g</v>
          </cell>
          <cell r="R1490">
            <v>235000</v>
          </cell>
          <cell r="S1490">
            <v>1</v>
          </cell>
          <cell r="T1490">
            <v>235000</v>
          </cell>
          <cell r="U1490">
            <v>0</v>
          </cell>
          <cell r="V1490">
            <v>235000</v>
          </cell>
          <cell r="W1490" t="str">
            <v>4903333228577</v>
          </cell>
        </row>
        <row r="1491">
          <cell r="A1491">
            <v>2026</v>
          </cell>
          <cell r="B1491">
            <v>4</v>
          </cell>
          <cell r="C1491">
            <v>46139</v>
          </cell>
          <cell r="D1491" t="str">
            <v>1. SKK store</v>
          </cell>
          <cell r="E1491" t="str">
            <v>S1025</v>
          </cell>
          <cell r="F1491" t="str">
            <v>SKK T6 Time City</v>
          </cell>
          <cell r="G1491" t="str">
            <v>0934298288</v>
          </cell>
          <cell r="H1491" t="str">
            <v>Chị Hoa</v>
          </cell>
          <cell r="I1491" t="str">
            <v>Khách cũ</v>
          </cell>
          <cell r="J1491" t="str">
            <v>Đơn bán</v>
          </cell>
          <cell r="K1491" t="str">
            <v>SAKUKO755980</v>
          </cell>
          <cell r="L1491" t="str">
            <v>THỰC PHẨM</v>
          </cell>
          <cell r="M1491" t="str">
            <v>BÁNH KẸO, ĐỒ ĂN VẶT</v>
          </cell>
          <cell r="N1491" t="str">
            <v>KẸO</v>
          </cell>
          <cell r="O1491" t="str">
            <v>231377</v>
          </cell>
          <cell r="P1491" t="str">
            <v>4903333200375</v>
          </cell>
          <cell r="Q1491" t="str">
            <v>LOTTE-Kẹo cao su tổng hợp dạng lọ 114g</v>
          </cell>
          <cell r="R1491">
            <v>235000</v>
          </cell>
          <cell r="S1491">
            <v>1</v>
          </cell>
          <cell r="T1491">
            <v>235000</v>
          </cell>
          <cell r="U1491">
            <v>0</v>
          </cell>
          <cell r="V1491">
            <v>235000</v>
          </cell>
          <cell r="W1491" t="str">
            <v>4903333200375</v>
          </cell>
        </row>
        <row r="1492">
          <cell r="A1492">
            <v>2026</v>
          </cell>
          <cell r="B1492">
            <v>4</v>
          </cell>
          <cell r="C1492">
            <v>46138</v>
          </cell>
          <cell r="D1492" t="str">
            <v>1. SKK store</v>
          </cell>
          <cell r="E1492" t="str">
            <v>S1004</v>
          </cell>
          <cell r="F1492" t="str">
            <v>SKK  Mandarin C1</v>
          </cell>
          <cell r="G1492" t="str">
            <v>0866213666</v>
          </cell>
          <cell r="H1492" t="str">
            <v>c hạnh</v>
          </cell>
          <cell r="I1492" t="str">
            <v>Khách cũ</v>
          </cell>
          <cell r="J1492" t="str">
            <v>Đơn bán</v>
          </cell>
          <cell r="K1492" t="str">
            <v>SAKUKO754838</v>
          </cell>
          <cell r="L1492" t="str">
            <v>ĐỒ CHO MẸ BÉ</v>
          </cell>
          <cell r="M1492" t="str">
            <v>GIẤY ƯỚT</v>
          </cell>
          <cell r="N1492" t="str">
            <v>GIẤY ƯỚT CHO BÉ</v>
          </cell>
          <cell r="O1492" t="str">
            <v>121664</v>
          </cell>
          <cell r="P1492" t="str">
            <v>8934755035074</v>
          </cell>
          <cell r="Q1492" t="str">
            <v>BOBBY- Khăn ướt em bé có hương 100 miếng</v>
          </cell>
          <cell r="R1492">
            <v>46000</v>
          </cell>
          <cell r="S1492">
            <v>1</v>
          </cell>
          <cell r="T1492">
            <v>46000</v>
          </cell>
          <cell r="U1492">
            <v>0</v>
          </cell>
          <cell r="V1492">
            <v>46000</v>
          </cell>
          <cell r="W1492" t="str">
            <v>8934755035074</v>
          </cell>
        </row>
        <row r="1493">
          <cell r="A1493">
            <v>2026</v>
          </cell>
          <cell r="B1493">
            <v>4</v>
          </cell>
          <cell r="C1493">
            <v>46138</v>
          </cell>
          <cell r="D1493" t="str">
            <v>1. SKK store</v>
          </cell>
          <cell r="E1493" t="str">
            <v>S1004</v>
          </cell>
          <cell r="F1493" t="str">
            <v>SKK  Mandarin C1</v>
          </cell>
          <cell r="G1493" t="str">
            <v>0912428707</v>
          </cell>
          <cell r="H1493" t="str">
            <v>Chị Hạnh</v>
          </cell>
          <cell r="I1493" t="str">
            <v>Khách cũ</v>
          </cell>
          <cell r="J1493" t="str">
            <v>Đơn bán</v>
          </cell>
          <cell r="K1493" t="str">
            <v>SAKUKO755526</v>
          </cell>
          <cell r="L1493" t="str">
            <v>THỰC PHẨM</v>
          </cell>
          <cell r="M1493" t="str">
            <v>BÁNH KẸO, ĐỒ ĂN VẶT</v>
          </cell>
          <cell r="N1493" t="str">
            <v>KẸO</v>
          </cell>
          <cell r="O1493" t="str">
            <v>231376</v>
          </cell>
          <cell r="P1493" t="str">
            <v>4903333228577</v>
          </cell>
          <cell r="Q1493" t="str">
            <v>LOTTE-Kẹo cao su tổng hợp 7 loại dạng lọ 133g</v>
          </cell>
          <cell r="R1493">
            <v>235000</v>
          </cell>
          <cell r="S1493">
            <v>1</v>
          </cell>
          <cell r="T1493">
            <v>235000</v>
          </cell>
          <cell r="U1493">
            <v>0</v>
          </cell>
          <cell r="V1493">
            <v>235000</v>
          </cell>
          <cell r="W1493" t="str">
            <v>4903333228577</v>
          </cell>
        </row>
        <row r="1494">
          <cell r="A1494">
            <v>2026</v>
          </cell>
          <cell r="B1494">
            <v>4</v>
          </cell>
          <cell r="C1494">
            <v>46138</v>
          </cell>
          <cell r="D1494" t="str">
            <v>1. SKK store</v>
          </cell>
          <cell r="E1494" t="str">
            <v>S1004</v>
          </cell>
          <cell r="F1494" t="str">
            <v>SKK  Mandarin C1</v>
          </cell>
          <cell r="G1494" t="str">
            <v>0989012048</v>
          </cell>
          <cell r="H1494" t="str">
            <v>Chị Linh</v>
          </cell>
          <cell r="I1494" t="str">
            <v>Khách cũ</v>
          </cell>
          <cell r="J1494" t="str">
            <v>Đơn bán</v>
          </cell>
          <cell r="K1494" t="str">
            <v>SAKUKO754942</v>
          </cell>
          <cell r="L1494" t="str">
            <v>THỰC PHẨM</v>
          </cell>
          <cell r="M1494" t="str">
            <v>MỲ, MIẾN</v>
          </cell>
          <cell r="N1494" t="str">
            <v>MỲ ĂN LIỀN</v>
          </cell>
          <cell r="O1494" t="str">
            <v>154359</v>
          </cell>
          <cell r="P1494" t="str">
            <v>4979397000138</v>
          </cell>
          <cell r="Q1494" t="str">
            <v>YAMAMOTO- Mì ramen ăn liền hải sản thịt heo 88g*5</v>
          </cell>
          <cell r="R1494">
            <v>54450</v>
          </cell>
          <cell r="S1494">
            <v>1</v>
          </cell>
          <cell r="T1494">
            <v>54450</v>
          </cell>
          <cell r="U1494">
            <v>0</v>
          </cell>
          <cell r="V1494">
            <v>54450</v>
          </cell>
          <cell r="W1494" t="str">
            <v>4979397000138</v>
          </cell>
        </row>
        <row r="1495">
          <cell r="A1495">
            <v>2026</v>
          </cell>
          <cell r="B1495">
            <v>4</v>
          </cell>
          <cell r="C1495">
            <v>46138</v>
          </cell>
          <cell r="D1495" t="str">
            <v>1. SKK store</v>
          </cell>
          <cell r="E1495" t="str">
            <v>S1004</v>
          </cell>
          <cell r="F1495" t="str">
            <v>SKK  Mandarin C1</v>
          </cell>
          <cell r="G1495" t="str">
            <v>0989081067</v>
          </cell>
          <cell r="H1495" t="str">
            <v>CO HA</v>
          </cell>
          <cell r="I1495" t="str">
            <v>Khách cũ</v>
          </cell>
          <cell r="J1495" t="str">
            <v>Đơn bán</v>
          </cell>
          <cell r="K1495" t="str">
            <v>SAKUKO754779</v>
          </cell>
          <cell r="L1495" t="str">
            <v>ĐỒ CHO MẸ BÉ</v>
          </cell>
          <cell r="M1495" t="str">
            <v>GIẤY ƯỚT</v>
          </cell>
          <cell r="N1495" t="str">
            <v>GIẤY ƯỚT CHO BÉ</v>
          </cell>
          <cell r="O1495" t="str">
            <v>121662</v>
          </cell>
          <cell r="P1495" t="str">
            <v>8934755035036</v>
          </cell>
          <cell r="Q1495" t="str">
            <v>FRESSI- Khăn ướt Care For All 20 miếng</v>
          </cell>
          <cell r="R1495">
            <v>14000</v>
          </cell>
          <cell r="S1495">
            <v>2</v>
          </cell>
          <cell r="T1495">
            <v>28000</v>
          </cell>
          <cell r="U1495">
            <v>0</v>
          </cell>
          <cell r="V1495">
            <v>28000</v>
          </cell>
          <cell r="W1495" t="str">
            <v>8934755035036</v>
          </cell>
        </row>
        <row r="1496">
          <cell r="A1496">
            <v>2026</v>
          </cell>
          <cell r="B1496">
            <v>4</v>
          </cell>
          <cell r="C1496">
            <v>46138</v>
          </cell>
          <cell r="D1496" t="str">
            <v>1. SKK store</v>
          </cell>
          <cell r="E1496" t="str">
            <v>S1005</v>
          </cell>
          <cell r="F1496" t="str">
            <v>SKK  Thái Hà</v>
          </cell>
          <cell r="G1496" t="str">
            <v/>
          </cell>
          <cell r="H1496" t="str">
            <v>Chú Trần Mạnh Thắng</v>
          </cell>
          <cell r="I1496" t="str">
            <v>Khách vãng lai</v>
          </cell>
          <cell r="J1496" t="str">
            <v>Đơn bán</v>
          </cell>
          <cell r="K1496" t="str">
            <v>SAKUKO755509</v>
          </cell>
          <cell r="L1496" t="str">
            <v>THỰC PHẨM</v>
          </cell>
          <cell r="M1496" t="str">
            <v>BÁNH KẸO, ĐỒ ĂN VẶT</v>
          </cell>
          <cell r="N1496" t="str">
            <v>KẸO</v>
          </cell>
          <cell r="O1496" t="str">
            <v>231376</v>
          </cell>
          <cell r="P1496" t="str">
            <v>4903333228577</v>
          </cell>
          <cell r="Q1496" t="str">
            <v>LOTTE-Kẹo cao su tổng hợp 7 loại dạng lọ 133g</v>
          </cell>
          <cell r="R1496">
            <v>235000</v>
          </cell>
          <cell r="S1496">
            <v>1</v>
          </cell>
          <cell r="T1496">
            <v>235000</v>
          </cell>
          <cell r="U1496">
            <v>0</v>
          </cell>
          <cell r="V1496">
            <v>235000</v>
          </cell>
          <cell r="W1496" t="str">
            <v>4903333228577</v>
          </cell>
        </row>
        <row r="1497">
          <cell r="A1497">
            <v>2026</v>
          </cell>
          <cell r="B1497">
            <v>4</v>
          </cell>
          <cell r="C1497">
            <v>46138</v>
          </cell>
          <cell r="D1497" t="str">
            <v>1. SKK store</v>
          </cell>
          <cell r="E1497" t="str">
            <v>S1005</v>
          </cell>
          <cell r="F1497" t="str">
            <v>SKK  Thái Hà</v>
          </cell>
          <cell r="G1497" t="str">
            <v>02466810505</v>
          </cell>
          <cell r="H1497" t="str">
            <v>klth</v>
          </cell>
          <cell r="I1497" t="str">
            <v>Khách vãng lai</v>
          </cell>
          <cell r="J1497" t="str">
            <v>Đơn bán</v>
          </cell>
          <cell r="K1497" t="str">
            <v>SAKUKO755542</v>
          </cell>
          <cell r="L1497" t="str">
            <v>THỰC PHẨM</v>
          </cell>
          <cell r="M1497" t="str">
            <v>MỲ, MIẾN</v>
          </cell>
          <cell r="N1497" t="str">
            <v>MỲ CHẾ BIẾN</v>
          </cell>
          <cell r="O1497" t="str">
            <v>174948</v>
          </cell>
          <cell r="P1497" t="str">
            <v>4582114354119</v>
          </cell>
          <cell r="Q1497" t="str">
            <v>SANUKISHISEI- Mì soumen 300g</v>
          </cell>
          <cell r="R1497">
            <v>35000</v>
          </cell>
          <cell r="S1497">
            <v>1</v>
          </cell>
          <cell r="T1497">
            <v>35000</v>
          </cell>
          <cell r="U1497">
            <v>0</v>
          </cell>
          <cell r="V1497">
            <v>35000</v>
          </cell>
          <cell r="W1497" t="str">
            <v>4582114354119</v>
          </cell>
        </row>
        <row r="1498">
          <cell r="A1498">
            <v>2026</v>
          </cell>
          <cell r="B1498">
            <v>4</v>
          </cell>
          <cell r="C1498">
            <v>46138</v>
          </cell>
          <cell r="D1498" t="str">
            <v>1. SKK store</v>
          </cell>
          <cell r="E1498" t="str">
            <v>S1005</v>
          </cell>
          <cell r="F1498" t="str">
            <v>SKK  Thái Hà</v>
          </cell>
          <cell r="G1498" t="str">
            <v>0904969839</v>
          </cell>
          <cell r="H1498" t="str">
            <v>Chị Thanh</v>
          </cell>
          <cell r="I1498" t="str">
            <v>Khách mới</v>
          </cell>
          <cell r="J1498" t="str">
            <v>Đơn bán</v>
          </cell>
          <cell r="K1498" t="str">
            <v>SAKUKO754928</v>
          </cell>
          <cell r="L1498" t="str">
            <v>THỰC PHẨM</v>
          </cell>
          <cell r="M1498" t="str">
            <v>BÁNH KẸO, ĐỒ ĂN VẶT</v>
          </cell>
          <cell r="N1498" t="str">
            <v>KẸO</v>
          </cell>
          <cell r="O1498" t="str">
            <v>231377</v>
          </cell>
          <cell r="P1498" t="str">
            <v>4903333200375</v>
          </cell>
          <cell r="Q1498" t="str">
            <v>LOTTE-Kẹo cao su tổng hợp dạng lọ 114g</v>
          </cell>
          <cell r="R1498">
            <v>235000</v>
          </cell>
          <cell r="S1498">
            <v>1</v>
          </cell>
          <cell r="T1498">
            <v>235000</v>
          </cell>
          <cell r="U1498">
            <v>0</v>
          </cell>
          <cell r="V1498">
            <v>235000</v>
          </cell>
          <cell r="W1498" t="str">
            <v>4903333200375</v>
          </cell>
        </row>
        <row r="1499">
          <cell r="A1499">
            <v>2026</v>
          </cell>
          <cell r="B1499">
            <v>4</v>
          </cell>
          <cell r="C1499">
            <v>46138</v>
          </cell>
          <cell r="D1499" t="str">
            <v>1. SKK store</v>
          </cell>
          <cell r="E1499" t="str">
            <v>S1006</v>
          </cell>
          <cell r="F1499" t="str">
            <v>SKK Trần Đăng Ninh</v>
          </cell>
          <cell r="G1499" t="str">
            <v>0862954688</v>
          </cell>
          <cell r="H1499" t="str">
            <v>KLTDN</v>
          </cell>
          <cell r="I1499" t="str">
            <v>Khách vãng lai</v>
          </cell>
          <cell r="J1499" t="str">
            <v>Đơn bán</v>
          </cell>
          <cell r="K1499" t="str">
            <v>SAKUKO754945</v>
          </cell>
          <cell r="L1499" t="str">
            <v>CHĂM SÓC SẮC ĐẸP</v>
          </cell>
          <cell r="M1499" t="str">
            <v>Mỹ phẩm khác</v>
          </cell>
          <cell r="N1499" t="str">
            <v>PHỤ KIỆN LÀM ĐẸP</v>
          </cell>
          <cell r="O1499" t="str">
            <v>102390</v>
          </cell>
          <cell r="P1499" t="str">
            <v>4906327905980</v>
          </cell>
          <cell r="Q1499" t="str">
            <v>KOMODA - Khăn mặt khô dùng 1 lần 46m 20x20cm</v>
          </cell>
          <cell r="R1499">
            <v>52000</v>
          </cell>
          <cell r="S1499">
            <v>1</v>
          </cell>
          <cell r="T1499">
            <v>52000</v>
          </cell>
          <cell r="U1499">
            <v>0</v>
          </cell>
          <cell r="V1499">
            <v>52000</v>
          </cell>
          <cell r="W1499" t="str">
            <v>4906327905980</v>
          </cell>
        </row>
        <row r="1500">
          <cell r="A1500">
            <v>2026</v>
          </cell>
          <cell r="B1500">
            <v>4</v>
          </cell>
          <cell r="C1500">
            <v>46138</v>
          </cell>
          <cell r="D1500" t="str">
            <v>1. SKK store</v>
          </cell>
          <cell r="E1500" t="str">
            <v>S1006</v>
          </cell>
          <cell r="F1500" t="str">
            <v>SKK Trần Đăng Ninh</v>
          </cell>
          <cell r="G1500" t="str">
            <v>0913058189</v>
          </cell>
          <cell r="H1500" t="str">
            <v>Chị Phạm Thu Hà</v>
          </cell>
          <cell r="I1500" t="str">
            <v>Khách cũ</v>
          </cell>
          <cell r="J1500" t="str">
            <v>Đơn bán</v>
          </cell>
          <cell r="K1500" t="str">
            <v>SAKUKO754686</v>
          </cell>
          <cell r="L1500" t="str">
            <v>CHĂM SÓC SẮC ĐẸP</v>
          </cell>
          <cell r="M1500" t="str">
            <v>Mỹ phẩm khác</v>
          </cell>
          <cell r="N1500" t="str">
            <v>PHỤ KIỆN LÀM ĐẸP</v>
          </cell>
          <cell r="O1500" t="str">
            <v>102389</v>
          </cell>
          <cell r="P1500" t="str">
            <v>4969757110652</v>
          </cell>
          <cell r="Q1500" t="str">
            <v>KYOWA- Gói bông tẩy trang 130 miếng</v>
          </cell>
          <cell r="R1500">
            <v>49000</v>
          </cell>
          <cell r="S1500">
            <v>1</v>
          </cell>
          <cell r="T1500">
            <v>49000</v>
          </cell>
          <cell r="U1500">
            <v>0</v>
          </cell>
          <cell r="V1500">
            <v>49000</v>
          </cell>
          <cell r="W1500" t="str">
            <v>4969757110652</v>
          </cell>
        </row>
        <row r="1501">
          <cell r="A1501">
            <v>2026</v>
          </cell>
          <cell r="B1501">
            <v>4</v>
          </cell>
          <cell r="C1501">
            <v>46138</v>
          </cell>
          <cell r="D1501" t="str">
            <v>1. SKK store</v>
          </cell>
          <cell r="E1501" t="str">
            <v>S1007</v>
          </cell>
          <cell r="F1501" t="str">
            <v>SKK  Nguyễn Du</v>
          </cell>
          <cell r="G1501" t="str">
            <v>0984053279</v>
          </cell>
          <cell r="H1501" t="str">
            <v>cô giang</v>
          </cell>
          <cell r="I1501" t="str">
            <v>Khách cũ</v>
          </cell>
          <cell r="J1501" t="str">
            <v>Đơn bán</v>
          </cell>
          <cell r="K1501" t="str">
            <v>SAKUKO754608</v>
          </cell>
          <cell r="L1501" t="str">
            <v>THỰC PHẨM</v>
          </cell>
          <cell r="M1501" t="str">
            <v>MỲ, MIẾN</v>
          </cell>
          <cell r="N1501" t="str">
            <v>MỲ ĂN LIỀN</v>
          </cell>
          <cell r="O1501" t="str">
            <v>154359</v>
          </cell>
          <cell r="P1501" t="str">
            <v>4979397000138</v>
          </cell>
          <cell r="Q1501" t="str">
            <v>YAMAMOTO- Mì ramen ăn liền hải sản thịt heo 88g*5</v>
          </cell>
          <cell r="R1501">
            <v>54450</v>
          </cell>
          <cell r="S1501">
            <v>1</v>
          </cell>
          <cell r="T1501">
            <v>54450</v>
          </cell>
          <cell r="U1501">
            <v>0</v>
          </cell>
          <cell r="V1501">
            <v>54450</v>
          </cell>
          <cell r="W1501" t="str">
            <v>4979397000138</v>
          </cell>
        </row>
        <row r="1502">
          <cell r="A1502">
            <v>2026</v>
          </cell>
          <cell r="B1502">
            <v>4</v>
          </cell>
          <cell r="C1502">
            <v>46138</v>
          </cell>
          <cell r="D1502" t="str">
            <v>1. SKK store</v>
          </cell>
          <cell r="E1502" t="str">
            <v>S1008</v>
          </cell>
          <cell r="F1502" t="str">
            <v>SKK  Hàng Bông</v>
          </cell>
          <cell r="G1502" t="str">
            <v>02466810202</v>
          </cell>
          <cell r="H1502" t="str">
            <v>KH Tây</v>
          </cell>
          <cell r="I1502" t="str">
            <v>Khách vãng lai</v>
          </cell>
          <cell r="J1502" t="str">
            <v>Đơn bán</v>
          </cell>
          <cell r="K1502" t="str">
            <v>SAKUKO754823</v>
          </cell>
          <cell r="L1502" t="str">
            <v>ĐỒ CHO MẸ BÉ</v>
          </cell>
          <cell r="M1502" t="str">
            <v>GIẤY ƯỚT</v>
          </cell>
          <cell r="N1502" t="str">
            <v>GIẤY ƯỚT CHO BÉ</v>
          </cell>
          <cell r="O1502" t="str">
            <v>121664</v>
          </cell>
          <cell r="P1502" t="str">
            <v>8934755035074</v>
          </cell>
          <cell r="Q1502" t="str">
            <v>BOBBY- Khăn ướt em bé có hương 100 miếng</v>
          </cell>
          <cell r="R1502">
            <v>46000</v>
          </cell>
          <cell r="S1502">
            <v>1</v>
          </cell>
          <cell r="T1502">
            <v>46000</v>
          </cell>
          <cell r="U1502">
            <v>0</v>
          </cell>
          <cell r="V1502">
            <v>46000</v>
          </cell>
          <cell r="W1502" t="str">
            <v>8934755035074</v>
          </cell>
        </row>
        <row r="1503">
          <cell r="A1503">
            <v>2026</v>
          </cell>
          <cell r="B1503">
            <v>4</v>
          </cell>
          <cell r="C1503">
            <v>46138</v>
          </cell>
          <cell r="D1503" t="str">
            <v>1. SKK store</v>
          </cell>
          <cell r="E1503" t="str">
            <v>S1008</v>
          </cell>
          <cell r="F1503" t="str">
            <v>SKK  Hàng Bông</v>
          </cell>
          <cell r="G1503" t="str">
            <v>0702345555</v>
          </cell>
          <cell r="H1503" t="str">
            <v>Hải Anh</v>
          </cell>
          <cell r="I1503" t="str">
            <v>Khách cũ</v>
          </cell>
          <cell r="J1503" t="str">
            <v>Đơn bán</v>
          </cell>
          <cell r="K1503" t="str">
            <v>SAKUKO754856</v>
          </cell>
          <cell r="L1503" t="str">
            <v>THỰC PHẨM</v>
          </cell>
          <cell r="M1503" t="str">
            <v>BÁNH KẸO, ĐỒ ĂN VẶT</v>
          </cell>
          <cell r="N1503" t="str">
            <v>KẸO CAO SU</v>
          </cell>
          <cell r="O1503" t="str">
            <v>154653</v>
          </cell>
          <cell r="P1503" t="str">
            <v>4547894156650</v>
          </cell>
          <cell r="Q1503" t="str">
            <v>MONDELEZ JAPAN - Kẹo cao su vị bưởi hồng 130g</v>
          </cell>
          <cell r="R1503">
            <v>235000</v>
          </cell>
          <cell r="S1503">
            <v>1</v>
          </cell>
          <cell r="T1503">
            <v>235000</v>
          </cell>
          <cell r="U1503">
            <v>0</v>
          </cell>
          <cell r="V1503">
            <v>235000</v>
          </cell>
          <cell r="W1503" t="str">
            <v>4547894156650</v>
          </cell>
        </row>
        <row r="1504">
          <cell r="A1504">
            <v>2026</v>
          </cell>
          <cell r="B1504">
            <v>4</v>
          </cell>
          <cell r="C1504">
            <v>46138</v>
          </cell>
          <cell r="D1504" t="str">
            <v>1. SKK store</v>
          </cell>
          <cell r="E1504" t="str">
            <v>S1008</v>
          </cell>
          <cell r="F1504" t="str">
            <v>SKK  Hàng Bông</v>
          </cell>
          <cell r="G1504" t="str">
            <v>0933398292</v>
          </cell>
          <cell r="H1504" t="str">
            <v>chị phạm thu trang</v>
          </cell>
          <cell r="I1504" t="str">
            <v>Khách cũ</v>
          </cell>
          <cell r="J1504" t="str">
            <v>Đơn bán</v>
          </cell>
          <cell r="K1504" t="str">
            <v>SAKUKO754936</v>
          </cell>
          <cell r="L1504" t="str">
            <v>THỰC PHẨM</v>
          </cell>
          <cell r="M1504" t="str">
            <v>BÁNH KẸO, ĐỒ ĂN VẶT</v>
          </cell>
          <cell r="N1504" t="str">
            <v>KẸO</v>
          </cell>
          <cell r="O1504" t="str">
            <v>231377</v>
          </cell>
          <cell r="P1504" t="str">
            <v>4903333200375</v>
          </cell>
          <cell r="Q1504" t="str">
            <v>LOTTE-Kẹo cao su tổng hợp dạng lọ 114g</v>
          </cell>
          <cell r="R1504">
            <v>235000</v>
          </cell>
          <cell r="S1504">
            <v>1</v>
          </cell>
          <cell r="T1504">
            <v>235000</v>
          </cell>
          <cell r="U1504">
            <v>0</v>
          </cell>
          <cell r="V1504">
            <v>235000</v>
          </cell>
          <cell r="W1504" t="str">
            <v>4903333200375</v>
          </cell>
        </row>
        <row r="1505">
          <cell r="A1505">
            <v>2026</v>
          </cell>
          <cell r="B1505">
            <v>4</v>
          </cell>
          <cell r="C1505">
            <v>46138</v>
          </cell>
          <cell r="D1505" t="str">
            <v>1. SKK store</v>
          </cell>
          <cell r="E1505" t="str">
            <v>S1015</v>
          </cell>
          <cell r="F1505" t="str">
            <v>SKK Hàm Nghi</v>
          </cell>
          <cell r="G1505" t="str">
            <v>0931392828</v>
          </cell>
          <cell r="H1505" t="str">
            <v>chị hà</v>
          </cell>
          <cell r="I1505" t="str">
            <v>Khách cũ</v>
          </cell>
          <cell r="J1505" t="str">
            <v>Đơn bán</v>
          </cell>
          <cell r="K1505" t="str">
            <v>SAKUKO755061</v>
          </cell>
          <cell r="L1505" t="str">
            <v>THỰC PHẨM</v>
          </cell>
          <cell r="M1505" t="str">
            <v>BÁNH KẸO, ĐỒ ĂN VẶT</v>
          </cell>
          <cell r="N1505" t="str">
            <v>KẸO CAO SU</v>
          </cell>
          <cell r="O1505" t="str">
            <v>153932</v>
          </cell>
          <cell r="P1505" t="str">
            <v>4903333241651</v>
          </cell>
          <cell r="Q1505" t="str">
            <v>LOTTE - Kẹo cao su black black ít đường 133g</v>
          </cell>
          <cell r="R1505">
            <v>235000</v>
          </cell>
          <cell r="S1505">
            <v>1</v>
          </cell>
          <cell r="T1505">
            <v>235000</v>
          </cell>
          <cell r="U1505">
            <v>0</v>
          </cell>
          <cell r="V1505">
            <v>235000</v>
          </cell>
          <cell r="W1505" t="str">
            <v>4903333241651</v>
          </cell>
        </row>
        <row r="1506">
          <cell r="A1506">
            <v>2026</v>
          </cell>
          <cell r="B1506">
            <v>4</v>
          </cell>
          <cell r="C1506">
            <v>46138</v>
          </cell>
          <cell r="D1506" t="str">
            <v>1. SKK store</v>
          </cell>
          <cell r="E1506" t="str">
            <v>S1018</v>
          </cell>
          <cell r="F1506" t="str">
            <v>SKK Nguyễn Tuân</v>
          </cell>
          <cell r="G1506" t="str">
            <v>02422174499</v>
          </cell>
          <cell r="H1506" t="str">
            <v>klnt</v>
          </cell>
          <cell r="I1506" t="str">
            <v>Khách vãng lai</v>
          </cell>
          <cell r="J1506" t="str">
            <v>Đơn bán</v>
          </cell>
          <cell r="K1506" t="str">
            <v>SAKUKO755349</v>
          </cell>
          <cell r="L1506" t="str">
            <v>THỰC PHẨM</v>
          </cell>
          <cell r="M1506" t="str">
            <v>MỲ, MIẾN</v>
          </cell>
          <cell r="N1506" t="str">
            <v>MỲ ĂN LIỀN</v>
          </cell>
          <cell r="O1506" t="str">
            <v>153693</v>
          </cell>
          <cell r="P1506" t="str">
            <v>4902881066440</v>
          </cell>
          <cell r="Q1506" t="str">
            <v>MYOJO- Mỳ ramen vị miso 5 gói</v>
          </cell>
          <cell r="R1506">
            <v>105000</v>
          </cell>
          <cell r="S1506">
            <v>1</v>
          </cell>
          <cell r="T1506">
            <v>105000</v>
          </cell>
          <cell r="U1506">
            <v>0</v>
          </cell>
          <cell r="V1506">
            <v>105000</v>
          </cell>
          <cell r="W1506" t="str">
            <v>4902881066440</v>
          </cell>
        </row>
        <row r="1507">
          <cell r="A1507">
            <v>2026</v>
          </cell>
          <cell r="B1507">
            <v>4</v>
          </cell>
          <cell r="C1507">
            <v>46138</v>
          </cell>
          <cell r="D1507" t="str">
            <v>1. SKK store</v>
          </cell>
          <cell r="E1507" t="str">
            <v>S1018</v>
          </cell>
          <cell r="F1507" t="str">
            <v>SKK Nguyễn Tuân</v>
          </cell>
          <cell r="G1507" t="str">
            <v>0983203655</v>
          </cell>
          <cell r="H1507" t="str">
            <v>Chị Lê Thị Thu Hường</v>
          </cell>
          <cell r="I1507" t="str">
            <v>Khách cũ</v>
          </cell>
          <cell r="J1507" t="str">
            <v>Đơn bán</v>
          </cell>
          <cell r="K1507" t="str">
            <v>SAKUKO755351</v>
          </cell>
          <cell r="L1507" t="str">
            <v>THỰC PHẨM</v>
          </cell>
          <cell r="M1507" t="str">
            <v>MỲ, MIẾN</v>
          </cell>
          <cell r="N1507" t="str">
            <v>MỲ CHẾ BIẾN</v>
          </cell>
          <cell r="O1507" t="str">
            <v>175435</v>
          </cell>
          <cell r="P1507" t="str">
            <v>4901726014752</v>
          </cell>
          <cell r="Q1507" t="str">
            <v>ITSUKI FOODS- Mì soumen rau củ ngũ sắc320g</v>
          </cell>
          <cell r="R1507">
            <v>76000</v>
          </cell>
          <cell r="S1507">
            <v>1</v>
          </cell>
          <cell r="T1507">
            <v>76000</v>
          </cell>
          <cell r="U1507">
            <v>0</v>
          </cell>
          <cell r="V1507">
            <v>76000</v>
          </cell>
          <cell r="W1507" t="str">
            <v>4901726014752</v>
          </cell>
        </row>
        <row r="1508">
          <cell r="A1508">
            <v>2026</v>
          </cell>
          <cell r="B1508">
            <v>4</v>
          </cell>
          <cell r="C1508">
            <v>46138</v>
          </cell>
          <cell r="D1508" t="str">
            <v>1. SKK store</v>
          </cell>
          <cell r="E1508" t="str">
            <v>S1025</v>
          </cell>
          <cell r="F1508" t="str">
            <v>SKK T6 Time City</v>
          </cell>
          <cell r="G1508" t="str">
            <v>0967873222</v>
          </cell>
          <cell r="H1508" t="str">
            <v>Chú Dũng</v>
          </cell>
          <cell r="I1508" t="str">
            <v>Khách cũ</v>
          </cell>
          <cell r="J1508" t="str">
            <v>Đơn bán</v>
          </cell>
          <cell r="K1508" t="str">
            <v>SAKUKO754574</v>
          </cell>
          <cell r="L1508" t="str">
            <v>ĐỒ CHO MẸ BÉ</v>
          </cell>
          <cell r="M1508" t="str">
            <v>GIẤY ƯỚT</v>
          </cell>
          <cell r="N1508" t="str">
            <v>GIẤY ƯỚT CHO BÉ</v>
          </cell>
          <cell r="O1508" t="str">
            <v>121662</v>
          </cell>
          <cell r="P1508" t="str">
            <v>8934755035036</v>
          </cell>
          <cell r="Q1508" t="str">
            <v>FRESSI- Khăn ướt Care For All 20 miếng</v>
          </cell>
          <cell r="R1508">
            <v>14000</v>
          </cell>
          <cell r="S1508">
            <v>2</v>
          </cell>
          <cell r="T1508">
            <v>28000</v>
          </cell>
          <cell r="U1508">
            <v>0</v>
          </cell>
          <cell r="V1508">
            <v>28000</v>
          </cell>
          <cell r="W1508" t="str">
            <v>8934755035036</v>
          </cell>
        </row>
        <row r="1509">
          <cell r="A1509">
            <v>2026</v>
          </cell>
          <cell r="B1509">
            <v>4</v>
          </cell>
          <cell r="C1509">
            <v>46137</v>
          </cell>
          <cell r="D1509" t="str">
            <v>1. SKK store</v>
          </cell>
          <cell r="E1509" t="str">
            <v>S1004</v>
          </cell>
          <cell r="F1509" t="str">
            <v>SKK  Mandarin C1</v>
          </cell>
          <cell r="G1509" t="str">
            <v>0934466090</v>
          </cell>
          <cell r="H1509" t="str">
            <v>Chị Liên Phương</v>
          </cell>
          <cell r="I1509" t="str">
            <v>Khách cũ</v>
          </cell>
          <cell r="J1509" t="str">
            <v>Đơn bán</v>
          </cell>
          <cell r="K1509" t="str">
            <v>SAKUKO754211</v>
          </cell>
          <cell r="L1509" t="str">
            <v>CHĂM SÓC SẮC ĐẸP</v>
          </cell>
          <cell r="M1509" t="str">
            <v>Mỹ phẩm khác</v>
          </cell>
          <cell r="N1509" t="str">
            <v>PHỤ KIỆN LÀM ĐẸP</v>
          </cell>
          <cell r="O1509" t="str">
            <v>102391</v>
          </cell>
          <cell r="P1509" t="str">
            <v>4991203205759</v>
          </cell>
          <cell r="Q1509" t="str">
            <v>ECHO - Khăn mặt dạng nén 20v size 26x16cm</v>
          </cell>
          <cell r="R1509">
            <v>45000</v>
          </cell>
          <cell r="S1509">
            <v>1</v>
          </cell>
          <cell r="T1509">
            <v>45000</v>
          </cell>
          <cell r="U1509">
            <v>0</v>
          </cell>
          <cell r="V1509">
            <v>45000</v>
          </cell>
          <cell r="W1509" t="str">
            <v>4991203205759</v>
          </cell>
        </row>
        <row r="1510">
          <cell r="A1510">
            <v>2026</v>
          </cell>
          <cell r="B1510">
            <v>4</v>
          </cell>
          <cell r="C1510">
            <v>46137</v>
          </cell>
          <cell r="D1510" t="str">
            <v>1. SKK store</v>
          </cell>
          <cell r="E1510" t="str">
            <v>S1004</v>
          </cell>
          <cell r="F1510" t="str">
            <v>SKK  Mandarin C1</v>
          </cell>
          <cell r="G1510" t="str">
            <v>0934466090</v>
          </cell>
          <cell r="H1510" t="str">
            <v>Chị Liên Phương</v>
          </cell>
          <cell r="I1510" t="str">
            <v>Khách cũ</v>
          </cell>
          <cell r="J1510" t="str">
            <v>Đơn bán</v>
          </cell>
          <cell r="K1510" t="str">
            <v>SAKUKO754211</v>
          </cell>
          <cell r="L1510" t="str">
            <v>NHÀ CỬA ĐỜI SỐNG</v>
          </cell>
          <cell r="M1510" t="str">
            <v>ĐỒ DÙNG SINH HOẠT GIA ĐÌNH</v>
          </cell>
          <cell r="N1510" t="str">
            <v>VẬT DỤNG SINH HOẠT KHÁC</v>
          </cell>
          <cell r="O1510" t="str">
            <v>135039</v>
          </cell>
          <cell r="P1510" t="str">
            <v>4968988074993</v>
          </cell>
          <cell r="Q1510" t="str">
            <v>OMAICHI- Set 2 lọ chiết mỹ phẩm 40ml kèm hộp đựng</v>
          </cell>
          <cell r="R1510">
            <v>52000</v>
          </cell>
          <cell r="S1510">
            <v>1</v>
          </cell>
          <cell r="T1510">
            <v>52000</v>
          </cell>
          <cell r="U1510">
            <v>0</v>
          </cell>
          <cell r="V1510">
            <v>52000</v>
          </cell>
          <cell r="W1510" t="str">
            <v>4968988074993</v>
          </cell>
        </row>
        <row r="1511">
          <cell r="A1511">
            <v>2026</v>
          </cell>
          <cell r="B1511">
            <v>4</v>
          </cell>
          <cell r="C1511">
            <v>46137</v>
          </cell>
          <cell r="D1511" t="str">
            <v>1. SKK store</v>
          </cell>
          <cell r="E1511" t="str">
            <v>S1004</v>
          </cell>
          <cell r="F1511" t="str">
            <v>SKK  Mandarin C1</v>
          </cell>
          <cell r="G1511" t="str">
            <v>0988880916</v>
          </cell>
          <cell r="H1511" t="str">
            <v>cô Hà</v>
          </cell>
          <cell r="I1511" t="str">
            <v>Khách cũ</v>
          </cell>
          <cell r="J1511" t="str">
            <v>Đơn bán</v>
          </cell>
          <cell r="K1511" t="str">
            <v>SAKUKO754201</v>
          </cell>
          <cell r="L1511" t="str">
            <v>THỰC PHẨM</v>
          </cell>
          <cell r="M1511" t="str">
            <v>BÁNH KẸO, ĐỒ ĂN VẶT</v>
          </cell>
          <cell r="N1511" t="str">
            <v>KẸO</v>
          </cell>
          <cell r="O1511" t="str">
            <v>231374</v>
          </cell>
          <cell r="P1511" t="str">
            <v>4547894156315</v>
          </cell>
          <cell r="Q1511" t="str">
            <v>CLORETS-Kẹo cao su hương vị 4 mùa 140g</v>
          </cell>
          <cell r="R1511">
            <v>235000</v>
          </cell>
          <cell r="S1511">
            <v>1</v>
          </cell>
          <cell r="T1511">
            <v>235000</v>
          </cell>
          <cell r="U1511">
            <v>0</v>
          </cell>
          <cell r="V1511">
            <v>235000</v>
          </cell>
          <cell r="W1511" t="str">
            <v>4547894156315</v>
          </cell>
        </row>
        <row r="1512">
          <cell r="A1512">
            <v>2026</v>
          </cell>
          <cell r="B1512">
            <v>4</v>
          </cell>
          <cell r="C1512">
            <v>46137</v>
          </cell>
          <cell r="D1512" t="str">
            <v>1. SKK store</v>
          </cell>
          <cell r="E1512" t="str">
            <v>S1004</v>
          </cell>
          <cell r="F1512" t="str">
            <v>SKK  Mandarin C1</v>
          </cell>
          <cell r="G1512" t="str">
            <v>0988880916</v>
          </cell>
          <cell r="H1512" t="str">
            <v>cô Hà</v>
          </cell>
          <cell r="I1512" t="str">
            <v>Khách cũ</v>
          </cell>
          <cell r="J1512" t="str">
            <v>Đơn bán</v>
          </cell>
          <cell r="K1512" t="str">
            <v>SAKUKO754201</v>
          </cell>
          <cell r="L1512" t="str">
            <v>THỰC PHẨM</v>
          </cell>
          <cell r="M1512" t="str">
            <v>BÁNH KẸO, ĐỒ ĂN VẶT</v>
          </cell>
          <cell r="N1512" t="str">
            <v>KẸO</v>
          </cell>
          <cell r="O1512" t="str">
            <v>231376</v>
          </cell>
          <cell r="P1512" t="str">
            <v>4903333228577</v>
          </cell>
          <cell r="Q1512" t="str">
            <v>LOTTE-Kẹo cao su tổng hợp 7 loại dạng lọ 133g</v>
          </cell>
          <cell r="R1512">
            <v>235000</v>
          </cell>
          <cell r="S1512">
            <v>1</v>
          </cell>
          <cell r="T1512">
            <v>235000</v>
          </cell>
          <cell r="U1512">
            <v>0</v>
          </cell>
          <cell r="V1512">
            <v>235000</v>
          </cell>
          <cell r="W1512" t="str">
            <v>4903333228577</v>
          </cell>
        </row>
        <row r="1513">
          <cell r="A1513">
            <v>2026</v>
          </cell>
          <cell r="B1513">
            <v>4</v>
          </cell>
          <cell r="C1513">
            <v>46137</v>
          </cell>
          <cell r="D1513" t="str">
            <v>1. SKK store</v>
          </cell>
          <cell r="E1513" t="str">
            <v>S1005</v>
          </cell>
          <cell r="F1513" t="str">
            <v>SKK  Thái Hà</v>
          </cell>
          <cell r="G1513" t="str">
            <v>0902215900</v>
          </cell>
          <cell r="H1513" t="str">
            <v>Chị Đoàn LAn Huê</v>
          </cell>
          <cell r="I1513" t="str">
            <v>Khách cũ</v>
          </cell>
          <cell r="J1513" t="str">
            <v>Đơn bán</v>
          </cell>
          <cell r="K1513" t="str">
            <v>SAKUKO754314</v>
          </cell>
          <cell r="L1513" t="str">
            <v>THỰC PHẨM</v>
          </cell>
          <cell r="M1513" t="str">
            <v>MỲ, MIẾN</v>
          </cell>
          <cell r="N1513" t="str">
            <v>MỲ CHẾ BIẾN</v>
          </cell>
          <cell r="O1513" t="str">
            <v>154247</v>
          </cell>
          <cell r="P1513" t="str">
            <v>4902902105004</v>
          </cell>
          <cell r="Q1513" t="str">
            <v>MALONY_Miến khoai tây 500g</v>
          </cell>
          <cell r="R1513">
            <v>139000</v>
          </cell>
          <cell r="S1513">
            <v>1</v>
          </cell>
          <cell r="T1513">
            <v>139000</v>
          </cell>
          <cell r="U1513">
            <v>0</v>
          </cell>
          <cell r="V1513">
            <v>139000</v>
          </cell>
          <cell r="W1513" t="str">
            <v>4902902105004</v>
          </cell>
        </row>
        <row r="1514">
          <cell r="A1514">
            <v>2026</v>
          </cell>
          <cell r="B1514">
            <v>4</v>
          </cell>
          <cell r="C1514">
            <v>46137</v>
          </cell>
          <cell r="D1514" t="str">
            <v>1. SKK store</v>
          </cell>
          <cell r="E1514" t="str">
            <v>S1005</v>
          </cell>
          <cell r="F1514" t="str">
            <v>SKK  Thái Hà</v>
          </cell>
          <cell r="G1514" t="str">
            <v>0913293365</v>
          </cell>
          <cell r="H1514" t="str">
            <v>cô oanh</v>
          </cell>
          <cell r="I1514" t="str">
            <v>Khách cũ</v>
          </cell>
          <cell r="J1514" t="str">
            <v>Đơn bán</v>
          </cell>
          <cell r="K1514" t="str">
            <v>SAKUKO753599</v>
          </cell>
          <cell r="L1514" t="str">
            <v>THỰC PHẨM</v>
          </cell>
          <cell r="M1514" t="str">
            <v>MỲ, MIẾN</v>
          </cell>
          <cell r="N1514" t="str">
            <v>MỲ ĂN LIỀN</v>
          </cell>
          <cell r="O1514" t="str">
            <v>154359</v>
          </cell>
          <cell r="P1514" t="str">
            <v>4979397000138</v>
          </cell>
          <cell r="Q1514" t="str">
            <v>YAMAMOTO- Mì ramen ăn liền hải sản thịt heo 88g*5</v>
          </cell>
          <cell r="R1514">
            <v>54450</v>
          </cell>
          <cell r="S1514">
            <v>2</v>
          </cell>
          <cell r="T1514">
            <v>108900</v>
          </cell>
          <cell r="U1514">
            <v>0</v>
          </cell>
          <cell r="V1514">
            <v>108900</v>
          </cell>
          <cell r="W1514" t="str">
            <v>4979397000138</v>
          </cell>
        </row>
        <row r="1515">
          <cell r="A1515">
            <v>2026</v>
          </cell>
          <cell r="B1515">
            <v>4</v>
          </cell>
          <cell r="C1515">
            <v>46137</v>
          </cell>
          <cell r="D1515" t="str">
            <v>1. SKK store</v>
          </cell>
          <cell r="E1515" t="str">
            <v>S1005</v>
          </cell>
          <cell r="F1515" t="str">
            <v>SKK  Thái Hà</v>
          </cell>
          <cell r="G1515" t="str">
            <v>0913368489</v>
          </cell>
          <cell r="H1515" t="str">
            <v>nguyen hong nhung</v>
          </cell>
          <cell r="I1515" t="str">
            <v>Khách cũ</v>
          </cell>
          <cell r="J1515" t="str">
            <v>Đơn bán</v>
          </cell>
          <cell r="K1515" t="str">
            <v>SAKUKO753910</v>
          </cell>
          <cell r="L1515" t="str">
            <v>THỰC PHẨM</v>
          </cell>
          <cell r="M1515" t="str">
            <v>BÁNH KẸO, ĐỒ ĂN VẶT</v>
          </cell>
          <cell r="N1515" t="str">
            <v>KẸO</v>
          </cell>
          <cell r="O1515" t="str">
            <v>231376</v>
          </cell>
          <cell r="P1515" t="str">
            <v>4903333228577</v>
          </cell>
          <cell r="Q1515" t="str">
            <v>LOTTE-Kẹo cao su tổng hợp 7 loại dạng lọ 133g</v>
          </cell>
          <cell r="R1515">
            <v>235000</v>
          </cell>
          <cell r="S1515">
            <v>1</v>
          </cell>
          <cell r="T1515">
            <v>235000</v>
          </cell>
          <cell r="U1515">
            <v>0</v>
          </cell>
          <cell r="V1515">
            <v>235000</v>
          </cell>
          <cell r="W1515" t="str">
            <v>4903333228577</v>
          </cell>
        </row>
        <row r="1516">
          <cell r="A1516">
            <v>2026</v>
          </cell>
          <cell r="B1516">
            <v>4</v>
          </cell>
          <cell r="C1516">
            <v>46137</v>
          </cell>
          <cell r="D1516" t="str">
            <v>1. SKK store</v>
          </cell>
          <cell r="E1516" t="str">
            <v>S1006</v>
          </cell>
          <cell r="F1516" t="str">
            <v>SKK Trần Đăng Ninh</v>
          </cell>
          <cell r="G1516" t="str">
            <v>0901736855</v>
          </cell>
          <cell r="H1516" t="str">
            <v>Anh Cường</v>
          </cell>
          <cell r="I1516" t="str">
            <v>Khách cũ</v>
          </cell>
          <cell r="J1516" t="str">
            <v>Đơn bán</v>
          </cell>
          <cell r="K1516" t="str">
            <v>SAKUKO753799</v>
          </cell>
          <cell r="L1516" t="str">
            <v>THỰC PHẨM</v>
          </cell>
          <cell r="M1516" t="str">
            <v>BÁNH KẸO, ĐỒ ĂN VẶT</v>
          </cell>
          <cell r="N1516" t="str">
            <v>KẸO</v>
          </cell>
          <cell r="O1516" t="str">
            <v>231376</v>
          </cell>
          <cell r="P1516" t="str">
            <v>4903333228577</v>
          </cell>
          <cell r="Q1516" t="str">
            <v>LOTTE-Kẹo cao su tổng hợp 7 loại dạng lọ 133g</v>
          </cell>
          <cell r="R1516">
            <v>235000</v>
          </cell>
          <cell r="S1516">
            <v>1</v>
          </cell>
          <cell r="T1516">
            <v>235000</v>
          </cell>
          <cell r="U1516">
            <v>0</v>
          </cell>
          <cell r="V1516">
            <v>235000</v>
          </cell>
          <cell r="W1516" t="str">
            <v>4903333228577</v>
          </cell>
        </row>
        <row r="1517">
          <cell r="A1517">
            <v>2026</v>
          </cell>
          <cell r="B1517">
            <v>4</v>
          </cell>
          <cell r="C1517">
            <v>46137</v>
          </cell>
          <cell r="D1517" t="str">
            <v>1. SKK store</v>
          </cell>
          <cell r="E1517" t="str">
            <v>S1006</v>
          </cell>
          <cell r="F1517" t="str">
            <v>SKK Trần Đăng Ninh</v>
          </cell>
          <cell r="G1517" t="str">
            <v>0901736855</v>
          </cell>
          <cell r="H1517" t="str">
            <v>Anh Cường</v>
          </cell>
          <cell r="I1517" t="str">
            <v>Khách cũ</v>
          </cell>
          <cell r="J1517" t="str">
            <v>Đơn bán</v>
          </cell>
          <cell r="K1517" t="str">
            <v>SAKUKO753799</v>
          </cell>
          <cell r="L1517" t="str">
            <v>THỰC PHẨM</v>
          </cell>
          <cell r="M1517" t="str">
            <v>BÁNH KẸO, ĐỒ ĂN VẶT</v>
          </cell>
          <cell r="N1517" t="str">
            <v>KẸO</v>
          </cell>
          <cell r="O1517" t="str">
            <v>231377</v>
          </cell>
          <cell r="P1517" t="str">
            <v>4903333200375</v>
          </cell>
          <cell r="Q1517" t="str">
            <v>LOTTE-Kẹo cao su tổng hợp dạng lọ 114g</v>
          </cell>
          <cell r="R1517">
            <v>235000</v>
          </cell>
          <cell r="S1517">
            <v>1</v>
          </cell>
          <cell r="T1517">
            <v>235000</v>
          </cell>
          <cell r="U1517">
            <v>0</v>
          </cell>
          <cell r="V1517">
            <v>235000</v>
          </cell>
          <cell r="W1517" t="str">
            <v>4903333200375</v>
          </cell>
        </row>
        <row r="1518">
          <cell r="A1518">
            <v>2026</v>
          </cell>
          <cell r="B1518">
            <v>4</v>
          </cell>
          <cell r="C1518">
            <v>46137</v>
          </cell>
          <cell r="D1518" t="str">
            <v>1. SKK store</v>
          </cell>
          <cell r="E1518" t="str">
            <v>S1006</v>
          </cell>
          <cell r="F1518" t="str">
            <v>SKK Trần Đăng Ninh</v>
          </cell>
          <cell r="G1518" t="str">
            <v>0902123367</v>
          </cell>
          <cell r="H1518" t="str">
            <v>Chị Tạ Thị Hương Mai</v>
          </cell>
          <cell r="I1518" t="str">
            <v>Khách cũ</v>
          </cell>
          <cell r="J1518" t="str">
            <v>Đơn bán</v>
          </cell>
          <cell r="K1518" t="str">
            <v>SAKUKO753387</v>
          </cell>
          <cell r="L1518" t="str">
            <v>THỰC PHẨM</v>
          </cell>
          <cell r="M1518" t="str">
            <v>MỲ, MIẾN</v>
          </cell>
          <cell r="N1518" t="str">
            <v>MỲ CHẾ BIẾN</v>
          </cell>
          <cell r="O1518" t="str">
            <v>174948</v>
          </cell>
          <cell r="P1518" t="str">
            <v>4582114354119</v>
          </cell>
          <cell r="Q1518" t="str">
            <v>SANUKISHISEI- Mì soumen 300g</v>
          </cell>
          <cell r="R1518">
            <v>35000</v>
          </cell>
          <cell r="S1518">
            <v>2</v>
          </cell>
          <cell r="T1518">
            <v>70000</v>
          </cell>
          <cell r="U1518">
            <v>0</v>
          </cell>
          <cell r="V1518">
            <v>70000</v>
          </cell>
          <cell r="W1518" t="str">
            <v>4582114354119</v>
          </cell>
        </row>
        <row r="1519">
          <cell r="A1519">
            <v>2026</v>
          </cell>
          <cell r="B1519">
            <v>4</v>
          </cell>
          <cell r="C1519">
            <v>46137</v>
          </cell>
          <cell r="D1519" t="str">
            <v>1. SKK store</v>
          </cell>
          <cell r="E1519" t="str">
            <v>S1006</v>
          </cell>
          <cell r="F1519" t="str">
            <v>SKK Trần Đăng Ninh</v>
          </cell>
          <cell r="G1519" t="str">
            <v>0963650061</v>
          </cell>
          <cell r="H1519" t="str">
            <v>Chị Thủy</v>
          </cell>
          <cell r="I1519" t="str">
            <v>Khách cũ</v>
          </cell>
          <cell r="J1519" t="str">
            <v>Đơn bán</v>
          </cell>
          <cell r="K1519" t="str">
            <v>SAKUKO754096</v>
          </cell>
          <cell r="L1519" t="str">
            <v>CHĂM SÓC SẮC ĐẸP</v>
          </cell>
          <cell r="M1519" t="str">
            <v>Mỹ phẩm khác</v>
          </cell>
          <cell r="N1519" t="str">
            <v>PHỤ KIỆN LÀM ĐẸP</v>
          </cell>
          <cell r="O1519" t="str">
            <v>102390</v>
          </cell>
          <cell r="P1519" t="str">
            <v>4906327905980</v>
          </cell>
          <cell r="Q1519" t="str">
            <v>KOMODA - Khăn mặt khô dùng 1 lần 46m 20x20cm</v>
          </cell>
          <cell r="R1519">
            <v>52000</v>
          </cell>
          <cell r="S1519">
            <v>1</v>
          </cell>
          <cell r="T1519">
            <v>52000</v>
          </cell>
          <cell r="U1519">
            <v>0</v>
          </cell>
          <cell r="V1519">
            <v>52000</v>
          </cell>
          <cell r="W1519" t="str">
            <v>4906327905980</v>
          </cell>
        </row>
        <row r="1520">
          <cell r="A1520">
            <v>2026</v>
          </cell>
          <cell r="B1520">
            <v>4</v>
          </cell>
          <cell r="C1520">
            <v>46137</v>
          </cell>
          <cell r="D1520" t="str">
            <v>1. SKK store</v>
          </cell>
          <cell r="E1520" t="str">
            <v>S1006</v>
          </cell>
          <cell r="F1520" t="str">
            <v>SKK Trần Đăng Ninh</v>
          </cell>
          <cell r="G1520" t="str">
            <v>0963752877</v>
          </cell>
          <cell r="H1520" t="str">
            <v>chi dung</v>
          </cell>
          <cell r="I1520" t="str">
            <v>Khách cũ</v>
          </cell>
          <cell r="J1520" t="str">
            <v>Đơn bán</v>
          </cell>
          <cell r="K1520" t="str">
            <v>SAKUKO754219</v>
          </cell>
          <cell r="L1520" t="str">
            <v>CHĂM SÓC SẮC ĐẸP</v>
          </cell>
          <cell r="M1520" t="str">
            <v>CHĂM SÓC DA</v>
          </cell>
          <cell r="N1520" t="str">
            <v>CHĂM SÓC DA KHÁC</v>
          </cell>
          <cell r="O1520" t="str">
            <v>102387</v>
          </cell>
          <cell r="P1520" t="str">
            <v>8935006542907</v>
          </cell>
          <cell r="Q1520" t="str">
            <v>HADA LABO- Bộ sản phẩm dưỡng ẩm (travel kit)47g</v>
          </cell>
          <cell r="R1520">
            <v>129000</v>
          </cell>
          <cell r="S1520">
            <v>1</v>
          </cell>
          <cell r="T1520">
            <v>129000</v>
          </cell>
          <cell r="U1520">
            <v>0</v>
          </cell>
          <cell r="V1520">
            <v>129000</v>
          </cell>
          <cell r="W1520" t="str">
            <v>8935006542907</v>
          </cell>
        </row>
        <row r="1521">
          <cell r="A1521">
            <v>2026</v>
          </cell>
          <cell r="B1521">
            <v>4</v>
          </cell>
          <cell r="C1521">
            <v>46137</v>
          </cell>
          <cell r="D1521" t="str">
            <v>1. SKK store</v>
          </cell>
          <cell r="E1521" t="str">
            <v>S1006</v>
          </cell>
          <cell r="F1521" t="str">
            <v>SKK Trần Đăng Ninh</v>
          </cell>
          <cell r="G1521" t="str">
            <v>0979580510</v>
          </cell>
          <cell r="H1521" t="str">
            <v>phạm thị huệ</v>
          </cell>
          <cell r="I1521" t="str">
            <v>Khách cũ</v>
          </cell>
          <cell r="J1521" t="str">
            <v>Đơn bán</v>
          </cell>
          <cell r="K1521" t="str">
            <v>SAKUKO754470</v>
          </cell>
          <cell r="L1521" t="str">
            <v>CHĂM SÓC SẮC ĐẸP</v>
          </cell>
          <cell r="M1521" t="str">
            <v>Mỹ phẩm khác</v>
          </cell>
          <cell r="N1521" t="str">
            <v>PHỤ KIỆN LÀM ĐẸP</v>
          </cell>
          <cell r="O1521" t="str">
            <v>102390</v>
          </cell>
          <cell r="P1521" t="str">
            <v>4906327905980</v>
          </cell>
          <cell r="Q1521" t="str">
            <v>KOMODA - Khăn mặt khô dùng 1 lần 46m 20x20cm</v>
          </cell>
          <cell r="R1521">
            <v>52000</v>
          </cell>
          <cell r="S1521">
            <v>1</v>
          </cell>
          <cell r="T1521">
            <v>52000</v>
          </cell>
          <cell r="U1521">
            <v>0</v>
          </cell>
          <cell r="V1521">
            <v>52000</v>
          </cell>
          <cell r="W1521" t="str">
            <v>4906327905980</v>
          </cell>
        </row>
        <row r="1522">
          <cell r="A1522">
            <v>2026</v>
          </cell>
          <cell r="B1522">
            <v>4</v>
          </cell>
          <cell r="C1522">
            <v>46137</v>
          </cell>
          <cell r="D1522" t="str">
            <v>1. SKK store</v>
          </cell>
          <cell r="E1522" t="str">
            <v>S1006</v>
          </cell>
          <cell r="F1522" t="str">
            <v>SKK Trần Đăng Ninh</v>
          </cell>
          <cell r="G1522" t="str">
            <v>0982398686</v>
          </cell>
          <cell r="H1522" t="str">
            <v>Chi Nguyễn Thị Hải</v>
          </cell>
          <cell r="I1522" t="str">
            <v>Khách cũ</v>
          </cell>
          <cell r="J1522" t="str">
            <v>Đơn bán</v>
          </cell>
          <cell r="K1522" t="str">
            <v>SAKUKO753615</v>
          </cell>
          <cell r="L1522" t="str">
            <v>THỰC PHẨM</v>
          </cell>
          <cell r="M1522" t="str">
            <v>MỲ, MIẾN</v>
          </cell>
          <cell r="N1522" t="str">
            <v>MỲ CHẾ BIẾN</v>
          </cell>
          <cell r="O1522" t="str">
            <v>154249</v>
          </cell>
          <cell r="P1522" t="str">
            <v>4517244004627</v>
          </cell>
          <cell r="Q1522" t="str">
            <v>ASAHI_Mì udon khô 400g</v>
          </cell>
          <cell r="R1522">
            <v>69000</v>
          </cell>
          <cell r="S1522">
            <v>2</v>
          </cell>
          <cell r="T1522">
            <v>138000</v>
          </cell>
          <cell r="U1522">
            <v>0</v>
          </cell>
          <cell r="V1522">
            <v>138000</v>
          </cell>
          <cell r="W1522" t="str">
            <v>4517244004627</v>
          </cell>
        </row>
        <row r="1523">
          <cell r="A1523">
            <v>2026</v>
          </cell>
          <cell r="B1523">
            <v>4</v>
          </cell>
          <cell r="C1523">
            <v>46137</v>
          </cell>
          <cell r="D1523" t="str">
            <v>1. SKK store</v>
          </cell>
          <cell r="E1523" t="str">
            <v>S1006</v>
          </cell>
          <cell r="F1523" t="str">
            <v>SKK Trần Đăng Ninh</v>
          </cell>
          <cell r="G1523" t="str">
            <v>0982612761</v>
          </cell>
          <cell r="H1523" t="str">
            <v>Chị Tuyết</v>
          </cell>
          <cell r="I1523" t="str">
            <v>Khách cũ</v>
          </cell>
          <cell r="J1523" t="str">
            <v>Đơn bán</v>
          </cell>
          <cell r="K1523" t="str">
            <v>SAKUKO753243</v>
          </cell>
          <cell r="L1523" t="str">
            <v>THỰC PHẨM</v>
          </cell>
          <cell r="M1523" t="str">
            <v>MỲ, MIẾN</v>
          </cell>
          <cell r="N1523" t="str">
            <v>MỲ CHẾ BIẾN</v>
          </cell>
          <cell r="O1523" t="str">
            <v>154247</v>
          </cell>
          <cell r="P1523" t="str">
            <v>4902902105004</v>
          </cell>
          <cell r="Q1523" t="str">
            <v>MALONY_Miến khoai tây 500g</v>
          </cell>
          <cell r="R1523">
            <v>139000</v>
          </cell>
          <cell r="S1523">
            <v>1</v>
          </cell>
          <cell r="T1523">
            <v>139000</v>
          </cell>
          <cell r="U1523">
            <v>0</v>
          </cell>
          <cell r="V1523">
            <v>139000</v>
          </cell>
          <cell r="W1523" t="str">
            <v>4902902105004</v>
          </cell>
        </row>
        <row r="1524">
          <cell r="A1524">
            <v>2026</v>
          </cell>
          <cell r="B1524">
            <v>4</v>
          </cell>
          <cell r="C1524">
            <v>46137</v>
          </cell>
          <cell r="D1524" t="str">
            <v>1. SKK store</v>
          </cell>
          <cell r="E1524" t="str">
            <v>S1006</v>
          </cell>
          <cell r="F1524" t="str">
            <v>SKK Trần Đăng Ninh</v>
          </cell>
          <cell r="G1524" t="str">
            <v>0983420284</v>
          </cell>
          <cell r="H1524" t="str">
            <v>C HUYỀN</v>
          </cell>
          <cell r="I1524" t="str">
            <v>Khách cũ</v>
          </cell>
          <cell r="J1524" t="str">
            <v>Đơn bán</v>
          </cell>
          <cell r="K1524" t="str">
            <v>SAKUKO754471</v>
          </cell>
          <cell r="L1524" t="str">
            <v>CHĂM SÓC SẮC ĐẸP</v>
          </cell>
          <cell r="M1524" t="str">
            <v>CHĂM SÓC DA</v>
          </cell>
          <cell r="N1524" t="str">
            <v>RỬA MẶT</v>
          </cell>
          <cell r="O1524" t="str">
            <v>230269</v>
          </cell>
          <cell r="P1524" t="str">
            <v>4987241173242</v>
          </cell>
          <cell r="Q1524" t="str">
            <v>ROHTO- SRM Melano CC mờ thâm nám (130g)</v>
          </cell>
          <cell r="R1524">
            <v>294000</v>
          </cell>
          <cell r="S1524">
            <v>1</v>
          </cell>
          <cell r="T1524">
            <v>294000</v>
          </cell>
          <cell r="U1524">
            <v>0</v>
          </cell>
          <cell r="V1524">
            <v>294000</v>
          </cell>
          <cell r="W1524" t="str">
            <v>4987241173242</v>
          </cell>
        </row>
        <row r="1525">
          <cell r="A1525">
            <v>2026</v>
          </cell>
          <cell r="B1525">
            <v>4</v>
          </cell>
          <cell r="C1525">
            <v>46137</v>
          </cell>
          <cell r="D1525" t="str">
            <v>1. SKK store</v>
          </cell>
          <cell r="E1525" t="str">
            <v>S1006</v>
          </cell>
          <cell r="F1525" t="str">
            <v>SKK Trần Đăng Ninh</v>
          </cell>
          <cell r="G1525" t="str">
            <v>0986219669</v>
          </cell>
          <cell r="H1525" t="str">
            <v>c vân anh</v>
          </cell>
          <cell r="I1525" t="str">
            <v>Khách cũ</v>
          </cell>
          <cell r="J1525" t="str">
            <v>Đơn bán</v>
          </cell>
          <cell r="K1525" t="str">
            <v>SAKUKO753110</v>
          </cell>
          <cell r="L1525" t="str">
            <v>CHĂM SÓC SẮC ĐẸP</v>
          </cell>
          <cell r="M1525" t="str">
            <v>CHĂM SÓC DA</v>
          </cell>
          <cell r="N1525" t="str">
            <v>CHĂM SÓC DA KHÁC</v>
          </cell>
          <cell r="O1525" t="str">
            <v>102387</v>
          </cell>
          <cell r="P1525" t="str">
            <v>8935006542907</v>
          </cell>
          <cell r="Q1525" t="str">
            <v>HADA LABO- Bộ sản phẩm dưỡng ẩm (travel kit)47g</v>
          </cell>
          <cell r="R1525">
            <v>129000</v>
          </cell>
          <cell r="S1525">
            <v>1</v>
          </cell>
          <cell r="T1525">
            <v>129000</v>
          </cell>
          <cell r="U1525">
            <v>0</v>
          </cell>
          <cell r="V1525">
            <v>129000</v>
          </cell>
          <cell r="W1525" t="str">
            <v>8935006542907</v>
          </cell>
        </row>
        <row r="1526">
          <cell r="A1526">
            <v>2026</v>
          </cell>
          <cell r="B1526">
            <v>4</v>
          </cell>
          <cell r="C1526">
            <v>46137</v>
          </cell>
          <cell r="D1526" t="str">
            <v>1. SKK store</v>
          </cell>
          <cell r="E1526" t="str">
            <v>S1006</v>
          </cell>
          <cell r="F1526" t="str">
            <v>SKK Trần Đăng Ninh</v>
          </cell>
          <cell r="G1526" t="str">
            <v>0988843855</v>
          </cell>
          <cell r="H1526" t="str">
            <v>chị nga</v>
          </cell>
          <cell r="I1526" t="str">
            <v>Khách cũ</v>
          </cell>
          <cell r="J1526" t="str">
            <v>Đơn bán</v>
          </cell>
          <cell r="K1526" t="str">
            <v>SAKUKO753536</v>
          </cell>
          <cell r="L1526" t="str">
            <v>CHĂM SÓC SẮC ĐẸP</v>
          </cell>
          <cell r="M1526" t="str">
            <v>CHĂM SÓC DA</v>
          </cell>
          <cell r="N1526" t="str">
            <v>CHĂM SÓC DA KHÁC</v>
          </cell>
          <cell r="O1526" t="str">
            <v>102387</v>
          </cell>
          <cell r="P1526" t="str">
            <v>8935006542907</v>
          </cell>
          <cell r="Q1526" t="str">
            <v>HADA LABO- Bộ sản phẩm dưỡng ẩm (travel kit)47g</v>
          </cell>
          <cell r="R1526">
            <v>129000</v>
          </cell>
          <cell r="S1526">
            <v>1</v>
          </cell>
          <cell r="T1526">
            <v>129000</v>
          </cell>
          <cell r="U1526">
            <v>0</v>
          </cell>
          <cell r="V1526">
            <v>129000</v>
          </cell>
          <cell r="W1526" t="str">
            <v>8935006542907</v>
          </cell>
        </row>
        <row r="1527">
          <cell r="A1527">
            <v>2026</v>
          </cell>
          <cell r="B1527">
            <v>4</v>
          </cell>
          <cell r="C1527">
            <v>46137</v>
          </cell>
          <cell r="D1527" t="str">
            <v>1. SKK store</v>
          </cell>
          <cell r="E1527" t="str">
            <v>S1006</v>
          </cell>
          <cell r="F1527" t="str">
            <v>SKK Trần Đăng Ninh</v>
          </cell>
          <cell r="G1527" t="str">
            <v>0989954922</v>
          </cell>
          <cell r="H1527" t="str">
            <v>a tho</v>
          </cell>
          <cell r="I1527" t="str">
            <v>Khách cũ</v>
          </cell>
          <cell r="J1527" t="str">
            <v>Đơn bán</v>
          </cell>
          <cell r="K1527" t="str">
            <v>SAKUKO753725</v>
          </cell>
          <cell r="L1527" t="str">
            <v>THỰC PHẨM</v>
          </cell>
          <cell r="M1527" t="str">
            <v>BÁNH KẸO, ĐỒ ĂN VẶT</v>
          </cell>
          <cell r="N1527" t="str">
            <v>KẸO CAO SU</v>
          </cell>
          <cell r="O1527" t="str">
            <v>153932</v>
          </cell>
          <cell r="P1527" t="str">
            <v>4903333241651</v>
          </cell>
          <cell r="Q1527" t="str">
            <v>LOTTE - Kẹo cao su black black ít đường 133g</v>
          </cell>
          <cell r="R1527">
            <v>235000</v>
          </cell>
          <cell r="S1527">
            <v>1</v>
          </cell>
          <cell r="T1527">
            <v>235000</v>
          </cell>
          <cell r="U1527">
            <v>0</v>
          </cell>
          <cell r="V1527">
            <v>235000</v>
          </cell>
          <cell r="W1527" t="str">
            <v>4903333241651</v>
          </cell>
        </row>
        <row r="1528">
          <cell r="A1528">
            <v>2026</v>
          </cell>
          <cell r="B1528">
            <v>4</v>
          </cell>
          <cell r="C1528">
            <v>46137</v>
          </cell>
          <cell r="D1528" t="str">
            <v>1. SKK store</v>
          </cell>
          <cell r="E1528" t="str">
            <v>S1007</v>
          </cell>
          <cell r="F1528" t="str">
            <v>SKK  Nguyễn Du</v>
          </cell>
          <cell r="G1528" t="str">
            <v>0934459906</v>
          </cell>
          <cell r="H1528" t="str">
            <v>chị mai vân anh</v>
          </cell>
          <cell r="I1528" t="str">
            <v>Khách cũ</v>
          </cell>
          <cell r="J1528" t="str">
            <v>Đơn bán</v>
          </cell>
          <cell r="K1528" t="str">
            <v>SAKUKO753289</v>
          </cell>
          <cell r="L1528" t="str">
            <v>THỰC PHẨM</v>
          </cell>
          <cell r="M1528" t="str">
            <v>MỲ, MIẾN</v>
          </cell>
          <cell r="N1528" t="str">
            <v>MỲ ĂN LIỀN</v>
          </cell>
          <cell r="O1528" t="str">
            <v>154359</v>
          </cell>
          <cell r="P1528" t="str">
            <v>4979397000138</v>
          </cell>
          <cell r="Q1528" t="str">
            <v>YAMAMOTO- Mì ramen ăn liền hải sản thịt heo 88g*5</v>
          </cell>
          <cell r="R1528">
            <v>54450</v>
          </cell>
          <cell r="S1528">
            <v>1</v>
          </cell>
          <cell r="T1528">
            <v>54450</v>
          </cell>
          <cell r="U1528">
            <v>0</v>
          </cell>
          <cell r="V1528">
            <v>54450</v>
          </cell>
          <cell r="W1528" t="str">
            <v>4979397000138</v>
          </cell>
        </row>
        <row r="1529">
          <cell r="A1529">
            <v>2026</v>
          </cell>
          <cell r="B1529">
            <v>4</v>
          </cell>
          <cell r="C1529">
            <v>46137</v>
          </cell>
          <cell r="D1529" t="str">
            <v>1. SKK store</v>
          </cell>
          <cell r="E1529" t="str">
            <v>S1007</v>
          </cell>
          <cell r="F1529" t="str">
            <v>SKK  Nguyễn Du</v>
          </cell>
          <cell r="G1529" t="str">
            <v>0936066268</v>
          </cell>
          <cell r="H1529" t="str">
            <v>C. Lan</v>
          </cell>
          <cell r="I1529" t="str">
            <v>Khách cũ</v>
          </cell>
          <cell r="J1529" t="str">
            <v>Đơn bán</v>
          </cell>
          <cell r="K1529" t="str">
            <v>SAKUKO753636</v>
          </cell>
          <cell r="L1529" t="str">
            <v>THỰC PHẨM</v>
          </cell>
          <cell r="M1529" t="str">
            <v>MỲ, MIẾN</v>
          </cell>
          <cell r="N1529" t="str">
            <v>MỲ ĂN LIỀN</v>
          </cell>
          <cell r="O1529" t="str">
            <v>154359</v>
          </cell>
          <cell r="P1529" t="str">
            <v>4979397000138</v>
          </cell>
          <cell r="Q1529" t="str">
            <v>YAMAMOTO- Mì ramen ăn liền hải sản thịt heo 88g*5</v>
          </cell>
          <cell r="R1529">
            <v>54450</v>
          </cell>
          <cell r="S1529">
            <v>1</v>
          </cell>
          <cell r="T1529">
            <v>54450</v>
          </cell>
          <cell r="U1529">
            <v>0</v>
          </cell>
          <cell r="V1529">
            <v>54450</v>
          </cell>
          <cell r="W1529" t="str">
            <v>4979397000138</v>
          </cell>
        </row>
        <row r="1530">
          <cell r="A1530">
            <v>2026</v>
          </cell>
          <cell r="B1530">
            <v>4</v>
          </cell>
          <cell r="C1530">
            <v>46137</v>
          </cell>
          <cell r="D1530" t="str">
            <v>1. SKK store</v>
          </cell>
          <cell r="E1530" t="str">
            <v>S1007</v>
          </cell>
          <cell r="F1530" t="str">
            <v>SKK  Nguyễn Du</v>
          </cell>
          <cell r="G1530" t="str">
            <v>0944523038</v>
          </cell>
          <cell r="H1530" t="str">
            <v>CÔ loan</v>
          </cell>
          <cell r="I1530" t="str">
            <v>Khách cũ</v>
          </cell>
          <cell r="J1530" t="str">
            <v>Đơn bán</v>
          </cell>
          <cell r="K1530" t="str">
            <v>SAKUKO754140</v>
          </cell>
          <cell r="L1530" t="str">
            <v>THỰC PHẨM</v>
          </cell>
          <cell r="M1530" t="str">
            <v>MỲ, MIẾN</v>
          </cell>
          <cell r="N1530" t="str">
            <v>MỲ ĂN LIỀN</v>
          </cell>
          <cell r="O1530" t="str">
            <v>154359</v>
          </cell>
          <cell r="P1530" t="str">
            <v>4979397000138</v>
          </cell>
          <cell r="Q1530" t="str">
            <v>YAMAMOTO- Mì ramen ăn liền hải sản thịt heo 88g*5</v>
          </cell>
          <cell r="R1530">
            <v>54450</v>
          </cell>
          <cell r="S1530">
            <v>3</v>
          </cell>
          <cell r="T1530">
            <v>163350</v>
          </cell>
          <cell r="U1530">
            <v>0</v>
          </cell>
          <cell r="V1530">
            <v>163350</v>
          </cell>
          <cell r="W1530" t="str">
            <v>4979397000138</v>
          </cell>
        </row>
        <row r="1531">
          <cell r="A1531">
            <v>2026</v>
          </cell>
          <cell r="B1531">
            <v>4</v>
          </cell>
          <cell r="C1531">
            <v>46137</v>
          </cell>
          <cell r="D1531" t="str">
            <v>1. SKK store</v>
          </cell>
          <cell r="E1531" t="str">
            <v>S1007</v>
          </cell>
          <cell r="F1531" t="str">
            <v>SKK  Nguyễn Du</v>
          </cell>
          <cell r="G1531" t="str">
            <v>0983019782</v>
          </cell>
          <cell r="H1531" t="str">
            <v>chị Nguyễn Phương Thúy</v>
          </cell>
          <cell r="I1531" t="str">
            <v>Khách cũ</v>
          </cell>
          <cell r="J1531" t="str">
            <v>Đơn bán</v>
          </cell>
          <cell r="K1531" t="str">
            <v>SAKUKO753135</v>
          </cell>
          <cell r="L1531" t="str">
            <v>THỰC PHẨM</v>
          </cell>
          <cell r="M1531" t="str">
            <v>MỲ, MIẾN</v>
          </cell>
          <cell r="N1531" t="str">
            <v>MỲ ĂN LIỀN</v>
          </cell>
          <cell r="O1531" t="str">
            <v>154359</v>
          </cell>
          <cell r="P1531" t="str">
            <v>4979397000138</v>
          </cell>
          <cell r="Q1531" t="str">
            <v>YAMAMOTO- Mì ramen ăn liền hải sản thịt heo 88g*5</v>
          </cell>
          <cell r="R1531">
            <v>54450</v>
          </cell>
          <cell r="S1531">
            <v>1</v>
          </cell>
          <cell r="T1531">
            <v>54450</v>
          </cell>
          <cell r="U1531">
            <v>0</v>
          </cell>
          <cell r="V1531">
            <v>54450</v>
          </cell>
          <cell r="W1531" t="str">
            <v>4979397000138</v>
          </cell>
        </row>
        <row r="1532">
          <cell r="A1532">
            <v>2026</v>
          </cell>
          <cell r="B1532">
            <v>4</v>
          </cell>
          <cell r="C1532">
            <v>46137</v>
          </cell>
          <cell r="D1532" t="str">
            <v>1. SKK store</v>
          </cell>
          <cell r="E1532" t="str">
            <v>S1008</v>
          </cell>
          <cell r="F1532" t="str">
            <v>SKK  Hàng Bông</v>
          </cell>
          <cell r="G1532" t="str">
            <v>02466810202</v>
          </cell>
          <cell r="H1532" t="str">
            <v>KH Tây</v>
          </cell>
          <cell r="I1532" t="str">
            <v>Khách vãng lai</v>
          </cell>
          <cell r="J1532" t="str">
            <v>Đơn bán</v>
          </cell>
          <cell r="K1532" t="str">
            <v>SAKUKO753655</v>
          </cell>
          <cell r="L1532" t="str">
            <v>ĐỒ CHO MẸ BÉ</v>
          </cell>
          <cell r="M1532" t="str">
            <v>GIẤY ƯỚT</v>
          </cell>
          <cell r="N1532" t="str">
            <v>GIẤY ƯỚT CHO BÉ</v>
          </cell>
          <cell r="O1532" t="str">
            <v>121662</v>
          </cell>
          <cell r="P1532" t="str">
            <v>8934755035036</v>
          </cell>
          <cell r="Q1532" t="str">
            <v>FRESSI- Khăn ướt Care For All 20 miếng</v>
          </cell>
          <cell r="R1532">
            <v>14000</v>
          </cell>
          <cell r="S1532">
            <v>1</v>
          </cell>
          <cell r="T1532">
            <v>14000</v>
          </cell>
          <cell r="U1532">
            <v>0</v>
          </cell>
          <cell r="V1532">
            <v>14000</v>
          </cell>
          <cell r="W1532" t="str">
            <v>8934755035036</v>
          </cell>
        </row>
        <row r="1533">
          <cell r="A1533">
            <v>2026</v>
          </cell>
          <cell r="B1533">
            <v>4</v>
          </cell>
          <cell r="C1533">
            <v>46137</v>
          </cell>
          <cell r="D1533" t="str">
            <v>1. SKK store</v>
          </cell>
          <cell r="E1533" t="str">
            <v>S1018</v>
          </cell>
          <cell r="F1533" t="str">
            <v>SKK Nguyễn Tuân</v>
          </cell>
          <cell r="G1533" t="str">
            <v>0913000300</v>
          </cell>
          <cell r="H1533" t="str">
            <v>BAC LUONG MINH XUAN</v>
          </cell>
          <cell r="I1533" t="str">
            <v>Khách cũ</v>
          </cell>
          <cell r="J1533" t="str">
            <v>Đơn bán</v>
          </cell>
          <cell r="K1533" t="str">
            <v>SAKUKO753329</v>
          </cell>
          <cell r="L1533" t="str">
            <v>THỰC PHẨM</v>
          </cell>
          <cell r="M1533" t="str">
            <v>MỲ, MIẾN</v>
          </cell>
          <cell r="N1533" t="str">
            <v>MỲ ĂN LIỀN</v>
          </cell>
          <cell r="O1533" t="str">
            <v>153693</v>
          </cell>
          <cell r="P1533" t="str">
            <v>4902881066440</v>
          </cell>
          <cell r="Q1533" t="str">
            <v>MYOJO- Mỳ ramen vị miso 5 gói</v>
          </cell>
          <cell r="R1533">
            <v>105000</v>
          </cell>
          <cell r="S1533">
            <v>2</v>
          </cell>
          <cell r="T1533">
            <v>210000</v>
          </cell>
          <cell r="U1533">
            <v>0</v>
          </cell>
          <cell r="V1533">
            <v>210000</v>
          </cell>
          <cell r="W1533" t="str">
            <v>4902881066440</v>
          </cell>
        </row>
        <row r="1534">
          <cell r="A1534">
            <v>2026</v>
          </cell>
          <cell r="B1534">
            <v>4</v>
          </cell>
          <cell r="C1534">
            <v>46137</v>
          </cell>
          <cell r="D1534" t="str">
            <v>1. SKK store</v>
          </cell>
          <cell r="E1534" t="str">
            <v>S1025</v>
          </cell>
          <cell r="F1534" t="str">
            <v>SKK T6 Time City</v>
          </cell>
          <cell r="G1534" t="str">
            <v>0983259666</v>
          </cell>
          <cell r="H1534" t="str">
            <v>Chị Thanh</v>
          </cell>
          <cell r="I1534" t="str">
            <v>Khách cũ</v>
          </cell>
          <cell r="J1534" t="str">
            <v>Đơn bán</v>
          </cell>
          <cell r="K1534" t="str">
            <v>SAKUKO754087</v>
          </cell>
          <cell r="L1534" t="str">
            <v>THỰC PHẨM</v>
          </cell>
          <cell r="M1534" t="str">
            <v>BÁNH KẸO, ĐỒ ĂN VẶT</v>
          </cell>
          <cell r="N1534" t="str">
            <v>KẸO</v>
          </cell>
          <cell r="O1534" t="str">
            <v>231376</v>
          </cell>
          <cell r="P1534" t="str">
            <v>4903333228577</v>
          </cell>
          <cell r="Q1534" t="str">
            <v>LOTTE-Kẹo cao su tổng hợp 7 loại dạng lọ 133g</v>
          </cell>
          <cell r="R1534">
            <v>235000</v>
          </cell>
          <cell r="S1534">
            <v>1</v>
          </cell>
          <cell r="T1534">
            <v>235000</v>
          </cell>
          <cell r="U1534">
            <v>0</v>
          </cell>
          <cell r="V1534">
            <v>235000</v>
          </cell>
          <cell r="W1534" t="str">
            <v>4903333228577</v>
          </cell>
        </row>
        <row r="1535">
          <cell r="A1535">
            <v>2026</v>
          </cell>
          <cell r="B1535">
            <v>4</v>
          </cell>
          <cell r="C1535">
            <v>46137</v>
          </cell>
          <cell r="D1535" t="str">
            <v>1. SKK store</v>
          </cell>
          <cell r="E1535" t="str">
            <v>S1025</v>
          </cell>
          <cell r="F1535" t="str">
            <v>SKK T6 Time City</v>
          </cell>
          <cell r="G1535" t="str">
            <v>0986327668</v>
          </cell>
          <cell r="H1535" t="str">
            <v>Chị Lê Tố Như</v>
          </cell>
          <cell r="I1535" t="str">
            <v>Khách cũ</v>
          </cell>
          <cell r="J1535" t="str">
            <v>Đơn bán</v>
          </cell>
          <cell r="K1535" t="str">
            <v>SAKUKO753682</v>
          </cell>
          <cell r="L1535" t="str">
            <v>THỰC PHẨM</v>
          </cell>
          <cell r="M1535" t="str">
            <v>MỲ, MIẾN</v>
          </cell>
          <cell r="N1535" t="str">
            <v>MỲ ĂN LIỀN</v>
          </cell>
          <cell r="O1535" t="str">
            <v>154359</v>
          </cell>
          <cell r="P1535" t="str">
            <v>4979397000138</v>
          </cell>
          <cell r="Q1535" t="str">
            <v>YAMAMOTO- Mì ramen ăn liền hải sản thịt heo 88g*5</v>
          </cell>
          <cell r="R1535">
            <v>54450</v>
          </cell>
          <cell r="S1535">
            <v>1</v>
          </cell>
          <cell r="T1535">
            <v>54450</v>
          </cell>
          <cell r="U1535">
            <v>0</v>
          </cell>
          <cell r="V1535">
            <v>54450</v>
          </cell>
          <cell r="W1535" t="str">
            <v>4979397000138</v>
          </cell>
        </row>
        <row r="1536">
          <cell r="A1536">
            <v>2026</v>
          </cell>
          <cell r="B1536">
            <v>4</v>
          </cell>
          <cell r="C1536">
            <v>46136</v>
          </cell>
          <cell r="D1536" t="str">
            <v>1. SKK store</v>
          </cell>
          <cell r="E1536" t="str">
            <v>S1004</v>
          </cell>
          <cell r="F1536" t="str">
            <v>SKK  Mandarin C1</v>
          </cell>
          <cell r="G1536" t="str">
            <v>0839115658</v>
          </cell>
          <cell r="H1536" t="str">
            <v>Chị Hoa</v>
          </cell>
          <cell r="I1536" t="str">
            <v>Khách cũ</v>
          </cell>
          <cell r="J1536" t="str">
            <v>Đơn bán</v>
          </cell>
          <cell r="K1536" t="str">
            <v>SAKUKO752841</v>
          </cell>
          <cell r="L1536" t="str">
            <v>ĐỒ CHO MẸ BÉ</v>
          </cell>
          <cell r="M1536" t="str">
            <v>GIẤY ƯỚT</v>
          </cell>
          <cell r="N1536" t="str">
            <v>GIẤY ƯỚT CHO BÉ</v>
          </cell>
          <cell r="O1536" t="str">
            <v>121662</v>
          </cell>
          <cell r="P1536" t="str">
            <v>8934755035036</v>
          </cell>
          <cell r="Q1536" t="str">
            <v>FRESSI- Khăn ướt Care For All 20 miếng</v>
          </cell>
          <cell r="R1536">
            <v>14000</v>
          </cell>
          <cell r="S1536">
            <v>1</v>
          </cell>
          <cell r="T1536">
            <v>14000</v>
          </cell>
          <cell r="U1536">
            <v>0</v>
          </cell>
          <cell r="V1536">
            <v>14000</v>
          </cell>
          <cell r="W1536" t="str">
            <v>8934755035036</v>
          </cell>
        </row>
        <row r="1537">
          <cell r="A1537">
            <v>2026</v>
          </cell>
          <cell r="B1537">
            <v>4</v>
          </cell>
          <cell r="C1537">
            <v>46136</v>
          </cell>
          <cell r="D1537" t="str">
            <v>1. SKK store</v>
          </cell>
          <cell r="E1537" t="str">
            <v>S1004</v>
          </cell>
          <cell r="F1537" t="str">
            <v>SKK  Mandarin C1</v>
          </cell>
          <cell r="G1537" t="str">
            <v>0905389489</v>
          </cell>
          <cell r="H1537" t="str">
            <v>c Hảo</v>
          </cell>
          <cell r="I1537" t="str">
            <v>Khách cũ</v>
          </cell>
          <cell r="J1537" t="str">
            <v>Đơn bán</v>
          </cell>
          <cell r="K1537" t="str">
            <v>SAKUKO752259</v>
          </cell>
          <cell r="L1537" t="str">
            <v>CHĂM SÓC SẮC ĐẸP</v>
          </cell>
          <cell r="M1537" t="str">
            <v>Mỹ phẩm khác</v>
          </cell>
          <cell r="N1537" t="str">
            <v>PHỤ KIỆN LÀM ĐẸP</v>
          </cell>
          <cell r="O1537" t="str">
            <v>102391</v>
          </cell>
          <cell r="P1537" t="str">
            <v>4991203205759</v>
          </cell>
          <cell r="Q1537" t="str">
            <v>ECHO - Khăn mặt dạng nén 20v size 26x16cm</v>
          </cell>
          <cell r="R1537">
            <v>45000</v>
          </cell>
          <cell r="S1537">
            <v>1</v>
          </cell>
          <cell r="T1537">
            <v>45000</v>
          </cell>
          <cell r="U1537">
            <v>0</v>
          </cell>
          <cell r="V1537">
            <v>45000</v>
          </cell>
          <cell r="W1537" t="str">
            <v>4991203205759</v>
          </cell>
        </row>
        <row r="1538">
          <cell r="A1538">
            <v>2026</v>
          </cell>
          <cell r="B1538">
            <v>4</v>
          </cell>
          <cell r="C1538">
            <v>46136</v>
          </cell>
          <cell r="D1538" t="str">
            <v>1. SKK store</v>
          </cell>
          <cell r="E1538" t="str">
            <v>S1004</v>
          </cell>
          <cell r="F1538" t="str">
            <v>SKK  Mandarin C1</v>
          </cell>
          <cell r="G1538" t="str">
            <v>0906041187</v>
          </cell>
          <cell r="H1538" t="str">
            <v>Chị Trang</v>
          </cell>
          <cell r="I1538" t="str">
            <v>Khách cũ</v>
          </cell>
          <cell r="J1538" t="str">
            <v>Đơn bán</v>
          </cell>
          <cell r="K1538" t="str">
            <v>SAKUKO752292</v>
          </cell>
          <cell r="L1538" t="str">
            <v>ĐỒ CHO MẸ BÉ</v>
          </cell>
          <cell r="M1538" t="str">
            <v>GIẤY ƯỚT</v>
          </cell>
          <cell r="N1538" t="str">
            <v>GIẤY ƯỚT CHO BÉ</v>
          </cell>
          <cell r="O1538" t="str">
            <v>121665</v>
          </cell>
          <cell r="P1538" t="str">
            <v>8934755035289</v>
          </cell>
          <cell r="Q1538" t="str">
            <v>BOBBY- Khăn ướt em bé không mùi 100 miếng</v>
          </cell>
          <cell r="R1538">
            <v>46000</v>
          </cell>
          <cell r="S1538">
            <v>1</v>
          </cell>
          <cell r="T1538">
            <v>46000</v>
          </cell>
          <cell r="U1538">
            <v>0</v>
          </cell>
          <cell r="V1538">
            <v>46000</v>
          </cell>
          <cell r="W1538" t="str">
            <v>8934755035289</v>
          </cell>
        </row>
        <row r="1539">
          <cell r="A1539">
            <v>2026</v>
          </cell>
          <cell r="B1539">
            <v>4</v>
          </cell>
          <cell r="C1539">
            <v>46136</v>
          </cell>
          <cell r="D1539" t="str">
            <v>1. SKK store</v>
          </cell>
          <cell r="E1539" t="str">
            <v>S1005</v>
          </cell>
          <cell r="F1539" t="str">
            <v>SKK  Thái Hà</v>
          </cell>
          <cell r="G1539" t="str">
            <v>0865385816</v>
          </cell>
          <cell r="H1539" t="str">
            <v>chị LY</v>
          </cell>
          <cell r="I1539" t="str">
            <v>Khách cũ</v>
          </cell>
          <cell r="J1539" t="str">
            <v>Đơn bán</v>
          </cell>
          <cell r="K1539" t="str">
            <v>SAKUKO752759</v>
          </cell>
          <cell r="L1539" t="str">
            <v>THỰC PHẨM</v>
          </cell>
          <cell r="M1539" t="str">
            <v>BÁNH KẸO, ĐỒ ĂN VẶT</v>
          </cell>
          <cell r="N1539" t="str">
            <v>KẸO</v>
          </cell>
          <cell r="O1539" t="str">
            <v>231377</v>
          </cell>
          <cell r="P1539" t="str">
            <v>4903333200375</v>
          </cell>
          <cell r="Q1539" t="str">
            <v>LOTTE-Kẹo cao su tổng hợp dạng lọ 114g</v>
          </cell>
          <cell r="R1539">
            <v>235000</v>
          </cell>
          <cell r="S1539">
            <v>1</v>
          </cell>
          <cell r="T1539">
            <v>235000</v>
          </cell>
          <cell r="U1539">
            <v>0</v>
          </cell>
          <cell r="V1539">
            <v>235000</v>
          </cell>
          <cell r="W1539" t="str">
            <v>4903333200375</v>
          </cell>
        </row>
        <row r="1540">
          <cell r="A1540">
            <v>2026</v>
          </cell>
          <cell r="B1540">
            <v>4</v>
          </cell>
          <cell r="C1540">
            <v>46136</v>
          </cell>
          <cell r="D1540" t="str">
            <v>1. SKK store</v>
          </cell>
          <cell r="E1540" t="str">
            <v>S1005</v>
          </cell>
          <cell r="F1540" t="str">
            <v>SKK  Thái Hà</v>
          </cell>
          <cell r="G1540" t="str">
            <v>0966650999</v>
          </cell>
          <cell r="H1540" t="str">
            <v>chị vân anh</v>
          </cell>
          <cell r="I1540" t="str">
            <v>Khách cũ</v>
          </cell>
          <cell r="J1540" t="str">
            <v>Đơn bán</v>
          </cell>
          <cell r="K1540" t="str">
            <v>SAKUKO752668</v>
          </cell>
          <cell r="L1540" t="str">
            <v>THỰC PHẨM</v>
          </cell>
          <cell r="M1540" t="str">
            <v>MỲ, MIẾN</v>
          </cell>
          <cell r="N1540" t="str">
            <v>MỲ ĂN LIỀN</v>
          </cell>
          <cell r="O1540" t="str">
            <v>154359</v>
          </cell>
          <cell r="P1540" t="str">
            <v>4979397000138</v>
          </cell>
          <cell r="Q1540" t="str">
            <v>YAMAMOTO- Mì ramen ăn liền hải sản thịt heo 88g*5</v>
          </cell>
          <cell r="R1540">
            <v>54450</v>
          </cell>
          <cell r="S1540">
            <v>2</v>
          </cell>
          <cell r="T1540">
            <v>108900</v>
          </cell>
          <cell r="U1540">
            <v>0</v>
          </cell>
          <cell r="V1540">
            <v>108900</v>
          </cell>
          <cell r="W1540" t="str">
            <v>4979397000138</v>
          </cell>
        </row>
        <row r="1541">
          <cell r="A1541">
            <v>2026</v>
          </cell>
          <cell r="B1541">
            <v>4</v>
          </cell>
          <cell r="C1541">
            <v>46136</v>
          </cell>
          <cell r="D1541" t="str">
            <v>1. SKK store</v>
          </cell>
          <cell r="E1541" t="str">
            <v>S1006</v>
          </cell>
          <cell r="F1541" t="str">
            <v>SKK Trần Đăng Ninh</v>
          </cell>
          <cell r="G1541" t="str">
            <v>0904550273</v>
          </cell>
          <cell r="H1541" t="str">
            <v>Anh Tư</v>
          </cell>
          <cell r="I1541" t="str">
            <v>Khách cũ</v>
          </cell>
          <cell r="J1541" t="str">
            <v>Đơn bán</v>
          </cell>
          <cell r="K1541" t="str">
            <v>SAKUKO752718</v>
          </cell>
          <cell r="L1541" t="str">
            <v>THỰC PHẨM</v>
          </cell>
          <cell r="M1541" t="str">
            <v>BÁNH KẸO, ĐỒ ĂN VẶT</v>
          </cell>
          <cell r="N1541" t="str">
            <v>KẸO CAO SU</v>
          </cell>
          <cell r="O1541" t="str">
            <v>154653</v>
          </cell>
          <cell r="P1541" t="str">
            <v>4547894156650</v>
          </cell>
          <cell r="Q1541" t="str">
            <v>MONDELEZ JAPAN - Kẹo cao su vị bưởi hồng 130g</v>
          </cell>
          <cell r="R1541">
            <v>235000</v>
          </cell>
          <cell r="S1541">
            <v>1</v>
          </cell>
          <cell r="T1541">
            <v>235000</v>
          </cell>
          <cell r="U1541">
            <v>0</v>
          </cell>
          <cell r="V1541">
            <v>235000</v>
          </cell>
          <cell r="W1541" t="str">
            <v>4547894156650</v>
          </cell>
        </row>
        <row r="1542">
          <cell r="A1542">
            <v>2026</v>
          </cell>
          <cell r="B1542">
            <v>4</v>
          </cell>
          <cell r="C1542">
            <v>46136</v>
          </cell>
          <cell r="D1542" t="str">
            <v>1. SKK store</v>
          </cell>
          <cell r="E1542" t="str">
            <v>S1006</v>
          </cell>
          <cell r="F1542" t="str">
            <v>SKK Trần Đăng Ninh</v>
          </cell>
          <cell r="G1542" t="str">
            <v>0906603399</v>
          </cell>
          <cell r="H1542" t="str">
            <v>Hùng</v>
          </cell>
          <cell r="I1542" t="str">
            <v>Khách cũ</v>
          </cell>
          <cell r="J1542" t="str">
            <v>Đơn bán</v>
          </cell>
          <cell r="K1542" t="str">
            <v>SAKUKO752519</v>
          </cell>
          <cell r="L1542" t="str">
            <v>THỰC PHẨM</v>
          </cell>
          <cell r="M1542" t="str">
            <v>BÁNH KẸO, ĐỒ ĂN VẶT</v>
          </cell>
          <cell r="N1542" t="str">
            <v>KẸO</v>
          </cell>
          <cell r="O1542" t="str">
            <v>231376</v>
          </cell>
          <cell r="P1542" t="str">
            <v>4903333228577</v>
          </cell>
          <cell r="Q1542" t="str">
            <v>LOTTE-Kẹo cao su tổng hợp 7 loại dạng lọ 133g</v>
          </cell>
          <cell r="R1542">
            <v>235000</v>
          </cell>
          <cell r="S1542">
            <v>1</v>
          </cell>
          <cell r="T1542">
            <v>235000</v>
          </cell>
          <cell r="U1542">
            <v>0</v>
          </cell>
          <cell r="V1542">
            <v>235000</v>
          </cell>
          <cell r="W1542" t="str">
            <v>4903333228577</v>
          </cell>
        </row>
        <row r="1543">
          <cell r="A1543">
            <v>2026</v>
          </cell>
          <cell r="B1543">
            <v>4</v>
          </cell>
          <cell r="C1543">
            <v>46136</v>
          </cell>
          <cell r="D1543" t="str">
            <v>1. SKK store</v>
          </cell>
          <cell r="E1543" t="str">
            <v>S1007</v>
          </cell>
          <cell r="F1543" t="str">
            <v>SKK  Nguyễn Du</v>
          </cell>
          <cell r="G1543" t="str">
            <v>0912041070</v>
          </cell>
          <cell r="H1543" t="str">
            <v>chị đặng thu hằng</v>
          </cell>
          <cell r="I1543" t="str">
            <v>Khách cũ</v>
          </cell>
          <cell r="J1543" t="str">
            <v>Đơn bán</v>
          </cell>
          <cell r="K1543" t="str">
            <v>SAKUKO752114</v>
          </cell>
          <cell r="L1543" t="str">
            <v>THỰC PHẨM</v>
          </cell>
          <cell r="M1543" t="str">
            <v>MỲ, MIẾN</v>
          </cell>
          <cell r="N1543" t="str">
            <v>MỲ ĂN LIỀN</v>
          </cell>
          <cell r="O1543" t="str">
            <v>154359</v>
          </cell>
          <cell r="P1543" t="str">
            <v>4979397000138</v>
          </cell>
          <cell r="Q1543" t="str">
            <v>YAMAMOTO- Mì ramen ăn liền hải sản thịt heo 88g*5</v>
          </cell>
          <cell r="R1543">
            <v>54450</v>
          </cell>
          <cell r="S1543">
            <v>1</v>
          </cell>
          <cell r="T1543">
            <v>54450</v>
          </cell>
          <cell r="U1543">
            <v>0</v>
          </cell>
          <cell r="V1543">
            <v>54450</v>
          </cell>
          <cell r="W1543" t="str">
            <v>4979397000138</v>
          </cell>
        </row>
        <row r="1544">
          <cell r="A1544">
            <v>2026</v>
          </cell>
          <cell r="B1544">
            <v>4</v>
          </cell>
          <cell r="C1544">
            <v>46136</v>
          </cell>
          <cell r="D1544" t="str">
            <v>1. SKK store</v>
          </cell>
          <cell r="E1544" t="str">
            <v>S1007</v>
          </cell>
          <cell r="F1544" t="str">
            <v>SKK  Nguyễn Du</v>
          </cell>
          <cell r="G1544" t="str">
            <v>0948415518</v>
          </cell>
          <cell r="H1544" t="str">
            <v>chị ...</v>
          </cell>
          <cell r="I1544" t="str">
            <v>Khách cũ</v>
          </cell>
          <cell r="J1544" t="str">
            <v>Đơn bán</v>
          </cell>
          <cell r="K1544" t="str">
            <v>SAKUKO752556</v>
          </cell>
          <cell r="L1544" t="str">
            <v>THỰC PHẨM</v>
          </cell>
          <cell r="M1544" t="str">
            <v>MỲ, MIẾN</v>
          </cell>
          <cell r="N1544" t="str">
            <v>MỲ ĂN LIỀN</v>
          </cell>
          <cell r="O1544" t="str">
            <v>154359</v>
          </cell>
          <cell r="P1544" t="str">
            <v>4979397000138</v>
          </cell>
          <cell r="Q1544" t="str">
            <v>YAMAMOTO- Mì ramen ăn liền hải sản thịt heo 88g*5</v>
          </cell>
          <cell r="R1544">
            <v>54450</v>
          </cell>
          <cell r="S1544">
            <v>1</v>
          </cell>
          <cell r="T1544">
            <v>54450</v>
          </cell>
          <cell r="U1544">
            <v>0</v>
          </cell>
          <cell r="V1544">
            <v>54450</v>
          </cell>
          <cell r="W1544" t="str">
            <v>4979397000138</v>
          </cell>
        </row>
        <row r="1545">
          <cell r="A1545">
            <v>2026</v>
          </cell>
          <cell r="B1545">
            <v>4</v>
          </cell>
          <cell r="C1545">
            <v>46136</v>
          </cell>
          <cell r="D1545" t="str">
            <v>1. SKK store</v>
          </cell>
          <cell r="E1545" t="str">
            <v>S1008</v>
          </cell>
          <cell r="F1545" t="str">
            <v>SKK  Hàng Bông</v>
          </cell>
          <cell r="G1545" t="str">
            <v>0936890550</v>
          </cell>
          <cell r="H1545" t="str">
            <v>chi thuy</v>
          </cell>
          <cell r="I1545" t="str">
            <v>Khách cũ</v>
          </cell>
          <cell r="J1545" t="str">
            <v>Đơn bán</v>
          </cell>
          <cell r="K1545" t="str">
            <v>SAKUKO752785</v>
          </cell>
          <cell r="L1545" t="str">
            <v>CHĂM SÓC SẮC ĐẸP</v>
          </cell>
          <cell r="M1545" t="str">
            <v>Mỹ phẩm khác</v>
          </cell>
          <cell r="N1545" t="str">
            <v>PHỤ KIỆN LÀM ĐẸP</v>
          </cell>
          <cell r="O1545" t="str">
            <v>102391</v>
          </cell>
          <cell r="P1545" t="str">
            <v>4991203205759</v>
          </cell>
          <cell r="Q1545" t="str">
            <v>ECHO - Khăn mặt dạng nén 20v size 26x16cm</v>
          </cell>
          <cell r="R1545">
            <v>45000</v>
          </cell>
          <cell r="S1545">
            <v>1</v>
          </cell>
          <cell r="T1545">
            <v>45000</v>
          </cell>
          <cell r="U1545">
            <v>0</v>
          </cell>
          <cell r="V1545">
            <v>45000</v>
          </cell>
          <cell r="W1545" t="str">
            <v>4991203205759</v>
          </cell>
        </row>
        <row r="1546">
          <cell r="A1546">
            <v>2026</v>
          </cell>
          <cell r="B1546">
            <v>4</v>
          </cell>
          <cell r="C1546">
            <v>46136</v>
          </cell>
          <cell r="D1546" t="str">
            <v>1. SKK store</v>
          </cell>
          <cell r="E1546" t="str">
            <v>S1008</v>
          </cell>
          <cell r="F1546" t="str">
            <v>SKK  Hàng Bông</v>
          </cell>
          <cell r="G1546" t="str">
            <v>0976876888</v>
          </cell>
          <cell r="H1546" t="str">
            <v>Anh</v>
          </cell>
          <cell r="I1546" t="str">
            <v>Khách cũ</v>
          </cell>
          <cell r="J1546" t="str">
            <v>Đơn bán</v>
          </cell>
          <cell r="K1546" t="str">
            <v>SAKUKO752229</v>
          </cell>
          <cell r="L1546" t="str">
            <v>THỰC PHẨM</v>
          </cell>
          <cell r="M1546" t="str">
            <v>BÁNH KẸO, ĐỒ ĂN VẶT</v>
          </cell>
          <cell r="N1546" t="str">
            <v>KẸO CAO SU</v>
          </cell>
          <cell r="O1546" t="str">
            <v>153932</v>
          </cell>
          <cell r="P1546" t="str">
            <v>4903333241651</v>
          </cell>
          <cell r="Q1546" t="str">
            <v>LOTTE - Kẹo cao su black black ít đường 133g</v>
          </cell>
          <cell r="R1546">
            <v>235000</v>
          </cell>
          <cell r="S1546">
            <v>1</v>
          </cell>
          <cell r="T1546">
            <v>235000</v>
          </cell>
          <cell r="U1546">
            <v>0</v>
          </cell>
          <cell r="V1546">
            <v>235000</v>
          </cell>
          <cell r="W1546" t="str">
            <v>4903333241651</v>
          </cell>
        </row>
        <row r="1547">
          <cell r="A1547">
            <v>2026</v>
          </cell>
          <cell r="B1547">
            <v>4</v>
          </cell>
          <cell r="C1547">
            <v>46136</v>
          </cell>
          <cell r="D1547" t="str">
            <v>1. SKK store</v>
          </cell>
          <cell r="E1547" t="str">
            <v>S1015</v>
          </cell>
          <cell r="F1547" t="str">
            <v>SKK Hàm Nghi</v>
          </cell>
          <cell r="G1547" t="str">
            <v>0904313316</v>
          </cell>
          <cell r="H1547" t="str">
            <v>aNH CHÍNH</v>
          </cell>
          <cell r="I1547" t="str">
            <v>Khách cũ</v>
          </cell>
          <cell r="J1547" t="str">
            <v>Đơn bán</v>
          </cell>
          <cell r="K1547" t="str">
            <v>SAKUKO752884</v>
          </cell>
          <cell r="L1547" t="str">
            <v>NHÀ CỬA ĐỜI SỐNG</v>
          </cell>
          <cell r="M1547" t="str">
            <v>PHÒNG CHỐNG CÔN TRÙNG</v>
          </cell>
          <cell r="N1547" t="str">
            <v>DIỆT CÔN TRÙNG</v>
          </cell>
          <cell r="O1547" t="str">
            <v>134479</v>
          </cell>
          <cell r="P1547" t="str">
            <v>4987115545892</v>
          </cell>
          <cell r="Q1547" t="str">
            <v>KINCHO-DD làm thơm phòng và đuổi muỗi Hoa SIBERIAN</v>
          </cell>
          <cell r="R1547">
            <v>239000</v>
          </cell>
          <cell r="S1547">
            <v>1</v>
          </cell>
          <cell r="T1547">
            <v>239000</v>
          </cell>
          <cell r="U1547">
            <v>0</v>
          </cell>
          <cell r="V1547">
            <v>239000</v>
          </cell>
          <cell r="W1547" t="str">
            <v>4987115545892</v>
          </cell>
        </row>
        <row r="1548">
          <cell r="A1548">
            <v>2026</v>
          </cell>
          <cell r="B1548">
            <v>4</v>
          </cell>
          <cell r="C1548">
            <v>46136</v>
          </cell>
          <cell r="D1548" t="str">
            <v>1. SKK store</v>
          </cell>
          <cell r="E1548" t="str">
            <v>S1015</v>
          </cell>
          <cell r="F1548" t="str">
            <v>SKK Hàm Nghi</v>
          </cell>
          <cell r="G1548" t="str">
            <v>0904313316</v>
          </cell>
          <cell r="H1548" t="str">
            <v>aNH CHÍNH</v>
          </cell>
          <cell r="I1548" t="str">
            <v>Khách cũ</v>
          </cell>
          <cell r="J1548" t="str">
            <v>Đơn bán</v>
          </cell>
          <cell r="K1548" t="str">
            <v>SAKUKO752884</v>
          </cell>
          <cell r="L1548" t="str">
            <v>NHÀ CỬA ĐỜI SỐNG</v>
          </cell>
          <cell r="M1548" t="str">
            <v>PHÒNG CHỐNG CÔN TRÙNG</v>
          </cell>
          <cell r="N1548" t="str">
            <v>DIỆT CÔN TRÙNG</v>
          </cell>
          <cell r="O1548" t="str">
            <v>134480</v>
          </cell>
          <cell r="P1548" t="str">
            <v>4987115545885</v>
          </cell>
          <cell r="Q1548" t="str">
            <v>KINCHO-DD làm thơm phòng và đuổi muỗi (trái cây)</v>
          </cell>
          <cell r="R1548">
            <v>239000</v>
          </cell>
          <cell r="S1548">
            <v>1</v>
          </cell>
          <cell r="T1548">
            <v>239000</v>
          </cell>
          <cell r="U1548">
            <v>0</v>
          </cell>
          <cell r="V1548">
            <v>239000</v>
          </cell>
          <cell r="W1548" t="str">
            <v>4987115545885</v>
          </cell>
        </row>
        <row r="1549">
          <cell r="A1549">
            <v>2026</v>
          </cell>
          <cell r="B1549">
            <v>4</v>
          </cell>
          <cell r="C1549">
            <v>46136</v>
          </cell>
          <cell r="D1549" t="str">
            <v>1. SKK store</v>
          </cell>
          <cell r="E1549" t="str">
            <v>S1015</v>
          </cell>
          <cell r="F1549" t="str">
            <v>SKK Hàm Nghi</v>
          </cell>
          <cell r="G1549" t="str">
            <v>0987012089</v>
          </cell>
          <cell r="H1549" t="str">
            <v>Chu Thị Vân Anh</v>
          </cell>
          <cell r="I1549" t="str">
            <v>Khách cũ</v>
          </cell>
          <cell r="J1549" t="str">
            <v>Đơn bán</v>
          </cell>
          <cell r="K1549" t="str">
            <v>SAKUKO752221</v>
          </cell>
          <cell r="L1549" t="str">
            <v>THỰC PHẨM</v>
          </cell>
          <cell r="M1549" t="str">
            <v>BÁNH KẸO, ĐỒ ĂN VẶT</v>
          </cell>
          <cell r="N1549" t="str">
            <v>KẸO</v>
          </cell>
          <cell r="O1549" t="str">
            <v>231374</v>
          </cell>
          <cell r="P1549" t="str">
            <v>4547894156315</v>
          </cell>
          <cell r="Q1549" t="str">
            <v>CLORETS-Kẹo cao su hương vị 4 mùa 140g</v>
          </cell>
          <cell r="R1549">
            <v>235000</v>
          </cell>
          <cell r="S1549">
            <v>1</v>
          </cell>
          <cell r="T1549">
            <v>235000</v>
          </cell>
          <cell r="U1549">
            <v>0</v>
          </cell>
          <cell r="V1549">
            <v>235000</v>
          </cell>
          <cell r="W1549" t="str">
            <v>4547894156315</v>
          </cell>
        </row>
        <row r="1550">
          <cell r="A1550">
            <v>2026</v>
          </cell>
          <cell r="B1550">
            <v>4</v>
          </cell>
          <cell r="C1550">
            <v>46136</v>
          </cell>
          <cell r="D1550" t="str">
            <v>1. SKK store</v>
          </cell>
          <cell r="E1550" t="str">
            <v>S1015</v>
          </cell>
          <cell r="F1550" t="str">
            <v>SKK Hàm Nghi</v>
          </cell>
          <cell r="G1550" t="str">
            <v>0987012089</v>
          </cell>
          <cell r="H1550" t="str">
            <v>Chu Thị Vân Anh</v>
          </cell>
          <cell r="I1550" t="str">
            <v>Khách cũ</v>
          </cell>
          <cell r="J1550" t="str">
            <v>Đơn bán</v>
          </cell>
          <cell r="K1550" t="str">
            <v>SAKUKO752221</v>
          </cell>
          <cell r="L1550" t="str">
            <v>THỰC PHẨM</v>
          </cell>
          <cell r="M1550" t="str">
            <v>BÁNH KẸO, ĐỒ ĂN VẶT</v>
          </cell>
          <cell r="N1550" t="str">
            <v>KẸO</v>
          </cell>
          <cell r="O1550" t="str">
            <v>231376</v>
          </cell>
          <cell r="P1550" t="str">
            <v>4903333228577</v>
          </cell>
          <cell r="Q1550" t="str">
            <v>LOTTE-Kẹo cao su tổng hợp 7 loại dạng lọ 133g</v>
          </cell>
          <cell r="R1550">
            <v>235000</v>
          </cell>
          <cell r="S1550">
            <v>1</v>
          </cell>
          <cell r="T1550">
            <v>235000</v>
          </cell>
          <cell r="U1550">
            <v>0</v>
          </cell>
          <cell r="V1550">
            <v>235000</v>
          </cell>
          <cell r="W1550" t="str">
            <v>4903333228577</v>
          </cell>
        </row>
        <row r="1551">
          <cell r="A1551">
            <v>2026</v>
          </cell>
          <cell r="B1551">
            <v>4</v>
          </cell>
          <cell r="C1551">
            <v>46136</v>
          </cell>
          <cell r="D1551" t="str">
            <v>1. SKK store</v>
          </cell>
          <cell r="E1551" t="str">
            <v>S1025</v>
          </cell>
          <cell r="F1551" t="str">
            <v>SKK T6 Time City</v>
          </cell>
          <cell r="G1551" t="str">
            <v>0906263133</v>
          </cell>
          <cell r="H1551" t="str">
            <v>Chị Hương</v>
          </cell>
          <cell r="I1551" t="str">
            <v>Khách cũ</v>
          </cell>
          <cell r="J1551" t="str">
            <v>Đơn bán</v>
          </cell>
          <cell r="K1551" t="str">
            <v>SAKUKO752836</v>
          </cell>
          <cell r="L1551" t="str">
            <v>ĐỒ CHO MẸ BÉ</v>
          </cell>
          <cell r="M1551" t="str">
            <v>GIẤY ƯỚT</v>
          </cell>
          <cell r="N1551" t="str">
            <v>GIẤY ƯỚT CHO BÉ</v>
          </cell>
          <cell r="O1551" t="str">
            <v>121662</v>
          </cell>
          <cell r="P1551" t="str">
            <v>8934755035036</v>
          </cell>
          <cell r="Q1551" t="str">
            <v>FRESSI- Khăn ướt Care For All 20 miếng</v>
          </cell>
          <cell r="R1551">
            <v>14000</v>
          </cell>
          <cell r="S1551">
            <v>1</v>
          </cell>
          <cell r="T1551">
            <v>14000</v>
          </cell>
          <cell r="U1551">
            <v>0</v>
          </cell>
          <cell r="V1551">
            <v>14000</v>
          </cell>
          <cell r="W1551" t="str">
            <v>8934755035036</v>
          </cell>
        </row>
        <row r="1552">
          <cell r="A1552">
            <v>2026</v>
          </cell>
          <cell r="B1552">
            <v>4</v>
          </cell>
          <cell r="C1552">
            <v>46136</v>
          </cell>
          <cell r="D1552" t="str">
            <v>1. SKK store</v>
          </cell>
          <cell r="E1552" t="str">
            <v>S1025</v>
          </cell>
          <cell r="F1552" t="str">
            <v>SKK T6 Time City</v>
          </cell>
          <cell r="G1552" t="str">
            <v>0912272626</v>
          </cell>
          <cell r="H1552" t="str">
            <v>Chị Tạ Ánh Hồng</v>
          </cell>
          <cell r="I1552" t="str">
            <v>Khách cũ</v>
          </cell>
          <cell r="J1552" t="str">
            <v>Đơn bán</v>
          </cell>
          <cell r="K1552" t="str">
            <v>SAKUKO752698</v>
          </cell>
          <cell r="L1552" t="str">
            <v>CHĂM SÓC SẮC ĐẸP</v>
          </cell>
          <cell r="M1552" t="str">
            <v>Mỹ phẩm khác</v>
          </cell>
          <cell r="N1552" t="str">
            <v>PHỤ KIỆN LÀM ĐẸP</v>
          </cell>
          <cell r="O1552" t="str">
            <v>102391</v>
          </cell>
          <cell r="P1552" t="str">
            <v>4991203205759</v>
          </cell>
          <cell r="Q1552" t="str">
            <v>ECHO - Khăn mặt dạng nén 20v size 26x16cm</v>
          </cell>
          <cell r="R1552">
            <v>45000</v>
          </cell>
          <cell r="S1552">
            <v>1</v>
          </cell>
          <cell r="T1552">
            <v>45000</v>
          </cell>
          <cell r="U1552">
            <v>0</v>
          </cell>
          <cell r="V1552">
            <v>45000</v>
          </cell>
          <cell r="W1552" t="str">
            <v>4991203205759</v>
          </cell>
        </row>
        <row r="1553">
          <cell r="A1553">
            <v>2026</v>
          </cell>
          <cell r="B1553">
            <v>4</v>
          </cell>
          <cell r="C1553">
            <v>46136</v>
          </cell>
          <cell r="D1553" t="str">
            <v>1. SKK store</v>
          </cell>
          <cell r="E1553" t="str">
            <v>S1025</v>
          </cell>
          <cell r="F1553" t="str">
            <v>SKK T6 Time City</v>
          </cell>
          <cell r="G1553" t="str">
            <v>0912440851</v>
          </cell>
          <cell r="H1553" t="str">
            <v>Chị Thúy</v>
          </cell>
          <cell r="I1553" t="str">
            <v>Khách mới</v>
          </cell>
          <cell r="J1553" t="str">
            <v>Đơn bán</v>
          </cell>
          <cell r="K1553" t="str">
            <v>SAKUKO752424</v>
          </cell>
          <cell r="L1553" t="str">
            <v>THỰC PHẨM</v>
          </cell>
          <cell r="M1553" t="str">
            <v>MỲ, MIẾN</v>
          </cell>
          <cell r="N1553" t="str">
            <v>MỲ ĂN LIỀN</v>
          </cell>
          <cell r="O1553" t="str">
            <v>154359</v>
          </cell>
          <cell r="P1553" t="str">
            <v>4979397000138</v>
          </cell>
          <cell r="Q1553" t="str">
            <v>YAMAMOTO- Mì ramen ăn liền hải sản thịt heo 88g*5</v>
          </cell>
          <cell r="R1553">
            <v>54450</v>
          </cell>
          <cell r="S1553">
            <v>1</v>
          </cell>
          <cell r="T1553">
            <v>54450</v>
          </cell>
          <cell r="U1553">
            <v>0</v>
          </cell>
          <cell r="V1553">
            <v>54450</v>
          </cell>
          <cell r="W1553" t="str">
            <v>4979397000138</v>
          </cell>
        </row>
        <row r="1554">
          <cell r="A1554">
            <v>2026</v>
          </cell>
          <cell r="B1554">
            <v>4</v>
          </cell>
          <cell r="C1554">
            <v>46136</v>
          </cell>
          <cell r="D1554" t="str">
            <v>1. SKK store</v>
          </cell>
          <cell r="E1554" t="str">
            <v>S1025</v>
          </cell>
          <cell r="F1554" t="str">
            <v>SKK T6 Time City</v>
          </cell>
          <cell r="G1554" t="str">
            <v>0977546180</v>
          </cell>
          <cell r="H1554" t="str">
            <v>chị THƯƠNG</v>
          </cell>
          <cell r="I1554" t="str">
            <v>Khách cũ</v>
          </cell>
          <cell r="J1554" t="str">
            <v>Đơn bán</v>
          </cell>
          <cell r="K1554" t="str">
            <v>SAKUKO752084</v>
          </cell>
          <cell r="L1554" t="str">
            <v>THỰC PHẨM</v>
          </cell>
          <cell r="M1554" t="str">
            <v>MỲ, MIẾN</v>
          </cell>
          <cell r="N1554" t="str">
            <v>MỲ ĂN LIỀN</v>
          </cell>
          <cell r="O1554" t="str">
            <v>154196</v>
          </cell>
          <cell r="P1554" t="str">
            <v>4979397000152</v>
          </cell>
          <cell r="Q1554" t="str">
            <v>YAMAMOTO_Mì xào kiểu Nhật 89g*5</v>
          </cell>
          <cell r="R1554">
            <v>54450</v>
          </cell>
          <cell r="S1554">
            <v>1</v>
          </cell>
          <cell r="T1554">
            <v>54450</v>
          </cell>
          <cell r="U1554">
            <v>0</v>
          </cell>
          <cell r="V1554">
            <v>54450</v>
          </cell>
          <cell r="W1554" t="str">
            <v>4979397000152</v>
          </cell>
        </row>
        <row r="1555">
          <cell r="A1555">
            <v>2026</v>
          </cell>
          <cell r="B1555">
            <v>4</v>
          </cell>
          <cell r="C1555">
            <v>46136</v>
          </cell>
          <cell r="D1555" t="str">
            <v>1. SKK store</v>
          </cell>
          <cell r="E1555" t="str">
            <v>S1025</v>
          </cell>
          <cell r="F1555" t="str">
            <v>SKK T6 Time City</v>
          </cell>
          <cell r="G1555" t="str">
            <v>0989838485</v>
          </cell>
          <cell r="H1555" t="str">
            <v>CHỊ DIỆP</v>
          </cell>
          <cell r="I1555" t="str">
            <v>Khách cũ</v>
          </cell>
          <cell r="J1555" t="str">
            <v>Đơn bán</v>
          </cell>
          <cell r="K1555" t="str">
            <v>SAKUKO752889</v>
          </cell>
          <cell r="L1555" t="str">
            <v>THỰC PHẨM</v>
          </cell>
          <cell r="M1555" t="str">
            <v>MỲ, MIẾN</v>
          </cell>
          <cell r="N1555" t="str">
            <v>MỲ ĂN LIỀN</v>
          </cell>
          <cell r="O1555" t="str">
            <v>154359</v>
          </cell>
          <cell r="P1555" t="str">
            <v>4979397000138</v>
          </cell>
          <cell r="Q1555" t="str">
            <v>YAMAMOTO- Mì ramen ăn liền hải sản thịt heo 88g*5</v>
          </cell>
          <cell r="R1555">
            <v>54450</v>
          </cell>
          <cell r="S1555">
            <v>1</v>
          </cell>
          <cell r="T1555">
            <v>54450</v>
          </cell>
          <cell r="U1555">
            <v>0</v>
          </cell>
          <cell r="V1555">
            <v>54450</v>
          </cell>
          <cell r="W1555" t="str">
            <v>4979397000138</v>
          </cell>
        </row>
        <row r="1556">
          <cell r="A1556">
            <v>2026</v>
          </cell>
          <cell r="B1556">
            <v>4</v>
          </cell>
          <cell r="C1556">
            <v>46135</v>
          </cell>
          <cell r="D1556" t="str">
            <v>1. SKK store</v>
          </cell>
          <cell r="E1556" t="str">
            <v>S1004</v>
          </cell>
          <cell r="F1556" t="str">
            <v>SKK  Mandarin C1</v>
          </cell>
          <cell r="G1556" t="str">
            <v>0369215688</v>
          </cell>
          <cell r="H1556" t="str">
            <v>c Quỳnh</v>
          </cell>
          <cell r="I1556" t="str">
            <v>Khách cũ</v>
          </cell>
          <cell r="J1556" t="str">
            <v>Đơn bán</v>
          </cell>
          <cell r="K1556" t="str">
            <v>SAKUKO751041</v>
          </cell>
          <cell r="L1556" t="str">
            <v>THỰC PHẨM</v>
          </cell>
          <cell r="M1556" t="str">
            <v>BÁNH KẸO, ĐỒ ĂN VẶT</v>
          </cell>
          <cell r="N1556" t="str">
            <v>KẸO</v>
          </cell>
          <cell r="O1556" t="str">
            <v>231374</v>
          </cell>
          <cell r="P1556" t="str">
            <v>4547894156315</v>
          </cell>
          <cell r="Q1556" t="str">
            <v>CLORETS-Kẹo cao su hương vị 4 mùa 140g</v>
          </cell>
          <cell r="R1556">
            <v>235000</v>
          </cell>
          <cell r="S1556">
            <v>1</v>
          </cell>
          <cell r="T1556">
            <v>235000</v>
          </cell>
          <cell r="U1556">
            <v>0</v>
          </cell>
          <cell r="V1556">
            <v>235000</v>
          </cell>
          <cell r="W1556" t="str">
            <v>4547894156315</v>
          </cell>
        </row>
        <row r="1557">
          <cell r="A1557">
            <v>2026</v>
          </cell>
          <cell r="B1557">
            <v>4</v>
          </cell>
          <cell r="C1557">
            <v>46135</v>
          </cell>
          <cell r="D1557" t="str">
            <v>1. SKK store</v>
          </cell>
          <cell r="E1557" t="str">
            <v>S1004</v>
          </cell>
          <cell r="F1557" t="str">
            <v>SKK  Mandarin C1</v>
          </cell>
          <cell r="G1557" t="str">
            <v>0889305103</v>
          </cell>
          <cell r="H1557" t="str">
            <v>Chị Phương</v>
          </cell>
          <cell r="I1557" t="str">
            <v>Khách cũ</v>
          </cell>
          <cell r="J1557" t="str">
            <v>Đơn bán</v>
          </cell>
          <cell r="K1557" t="str">
            <v>SAKUKO751339</v>
          </cell>
          <cell r="L1557" t="str">
            <v>CHĂM SÓC SẮC ĐẸP</v>
          </cell>
          <cell r="M1557" t="str">
            <v>Mỹ phẩm khác</v>
          </cell>
          <cell r="N1557" t="str">
            <v>PHỤ KIỆN LÀM ĐẸP</v>
          </cell>
          <cell r="O1557" t="str">
            <v>102390</v>
          </cell>
          <cell r="P1557" t="str">
            <v>4906327905980</v>
          </cell>
          <cell r="Q1557" t="str">
            <v>KOMODA - Khăn mặt khô dùng 1 lần 46m 20x20cm</v>
          </cell>
          <cell r="R1557">
            <v>52000</v>
          </cell>
          <cell r="S1557">
            <v>1</v>
          </cell>
          <cell r="T1557">
            <v>52000</v>
          </cell>
          <cell r="U1557">
            <v>0</v>
          </cell>
          <cell r="V1557">
            <v>52000</v>
          </cell>
          <cell r="W1557" t="str">
            <v>4906327905980</v>
          </cell>
        </row>
        <row r="1558">
          <cell r="A1558">
            <v>2026</v>
          </cell>
          <cell r="B1558">
            <v>4</v>
          </cell>
          <cell r="C1558">
            <v>46135</v>
          </cell>
          <cell r="D1558" t="str">
            <v>1. SKK store</v>
          </cell>
          <cell r="E1558" t="str">
            <v>S1004</v>
          </cell>
          <cell r="F1558" t="str">
            <v>SKK  Mandarin C1</v>
          </cell>
          <cell r="G1558" t="str">
            <v>0903424642</v>
          </cell>
          <cell r="H1558" t="str">
            <v>Le Thanh Diep</v>
          </cell>
          <cell r="I1558" t="str">
            <v>Khách cũ</v>
          </cell>
          <cell r="J1558" t="str">
            <v>Đơn bán</v>
          </cell>
          <cell r="K1558" t="str">
            <v>SAKUKO750745</v>
          </cell>
          <cell r="L1558" t="str">
            <v>THỰC PHẨM</v>
          </cell>
          <cell r="M1558" t="str">
            <v>MỲ, MIẾN</v>
          </cell>
          <cell r="N1558" t="str">
            <v>MỲ ĂN LIỀN</v>
          </cell>
          <cell r="O1558" t="str">
            <v>154359</v>
          </cell>
          <cell r="P1558" t="str">
            <v>4979397000138</v>
          </cell>
          <cell r="Q1558" t="str">
            <v>YAMAMOTO- Mì ramen ăn liền hải sản thịt heo 88g*5</v>
          </cell>
          <cell r="R1558">
            <v>54450</v>
          </cell>
          <cell r="S1558">
            <v>1</v>
          </cell>
          <cell r="T1558">
            <v>54450</v>
          </cell>
          <cell r="U1558">
            <v>0</v>
          </cell>
          <cell r="V1558">
            <v>54450</v>
          </cell>
          <cell r="W1558" t="str">
            <v>4979397000138</v>
          </cell>
        </row>
        <row r="1559">
          <cell r="A1559">
            <v>2026</v>
          </cell>
          <cell r="B1559">
            <v>4</v>
          </cell>
          <cell r="C1559">
            <v>46135</v>
          </cell>
          <cell r="D1559" t="str">
            <v>1. SKK store</v>
          </cell>
          <cell r="E1559" t="str">
            <v>S1005</v>
          </cell>
          <cell r="F1559" t="str">
            <v>SKK  Thái Hà</v>
          </cell>
          <cell r="G1559" t="str">
            <v>0973069456</v>
          </cell>
          <cell r="H1559" t="str">
            <v>Chị Đỗ Thị Hương</v>
          </cell>
          <cell r="I1559" t="str">
            <v>Khách cũ</v>
          </cell>
          <cell r="J1559" t="str">
            <v>Đơn bán</v>
          </cell>
          <cell r="K1559" t="str">
            <v>SAKUKO751315</v>
          </cell>
          <cell r="L1559" t="str">
            <v>THỰC PHẨM</v>
          </cell>
          <cell r="M1559" t="str">
            <v>BÁNH KẸO, ĐỒ ĂN VẶT</v>
          </cell>
          <cell r="N1559" t="str">
            <v>KẸO</v>
          </cell>
          <cell r="O1559" t="str">
            <v>231376</v>
          </cell>
          <cell r="P1559" t="str">
            <v>4903333228577</v>
          </cell>
          <cell r="Q1559" t="str">
            <v>LOTTE-Kẹo cao su tổng hợp 7 loại dạng lọ 133g</v>
          </cell>
          <cell r="R1559">
            <v>235000</v>
          </cell>
          <cell r="S1559">
            <v>1</v>
          </cell>
          <cell r="T1559">
            <v>235000</v>
          </cell>
          <cell r="U1559">
            <v>0</v>
          </cell>
          <cell r="V1559">
            <v>235000</v>
          </cell>
          <cell r="W1559" t="str">
            <v>4903333228577</v>
          </cell>
        </row>
        <row r="1560">
          <cell r="A1560">
            <v>2026</v>
          </cell>
          <cell r="B1560">
            <v>4</v>
          </cell>
          <cell r="C1560">
            <v>46135</v>
          </cell>
          <cell r="D1560" t="str">
            <v>1. SKK store</v>
          </cell>
          <cell r="E1560" t="str">
            <v>S1005</v>
          </cell>
          <cell r="F1560" t="str">
            <v>SKK  Thái Hà</v>
          </cell>
          <cell r="G1560" t="str">
            <v>0988085061</v>
          </cell>
          <cell r="H1560" t="str">
            <v>cô lan</v>
          </cell>
          <cell r="I1560" t="str">
            <v>Khách cũ</v>
          </cell>
          <cell r="J1560" t="str">
            <v>Đơn bán</v>
          </cell>
          <cell r="K1560" t="str">
            <v>SAKUKO751131</v>
          </cell>
          <cell r="L1560" t="str">
            <v>THỰC PHẨM</v>
          </cell>
          <cell r="M1560" t="str">
            <v>BÁNH KẸO, ĐỒ ĂN VẶT</v>
          </cell>
          <cell r="N1560" t="str">
            <v>KẸO</v>
          </cell>
          <cell r="O1560" t="str">
            <v>231376</v>
          </cell>
          <cell r="P1560" t="str">
            <v>4903333228577</v>
          </cell>
          <cell r="Q1560" t="str">
            <v>LOTTE-Kẹo cao su tổng hợp 7 loại dạng lọ 133g</v>
          </cell>
          <cell r="R1560">
            <v>235000</v>
          </cell>
          <cell r="S1560">
            <v>1</v>
          </cell>
          <cell r="T1560">
            <v>235000</v>
          </cell>
          <cell r="U1560">
            <v>0</v>
          </cell>
          <cell r="V1560">
            <v>235000</v>
          </cell>
          <cell r="W1560" t="str">
            <v>4903333228577</v>
          </cell>
        </row>
        <row r="1561">
          <cell r="A1561">
            <v>2026</v>
          </cell>
          <cell r="B1561">
            <v>4</v>
          </cell>
          <cell r="C1561">
            <v>46135</v>
          </cell>
          <cell r="D1561" t="str">
            <v>1. SKK store</v>
          </cell>
          <cell r="E1561" t="str">
            <v>S1006</v>
          </cell>
          <cell r="F1561" t="str">
            <v>SKK Trần Đăng Ninh</v>
          </cell>
          <cell r="G1561" t="str">
            <v>0862954688</v>
          </cell>
          <cell r="H1561" t="str">
            <v>KLTDN</v>
          </cell>
          <cell r="I1561" t="str">
            <v>Khách vãng lai</v>
          </cell>
          <cell r="J1561" t="str">
            <v>Đơn bán</v>
          </cell>
          <cell r="K1561" t="str">
            <v>SAKUKO750826</v>
          </cell>
          <cell r="L1561" t="str">
            <v>THỰC PHẨM</v>
          </cell>
          <cell r="M1561" t="str">
            <v>BÁNH KẸO, ĐỒ ĂN VẶT</v>
          </cell>
          <cell r="N1561" t="str">
            <v>KẸO CAO SU</v>
          </cell>
          <cell r="O1561" t="str">
            <v>153932</v>
          </cell>
          <cell r="P1561" t="str">
            <v>4903333241651</v>
          </cell>
          <cell r="Q1561" t="str">
            <v>LOTTE - Kẹo cao su black black ít đường 133g</v>
          </cell>
          <cell r="R1561">
            <v>235000</v>
          </cell>
          <cell r="S1561">
            <v>1</v>
          </cell>
          <cell r="T1561">
            <v>235000</v>
          </cell>
          <cell r="U1561">
            <v>0</v>
          </cell>
          <cell r="V1561">
            <v>235000</v>
          </cell>
          <cell r="W1561" t="str">
            <v>4903333241651</v>
          </cell>
        </row>
        <row r="1562">
          <cell r="A1562">
            <v>2026</v>
          </cell>
          <cell r="B1562">
            <v>4</v>
          </cell>
          <cell r="C1562">
            <v>46135</v>
          </cell>
          <cell r="D1562" t="str">
            <v>1. SKK store</v>
          </cell>
          <cell r="E1562" t="str">
            <v>S1006</v>
          </cell>
          <cell r="F1562" t="str">
            <v>SKK Trần Đăng Ninh</v>
          </cell>
          <cell r="G1562" t="str">
            <v>0914994361</v>
          </cell>
          <cell r="H1562" t="str">
            <v>C Hồng</v>
          </cell>
          <cell r="I1562" t="str">
            <v>Khách cũ</v>
          </cell>
          <cell r="J1562" t="str">
            <v>Đơn bán</v>
          </cell>
          <cell r="K1562" t="str">
            <v>SAKUKO751717</v>
          </cell>
          <cell r="L1562" t="str">
            <v>CHĂM SÓC SẮC ĐẸP</v>
          </cell>
          <cell r="M1562" t="str">
            <v>Mỹ phẩm khác</v>
          </cell>
          <cell r="N1562" t="str">
            <v>PHỤ KIỆN LÀM ĐẸP</v>
          </cell>
          <cell r="O1562" t="str">
            <v>102391</v>
          </cell>
          <cell r="P1562" t="str">
            <v>4991203205759</v>
          </cell>
          <cell r="Q1562" t="str">
            <v>ECHO - Khăn mặt dạng nén 20v size 26x16cm</v>
          </cell>
          <cell r="R1562">
            <v>45000</v>
          </cell>
          <cell r="S1562">
            <v>1</v>
          </cell>
          <cell r="T1562">
            <v>45000</v>
          </cell>
          <cell r="U1562">
            <v>0</v>
          </cell>
          <cell r="V1562">
            <v>45000</v>
          </cell>
          <cell r="W1562" t="str">
            <v>4991203205759</v>
          </cell>
        </row>
        <row r="1563">
          <cell r="A1563">
            <v>2026</v>
          </cell>
          <cell r="B1563">
            <v>4</v>
          </cell>
          <cell r="C1563">
            <v>46135</v>
          </cell>
          <cell r="D1563" t="str">
            <v>1. SKK store</v>
          </cell>
          <cell r="E1563" t="str">
            <v>S1006</v>
          </cell>
          <cell r="F1563" t="str">
            <v>SKK Trần Đăng Ninh</v>
          </cell>
          <cell r="G1563" t="str">
            <v>0983264604</v>
          </cell>
          <cell r="H1563" t="str">
            <v>Chị Thủy</v>
          </cell>
          <cell r="I1563" t="str">
            <v>Khách cũ</v>
          </cell>
          <cell r="J1563" t="str">
            <v>Đơn bán</v>
          </cell>
          <cell r="K1563" t="str">
            <v>SAKUKO750687</v>
          </cell>
          <cell r="L1563" t="str">
            <v>THỰC PHẨM</v>
          </cell>
          <cell r="M1563" t="str">
            <v>MỲ, MIẾN</v>
          </cell>
          <cell r="N1563" t="str">
            <v>MỲ CHẾ BIẾN</v>
          </cell>
          <cell r="O1563" t="str">
            <v>175435</v>
          </cell>
          <cell r="P1563" t="str">
            <v>4901726014752</v>
          </cell>
          <cell r="Q1563" t="str">
            <v>ITSUKI FOODS- Mì soumen rau củ ngũ sắc320g</v>
          </cell>
          <cell r="R1563">
            <v>76000</v>
          </cell>
          <cell r="S1563">
            <v>1</v>
          </cell>
          <cell r="T1563">
            <v>76000</v>
          </cell>
          <cell r="U1563">
            <v>0</v>
          </cell>
          <cell r="V1563">
            <v>76000</v>
          </cell>
          <cell r="W1563" t="str">
            <v>4901726014752</v>
          </cell>
        </row>
        <row r="1564">
          <cell r="A1564">
            <v>2026</v>
          </cell>
          <cell r="B1564">
            <v>4</v>
          </cell>
          <cell r="C1564">
            <v>46135</v>
          </cell>
          <cell r="D1564" t="str">
            <v>1. SKK store</v>
          </cell>
          <cell r="E1564" t="str">
            <v>S1007</v>
          </cell>
          <cell r="F1564" t="str">
            <v>SKK  Nguyễn Du</v>
          </cell>
          <cell r="G1564" t="str">
            <v>0963864168</v>
          </cell>
          <cell r="H1564" t="str">
            <v>MAI THI BICH THAO</v>
          </cell>
          <cell r="I1564" t="str">
            <v>Khách cũ</v>
          </cell>
          <cell r="J1564" t="str">
            <v>Đơn bán</v>
          </cell>
          <cell r="K1564" t="str">
            <v>SAKUKO750671</v>
          </cell>
          <cell r="L1564" t="str">
            <v>CHĂM SÓC SẮC ĐẸP</v>
          </cell>
          <cell r="M1564" t="str">
            <v>CHĂM SÓC DA</v>
          </cell>
          <cell r="N1564" t="str">
            <v>RỬA MẶT</v>
          </cell>
          <cell r="O1564" t="str">
            <v>230269</v>
          </cell>
          <cell r="P1564" t="str">
            <v>4987241173242</v>
          </cell>
          <cell r="Q1564" t="str">
            <v>ROHTO- SRM Melano CC mờ thâm nám (130g)</v>
          </cell>
          <cell r="R1564">
            <v>294000</v>
          </cell>
          <cell r="S1564">
            <v>1</v>
          </cell>
          <cell r="T1564">
            <v>294000</v>
          </cell>
          <cell r="U1564">
            <v>0</v>
          </cell>
          <cell r="V1564">
            <v>294000</v>
          </cell>
          <cell r="W1564" t="str">
            <v>4987241173242</v>
          </cell>
        </row>
        <row r="1565">
          <cell r="A1565">
            <v>2026</v>
          </cell>
          <cell r="B1565">
            <v>4</v>
          </cell>
          <cell r="C1565">
            <v>46135</v>
          </cell>
          <cell r="D1565" t="str">
            <v>1. SKK store</v>
          </cell>
          <cell r="E1565" t="str">
            <v>S1008</v>
          </cell>
          <cell r="F1565" t="str">
            <v>SKK  Hàng Bông</v>
          </cell>
          <cell r="G1565" t="str">
            <v>0913231715</v>
          </cell>
          <cell r="H1565" t="str">
            <v>nguyễn thị mến</v>
          </cell>
          <cell r="I1565" t="str">
            <v>Khách cũ</v>
          </cell>
          <cell r="J1565" t="str">
            <v>Đơn bán</v>
          </cell>
          <cell r="K1565" t="str">
            <v>SAKUKO751051</v>
          </cell>
          <cell r="L1565" t="str">
            <v>THỰC PHẨM</v>
          </cell>
          <cell r="M1565" t="str">
            <v>MỲ, MIẾN</v>
          </cell>
          <cell r="N1565" t="str">
            <v>MỲ CHẾ BIẾN</v>
          </cell>
          <cell r="O1565" t="str">
            <v>175435</v>
          </cell>
          <cell r="P1565" t="str">
            <v>4901726014752</v>
          </cell>
          <cell r="Q1565" t="str">
            <v>ITSUKI FOODS- Mì soumen rau củ ngũ sắc320g</v>
          </cell>
          <cell r="R1565">
            <v>76000</v>
          </cell>
          <cell r="S1565">
            <v>2</v>
          </cell>
          <cell r="T1565">
            <v>152000</v>
          </cell>
          <cell r="U1565">
            <v>0</v>
          </cell>
          <cell r="V1565">
            <v>152000</v>
          </cell>
          <cell r="W1565" t="str">
            <v>4901726014752</v>
          </cell>
        </row>
        <row r="1566">
          <cell r="A1566">
            <v>2026</v>
          </cell>
          <cell r="B1566">
            <v>4</v>
          </cell>
          <cell r="C1566">
            <v>46135</v>
          </cell>
          <cell r="D1566" t="str">
            <v>1. SKK store</v>
          </cell>
          <cell r="E1566" t="str">
            <v>S1015</v>
          </cell>
          <cell r="F1566" t="str">
            <v>SKK Hàm Nghi</v>
          </cell>
          <cell r="G1566" t="str">
            <v>0836361080</v>
          </cell>
          <cell r="H1566" t="str">
            <v>Chị Hương</v>
          </cell>
          <cell r="I1566" t="str">
            <v>Khách cũ</v>
          </cell>
          <cell r="J1566" t="str">
            <v>Đơn bán</v>
          </cell>
          <cell r="K1566" t="str">
            <v>SAKUKO750864</v>
          </cell>
          <cell r="L1566" t="str">
            <v>THỰC PHẨM</v>
          </cell>
          <cell r="M1566" t="str">
            <v>MỲ, MIẾN</v>
          </cell>
          <cell r="N1566" t="str">
            <v>MỲ CHẾ BIẾN</v>
          </cell>
          <cell r="O1566" t="str">
            <v>175435</v>
          </cell>
          <cell r="P1566" t="str">
            <v>4901726014752</v>
          </cell>
          <cell r="Q1566" t="str">
            <v>ITSUKI FOODS- Mì soumen rau củ ngũ sắc320g</v>
          </cell>
          <cell r="R1566">
            <v>76000</v>
          </cell>
          <cell r="S1566">
            <v>1</v>
          </cell>
          <cell r="T1566">
            <v>76000</v>
          </cell>
          <cell r="U1566">
            <v>0</v>
          </cell>
          <cell r="V1566">
            <v>76000</v>
          </cell>
          <cell r="W1566" t="str">
            <v>4901726014752</v>
          </cell>
        </row>
        <row r="1567">
          <cell r="A1567">
            <v>2026</v>
          </cell>
          <cell r="B1567">
            <v>4</v>
          </cell>
          <cell r="C1567">
            <v>46135</v>
          </cell>
          <cell r="D1567" t="str">
            <v>1. SKK store</v>
          </cell>
          <cell r="E1567" t="str">
            <v>S1025</v>
          </cell>
          <cell r="F1567" t="str">
            <v>SKK T6 Time City</v>
          </cell>
          <cell r="G1567" t="str">
            <v>0762171111</v>
          </cell>
          <cell r="H1567" t="str">
            <v>Trương</v>
          </cell>
          <cell r="I1567" t="str">
            <v>Khách cũ</v>
          </cell>
          <cell r="J1567" t="str">
            <v>Đơn bán</v>
          </cell>
          <cell r="K1567" t="str">
            <v>SAKUKO751645</v>
          </cell>
          <cell r="L1567" t="str">
            <v>THỰC PHẨM</v>
          </cell>
          <cell r="M1567" t="str">
            <v>BÁNH KẸO, ĐỒ ĂN VẶT</v>
          </cell>
          <cell r="N1567" t="str">
            <v>KẸO</v>
          </cell>
          <cell r="O1567" t="str">
            <v>231376</v>
          </cell>
          <cell r="P1567" t="str">
            <v>4903333228577</v>
          </cell>
          <cell r="Q1567" t="str">
            <v>LOTTE-Kẹo cao su tổng hợp 7 loại dạng lọ 133g</v>
          </cell>
          <cell r="R1567">
            <v>235000</v>
          </cell>
          <cell r="S1567">
            <v>1</v>
          </cell>
          <cell r="T1567">
            <v>235000</v>
          </cell>
          <cell r="U1567">
            <v>0</v>
          </cell>
          <cell r="V1567">
            <v>235000</v>
          </cell>
          <cell r="W1567" t="str">
            <v>4903333228577</v>
          </cell>
        </row>
        <row r="1568">
          <cell r="A1568">
            <v>2026</v>
          </cell>
          <cell r="B1568">
            <v>4</v>
          </cell>
          <cell r="C1568">
            <v>46135</v>
          </cell>
          <cell r="D1568" t="str">
            <v>1. SKK store</v>
          </cell>
          <cell r="E1568" t="str">
            <v>S1025</v>
          </cell>
          <cell r="F1568" t="str">
            <v>SKK T6 Time City</v>
          </cell>
          <cell r="G1568" t="str">
            <v>0906214688</v>
          </cell>
          <cell r="H1568" t="str">
            <v>Chị Đặng Thu Phương</v>
          </cell>
          <cell r="I1568" t="str">
            <v>Khách cũ</v>
          </cell>
          <cell r="J1568" t="str">
            <v>Đơn bán</v>
          </cell>
          <cell r="K1568" t="str">
            <v>SAKUKO751768</v>
          </cell>
          <cell r="L1568" t="str">
            <v>THỰC PHẨM</v>
          </cell>
          <cell r="M1568" t="str">
            <v>BÁNH KẸO, ĐỒ ĂN VẶT</v>
          </cell>
          <cell r="N1568" t="str">
            <v>KẸO CAO SU</v>
          </cell>
          <cell r="O1568" t="str">
            <v>154105</v>
          </cell>
          <cell r="P1568" t="str">
            <v>4547894156612</v>
          </cell>
          <cell r="Q1568" t="str">
            <v>MONDELEZ JAPAN - Kẹo cao su 112g</v>
          </cell>
          <cell r="R1568">
            <v>235000</v>
          </cell>
          <cell r="S1568">
            <v>1</v>
          </cell>
          <cell r="T1568">
            <v>235000</v>
          </cell>
          <cell r="U1568">
            <v>0</v>
          </cell>
          <cell r="V1568">
            <v>235000</v>
          </cell>
          <cell r="W1568" t="str">
            <v>4547894156612</v>
          </cell>
        </row>
        <row r="1569">
          <cell r="A1569">
            <v>2026</v>
          </cell>
          <cell r="B1569">
            <v>4</v>
          </cell>
          <cell r="C1569">
            <v>46135</v>
          </cell>
          <cell r="D1569" t="str">
            <v>1. SKK store</v>
          </cell>
          <cell r="E1569" t="str">
            <v>S1025</v>
          </cell>
          <cell r="F1569" t="str">
            <v>SKK T6 Time City</v>
          </cell>
          <cell r="G1569" t="str">
            <v>0911287239</v>
          </cell>
          <cell r="H1569" t="str">
            <v>Chị Trần Thị Kim Chi</v>
          </cell>
          <cell r="I1569" t="str">
            <v>Khách cũ</v>
          </cell>
          <cell r="J1569" t="str">
            <v>Đơn bán</v>
          </cell>
          <cell r="K1569" t="str">
            <v>SAKUKO751553</v>
          </cell>
          <cell r="L1569" t="str">
            <v>ĐỒ CHO MẸ BÉ</v>
          </cell>
          <cell r="M1569" t="str">
            <v>GIẤY ƯỚT</v>
          </cell>
          <cell r="N1569" t="str">
            <v>GIẤY ƯỚT CHO BÉ</v>
          </cell>
          <cell r="O1569" t="str">
            <v>121663</v>
          </cell>
          <cell r="P1569" t="str">
            <v>8934755035197</v>
          </cell>
          <cell r="Q1569" t="str">
            <v>FRESSI- Khăn ướt Care For All 100 miếng</v>
          </cell>
          <cell r="R1569">
            <v>49000</v>
          </cell>
          <cell r="S1569">
            <v>1</v>
          </cell>
          <cell r="T1569">
            <v>49000</v>
          </cell>
          <cell r="U1569">
            <v>0</v>
          </cell>
          <cell r="V1569">
            <v>49000</v>
          </cell>
          <cell r="W1569" t="str">
            <v>8934755035197</v>
          </cell>
        </row>
        <row r="1570">
          <cell r="A1570">
            <v>2026</v>
          </cell>
          <cell r="B1570">
            <v>4</v>
          </cell>
          <cell r="C1570">
            <v>46135</v>
          </cell>
          <cell r="D1570" t="str">
            <v>1. SKK store</v>
          </cell>
          <cell r="E1570" t="str">
            <v>S1025</v>
          </cell>
          <cell r="F1570" t="str">
            <v>SKK T6 Time City</v>
          </cell>
          <cell r="G1570" t="str">
            <v>0911287239</v>
          </cell>
          <cell r="H1570" t="str">
            <v>Chị Trần Thị Kim Chi</v>
          </cell>
          <cell r="I1570" t="str">
            <v>Khách cũ</v>
          </cell>
          <cell r="J1570" t="str">
            <v>Đơn bán</v>
          </cell>
          <cell r="K1570" t="str">
            <v>SAKUKO751559</v>
          </cell>
          <cell r="L1570" t="str">
            <v>CHĂM SÓC SẮC ĐẸP</v>
          </cell>
          <cell r="M1570" t="str">
            <v>Mỹ phẩm khác</v>
          </cell>
          <cell r="N1570" t="str">
            <v>PHỤ KIỆN LÀM ĐẸP</v>
          </cell>
          <cell r="O1570" t="str">
            <v>102389</v>
          </cell>
          <cell r="P1570" t="str">
            <v>4969757110652</v>
          </cell>
          <cell r="Q1570" t="str">
            <v>KYOWA- Gói bông tẩy trang 130 miếng</v>
          </cell>
          <cell r="R1570">
            <v>49000</v>
          </cell>
          <cell r="S1570">
            <v>1</v>
          </cell>
          <cell r="T1570">
            <v>49000</v>
          </cell>
          <cell r="U1570">
            <v>0</v>
          </cell>
          <cell r="V1570">
            <v>49000</v>
          </cell>
          <cell r="W1570" t="str">
            <v>4969757110652</v>
          </cell>
        </row>
        <row r="1571">
          <cell r="A1571">
            <v>2026</v>
          </cell>
          <cell r="B1571">
            <v>4</v>
          </cell>
          <cell r="C1571">
            <v>46134</v>
          </cell>
          <cell r="D1571" t="str">
            <v>1. SKK store</v>
          </cell>
          <cell r="E1571" t="str">
            <v>S1004</v>
          </cell>
          <cell r="F1571" t="str">
            <v>SKK  Mandarin C1</v>
          </cell>
          <cell r="G1571" t="str">
            <v>0915303811</v>
          </cell>
          <cell r="H1571" t="str">
            <v>Chị Nhi</v>
          </cell>
          <cell r="I1571" t="str">
            <v>Khách cũ</v>
          </cell>
          <cell r="J1571" t="str">
            <v>Đơn bán</v>
          </cell>
          <cell r="K1571" t="str">
            <v>SAKUKO749601</v>
          </cell>
          <cell r="L1571" t="str">
            <v>THỰC PHẨM</v>
          </cell>
          <cell r="M1571" t="str">
            <v>MỲ, MIẾN</v>
          </cell>
          <cell r="N1571" t="str">
            <v>MỲ ĂN LIỀN</v>
          </cell>
          <cell r="O1571" t="str">
            <v>154359</v>
          </cell>
          <cell r="P1571" t="str">
            <v>4979397000138</v>
          </cell>
          <cell r="Q1571" t="str">
            <v>YAMAMOTO- Mì ramen ăn liền hải sản thịt heo 88g*5</v>
          </cell>
          <cell r="R1571">
            <v>54450</v>
          </cell>
          <cell r="S1571">
            <v>2</v>
          </cell>
          <cell r="T1571">
            <v>108900</v>
          </cell>
          <cell r="U1571">
            <v>0</v>
          </cell>
          <cell r="V1571">
            <v>108900</v>
          </cell>
          <cell r="W1571" t="str">
            <v>4979397000138</v>
          </cell>
        </row>
        <row r="1572">
          <cell r="A1572">
            <v>2026</v>
          </cell>
          <cell r="B1572">
            <v>4</v>
          </cell>
          <cell r="C1572">
            <v>46134</v>
          </cell>
          <cell r="D1572" t="str">
            <v>1. SKK store</v>
          </cell>
          <cell r="E1572" t="str">
            <v>S1004</v>
          </cell>
          <cell r="F1572" t="str">
            <v>SKK  Mandarin C1</v>
          </cell>
          <cell r="G1572" t="str">
            <v>0983221786</v>
          </cell>
          <cell r="H1572" t="str">
            <v>Bac Huệ</v>
          </cell>
          <cell r="I1572" t="str">
            <v>Khách cũ</v>
          </cell>
          <cell r="J1572" t="str">
            <v>Đơn bán</v>
          </cell>
          <cell r="K1572" t="str">
            <v>SAKUKO750015</v>
          </cell>
          <cell r="L1572" t="str">
            <v>CHĂM SÓC SẮC ĐẸP</v>
          </cell>
          <cell r="M1572" t="str">
            <v>CHĂM SÓC DA</v>
          </cell>
          <cell r="N1572" t="str">
            <v>RỬA MẶT</v>
          </cell>
          <cell r="O1572" t="str">
            <v>102386</v>
          </cell>
          <cell r="P1572" t="str">
            <v>4902468816062</v>
          </cell>
          <cell r="Q1572" t="str">
            <v>MEISHOKU- Sữa rửa mặt sáng da Cvita 100g</v>
          </cell>
          <cell r="R1572">
            <v>575000</v>
          </cell>
          <cell r="S1572">
            <v>1</v>
          </cell>
          <cell r="T1572">
            <v>575000</v>
          </cell>
          <cell r="U1572">
            <v>0</v>
          </cell>
          <cell r="V1572">
            <v>575000</v>
          </cell>
          <cell r="W1572" t="str">
            <v>4902468816062</v>
          </cell>
        </row>
        <row r="1573">
          <cell r="A1573">
            <v>2026</v>
          </cell>
          <cell r="B1573">
            <v>4</v>
          </cell>
          <cell r="C1573">
            <v>46134</v>
          </cell>
          <cell r="D1573" t="str">
            <v>1. SKK store</v>
          </cell>
          <cell r="E1573" t="str">
            <v>S1005</v>
          </cell>
          <cell r="F1573" t="str">
            <v>SKK  Thái Hà</v>
          </cell>
          <cell r="G1573" t="str">
            <v>02466810505</v>
          </cell>
          <cell r="H1573" t="str">
            <v>klth</v>
          </cell>
          <cell r="I1573" t="str">
            <v>Khách vãng lai</v>
          </cell>
          <cell r="J1573" t="str">
            <v>Đơn bán</v>
          </cell>
          <cell r="K1573" t="str">
            <v>SAKUKO749855</v>
          </cell>
          <cell r="L1573" t="str">
            <v>THỰC PHẨM</v>
          </cell>
          <cell r="M1573" t="str">
            <v>BÁNH KẸO, ĐỒ ĂN VẶT</v>
          </cell>
          <cell r="N1573" t="str">
            <v>KẸO CAO SU</v>
          </cell>
          <cell r="O1573" t="str">
            <v>153932</v>
          </cell>
          <cell r="P1573" t="str">
            <v>4903333241651</v>
          </cell>
          <cell r="Q1573" t="str">
            <v>LOTTE - Kẹo cao su black black ít đường 133g</v>
          </cell>
          <cell r="R1573">
            <v>235000</v>
          </cell>
          <cell r="S1573">
            <v>1</v>
          </cell>
          <cell r="T1573">
            <v>235000</v>
          </cell>
          <cell r="U1573">
            <v>0</v>
          </cell>
          <cell r="V1573">
            <v>235000</v>
          </cell>
          <cell r="W1573" t="str">
            <v>4903333241651</v>
          </cell>
        </row>
        <row r="1574">
          <cell r="A1574">
            <v>2026</v>
          </cell>
          <cell r="B1574">
            <v>4</v>
          </cell>
          <cell r="C1574">
            <v>46134</v>
          </cell>
          <cell r="D1574" t="str">
            <v>1. SKK store</v>
          </cell>
          <cell r="E1574" t="str">
            <v>S1005</v>
          </cell>
          <cell r="F1574" t="str">
            <v>SKK  Thái Hà</v>
          </cell>
          <cell r="G1574" t="str">
            <v>0963569840</v>
          </cell>
          <cell r="H1574" t="str">
            <v>Chị Dương</v>
          </cell>
          <cell r="I1574" t="str">
            <v>Khách cũ</v>
          </cell>
          <cell r="J1574" t="str">
            <v>Đơn bán</v>
          </cell>
          <cell r="K1574" t="str">
            <v>SAKUKO749842</v>
          </cell>
          <cell r="L1574" t="str">
            <v>THỰC PHẨM</v>
          </cell>
          <cell r="M1574" t="str">
            <v>BÁNH KẸO, ĐỒ ĂN VẶT</v>
          </cell>
          <cell r="N1574" t="str">
            <v>KẸO</v>
          </cell>
          <cell r="O1574" t="str">
            <v>231376</v>
          </cell>
          <cell r="P1574" t="str">
            <v>4903333228577</v>
          </cell>
          <cell r="Q1574" t="str">
            <v>LOTTE-Kẹo cao su tổng hợp 7 loại dạng lọ 133g</v>
          </cell>
          <cell r="R1574">
            <v>235000</v>
          </cell>
          <cell r="S1574">
            <v>1</v>
          </cell>
          <cell r="T1574">
            <v>235000</v>
          </cell>
          <cell r="U1574">
            <v>0</v>
          </cell>
          <cell r="V1574">
            <v>235000</v>
          </cell>
          <cell r="W1574" t="str">
            <v>4903333228577</v>
          </cell>
        </row>
        <row r="1575">
          <cell r="A1575">
            <v>2026</v>
          </cell>
          <cell r="B1575">
            <v>4</v>
          </cell>
          <cell r="C1575">
            <v>46134</v>
          </cell>
          <cell r="D1575" t="str">
            <v>1. SKK store</v>
          </cell>
          <cell r="E1575" t="str">
            <v>S1005</v>
          </cell>
          <cell r="F1575" t="str">
            <v>SKK  Thái Hà</v>
          </cell>
          <cell r="G1575" t="str">
            <v>0977995999</v>
          </cell>
          <cell r="H1575" t="str">
            <v>Cô Chín</v>
          </cell>
          <cell r="I1575" t="str">
            <v>Khách cũ</v>
          </cell>
          <cell r="J1575" t="str">
            <v>Đơn bán</v>
          </cell>
          <cell r="K1575" t="str">
            <v>SAKUKO750374</v>
          </cell>
          <cell r="L1575" t="str">
            <v>THỰC PHẨM</v>
          </cell>
          <cell r="M1575" t="str">
            <v>BÁNH KẸO, ĐỒ ĂN VẶT</v>
          </cell>
          <cell r="N1575" t="str">
            <v>KẸO CAO SU</v>
          </cell>
          <cell r="O1575" t="str">
            <v>153932</v>
          </cell>
          <cell r="P1575" t="str">
            <v>4903333241651</v>
          </cell>
          <cell r="Q1575" t="str">
            <v>LOTTE - Kẹo cao su black black ít đường 133g</v>
          </cell>
          <cell r="R1575">
            <v>235000</v>
          </cell>
          <cell r="S1575">
            <v>1</v>
          </cell>
          <cell r="T1575">
            <v>235000</v>
          </cell>
          <cell r="U1575">
            <v>0</v>
          </cell>
          <cell r="V1575">
            <v>235000</v>
          </cell>
          <cell r="W1575" t="str">
            <v>4903333241651</v>
          </cell>
        </row>
        <row r="1576">
          <cell r="A1576">
            <v>2026</v>
          </cell>
          <cell r="B1576">
            <v>4</v>
          </cell>
          <cell r="C1576">
            <v>46134</v>
          </cell>
          <cell r="D1576" t="str">
            <v>1. SKK store</v>
          </cell>
          <cell r="E1576" t="str">
            <v>S1005</v>
          </cell>
          <cell r="F1576" t="str">
            <v>SKK  Thái Hà</v>
          </cell>
          <cell r="G1576" t="str">
            <v>0982290696</v>
          </cell>
          <cell r="H1576" t="str">
            <v>C Dung</v>
          </cell>
          <cell r="I1576" t="str">
            <v>Khách cũ</v>
          </cell>
          <cell r="J1576" t="str">
            <v>Đơn bán</v>
          </cell>
          <cell r="K1576" t="str">
            <v>SAKUKO750473</v>
          </cell>
          <cell r="L1576" t="str">
            <v>THỰC PHẨM</v>
          </cell>
          <cell r="M1576" t="str">
            <v>BÁNH KẸO, ĐỒ ĂN VẶT</v>
          </cell>
          <cell r="N1576" t="str">
            <v>KẸO</v>
          </cell>
          <cell r="O1576" t="str">
            <v>231376</v>
          </cell>
          <cell r="P1576" t="str">
            <v>4903333228577</v>
          </cell>
          <cell r="Q1576" t="str">
            <v>LOTTE-Kẹo cao su tổng hợp 7 loại dạng lọ 133g</v>
          </cell>
          <cell r="R1576">
            <v>235000</v>
          </cell>
          <cell r="S1576">
            <v>1</v>
          </cell>
          <cell r="T1576">
            <v>235000</v>
          </cell>
          <cell r="U1576">
            <v>0</v>
          </cell>
          <cell r="V1576">
            <v>235000</v>
          </cell>
          <cell r="W1576" t="str">
            <v>4903333228577</v>
          </cell>
        </row>
        <row r="1577">
          <cell r="A1577">
            <v>2026</v>
          </cell>
          <cell r="B1577">
            <v>4</v>
          </cell>
          <cell r="C1577">
            <v>46134</v>
          </cell>
          <cell r="D1577" t="str">
            <v>1. SKK store</v>
          </cell>
          <cell r="E1577" t="str">
            <v>S1005</v>
          </cell>
          <cell r="F1577" t="str">
            <v>SKK  Thái Hà</v>
          </cell>
          <cell r="G1577" t="str">
            <v>0985142386</v>
          </cell>
          <cell r="H1577" t="str">
            <v>Chị Thủy</v>
          </cell>
          <cell r="I1577" t="str">
            <v>Khách cũ</v>
          </cell>
          <cell r="J1577" t="str">
            <v>Đơn bán</v>
          </cell>
          <cell r="K1577" t="str">
            <v>SAKUKO750479</v>
          </cell>
          <cell r="L1577" t="str">
            <v>THỰC PHẨM</v>
          </cell>
          <cell r="M1577" t="str">
            <v>BÁNH KẸO, ĐỒ ĂN VẶT</v>
          </cell>
          <cell r="N1577" t="str">
            <v>KẸO</v>
          </cell>
          <cell r="O1577" t="str">
            <v>231377</v>
          </cell>
          <cell r="P1577" t="str">
            <v>4903333200375</v>
          </cell>
          <cell r="Q1577" t="str">
            <v>LOTTE-Kẹo cao su tổng hợp dạng lọ 114g</v>
          </cell>
          <cell r="R1577">
            <v>235000</v>
          </cell>
          <cell r="S1577">
            <v>1</v>
          </cell>
          <cell r="T1577">
            <v>235000</v>
          </cell>
          <cell r="U1577">
            <v>0</v>
          </cell>
          <cell r="V1577">
            <v>235000</v>
          </cell>
          <cell r="W1577" t="str">
            <v>4903333200375</v>
          </cell>
        </row>
        <row r="1578">
          <cell r="A1578">
            <v>2026</v>
          </cell>
          <cell r="B1578">
            <v>4</v>
          </cell>
          <cell r="C1578">
            <v>46134</v>
          </cell>
          <cell r="D1578" t="str">
            <v>1. SKK store</v>
          </cell>
          <cell r="E1578" t="str">
            <v>S1006</v>
          </cell>
          <cell r="F1578" t="str">
            <v>SKK Trần Đăng Ninh</v>
          </cell>
          <cell r="G1578" t="str">
            <v>0394076744</v>
          </cell>
          <cell r="H1578" t="str">
            <v>Chị Trang</v>
          </cell>
          <cell r="I1578" t="str">
            <v>Khách cũ</v>
          </cell>
          <cell r="J1578" t="str">
            <v>Đơn bán</v>
          </cell>
          <cell r="K1578" t="str">
            <v>SAKUKO750257</v>
          </cell>
          <cell r="L1578" t="str">
            <v>THỰC PHẨM</v>
          </cell>
          <cell r="M1578" t="str">
            <v>MỲ, MIẾN</v>
          </cell>
          <cell r="N1578" t="str">
            <v>MỲ CHẾ BIẾN</v>
          </cell>
          <cell r="O1578" t="str">
            <v>175435</v>
          </cell>
          <cell r="P1578" t="str">
            <v>4901726014752</v>
          </cell>
          <cell r="Q1578" t="str">
            <v>ITSUKI FOODS- Mì soumen rau củ ngũ sắc320g</v>
          </cell>
          <cell r="R1578">
            <v>76000</v>
          </cell>
          <cell r="S1578">
            <v>1</v>
          </cell>
          <cell r="T1578">
            <v>76000</v>
          </cell>
          <cell r="U1578">
            <v>0</v>
          </cell>
          <cell r="V1578">
            <v>76000</v>
          </cell>
          <cell r="W1578" t="str">
            <v>4901726014752</v>
          </cell>
        </row>
        <row r="1579">
          <cell r="A1579">
            <v>2026</v>
          </cell>
          <cell r="B1579">
            <v>4</v>
          </cell>
          <cell r="C1579">
            <v>46134</v>
          </cell>
          <cell r="D1579" t="str">
            <v>1. SKK store</v>
          </cell>
          <cell r="E1579" t="str">
            <v>S1006</v>
          </cell>
          <cell r="F1579" t="str">
            <v>SKK Trần Đăng Ninh</v>
          </cell>
          <cell r="G1579" t="str">
            <v>0936199988</v>
          </cell>
          <cell r="H1579" t="str">
            <v>Cô Kim Anh</v>
          </cell>
          <cell r="I1579" t="str">
            <v>Khách cũ</v>
          </cell>
          <cell r="J1579" t="str">
            <v>Đơn bán</v>
          </cell>
          <cell r="K1579" t="str">
            <v>SAKUKO749797</v>
          </cell>
          <cell r="L1579" t="str">
            <v>CHĂM SÓC SẮC ĐẸP</v>
          </cell>
          <cell r="M1579" t="str">
            <v>Mỹ phẩm khác</v>
          </cell>
          <cell r="N1579" t="str">
            <v>PHỤ KIỆN LÀM ĐẸP</v>
          </cell>
          <cell r="O1579" t="str">
            <v>102391</v>
          </cell>
          <cell r="P1579" t="str">
            <v>4991203205759</v>
          </cell>
          <cell r="Q1579" t="str">
            <v>ECHO - Khăn mặt dạng nén 20v size 26x16cm</v>
          </cell>
          <cell r="R1579">
            <v>45000</v>
          </cell>
          <cell r="S1579">
            <v>1</v>
          </cell>
          <cell r="T1579">
            <v>45000</v>
          </cell>
          <cell r="U1579">
            <v>0</v>
          </cell>
          <cell r="V1579">
            <v>45000</v>
          </cell>
          <cell r="W1579" t="str">
            <v>4991203205759</v>
          </cell>
        </row>
        <row r="1580">
          <cell r="A1580">
            <v>2026</v>
          </cell>
          <cell r="B1580">
            <v>4</v>
          </cell>
          <cell r="C1580">
            <v>46134</v>
          </cell>
          <cell r="D1580" t="str">
            <v>1. SKK store</v>
          </cell>
          <cell r="E1580" t="str">
            <v>S1007</v>
          </cell>
          <cell r="F1580" t="str">
            <v>SKK  Nguyễn Du</v>
          </cell>
          <cell r="G1580" t="str">
            <v>0904477377</v>
          </cell>
          <cell r="H1580" t="str">
            <v>Chị Nguyễn Thị Phi Nga</v>
          </cell>
          <cell r="I1580" t="str">
            <v>Khách cũ</v>
          </cell>
          <cell r="J1580" t="str">
            <v>Đơn bán</v>
          </cell>
          <cell r="K1580" t="str">
            <v>SAKUKO750381</v>
          </cell>
          <cell r="L1580" t="str">
            <v>THỰC PHẨM</v>
          </cell>
          <cell r="M1580" t="str">
            <v>MỲ, MIẾN</v>
          </cell>
          <cell r="N1580" t="str">
            <v>MỲ ĂN LIỀN</v>
          </cell>
          <cell r="O1580" t="str">
            <v>154359</v>
          </cell>
          <cell r="P1580" t="str">
            <v>4979397000138</v>
          </cell>
          <cell r="Q1580" t="str">
            <v>YAMAMOTO- Mì ramen ăn liền hải sản thịt heo 88g*5</v>
          </cell>
          <cell r="R1580">
            <v>54450</v>
          </cell>
          <cell r="S1580">
            <v>1</v>
          </cell>
          <cell r="T1580">
            <v>54450</v>
          </cell>
          <cell r="U1580">
            <v>0</v>
          </cell>
          <cell r="V1580">
            <v>54450</v>
          </cell>
          <cell r="W1580" t="str">
            <v>4979397000138</v>
          </cell>
        </row>
        <row r="1581">
          <cell r="A1581">
            <v>2026</v>
          </cell>
          <cell r="B1581">
            <v>4</v>
          </cell>
          <cell r="C1581">
            <v>46134</v>
          </cell>
          <cell r="D1581" t="str">
            <v>1. SKK store</v>
          </cell>
          <cell r="E1581" t="str">
            <v>S1007</v>
          </cell>
          <cell r="F1581" t="str">
            <v>SKK  Nguyễn Du</v>
          </cell>
          <cell r="G1581" t="str">
            <v>0904477377</v>
          </cell>
          <cell r="H1581" t="str">
            <v>Chị Nguyễn Thị Phi Nga</v>
          </cell>
          <cell r="I1581" t="str">
            <v>Khách cũ</v>
          </cell>
          <cell r="J1581" t="str">
            <v>Đơn bán</v>
          </cell>
          <cell r="K1581" t="str">
            <v>SAKUKO750385</v>
          </cell>
          <cell r="L1581" t="str">
            <v>THỰC PHẨM</v>
          </cell>
          <cell r="M1581" t="str">
            <v>MỲ, MIẾN</v>
          </cell>
          <cell r="N1581" t="str">
            <v>MỲ ĂN LIỀN</v>
          </cell>
          <cell r="O1581" t="str">
            <v>154359</v>
          </cell>
          <cell r="P1581" t="str">
            <v>4979397000138</v>
          </cell>
          <cell r="Q1581" t="str">
            <v>YAMAMOTO- Mì ramen ăn liền hải sản thịt heo 88g*5</v>
          </cell>
          <cell r="R1581">
            <v>54450</v>
          </cell>
          <cell r="S1581">
            <v>1</v>
          </cell>
          <cell r="T1581">
            <v>54450</v>
          </cell>
          <cell r="U1581">
            <v>0</v>
          </cell>
          <cell r="V1581">
            <v>54450</v>
          </cell>
          <cell r="W1581" t="str">
            <v>4979397000138</v>
          </cell>
        </row>
        <row r="1582">
          <cell r="A1582">
            <v>2026</v>
          </cell>
          <cell r="B1582">
            <v>4</v>
          </cell>
          <cell r="C1582">
            <v>46134</v>
          </cell>
          <cell r="D1582" t="str">
            <v>1. SKK store</v>
          </cell>
          <cell r="E1582" t="str">
            <v>S1008</v>
          </cell>
          <cell r="F1582" t="str">
            <v>SKK  Hàng Bông</v>
          </cell>
          <cell r="G1582" t="str">
            <v>02466810202</v>
          </cell>
          <cell r="H1582" t="str">
            <v>KH Tây</v>
          </cell>
          <cell r="I1582" t="str">
            <v>Khách vãng lai</v>
          </cell>
          <cell r="J1582" t="str">
            <v>Đơn bán</v>
          </cell>
          <cell r="K1582" t="str">
            <v>SAKUKO749999</v>
          </cell>
          <cell r="L1582" t="str">
            <v>ĐỒ CHO MẸ BÉ</v>
          </cell>
          <cell r="M1582" t="str">
            <v>GIẤY ƯỚT</v>
          </cell>
          <cell r="N1582" t="str">
            <v>GIẤY ƯỚT CHO BÉ</v>
          </cell>
          <cell r="O1582" t="str">
            <v>121662</v>
          </cell>
          <cell r="P1582" t="str">
            <v>8934755035036</v>
          </cell>
          <cell r="Q1582" t="str">
            <v>FRESSI- Khăn ướt Care For All 20 miếng</v>
          </cell>
          <cell r="R1582">
            <v>14000</v>
          </cell>
          <cell r="S1582">
            <v>1</v>
          </cell>
          <cell r="T1582">
            <v>14000</v>
          </cell>
          <cell r="U1582">
            <v>0</v>
          </cell>
          <cell r="V1582">
            <v>14000</v>
          </cell>
          <cell r="W1582" t="str">
            <v>8934755035036</v>
          </cell>
        </row>
        <row r="1583">
          <cell r="A1583">
            <v>2026</v>
          </cell>
          <cell r="B1583">
            <v>4</v>
          </cell>
          <cell r="C1583">
            <v>46134</v>
          </cell>
          <cell r="D1583" t="str">
            <v>1. SKK store</v>
          </cell>
          <cell r="E1583" t="str">
            <v>S1008</v>
          </cell>
          <cell r="F1583" t="str">
            <v>SKK  Hàng Bông</v>
          </cell>
          <cell r="G1583" t="str">
            <v>0362067065</v>
          </cell>
          <cell r="H1583" t="str">
            <v>chị ngọc liên</v>
          </cell>
          <cell r="I1583" t="str">
            <v>Khách cũ</v>
          </cell>
          <cell r="J1583" t="str">
            <v>Đơn bán</v>
          </cell>
          <cell r="K1583" t="str">
            <v>SAKUKO749712</v>
          </cell>
          <cell r="L1583" t="str">
            <v>ĐỒ CHO MẸ BÉ</v>
          </cell>
          <cell r="M1583" t="str">
            <v>CHĂM SÓC CƠ THỂ BÉ</v>
          </cell>
          <cell r="N1583" t="str">
            <v>THỰC PHẨM CHỨC NĂNG CHO BÉ</v>
          </cell>
          <cell r="O1583" t="str">
            <v>121669</v>
          </cell>
          <cell r="P1583" t="str">
            <v>8436036591915</v>
          </cell>
          <cell r="Q1583" t="str">
            <v>NEO KIDS-TPBVSK Omega 3 DHA 150ml</v>
          </cell>
          <cell r="R1583">
            <v>275000</v>
          </cell>
          <cell r="S1583">
            <v>1</v>
          </cell>
          <cell r="T1583">
            <v>275000</v>
          </cell>
          <cell r="U1583">
            <v>0</v>
          </cell>
          <cell r="V1583">
            <v>275000</v>
          </cell>
          <cell r="W1583" t="str">
            <v>8436036591915</v>
          </cell>
        </row>
        <row r="1584">
          <cell r="A1584">
            <v>2026</v>
          </cell>
          <cell r="B1584">
            <v>4</v>
          </cell>
          <cell r="C1584">
            <v>46134</v>
          </cell>
          <cell r="D1584" t="str">
            <v>1. SKK store</v>
          </cell>
          <cell r="E1584" t="str">
            <v>S1008</v>
          </cell>
          <cell r="F1584" t="str">
            <v>SKK  Hàng Bông</v>
          </cell>
          <cell r="G1584" t="str">
            <v>0814525868</v>
          </cell>
          <cell r="H1584" t="str">
            <v>cô Síu</v>
          </cell>
          <cell r="I1584" t="str">
            <v>Khách cũ</v>
          </cell>
          <cell r="J1584" t="str">
            <v>Đơn bán</v>
          </cell>
          <cell r="K1584" t="str">
            <v>SAKUKO750019</v>
          </cell>
          <cell r="L1584" t="str">
            <v>ĐỒ CHO MẸ BÉ</v>
          </cell>
          <cell r="M1584" t="str">
            <v>GIẤY ƯỚT</v>
          </cell>
          <cell r="N1584" t="str">
            <v>GIẤY ƯỚT CHO BÉ</v>
          </cell>
          <cell r="O1584" t="str">
            <v>121662</v>
          </cell>
          <cell r="P1584" t="str">
            <v>8934755035036</v>
          </cell>
          <cell r="Q1584" t="str">
            <v>FRESSI- Khăn ướt Care For All 20 miếng</v>
          </cell>
          <cell r="R1584">
            <v>14000</v>
          </cell>
          <cell r="S1584">
            <v>2</v>
          </cell>
          <cell r="T1584">
            <v>28000</v>
          </cell>
          <cell r="U1584">
            <v>0</v>
          </cell>
          <cell r="V1584">
            <v>28000</v>
          </cell>
          <cell r="W1584" t="str">
            <v>8934755035036</v>
          </cell>
        </row>
        <row r="1585">
          <cell r="A1585">
            <v>2026</v>
          </cell>
          <cell r="B1585">
            <v>4</v>
          </cell>
          <cell r="C1585">
            <v>46134</v>
          </cell>
          <cell r="D1585" t="str">
            <v>1. SKK store</v>
          </cell>
          <cell r="E1585" t="str">
            <v>S1008</v>
          </cell>
          <cell r="F1585" t="str">
            <v>SKK  Hàng Bông</v>
          </cell>
          <cell r="G1585" t="str">
            <v>0911858668</v>
          </cell>
          <cell r="H1585" t="str">
            <v>Chị Yến</v>
          </cell>
          <cell r="I1585" t="str">
            <v>Khách cũ</v>
          </cell>
          <cell r="J1585" t="str">
            <v>Đơn bán</v>
          </cell>
          <cell r="K1585" t="str">
            <v>SAKUKO749754</v>
          </cell>
          <cell r="L1585" t="str">
            <v>ĐỒ CHO MẸ BÉ</v>
          </cell>
          <cell r="M1585" t="str">
            <v>GIẤY ƯỚT</v>
          </cell>
          <cell r="N1585" t="str">
            <v>GIẤY ƯỚT CHO BÉ</v>
          </cell>
          <cell r="O1585" t="str">
            <v>121662</v>
          </cell>
          <cell r="P1585" t="str">
            <v>8934755035036</v>
          </cell>
          <cell r="Q1585" t="str">
            <v>FRESSI- Khăn ướt Care For All 20 miếng</v>
          </cell>
          <cell r="R1585">
            <v>14000</v>
          </cell>
          <cell r="S1585">
            <v>2</v>
          </cell>
          <cell r="T1585">
            <v>28000</v>
          </cell>
          <cell r="U1585">
            <v>0</v>
          </cell>
          <cell r="V1585">
            <v>28000</v>
          </cell>
          <cell r="W1585" t="str">
            <v>8934755035036</v>
          </cell>
        </row>
        <row r="1586">
          <cell r="A1586">
            <v>2026</v>
          </cell>
          <cell r="B1586">
            <v>4</v>
          </cell>
          <cell r="C1586">
            <v>46134</v>
          </cell>
          <cell r="D1586" t="str">
            <v>1. SKK store</v>
          </cell>
          <cell r="E1586" t="str">
            <v>S1008</v>
          </cell>
          <cell r="F1586" t="str">
            <v>SKK  Hàng Bông</v>
          </cell>
          <cell r="G1586" t="str">
            <v>0916596030</v>
          </cell>
          <cell r="H1586" t="str">
            <v>cô Tình</v>
          </cell>
          <cell r="I1586" t="str">
            <v>Khách cũ</v>
          </cell>
          <cell r="J1586" t="str">
            <v>Đơn bán</v>
          </cell>
          <cell r="K1586" t="str">
            <v>SAKUKO749759</v>
          </cell>
          <cell r="L1586" t="str">
            <v>ĐỒ CHO MẸ BÉ</v>
          </cell>
          <cell r="M1586" t="str">
            <v>GIẤY ƯỚT</v>
          </cell>
          <cell r="N1586" t="str">
            <v>GIẤY ƯỚT CHO BÉ</v>
          </cell>
          <cell r="O1586" t="str">
            <v>121662</v>
          </cell>
          <cell r="P1586" t="str">
            <v>8934755035036</v>
          </cell>
          <cell r="Q1586" t="str">
            <v>FRESSI- Khăn ướt Care For All 20 miếng</v>
          </cell>
          <cell r="R1586">
            <v>14000</v>
          </cell>
          <cell r="S1586">
            <v>1</v>
          </cell>
          <cell r="T1586">
            <v>14000</v>
          </cell>
          <cell r="U1586">
            <v>0</v>
          </cell>
          <cell r="V1586">
            <v>14000</v>
          </cell>
          <cell r="W1586" t="str">
            <v>8934755035036</v>
          </cell>
        </row>
        <row r="1587">
          <cell r="A1587">
            <v>2026</v>
          </cell>
          <cell r="B1587">
            <v>4</v>
          </cell>
          <cell r="C1587">
            <v>46134</v>
          </cell>
          <cell r="D1587" t="str">
            <v>1. SKK store</v>
          </cell>
          <cell r="E1587" t="str">
            <v>S1008</v>
          </cell>
          <cell r="F1587" t="str">
            <v>SKK  Hàng Bông</v>
          </cell>
          <cell r="G1587" t="str">
            <v>0917682881</v>
          </cell>
          <cell r="H1587" t="str">
            <v>c lan</v>
          </cell>
          <cell r="I1587" t="str">
            <v>Khách cũ</v>
          </cell>
          <cell r="J1587" t="str">
            <v>Đơn bán</v>
          </cell>
          <cell r="K1587" t="str">
            <v>SAKUKO750410</v>
          </cell>
          <cell r="L1587" t="str">
            <v>ĐỒ CHO MẸ BÉ</v>
          </cell>
          <cell r="M1587" t="str">
            <v>GIẤY ƯỚT</v>
          </cell>
          <cell r="N1587" t="str">
            <v>GIẤY ƯỚT CHO BÉ</v>
          </cell>
          <cell r="O1587" t="str">
            <v>121665</v>
          </cell>
          <cell r="P1587" t="str">
            <v>8934755035289</v>
          </cell>
          <cell r="Q1587" t="str">
            <v>BOBBY- Khăn ướt em bé không mùi 100 miếng</v>
          </cell>
          <cell r="R1587">
            <v>46000</v>
          </cell>
          <cell r="S1587">
            <v>1</v>
          </cell>
          <cell r="T1587">
            <v>46000</v>
          </cell>
          <cell r="U1587">
            <v>0</v>
          </cell>
          <cell r="V1587">
            <v>46000</v>
          </cell>
          <cell r="W1587" t="str">
            <v>8934755035289</v>
          </cell>
        </row>
        <row r="1588">
          <cell r="A1588">
            <v>2026</v>
          </cell>
          <cell r="B1588">
            <v>4</v>
          </cell>
          <cell r="C1588">
            <v>46134</v>
          </cell>
          <cell r="D1588" t="str">
            <v>1. SKK store</v>
          </cell>
          <cell r="E1588" t="str">
            <v>S1008</v>
          </cell>
          <cell r="F1588" t="str">
            <v>SKK  Hàng Bông</v>
          </cell>
          <cell r="G1588" t="str">
            <v>0975756369</v>
          </cell>
          <cell r="H1588" t="str">
            <v>c hương</v>
          </cell>
          <cell r="I1588" t="str">
            <v>Khách cũ</v>
          </cell>
          <cell r="J1588" t="str">
            <v>Đơn bán</v>
          </cell>
          <cell r="K1588" t="str">
            <v>SAKUKO749703</v>
          </cell>
          <cell r="L1588" t="str">
            <v>ĐỒ CHO MẸ BÉ</v>
          </cell>
          <cell r="M1588" t="str">
            <v>GIẤY ƯỚT</v>
          </cell>
          <cell r="N1588" t="str">
            <v>GIẤY ƯỚT CHO BÉ</v>
          </cell>
          <cell r="O1588" t="str">
            <v>121662</v>
          </cell>
          <cell r="P1588" t="str">
            <v>8934755035036</v>
          </cell>
          <cell r="Q1588" t="str">
            <v>FRESSI- Khăn ướt Care For All 20 miếng</v>
          </cell>
          <cell r="R1588">
            <v>14000</v>
          </cell>
          <cell r="S1588">
            <v>1</v>
          </cell>
          <cell r="T1588">
            <v>14000</v>
          </cell>
          <cell r="U1588">
            <v>0</v>
          </cell>
          <cell r="V1588">
            <v>14000</v>
          </cell>
          <cell r="W1588" t="str">
            <v>8934755035036</v>
          </cell>
        </row>
        <row r="1589">
          <cell r="A1589">
            <v>2026</v>
          </cell>
          <cell r="B1589">
            <v>4</v>
          </cell>
          <cell r="C1589">
            <v>46134</v>
          </cell>
          <cell r="D1589" t="str">
            <v>1. SKK store</v>
          </cell>
          <cell r="E1589" t="str">
            <v>S1008</v>
          </cell>
          <cell r="F1589" t="str">
            <v>SKK  Hàng Bông</v>
          </cell>
          <cell r="G1589" t="str">
            <v>0984506861</v>
          </cell>
          <cell r="H1589" t="str">
            <v>chị Thu Hương</v>
          </cell>
          <cell r="I1589" t="str">
            <v>Khách cũ</v>
          </cell>
          <cell r="J1589" t="str">
            <v>Đơn bán</v>
          </cell>
          <cell r="K1589" t="str">
            <v>SAKUKO749833</v>
          </cell>
          <cell r="L1589" t="str">
            <v>CHĂM SÓC SẮC ĐẸP</v>
          </cell>
          <cell r="M1589" t="str">
            <v>Mỹ phẩm khác</v>
          </cell>
          <cell r="N1589" t="str">
            <v>PHỤ KIỆN LÀM ĐẸP</v>
          </cell>
          <cell r="O1589" t="str">
            <v>102391</v>
          </cell>
          <cell r="P1589" t="str">
            <v>4991203205759</v>
          </cell>
          <cell r="Q1589" t="str">
            <v>ECHO - Khăn mặt dạng nén 20v size 26x16cm</v>
          </cell>
          <cell r="R1589">
            <v>45000</v>
          </cell>
          <cell r="S1589">
            <v>1</v>
          </cell>
          <cell r="T1589">
            <v>45000</v>
          </cell>
          <cell r="U1589">
            <v>0</v>
          </cell>
          <cell r="V1589">
            <v>45000</v>
          </cell>
          <cell r="W1589" t="str">
            <v>4991203205759</v>
          </cell>
        </row>
        <row r="1590">
          <cell r="A1590">
            <v>2026</v>
          </cell>
          <cell r="B1590">
            <v>4</v>
          </cell>
          <cell r="C1590">
            <v>46134</v>
          </cell>
          <cell r="D1590" t="str">
            <v>1. SKK store</v>
          </cell>
          <cell r="E1590" t="str">
            <v>S1008</v>
          </cell>
          <cell r="F1590" t="str">
            <v>SKK  Hàng Bông</v>
          </cell>
          <cell r="G1590" t="str">
            <v>0986711691</v>
          </cell>
          <cell r="H1590" t="str">
            <v>CHỊ MAI ANH</v>
          </cell>
          <cell r="I1590" t="str">
            <v>Khách cũ</v>
          </cell>
          <cell r="J1590" t="str">
            <v>Đơn bán</v>
          </cell>
          <cell r="K1590" t="str">
            <v>SAKUKO749943</v>
          </cell>
          <cell r="L1590" t="str">
            <v>CHĂM SÓC SẮC ĐẸP</v>
          </cell>
          <cell r="M1590" t="str">
            <v>CHĂM SÓC DA</v>
          </cell>
          <cell r="N1590" t="str">
            <v>KEM DƯỠNG</v>
          </cell>
          <cell r="O1590" t="str">
            <v>102384</v>
          </cell>
          <cell r="P1590" t="str">
            <v>4902468820014</v>
          </cell>
          <cell r="Q1590" t="str">
            <v>MEISHOKU- Kem gel dưỡng ẩm phục hồi chuyên sâu 50g</v>
          </cell>
          <cell r="R1590">
            <v>290000</v>
          </cell>
          <cell r="S1590">
            <v>1</v>
          </cell>
          <cell r="T1590">
            <v>290000</v>
          </cell>
          <cell r="U1590">
            <v>0</v>
          </cell>
          <cell r="V1590">
            <v>290000</v>
          </cell>
          <cell r="W1590" t="str">
            <v>4902468820014</v>
          </cell>
        </row>
        <row r="1591">
          <cell r="A1591">
            <v>2026</v>
          </cell>
          <cell r="B1591">
            <v>4</v>
          </cell>
          <cell r="C1591">
            <v>46134</v>
          </cell>
          <cell r="D1591" t="str">
            <v>1. SKK store</v>
          </cell>
          <cell r="E1591" t="str">
            <v>S1008</v>
          </cell>
          <cell r="F1591" t="str">
            <v>SKK  Hàng Bông</v>
          </cell>
          <cell r="G1591" t="str">
            <v>0986981188</v>
          </cell>
          <cell r="H1591" t="str">
            <v>CHI TRANG</v>
          </cell>
          <cell r="I1591" t="str">
            <v>Khách cũ</v>
          </cell>
          <cell r="J1591" t="str">
            <v>Đơn bán</v>
          </cell>
          <cell r="K1591" t="str">
            <v>SAKUKO750224</v>
          </cell>
          <cell r="L1591" t="str">
            <v>ĐỒ CHO MẸ BÉ</v>
          </cell>
          <cell r="M1591" t="str">
            <v>GIẤY ƯỚT</v>
          </cell>
          <cell r="N1591" t="str">
            <v>GIẤY ƯỚT CHO BÉ</v>
          </cell>
          <cell r="O1591" t="str">
            <v>121663</v>
          </cell>
          <cell r="P1591" t="str">
            <v>8934755035197</v>
          </cell>
          <cell r="Q1591" t="str">
            <v>FRESSI- Khăn ướt Care For All 100 miếng</v>
          </cell>
          <cell r="R1591">
            <v>49000</v>
          </cell>
          <cell r="S1591">
            <v>1</v>
          </cell>
          <cell r="T1591">
            <v>49000</v>
          </cell>
          <cell r="U1591">
            <v>0</v>
          </cell>
          <cell r="V1591">
            <v>49000</v>
          </cell>
          <cell r="W1591" t="str">
            <v>8934755035197</v>
          </cell>
        </row>
        <row r="1592">
          <cell r="A1592">
            <v>2026</v>
          </cell>
          <cell r="B1592">
            <v>4</v>
          </cell>
          <cell r="C1592">
            <v>46134</v>
          </cell>
          <cell r="D1592" t="str">
            <v>1. SKK store</v>
          </cell>
          <cell r="E1592" t="str">
            <v>S1025</v>
          </cell>
          <cell r="F1592" t="str">
            <v>SKK T6 Time City</v>
          </cell>
          <cell r="G1592" t="str">
            <v>0375952098</v>
          </cell>
          <cell r="H1592" t="str">
            <v>bác luyện</v>
          </cell>
          <cell r="I1592" t="str">
            <v>Khách mới</v>
          </cell>
          <cell r="J1592" t="str">
            <v>Đơn bán</v>
          </cell>
          <cell r="K1592" t="str">
            <v>SAKUKO749714</v>
          </cell>
          <cell r="L1592" t="str">
            <v>ĐỒ CHO MẸ BÉ</v>
          </cell>
          <cell r="M1592" t="str">
            <v>GIẤY ƯỚT</v>
          </cell>
          <cell r="N1592" t="str">
            <v>GIẤY ƯỚT CHO BÉ</v>
          </cell>
          <cell r="O1592" t="str">
            <v>121664</v>
          </cell>
          <cell r="P1592" t="str">
            <v>8934755035074</v>
          </cell>
          <cell r="Q1592" t="str">
            <v>BOBBY- Khăn ướt em bé có hương 100 miếng</v>
          </cell>
          <cell r="R1592">
            <v>46000</v>
          </cell>
          <cell r="S1592">
            <v>1</v>
          </cell>
          <cell r="T1592">
            <v>46000</v>
          </cell>
          <cell r="U1592">
            <v>0</v>
          </cell>
          <cell r="V1592">
            <v>46000</v>
          </cell>
          <cell r="W1592" t="str">
            <v>8934755035074</v>
          </cell>
        </row>
        <row r="1593">
          <cell r="A1593">
            <v>2026</v>
          </cell>
          <cell r="B1593">
            <v>4</v>
          </cell>
          <cell r="C1593">
            <v>46134</v>
          </cell>
          <cell r="D1593" t="str">
            <v>1. SKK store</v>
          </cell>
          <cell r="E1593" t="str">
            <v>S1025</v>
          </cell>
          <cell r="F1593" t="str">
            <v>SKK T6 Time City</v>
          </cell>
          <cell r="G1593" t="str">
            <v>0762171111</v>
          </cell>
          <cell r="H1593" t="str">
            <v>Trương</v>
          </cell>
          <cell r="I1593" t="str">
            <v>Khách cũ</v>
          </cell>
          <cell r="J1593" t="str">
            <v>Đơn bán</v>
          </cell>
          <cell r="K1593" t="str">
            <v>SAKUKO750149</v>
          </cell>
          <cell r="L1593" t="str">
            <v>NHÀ CỬA ĐỜI SỐNG</v>
          </cell>
          <cell r="M1593" t="str">
            <v>ĐỒ DÙNG SINH HOẠT GIA ĐÌNH</v>
          </cell>
          <cell r="N1593" t="str">
            <v>VẬT DỤNG SINH HOẠT KHÁC</v>
          </cell>
          <cell r="O1593" t="str">
            <v>135039</v>
          </cell>
          <cell r="P1593" t="str">
            <v>4968988074993</v>
          </cell>
          <cell r="Q1593" t="str">
            <v>OMAICHI- Set 2 lọ chiết mỹ phẩm 40ml kèm hộp đựng</v>
          </cell>
          <cell r="R1593">
            <v>52000</v>
          </cell>
          <cell r="S1593">
            <v>1</v>
          </cell>
          <cell r="T1593">
            <v>52000</v>
          </cell>
          <cell r="U1593">
            <v>0</v>
          </cell>
          <cell r="V1593">
            <v>52000</v>
          </cell>
          <cell r="W1593" t="str">
            <v>4968988074993</v>
          </cell>
        </row>
        <row r="1594">
          <cell r="A1594">
            <v>2026</v>
          </cell>
          <cell r="B1594">
            <v>4</v>
          </cell>
          <cell r="C1594">
            <v>46134</v>
          </cell>
          <cell r="D1594" t="str">
            <v>1. SKK store</v>
          </cell>
          <cell r="E1594" t="str">
            <v>S1025</v>
          </cell>
          <cell r="F1594" t="str">
            <v>SKK T6 Time City</v>
          </cell>
          <cell r="G1594" t="str">
            <v>0904853499</v>
          </cell>
          <cell r="H1594" t="str">
            <v>c yến</v>
          </cell>
          <cell r="I1594" t="str">
            <v>Khách cũ</v>
          </cell>
          <cell r="J1594" t="str">
            <v>Đơn bán</v>
          </cell>
          <cell r="K1594" t="str">
            <v>SAKUKO749799</v>
          </cell>
          <cell r="L1594" t="str">
            <v>CHĂM SÓC SẮC ĐẸP</v>
          </cell>
          <cell r="M1594" t="str">
            <v>CHĂM SÓC DA</v>
          </cell>
          <cell r="N1594" t="str">
            <v>KEM DƯỠNG</v>
          </cell>
          <cell r="O1594" t="str">
            <v>102384</v>
          </cell>
          <cell r="P1594" t="str">
            <v>4902468820014</v>
          </cell>
          <cell r="Q1594" t="str">
            <v>MEISHOKU- Kem gel dưỡng ẩm phục hồi chuyên sâu 50g</v>
          </cell>
          <cell r="R1594">
            <v>290000</v>
          </cell>
          <cell r="S1594">
            <v>1</v>
          </cell>
          <cell r="T1594">
            <v>290000</v>
          </cell>
          <cell r="U1594">
            <v>0</v>
          </cell>
          <cell r="V1594">
            <v>290000</v>
          </cell>
          <cell r="W1594" t="str">
            <v>4902468820014</v>
          </cell>
        </row>
        <row r="1595">
          <cell r="A1595">
            <v>2026</v>
          </cell>
          <cell r="B1595">
            <v>4</v>
          </cell>
          <cell r="C1595">
            <v>46133</v>
          </cell>
          <cell r="D1595" t="str">
            <v>1. SKK store</v>
          </cell>
          <cell r="E1595" t="str">
            <v>S1004</v>
          </cell>
          <cell r="F1595" t="str">
            <v>SKK  Mandarin C1</v>
          </cell>
          <cell r="G1595" t="str">
            <v>02466810404</v>
          </cell>
          <cell r="H1595" t="str">
            <v>klhmg</v>
          </cell>
          <cell r="I1595" t="str">
            <v>Khách vãng lai</v>
          </cell>
          <cell r="J1595" t="str">
            <v>Đơn bán</v>
          </cell>
          <cell r="K1595" t="str">
            <v>SAKUKO749203</v>
          </cell>
          <cell r="L1595" t="str">
            <v>CHĂM SÓC SẮC ĐẸP</v>
          </cell>
          <cell r="M1595" t="str">
            <v>Mỹ phẩm khác</v>
          </cell>
          <cell r="N1595" t="str">
            <v>PHỤ KIỆN LÀM ĐẸP</v>
          </cell>
          <cell r="O1595" t="str">
            <v>102391</v>
          </cell>
          <cell r="P1595" t="str">
            <v>4991203205759</v>
          </cell>
          <cell r="Q1595" t="str">
            <v>ECHO - Khăn mặt dạng nén 20v size 26x16cm</v>
          </cell>
          <cell r="R1595">
            <v>45000</v>
          </cell>
          <cell r="S1595">
            <v>1</v>
          </cell>
          <cell r="T1595">
            <v>45000</v>
          </cell>
          <cell r="U1595">
            <v>0</v>
          </cell>
          <cell r="V1595">
            <v>45000</v>
          </cell>
          <cell r="W1595" t="str">
            <v>4991203205759</v>
          </cell>
        </row>
        <row r="1596">
          <cell r="A1596">
            <v>2026</v>
          </cell>
          <cell r="B1596">
            <v>4</v>
          </cell>
          <cell r="C1596">
            <v>46133</v>
          </cell>
          <cell r="D1596" t="str">
            <v>1. SKK store</v>
          </cell>
          <cell r="E1596" t="str">
            <v>S1004</v>
          </cell>
          <cell r="F1596" t="str">
            <v>SKK  Mandarin C1</v>
          </cell>
          <cell r="G1596" t="str">
            <v>02466810404</v>
          </cell>
          <cell r="H1596" t="str">
            <v>klhmg</v>
          </cell>
          <cell r="I1596" t="str">
            <v>Khách vãng lai</v>
          </cell>
          <cell r="J1596" t="str">
            <v>Đơn bán</v>
          </cell>
          <cell r="K1596" t="str">
            <v>SAKUKO749231</v>
          </cell>
          <cell r="L1596" t="str">
            <v>CHĂM SÓC SẮC ĐẸP</v>
          </cell>
          <cell r="M1596" t="str">
            <v>Mỹ phẩm khác</v>
          </cell>
          <cell r="N1596" t="str">
            <v>PHỤ KIỆN LÀM ĐẸP</v>
          </cell>
          <cell r="O1596" t="str">
            <v>102391</v>
          </cell>
          <cell r="P1596" t="str">
            <v>4991203205759</v>
          </cell>
          <cell r="Q1596" t="str">
            <v>ECHO - Khăn mặt dạng nén 20v size 26x16cm</v>
          </cell>
          <cell r="R1596">
            <v>45000</v>
          </cell>
          <cell r="S1596">
            <v>2</v>
          </cell>
          <cell r="T1596">
            <v>90000</v>
          </cell>
          <cell r="U1596">
            <v>0</v>
          </cell>
          <cell r="V1596">
            <v>90000</v>
          </cell>
          <cell r="W1596" t="str">
            <v>4991203205759</v>
          </cell>
        </row>
        <row r="1597">
          <cell r="A1597">
            <v>2026</v>
          </cell>
          <cell r="B1597">
            <v>4</v>
          </cell>
          <cell r="C1597">
            <v>46133</v>
          </cell>
          <cell r="D1597" t="str">
            <v>1. SKK store</v>
          </cell>
          <cell r="E1597" t="str">
            <v>S1004</v>
          </cell>
          <cell r="F1597" t="str">
            <v>SKK  Mandarin C1</v>
          </cell>
          <cell r="G1597" t="str">
            <v>0934036688</v>
          </cell>
          <cell r="H1597" t="str">
            <v>chi thao</v>
          </cell>
          <cell r="I1597" t="str">
            <v>Khách cũ</v>
          </cell>
          <cell r="J1597" t="str">
            <v>Đơn bán</v>
          </cell>
          <cell r="K1597" t="str">
            <v>SAKUKO748937</v>
          </cell>
          <cell r="L1597" t="str">
            <v>ĐỒ CHO MẸ BÉ</v>
          </cell>
          <cell r="M1597" t="str">
            <v>GIẤY ƯỚT</v>
          </cell>
          <cell r="N1597" t="str">
            <v>GIẤY ƯỚT CHO BÉ</v>
          </cell>
          <cell r="O1597" t="str">
            <v>121665</v>
          </cell>
          <cell r="P1597" t="str">
            <v>8934755035289</v>
          </cell>
          <cell r="Q1597" t="str">
            <v>BOBBY- Khăn ướt em bé không mùi 100 miếng</v>
          </cell>
          <cell r="R1597">
            <v>46000</v>
          </cell>
          <cell r="S1597">
            <v>1</v>
          </cell>
          <cell r="T1597">
            <v>46000</v>
          </cell>
          <cell r="U1597">
            <v>0</v>
          </cell>
          <cell r="V1597">
            <v>46000</v>
          </cell>
          <cell r="W1597" t="str">
            <v>8934755035289</v>
          </cell>
        </row>
        <row r="1598">
          <cell r="A1598">
            <v>2026</v>
          </cell>
          <cell r="B1598">
            <v>4</v>
          </cell>
          <cell r="C1598">
            <v>46133</v>
          </cell>
          <cell r="D1598" t="str">
            <v>1. SKK store</v>
          </cell>
          <cell r="E1598" t="str">
            <v>S1004</v>
          </cell>
          <cell r="F1598" t="str">
            <v>SKK  Mandarin C1</v>
          </cell>
          <cell r="G1598" t="str">
            <v>0941131355</v>
          </cell>
          <cell r="H1598" t="str">
            <v>Dang ngoc lan</v>
          </cell>
          <cell r="I1598" t="str">
            <v>Khách cũ</v>
          </cell>
          <cell r="J1598" t="str">
            <v>Đơn bán</v>
          </cell>
          <cell r="K1598" t="str">
            <v>SAKUKO749335</v>
          </cell>
          <cell r="L1598" t="str">
            <v>CHĂM SÓC SẮC ĐẸP</v>
          </cell>
          <cell r="M1598" t="str">
            <v>CHĂM SÓC DA</v>
          </cell>
          <cell r="N1598" t="str">
            <v>CHĂM SÓC DA KHÁC</v>
          </cell>
          <cell r="O1598" t="str">
            <v>102387</v>
          </cell>
          <cell r="P1598" t="str">
            <v>8935006542907</v>
          </cell>
          <cell r="Q1598" t="str">
            <v>HADA LABO- Bộ sản phẩm dưỡng ẩm (travel kit)47g</v>
          </cell>
          <cell r="R1598">
            <v>129000</v>
          </cell>
          <cell r="S1598">
            <v>1</v>
          </cell>
          <cell r="T1598">
            <v>129000</v>
          </cell>
          <cell r="U1598">
            <v>0</v>
          </cell>
          <cell r="V1598">
            <v>129000</v>
          </cell>
          <cell r="W1598" t="str">
            <v>8935006542907</v>
          </cell>
        </row>
        <row r="1599">
          <cell r="A1599">
            <v>2026</v>
          </cell>
          <cell r="B1599">
            <v>4</v>
          </cell>
          <cell r="C1599">
            <v>46133</v>
          </cell>
          <cell r="D1599" t="str">
            <v>1. SKK store</v>
          </cell>
          <cell r="E1599" t="str">
            <v>S1004</v>
          </cell>
          <cell r="F1599" t="str">
            <v>SKK  Mandarin C1</v>
          </cell>
          <cell r="G1599" t="str">
            <v>0941131355</v>
          </cell>
          <cell r="H1599" t="str">
            <v>Dang ngoc lan</v>
          </cell>
          <cell r="I1599" t="str">
            <v>Khách cũ</v>
          </cell>
          <cell r="J1599" t="str">
            <v>Đơn bán</v>
          </cell>
          <cell r="K1599" t="str">
            <v>SAKUKO749335</v>
          </cell>
          <cell r="L1599" t="str">
            <v>ĐỒ CHO MẸ BÉ</v>
          </cell>
          <cell r="M1599" t="str">
            <v>CHĂM SÓC CƠ THỂ BÉ</v>
          </cell>
          <cell r="N1599" t="str">
            <v>THỰC PHẨM CHỨC NĂNG CHO BÉ</v>
          </cell>
          <cell r="O1599" t="str">
            <v>121666</v>
          </cell>
          <cell r="P1599" t="str">
            <v>8436036591441</v>
          </cell>
          <cell r="Q1599" t="str">
            <v>NEO KIDS-TPBVSK Gummies Omega 3 DHA 150g</v>
          </cell>
          <cell r="R1599">
            <v>360000</v>
          </cell>
          <cell r="S1599">
            <v>1</v>
          </cell>
          <cell r="T1599">
            <v>360000</v>
          </cell>
          <cell r="U1599">
            <v>0</v>
          </cell>
          <cell r="V1599">
            <v>360000</v>
          </cell>
          <cell r="W1599" t="str">
            <v>8436036591441</v>
          </cell>
        </row>
        <row r="1600">
          <cell r="A1600">
            <v>2026</v>
          </cell>
          <cell r="B1600">
            <v>4</v>
          </cell>
          <cell r="C1600">
            <v>46133</v>
          </cell>
          <cell r="D1600" t="str">
            <v>1. SKK store</v>
          </cell>
          <cell r="E1600" t="str">
            <v>S1004</v>
          </cell>
          <cell r="F1600" t="str">
            <v>SKK  Mandarin C1</v>
          </cell>
          <cell r="G1600" t="str">
            <v>0988084107</v>
          </cell>
          <cell r="H1600" t="str">
            <v>c.linh</v>
          </cell>
          <cell r="I1600" t="str">
            <v>Khách cũ</v>
          </cell>
          <cell r="J1600" t="str">
            <v>Đơn bán</v>
          </cell>
          <cell r="K1600" t="str">
            <v>SAKUKO749102</v>
          </cell>
          <cell r="L1600" t="str">
            <v>CHĂM SÓC SẮC ĐẸP</v>
          </cell>
          <cell r="M1600" t="str">
            <v>Mỹ phẩm khác</v>
          </cell>
          <cell r="N1600" t="str">
            <v>PHỤ KIỆN LÀM ĐẸP</v>
          </cell>
          <cell r="O1600" t="str">
            <v>102391</v>
          </cell>
          <cell r="P1600" t="str">
            <v>4991203205759</v>
          </cell>
          <cell r="Q1600" t="str">
            <v>ECHO - Khăn mặt dạng nén 20v size 26x16cm</v>
          </cell>
          <cell r="R1600">
            <v>45000</v>
          </cell>
          <cell r="S1600">
            <v>1</v>
          </cell>
          <cell r="T1600">
            <v>45000</v>
          </cell>
          <cell r="U1600">
            <v>0</v>
          </cell>
          <cell r="V1600">
            <v>45000</v>
          </cell>
          <cell r="W1600" t="str">
            <v>4991203205759</v>
          </cell>
        </row>
        <row r="1601">
          <cell r="A1601">
            <v>2026</v>
          </cell>
          <cell r="B1601">
            <v>4</v>
          </cell>
          <cell r="C1601">
            <v>46133</v>
          </cell>
          <cell r="D1601" t="str">
            <v>1. SKK store</v>
          </cell>
          <cell r="E1601" t="str">
            <v>S1004</v>
          </cell>
          <cell r="F1601" t="str">
            <v>SKK  Mandarin C1</v>
          </cell>
          <cell r="G1601" t="str">
            <v>0988737062</v>
          </cell>
          <cell r="H1601" t="str">
            <v>chu Vo</v>
          </cell>
          <cell r="I1601" t="str">
            <v>Khách cũ</v>
          </cell>
          <cell r="J1601" t="str">
            <v>Đơn bán</v>
          </cell>
          <cell r="K1601" t="str">
            <v>SAKUKO748837</v>
          </cell>
          <cell r="L1601" t="str">
            <v>THỰC PHẨM</v>
          </cell>
          <cell r="M1601" t="str">
            <v>MỲ, MIẾN</v>
          </cell>
          <cell r="N1601" t="str">
            <v>MỲ ĂN LIỀN</v>
          </cell>
          <cell r="O1601" t="str">
            <v>154359</v>
          </cell>
          <cell r="P1601" t="str">
            <v>4979397000138</v>
          </cell>
          <cell r="Q1601" t="str">
            <v>YAMAMOTO- Mì ramen ăn liền hải sản thịt heo 88g*5</v>
          </cell>
          <cell r="R1601">
            <v>54450</v>
          </cell>
          <cell r="S1601">
            <v>2</v>
          </cell>
          <cell r="T1601">
            <v>108900</v>
          </cell>
          <cell r="U1601">
            <v>0</v>
          </cell>
          <cell r="V1601">
            <v>108900</v>
          </cell>
          <cell r="W1601" t="str">
            <v>4979397000138</v>
          </cell>
        </row>
        <row r="1602">
          <cell r="A1602">
            <v>2026</v>
          </cell>
          <cell r="B1602">
            <v>4</v>
          </cell>
          <cell r="C1602">
            <v>46133</v>
          </cell>
          <cell r="D1602" t="str">
            <v>1. SKK store</v>
          </cell>
          <cell r="E1602" t="str">
            <v>S1004</v>
          </cell>
          <cell r="F1602" t="str">
            <v>SKK  Mandarin C1</v>
          </cell>
          <cell r="G1602" t="str">
            <v>0989089468</v>
          </cell>
          <cell r="H1602" t="str">
            <v>Chị Trang</v>
          </cell>
          <cell r="I1602" t="str">
            <v>Khách cũ</v>
          </cell>
          <cell r="J1602" t="str">
            <v>Đơn bán</v>
          </cell>
          <cell r="K1602" t="str">
            <v>SAKUKO748844</v>
          </cell>
          <cell r="L1602" t="str">
            <v>THỰC PHẨM</v>
          </cell>
          <cell r="M1602" t="str">
            <v>MỲ, MIẾN</v>
          </cell>
          <cell r="N1602" t="str">
            <v>MỲ ĂN LIỀN</v>
          </cell>
          <cell r="O1602" t="str">
            <v>154359</v>
          </cell>
          <cell r="P1602" t="str">
            <v>4979397000138</v>
          </cell>
          <cell r="Q1602" t="str">
            <v>YAMAMOTO- Mì ramen ăn liền hải sản thịt heo 88g*5</v>
          </cell>
          <cell r="R1602">
            <v>99000</v>
          </cell>
          <cell r="S1602">
            <v>1</v>
          </cell>
          <cell r="T1602">
            <v>99000</v>
          </cell>
          <cell r="U1602">
            <v>0</v>
          </cell>
          <cell r="V1602">
            <v>99000</v>
          </cell>
          <cell r="W1602" t="str">
            <v>4979397000138</v>
          </cell>
        </row>
        <row r="1603">
          <cell r="A1603">
            <v>2026</v>
          </cell>
          <cell r="B1603">
            <v>4</v>
          </cell>
          <cell r="C1603">
            <v>46133</v>
          </cell>
          <cell r="D1603" t="str">
            <v>1. SKK store</v>
          </cell>
          <cell r="E1603" t="str">
            <v>S1005</v>
          </cell>
          <cell r="F1603" t="str">
            <v>SKK  Thái Hà</v>
          </cell>
          <cell r="G1603" t="str">
            <v>0904841699</v>
          </cell>
          <cell r="H1603" t="str">
            <v>C Hà</v>
          </cell>
          <cell r="I1603" t="str">
            <v>Khách cũ</v>
          </cell>
          <cell r="J1603" t="str">
            <v>Đơn bán</v>
          </cell>
          <cell r="K1603" t="str">
            <v>SAKUKO749120</v>
          </cell>
          <cell r="L1603" t="str">
            <v>THỰC PHẨM</v>
          </cell>
          <cell r="M1603" t="str">
            <v>MỲ, MIẾN</v>
          </cell>
          <cell r="N1603" t="str">
            <v>MỲ CHẾ BIẾN</v>
          </cell>
          <cell r="O1603" t="str">
            <v>154249</v>
          </cell>
          <cell r="P1603" t="str">
            <v>4517244004627</v>
          </cell>
          <cell r="Q1603" t="str">
            <v>ASAHI_Mì udon khô 400g</v>
          </cell>
          <cell r="R1603">
            <v>69000</v>
          </cell>
          <cell r="S1603">
            <v>1</v>
          </cell>
          <cell r="T1603">
            <v>69000</v>
          </cell>
          <cell r="U1603">
            <v>0</v>
          </cell>
          <cell r="V1603">
            <v>69000</v>
          </cell>
          <cell r="W1603" t="str">
            <v>4517244004627</v>
          </cell>
        </row>
        <row r="1604">
          <cell r="A1604">
            <v>2026</v>
          </cell>
          <cell r="B1604">
            <v>4</v>
          </cell>
          <cell r="C1604">
            <v>46133</v>
          </cell>
          <cell r="D1604" t="str">
            <v>1. SKK store</v>
          </cell>
          <cell r="E1604" t="str">
            <v>S1005</v>
          </cell>
          <cell r="F1604" t="str">
            <v>SKK  Thái Hà</v>
          </cell>
          <cell r="G1604" t="str">
            <v>0913308595</v>
          </cell>
          <cell r="H1604" t="str">
            <v>cô tuyết</v>
          </cell>
          <cell r="I1604" t="str">
            <v>Khách cũ</v>
          </cell>
          <cell r="J1604" t="str">
            <v>Đơn bán</v>
          </cell>
          <cell r="K1604" t="str">
            <v>SAKUKO749147</v>
          </cell>
          <cell r="L1604" t="str">
            <v>THỰC PHẨM</v>
          </cell>
          <cell r="M1604" t="str">
            <v>MỲ, MIẾN</v>
          </cell>
          <cell r="N1604" t="str">
            <v>MỲ CHẾ BIẾN</v>
          </cell>
          <cell r="O1604" t="str">
            <v>174948</v>
          </cell>
          <cell r="P1604" t="str">
            <v>4582114354119</v>
          </cell>
          <cell r="Q1604" t="str">
            <v>SANUKISHISEI- Mì soumen 300g</v>
          </cell>
          <cell r="R1604">
            <v>35000</v>
          </cell>
          <cell r="S1604">
            <v>1</v>
          </cell>
          <cell r="T1604">
            <v>35000</v>
          </cell>
          <cell r="U1604">
            <v>0</v>
          </cell>
          <cell r="V1604">
            <v>35000</v>
          </cell>
          <cell r="W1604" t="str">
            <v>4582114354119</v>
          </cell>
        </row>
        <row r="1605">
          <cell r="A1605">
            <v>2026</v>
          </cell>
          <cell r="B1605">
            <v>4</v>
          </cell>
          <cell r="C1605">
            <v>46133</v>
          </cell>
          <cell r="D1605" t="str">
            <v>1. SKK store</v>
          </cell>
          <cell r="E1605" t="str">
            <v>S1006</v>
          </cell>
          <cell r="F1605" t="str">
            <v>SKK Trần Đăng Ninh</v>
          </cell>
          <cell r="G1605" t="str">
            <v>0374882527</v>
          </cell>
          <cell r="H1605" t="str">
            <v>Chị Mai Phương Thu</v>
          </cell>
          <cell r="I1605" t="str">
            <v>Khách cũ</v>
          </cell>
          <cell r="J1605" t="str">
            <v>Đơn bán</v>
          </cell>
          <cell r="K1605" t="str">
            <v>SAKUKO748587</v>
          </cell>
          <cell r="L1605" t="str">
            <v>THỰC PHẨM</v>
          </cell>
          <cell r="M1605" t="str">
            <v>MỲ, MIẾN</v>
          </cell>
          <cell r="N1605" t="str">
            <v>MỲ CHẾ BIẾN</v>
          </cell>
          <cell r="O1605" t="str">
            <v>154251</v>
          </cell>
          <cell r="P1605" t="str">
            <v>4560159440776</v>
          </cell>
          <cell r="Q1605" t="str">
            <v>SATO_Mì soba khô 800g</v>
          </cell>
          <cell r="R1605">
            <v>104000</v>
          </cell>
          <cell r="S1605">
            <v>1</v>
          </cell>
          <cell r="T1605">
            <v>104000</v>
          </cell>
          <cell r="U1605">
            <v>0</v>
          </cell>
          <cell r="V1605">
            <v>104000</v>
          </cell>
          <cell r="W1605" t="str">
            <v>4560159440776</v>
          </cell>
        </row>
        <row r="1606">
          <cell r="A1606">
            <v>2026</v>
          </cell>
          <cell r="B1606">
            <v>4</v>
          </cell>
          <cell r="C1606">
            <v>46133</v>
          </cell>
          <cell r="D1606" t="str">
            <v>1. SKK store</v>
          </cell>
          <cell r="E1606" t="str">
            <v>S1006</v>
          </cell>
          <cell r="F1606" t="str">
            <v>SKK Trần Đăng Ninh</v>
          </cell>
          <cell r="G1606" t="str">
            <v>0862954688</v>
          </cell>
          <cell r="H1606" t="str">
            <v>KLTDN</v>
          </cell>
          <cell r="I1606" t="str">
            <v>Khách vãng lai</v>
          </cell>
          <cell r="J1606" t="str">
            <v>Đơn bán</v>
          </cell>
          <cell r="K1606" t="str">
            <v>SAKUKO749263</v>
          </cell>
          <cell r="L1606" t="str">
            <v>THỰC PHẨM</v>
          </cell>
          <cell r="M1606" t="str">
            <v>BÁNH KẸO, ĐỒ ĂN VẶT</v>
          </cell>
          <cell r="N1606" t="str">
            <v>KẸO</v>
          </cell>
          <cell r="O1606" t="str">
            <v>231377</v>
          </cell>
          <cell r="P1606" t="str">
            <v>4903333200375</v>
          </cell>
          <cell r="Q1606" t="str">
            <v>LOTTE-Kẹo cao su tổng hợp dạng lọ 114g</v>
          </cell>
          <cell r="R1606">
            <v>235000</v>
          </cell>
          <cell r="S1606">
            <v>1</v>
          </cell>
          <cell r="T1606">
            <v>235000</v>
          </cell>
          <cell r="U1606">
            <v>0</v>
          </cell>
          <cell r="V1606">
            <v>235000</v>
          </cell>
          <cell r="W1606" t="str">
            <v>4903333200375</v>
          </cell>
        </row>
        <row r="1607">
          <cell r="A1607">
            <v>2026</v>
          </cell>
          <cell r="B1607">
            <v>4</v>
          </cell>
          <cell r="C1607">
            <v>46133</v>
          </cell>
          <cell r="D1607" t="str">
            <v>1. SKK store</v>
          </cell>
          <cell r="E1607" t="str">
            <v>S1006</v>
          </cell>
          <cell r="F1607" t="str">
            <v>SKK Trần Đăng Ninh</v>
          </cell>
          <cell r="G1607" t="str">
            <v>0912180168</v>
          </cell>
          <cell r="H1607" t="str">
            <v>cô liễu</v>
          </cell>
          <cell r="I1607" t="str">
            <v>Khách cũ</v>
          </cell>
          <cell r="J1607" t="str">
            <v>Đơn bán</v>
          </cell>
          <cell r="K1607" t="str">
            <v>SAKUKO748771</v>
          </cell>
          <cell r="L1607" t="str">
            <v>THỰC PHẨM</v>
          </cell>
          <cell r="M1607" t="str">
            <v>MỲ, MIẾN</v>
          </cell>
          <cell r="N1607" t="str">
            <v>MỲ ĂN LIỀN</v>
          </cell>
          <cell r="O1607" t="str">
            <v>153693</v>
          </cell>
          <cell r="P1607" t="str">
            <v>4902881066440</v>
          </cell>
          <cell r="Q1607" t="str">
            <v>MYOJO- Mỳ ramen vị miso 5 gói</v>
          </cell>
          <cell r="R1607">
            <v>105000</v>
          </cell>
          <cell r="S1607">
            <v>2</v>
          </cell>
          <cell r="T1607">
            <v>210000</v>
          </cell>
          <cell r="U1607">
            <v>0</v>
          </cell>
          <cell r="V1607">
            <v>210000</v>
          </cell>
          <cell r="W1607" t="str">
            <v>4902881066440</v>
          </cell>
        </row>
        <row r="1608">
          <cell r="A1608">
            <v>2026</v>
          </cell>
          <cell r="B1608">
            <v>4</v>
          </cell>
          <cell r="C1608">
            <v>46133</v>
          </cell>
          <cell r="D1608" t="str">
            <v>1. SKK store</v>
          </cell>
          <cell r="E1608" t="str">
            <v>S1006</v>
          </cell>
          <cell r="F1608" t="str">
            <v>SKK Trần Đăng Ninh</v>
          </cell>
          <cell r="G1608" t="str">
            <v>0932165599</v>
          </cell>
          <cell r="H1608" t="str">
            <v>chi Mỹ</v>
          </cell>
          <cell r="I1608" t="str">
            <v>Khách cũ</v>
          </cell>
          <cell r="J1608" t="str">
            <v>Đơn bán</v>
          </cell>
          <cell r="K1608" t="str">
            <v>SAKUKO748918</v>
          </cell>
          <cell r="L1608" t="str">
            <v>THỰC PHẨM</v>
          </cell>
          <cell r="M1608" t="str">
            <v>BÁNH KẸO, ĐỒ ĂN VẶT</v>
          </cell>
          <cell r="N1608" t="str">
            <v>KẸO CAO SU</v>
          </cell>
          <cell r="O1608" t="str">
            <v>153932</v>
          </cell>
          <cell r="P1608" t="str">
            <v>4903333241651</v>
          </cell>
          <cell r="Q1608" t="str">
            <v>LOTTE - Kẹo cao su black black ít đường 133g</v>
          </cell>
          <cell r="R1608">
            <v>235000</v>
          </cell>
          <cell r="S1608">
            <v>1</v>
          </cell>
          <cell r="T1608">
            <v>235000</v>
          </cell>
          <cell r="U1608">
            <v>0</v>
          </cell>
          <cell r="V1608">
            <v>235000</v>
          </cell>
          <cell r="W1608" t="str">
            <v>4903333241651</v>
          </cell>
        </row>
        <row r="1609">
          <cell r="A1609">
            <v>2026</v>
          </cell>
          <cell r="B1609">
            <v>4</v>
          </cell>
          <cell r="C1609">
            <v>46133</v>
          </cell>
          <cell r="D1609" t="str">
            <v>1. SKK store</v>
          </cell>
          <cell r="E1609" t="str">
            <v>S1006</v>
          </cell>
          <cell r="F1609" t="str">
            <v>SKK Trần Đăng Ninh</v>
          </cell>
          <cell r="G1609" t="str">
            <v>0934198888</v>
          </cell>
          <cell r="H1609" t="str">
            <v>Anh Dương</v>
          </cell>
          <cell r="I1609" t="str">
            <v>Khách cũ</v>
          </cell>
          <cell r="J1609" t="str">
            <v>Đơn bán</v>
          </cell>
          <cell r="K1609" t="str">
            <v>SAKUKO748439</v>
          </cell>
          <cell r="L1609" t="str">
            <v>THỰC PHẨM</v>
          </cell>
          <cell r="M1609" t="str">
            <v>BÁNH KẸO, ĐỒ ĂN VẶT</v>
          </cell>
          <cell r="N1609" t="str">
            <v>KẸO CAO SU</v>
          </cell>
          <cell r="O1609" t="str">
            <v>153932</v>
          </cell>
          <cell r="P1609" t="str">
            <v>4903333241651</v>
          </cell>
          <cell r="Q1609" t="str">
            <v>LOTTE - Kẹo cao su black black ít đường 133g</v>
          </cell>
          <cell r="R1609">
            <v>235000</v>
          </cell>
          <cell r="S1609">
            <v>1</v>
          </cell>
          <cell r="T1609">
            <v>235000</v>
          </cell>
          <cell r="U1609">
            <v>0</v>
          </cell>
          <cell r="V1609">
            <v>235000</v>
          </cell>
          <cell r="W1609" t="str">
            <v>4903333241651</v>
          </cell>
        </row>
        <row r="1610">
          <cell r="A1610">
            <v>2026</v>
          </cell>
          <cell r="B1610">
            <v>4</v>
          </cell>
          <cell r="C1610">
            <v>46133</v>
          </cell>
          <cell r="D1610" t="str">
            <v>1. SKK store</v>
          </cell>
          <cell r="E1610" t="str">
            <v>S1006</v>
          </cell>
          <cell r="F1610" t="str">
            <v>SKK Trần Đăng Ninh</v>
          </cell>
          <cell r="G1610" t="str">
            <v>0964229999</v>
          </cell>
          <cell r="H1610" t="str">
            <v>0964229999</v>
          </cell>
          <cell r="I1610" t="str">
            <v>Khách mới</v>
          </cell>
          <cell r="J1610" t="str">
            <v>Đơn bán</v>
          </cell>
          <cell r="K1610" t="str">
            <v>SAKUKO748689</v>
          </cell>
          <cell r="L1610" t="str">
            <v>CHĂM SÓC SẮC ĐẸP</v>
          </cell>
          <cell r="M1610" t="str">
            <v>CHĂM SÓC DA</v>
          </cell>
          <cell r="N1610" t="str">
            <v>KEM DƯỠNG</v>
          </cell>
          <cell r="O1610" t="str">
            <v>102384</v>
          </cell>
          <cell r="P1610" t="str">
            <v>4902468820014</v>
          </cell>
          <cell r="Q1610" t="str">
            <v>MEISHOKU- Kem gel dưỡng ẩm phục hồi chuyên sâu 50g</v>
          </cell>
          <cell r="R1610">
            <v>290000</v>
          </cell>
          <cell r="S1610">
            <v>1</v>
          </cell>
          <cell r="T1610">
            <v>290000</v>
          </cell>
          <cell r="U1610">
            <v>0</v>
          </cell>
          <cell r="V1610">
            <v>290000</v>
          </cell>
          <cell r="W1610" t="str">
            <v>4902468820014</v>
          </cell>
        </row>
        <row r="1611">
          <cell r="A1611">
            <v>2026</v>
          </cell>
          <cell r="B1611">
            <v>4</v>
          </cell>
          <cell r="C1611">
            <v>46133</v>
          </cell>
          <cell r="D1611" t="str">
            <v>1. SKK store</v>
          </cell>
          <cell r="E1611" t="str">
            <v>S1006</v>
          </cell>
          <cell r="F1611" t="str">
            <v>SKK Trần Đăng Ninh</v>
          </cell>
          <cell r="G1611" t="str">
            <v>0981287000</v>
          </cell>
          <cell r="H1611" t="str">
            <v>Chị Hiền</v>
          </cell>
          <cell r="I1611" t="str">
            <v>Khách cũ</v>
          </cell>
          <cell r="J1611" t="str">
            <v>Đơn bán</v>
          </cell>
          <cell r="K1611" t="str">
            <v>SAKUKO749270</v>
          </cell>
          <cell r="L1611" t="str">
            <v>THỰC PHẨM</v>
          </cell>
          <cell r="M1611" t="str">
            <v>MỲ, MIẾN</v>
          </cell>
          <cell r="N1611" t="str">
            <v>MỲ ĂN LIỀN</v>
          </cell>
          <cell r="O1611" t="str">
            <v>154196</v>
          </cell>
          <cell r="P1611" t="str">
            <v>4979397000152</v>
          </cell>
          <cell r="Q1611" t="str">
            <v>YAMAMOTO_Mì xào kiểu Nhật 89g*5</v>
          </cell>
          <cell r="R1611">
            <v>99000</v>
          </cell>
          <cell r="S1611">
            <v>1</v>
          </cell>
          <cell r="T1611">
            <v>99000</v>
          </cell>
          <cell r="U1611">
            <v>0</v>
          </cell>
          <cell r="V1611">
            <v>99000</v>
          </cell>
          <cell r="W1611" t="str">
            <v>4979397000152</v>
          </cell>
        </row>
        <row r="1612">
          <cell r="A1612">
            <v>2026</v>
          </cell>
          <cell r="B1612">
            <v>4</v>
          </cell>
          <cell r="C1612">
            <v>46133</v>
          </cell>
          <cell r="D1612" t="str">
            <v>1. SKK store</v>
          </cell>
          <cell r="E1612" t="str">
            <v>S1007</v>
          </cell>
          <cell r="F1612" t="str">
            <v>SKK  Nguyễn Du</v>
          </cell>
          <cell r="G1612" t="str">
            <v>0978561437</v>
          </cell>
          <cell r="H1612" t="str">
            <v>Chú Đinh Mạnh Hiển</v>
          </cell>
          <cell r="I1612" t="str">
            <v>Khách cũ</v>
          </cell>
          <cell r="J1612" t="str">
            <v>Đơn bán</v>
          </cell>
          <cell r="K1612" t="str">
            <v>SAKUKO748933</v>
          </cell>
          <cell r="L1612" t="str">
            <v>THỰC PHẨM</v>
          </cell>
          <cell r="M1612" t="str">
            <v>MỲ, MIẾN</v>
          </cell>
          <cell r="N1612" t="str">
            <v>MỲ CHẾ BIẾN</v>
          </cell>
          <cell r="O1612" t="str">
            <v>174948</v>
          </cell>
          <cell r="P1612" t="str">
            <v>4582114354119</v>
          </cell>
          <cell r="Q1612" t="str">
            <v>SANUKISHISEI- Mì soumen 300g</v>
          </cell>
          <cell r="R1612">
            <v>35000</v>
          </cell>
          <cell r="S1612">
            <v>3</v>
          </cell>
          <cell r="T1612">
            <v>105000</v>
          </cell>
          <cell r="U1612">
            <v>0</v>
          </cell>
          <cell r="V1612">
            <v>105000</v>
          </cell>
          <cell r="W1612" t="str">
            <v>4582114354119</v>
          </cell>
        </row>
        <row r="1613">
          <cell r="A1613">
            <v>2026</v>
          </cell>
          <cell r="B1613">
            <v>4</v>
          </cell>
          <cell r="C1613">
            <v>46133</v>
          </cell>
          <cell r="D1613" t="str">
            <v>1. SKK store</v>
          </cell>
          <cell r="E1613" t="str">
            <v>S1008</v>
          </cell>
          <cell r="F1613" t="str">
            <v>SKK  Hàng Bông</v>
          </cell>
          <cell r="G1613" t="str">
            <v>02466810202</v>
          </cell>
          <cell r="H1613" t="str">
            <v>KH Tây</v>
          </cell>
          <cell r="I1613" t="str">
            <v>Khách vãng lai</v>
          </cell>
          <cell r="J1613" t="str">
            <v>Đơn bán</v>
          </cell>
          <cell r="K1613" t="str">
            <v>SAKUKO748461</v>
          </cell>
          <cell r="L1613" t="str">
            <v>ĐỒ CHO MẸ BÉ</v>
          </cell>
          <cell r="M1613" t="str">
            <v>GIẤY ƯỚT</v>
          </cell>
          <cell r="N1613" t="str">
            <v>GIẤY ƯỚT CHO BÉ</v>
          </cell>
          <cell r="O1613" t="str">
            <v>121665</v>
          </cell>
          <cell r="P1613" t="str">
            <v>8934755035289</v>
          </cell>
          <cell r="Q1613" t="str">
            <v>BOBBY- Khăn ướt em bé không mùi 100 miếng</v>
          </cell>
          <cell r="R1613">
            <v>46000</v>
          </cell>
          <cell r="S1613">
            <v>1</v>
          </cell>
          <cell r="T1613">
            <v>46000</v>
          </cell>
          <cell r="U1613">
            <v>0</v>
          </cell>
          <cell r="V1613">
            <v>46000</v>
          </cell>
          <cell r="W1613" t="str">
            <v>8934755035289</v>
          </cell>
        </row>
        <row r="1614">
          <cell r="A1614">
            <v>2026</v>
          </cell>
          <cell r="B1614">
            <v>4</v>
          </cell>
          <cell r="C1614">
            <v>46133</v>
          </cell>
          <cell r="D1614" t="str">
            <v>1. SKK store</v>
          </cell>
          <cell r="E1614" t="str">
            <v>S1008</v>
          </cell>
          <cell r="F1614" t="str">
            <v>SKK  Hàng Bông</v>
          </cell>
          <cell r="G1614" t="str">
            <v>02466810202</v>
          </cell>
          <cell r="H1614" t="str">
            <v>KH Tây</v>
          </cell>
          <cell r="I1614" t="str">
            <v>Khách vãng lai</v>
          </cell>
          <cell r="J1614" t="str">
            <v>Đơn bán</v>
          </cell>
          <cell r="K1614" t="str">
            <v>SAKUKO748703</v>
          </cell>
          <cell r="L1614" t="str">
            <v>ĐỒ CHO MẸ BÉ</v>
          </cell>
          <cell r="M1614" t="str">
            <v>GIẤY ƯỚT</v>
          </cell>
          <cell r="N1614" t="str">
            <v>GIẤY ƯỚT CHO BÉ</v>
          </cell>
          <cell r="O1614" t="str">
            <v>121662</v>
          </cell>
          <cell r="P1614" t="str">
            <v>8934755035036</v>
          </cell>
          <cell r="Q1614" t="str">
            <v>FRESSI- Khăn ướt Care For All 20 miếng</v>
          </cell>
          <cell r="R1614">
            <v>14000</v>
          </cell>
          <cell r="S1614">
            <v>1</v>
          </cell>
          <cell r="T1614">
            <v>14000</v>
          </cell>
          <cell r="U1614">
            <v>0</v>
          </cell>
          <cell r="V1614">
            <v>14000</v>
          </cell>
          <cell r="W1614" t="str">
            <v>8934755035036</v>
          </cell>
        </row>
        <row r="1615">
          <cell r="A1615">
            <v>2026</v>
          </cell>
          <cell r="B1615">
            <v>4</v>
          </cell>
          <cell r="C1615">
            <v>46133</v>
          </cell>
          <cell r="D1615" t="str">
            <v>1. SKK store</v>
          </cell>
          <cell r="E1615" t="str">
            <v>S1008</v>
          </cell>
          <cell r="F1615" t="str">
            <v>SKK  Hàng Bông</v>
          </cell>
          <cell r="G1615" t="str">
            <v>0912467477</v>
          </cell>
          <cell r="H1615" t="str">
            <v>cô Hoàng Việt Hoa</v>
          </cell>
          <cell r="I1615" t="str">
            <v>Khách cũ</v>
          </cell>
          <cell r="J1615" t="str">
            <v>Đơn bán</v>
          </cell>
          <cell r="K1615" t="str">
            <v>SAKUKO748684</v>
          </cell>
          <cell r="L1615" t="str">
            <v>THỰC PHẨM</v>
          </cell>
          <cell r="M1615" t="str">
            <v>MỲ, MIẾN</v>
          </cell>
          <cell r="N1615" t="str">
            <v>MỲ CHẾ BIẾN</v>
          </cell>
          <cell r="O1615" t="str">
            <v>175435</v>
          </cell>
          <cell r="P1615" t="str">
            <v>4901726014752</v>
          </cell>
          <cell r="Q1615" t="str">
            <v>ITSUKI FOODS- Mì soumen rau củ ngũ sắc320g</v>
          </cell>
          <cell r="R1615">
            <v>76000</v>
          </cell>
          <cell r="S1615">
            <v>2</v>
          </cell>
          <cell r="T1615">
            <v>152000</v>
          </cell>
          <cell r="U1615">
            <v>0</v>
          </cell>
          <cell r="V1615">
            <v>152000</v>
          </cell>
          <cell r="W1615" t="str">
            <v>4901726014752</v>
          </cell>
        </row>
        <row r="1616">
          <cell r="A1616">
            <v>2026</v>
          </cell>
          <cell r="B1616">
            <v>4</v>
          </cell>
          <cell r="C1616">
            <v>46133</v>
          </cell>
          <cell r="D1616" t="str">
            <v>1. SKK store</v>
          </cell>
          <cell r="E1616" t="str">
            <v>S1008</v>
          </cell>
          <cell r="F1616" t="str">
            <v>SKK  Hàng Bông</v>
          </cell>
          <cell r="G1616" t="str">
            <v>0947191838</v>
          </cell>
          <cell r="H1616" t="str">
            <v>CO QUYNH</v>
          </cell>
          <cell r="I1616" t="str">
            <v>Khách cũ</v>
          </cell>
          <cell r="J1616" t="str">
            <v>Đơn bán</v>
          </cell>
          <cell r="K1616" t="str">
            <v>SAKUKO748618</v>
          </cell>
          <cell r="L1616" t="str">
            <v>ĐỒ CHO MẸ BÉ</v>
          </cell>
          <cell r="M1616" t="str">
            <v>GIẤY ƯỚT</v>
          </cell>
          <cell r="N1616" t="str">
            <v>GIẤY ƯỚT CHO BÉ</v>
          </cell>
          <cell r="O1616" t="str">
            <v>121662</v>
          </cell>
          <cell r="P1616" t="str">
            <v>8934755035036</v>
          </cell>
          <cell r="Q1616" t="str">
            <v>FRESSI- Khăn ướt Care For All 20 miếng</v>
          </cell>
          <cell r="R1616">
            <v>14000</v>
          </cell>
          <cell r="S1616">
            <v>2</v>
          </cell>
          <cell r="T1616">
            <v>28000</v>
          </cell>
          <cell r="U1616">
            <v>0</v>
          </cell>
          <cell r="V1616">
            <v>28000</v>
          </cell>
          <cell r="W1616" t="str">
            <v>8934755035036</v>
          </cell>
        </row>
        <row r="1617">
          <cell r="A1617">
            <v>2026</v>
          </cell>
          <cell r="B1617">
            <v>4</v>
          </cell>
          <cell r="C1617">
            <v>46133</v>
          </cell>
          <cell r="D1617" t="str">
            <v>1. SKK store</v>
          </cell>
          <cell r="E1617" t="str">
            <v>S1025</v>
          </cell>
          <cell r="F1617" t="str">
            <v>SKK T6 Time City</v>
          </cell>
          <cell r="G1617" t="str">
            <v>0912107805</v>
          </cell>
          <cell r="H1617" t="str">
            <v>chú hanh</v>
          </cell>
          <cell r="I1617" t="str">
            <v>Khách mới</v>
          </cell>
          <cell r="J1617" t="str">
            <v>Đơn bán</v>
          </cell>
          <cell r="K1617" t="str">
            <v>SAKUKO748492</v>
          </cell>
          <cell r="L1617" t="str">
            <v>THỰC PHẨM</v>
          </cell>
          <cell r="M1617" t="str">
            <v>MỲ, MIẾN</v>
          </cell>
          <cell r="N1617" t="str">
            <v>MỲ ĂN LIỀN</v>
          </cell>
          <cell r="O1617" t="str">
            <v>154359</v>
          </cell>
          <cell r="P1617" t="str">
            <v>4979397000138</v>
          </cell>
          <cell r="Q1617" t="str">
            <v>YAMAMOTO- Mì ramen ăn liền hải sản thịt heo 88g*5</v>
          </cell>
          <cell r="R1617">
            <v>54450</v>
          </cell>
          <cell r="S1617">
            <v>1</v>
          </cell>
          <cell r="T1617">
            <v>54450</v>
          </cell>
          <cell r="U1617">
            <v>0</v>
          </cell>
          <cell r="V1617">
            <v>54450</v>
          </cell>
          <cell r="W1617" t="str">
            <v>4979397000138</v>
          </cell>
        </row>
        <row r="1618">
          <cell r="A1618">
            <v>2026</v>
          </cell>
          <cell r="B1618">
            <v>4</v>
          </cell>
          <cell r="C1618">
            <v>46133</v>
          </cell>
          <cell r="D1618" t="str">
            <v>1. SKK store</v>
          </cell>
          <cell r="E1618" t="str">
            <v>S1025</v>
          </cell>
          <cell r="F1618" t="str">
            <v>SKK T6 Time City</v>
          </cell>
          <cell r="G1618" t="str">
            <v>0913236260</v>
          </cell>
          <cell r="H1618" t="str">
            <v>Anh Huề</v>
          </cell>
          <cell r="I1618" t="str">
            <v>Khách cũ</v>
          </cell>
          <cell r="J1618" t="str">
            <v>Đơn bán</v>
          </cell>
          <cell r="K1618" t="str">
            <v>SAKUKO749481</v>
          </cell>
          <cell r="L1618" t="str">
            <v>THỰC PHẨM</v>
          </cell>
          <cell r="M1618" t="str">
            <v>BÁNH KẸO, ĐỒ ĂN VẶT</v>
          </cell>
          <cell r="N1618" t="str">
            <v>KẸO CAO SU</v>
          </cell>
          <cell r="O1618" t="str">
            <v>154105</v>
          </cell>
          <cell r="P1618" t="str">
            <v>4547894156612</v>
          </cell>
          <cell r="Q1618" t="str">
            <v>MONDELEZ JAPAN - Kẹo cao su 112g</v>
          </cell>
          <cell r="R1618">
            <v>235000</v>
          </cell>
          <cell r="S1618">
            <v>1</v>
          </cell>
          <cell r="T1618">
            <v>235000</v>
          </cell>
          <cell r="U1618">
            <v>0</v>
          </cell>
          <cell r="V1618">
            <v>235000</v>
          </cell>
          <cell r="W1618" t="str">
            <v>4547894156612</v>
          </cell>
        </row>
        <row r="1619">
          <cell r="A1619">
            <v>2026</v>
          </cell>
          <cell r="B1619">
            <v>4</v>
          </cell>
          <cell r="C1619">
            <v>46133</v>
          </cell>
          <cell r="D1619" t="str">
            <v>1. SKK store</v>
          </cell>
          <cell r="E1619" t="str">
            <v>S1025</v>
          </cell>
          <cell r="F1619" t="str">
            <v>SKK T6 Time City</v>
          </cell>
          <cell r="G1619" t="str">
            <v>0948456689</v>
          </cell>
          <cell r="H1619" t="str">
            <v>Chị Hạnh</v>
          </cell>
          <cell r="I1619" t="str">
            <v>Khách cũ</v>
          </cell>
          <cell r="J1619" t="str">
            <v>Đơn bán</v>
          </cell>
          <cell r="K1619" t="str">
            <v>SAKUKO749158</v>
          </cell>
          <cell r="L1619" t="str">
            <v>ĐỒ CHO MẸ BÉ</v>
          </cell>
          <cell r="M1619" t="str">
            <v>CHĂM SÓC CƠ THỂ BÉ</v>
          </cell>
          <cell r="N1619" t="str">
            <v>THỰC PHẨM CHỨC NĂNG CHO BÉ</v>
          </cell>
          <cell r="O1619" t="str">
            <v>121673</v>
          </cell>
          <cell r="P1619" t="str">
            <v>3830056330328</v>
          </cell>
          <cell r="Q1619" t="str">
            <v>LINEABON- TPBVSK Vitamin K2 + D3 Drop 10ml</v>
          </cell>
          <cell r="R1619">
            <v>295000</v>
          </cell>
          <cell r="S1619">
            <v>1</v>
          </cell>
          <cell r="T1619">
            <v>295000</v>
          </cell>
          <cell r="U1619">
            <v>0</v>
          </cell>
          <cell r="V1619">
            <v>295000</v>
          </cell>
          <cell r="W1619" t="str">
            <v>3830056330328</v>
          </cell>
        </row>
        <row r="1620">
          <cell r="A1620">
            <v>2026</v>
          </cell>
          <cell r="B1620">
            <v>4</v>
          </cell>
          <cell r="C1620">
            <v>46133</v>
          </cell>
          <cell r="D1620" t="str">
            <v>1. SKK store</v>
          </cell>
          <cell r="E1620" t="str">
            <v>S1025</v>
          </cell>
          <cell r="F1620" t="str">
            <v>SKK T6 Time City</v>
          </cell>
          <cell r="G1620" t="str">
            <v>0983718888</v>
          </cell>
          <cell r="H1620" t="str">
            <v>Chú Hà</v>
          </cell>
          <cell r="I1620" t="str">
            <v>Khách cũ</v>
          </cell>
          <cell r="J1620" t="str">
            <v>Đơn bán</v>
          </cell>
          <cell r="K1620" t="str">
            <v>SAKUKO749151</v>
          </cell>
          <cell r="L1620" t="str">
            <v>THỰC PHẨM</v>
          </cell>
          <cell r="M1620" t="str">
            <v>BÁNH KẸO, ĐỒ ĂN VẶT</v>
          </cell>
          <cell r="N1620" t="str">
            <v>KẸO CAO SU</v>
          </cell>
          <cell r="O1620" t="str">
            <v>153932</v>
          </cell>
          <cell r="P1620" t="str">
            <v>4903333241651</v>
          </cell>
          <cell r="Q1620" t="str">
            <v>LOTTE - Kẹo cao su black black ít đường 133g</v>
          </cell>
          <cell r="R1620">
            <v>235000</v>
          </cell>
          <cell r="S1620">
            <v>1</v>
          </cell>
          <cell r="T1620">
            <v>235000</v>
          </cell>
          <cell r="U1620">
            <v>0</v>
          </cell>
          <cell r="V1620">
            <v>235000</v>
          </cell>
          <cell r="W1620" t="str">
            <v>4903333241651</v>
          </cell>
        </row>
        <row r="1621">
          <cell r="A1621">
            <v>2026</v>
          </cell>
          <cell r="B1621">
            <v>4</v>
          </cell>
          <cell r="C1621">
            <v>46132</v>
          </cell>
          <cell r="D1621" t="str">
            <v>1. SKK store</v>
          </cell>
          <cell r="E1621" t="str">
            <v>S1004</v>
          </cell>
          <cell r="F1621" t="str">
            <v>SKK  Mandarin C1</v>
          </cell>
          <cell r="G1621" t="str">
            <v>0904005539</v>
          </cell>
          <cell r="H1621" t="str">
            <v>chị Thu Hòa</v>
          </cell>
          <cell r="I1621" t="str">
            <v>Khách cũ</v>
          </cell>
          <cell r="J1621" t="str">
            <v>Đơn bán</v>
          </cell>
          <cell r="K1621" t="str">
            <v>SAKUKO747762</v>
          </cell>
          <cell r="L1621" t="str">
            <v>THỰC PHẨM</v>
          </cell>
          <cell r="M1621" t="str">
            <v>BÁNH KẸO, ĐỒ ĂN VẶT</v>
          </cell>
          <cell r="N1621" t="str">
            <v>KẸO</v>
          </cell>
          <cell r="O1621" t="str">
            <v>231377</v>
          </cell>
          <cell r="P1621" t="str">
            <v>4903333200375</v>
          </cell>
          <cell r="Q1621" t="str">
            <v>LOTTE-Kẹo cao su tổng hợp dạng lọ 114g</v>
          </cell>
          <cell r="R1621">
            <v>235000</v>
          </cell>
          <cell r="S1621">
            <v>1</v>
          </cell>
          <cell r="T1621">
            <v>235000</v>
          </cell>
          <cell r="U1621">
            <v>0</v>
          </cell>
          <cell r="V1621">
            <v>235000</v>
          </cell>
          <cell r="W1621" t="str">
            <v>4903333200375</v>
          </cell>
        </row>
        <row r="1622">
          <cell r="A1622">
            <v>2026</v>
          </cell>
          <cell r="B1622">
            <v>4</v>
          </cell>
          <cell r="C1622">
            <v>46132</v>
          </cell>
          <cell r="D1622" t="str">
            <v>1. SKK store</v>
          </cell>
          <cell r="E1622" t="str">
            <v>S1004</v>
          </cell>
          <cell r="F1622" t="str">
            <v>SKK  Mandarin C1</v>
          </cell>
          <cell r="G1622" t="str">
            <v>0915303811</v>
          </cell>
          <cell r="H1622" t="str">
            <v>Chị Nhi</v>
          </cell>
          <cell r="I1622" t="str">
            <v>Khách cũ</v>
          </cell>
          <cell r="J1622" t="str">
            <v>Đơn bán</v>
          </cell>
          <cell r="K1622" t="str">
            <v>SAKUKO747945</v>
          </cell>
          <cell r="L1622" t="str">
            <v>THỰC PHẨM</v>
          </cell>
          <cell r="M1622" t="str">
            <v>MỲ, MIẾN</v>
          </cell>
          <cell r="N1622" t="str">
            <v>MỲ ĂN LIỀN</v>
          </cell>
          <cell r="O1622" t="str">
            <v>154359</v>
          </cell>
          <cell r="P1622" t="str">
            <v>4979397000138</v>
          </cell>
          <cell r="Q1622" t="str">
            <v>YAMAMOTO- Mì ramen ăn liền hải sản thịt heo 88g*5</v>
          </cell>
          <cell r="R1622">
            <v>54450</v>
          </cell>
          <cell r="S1622">
            <v>2</v>
          </cell>
          <cell r="T1622">
            <v>108900</v>
          </cell>
          <cell r="U1622">
            <v>0</v>
          </cell>
          <cell r="V1622">
            <v>108900</v>
          </cell>
          <cell r="W1622" t="str">
            <v>4979397000138</v>
          </cell>
        </row>
        <row r="1623">
          <cell r="A1623">
            <v>2026</v>
          </cell>
          <cell r="B1623">
            <v>4</v>
          </cell>
          <cell r="C1623">
            <v>46132</v>
          </cell>
          <cell r="D1623" t="str">
            <v>1. SKK store</v>
          </cell>
          <cell r="E1623" t="str">
            <v>S1004</v>
          </cell>
          <cell r="F1623" t="str">
            <v>SKK  Mandarin C1</v>
          </cell>
          <cell r="G1623" t="str">
            <v>0983627627</v>
          </cell>
          <cell r="H1623" t="str">
            <v>Chị Hương</v>
          </cell>
          <cell r="I1623" t="str">
            <v>Khách cũ</v>
          </cell>
          <cell r="J1623" t="str">
            <v>Đơn bán</v>
          </cell>
          <cell r="K1623" t="str">
            <v>SAKUKO748304</v>
          </cell>
          <cell r="L1623" t="str">
            <v>ĐỒ CHO MẸ BÉ</v>
          </cell>
          <cell r="M1623" t="str">
            <v>GIẤY ƯỚT</v>
          </cell>
          <cell r="N1623" t="str">
            <v>GIẤY ƯỚT CHO BÉ</v>
          </cell>
          <cell r="O1623" t="str">
            <v>121662</v>
          </cell>
          <cell r="P1623" t="str">
            <v>8934755035036</v>
          </cell>
          <cell r="Q1623" t="str">
            <v>FRESSI- Khăn ướt Care For All 20 miếng</v>
          </cell>
          <cell r="R1623">
            <v>14000</v>
          </cell>
          <cell r="S1623">
            <v>5</v>
          </cell>
          <cell r="T1623">
            <v>70000</v>
          </cell>
          <cell r="U1623">
            <v>0</v>
          </cell>
          <cell r="V1623">
            <v>70000</v>
          </cell>
          <cell r="W1623" t="str">
            <v>8934755035036</v>
          </cell>
        </row>
        <row r="1624">
          <cell r="A1624">
            <v>2026</v>
          </cell>
          <cell r="B1624">
            <v>4</v>
          </cell>
          <cell r="C1624">
            <v>46132</v>
          </cell>
          <cell r="D1624" t="str">
            <v>1. SKK store</v>
          </cell>
          <cell r="E1624" t="str">
            <v>S1005</v>
          </cell>
          <cell r="F1624" t="str">
            <v>SKK  Thái Hà</v>
          </cell>
          <cell r="G1624" t="str">
            <v>0898553969</v>
          </cell>
          <cell r="H1624" t="str">
            <v>Cô Phượng</v>
          </cell>
          <cell r="I1624" t="str">
            <v>Khách cũ</v>
          </cell>
          <cell r="J1624" t="str">
            <v>Đơn bán</v>
          </cell>
          <cell r="K1624" t="str">
            <v>SAKUKO747468</v>
          </cell>
          <cell r="L1624" t="str">
            <v>THỰC PHẨM</v>
          </cell>
          <cell r="M1624" t="str">
            <v>MỲ, MIẾN</v>
          </cell>
          <cell r="N1624" t="str">
            <v>MỲ ĂN LIỀN</v>
          </cell>
          <cell r="O1624" t="str">
            <v>154359</v>
          </cell>
          <cell r="P1624" t="str">
            <v>4979397000138</v>
          </cell>
          <cell r="Q1624" t="str">
            <v>YAMAMOTO- Mì ramen ăn liền hải sản thịt heo 88g*5</v>
          </cell>
          <cell r="R1624">
            <v>99000</v>
          </cell>
          <cell r="S1624">
            <v>1</v>
          </cell>
          <cell r="T1624">
            <v>99000</v>
          </cell>
          <cell r="U1624">
            <v>0</v>
          </cell>
          <cell r="V1624">
            <v>99000</v>
          </cell>
          <cell r="W1624" t="str">
            <v>4979397000138</v>
          </cell>
        </row>
        <row r="1625">
          <cell r="A1625">
            <v>2026</v>
          </cell>
          <cell r="B1625">
            <v>4</v>
          </cell>
          <cell r="C1625">
            <v>46132</v>
          </cell>
          <cell r="D1625" t="str">
            <v>1. SKK store</v>
          </cell>
          <cell r="E1625" t="str">
            <v>S1006</v>
          </cell>
          <cell r="F1625" t="str">
            <v>SKK Trần Đăng Ninh</v>
          </cell>
          <cell r="G1625" t="str">
            <v>0904246008</v>
          </cell>
          <cell r="H1625" t="str">
            <v>Cô Minh</v>
          </cell>
          <cell r="I1625" t="str">
            <v>Khách cũ</v>
          </cell>
          <cell r="J1625" t="str">
            <v>Đơn bán</v>
          </cell>
          <cell r="K1625" t="str">
            <v>SAKUKO747429</v>
          </cell>
          <cell r="L1625" t="str">
            <v>THỰC PHẨM</v>
          </cell>
          <cell r="M1625" t="str">
            <v>MỲ, MIẾN</v>
          </cell>
          <cell r="N1625" t="str">
            <v>MỲ CHẾ BIẾN</v>
          </cell>
          <cell r="O1625" t="str">
            <v>174948</v>
          </cell>
          <cell r="P1625" t="str">
            <v>4582114354119</v>
          </cell>
          <cell r="Q1625" t="str">
            <v>SANUKISHISEI- Mì soumen 300g</v>
          </cell>
          <cell r="R1625">
            <v>35000</v>
          </cell>
          <cell r="S1625">
            <v>1</v>
          </cell>
          <cell r="T1625">
            <v>35000</v>
          </cell>
          <cell r="U1625">
            <v>0</v>
          </cell>
          <cell r="V1625">
            <v>35000</v>
          </cell>
          <cell r="W1625" t="str">
            <v>4582114354119</v>
          </cell>
        </row>
        <row r="1626">
          <cell r="A1626">
            <v>2026</v>
          </cell>
          <cell r="B1626">
            <v>4</v>
          </cell>
          <cell r="C1626">
            <v>46132</v>
          </cell>
          <cell r="D1626" t="str">
            <v>1. SKK store</v>
          </cell>
          <cell r="E1626" t="str">
            <v>S1006</v>
          </cell>
          <cell r="F1626" t="str">
            <v>SKK Trần Đăng Ninh</v>
          </cell>
          <cell r="G1626" t="str">
            <v>0936764456</v>
          </cell>
          <cell r="H1626" t="str">
            <v>Anh Nghĩa</v>
          </cell>
          <cell r="I1626" t="str">
            <v>Khách mới</v>
          </cell>
          <cell r="J1626" t="str">
            <v>Đơn bán</v>
          </cell>
          <cell r="K1626" t="str">
            <v>SAKUKO747757</v>
          </cell>
          <cell r="L1626" t="str">
            <v>THỰC PHẨM</v>
          </cell>
          <cell r="M1626" t="str">
            <v>BÁNH KẸO, ĐỒ ĂN VẶT</v>
          </cell>
          <cell r="N1626" t="str">
            <v>KẸO CAO SU</v>
          </cell>
          <cell r="O1626" t="str">
            <v>153932</v>
          </cell>
          <cell r="P1626" t="str">
            <v>4903333241651</v>
          </cell>
          <cell r="Q1626" t="str">
            <v>LOTTE - Kẹo cao su black black ít đường 133g</v>
          </cell>
          <cell r="R1626">
            <v>235000</v>
          </cell>
          <cell r="S1626">
            <v>1</v>
          </cell>
          <cell r="T1626">
            <v>235000</v>
          </cell>
          <cell r="U1626">
            <v>0</v>
          </cell>
          <cell r="V1626">
            <v>235000</v>
          </cell>
          <cell r="W1626" t="str">
            <v>4903333241651</v>
          </cell>
        </row>
        <row r="1627">
          <cell r="A1627">
            <v>2026</v>
          </cell>
          <cell r="B1627">
            <v>4</v>
          </cell>
          <cell r="C1627">
            <v>46132</v>
          </cell>
          <cell r="D1627" t="str">
            <v>1. SKK store</v>
          </cell>
          <cell r="E1627" t="str">
            <v>S1006</v>
          </cell>
          <cell r="F1627" t="str">
            <v>SKK Trần Đăng Ninh</v>
          </cell>
          <cell r="G1627" t="str">
            <v>0973061622</v>
          </cell>
          <cell r="H1627" t="str">
            <v>Anh Hải</v>
          </cell>
          <cell r="I1627" t="str">
            <v>Khách cũ</v>
          </cell>
          <cell r="J1627" t="str">
            <v>Đơn bán</v>
          </cell>
          <cell r="K1627" t="str">
            <v>SAKUKO748064</v>
          </cell>
          <cell r="L1627" t="str">
            <v>THỰC PHẨM</v>
          </cell>
          <cell r="M1627" t="str">
            <v>BÁNH KẸO, ĐỒ ĂN VẶT</v>
          </cell>
          <cell r="N1627" t="str">
            <v>KẸO</v>
          </cell>
          <cell r="O1627" t="str">
            <v>231376</v>
          </cell>
          <cell r="P1627" t="str">
            <v>4903333228577</v>
          </cell>
          <cell r="Q1627" t="str">
            <v>LOTTE-Kẹo cao su tổng hợp 7 loại dạng lọ 133g</v>
          </cell>
          <cell r="R1627">
            <v>235000</v>
          </cell>
          <cell r="S1627">
            <v>1</v>
          </cell>
          <cell r="T1627">
            <v>235000</v>
          </cell>
          <cell r="U1627">
            <v>0</v>
          </cell>
          <cell r="V1627">
            <v>235000</v>
          </cell>
          <cell r="W1627" t="str">
            <v>4903333228577</v>
          </cell>
        </row>
        <row r="1628">
          <cell r="A1628">
            <v>2026</v>
          </cell>
          <cell r="B1628">
            <v>4</v>
          </cell>
          <cell r="C1628">
            <v>46132</v>
          </cell>
          <cell r="D1628" t="str">
            <v>1. SKK store</v>
          </cell>
          <cell r="E1628" t="str">
            <v>S1006</v>
          </cell>
          <cell r="F1628" t="str">
            <v>SKK Trần Đăng Ninh</v>
          </cell>
          <cell r="G1628" t="str">
            <v>0983670319</v>
          </cell>
          <cell r="H1628" t="str">
            <v>Cô Yên</v>
          </cell>
          <cell r="I1628" t="str">
            <v>Khách cũ</v>
          </cell>
          <cell r="J1628" t="str">
            <v>Đơn bán</v>
          </cell>
          <cell r="K1628" t="str">
            <v>SAKUKO747658</v>
          </cell>
          <cell r="L1628" t="str">
            <v>CHĂM SÓC SẮC ĐẸP</v>
          </cell>
          <cell r="M1628" t="str">
            <v>Mỹ phẩm khác</v>
          </cell>
          <cell r="N1628" t="str">
            <v>PHỤ KIỆN LÀM ĐẸP</v>
          </cell>
          <cell r="O1628" t="str">
            <v>102391</v>
          </cell>
          <cell r="P1628" t="str">
            <v>4991203205759</v>
          </cell>
          <cell r="Q1628" t="str">
            <v>ECHO - Khăn mặt dạng nén 20v size 26x16cm</v>
          </cell>
          <cell r="R1628">
            <v>45000</v>
          </cell>
          <cell r="S1628">
            <v>5</v>
          </cell>
          <cell r="T1628">
            <v>225000</v>
          </cell>
          <cell r="U1628">
            <v>0</v>
          </cell>
          <cell r="V1628">
            <v>225000</v>
          </cell>
          <cell r="W1628" t="str">
            <v>4991203205759</v>
          </cell>
        </row>
        <row r="1629">
          <cell r="A1629">
            <v>2026</v>
          </cell>
          <cell r="B1629">
            <v>4</v>
          </cell>
          <cell r="C1629">
            <v>46132</v>
          </cell>
          <cell r="D1629" t="str">
            <v>1. SKK store</v>
          </cell>
          <cell r="E1629" t="str">
            <v>S1006</v>
          </cell>
          <cell r="F1629" t="str">
            <v>SKK Trần Đăng Ninh</v>
          </cell>
          <cell r="G1629" t="str">
            <v>0983670319</v>
          </cell>
          <cell r="H1629" t="str">
            <v>Cô Yên</v>
          </cell>
          <cell r="I1629" t="str">
            <v>Khách cũ</v>
          </cell>
          <cell r="J1629" t="str">
            <v>Đơn bán</v>
          </cell>
          <cell r="K1629" t="str">
            <v>SAKUKO747658</v>
          </cell>
          <cell r="L1629" t="str">
            <v>THỰC PHẨM</v>
          </cell>
          <cell r="M1629" t="str">
            <v>MỲ, MIẾN</v>
          </cell>
          <cell r="N1629" t="str">
            <v>MỲ CHẾ BIẾN</v>
          </cell>
          <cell r="O1629" t="str">
            <v>175435</v>
          </cell>
          <cell r="P1629" t="str">
            <v>4901726014752</v>
          </cell>
          <cell r="Q1629" t="str">
            <v>ITSUKI FOODS- Mì soumen rau củ ngũ sắc320g</v>
          </cell>
          <cell r="R1629">
            <v>76000</v>
          </cell>
          <cell r="S1629">
            <v>5</v>
          </cell>
          <cell r="T1629">
            <v>380000</v>
          </cell>
          <cell r="U1629">
            <v>0</v>
          </cell>
          <cell r="V1629">
            <v>380000</v>
          </cell>
          <cell r="W1629" t="str">
            <v>4901726014752</v>
          </cell>
        </row>
        <row r="1630">
          <cell r="A1630">
            <v>2026</v>
          </cell>
          <cell r="B1630">
            <v>4</v>
          </cell>
          <cell r="C1630">
            <v>46132</v>
          </cell>
          <cell r="D1630" t="str">
            <v>1. SKK store</v>
          </cell>
          <cell r="E1630" t="str">
            <v>S1008</v>
          </cell>
          <cell r="F1630" t="str">
            <v>SKK  Hàng Bông</v>
          </cell>
          <cell r="G1630" t="str">
            <v>02466810202</v>
          </cell>
          <cell r="H1630" t="str">
            <v>KH Tây</v>
          </cell>
          <cell r="I1630" t="str">
            <v>Khách vãng lai</v>
          </cell>
          <cell r="J1630" t="str">
            <v>Đơn bán</v>
          </cell>
          <cell r="K1630" t="str">
            <v>SAKUKO748284</v>
          </cell>
          <cell r="L1630" t="str">
            <v>ĐỒ CHO MẸ BÉ</v>
          </cell>
          <cell r="M1630" t="str">
            <v>GIẤY ƯỚT</v>
          </cell>
          <cell r="N1630" t="str">
            <v>GIẤY ƯỚT CHO BÉ</v>
          </cell>
          <cell r="O1630" t="str">
            <v>121662</v>
          </cell>
          <cell r="P1630" t="str">
            <v>8934755035036</v>
          </cell>
          <cell r="Q1630" t="str">
            <v>FRESSI- Khăn ướt Care For All 20 miếng</v>
          </cell>
          <cell r="R1630">
            <v>14000</v>
          </cell>
          <cell r="S1630">
            <v>1</v>
          </cell>
          <cell r="T1630">
            <v>14000</v>
          </cell>
          <cell r="U1630">
            <v>0</v>
          </cell>
          <cell r="V1630">
            <v>14000</v>
          </cell>
          <cell r="W1630" t="str">
            <v>8934755035036</v>
          </cell>
        </row>
        <row r="1631">
          <cell r="A1631">
            <v>2026</v>
          </cell>
          <cell r="B1631">
            <v>4</v>
          </cell>
          <cell r="C1631">
            <v>46132</v>
          </cell>
          <cell r="D1631" t="str">
            <v>1. SKK store</v>
          </cell>
          <cell r="E1631" t="str">
            <v>S1008</v>
          </cell>
          <cell r="F1631" t="str">
            <v>SKK  Hàng Bông</v>
          </cell>
          <cell r="G1631" t="str">
            <v>0822502468</v>
          </cell>
          <cell r="H1631" t="str">
            <v>Chị Quỳnh xinh gái</v>
          </cell>
          <cell r="I1631" t="str">
            <v>Khách cũ</v>
          </cell>
          <cell r="J1631" t="str">
            <v>Đơn bán</v>
          </cell>
          <cell r="K1631" t="str">
            <v>SAKUKO747595</v>
          </cell>
          <cell r="L1631" t="str">
            <v>ĐỒ CHO MẸ BÉ</v>
          </cell>
          <cell r="M1631" t="str">
            <v>GIẤY ƯỚT</v>
          </cell>
          <cell r="N1631" t="str">
            <v>GIẤY ƯỚT CHO BÉ</v>
          </cell>
          <cell r="O1631" t="str">
            <v>121662</v>
          </cell>
          <cell r="P1631" t="str">
            <v>8934755035036</v>
          </cell>
          <cell r="Q1631" t="str">
            <v>FRESSI- Khăn ướt Care For All 20 miếng</v>
          </cell>
          <cell r="R1631">
            <v>14000</v>
          </cell>
          <cell r="S1631">
            <v>1</v>
          </cell>
          <cell r="T1631">
            <v>14000</v>
          </cell>
          <cell r="U1631">
            <v>0</v>
          </cell>
          <cell r="V1631">
            <v>14000</v>
          </cell>
          <cell r="W1631" t="str">
            <v>8934755035036</v>
          </cell>
        </row>
        <row r="1632">
          <cell r="A1632">
            <v>2026</v>
          </cell>
          <cell r="B1632">
            <v>4</v>
          </cell>
          <cell r="C1632">
            <v>46132</v>
          </cell>
          <cell r="D1632" t="str">
            <v>1. SKK store</v>
          </cell>
          <cell r="E1632" t="str">
            <v>S1008</v>
          </cell>
          <cell r="F1632" t="str">
            <v>SKK  Hàng Bông</v>
          </cell>
          <cell r="G1632" t="str">
            <v>0978187961</v>
          </cell>
          <cell r="H1632" t="str">
            <v>Chị Hương</v>
          </cell>
          <cell r="I1632" t="str">
            <v>Khách cũ</v>
          </cell>
          <cell r="J1632" t="str">
            <v>Đơn bán</v>
          </cell>
          <cell r="K1632" t="str">
            <v>SAKUKO748357</v>
          </cell>
          <cell r="L1632" t="str">
            <v>THỰC PHẨM</v>
          </cell>
          <cell r="M1632" t="str">
            <v>BÁNH KẸO, ĐỒ ĂN VẶT</v>
          </cell>
          <cell r="N1632" t="str">
            <v>KẸO</v>
          </cell>
          <cell r="O1632" t="str">
            <v>231377</v>
          </cell>
          <cell r="P1632" t="str">
            <v>4903333200375</v>
          </cell>
          <cell r="Q1632" t="str">
            <v>LOTTE-Kẹo cao su tổng hợp dạng lọ 114g</v>
          </cell>
          <cell r="R1632">
            <v>235000</v>
          </cell>
          <cell r="S1632">
            <v>1</v>
          </cell>
          <cell r="T1632">
            <v>235000</v>
          </cell>
          <cell r="U1632">
            <v>0</v>
          </cell>
          <cell r="V1632">
            <v>235000</v>
          </cell>
          <cell r="W1632" t="str">
            <v>4903333200375</v>
          </cell>
        </row>
        <row r="1633">
          <cell r="A1633">
            <v>2026</v>
          </cell>
          <cell r="B1633">
            <v>4</v>
          </cell>
          <cell r="C1633">
            <v>46132</v>
          </cell>
          <cell r="D1633" t="str">
            <v>1. SKK store</v>
          </cell>
          <cell r="E1633" t="str">
            <v>S1008</v>
          </cell>
          <cell r="F1633" t="str">
            <v>SKK  Hàng Bông</v>
          </cell>
          <cell r="G1633" t="str">
            <v>0986513086</v>
          </cell>
          <cell r="H1633" t="str">
            <v>C Diệu Anh</v>
          </cell>
          <cell r="I1633" t="str">
            <v>Khách cũ</v>
          </cell>
          <cell r="J1633" t="str">
            <v>Đơn bán</v>
          </cell>
          <cell r="K1633" t="str">
            <v>SAKUKO747876</v>
          </cell>
          <cell r="L1633" t="str">
            <v>THỰC PHẨM</v>
          </cell>
          <cell r="M1633" t="str">
            <v>BÁNH KẸO, ĐỒ ĂN VẶT</v>
          </cell>
          <cell r="N1633" t="str">
            <v>KẸO CAO SU</v>
          </cell>
          <cell r="O1633" t="str">
            <v>153932</v>
          </cell>
          <cell r="P1633" t="str">
            <v>4903333241651</v>
          </cell>
          <cell r="Q1633" t="str">
            <v>LOTTE - Kẹo cao su black black ít đường 133g</v>
          </cell>
          <cell r="R1633">
            <v>235000</v>
          </cell>
          <cell r="S1633">
            <v>1</v>
          </cell>
          <cell r="T1633">
            <v>235000</v>
          </cell>
          <cell r="U1633">
            <v>0</v>
          </cell>
          <cell r="V1633">
            <v>235000</v>
          </cell>
          <cell r="W1633" t="str">
            <v>4903333241651</v>
          </cell>
        </row>
        <row r="1634">
          <cell r="A1634">
            <v>2026</v>
          </cell>
          <cell r="B1634">
            <v>4</v>
          </cell>
          <cell r="C1634">
            <v>46132</v>
          </cell>
          <cell r="D1634" t="str">
            <v>1. SKK store</v>
          </cell>
          <cell r="E1634" t="str">
            <v>S1008</v>
          </cell>
          <cell r="F1634" t="str">
            <v>SKK  Hàng Bông</v>
          </cell>
          <cell r="G1634" t="str">
            <v>0986513086</v>
          </cell>
          <cell r="H1634" t="str">
            <v>C Diệu Anh</v>
          </cell>
          <cell r="I1634" t="str">
            <v>Khách cũ</v>
          </cell>
          <cell r="J1634" t="str">
            <v>Đơn bán</v>
          </cell>
          <cell r="K1634" t="str">
            <v>SAKUKO747876</v>
          </cell>
          <cell r="L1634" t="str">
            <v>THỰC PHẨM</v>
          </cell>
          <cell r="M1634" t="str">
            <v>BÁNH KẸO, ĐỒ ĂN VẶT</v>
          </cell>
          <cell r="N1634" t="str">
            <v>KẸO CAO SU</v>
          </cell>
          <cell r="O1634" t="str">
            <v>154653</v>
          </cell>
          <cell r="P1634" t="str">
            <v>4547894156650</v>
          </cell>
          <cell r="Q1634" t="str">
            <v>MONDELEZ JAPAN - Kẹo cao su vị bưởi hồng 130g</v>
          </cell>
          <cell r="R1634">
            <v>235000</v>
          </cell>
          <cell r="S1634">
            <v>1</v>
          </cell>
          <cell r="T1634">
            <v>235000</v>
          </cell>
          <cell r="U1634">
            <v>0</v>
          </cell>
          <cell r="V1634">
            <v>235000</v>
          </cell>
          <cell r="W1634" t="str">
            <v>4547894156650</v>
          </cell>
        </row>
        <row r="1635">
          <cell r="A1635">
            <v>2026</v>
          </cell>
          <cell r="B1635">
            <v>4</v>
          </cell>
          <cell r="C1635">
            <v>46132</v>
          </cell>
          <cell r="D1635" t="str">
            <v>1. SKK store</v>
          </cell>
          <cell r="E1635" t="str">
            <v>S1015</v>
          </cell>
          <cell r="F1635" t="str">
            <v>SKK Hàm Nghi</v>
          </cell>
          <cell r="G1635" t="str">
            <v>0968652345</v>
          </cell>
          <cell r="H1635" t="str">
            <v>anh lương anh tuấn</v>
          </cell>
          <cell r="I1635" t="str">
            <v>Khách cũ</v>
          </cell>
          <cell r="J1635" t="str">
            <v>Đơn bán</v>
          </cell>
          <cell r="K1635" t="str">
            <v>SAKUKO748071</v>
          </cell>
          <cell r="L1635" t="str">
            <v>THỰC PHẨM</v>
          </cell>
          <cell r="M1635" t="str">
            <v>MỲ, MIẾN</v>
          </cell>
          <cell r="N1635" t="str">
            <v>MỲ ĂN LIỀN</v>
          </cell>
          <cell r="O1635" t="str">
            <v>153693</v>
          </cell>
          <cell r="P1635" t="str">
            <v>4902881066440</v>
          </cell>
          <cell r="Q1635" t="str">
            <v>MYOJO- Mỳ ramen vị miso 5 gói</v>
          </cell>
          <cell r="R1635">
            <v>105000</v>
          </cell>
          <cell r="S1635">
            <v>1</v>
          </cell>
          <cell r="T1635">
            <v>105000</v>
          </cell>
          <cell r="U1635">
            <v>0</v>
          </cell>
          <cell r="V1635">
            <v>105000</v>
          </cell>
          <cell r="W1635" t="str">
            <v>4902881066440</v>
          </cell>
        </row>
        <row r="1636">
          <cell r="A1636">
            <v>2026</v>
          </cell>
          <cell r="B1636">
            <v>4</v>
          </cell>
          <cell r="C1636">
            <v>46132</v>
          </cell>
          <cell r="D1636" t="str">
            <v>1. SKK store</v>
          </cell>
          <cell r="E1636" t="str">
            <v>S1018</v>
          </cell>
          <cell r="F1636" t="str">
            <v>SKK Nguyễn Tuân</v>
          </cell>
          <cell r="G1636" t="str">
            <v>0904811581</v>
          </cell>
          <cell r="H1636" t="str">
            <v>chị hồng anh</v>
          </cell>
          <cell r="I1636" t="str">
            <v>Khách cũ</v>
          </cell>
          <cell r="J1636" t="str">
            <v>Đơn bán</v>
          </cell>
          <cell r="K1636" t="str">
            <v>SAKUKO747656</v>
          </cell>
          <cell r="L1636" t="str">
            <v>THỰC PHẨM</v>
          </cell>
          <cell r="M1636" t="str">
            <v>MỲ, MIẾN</v>
          </cell>
          <cell r="N1636" t="str">
            <v>MỲ ĂN LIỀN</v>
          </cell>
          <cell r="O1636" t="str">
            <v>154359</v>
          </cell>
          <cell r="P1636" t="str">
            <v>4979397000138</v>
          </cell>
          <cell r="Q1636" t="str">
            <v>YAMAMOTO- Mì ramen ăn liền hải sản thịt heo 88g*5</v>
          </cell>
          <cell r="R1636">
            <v>54450</v>
          </cell>
          <cell r="S1636">
            <v>1</v>
          </cell>
          <cell r="T1636">
            <v>54450</v>
          </cell>
          <cell r="U1636">
            <v>0</v>
          </cell>
          <cell r="V1636">
            <v>54450</v>
          </cell>
          <cell r="W1636" t="str">
            <v>4979397000138</v>
          </cell>
        </row>
        <row r="1637">
          <cell r="A1637">
            <v>2026</v>
          </cell>
          <cell r="B1637">
            <v>4</v>
          </cell>
          <cell r="C1637">
            <v>46132</v>
          </cell>
          <cell r="D1637" t="str">
            <v>1. SKK store</v>
          </cell>
          <cell r="E1637" t="str">
            <v>S1025</v>
          </cell>
          <cell r="F1637" t="str">
            <v>SKK T6 Time City</v>
          </cell>
          <cell r="G1637" t="str">
            <v>0359549531</v>
          </cell>
          <cell r="H1637" t="str">
            <v>anh Khổng Minh Hoàng</v>
          </cell>
          <cell r="I1637" t="str">
            <v>Khách cũ</v>
          </cell>
          <cell r="J1637" t="str">
            <v>Đơn bán</v>
          </cell>
          <cell r="K1637" t="str">
            <v>SAKUKO748252</v>
          </cell>
          <cell r="L1637" t="str">
            <v>THỰC PHẨM</v>
          </cell>
          <cell r="M1637" t="str">
            <v>MỲ, MIẾN</v>
          </cell>
          <cell r="N1637" t="str">
            <v>MỲ ĂN LIỀN</v>
          </cell>
          <cell r="O1637" t="str">
            <v>154196</v>
          </cell>
          <cell r="P1637" t="str">
            <v>4979397000152</v>
          </cell>
          <cell r="Q1637" t="str">
            <v>YAMAMOTO_Mì xào kiểu Nhật 89g*5</v>
          </cell>
          <cell r="R1637">
            <v>54450</v>
          </cell>
          <cell r="S1637">
            <v>1</v>
          </cell>
          <cell r="T1637">
            <v>54450</v>
          </cell>
          <cell r="U1637">
            <v>0</v>
          </cell>
          <cell r="V1637">
            <v>54450</v>
          </cell>
          <cell r="W1637" t="str">
            <v>4979397000152</v>
          </cell>
        </row>
        <row r="1638">
          <cell r="A1638">
            <v>2026</v>
          </cell>
          <cell r="B1638">
            <v>4</v>
          </cell>
          <cell r="C1638">
            <v>46132</v>
          </cell>
          <cell r="D1638" t="str">
            <v>1. SKK store</v>
          </cell>
          <cell r="E1638" t="str">
            <v>S1025</v>
          </cell>
          <cell r="F1638" t="str">
            <v>SKK T6 Time City</v>
          </cell>
          <cell r="G1638" t="str">
            <v>0359549531</v>
          </cell>
          <cell r="H1638" t="str">
            <v>anh Khổng Minh Hoàng</v>
          </cell>
          <cell r="I1638" t="str">
            <v>Khách cũ</v>
          </cell>
          <cell r="J1638" t="str">
            <v>Đơn bán</v>
          </cell>
          <cell r="K1638" t="str">
            <v>SAKUKO748252</v>
          </cell>
          <cell r="L1638" t="str">
            <v>THỰC PHẨM</v>
          </cell>
          <cell r="M1638" t="str">
            <v>MỲ, MIẾN</v>
          </cell>
          <cell r="N1638" t="str">
            <v>MỲ ĂN LIỀN</v>
          </cell>
          <cell r="O1638" t="str">
            <v>154359</v>
          </cell>
          <cell r="P1638" t="str">
            <v>4979397000138</v>
          </cell>
          <cell r="Q1638" t="str">
            <v>YAMAMOTO- Mì ramen ăn liền hải sản thịt heo 88g*5</v>
          </cell>
          <cell r="R1638">
            <v>54450</v>
          </cell>
          <cell r="S1638">
            <v>1</v>
          </cell>
          <cell r="T1638">
            <v>54450</v>
          </cell>
          <cell r="U1638">
            <v>0</v>
          </cell>
          <cell r="V1638">
            <v>54450</v>
          </cell>
          <cell r="W1638" t="str">
            <v>4979397000138</v>
          </cell>
        </row>
        <row r="1639">
          <cell r="A1639">
            <v>2026</v>
          </cell>
          <cell r="B1639">
            <v>4</v>
          </cell>
          <cell r="C1639">
            <v>46132</v>
          </cell>
          <cell r="D1639" t="str">
            <v>1. SKK store</v>
          </cell>
          <cell r="E1639" t="str">
            <v>S1025</v>
          </cell>
          <cell r="F1639" t="str">
            <v>SKK T6 Time City</v>
          </cell>
          <cell r="G1639" t="str">
            <v>0397470568</v>
          </cell>
          <cell r="H1639" t="str">
            <v>Chị Phương</v>
          </cell>
          <cell r="I1639" t="str">
            <v>Khách mới</v>
          </cell>
          <cell r="J1639" t="str">
            <v>Đơn bán</v>
          </cell>
          <cell r="K1639" t="str">
            <v>SAKUKO747359</v>
          </cell>
          <cell r="L1639" t="str">
            <v>ĐỒ CHO MẸ BÉ</v>
          </cell>
          <cell r="M1639" t="str">
            <v>GIẤY ƯỚT</v>
          </cell>
          <cell r="N1639" t="str">
            <v>GIẤY ƯỚT CHO BÉ</v>
          </cell>
          <cell r="O1639" t="str">
            <v>121662</v>
          </cell>
          <cell r="P1639" t="str">
            <v>8934755035036</v>
          </cell>
          <cell r="Q1639" t="str">
            <v>FRESSI- Khăn ướt Care For All 20 miếng</v>
          </cell>
          <cell r="R1639">
            <v>14000</v>
          </cell>
          <cell r="S1639">
            <v>1</v>
          </cell>
          <cell r="T1639">
            <v>14000</v>
          </cell>
          <cell r="U1639">
            <v>0</v>
          </cell>
          <cell r="V1639">
            <v>14000</v>
          </cell>
          <cell r="W1639" t="str">
            <v>8934755035036</v>
          </cell>
        </row>
        <row r="1640">
          <cell r="A1640">
            <v>2026</v>
          </cell>
          <cell r="B1640">
            <v>4</v>
          </cell>
          <cell r="C1640">
            <v>46132</v>
          </cell>
          <cell r="D1640" t="str">
            <v>1. SKK store</v>
          </cell>
          <cell r="E1640" t="str">
            <v>S1025</v>
          </cell>
          <cell r="F1640" t="str">
            <v>SKK T6 Time City</v>
          </cell>
          <cell r="G1640" t="str">
            <v>0834696867</v>
          </cell>
          <cell r="H1640" t="str">
            <v>Chị Hương Giang</v>
          </cell>
          <cell r="I1640" t="str">
            <v>Khách cũ</v>
          </cell>
          <cell r="J1640" t="str">
            <v>Đơn bán</v>
          </cell>
          <cell r="K1640" t="str">
            <v>SAKUKO747852</v>
          </cell>
          <cell r="L1640" t="str">
            <v>THỰC PHẨM</v>
          </cell>
          <cell r="M1640" t="str">
            <v>MỲ, MIẾN</v>
          </cell>
          <cell r="N1640" t="str">
            <v>MỲ ĂN LIỀN</v>
          </cell>
          <cell r="O1640" t="str">
            <v>154196</v>
          </cell>
          <cell r="P1640" t="str">
            <v>4979397000152</v>
          </cell>
          <cell r="Q1640" t="str">
            <v>YAMAMOTO_Mì xào kiểu Nhật 89g*5</v>
          </cell>
          <cell r="R1640">
            <v>54450</v>
          </cell>
          <cell r="S1640">
            <v>1</v>
          </cell>
          <cell r="T1640">
            <v>54450</v>
          </cell>
          <cell r="U1640">
            <v>0</v>
          </cell>
          <cell r="V1640">
            <v>54450</v>
          </cell>
          <cell r="W1640" t="str">
            <v>4979397000152</v>
          </cell>
        </row>
        <row r="1641">
          <cell r="A1641">
            <v>2026</v>
          </cell>
          <cell r="B1641">
            <v>4</v>
          </cell>
          <cell r="C1641">
            <v>46132</v>
          </cell>
          <cell r="D1641" t="str">
            <v>1. SKK store</v>
          </cell>
          <cell r="E1641" t="str">
            <v>S1025</v>
          </cell>
          <cell r="F1641" t="str">
            <v>SKK T6 Time City</v>
          </cell>
          <cell r="G1641" t="str">
            <v>0912653366</v>
          </cell>
          <cell r="H1641" t="str">
            <v>CHỊ HÀ</v>
          </cell>
          <cell r="I1641" t="str">
            <v>Khách cũ</v>
          </cell>
          <cell r="J1641" t="str">
            <v>Đơn bán</v>
          </cell>
          <cell r="K1641" t="str">
            <v>SAKUKO748228</v>
          </cell>
          <cell r="L1641" t="str">
            <v>THỰC PHẨM</v>
          </cell>
          <cell r="M1641" t="str">
            <v>BÁNH KẸO, ĐỒ ĂN VẶT</v>
          </cell>
          <cell r="N1641" t="str">
            <v>KẸO CAO SU</v>
          </cell>
          <cell r="O1641" t="str">
            <v>154105</v>
          </cell>
          <cell r="P1641" t="str">
            <v>4547894156612</v>
          </cell>
          <cell r="Q1641" t="str">
            <v>MONDELEZ JAPAN - Kẹo cao su 112g</v>
          </cell>
          <cell r="R1641">
            <v>235000</v>
          </cell>
          <cell r="S1641">
            <v>1</v>
          </cell>
          <cell r="T1641">
            <v>235000</v>
          </cell>
          <cell r="U1641">
            <v>0</v>
          </cell>
          <cell r="V1641">
            <v>235000</v>
          </cell>
          <cell r="W1641" t="str">
            <v>4547894156612</v>
          </cell>
        </row>
        <row r="1642">
          <cell r="A1642">
            <v>2026</v>
          </cell>
          <cell r="B1642">
            <v>4</v>
          </cell>
          <cell r="C1642">
            <v>46131</v>
          </cell>
          <cell r="D1642" t="str">
            <v>1. SKK store</v>
          </cell>
          <cell r="E1642" t="str">
            <v>S1004</v>
          </cell>
          <cell r="F1642" t="str">
            <v>SKK  Mandarin C1</v>
          </cell>
          <cell r="G1642" t="str">
            <v>0914684567</v>
          </cell>
          <cell r="H1642" t="str">
            <v>Chị Phan Hải Vân</v>
          </cell>
          <cell r="I1642" t="str">
            <v>Khách cũ</v>
          </cell>
          <cell r="J1642" t="str">
            <v>Đơn bán</v>
          </cell>
          <cell r="K1642" t="str">
            <v>SAKUKO746792</v>
          </cell>
          <cell r="L1642" t="str">
            <v>NHÀ CỬA ĐỜI SỐNG</v>
          </cell>
          <cell r="M1642" t="str">
            <v>ĐỒ DÙNG SINH HOẠT GIA ĐÌNH</v>
          </cell>
          <cell r="N1642" t="str">
            <v>VẬT DỤNG SINH HOẠT KHÁC</v>
          </cell>
          <cell r="O1642" t="str">
            <v>135039</v>
          </cell>
          <cell r="P1642" t="str">
            <v>4968988074993</v>
          </cell>
          <cell r="Q1642" t="str">
            <v>OMAICHI- Set 2 lọ chiết mỹ phẩm 40ml kèm hộp đựng</v>
          </cell>
          <cell r="R1642">
            <v>52000</v>
          </cell>
          <cell r="S1642">
            <v>1</v>
          </cell>
          <cell r="T1642">
            <v>52000</v>
          </cell>
          <cell r="U1642">
            <v>0</v>
          </cell>
          <cell r="V1642">
            <v>52000</v>
          </cell>
          <cell r="W1642" t="str">
            <v>4968988074993</v>
          </cell>
        </row>
        <row r="1643">
          <cell r="A1643">
            <v>2026</v>
          </cell>
          <cell r="B1643">
            <v>4</v>
          </cell>
          <cell r="C1643">
            <v>46131</v>
          </cell>
          <cell r="D1643" t="str">
            <v>1. SKK store</v>
          </cell>
          <cell r="E1643" t="str">
            <v>S1005</v>
          </cell>
          <cell r="F1643" t="str">
            <v>SKK  Thái Hà</v>
          </cell>
          <cell r="G1643" t="str">
            <v>0912234545</v>
          </cell>
          <cell r="H1643" t="str">
            <v>Chị Nguyễn Bảo Phương</v>
          </cell>
          <cell r="I1643" t="str">
            <v>Khách cũ</v>
          </cell>
          <cell r="J1643" t="str">
            <v>Đơn bán</v>
          </cell>
          <cell r="K1643" t="str">
            <v>SAKUKO746521</v>
          </cell>
          <cell r="L1643" t="str">
            <v>NHÀ CỬA ĐỜI SỐNG</v>
          </cell>
          <cell r="M1643" t="str">
            <v>PHÒNG CHỐNG CÔN TRÙNG</v>
          </cell>
          <cell r="N1643" t="str">
            <v>DIỆT CÔN TRÙNG</v>
          </cell>
          <cell r="O1643" t="str">
            <v>134480</v>
          </cell>
          <cell r="P1643" t="str">
            <v>4987115545885</v>
          </cell>
          <cell r="Q1643" t="str">
            <v>KINCHO-DD làm thơm phòng và đuổi muỗi (trái cây)</v>
          </cell>
          <cell r="R1643">
            <v>239000</v>
          </cell>
          <cell r="S1643">
            <v>1</v>
          </cell>
          <cell r="T1643">
            <v>239000</v>
          </cell>
          <cell r="U1643">
            <v>0</v>
          </cell>
          <cell r="V1643">
            <v>239000</v>
          </cell>
          <cell r="W1643" t="str">
            <v>4987115545885</v>
          </cell>
        </row>
        <row r="1644">
          <cell r="A1644">
            <v>2026</v>
          </cell>
          <cell r="B1644">
            <v>4</v>
          </cell>
          <cell r="C1644">
            <v>46131</v>
          </cell>
          <cell r="D1644" t="str">
            <v>1. SKK store</v>
          </cell>
          <cell r="E1644" t="str">
            <v>S1006</v>
          </cell>
          <cell r="F1644" t="str">
            <v>SKK Trần Đăng Ninh</v>
          </cell>
          <cell r="G1644" t="str">
            <v>0816499313</v>
          </cell>
          <cell r="H1644" t="str">
            <v>Chị Hương</v>
          </cell>
          <cell r="I1644" t="str">
            <v>Khách cũ</v>
          </cell>
          <cell r="J1644" t="str">
            <v>Đơn bán</v>
          </cell>
          <cell r="K1644" t="str">
            <v>SAKUKO746334</v>
          </cell>
          <cell r="L1644" t="str">
            <v>THỰC PHẨM</v>
          </cell>
          <cell r="M1644" t="str">
            <v>MỲ, MIẾN</v>
          </cell>
          <cell r="N1644" t="str">
            <v>MỲ ĂN LIỀN</v>
          </cell>
          <cell r="O1644" t="str">
            <v>153693</v>
          </cell>
          <cell r="P1644" t="str">
            <v>4902881066440</v>
          </cell>
          <cell r="Q1644" t="str">
            <v>MYOJO- Mỳ ramen vị miso 5 gói</v>
          </cell>
          <cell r="R1644">
            <v>105000</v>
          </cell>
          <cell r="S1644">
            <v>1</v>
          </cell>
          <cell r="T1644">
            <v>105000</v>
          </cell>
          <cell r="U1644">
            <v>0</v>
          </cell>
          <cell r="V1644">
            <v>105000</v>
          </cell>
          <cell r="W1644" t="str">
            <v>4902881066440</v>
          </cell>
        </row>
        <row r="1645">
          <cell r="A1645">
            <v>2026</v>
          </cell>
          <cell r="B1645">
            <v>4</v>
          </cell>
          <cell r="C1645">
            <v>46131</v>
          </cell>
          <cell r="D1645" t="str">
            <v>1. SKK store</v>
          </cell>
          <cell r="E1645" t="str">
            <v>S1006</v>
          </cell>
          <cell r="F1645" t="str">
            <v>SKK Trần Đăng Ninh</v>
          </cell>
          <cell r="G1645" t="str">
            <v>0902064599</v>
          </cell>
          <cell r="H1645" t="str">
            <v>Chị Lê Thị Bích Lan</v>
          </cell>
          <cell r="I1645" t="str">
            <v>Khách cũ</v>
          </cell>
          <cell r="J1645" t="str">
            <v>Đơn bán</v>
          </cell>
          <cell r="K1645" t="str">
            <v>SAKUKO746125</v>
          </cell>
          <cell r="L1645" t="str">
            <v>THỰC PHẨM</v>
          </cell>
          <cell r="M1645" t="str">
            <v>BÁNH KẸO, ĐỒ ĂN VẶT</v>
          </cell>
          <cell r="N1645" t="str">
            <v>KẸO CAO SU</v>
          </cell>
          <cell r="O1645" t="str">
            <v>153932</v>
          </cell>
          <cell r="P1645" t="str">
            <v>4903333241651</v>
          </cell>
          <cell r="Q1645" t="str">
            <v>LOTTE - Kẹo cao su black black ít đường 133g</v>
          </cell>
          <cell r="R1645">
            <v>199000</v>
          </cell>
          <cell r="S1645">
            <v>1</v>
          </cell>
          <cell r="T1645">
            <v>199000</v>
          </cell>
          <cell r="U1645">
            <v>0</v>
          </cell>
          <cell r="V1645">
            <v>199000</v>
          </cell>
          <cell r="W1645" t="str">
            <v>4903333241651</v>
          </cell>
        </row>
        <row r="1646">
          <cell r="A1646">
            <v>2026</v>
          </cell>
          <cell r="B1646">
            <v>4</v>
          </cell>
          <cell r="C1646">
            <v>46131</v>
          </cell>
          <cell r="D1646" t="str">
            <v>1. SKK store</v>
          </cell>
          <cell r="E1646" t="str">
            <v>S1006</v>
          </cell>
          <cell r="F1646" t="str">
            <v>SKK Trần Đăng Ninh</v>
          </cell>
          <cell r="G1646" t="str">
            <v>0913230573</v>
          </cell>
          <cell r="H1646" t="str">
            <v>c hương</v>
          </cell>
          <cell r="I1646" t="str">
            <v>Khách cũ</v>
          </cell>
          <cell r="J1646" t="str">
            <v>Đơn bán</v>
          </cell>
          <cell r="K1646" t="str">
            <v>SAKUKO746412</v>
          </cell>
          <cell r="L1646" t="str">
            <v>CHĂM SÓC SẮC ĐẸP</v>
          </cell>
          <cell r="M1646" t="str">
            <v>Mỹ phẩm khác</v>
          </cell>
          <cell r="N1646" t="str">
            <v>PHỤ KIỆN LÀM ĐẸP</v>
          </cell>
          <cell r="O1646" t="str">
            <v>102391</v>
          </cell>
          <cell r="P1646" t="str">
            <v>4991203205759</v>
          </cell>
          <cell r="Q1646" t="str">
            <v>ECHO - Khăn mặt dạng nén 20v size 26x16cm</v>
          </cell>
          <cell r="R1646">
            <v>45000</v>
          </cell>
          <cell r="S1646">
            <v>1</v>
          </cell>
          <cell r="T1646">
            <v>45000</v>
          </cell>
          <cell r="U1646">
            <v>0</v>
          </cell>
          <cell r="V1646">
            <v>45000</v>
          </cell>
          <cell r="W1646" t="str">
            <v>4991203205759</v>
          </cell>
        </row>
        <row r="1647">
          <cell r="A1647">
            <v>2026</v>
          </cell>
          <cell r="B1647">
            <v>4</v>
          </cell>
          <cell r="C1647">
            <v>46131</v>
          </cell>
          <cell r="D1647" t="str">
            <v>1. SKK store</v>
          </cell>
          <cell r="E1647" t="str">
            <v>S1006</v>
          </cell>
          <cell r="F1647" t="str">
            <v>SKK Trần Đăng Ninh</v>
          </cell>
          <cell r="G1647" t="str">
            <v>0978262555</v>
          </cell>
          <cell r="H1647" t="str">
            <v>chị thư</v>
          </cell>
          <cell r="I1647" t="str">
            <v>Khách cũ</v>
          </cell>
          <cell r="J1647" t="str">
            <v>Đơn bán</v>
          </cell>
          <cell r="K1647" t="str">
            <v>SAKUKO746595</v>
          </cell>
          <cell r="L1647" t="str">
            <v>THỰC PHẨM</v>
          </cell>
          <cell r="M1647" t="str">
            <v>BÁNH KẸO, ĐỒ ĂN VẶT</v>
          </cell>
          <cell r="N1647" t="str">
            <v>KẸO CAO SU</v>
          </cell>
          <cell r="O1647" t="str">
            <v>153932</v>
          </cell>
          <cell r="P1647" t="str">
            <v>4903333241651</v>
          </cell>
          <cell r="Q1647" t="str">
            <v>LOTTE - Kẹo cao su black black ít đường 133g</v>
          </cell>
          <cell r="R1647">
            <v>199000</v>
          </cell>
          <cell r="S1647">
            <v>1</v>
          </cell>
          <cell r="T1647">
            <v>199000</v>
          </cell>
          <cell r="U1647">
            <v>0</v>
          </cell>
          <cell r="V1647">
            <v>199000</v>
          </cell>
          <cell r="W1647" t="str">
            <v>4903333241651</v>
          </cell>
        </row>
        <row r="1648">
          <cell r="A1648">
            <v>2026</v>
          </cell>
          <cell r="B1648">
            <v>4</v>
          </cell>
          <cell r="C1648">
            <v>46131</v>
          </cell>
          <cell r="D1648" t="str">
            <v>1. SKK store</v>
          </cell>
          <cell r="E1648" t="str">
            <v>S1006</v>
          </cell>
          <cell r="F1648" t="str">
            <v>SKK Trần Đăng Ninh</v>
          </cell>
          <cell r="G1648" t="str">
            <v>0978262555</v>
          </cell>
          <cell r="H1648" t="str">
            <v>chị thư</v>
          </cell>
          <cell r="I1648" t="str">
            <v>Khách cũ</v>
          </cell>
          <cell r="J1648" t="str">
            <v>Đơn bán</v>
          </cell>
          <cell r="K1648" t="str">
            <v>SAKUKO746595</v>
          </cell>
          <cell r="L1648" t="str">
            <v>THỰC PHẨM</v>
          </cell>
          <cell r="M1648" t="str">
            <v>BÁNH KẸO, ĐỒ ĂN VẶT</v>
          </cell>
          <cell r="N1648" t="str">
            <v>KẸO CAO SU</v>
          </cell>
          <cell r="O1648" t="str">
            <v>154105</v>
          </cell>
          <cell r="P1648" t="str">
            <v>4547894156612</v>
          </cell>
          <cell r="Q1648" t="str">
            <v>MONDELEZ JAPAN - Kẹo cao su 112g</v>
          </cell>
          <cell r="R1648">
            <v>185000</v>
          </cell>
          <cell r="S1648">
            <v>1</v>
          </cell>
          <cell r="T1648">
            <v>185000</v>
          </cell>
          <cell r="U1648">
            <v>0</v>
          </cell>
          <cell r="V1648">
            <v>185000</v>
          </cell>
          <cell r="W1648" t="str">
            <v>4547894156612</v>
          </cell>
        </row>
        <row r="1649">
          <cell r="A1649">
            <v>2026</v>
          </cell>
          <cell r="B1649">
            <v>4</v>
          </cell>
          <cell r="C1649">
            <v>46131</v>
          </cell>
          <cell r="D1649" t="str">
            <v>1. SKK store</v>
          </cell>
          <cell r="E1649" t="str">
            <v>S1006</v>
          </cell>
          <cell r="F1649" t="str">
            <v>SKK Trần Đăng Ninh</v>
          </cell>
          <cell r="G1649" t="str">
            <v>0989829868</v>
          </cell>
          <cell r="H1649" t="str">
            <v>chị Bình</v>
          </cell>
          <cell r="I1649" t="str">
            <v>Khách cũ</v>
          </cell>
          <cell r="J1649" t="str">
            <v>Đơn bán</v>
          </cell>
          <cell r="K1649" t="str">
            <v>SAKUKO747042</v>
          </cell>
          <cell r="L1649" t="str">
            <v>THỰC PHẨM</v>
          </cell>
          <cell r="M1649" t="str">
            <v>BÁNH KẸO, ĐỒ ĂN VẶT</v>
          </cell>
          <cell r="N1649" t="str">
            <v>KẸO CAO SU</v>
          </cell>
          <cell r="O1649" t="str">
            <v>153932</v>
          </cell>
          <cell r="P1649" t="str">
            <v>4903333241651</v>
          </cell>
          <cell r="Q1649" t="str">
            <v>LOTTE - Kẹo cao su black black ít đường 133g</v>
          </cell>
          <cell r="R1649">
            <v>199000</v>
          </cell>
          <cell r="S1649">
            <v>1</v>
          </cell>
          <cell r="T1649">
            <v>199000</v>
          </cell>
          <cell r="U1649">
            <v>0</v>
          </cell>
          <cell r="V1649">
            <v>199000</v>
          </cell>
          <cell r="W1649" t="str">
            <v>4903333241651</v>
          </cell>
        </row>
        <row r="1650">
          <cell r="A1650">
            <v>2026</v>
          </cell>
          <cell r="B1650">
            <v>4</v>
          </cell>
          <cell r="C1650">
            <v>46131</v>
          </cell>
          <cell r="D1650" t="str">
            <v>1. SKK store</v>
          </cell>
          <cell r="E1650" t="str">
            <v>S1007</v>
          </cell>
          <cell r="F1650" t="str">
            <v>SKK  Nguyễn Du</v>
          </cell>
          <cell r="G1650" t="str">
            <v>0862954339</v>
          </cell>
          <cell r="H1650" t="str">
            <v>Klnd</v>
          </cell>
          <cell r="I1650" t="str">
            <v>Khách vãng lai</v>
          </cell>
          <cell r="J1650" t="str">
            <v>Đơn bán</v>
          </cell>
          <cell r="K1650" t="str">
            <v>SAKUKO746593</v>
          </cell>
          <cell r="L1650" t="str">
            <v>THỰC PHẨM</v>
          </cell>
          <cell r="M1650" t="str">
            <v>MỲ, MIẾN</v>
          </cell>
          <cell r="N1650" t="str">
            <v>MỲ CHẾ BIẾN</v>
          </cell>
          <cell r="O1650" t="str">
            <v>154251</v>
          </cell>
          <cell r="P1650" t="str">
            <v>4560159440776</v>
          </cell>
          <cell r="Q1650" t="str">
            <v>SATO_Mì soba khô 800g</v>
          </cell>
          <cell r="R1650">
            <v>104000</v>
          </cell>
          <cell r="S1650">
            <v>1</v>
          </cell>
          <cell r="T1650">
            <v>104000</v>
          </cell>
          <cell r="U1650">
            <v>0</v>
          </cell>
          <cell r="V1650">
            <v>104000</v>
          </cell>
          <cell r="W1650" t="str">
            <v>4560159440776</v>
          </cell>
        </row>
        <row r="1651">
          <cell r="A1651">
            <v>2026</v>
          </cell>
          <cell r="B1651">
            <v>4</v>
          </cell>
          <cell r="C1651">
            <v>46131</v>
          </cell>
          <cell r="D1651" t="str">
            <v>1. SKK store</v>
          </cell>
          <cell r="E1651" t="str">
            <v>S1007</v>
          </cell>
          <cell r="F1651" t="str">
            <v>SKK  Nguyễn Du</v>
          </cell>
          <cell r="G1651" t="str">
            <v>0966155030</v>
          </cell>
          <cell r="H1651" t="str">
            <v>Chị Nguyễn Minh Khuê</v>
          </cell>
          <cell r="I1651" t="str">
            <v>Khách cũ</v>
          </cell>
          <cell r="J1651" t="str">
            <v>Đơn bán</v>
          </cell>
          <cell r="K1651" t="str">
            <v>SAKUKO747066</v>
          </cell>
          <cell r="L1651" t="str">
            <v>THỰC PHẨM</v>
          </cell>
          <cell r="M1651" t="str">
            <v>MỲ, MIẾN</v>
          </cell>
          <cell r="N1651" t="str">
            <v>MỲ CHẾ BIẾN</v>
          </cell>
          <cell r="O1651" t="str">
            <v>175435</v>
          </cell>
          <cell r="P1651" t="str">
            <v>4901726014752</v>
          </cell>
          <cell r="Q1651" t="str">
            <v>ITSUKI FOODS- Mì soumen rau củ ngũ sắc320g</v>
          </cell>
          <cell r="R1651">
            <v>76000</v>
          </cell>
          <cell r="S1651">
            <v>1</v>
          </cell>
          <cell r="T1651">
            <v>76000</v>
          </cell>
          <cell r="U1651">
            <v>0</v>
          </cell>
          <cell r="V1651">
            <v>76000</v>
          </cell>
          <cell r="W1651" t="str">
            <v>4901726014752</v>
          </cell>
        </row>
        <row r="1652">
          <cell r="A1652">
            <v>2026</v>
          </cell>
          <cell r="B1652">
            <v>4</v>
          </cell>
          <cell r="C1652">
            <v>46131</v>
          </cell>
          <cell r="D1652" t="str">
            <v>1. SKK store</v>
          </cell>
          <cell r="E1652" t="str">
            <v>S1008</v>
          </cell>
          <cell r="F1652" t="str">
            <v>SKK  Hàng Bông</v>
          </cell>
          <cell r="G1652" t="str">
            <v>0903292942</v>
          </cell>
          <cell r="H1652" t="str">
            <v>cô bình</v>
          </cell>
          <cell r="I1652" t="str">
            <v>Khách cũ</v>
          </cell>
          <cell r="J1652" t="str">
            <v>Đơn bán</v>
          </cell>
          <cell r="K1652" t="str">
            <v>SAKUKO747074</v>
          </cell>
          <cell r="L1652" t="str">
            <v>NHÀ CỬA ĐỜI SỐNG</v>
          </cell>
          <cell r="M1652" t="str">
            <v>PHÒNG CHỐNG CÔN TRÙNG</v>
          </cell>
          <cell r="N1652" t="str">
            <v>DIỆT CÔN TRÙNG</v>
          </cell>
          <cell r="O1652" t="str">
            <v>134479</v>
          </cell>
          <cell r="P1652" t="str">
            <v>4987115545892</v>
          </cell>
          <cell r="Q1652" t="str">
            <v>KINCHO-DD làm thơm phòng và đuổi muỗi Hoa SIBERIAN</v>
          </cell>
          <cell r="R1652">
            <v>239000</v>
          </cell>
          <cell r="S1652">
            <v>1</v>
          </cell>
          <cell r="T1652">
            <v>239000</v>
          </cell>
          <cell r="U1652">
            <v>0</v>
          </cell>
          <cell r="V1652">
            <v>239000</v>
          </cell>
          <cell r="W1652" t="str">
            <v>4987115545892</v>
          </cell>
        </row>
        <row r="1653">
          <cell r="A1653">
            <v>2026</v>
          </cell>
          <cell r="B1653">
            <v>4</v>
          </cell>
          <cell r="C1653">
            <v>46131</v>
          </cell>
          <cell r="D1653" t="str">
            <v>1. SKK store</v>
          </cell>
          <cell r="E1653" t="str">
            <v>S1015</v>
          </cell>
          <cell r="F1653" t="str">
            <v>SKK Hàm Nghi</v>
          </cell>
          <cell r="G1653" t="str">
            <v>0947396168</v>
          </cell>
          <cell r="H1653" t="str">
            <v>Cô San</v>
          </cell>
          <cell r="I1653" t="str">
            <v>Khách cũ</v>
          </cell>
          <cell r="J1653" t="str">
            <v>Đơn bán</v>
          </cell>
          <cell r="K1653" t="str">
            <v>SAKUKO745958</v>
          </cell>
          <cell r="L1653" t="str">
            <v>THỰC PHẨM</v>
          </cell>
          <cell r="M1653" t="str">
            <v>MỲ, MIẾN</v>
          </cell>
          <cell r="N1653" t="str">
            <v>MỲ CHẾ BIẾN</v>
          </cell>
          <cell r="O1653" t="str">
            <v>174948</v>
          </cell>
          <cell r="P1653" t="str">
            <v>4582114354119</v>
          </cell>
          <cell r="Q1653" t="str">
            <v>SANUKISHISEI- Mì soumen 300g</v>
          </cell>
          <cell r="R1653">
            <v>35000</v>
          </cell>
          <cell r="S1653">
            <v>1</v>
          </cell>
          <cell r="T1653">
            <v>35000</v>
          </cell>
          <cell r="U1653">
            <v>0</v>
          </cell>
          <cell r="V1653">
            <v>35000</v>
          </cell>
          <cell r="W1653" t="str">
            <v>4582114354119</v>
          </cell>
        </row>
        <row r="1654">
          <cell r="A1654">
            <v>2026</v>
          </cell>
          <cell r="B1654">
            <v>4</v>
          </cell>
          <cell r="C1654">
            <v>46131</v>
          </cell>
          <cell r="D1654" t="str">
            <v>1. SKK store</v>
          </cell>
          <cell r="E1654" t="str">
            <v>S1025</v>
          </cell>
          <cell r="F1654" t="str">
            <v>SKK T6 Time City</v>
          </cell>
          <cell r="G1654" t="str">
            <v>0843578889</v>
          </cell>
          <cell r="H1654" t="str">
            <v>cô ngọc</v>
          </cell>
          <cell r="I1654" t="str">
            <v>Khách cũ</v>
          </cell>
          <cell r="J1654" t="str">
            <v>Đơn bán</v>
          </cell>
          <cell r="K1654" t="str">
            <v>SAKUKO746895</v>
          </cell>
          <cell r="L1654" t="str">
            <v>CHĂM SÓC SẮC ĐẸP</v>
          </cell>
          <cell r="M1654" t="str">
            <v>Mỹ phẩm khác</v>
          </cell>
          <cell r="N1654" t="str">
            <v>PHỤ KIỆN LÀM ĐẸP</v>
          </cell>
          <cell r="O1654" t="str">
            <v>102391</v>
          </cell>
          <cell r="P1654" t="str">
            <v>4991203205759</v>
          </cell>
          <cell r="Q1654" t="str">
            <v>ECHO - Khăn mặt dạng nén 20v size 26x16cm</v>
          </cell>
          <cell r="R1654">
            <v>45000</v>
          </cell>
          <cell r="S1654">
            <v>1</v>
          </cell>
          <cell r="T1654">
            <v>45000</v>
          </cell>
          <cell r="U1654">
            <v>0</v>
          </cell>
          <cell r="V1654">
            <v>45000</v>
          </cell>
          <cell r="W1654" t="str">
            <v>4991203205759</v>
          </cell>
        </row>
        <row r="1655">
          <cell r="A1655">
            <v>2026</v>
          </cell>
          <cell r="B1655">
            <v>4</v>
          </cell>
          <cell r="C1655">
            <v>46131</v>
          </cell>
          <cell r="D1655" t="str">
            <v>1. SKK store</v>
          </cell>
          <cell r="E1655" t="str">
            <v>S1025</v>
          </cell>
          <cell r="F1655" t="str">
            <v>SKK T6 Time City</v>
          </cell>
          <cell r="G1655" t="str">
            <v>0904161122</v>
          </cell>
          <cell r="H1655" t="str">
            <v>chị Lan</v>
          </cell>
          <cell r="I1655" t="str">
            <v>Khách cũ</v>
          </cell>
          <cell r="J1655" t="str">
            <v>Đơn bán</v>
          </cell>
          <cell r="K1655" t="str">
            <v>SAKUKO747194</v>
          </cell>
          <cell r="L1655" t="str">
            <v>THỰC PHẨM</v>
          </cell>
          <cell r="M1655" t="str">
            <v>MỲ, MIẾN</v>
          </cell>
          <cell r="N1655" t="str">
            <v>MỲ CHẾ BIẾN</v>
          </cell>
          <cell r="O1655" t="str">
            <v>154249</v>
          </cell>
          <cell r="P1655" t="str">
            <v>4517244004627</v>
          </cell>
          <cell r="Q1655" t="str">
            <v>ASAHI_Mì udon khô 400g</v>
          </cell>
          <cell r="R1655">
            <v>69000</v>
          </cell>
          <cell r="S1655">
            <v>1</v>
          </cell>
          <cell r="T1655">
            <v>69000</v>
          </cell>
          <cell r="U1655">
            <v>0</v>
          </cell>
          <cell r="V1655">
            <v>69000</v>
          </cell>
          <cell r="W1655" t="str">
            <v>4517244004627</v>
          </cell>
        </row>
        <row r="1656">
          <cell r="A1656">
            <v>2026</v>
          </cell>
          <cell r="B1656">
            <v>4</v>
          </cell>
          <cell r="C1656">
            <v>46131</v>
          </cell>
          <cell r="D1656" t="str">
            <v>1. SKK store</v>
          </cell>
          <cell r="E1656" t="str">
            <v>S1025</v>
          </cell>
          <cell r="F1656" t="str">
            <v>SKK T6 Time City</v>
          </cell>
          <cell r="G1656" t="str">
            <v>0905434241</v>
          </cell>
          <cell r="H1656" t="str">
            <v>chị vân</v>
          </cell>
          <cell r="I1656" t="str">
            <v>Khách cũ</v>
          </cell>
          <cell r="J1656" t="str">
            <v>Đơn bán</v>
          </cell>
          <cell r="K1656" t="str">
            <v>SAKUKO746154</v>
          </cell>
          <cell r="L1656" t="str">
            <v>THỰC PHẨM</v>
          </cell>
          <cell r="M1656" t="str">
            <v>BÁNH KẸO, ĐỒ ĂN VẶT</v>
          </cell>
          <cell r="N1656" t="str">
            <v>KẸO</v>
          </cell>
          <cell r="O1656" t="str">
            <v>231376</v>
          </cell>
          <cell r="P1656" t="str">
            <v>4903333228577</v>
          </cell>
          <cell r="Q1656" t="str">
            <v>LOTTE-Kẹo cao su tổng hợp 7 loại dạng lọ 133g</v>
          </cell>
          <cell r="R1656">
            <v>199000</v>
          </cell>
          <cell r="S1656">
            <v>1</v>
          </cell>
          <cell r="T1656">
            <v>199000</v>
          </cell>
          <cell r="U1656">
            <v>0</v>
          </cell>
          <cell r="V1656">
            <v>199000</v>
          </cell>
          <cell r="W1656" t="str">
            <v>4903333228577</v>
          </cell>
        </row>
        <row r="1657">
          <cell r="A1657">
            <v>2026</v>
          </cell>
          <cell r="B1657">
            <v>4</v>
          </cell>
          <cell r="C1657">
            <v>46131</v>
          </cell>
          <cell r="D1657" t="str">
            <v>1. SKK store</v>
          </cell>
          <cell r="E1657" t="str">
            <v>S1025</v>
          </cell>
          <cell r="F1657" t="str">
            <v>SKK T6 Time City</v>
          </cell>
          <cell r="G1657" t="str">
            <v>0982220293</v>
          </cell>
          <cell r="H1657" t="str">
            <v>chị nga</v>
          </cell>
          <cell r="I1657" t="str">
            <v>Khách cũ</v>
          </cell>
          <cell r="J1657" t="str">
            <v>Đơn bán</v>
          </cell>
          <cell r="K1657" t="str">
            <v>SAKUKO746571</v>
          </cell>
          <cell r="L1657" t="str">
            <v>NHÀ CỬA ĐỜI SỐNG</v>
          </cell>
          <cell r="M1657" t="str">
            <v>ĐỒ DÙNG SINH HOẠT GIA ĐÌNH</v>
          </cell>
          <cell r="N1657" t="str">
            <v>VẬT DỤNG SINH HOẠT KHÁC</v>
          </cell>
          <cell r="O1657" t="str">
            <v>135039</v>
          </cell>
          <cell r="P1657" t="str">
            <v>4968988074993</v>
          </cell>
          <cell r="Q1657" t="str">
            <v>OMAICHI- Set 2 lọ chiết mỹ phẩm 40ml kèm hộp đựng</v>
          </cell>
          <cell r="R1657">
            <v>52000</v>
          </cell>
          <cell r="S1657">
            <v>1</v>
          </cell>
          <cell r="T1657">
            <v>52000</v>
          </cell>
          <cell r="U1657">
            <v>0</v>
          </cell>
          <cell r="V1657">
            <v>52000</v>
          </cell>
          <cell r="W1657" t="str">
            <v>4968988074993</v>
          </cell>
        </row>
        <row r="1658">
          <cell r="A1658">
            <v>2026</v>
          </cell>
          <cell r="B1658">
            <v>4</v>
          </cell>
          <cell r="C1658">
            <v>46131</v>
          </cell>
          <cell r="D1658" t="str">
            <v>1. SKK store</v>
          </cell>
          <cell r="E1658" t="str">
            <v>S1025</v>
          </cell>
          <cell r="F1658" t="str">
            <v>SKK T6 Time City</v>
          </cell>
          <cell r="G1658" t="str">
            <v>0985567059</v>
          </cell>
          <cell r="H1658" t="str">
            <v>Chị Hương</v>
          </cell>
          <cell r="I1658" t="str">
            <v>Khách cũ</v>
          </cell>
          <cell r="J1658" t="str">
            <v>Đơn bán</v>
          </cell>
          <cell r="K1658" t="str">
            <v>SAKUKO746013</v>
          </cell>
          <cell r="L1658" t="str">
            <v>THỰC PHẨM</v>
          </cell>
          <cell r="M1658" t="str">
            <v>MỲ, MIẾN</v>
          </cell>
          <cell r="N1658" t="str">
            <v>MỲ CHẾ BIẾN</v>
          </cell>
          <cell r="O1658" t="str">
            <v>175435</v>
          </cell>
          <cell r="P1658" t="str">
            <v>4901726014752</v>
          </cell>
          <cell r="Q1658" t="str">
            <v>ITSUKI FOODS- Mì soumen rau củ ngũ sắc320g</v>
          </cell>
          <cell r="R1658">
            <v>76000</v>
          </cell>
          <cell r="S1658">
            <v>1</v>
          </cell>
          <cell r="T1658">
            <v>76000</v>
          </cell>
          <cell r="U1658">
            <v>0</v>
          </cell>
          <cell r="V1658">
            <v>76000</v>
          </cell>
          <cell r="W1658" t="str">
            <v>4901726014752</v>
          </cell>
        </row>
        <row r="1659">
          <cell r="A1659">
            <v>2026</v>
          </cell>
          <cell r="B1659">
            <v>4</v>
          </cell>
          <cell r="C1659">
            <v>46130</v>
          </cell>
          <cell r="D1659" t="str">
            <v>1. SKK store</v>
          </cell>
          <cell r="E1659" t="str">
            <v>S1004</v>
          </cell>
          <cell r="F1659" t="str">
            <v>SKK  Mandarin C1</v>
          </cell>
          <cell r="G1659" t="str">
            <v>0908240376</v>
          </cell>
          <cell r="H1659" t="str">
            <v>Chị Nguyễn Thị Bích Thúy</v>
          </cell>
          <cell r="I1659" t="str">
            <v>Khách cũ</v>
          </cell>
          <cell r="J1659" t="str">
            <v>Đơn bán</v>
          </cell>
          <cell r="K1659" t="str">
            <v>SAKUKO745475</v>
          </cell>
          <cell r="L1659" t="str">
            <v>CHĂM SÓC SẮC ĐẸP</v>
          </cell>
          <cell r="M1659" t="str">
            <v>Mỹ phẩm khác</v>
          </cell>
          <cell r="N1659" t="str">
            <v>PHỤ KIỆN LÀM ĐẸP</v>
          </cell>
          <cell r="O1659" t="str">
            <v>102391</v>
          </cell>
          <cell r="P1659" t="str">
            <v>4991203205759</v>
          </cell>
          <cell r="Q1659" t="str">
            <v>ECHO - Khăn mặt dạng nén 20v size 26x16cm</v>
          </cell>
          <cell r="R1659">
            <v>45000</v>
          </cell>
          <cell r="S1659">
            <v>1</v>
          </cell>
          <cell r="T1659">
            <v>45000</v>
          </cell>
          <cell r="U1659">
            <v>0</v>
          </cell>
          <cell r="V1659">
            <v>45000</v>
          </cell>
          <cell r="W1659" t="str">
            <v>4991203205759</v>
          </cell>
        </row>
        <row r="1660">
          <cell r="A1660">
            <v>2026</v>
          </cell>
          <cell r="B1660">
            <v>4</v>
          </cell>
          <cell r="C1660">
            <v>46130</v>
          </cell>
          <cell r="D1660" t="str">
            <v>1. SKK store</v>
          </cell>
          <cell r="E1660" t="str">
            <v>S1004</v>
          </cell>
          <cell r="F1660" t="str">
            <v>SKK  Mandarin C1</v>
          </cell>
          <cell r="G1660" t="str">
            <v>0912313037</v>
          </cell>
          <cell r="H1660" t="str">
            <v>c.hương</v>
          </cell>
          <cell r="I1660" t="str">
            <v>Khách cũ</v>
          </cell>
          <cell r="J1660" t="str">
            <v>Đơn bán</v>
          </cell>
          <cell r="K1660" t="str">
            <v>SAKUKO744877</v>
          </cell>
          <cell r="L1660" t="str">
            <v>THỰC PHẨM</v>
          </cell>
          <cell r="M1660" t="str">
            <v>BÁNH KẸO, ĐỒ ĂN VẶT</v>
          </cell>
          <cell r="N1660" t="str">
            <v>KẸO</v>
          </cell>
          <cell r="O1660" t="str">
            <v>231376</v>
          </cell>
          <cell r="P1660" t="str">
            <v>4903333228577</v>
          </cell>
          <cell r="Q1660" t="str">
            <v>LOTTE-Kẹo cao su tổng hợp 7 loại dạng lọ 133g</v>
          </cell>
          <cell r="R1660">
            <v>199000</v>
          </cell>
          <cell r="S1660">
            <v>1</v>
          </cell>
          <cell r="T1660">
            <v>199000</v>
          </cell>
          <cell r="U1660">
            <v>0</v>
          </cell>
          <cell r="V1660">
            <v>199000</v>
          </cell>
          <cell r="W1660" t="str">
            <v>4903333228577</v>
          </cell>
        </row>
        <row r="1661">
          <cell r="A1661">
            <v>2026</v>
          </cell>
          <cell r="B1661">
            <v>4</v>
          </cell>
          <cell r="C1661">
            <v>46130</v>
          </cell>
          <cell r="D1661" t="str">
            <v>1. SKK store</v>
          </cell>
          <cell r="E1661" t="str">
            <v>S1005</v>
          </cell>
          <cell r="F1661" t="str">
            <v>SKK  Thái Hà</v>
          </cell>
          <cell r="G1661" t="str">
            <v>0915105558</v>
          </cell>
          <cell r="H1661" t="str">
            <v>chi yen</v>
          </cell>
          <cell r="I1661" t="str">
            <v>Khách mới</v>
          </cell>
          <cell r="J1661" t="str">
            <v>Đơn bán</v>
          </cell>
          <cell r="K1661" t="str">
            <v>SAKUKO745319</v>
          </cell>
          <cell r="L1661" t="str">
            <v>THỰC PHẨM</v>
          </cell>
          <cell r="M1661" t="str">
            <v>MỲ, MIẾN</v>
          </cell>
          <cell r="N1661" t="str">
            <v>MỲ ĂN LIỀN</v>
          </cell>
          <cell r="O1661" t="str">
            <v>153693</v>
          </cell>
          <cell r="P1661" t="str">
            <v>4902881066440</v>
          </cell>
          <cell r="Q1661" t="str">
            <v>MYOJO- Mỳ ramen vị miso 5 gói</v>
          </cell>
          <cell r="R1661">
            <v>105000</v>
          </cell>
          <cell r="S1661">
            <v>1</v>
          </cell>
          <cell r="T1661">
            <v>105000</v>
          </cell>
          <cell r="U1661">
            <v>0</v>
          </cell>
          <cell r="V1661">
            <v>105000</v>
          </cell>
          <cell r="W1661" t="str">
            <v>4902881066440</v>
          </cell>
        </row>
        <row r="1662">
          <cell r="A1662">
            <v>2026</v>
          </cell>
          <cell r="B1662">
            <v>4</v>
          </cell>
          <cell r="C1662">
            <v>46130</v>
          </cell>
          <cell r="D1662" t="str">
            <v>1. SKK store</v>
          </cell>
          <cell r="E1662" t="str">
            <v>S1006</v>
          </cell>
          <cell r="F1662" t="str">
            <v>SKK Trần Đăng Ninh</v>
          </cell>
          <cell r="G1662" t="str">
            <v>0948366855</v>
          </cell>
          <cell r="H1662" t="str">
            <v>c ngân</v>
          </cell>
          <cell r="I1662" t="str">
            <v>Khách cũ</v>
          </cell>
          <cell r="J1662" t="str">
            <v>Đơn bán</v>
          </cell>
          <cell r="K1662" t="str">
            <v>SAKUKO744847</v>
          </cell>
          <cell r="L1662" t="str">
            <v>THỰC PHẨM</v>
          </cell>
          <cell r="M1662" t="str">
            <v>MỲ, MIẾN</v>
          </cell>
          <cell r="N1662" t="str">
            <v>MỲ CHẾ BIẾN</v>
          </cell>
          <cell r="O1662" t="str">
            <v>174948</v>
          </cell>
          <cell r="P1662" t="str">
            <v>4582114354119</v>
          </cell>
          <cell r="Q1662" t="str">
            <v>SANUKISHISEI- Mì soumen 300g</v>
          </cell>
          <cell r="R1662">
            <v>35000</v>
          </cell>
          <cell r="S1662">
            <v>5</v>
          </cell>
          <cell r="T1662">
            <v>175000</v>
          </cell>
          <cell r="U1662">
            <v>0</v>
          </cell>
          <cell r="V1662">
            <v>175000</v>
          </cell>
          <cell r="W1662" t="str">
            <v>4582114354119</v>
          </cell>
        </row>
        <row r="1663">
          <cell r="A1663">
            <v>2026</v>
          </cell>
          <cell r="B1663">
            <v>4</v>
          </cell>
          <cell r="C1663">
            <v>46130</v>
          </cell>
          <cell r="D1663" t="str">
            <v>1. SKK store</v>
          </cell>
          <cell r="E1663" t="str">
            <v>S1006</v>
          </cell>
          <cell r="F1663" t="str">
            <v>SKK Trần Đăng Ninh</v>
          </cell>
          <cell r="G1663" t="str">
            <v>0948377567</v>
          </cell>
          <cell r="H1663" t="str">
            <v>chị tần</v>
          </cell>
          <cell r="I1663" t="str">
            <v>Khách cũ</v>
          </cell>
          <cell r="J1663" t="str">
            <v>Đơn bán</v>
          </cell>
          <cell r="K1663" t="str">
            <v>SAKUKO745490</v>
          </cell>
          <cell r="L1663" t="str">
            <v>THỰC PHẨM</v>
          </cell>
          <cell r="M1663" t="str">
            <v>BÁNH KẸO, ĐỒ ĂN VẶT</v>
          </cell>
          <cell r="N1663" t="str">
            <v>KẸO</v>
          </cell>
          <cell r="O1663" t="str">
            <v>231376</v>
          </cell>
          <cell r="P1663" t="str">
            <v>4903333228577</v>
          </cell>
          <cell r="Q1663" t="str">
            <v>LOTTE-Kẹo cao su tổng hợp 7 loại dạng lọ 133g</v>
          </cell>
          <cell r="R1663">
            <v>199000</v>
          </cell>
          <cell r="S1663">
            <v>1</v>
          </cell>
          <cell r="T1663">
            <v>199000</v>
          </cell>
          <cell r="U1663">
            <v>0</v>
          </cell>
          <cell r="V1663">
            <v>199000</v>
          </cell>
          <cell r="W1663" t="str">
            <v>4903333228577</v>
          </cell>
        </row>
        <row r="1664">
          <cell r="A1664">
            <v>2026</v>
          </cell>
          <cell r="B1664">
            <v>4</v>
          </cell>
          <cell r="C1664">
            <v>46130</v>
          </cell>
          <cell r="D1664" t="str">
            <v>1. SKK store</v>
          </cell>
          <cell r="E1664" t="str">
            <v>S1006</v>
          </cell>
          <cell r="F1664" t="str">
            <v>SKK Trần Đăng Ninh</v>
          </cell>
          <cell r="G1664" t="str">
            <v>0983926798</v>
          </cell>
          <cell r="H1664" t="str">
            <v>Chị Dương Thị Thủy</v>
          </cell>
          <cell r="I1664" t="str">
            <v>Khách cũ</v>
          </cell>
          <cell r="J1664" t="str">
            <v>Đơn bán</v>
          </cell>
          <cell r="K1664" t="str">
            <v>SAKUKO744994</v>
          </cell>
          <cell r="L1664" t="str">
            <v>THỰC PHẨM</v>
          </cell>
          <cell r="M1664" t="str">
            <v>MỲ, MIẾN</v>
          </cell>
          <cell r="N1664" t="str">
            <v>MỲ ĂN LIỀN</v>
          </cell>
          <cell r="O1664" t="str">
            <v>154196</v>
          </cell>
          <cell r="P1664" t="str">
            <v>4979397000152</v>
          </cell>
          <cell r="Q1664" t="str">
            <v>YAMAMOTO_Mì xào kiểu Nhật 89g*5</v>
          </cell>
          <cell r="R1664">
            <v>99000</v>
          </cell>
          <cell r="S1664">
            <v>1</v>
          </cell>
          <cell r="T1664">
            <v>99000</v>
          </cell>
          <cell r="U1664">
            <v>0</v>
          </cell>
          <cell r="V1664">
            <v>99000</v>
          </cell>
          <cell r="W1664" t="str">
            <v>4979397000152</v>
          </cell>
        </row>
        <row r="1665">
          <cell r="A1665">
            <v>2026</v>
          </cell>
          <cell r="B1665">
            <v>4</v>
          </cell>
          <cell r="C1665">
            <v>46130</v>
          </cell>
          <cell r="D1665" t="str">
            <v>1. SKK store</v>
          </cell>
          <cell r="E1665" t="str">
            <v>S1007</v>
          </cell>
          <cell r="F1665" t="str">
            <v>SKK  Nguyễn Du</v>
          </cell>
          <cell r="G1665" t="str">
            <v>0862954339</v>
          </cell>
          <cell r="H1665" t="str">
            <v>Klnd</v>
          </cell>
          <cell r="I1665" t="str">
            <v>Khách vãng lai</v>
          </cell>
          <cell r="J1665" t="str">
            <v>Đơn bán</v>
          </cell>
          <cell r="K1665" t="str">
            <v>SAKUKO745122</v>
          </cell>
          <cell r="L1665" t="str">
            <v>NHÀ CỬA ĐỜI SỐNG</v>
          </cell>
          <cell r="M1665" t="str">
            <v>PHÒNG CHỐNG CÔN TRÙNG</v>
          </cell>
          <cell r="N1665" t="str">
            <v>DIỆT CÔN TRÙNG</v>
          </cell>
          <cell r="O1665" t="str">
            <v>134479</v>
          </cell>
          <cell r="P1665" t="str">
            <v>4987115545892</v>
          </cell>
          <cell r="Q1665" t="str">
            <v>KINCHO-DD làm thơm phòng và đuổi muỗi Hoa SIBERIAN</v>
          </cell>
          <cell r="R1665">
            <v>239000</v>
          </cell>
          <cell r="S1665">
            <v>1</v>
          </cell>
          <cell r="T1665">
            <v>239000</v>
          </cell>
          <cell r="U1665">
            <v>0</v>
          </cell>
          <cell r="V1665">
            <v>239000</v>
          </cell>
          <cell r="W1665" t="str">
            <v>4987115545892</v>
          </cell>
        </row>
        <row r="1666">
          <cell r="A1666">
            <v>2026</v>
          </cell>
          <cell r="B1666">
            <v>4</v>
          </cell>
          <cell r="C1666">
            <v>46130</v>
          </cell>
          <cell r="D1666" t="str">
            <v>1. SKK store</v>
          </cell>
          <cell r="E1666" t="str">
            <v>S1007</v>
          </cell>
          <cell r="F1666" t="str">
            <v>SKK  Nguyễn Du</v>
          </cell>
          <cell r="G1666" t="str">
            <v>0862954339</v>
          </cell>
          <cell r="H1666" t="str">
            <v>Klnd</v>
          </cell>
          <cell r="I1666" t="str">
            <v>Khách vãng lai</v>
          </cell>
          <cell r="J1666" t="str">
            <v>Đơn bán</v>
          </cell>
          <cell r="K1666" t="str">
            <v>SAKUKO745122</v>
          </cell>
          <cell r="L1666" t="str">
            <v>NHÀ CỬA ĐỜI SỐNG</v>
          </cell>
          <cell r="M1666" t="str">
            <v>PHÒNG CHỐNG CÔN TRÙNG</v>
          </cell>
          <cell r="N1666" t="str">
            <v>DIỆT CÔN TRÙNG</v>
          </cell>
          <cell r="O1666" t="str">
            <v>134480</v>
          </cell>
          <cell r="P1666" t="str">
            <v>4987115545885</v>
          </cell>
          <cell r="Q1666" t="str">
            <v>KINCHO-DD làm thơm phòng và đuổi muỗi (trái cây)</v>
          </cell>
          <cell r="R1666">
            <v>239000</v>
          </cell>
          <cell r="S1666">
            <v>2</v>
          </cell>
          <cell r="T1666">
            <v>478000</v>
          </cell>
          <cell r="U1666">
            <v>0</v>
          </cell>
          <cell r="V1666">
            <v>478000</v>
          </cell>
          <cell r="W1666" t="str">
            <v>4987115545885</v>
          </cell>
        </row>
        <row r="1667">
          <cell r="A1667">
            <v>2026</v>
          </cell>
          <cell r="B1667">
            <v>4</v>
          </cell>
          <cell r="C1667">
            <v>46130</v>
          </cell>
          <cell r="D1667" t="str">
            <v>1. SKK store</v>
          </cell>
          <cell r="E1667" t="str">
            <v>S1007</v>
          </cell>
          <cell r="F1667" t="str">
            <v>SKK  Nguyễn Du</v>
          </cell>
          <cell r="G1667" t="str">
            <v>0986661963</v>
          </cell>
          <cell r="H1667" t="str">
            <v>CO HANH</v>
          </cell>
          <cell r="I1667" t="str">
            <v>Khách cũ</v>
          </cell>
          <cell r="J1667" t="str">
            <v>Đơn bán</v>
          </cell>
          <cell r="K1667" t="str">
            <v>SAKUKO745565</v>
          </cell>
          <cell r="L1667" t="str">
            <v>THỰC PHẨM</v>
          </cell>
          <cell r="M1667" t="str">
            <v>MỲ, MIẾN</v>
          </cell>
          <cell r="N1667" t="str">
            <v>MỲ ĂN LIỀN</v>
          </cell>
          <cell r="O1667" t="str">
            <v>154198</v>
          </cell>
          <cell r="P1667" t="str">
            <v>4979397000145</v>
          </cell>
          <cell r="Q1667" t="str">
            <v>YAMAMOTO_Mì ramen ăn liền vị miso 90g*5</v>
          </cell>
          <cell r="R1667">
            <v>99000</v>
          </cell>
          <cell r="S1667">
            <v>1</v>
          </cell>
          <cell r="T1667">
            <v>99000</v>
          </cell>
          <cell r="U1667">
            <v>0</v>
          </cell>
          <cell r="V1667">
            <v>99000</v>
          </cell>
          <cell r="W1667" t="str">
            <v>4979397000145</v>
          </cell>
        </row>
        <row r="1668">
          <cell r="A1668">
            <v>2026</v>
          </cell>
          <cell r="B1668">
            <v>4</v>
          </cell>
          <cell r="C1668">
            <v>46130</v>
          </cell>
          <cell r="D1668" t="str">
            <v>1. SKK store</v>
          </cell>
          <cell r="E1668" t="str">
            <v>S1008</v>
          </cell>
          <cell r="F1668" t="str">
            <v>SKK  Hàng Bông</v>
          </cell>
          <cell r="G1668" t="str">
            <v>02466810202</v>
          </cell>
          <cell r="H1668" t="str">
            <v>KH Tây</v>
          </cell>
          <cell r="I1668" t="str">
            <v>Khách vãng lai</v>
          </cell>
          <cell r="J1668" t="str">
            <v>Đơn bán</v>
          </cell>
          <cell r="K1668" t="str">
            <v>SAKUKO745006</v>
          </cell>
          <cell r="L1668" t="str">
            <v>CHĂM SÓC SẮC ĐẸP</v>
          </cell>
          <cell r="M1668" t="str">
            <v>CHĂM SÓC DA</v>
          </cell>
          <cell r="N1668" t="str">
            <v>CHĂM SÓC DA KHÁC</v>
          </cell>
          <cell r="O1668" t="str">
            <v>102387</v>
          </cell>
          <cell r="P1668" t="str">
            <v>8935006542907</v>
          </cell>
          <cell r="Q1668" t="str">
            <v>HADA LABO- Bộ sản phẩm dưỡng ẩm (travel kit)47g</v>
          </cell>
          <cell r="R1668">
            <v>129000</v>
          </cell>
          <cell r="S1668">
            <v>1</v>
          </cell>
          <cell r="T1668">
            <v>129000</v>
          </cell>
          <cell r="U1668">
            <v>0</v>
          </cell>
          <cell r="V1668">
            <v>129000</v>
          </cell>
          <cell r="W1668" t="str">
            <v>8935006542907</v>
          </cell>
        </row>
        <row r="1669">
          <cell r="A1669">
            <v>2026</v>
          </cell>
          <cell r="B1669">
            <v>4</v>
          </cell>
          <cell r="C1669">
            <v>46130</v>
          </cell>
          <cell r="D1669" t="str">
            <v>1. SKK store</v>
          </cell>
          <cell r="E1669" t="str">
            <v>S1008</v>
          </cell>
          <cell r="F1669" t="str">
            <v>SKK  Hàng Bông</v>
          </cell>
          <cell r="G1669" t="str">
            <v>02466810202</v>
          </cell>
          <cell r="H1669" t="str">
            <v>KH Tây</v>
          </cell>
          <cell r="I1669" t="str">
            <v>Khách vãng lai</v>
          </cell>
          <cell r="J1669" t="str">
            <v>Đơn bán</v>
          </cell>
          <cell r="K1669" t="str">
            <v>SAKUKO745040</v>
          </cell>
          <cell r="L1669" t="str">
            <v>CHĂM SÓC SẮC ĐẸP</v>
          </cell>
          <cell r="M1669" t="str">
            <v>CHĂM SÓC DA</v>
          </cell>
          <cell r="N1669" t="str">
            <v>KEM DƯỠNG</v>
          </cell>
          <cell r="O1669" t="str">
            <v>102384</v>
          </cell>
          <cell r="P1669" t="str">
            <v>4902468820014</v>
          </cell>
          <cell r="Q1669" t="str">
            <v>MEISHOKU- Kem gel dưỡng ẩm phục hồi chuyên sâu 50g</v>
          </cell>
          <cell r="R1669">
            <v>290000</v>
          </cell>
          <cell r="S1669">
            <v>1</v>
          </cell>
          <cell r="T1669">
            <v>290000</v>
          </cell>
          <cell r="U1669">
            <v>0</v>
          </cell>
          <cell r="V1669">
            <v>290000</v>
          </cell>
          <cell r="W1669" t="str">
            <v>4902468820014</v>
          </cell>
        </row>
        <row r="1670">
          <cell r="A1670">
            <v>2026</v>
          </cell>
          <cell r="B1670">
            <v>4</v>
          </cell>
          <cell r="C1670">
            <v>46130</v>
          </cell>
          <cell r="D1670" t="str">
            <v>1. SKK store</v>
          </cell>
          <cell r="E1670" t="str">
            <v>S1008</v>
          </cell>
          <cell r="F1670" t="str">
            <v>SKK  Hàng Bông</v>
          </cell>
          <cell r="G1670" t="str">
            <v>0962346498</v>
          </cell>
          <cell r="H1670" t="str">
            <v>chị Phong Lan</v>
          </cell>
          <cell r="I1670" t="str">
            <v>Khách cũ</v>
          </cell>
          <cell r="J1670" t="str">
            <v>Đơn bán</v>
          </cell>
          <cell r="K1670" t="str">
            <v>SAKUKO745613</v>
          </cell>
          <cell r="L1670" t="str">
            <v>CHĂM SÓC SẮC ĐẸP</v>
          </cell>
          <cell r="M1670" t="str">
            <v>Mỹ phẩm khác</v>
          </cell>
          <cell r="N1670" t="str">
            <v>PHỤ KIỆN LÀM ĐẸP</v>
          </cell>
          <cell r="O1670" t="str">
            <v>102389</v>
          </cell>
          <cell r="P1670" t="str">
            <v>4969757110652</v>
          </cell>
          <cell r="Q1670" t="str">
            <v>KYOWA- Gói bông tẩy trang 130 miếng</v>
          </cell>
          <cell r="R1670">
            <v>49000</v>
          </cell>
          <cell r="S1670">
            <v>1</v>
          </cell>
          <cell r="T1670">
            <v>49000</v>
          </cell>
          <cell r="U1670">
            <v>0</v>
          </cell>
          <cell r="V1670">
            <v>49000</v>
          </cell>
          <cell r="W1670" t="str">
            <v>4969757110652</v>
          </cell>
        </row>
        <row r="1671">
          <cell r="A1671">
            <v>2026</v>
          </cell>
          <cell r="B1671">
            <v>4</v>
          </cell>
          <cell r="C1671">
            <v>46130</v>
          </cell>
          <cell r="D1671" t="str">
            <v>1. SKK store</v>
          </cell>
          <cell r="E1671" t="str">
            <v>S1018</v>
          </cell>
          <cell r="F1671" t="str">
            <v>SKK Nguyễn Tuân</v>
          </cell>
          <cell r="G1671" t="str">
            <v>02422174499</v>
          </cell>
          <cell r="H1671" t="str">
            <v>klnt</v>
          </cell>
          <cell r="I1671" t="str">
            <v>Khách vãng lai</v>
          </cell>
          <cell r="J1671" t="str">
            <v>Đơn bán</v>
          </cell>
          <cell r="K1671" t="str">
            <v>SAKUKO745388</v>
          </cell>
          <cell r="L1671" t="str">
            <v>THỰC PHẨM</v>
          </cell>
          <cell r="M1671" t="str">
            <v>MỲ, MIẾN</v>
          </cell>
          <cell r="N1671" t="str">
            <v>MỲ CHẾ BIẾN</v>
          </cell>
          <cell r="O1671" t="str">
            <v>174948</v>
          </cell>
          <cell r="P1671" t="str">
            <v>4582114354119</v>
          </cell>
          <cell r="Q1671" t="str">
            <v>SANUKISHISEI- Mì soumen 300g</v>
          </cell>
          <cell r="R1671">
            <v>35000</v>
          </cell>
          <cell r="S1671">
            <v>1</v>
          </cell>
          <cell r="T1671">
            <v>35000</v>
          </cell>
          <cell r="U1671">
            <v>0</v>
          </cell>
          <cell r="V1671">
            <v>35000</v>
          </cell>
          <cell r="W1671" t="str">
            <v>4582114354119</v>
          </cell>
        </row>
        <row r="1672">
          <cell r="A1672">
            <v>2026</v>
          </cell>
          <cell r="B1672">
            <v>4</v>
          </cell>
          <cell r="C1672">
            <v>46130</v>
          </cell>
          <cell r="D1672" t="str">
            <v>1. SKK store</v>
          </cell>
          <cell r="E1672" t="str">
            <v>S1018</v>
          </cell>
          <cell r="F1672" t="str">
            <v>SKK Nguyễn Tuân</v>
          </cell>
          <cell r="G1672" t="str">
            <v>0327714267</v>
          </cell>
          <cell r="H1672" t="str">
            <v>Chị Trang</v>
          </cell>
          <cell r="I1672" t="str">
            <v>Khách mới</v>
          </cell>
          <cell r="J1672" t="str">
            <v>Đơn bán</v>
          </cell>
          <cell r="K1672" t="str">
            <v>SAKUKO745523</v>
          </cell>
          <cell r="L1672" t="str">
            <v>THỰC PHẨM</v>
          </cell>
          <cell r="M1672" t="str">
            <v>MỲ, MIẾN</v>
          </cell>
          <cell r="N1672" t="str">
            <v>MỲ CHẾ BIẾN</v>
          </cell>
          <cell r="O1672" t="str">
            <v>154249</v>
          </cell>
          <cell r="P1672" t="str">
            <v>4517244004627</v>
          </cell>
          <cell r="Q1672" t="str">
            <v>ASAHI_Mì udon khô 400g</v>
          </cell>
          <cell r="R1672">
            <v>69000</v>
          </cell>
          <cell r="S1672">
            <v>1</v>
          </cell>
          <cell r="T1672">
            <v>69000</v>
          </cell>
          <cell r="U1672">
            <v>0</v>
          </cell>
          <cell r="V1672">
            <v>69000</v>
          </cell>
          <cell r="W1672" t="str">
            <v>4517244004627</v>
          </cell>
        </row>
        <row r="1673">
          <cell r="A1673">
            <v>2026</v>
          </cell>
          <cell r="B1673">
            <v>4</v>
          </cell>
          <cell r="C1673">
            <v>46130</v>
          </cell>
          <cell r="D1673" t="str">
            <v>1. SKK store</v>
          </cell>
          <cell r="E1673" t="str">
            <v>S1018</v>
          </cell>
          <cell r="F1673" t="str">
            <v>SKK Nguyễn Tuân</v>
          </cell>
          <cell r="G1673" t="str">
            <v>0936097247</v>
          </cell>
          <cell r="H1673" t="str">
            <v>Chị Hoa</v>
          </cell>
          <cell r="I1673" t="str">
            <v>Khách cũ</v>
          </cell>
          <cell r="J1673" t="str">
            <v>Đơn bán</v>
          </cell>
          <cell r="K1673" t="str">
            <v>SAKUKO745661</v>
          </cell>
          <cell r="L1673" t="str">
            <v>THỰC PHẨM</v>
          </cell>
          <cell r="M1673" t="str">
            <v>MỲ, MIẾN</v>
          </cell>
          <cell r="N1673" t="str">
            <v>MỲ CHẾ BIẾN</v>
          </cell>
          <cell r="O1673" t="str">
            <v>175435</v>
          </cell>
          <cell r="P1673" t="str">
            <v>4901726014752</v>
          </cell>
          <cell r="Q1673" t="str">
            <v>ITSUKI FOODS- Mì soumen rau củ ngũ sắc320g</v>
          </cell>
          <cell r="R1673">
            <v>76000</v>
          </cell>
          <cell r="S1673">
            <v>1</v>
          </cell>
          <cell r="T1673">
            <v>76000</v>
          </cell>
          <cell r="U1673">
            <v>0</v>
          </cell>
          <cell r="V1673">
            <v>76000</v>
          </cell>
          <cell r="W1673" t="str">
            <v>4901726014752</v>
          </cell>
        </row>
        <row r="1674">
          <cell r="A1674">
            <v>2026</v>
          </cell>
          <cell r="B1674">
            <v>4</v>
          </cell>
          <cell r="C1674">
            <v>46130</v>
          </cell>
          <cell r="D1674" t="str">
            <v>1. SKK store</v>
          </cell>
          <cell r="E1674" t="str">
            <v>S1025</v>
          </cell>
          <cell r="F1674" t="str">
            <v>SKK T6 Time City</v>
          </cell>
          <cell r="G1674" t="str">
            <v>0943161987</v>
          </cell>
          <cell r="H1674" t="str">
            <v>C TRẦN THÚY QUỲNH</v>
          </cell>
          <cell r="I1674" t="str">
            <v>Khách cũ</v>
          </cell>
          <cell r="J1674" t="str">
            <v>Đơn bán</v>
          </cell>
          <cell r="K1674" t="str">
            <v>SAKUKO745159</v>
          </cell>
          <cell r="L1674" t="str">
            <v>THỰC PHẨM</v>
          </cell>
          <cell r="M1674" t="str">
            <v>BÁNH KẸO, ĐỒ ĂN VẶT</v>
          </cell>
          <cell r="N1674" t="str">
            <v>KẸO</v>
          </cell>
          <cell r="O1674" t="str">
            <v>231376</v>
          </cell>
          <cell r="P1674" t="str">
            <v>4903333228577</v>
          </cell>
          <cell r="Q1674" t="str">
            <v>LOTTE-Kẹo cao su tổng hợp 7 loại dạng lọ 133g</v>
          </cell>
          <cell r="R1674">
            <v>199000</v>
          </cell>
          <cell r="S1674">
            <v>1</v>
          </cell>
          <cell r="T1674">
            <v>199000</v>
          </cell>
          <cell r="U1674">
            <v>0</v>
          </cell>
          <cell r="V1674">
            <v>199000</v>
          </cell>
          <cell r="W1674" t="str">
            <v>4903333228577</v>
          </cell>
        </row>
        <row r="1675">
          <cell r="A1675">
            <v>2026</v>
          </cell>
          <cell r="B1675">
            <v>4</v>
          </cell>
          <cell r="C1675">
            <v>46130</v>
          </cell>
          <cell r="D1675" t="str">
            <v>1. SKK store</v>
          </cell>
          <cell r="E1675" t="str">
            <v>S1025</v>
          </cell>
          <cell r="F1675" t="str">
            <v>SKK T6 Time City</v>
          </cell>
          <cell r="G1675" t="str">
            <v>0988839359</v>
          </cell>
          <cell r="H1675" t="str">
            <v>Chị Nguyễn Xuân Mai</v>
          </cell>
          <cell r="I1675" t="str">
            <v>Khách cũ</v>
          </cell>
          <cell r="J1675" t="str">
            <v>Đơn bán</v>
          </cell>
          <cell r="K1675" t="str">
            <v>SAKUKO744976</v>
          </cell>
          <cell r="L1675" t="str">
            <v>THỰC PHẨM</v>
          </cell>
          <cell r="M1675" t="str">
            <v>MỲ, MIẾN</v>
          </cell>
          <cell r="N1675" t="str">
            <v>MỲ ĂN LIỀN</v>
          </cell>
          <cell r="O1675" t="str">
            <v>154359</v>
          </cell>
          <cell r="P1675" t="str">
            <v>4979397000138</v>
          </cell>
          <cell r="Q1675" t="str">
            <v>YAMAMOTO- Mì ramen ăn liền hải sản thịt heo 88g*5</v>
          </cell>
          <cell r="R1675">
            <v>54450</v>
          </cell>
          <cell r="S1675">
            <v>2</v>
          </cell>
          <cell r="T1675">
            <v>108900</v>
          </cell>
          <cell r="U1675">
            <v>0</v>
          </cell>
          <cell r="V1675">
            <v>108900</v>
          </cell>
          <cell r="W1675" t="str">
            <v>4979397000138</v>
          </cell>
        </row>
        <row r="1676">
          <cell r="A1676">
            <v>2026</v>
          </cell>
          <cell r="B1676">
            <v>4</v>
          </cell>
          <cell r="C1676">
            <v>46129</v>
          </cell>
          <cell r="D1676" t="str">
            <v>1. SKK store</v>
          </cell>
          <cell r="E1676" t="str">
            <v>S1004</v>
          </cell>
          <cell r="F1676" t="str">
            <v>SKK  Mandarin C1</v>
          </cell>
          <cell r="G1676" t="str">
            <v>0913220222</v>
          </cell>
          <cell r="H1676" t="str">
            <v>Dao Ton toàn</v>
          </cell>
          <cell r="I1676" t="str">
            <v>Khách cũ</v>
          </cell>
          <cell r="J1676" t="str">
            <v>Đơn bán</v>
          </cell>
          <cell r="K1676" t="str">
            <v>SAKUKO743814</v>
          </cell>
          <cell r="L1676" t="str">
            <v>CHĂM SÓC SẮC ĐẸP</v>
          </cell>
          <cell r="M1676" t="str">
            <v>Mỹ phẩm khác</v>
          </cell>
          <cell r="N1676" t="str">
            <v>PHỤ KIỆN LÀM ĐẸP</v>
          </cell>
          <cell r="O1676" t="str">
            <v>102391</v>
          </cell>
          <cell r="P1676" t="str">
            <v>4991203205759</v>
          </cell>
          <cell r="Q1676" t="str">
            <v>ECHO - Khăn mặt dạng nén 20v size 26x16cm</v>
          </cell>
          <cell r="R1676">
            <v>45000</v>
          </cell>
          <cell r="S1676">
            <v>1</v>
          </cell>
          <cell r="T1676">
            <v>45000</v>
          </cell>
          <cell r="U1676">
            <v>0</v>
          </cell>
          <cell r="V1676">
            <v>45000</v>
          </cell>
          <cell r="W1676" t="str">
            <v>4991203205759</v>
          </cell>
        </row>
        <row r="1677">
          <cell r="A1677">
            <v>2026</v>
          </cell>
          <cell r="B1677">
            <v>4</v>
          </cell>
          <cell r="C1677">
            <v>46129</v>
          </cell>
          <cell r="D1677" t="str">
            <v>1. SKK store</v>
          </cell>
          <cell r="E1677" t="str">
            <v>S1004</v>
          </cell>
          <cell r="F1677" t="str">
            <v>SKK  Mandarin C1</v>
          </cell>
          <cell r="G1677" t="str">
            <v>0938566876</v>
          </cell>
          <cell r="H1677" t="str">
            <v>chị tuệ vân</v>
          </cell>
          <cell r="I1677" t="str">
            <v>Khách cũ</v>
          </cell>
          <cell r="J1677" t="str">
            <v>Đơn bán</v>
          </cell>
          <cell r="K1677" t="str">
            <v>SAKUKO744014</v>
          </cell>
          <cell r="L1677" t="str">
            <v>CHĂM SÓC SẮC ĐẸP</v>
          </cell>
          <cell r="M1677" t="str">
            <v>CHĂM SÓC DA</v>
          </cell>
          <cell r="N1677" t="str">
            <v>CHĂM SÓC DA KHÁC</v>
          </cell>
          <cell r="O1677" t="str">
            <v>102387</v>
          </cell>
          <cell r="P1677" t="str">
            <v>8935006542907</v>
          </cell>
          <cell r="Q1677" t="str">
            <v>HADA LABO- Bộ sản phẩm dưỡng ẩm (travel kit)47g</v>
          </cell>
          <cell r="R1677">
            <v>129000</v>
          </cell>
          <cell r="S1677">
            <v>1</v>
          </cell>
          <cell r="T1677">
            <v>129000</v>
          </cell>
          <cell r="U1677">
            <v>0</v>
          </cell>
          <cell r="V1677">
            <v>129000</v>
          </cell>
          <cell r="W1677" t="str">
            <v>8935006542907</v>
          </cell>
        </row>
        <row r="1678">
          <cell r="A1678">
            <v>2026</v>
          </cell>
          <cell r="B1678">
            <v>4</v>
          </cell>
          <cell r="C1678">
            <v>46129</v>
          </cell>
          <cell r="D1678" t="str">
            <v>1. SKK store</v>
          </cell>
          <cell r="E1678" t="str">
            <v>S1004</v>
          </cell>
          <cell r="F1678" t="str">
            <v>SKK  Mandarin C1</v>
          </cell>
          <cell r="G1678" t="str">
            <v>0983681283</v>
          </cell>
          <cell r="H1678" t="str">
            <v>CHI PHUONG ANH</v>
          </cell>
          <cell r="I1678" t="str">
            <v>Khách cũ</v>
          </cell>
          <cell r="J1678" t="str">
            <v>Đơn bán</v>
          </cell>
          <cell r="K1678" t="str">
            <v>SAKUKO744504</v>
          </cell>
          <cell r="L1678" t="str">
            <v>NHÀ CỬA ĐỜI SỐNG</v>
          </cell>
          <cell r="M1678" t="str">
            <v>PHÒNG CHỐNG CÔN TRÙNG</v>
          </cell>
          <cell r="N1678" t="str">
            <v>DIỆT CÔN TRÙNG</v>
          </cell>
          <cell r="O1678" t="str">
            <v>134479</v>
          </cell>
          <cell r="P1678" t="str">
            <v>4987115545892</v>
          </cell>
          <cell r="Q1678" t="str">
            <v>KINCHO-DD làm thơm phòng và đuổi muỗi Hoa SIBERIAN</v>
          </cell>
          <cell r="R1678">
            <v>239000</v>
          </cell>
          <cell r="S1678">
            <v>2</v>
          </cell>
          <cell r="T1678">
            <v>478000</v>
          </cell>
          <cell r="U1678">
            <v>0</v>
          </cell>
          <cell r="V1678">
            <v>478000</v>
          </cell>
          <cell r="W1678" t="str">
            <v>4987115545892</v>
          </cell>
        </row>
        <row r="1679">
          <cell r="A1679">
            <v>2026</v>
          </cell>
          <cell r="B1679">
            <v>4</v>
          </cell>
          <cell r="C1679">
            <v>46129</v>
          </cell>
          <cell r="D1679" t="str">
            <v>1. SKK store</v>
          </cell>
          <cell r="E1679" t="str">
            <v>S1004</v>
          </cell>
          <cell r="F1679" t="str">
            <v>SKK  Mandarin C1</v>
          </cell>
          <cell r="G1679" t="str">
            <v>0983681283</v>
          </cell>
          <cell r="H1679" t="str">
            <v>CHI PHUONG ANH</v>
          </cell>
          <cell r="I1679" t="str">
            <v>Khách cũ</v>
          </cell>
          <cell r="J1679" t="str">
            <v>Đơn bán</v>
          </cell>
          <cell r="K1679" t="str">
            <v>SAKUKO744504</v>
          </cell>
          <cell r="L1679" t="str">
            <v>NHÀ CỬA ĐỜI SỐNG</v>
          </cell>
          <cell r="M1679" t="str">
            <v>PHÒNG CHỐNG CÔN TRÙNG</v>
          </cell>
          <cell r="N1679" t="str">
            <v>DIỆT CÔN TRÙNG</v>
          </cell>
          <cell r="O1679" t="str">
            <v>134480</v>
          </cell>
          <cell r="P1679" t="str">
            <v>4987115545885</v>
          </cell>
          <cell r="Q1679" t="str">
            <v>KINCHO-DD làm thơm phòng và đuổi muỗi (trái cây)</v>
          </cell>
          <cell r="R1679">
            <v>239000</v>
          </cell>
          <cell r="S1679">
            <v>1</v>
          </cell>
          <cell r="T1679">
            <v>239000</v>
          </cell>
          <cell r="U1679">
            <v>0</v>
          </cell>
          <cell r="V1679">
            <v>239000</v>
          </cell>
          <cell r="W1679" t="str">
            <v>4987115545885</v>
          </cell>
        </row>
        <row r="1680">
          <cell r="A1680">
            <v>2026</v>
          </cell>
          <cell r="B1680">
            <v>4</v>
          </cell>
          <cell r="C1680">
            <v>46129</v>
          </cell>
          <cell r="D1680" t="str">
            <v>1. SKK store</v>
          </cell>
          <cell r="E1680" t="str">
            <v>S1005</v>
          </cell>
          <cell r="F1680" t="str">
            <v>SKK  Thái Hà</v>
          </cell>
          <cell r="G1680" t="str">
            <v>0812479496</v>
          </cell>
          <cell r="H1680" t="str">
            <v>em minh chi</v>
          </cell>
          <cell r="I1680" t="str">
            <v>Khách mới</v>
          </cell>
          <cell r="J1680" t="str">
            <v>Đơn bán</v>
          </cell>
          <cell r="K1680" t="str">
            <v>SAKUKO743700</v>
          </cell>
          <cell r="L1680" t="str">
            <v>THỰC PHẨM</v>
          </cell>
          <cell r="M1680" t="str">
            <v>MỲ, MIẾN</v>
          </cell>
          <cell r="N1680" t="str">
            <v>MỲ ĂN LIỀN</v>
          </cell>
          <cell r="O1680" t="str">
            <v>154359</v>
          </cell>
          <cell r="P1680" t="str">
            <v>4979397000138</v>
          </cell>
          <cell r="Q1680" t="str">
            <v>YAMAMOTO- Mì ramen ăn liền hải sản thịt heo 88g*5</v>
          </cell>
          <cell r="R1680">
            <v>99000</v>
          </cell>
          <cell r="S1680">
            <v>1</v>
          </cell>
          <cell r="T1680">
            <v>99000</v>
          </cell>
          <cell r="U1680">
            <v>0</v>
          </cell>
          <cell r="V1680">
            <v>99000</v>
          </cell>
          <cell r="W1680" t="str">
            <v>4979397000138</v>
          </cell>
        </row>
        <row r="1681">
          <cell r="A1681">
            <v>2026</v>
          </cell>
          <cell r="B1681">
            <v>4</v>
          </cell>
          <cell r="C1681">
            <v>46129</v>
          </cell>
          <cell r="D1681" t="str">
            <v>1. SKK store</v>
          </cell>
          <cell r="E1681" t="str">
            <v>S1006</v>
          </cell>
          <cell r="F1681" t="str">
            <v>SKK Trần Đăng Ninh</v>
          </cell>
          <cell r="G1681" t="str">
            <v>0969998916</v>
          </cell>
          <cell r="H1681" t="str">
            <v>Chị Hân</v>
          </cell>
          <cell r="I1681" t="str">
            <v>Khách cũ</v>
          </cell>
          <cell r="J1681" t="str">
            <v>Đơn bán</v>
          </cell>
          <cell r="K1681" t="str">
            <v>SAKUKO744282</v>
          </cell>
          <cell r="L1681" t="str">
            <v>THỰC PHẨM</v>
          </cell>
          <cell r="M1681" t="str">
            <v>MỲ, MIẾN</v>
          </cell>
          <cell r="N1681" t="str">
            <v>MỲ ĂN LIỀN</v>
          </cell>
          <cell r="O1681" t="str">
            <v>154359</v>
          </cell>
          <cell r="P1681" t="str">
            <v>4979397000138</v>
          </cell>
          <cell r="Q1681" t="str">
            <v>YAMAMOTO- Mì ramen ăn liền hải sản thịt heo 88g*5</v>
          </cell>
          <cell r="R1681">
            <v>99000</v>
          </cell>
          <cell r="S1681">
            <v>1</v>
          </cell>
          <cell r="T1681">
            <v>99000</v>
          </cell>
          <cell r="U1681">
            <v>0</v>
          </cell>
          <cell r="V1681">
            <v>99000</v>
          </cell>
          <cell r="W1681" t="str">
            <v>4979397000138</v>
          </cell>
        </row>
        <row r="1682">
          <cell r="A1682">
            <v>2026</v>
          </cell>
          <cell r="B1682">
            <v>4</v>
          </cell>
          <cell r="C1682">
            <v>46129</v>
          </cell>
          <cell r="D1682" t="str">
            <v>1. SKK store</v>
          </cell>
          <cell r="E1682" t="str">
            <v>S1008</v>
          </cell>
          <cell r="F1682" t="str">
            <v>SKK  Hàng Bông</v>
          </cell>
          <cell r="G1682" t="str">
            <v>02466810202</v>
          </cell>
          <cell r="H1682" t="str">
            <v>KH Tây</v>
          </cell>
          <cell r="I1682" t="str">
            <v>Khách vãng lai</v>
          </cell>
          <cell r="J1682" t="str">
            <v>Đơn bán</v>
          </cell>
          <cell r="K1682" t="str">
            <v>SAKUKO743834</v>
          </cell>
          <cell r="L1682" t="str">
            <v>CHĂM SÓC SẮC ĐẸP</v>
          </cell>
          <cell r="M1682" t="str">
            <v>Mỹ phẩm khác</v>
          </cell>
          <cell r="N1682" t="str">
            <v>PHỤ KIỆN LÀM ĐẸP</v>
          </cell>
          <cell r="O1682" t="str">
            <v>102389</v>
          </cell>
          <cell r="P1682" t="str">
            <v>4969757110652</v>
          </cell>
          <cell r="Q1682" t="str">
            <v>KYOWA- Gói bông tẩy trang 130 miếng</v>
          </cell>
          <cell r="R1682">
            <v>49000</v>
          </cell>
          <cell r="S1682">
            <v>1</v>
          </cell>
          <cell r="T1682">
            <v>49000</v>
          </cell>
          <cell r="U1682">
            <v>0</v>
          </cell>
          <cell r="V1682">
            <v>49000</v>
          </cell>
          <cell r="W1682" t="str">
            <v>4969757110652</v>
          </cell>
        </row>
        <row r="1683">
          <cell r="A1683">
            <v>2026</v>
          </cell>
          <cell r="B1683">
            <v>4</v>
          </cell>
          <cell r="C1683">
            <v>46129</v>
          </cell>
          <cell r="D1683" t="str">
            <v>1. SKK store</v>
          </cell>
          <cell r="E1683" t="str">
            <v>S1008</v>
          </cell>
          <cell r="F1683" t="str">
            <v>SKK  Hàng Bông</v>
          </cell>
          <cell r="G1683" t="str">
            <v>02466810202</v>
          </cell>
          <cell r="H1683" t="str">
            <v>KH Tây</v>
          </cell>
          <cell r="I1683" t="str">
            <v>Khách vãng lai</v>
          </cell>
          <cell r="J1683" t="str">
            <v>Đơn bán</v>
          </cell>
          <cell r="K1683" t="str">
            <v>SAKUKO744532</v>
          </cell>
          <cell r="L1683" t="str">
            <v>CHĂM SÓC SẮC ĐẸP</v>
          </cell>
          <cell r="M1683" t="str">
            <v>Mỹ phẩm khác</v>
          </cell>
          <cell r="N1683" t="str">
            <v>PHỤ KIỆN LÀM ĐẸP</v>
          </cell>
          <cell r="O1683" t="str">
            <v>102391</v>
          </cell>
          <cell r="P1683" t="str">
            <v>4991203205759</v>
          </cell>
          <cell r="Q1683" t="str">
            <v>ECHO - Khăn mặt dạng nén 20v size 26x16cm</v>
          </cell>
          <cell r="R1683">
            <v>45000</v>
          </cell>
          <cell r="S1683">
            <v>1</v>
          </cell>
          <cell r="T1683">
            <v>45000</v>
          </cell>
          <cell r="U1683">
            <v>0</v>
          </cell>
          <cell r="V1683">
            <v>45000</v>
          </cell>
          <cell r="W1683" t="str">
            <v>4991203205759</v>
          </cell>
        </row>
        <row r="1684">
          <cell r="A1684">
            <v>2026</v>
          </cell>
          <cell r="B1684">
            <v>4</v>
          </cell>
          <cell r="C1684">
            <v>46129</v>
          </cell>
          <cell r="D1684" t="str">
            <v>1. SKK store</v>
          </cell>
          <cell r="E1684" t="str">
            <v>S1018</v>
          </cell>
          <cell r="F1684" t="str">
            <v>SKK Nguyễn Tuân</v>
          </cell>
          <cell r="G1684" t="str">
            <v>0983695375</v>
          </cell>
          <cell r="H1684" t="str">
            <v>Chị Ánh</v>
          </cell>
          <cell r="I1684" t="str">
            <v>Khách cũ</v>
          </cell>
          <cell r="J1684" t="str">
            <v>Đơn bán</v>
          </cell>
          <cell r="K1684" t="str">
            <v>SAKUKO744074</v>
          </cell>
          <cell r="L1684" t="str">
            <v>THỰC PHẨM</v>
          </cell>
          <cell r="M1684" t="str">
            <v>MỲ, MIẾN</v>
          </cell>
          <cell r="N1684" t="str">
            <v>MỲ CHẾ BIẾN</v>
          </cell>
          <cell r="O1684" t="str">
            <v>175435</v>
          </cell>
          <cell r="P1684" t="str">
            <v>4901726014752</v>
          </cell>
          <cell r="Q1684" t="str">
            <v>ITSUKI FOODS- Mì soumen rau củ ngũ sắc320g</v>
          </cell>
          <cell r="R1684">
            <v>76000</v>
          </cell>
          <cell r="S1684">
            <v>1</v>
          </cell>
          <cell r="T1684">
            <v>76000</v>
          </cell>
          <cell r="U1684">
            <v>0</v>
          </cell>
          <cell r="V1684">
            <v>76000</v>
          </cell>
          <cell r="W1684" t="str">
            <v>4901726014752</v>
          </cell>
        </row>
        <row r="1685">
          <cell r="A1685">
            <v>2026</v>
          </cell>
          <cell r="B1685">
            <v>4</v>
          </cell>
          <cell r="C1685">
            <v>46128</v>
          </cell>
          <cell r="D1685" t="str">
            <v>1. SKK store</v>
          </cell>
          <cell r="E1685" t="str">
            <v>S1004</v>
          </cell>
          <cell r="F1685" t="str">
            <v>SKK  Mandarin C1</v>
          </cell>
          <cell r="G1685" t="str">
            <v>0917291070</v>
          </cell>
          <cell r="H1685" t="str">
            <v>Cô Vũ Thị Thanh An</v>
          </cell>
          <cell r="I1685" t="str">
            <v>Khách cũ</v>
          </cell>
          <cell r="J1685" t="str">
            <v>Đơn bán</v>
          </cell>
          <cell r="K1685" t="str">
            <v>SAKUKO742605</v>
          </cell>
          <cell r="L1685" t="str">
            <v>NHÀ CỬA ĐỜI SỐNG</v>
          </cell>
          <cell r="M1685" t="str">
            <v>ĐỒ DÙNG SINH HOẠT GIA ĐÌNH</v>
          </cell>
          <cell r="N1685" t="str">
            <v>VẬT DỤNG SINH HOẠT KHÁC</v>
          </cell>
          <cell r="O1685" t="str">
            <v>135039</v>
          </cell>
          <cell r="P1685" t="str">
            <v>4968988074993</v>
          </cell>
          <cell r="Q1685" t="str">
            <v>OMAICHI- Set 2 lọ chiết mỹ phẩm 40ml kèm hộp đựng</v>
          </cell>
          <cell r="R1685">
            <v>52000</v>
          </cell>
          <cell r="S1685">
            <v>1</v>
          </cell>
          <cell r="T1685">
            <v>52000</v>
          </cell>
          <cell r="U1685">
            <v>0</v>
          </cell>
          <cell r="V1685">
            <v>52000</v>
          </cell>
          <cell r="W1685" t="str">
            <v>4968988074993</v>
          </cell>
        </row>
        <row r="1686">
          <cell r="A1686">
            <v>2026</v>
          </cell>
          <cell r="B1686">
            <v>4</v>
          </cell>
          <cell r="C1686">
            <v>46128</v>
          </cell>
          <cell r="D1686" t="str">
            <v>1. SKK store</v>
          </cell>
          <cell r="E1686" t="str">
            <v>S1005</v>
          </cell>
          <cell r="F1686" t="str">
            <v>SKK  Thái Hà</v>
          </cell>
          <cell r="G1686" t="str">
            <v>0934489998</v>
          </cell>
          <cell r="H1686" t="str">
            <v>Cô Liên</v>
          </cell>
          <cell r="I1686" t="str">
            <v>Khách cũ</v>
          </cell>
          <cell r="J1686" t="str">
            <v>Đơn bán</v>
          </cell>
          <cell r="K1686" t="str">
            <v>SAKUKO742441</v>
          </cell>
          <cell r="L1686" t="str">
            <v>THỰC PHẨM</v>
          </cell>
          <cell r="M1686" t="str">
            <v>MỲ, MIẾN</v>
          </cell>
          <cell r="N1686" t="str">
            <v>MỲ ĂN LIỀN</v>
          </cell>
          <cell r="O1686" t="str">
            <v>153693</v>
          </cell>
          <cell r="P1686" t="str">
            <v>4902881066440</v>
          </cell>
          <cell r="Q1686" t="str">
            <v>MYOJO- Mỳ ramen vị miso 5 gói</v>
          </cell>
          <cell r="R1686">
            <v>105000</v>
          </cell>
          <cell r="S1686">
            <v>1</v>
          </cell>
          <cell r="T1686">
            <v>105000</v>
          </cell>
          <cell r="U1686">
            <v>0</v>
          </cell>
          <cell r="V1686">
            <v>105000</v>
          </cell>
          <cell r="W1686" t="str">
            <v>4902881066440</v>
          </cell>
        </row>
        <row r="1687">
          <cell r="A1687">
            <v>2026</v>
          </cell>
          <cell r="B1687">
            <v>4</v>
          </cell>
          <cell r="C1687">
            <v>46128</v>
          </cell>
          <cell r="D1687" t="str">
            <v>1. SKK store</v>
          </cell>
          <cell r="E1687" t="str">
            <v>S1006</v>
          </cell>
          <cell r="F1687" t="str">
            <v>SKK Trần Đăng Ninh</v>
          </cell>
          <cell r="G1687" t="str">
            <v>0355347689</v>
          </cell>
          <cell r="H1687" t="str">
            <v>CHỊ QUỲNH</v>
          </cell>
          <cell r="I1687" t="str">
            <v>Khách cũ</v>
          </cell>
          <cell r="J1687" t="str">
            <v>Đơn bán</v>
          </cell>
          <cell r="K1687" t="str">
            <v>SAKUKO743132</v>
          </cell>
          <cell r="L1687" t="str">
            <v>THỰC PHẨM</v>
          </cell>
          <cell r="M1687" t="str">
            <v>BÁNH KẸO, ĐỒ ĂN VẶT</v>
          </cell>
          <cell r="N1687" t="str">
            <v>KẸO CAO SU</v>
          </cell>
          <cell r="O1687" t="str">
            <v>153932</v>
          </cell>
          <cell r="P1687" t="str">
            <v>4903333241651</v>
          </cell>
          <cell r="Q1687" t="str">
            <v>LOTTE - Kẹo cao su black black ít đường 133g</v>
          </cell>
          <cell r="R1687">
            <v>199000</v>
          </cell>
          <cell r="S1687">
            <v>1</v>
          </cell>
          <cell r="T1687">
            <v>199000</v>
          </cell>
          <cell r="U1687">
            <v>0</v>
          </cell>
          <cell r="V1687">
            <v>199000</v>
          </cell>
          <cell r="W1687" t="str">
            <v>4903333241651</v>
          </cell>
        </row>
        <row r="1688">
          <cell r="A1688">
            <v>2026</v>
          </cell>
          <cell r="B1688">
            <v>4</v>
          </cell>
          <cell r="C1688">
            <v>46128</v>
          </cell>
          <cell r="D1688" t="str">
            <v>1. SKK store</v>
          </cell>
          <cell r="E1688" t="str">
            <v>S1006</v>
          </cell>
          <cell r="F1688" t="str">
            <v>SKK Trần Đăng Ninh</v>
          </cell>
          <cell r="G1688" t="str">
            <v>0862954688</v>
          </cell>
          <cell r="H1688" t="str">
            <v>KLTDN</v>
          </cell>
          <cell r="I1688" t="str">
            <v>Khách vãng lai</v>
          </cell>
          <cell r="J1688" t="str">
            <v>Đơn bán</v>
          </cell>
          <cell r="K1688" t="str">
            <v>SAKUKO742885</v>
          </cell>
          <cell r="L1688" t="str">
            <v>THỰC PHẨM</v>
          </cell>
          <cell r="M1688" t="str">
            <v>BÁNH KẸO, ĐỒ ĂN VẶT</v>
          </cell>
          <cell r="N1688" t="str">
            <v>KẸO CAO SU</v>
          </cell>
          <cell r="O1688" t="str">
            <v>154105</v>
          </cell>
          <cell r="P1688" t="str">
            <v>4547894156612</v>
          </cell>
          <cell r="Q1688" t="str">
            <v>MONDELEZ JAPAN - Kẹo cao su 112g</v>
          </cell>
          <cell r="R1688">
            <v>185000</v>
          </cell>
          <cell r="S1688">
            <v>1</v>
          </cell>
          <cell r="T1688">
            <v>185000</v>
          </cell>
          <cell r="U1688">
            <v>0</v>
          </cell>
          <cell r="V1688">
            <v>185000</v>
          </cell>
          <cell r="W1688" t="str">
            <v>4547894156612</v>
          </cell>
        </row>
        <row r="1689">
          <cell r="A1689">
            <v>2026</v>
          </cell>
          <cell r="B1689">
            <v>4</v>
          </cell>
          <cell r="C1689">
            <v>46128</v>
          </cell>
          <cell r="D1689" t="str">
            <v>1. SKK store</v>
          </cell>
          <cell r="E1689" t="str">
            <v>S1006</v>
          </cell>
          <cell r="F1689" t="str">
            <v>SKK Trần Đăng Ninh</v>
          </cell>
          <cell r="G1689" t="str">
            <v>0903255378</v>
          </cell>
          <cell r="H1689" t="str">
            <v>chị nga</v>
          </cell>
          <cell r="I1689" t="str">
            <v>Khách cũ</v>
          </cell>
          <cell r="J1689" t="str">
            <v>Đơn bán</v>
          </cell>
          <cell r="K1689" t="str">
            <v>SAKUKO743274</v>
          </cell>
          <cell r="L1689" t="str">
            <v>CHĂM SÓC SẮC ĐẸP</v>
          </cell>
          <cell r="M1689" t="str">
            <v>Mỹ phẩm khác</v>
          </cell>
          <cell r="N1689" t="str">
            <v>PHỤ KIỆN LÀM ĐẸP</v>
          </cell>
          <cell r="O1689" t="str">
            <v>102389</v>
          </cell>
          <cell r="P1689" t="str">
            <v>4969757110652</v>
          </cell>
          <cell r="Q1689" t="str">
            <v>KYOWA- Gói bông tẩy trang 130 miếng</v>
          </cell>
          <cell r="R1689">
            <v>49000</v>
          </cell>
          <cell r="S1689">
            <v>1</v>
          </cell>
          <cell r="T1689">
            <v>49000</v>
          </cell>
          <cell r="U1689">
            <v>0</v>
          </cell>
          <cell r="V1689">
            <v>49000</v>
          </cell>
          <cell r="W1689" t="str">
            <v>4969757110652</v>
          </cell>
        </row>
        <row r="1690">
          <cell r="A1690">
            <v>2026</v>
          </cell>
          <cell r="B1690">
            <v>4</v>
          </cell>
          <cell r="C1690">
            <v>46128</v>
          </cell>
          <cell r="D1690" t="str">
            <v>1. SKK store</v>
          </cell>
          <cell r="E1690" t="str">
            <v>S1006</v>
          </cell>
          <cell r="F1690" t="str">
            <v>SKK Trần Đăng Ninh</v>
          </cell>
          <cell r="G1690" t="str">
            <v>0906822345</v>
          </cell>
          <cell r="H1690" t="str">
            <v>cô Thoa</v>
          </cell>
          <cell r="I1690" t="str">
            <v>Khách cũ</v>
          </cell>
          <cell r="J1690" t="str">
            <v>Đơn bán</v>
          </cell>
          <cell r="K1690" t="str">
            <v>SAKUKO742526</v>
          </cell>
          <cell r="L1690" t="str">
            <v>CHĂM SÓC SẮC ĐẸP</v>
          </cell>
          <cell r="M1690" t="str">
            <v>CHĂM SÓC DA</v>
          </cell>
          <cell r="N1690" t="str">
            <v>KEM DƯỠNG</v>
          </cell>
          <cell r="O1690" t="str">
            <v>102384</v>
          </cell>
          <cell r="P1690" t="str">
            <v>4902468820014</v>
          </cell>
          <cell r="Q1690" t="str">
            <v>MEISHOKU- Kem gel dưỡng ẩm phục hồi chuyên sâu 50g</v>
          </cell>
          <cell r="R1690">
            <v>290000</v>
          </cell>
          <cell r="S1690">
            <v>1</v>
          </cell>
          <cell r="T1690">
            <v>290000</v>
          </cell>
          <cell r="U1690">
            <v>0</v>
          </cell>
          <cell r="V1690">
            <v>290000</v>
          </cell>
          <cell r="W1690" t="str">
            <v>4902468820014</v>
          </cell>
        </row>
        <row r="1691">
          <cell r="A1691">
            <v>2026</v>
          </cell>
          <cell r="B1691">
            <v>4</v>
          </cell>
          <cell r="C1691">
            <v>46128</v>
          </cell>
          <cell r="D1691" t="str">
            <v>1. SKK store</v>
          </cell>
          <cell r="E1691" t="str">
            <v>S1006</v>
          </cell>
          <cell r="F1691" t="str">
            <v>SKK Trần Đăng Ninh</v>
          </cell>
          <cell r="G1691" t="str">
            <v>0914331465</v>
          </cell>
          <cell r="H1691" t="str">
            <v>Chị Phương</v>
          </cell>
          <cell r="I1691" t="str">
            <v>Khách cũ</v>
          </cell>
          <cell r="J1691" t="str">
            <v>Đơn bán</v>
          </cell>
          <cell r="K1691" t="str">
            <v>SAKUKO743417</v>
          </cell>
          <cell r="L1691" t="str">
            <v>THỰC PHẨM</v>
          </cell>
          <cell r="M1691" t="str">
            <v>BÁNH KẸO, ĐỒ ĂN VẶT</v>
          </cell>
          <cell r="N1691" t="str">
            <v>KẸO</v>
          </cell>
          <cell r="O1691" t="str">
            <v>231376</v>
          </cell>
          <cell r="P1691" t="str">
            <v>4903333228577</v>
          </cell>
          <cell r="Q1691" t="str">
            <v>LOTTE-Kẹo cao su tổng hợp 7 loại dạng lọ 133g</v>
          </cell>
          <cell r="R1691">
            <v>199000</v>
          </cell>
          <cell r="S1691">
            <v>1</v>
          </cell>
          <cell r="T1691">
            <v>199000</v>
          </cell>
          <cell r="U1691">
            <v>0</v>
          </cell>
          <cell r="V1691">
            <v>199000</v>
          </cell>
          <cell r="W1691" t="str">
            <v>4903333228577</v>
          </cell>
        </row>
        <row r="1692">
          <cell r="A1692">
            <v>2026</v>
          </cell>
          <cell r="B1692">
            <v>4</v>
          </cell>
          <cell r="C1692">
            <v>46128</v>
          </cell>
          <cell r="D1692" t="str">
            <v>1. SKK store</v>
          </cell>
          <cell r="E1692" t="str">
            <v>S1006</v>
          </cell>
          <cell r="F1692" t="str">
            <v>SKK Trần Đăng Ninh</v>
          </cell>
          <cell r="G1692" t="str">
            <v>0916008858</v>
          </cell>
          <cell r="H1692" t="str">
            <v>Chị Hiền</v>
          </cell>
          <cell r="I1692" t="str">
            <v>Khách cũ</v>
          </cell>
          <cell r="J1692" t="str">
            <v>Đơn bán</v>
          </cell>
          <cell r="K1692" t="str">
            <v>SAKUKO743415</v>
          </cell>
          <cell r="L1692" t="str">
            <v>CHĂM SÓC SẮC ĐẸP</v>
          </cell>
          <cell r="M1692" t="str">
            <v>Mỹ phẩm khác</v>
          </cell>
          <cell r="N1692" t="str">
            <v>PHỤ KIỆN LÀM ĐẸP</v>
          </cell>
          <cell r="O1692" t="str">
            <v>102389</v>
          </cell>
          <cell r="P1692" t="str">
            <v>4969757110652</v>
          </cell>
          <cell r="Q1692" t="str">
            <v>KYOWA- Gói bông tẩy trang 130 miếng</v>
          </cell>
          <cell r="R1692">
            <v>49000</v>
          </cell>
          <cell r="S1692">
            <v>1</v>
          </cell>
          <cell r="T1692">
            <v>49000</v>
          </cell>
          <cell r="U1692">
            <v>0</v>
          </cell>
          <cell r="V1692">
            <v>49000</v>
          </cell>
          <cell r="W1692" t="str">
            <v>4969757110652</v>
          </cell>
        </row>
        <row r="1693">
          <cell r="A1693">
            <v>2026</v>
          </cell>
          <cell r="B1693">
            <v>4</v>
          </cell>
          <cell r="C1693">
            <v>46128</v>
          </cell>
          <cell r="D1693" t="str">
            <v>1. SKK store</v>
          </cell>
          <cell r="E1693" t="str">
            <v>S1006</v>
          </cell>
          <cell r="F1693" t="str">
            <v>SKK Trần Đăng Ninh</v>
          </cell>
          <cell r="G1693" t="str">
            <v>0961163939</v>
          </cell>
          <cell r="H1693" t="str">
            <v>Anh Khánh</v>
          </cell>
          <cell r="I1693" t="str">
            <v>Khách cũ</v>
          </cell>
          <cell r="J1693" t="str">
            <v>Đơn bán</v>
          </cell>
          <cell r="K1693" t="str">
            <v>SAKUKO742780</v>
          </cell>
          <cell r="L1693" t="str">
            <v>THỰC PHẨM</v>
          </cell>
          <cell r="M1693" t="str">
            <v>BÁNH KẸO, ĐỒ ĂN VẶT</v>
          </cell>
          <cell r="N1693" t="str">
            <v>KẸO</v>
          </cell>
          <cell r="O1693" t="str">
            <v>231376</v>
          </cell>
          <cell r="P1693" t="str">
            <v>4903333228577</v>
          </cell>
          <cell r="Q1693" t="str">
            <v>LOTTE-Kẹo cao su tổng hợp 7 loại dạng lọ 133g</v>
          </cell>
          <cell r="R1693">
            <v>199000</v>
          </cell>
          <cell r="S1693">
            <v>1</v>
          </cell>
          <cell r="T1693">
            <v>199000</v>
          </cell>
          <cell r="U1693">
            <v>0</v>
          </cell>
          <cell r="V1693">
            <v>199000</v>
          </cell>
          <cell r="W1693" t="str">
            <v>4903333228577</v>
          </cell>
        </row>
        <row r="1694">
          <cell r="A1694">
            <v>2026</v>
          </cell>
          <cell r="B1694">
            <v>4</v>
          </cell>
          <cell r="C1694">
            <v>46128</v>
          </cell>
          <cell r="D1694" t="str">
            <v>1. SKK store</v>
          </cell>
          <cell r="E1694" t="str">
            <v>S1006</v>
          </cell>
          <cell r="F1694" t="str">
            <v>SKK Trần Đăng Ninh</v>
          </cell>
          <cell r="G1694" t="str">
            <v>0983456979</v>
          </cell>
          <cell r="H1694" t="str">
            <v>Anh Khánh</v>
          </cell>
          <cell r="I1694" t="str">
            <v>Khách cũ</v>
          </cell>
          <cell r="J1694" t="str">
            <v>Đơn bán</v>
          </cell>
          <cell r="K1694" t="str">
            <v>SAKUKO742633</v>
          </cell>
          <cell r="L1694" t="str">
            <v>THỰC PHẨM</v>
          </cell>
          <cell r="M1694" t="str">
            <v>BÁNH KẸO, ĐỒ ĂN VẶT</v>
          </cell>
          <cell r="N1694" t="str">
            <v>KẸO CAO SU</v>
          </cell>
          <cell r="O1694" t="str">
            <v>154653</v>
          </cell>
          <cell r="P1694" t="str">
            <v>4547894156650</v>
          </cell>
          <cell r="Q1694" t="str">
            <v>MONDELEZ JAPAN - Kẹo cao su vị bưởi hồng 130g</v>
          </cell>
          <cell r="R1694">
            <v>235000</v>
          </cell>
          <cell r="S1694">
            <v>1</v>
          </cell>
          <cell r="T1694">
            <v>235000</v>
          </cell>
          <cell r="U1694">
            <v>0</v>
          </cell>
          <cell r="V1694">
            <v>235000</v>
          </cell>
          <cell r="W1694" t="str">
            <v>4547894156650</v>
          </cell>
        </row>
        <row r="1695">
          <cell r="A1695">
            <v>2026</v>
          </cell>
          <cell r="B1695">
            <v>4</v>
          </cell>
          <cell r="C1695">
            <v>46128</v>
          </cell>
          <cell r="D1695" t="str">
            <v>1. SKK store</v>
          </cell>
          <cell r="E1695" t="str">
            <v>S1008</v>
          </cell>
          <cell r="F1695" t="str">
            <v>SKK  Hàng Bông</v>
          </cell>
          <cell r="G1695" t="str">
            <v>0916851799</v>
          </cell>
          <cell r="H1695" t="str">
            <v>Trần Thị Thanh Thủy</v>
          </cell>
          <cell r="I1695" t="str">
            <v>Khách cũ</v>
          </cell>
          <cell r="J1695" t="str">
            <v>Đơn bán</v>
          </cell>
          <cell r="K1695" t="str">
            <v>SAKUKO742942</v>
          </cell>
          <cell r="L1695" t="str">
            <v>THỰC PHẨM</v>
          </cell>
          <cell r="M1695" t="str">
            <v>MỲ, MIẾN</v>
          </cell>
          <cell r="N1695" t="str">
            <v>MỲ CHẾ BIẾN</v>
          </cell>
          <cell r="O1695" t="str">
            <v>175435</v>
          </cell>
          <cell r="P1695" t="str">
            <v>4901726014752</v>
          </cell>
          <cell r="Q1695" t="str">
            <v>ITSUKI FOODS- Mì soumen rau củ ngũ sắc320g</v>
          </cell>
          <cell r="R1695">
            <v>76000</v>
          </cell>
          <cell r="S1695">
            <v>1</v>
          </cell>
          <cell r="T1695">
            <v>76000</v>
          </cell>
          <cell r="U1695">
            <v>0</v>
          </cell>
          <cell r="V1695">
            <v>76000</v>
          </cell>
          <cell r="W1695" t="str">
            <v>4901726014752</v>
          </cell>
        </row>
        <row r="1696">
          <cell r="A1696">
            <v>2026</v>
          </cell>
          <cell r="B1696">
            <v>4</v>
          </cell>
          <cell r="C1696">
            <v>46128</v>
          </cell>
          <cell r="D1696" t="str">
            <v>1. SKK store</v>
          </cell>
          <cell r="E1696" t="str">
            <v>S1025</v>
          </cell>
          <cell r="F1696" t="str">
            <v>SKK T6 Time City</v>
          </cell>
          <cell r="G1696" t="str">
            <v>0905937738</v>
          </cell>
          <cell r="H1696" t="str">
            <v>anh Tùng</v>
          </cell>
          <cell r="I1696" t="str">
            <v>Khách cũ</v>
          </cell>
          <cell r="J1696" t="str">
            <v>Đơn bán</v>
          </cell>
          <cell r="K1696" t="str">
            <v>SAKUKO742989</v>
          </cell>
          <cell r="L1696" t="str">
            <v>CHĂM SÓC SẮC ĐẸP</v>
          </cell>
          <cell r="M1696" t="str">
            <v>Mỹ phẩm khác</v>
          </cell>
          <cell r="N1696" t="str">
            <v>PHỤ KIỆN LÀM ĐẸP</v>
          </cell>
          <cell r="O1696" t="str">
            <v>102391</v>
          </cell>
          <cell r="P1696" t="str">
            <v>4991203205759</v>
          </cell>
          <cell r="Q1696" t="str">
            <v>ECHO - Khăn mặt dạng nén 20v size 26x16cm</v>
          </cell>
          <cell r="R1696">
            <v>45000</v>
          </cell>
          <cell r="S1696">
            <v>1</v>
          </cell>
          <cell r="T1696">
            <v>45000</v>
          </cell>
          <cell r="U1696">
            <v>0</v>
          </cell>
          <cell r="V1696">
            <v>45000</v>
          </cell>
          <cell r="W1696" t="str">
            <v>4991203205759</v>
          </cell>
        </row>
        <row r="1697">
          <cell r="A1697">
            <v>2026</v>
          </cell>
          <cell r="B1697">
            <v>4</v>
          </cell>
          <cell r="C1697">
            <v>46128</v>
          </cell>
          <cell r="D1697" t="str">
            <v>1. SKK store</v>
          </cell>
          <cell r="E1697" t="str">
            <v>S1025</v>
          </cell>
          <cell r="F1697" t="str">
            <v>SKK T6 Time City</v>
          </cell>
          <cell r="G1697" t="str">
            <v>0915709929</v>
          </cell>
          <cell r="H1697" t="str">
            <v>Cô Lê Bích Hạnh</v>
          </cell>
          <cell r="I1697" t="str">
            <v>Khách cũ</v>
          </cell>
          <cell r="J1697" t="str">
            <v>Đơn bán</v>
          </cell>
          <cell r="K1697" t="str">
            <v>SAKUKO742702</v>
          </cell>
          <cell r="L1697" t="str">
            <v>THỰC PHẨM</v>
          </cell>
          <cell r="M1697" t="str">
            <v>MỲ, MIẾN</v>
          </cell>
          <cell r="N1697" t="str">
            <v>MỲ CHẾ BIẾN</v>
          </cell>
          <cell r="O1697" t="str">
            <v>174948</v>
          </cell>
          <cell r="P1697" t="str">
            <v>4582114354119</v>
          </cell>
          <cell r="Q1697" t="str">
            <v>SANUKISHISEI- Mì soumen 300g</v>
          </cell>
          <cell r="R1697">
            <v>35000</v>
          </cell>
          <cell r="S1697">
            <v>1</v>
          </cell>
          <cell r="T1697">
            <v>35000</v>
          </cell>
          <cell r="U1697">
            <v>0</v>
          </cell>
          <cell r="V1697">
            <v>35000</v>
          </cell>
          <cell r="W1697" t="str">
            <v>4582114354119</v>
          </cell>
        </row>
        <row r="1698">
          <cell r="A1698">
            <v>2026</v>
          </cell>
          <cell r="B1698">
            <v>4</v>
          </cell>
          <cell r="C1698">
            <v>46127</v>
          </cell>
          <cell r="D1698" t="str">
            <v>1. SKK store</v>
          </cell>
          <cell r="E1698" t="str">
            <v>S1004</v>
          </cell>
          <cell r="F1698" t="str">
            <v>SKK  Mandarin C1</v>
          </cell>
          <cell r="G1698" t="str">
            <v>0948180822</v>
          </cell>
          <cell r="H1698" t="str">
            <v>Chi Sen</v>
          </cell>
          <cell r="I1698" t="str">
            <v>Khách cũ</v>
          </cell>
          <cell r="J1698" t="str">
            <v>Đơn bán</v>
          </cell>
          <cell r="K1698" t="str">
            <v>SAKUKO742208</v>
          </cell>
          <cell r="L1698" t="str">
            <v>THỰC PHẨM</v>
          </cell>
          <cell r="M1698" t="str">
            <v>BÁNH KẸO, ĐỒ ĂN VẶT</v>
          </cell>
          <cell r="N1698" t="str">
            <v>KẸO</v>
          </cell>
          <cell r="O1698" t="str">
            <v>231376</v>
          </cell>
          <cell r="P1698" t="str">
            <v>4903333228577</v>
          </cell>
          <cell r="Q1698" t="str">
            <v>LOTTE-Kẹo cao su tổng hợp 7 loại dạng lọ 133g</v>
          </cell>
          <cell r="R1698">
            <v>199000</v>
          </cell>
          <cell r="S1698">
            <v>1</v>
          </cell>
          <cell r="T1698">
            <v>199000</v>
          </cell>
          <cell r="U1698">
            <v>0</v>
          </cell>
          <cell r="V1698">
            <v>199000</v>
          </cell>
          <cell r="W1698" t="str">
            <v>4903333228577</v>
          </cell>
        </row>
        <row r="1699">
          <cell r="A1699">
            <v>2026</v>
          </cell>
          <cell r="B1699">
            <v>4</v>
          </cell>
          <cell r="C1699">
            <v>46127</v>
          </cell>
          <cell r="D1699" t="str">
            <v>1. SKK store</v>
          </cell>
          <cell r="E1699" t="str">
            <v>S1004</v>
          </cell>
          <cell r="F1699" t="str">
            <v>SKK  Mandarin C1</v>
          </cell>
          <cell r="G1699" t="str">
            <v>0948180822</v>
          </cell>
          <cell r="H1699" t="str">
            <v>Chi Sen</v>
          </cell>
          <cell r="I1699" t="str">
            <v>Khách cũ</v>
          </cell>
          <cell r="J1699" t="str">
            <v>Đơn bán</v>
          </cell>
          <cell r="K1699" t="str">
            <v>SAKUKO742208</v>
          </cell>
          <cell r="L1699" t="str">
            <v>THỰC PHẨM</v>
          </cell>
          <cell r="M1699" t="str">
            <v>BÁNH KẸO, ĐỒ ĂN VẶT</v>
          </cell>
          <cell r="N1699" t="str">
            <v>KẸO CAO SU</v>
          </cell>
          <cell r="O1699" t="str">
            <v>153932</v>
          </cell>
          <cell r="P1699" t="str">
            <v>4903333241651</v>
          </cell>
          <cell r="Q1699" t="str">
            <v>LOTTE - Kẹo cao su black black ít đường 133g</v>
          </cell>
          <cell r="R1699">
            <v>199000</v>
          </cell>
          <cell r="S1699">
            <v>1</v>
          </cell>
          <cell r="T1699">
            <v>199000</v>
          </cell>
          <cell r="U1699">
            <v>0</v>
          </cell>
          <cell r="V1699">
            <v>199000</v>
          </cell>
          <cell r="W1699" t="str">
            <v>4903333241651</v>
          </cell>
        </row>
        <row r="1700">
          <cell r="A1700">
            <v>2026</v>
          </cell>
          <cell r="B1700">
            <v>4</v>
          </cell>
          <cell r="C1700">
            <v>46127</v>
          </cell>
          <cell r="D1700" t="str">
            <v>1. SKK store</v>
          </cell>
          <cell r="E1700" t="str">
            <v>S1006</v>
          </cell>
          <cell r="F1700" t="str">
            <v>SKK Trần Đăng Ninh</v>
          </cell>
          <cell r="G1700" t="str">
            <v>0862954688</v>
          </cell>
          <cell r="H1700" t="str">
            <v>KLTDN</v>
          </cell>
          <cell r="I1700" t="str">
            <v>Khách vãng lai</v>
          </cell>
          <cell r="J1700" t="str">
            <v>Đơn bán</v>
          </cell>
          <cell r="K1700" t="str">
            <v>SAKUKO741976</v>
          </cell>
          <cell r="L1700" t="str">
            <v>CHĂM SÓC SẮC ĐẸP</v>
          </cell>
          <cell r="M1700" t="str">
            <v>CHĂM SÓC DA</v>
          </cell>
          <cell r="N1700" t="str">
            <v>CHĂM SÓC DA KHÁC</v>
          </cell>
          <cell r="O1700" t="str">
            <v>102387</v>
          </cell>
          <cell r="P1700" t="str">
            <v>8935006542907</v>
          </cell>
          <cell r="Q1700" t="str">
            <v>HADA LABO- Bộ sản phẩm dưỡng ẩm (travel kit)47g</v>
          </cell>
          <cell r="R1700">
            <v>129000</v>
          </cell>
          <cell r="S1700">
            <v>1</v>
          </cell>
          <cell r="T1700">
            <v>129000</v>
          </cell>
          <cell r="U1700">
            <v>0</v>
          </cell>
          <cell r="V1700">
            <v>129000</v>
          </cell>
          <cell r="W1700" t="str">
            <v>8935006542907</v>
          </cell>
        </row>
        <row r="1701">
          <cell r="A1701">
            <v>2026</v>
          </cell>
          <cell r="B1701">
            <v>4</v>
          </cell>
          <cell r="C1701">
            <v>46127</v>
          </cell>
          <cell r="D1701" t="str">
            <v>1. SKK store</v>
          </cell>
          <cell r="E1701" t="str">
            <v>S1006</v>
          </cell>
          <cell r="F1701" t="str">
            <v>SKK Trần Đăng Ninh</v>
          </cell>
          <cell r="G1701" t="str">
            <v>0983890066</v>
          </cell>
          <cell r="H1701" t="str">
            <v>Chị Trần Thị Kim Cúc</v>
          </cell>
          <cell r="I1701" t="str">
            <v>Khách cũ</v>
          </cell>
          <cell r="J1701" t="str">
            <v>Đơn bán</v>
          </cell>
          <cell r="K1701" t="str">
            <v>SAKUKO741883</v>
          </cell>
          <cell r="L1701" t="str">
            <v>CHĂM SÓC SẮC ĐẸP</v>
          </cell>
          <cell r="M1701" t="str">
            <v>Mỹ phẩm khác</v>
          </cell>
          <cell r="N1701" t="str">
            <v>PHỤ KIỆN LÀM ĐẸP</v>
          </cell>
          <cell r="O1701" t="str">
            <v>102390</v>
          </cell>
          <cell r="P1701" t="str">
            <v>4906327905980</v>
          </cell>
          <cell r="Q1701" t="str">
            <v>KOMODA - Khăn mặt khô dùng 1 lần 46m 20x20cm</v>
          </cell>
          <cell r="R1701">
            <v>52000</v>
          </cell>
          <cell r="S1701">
            <v>1</v>
          </cell>
          <cell r="T1701">
            <v>52000</v>
          </cell>
          <cell r="U1701">
            <v>0</v>
          </cell>
          <cell r="V1701">
            <v>52000</v>
          </cell>
          <cell r="W1701" t="str">
            <v>4906327905980</v>
          </cell>
        </row>
        <row r="1702">
          <cell r="A1702">
            <v>2026</v>
          </cell>
          <cell r="B1702">
            <v>4</v>
          </cell>
          <cell r="C1702">
            <v>46127</v>
          </cell>
          <cell r="D1702" t="str">
            <v>1. SKK store</v>
          </cell>
          <cell r="E1702" t="str">
            <v>S1007</v>
          </cell>
          <cell r="F1702" t="str">
            <v>SKK  Nguyễn Du</v>
          </cell>
          <cell r="G1702" t="str">
            <v>0913349679</v>
          </cell>
          <cell r="H1702" t="str">
            <v>Hoàng đình tuấn</v>
          </cell>
          <cell r="I1702" t="str">
            <v>Khách cũ</v>
          </cell>
          <cell r="J1702" t="str">
            <v>Đơn bán</v>
          </cell>
          <cell r="K1702" t="str">
            <v>SAKUKO741528</v>
          </cell>
          <cell r="L1702" t="str">
            <v>THỰC PHẨM</v>
          </cell>
          <cell r="M1702" t="str">
            <v>MỲ, MIẾN</v>
          </cell>
          <cell r="N1702" t="str">
            <v>MỲ ĂN LIỀN</v>
          </cell>
          <cell r="O1702" t="str">
            <v>154359</v>
          </cell>
          <cell r="P1702" t="str">
            <v>4979397000138</v>
          </cell>
          <cell r="Q1702" t="str">
            <v>YAMAMOTO- Mì ramen ăn liền hải sản thịt heo 88g*5</v>
          </cell>
          <cell r="R1702">
            <v>99000</v>
          </cell>
          <cell r="S1702">
            <v>1</v>
          </cell>
          <cell r="T1702">
            <v>99000</v>
          </cell>
          <cell r="U1702">
            <v>0</v>
          </cell>
          <cell r="V1702">
            <v>99000</v>
          </cell>
          <cell r="W1702" t="str">
            <v>4979397000138</v>
          </cell>
        </row>
        <row r="1703">
          <cell r="A1703">
            <v>2026</v>
          </cell>
          <cell r="B1703">
            <v>4</v>
          </cell>
          <cell r="C1703">
            <v>46127</v>
          </cell>
          <cell r="D1703" t="str">
            <v>1. SKK store</v>
          </cell>
          <cell r="E1703" t="str">
            <v>S1007</v>
          </cell>
          <cell r="F1703" t="str">
            <v>SKK  Nguyễn Du</v>
          </cell>
          <cell r="G1703" t="str">
            <v>0974689382</v>
          </cell>
          <cell r="H1703" t="str">
            <v>chị uyên</v>
          </cell>
          <cell r="I1703" t="str">
            <v>Khách cũ</v>
          </cell>
          <cell r="J1703" t="str">
            <v>Đơn bán</v>
          </cell>
          <cell r="K1703" t="str">
            <v>SAKUKO741791</v>
          </cell>
          <cell r="L1703" t="str">
            <v>THỰC PHẨM</v>
          </cell>
          <cell r="M1703" t="str">
            <v>MỲ, MIẾN</v>
          </cell>
          <cell r="N1703" t="str">
            <v>MỲ ĂN LIỀN</v>
          </cell>
          <cell r="O1703" t="str">
            <v>154198</v>
          </cell>
          <cell r="P1703" t="str">
            <v>4979397000145</v>
          </cell>
          <cell r="Q1703" t="str">
            <v>YAMAMOTO_Mì ramen ăn liền vị miso 90g*5</v>
          </cell>
          <cell r="R1703">
            <v>99000</v>
          </cell>
          <cell r="S1703">
            <v>1</v>
          </cell>
          <cell r="T1703">
            <v>99000</v>
          </cell>
          <cell r="U1703">
            <v>0</v>
          </cell>
          <cell r="V1703">
            <v>99000</v>
          </cell>
          <cell r="W1703" t="str">
            <v>4979397000145</v>
          </cell>
        </row>
        <row r="1704">
          <cell r="A1704">
            <v>2026</v>
          </cell>
          <cell r="B1704">
            <v>4</v>
          </cell>
          <cell r="C1704">
            <v>46127</v>
          </cell>
          <cell r="D1704" t="str">
            <v>1. SKK store</v>
          </cell>
          <cell r="E1704" t="str">
            <v>S1008</v>
          </cell>
          <cell r="F1704" t="str">
            <v>SKK  Hàng Bông</v>
          </cell>
          <cell r="G1704" t="str">
            <v>02466810202</v>
          </cell>
          <cell r="H1704" t="str">
            <v>KH Tây</v>
          </cell>
          <cell r="I1704" t="str">
            <v>Khách vãng lai</v>
          </cell>
          <cell r="J1704" t="str">
            <v>Đơn bán</v>
          </cell>
          <cell r="K1704" t="str">
            <v>SAKUKO741580</v>
          </cell>
          <cell r="L1704" t="str">
            <v>CHĂM SÓC SẮC ĐẸP</v>
          </cell>
          <cell r="M1704" t="str">
            <v>CHĂM SÓC DA</v>
          </cell>
          <cell r="N1704" t="str">
            <v>RỬA MẶT</v>
          </cell>
          <cell r="O1704" t="str">
            <v>230269</v>
          </cell>
          <cell r="P1704" t="str">
            <v>4987241173242</v>
          </cell>
          <cell r="Q1704" t="str">
            <v>ROHTO- SRM Melano CC mờ thâm nám (130g)</v>
          </cell>
          <cell r="R1704">
            <v>294000</v>
          </cell>
          <cell r="S1704">
            <v>1</v>
          </cell>
          <cell r="T1704">
            <v>294000</v>
          </cell>
          <cell r="U1704">
            <v>0</v>
          </cell>
          <cell r="V1704">
            <v>294000</v>
          </cell>
          <cell r="W1704" t="str">
            <v>4987241173242</v>
          </cell>
        </row>
        <row r="1705">
          <cell r="A1705">
            <v>2026</v>
          </cell>
          <cell r="B1705">
            <v>4</v>
          </cell>
          <cell r="C1705">
            <v>46127</v>
          </cell>
          <cell r="D1705" t="str">
            <v>1. SKK store</v>
          </cell>
          <cell r="E1705" t="str">
            <v>S1018</v>
          </cell>
          <cell r="F1705" t="str">
            <v>SKK Nguyễn Tuân</v>
          </cell>
          <cell r="G1705" t="str">
            <v>0968911192</v>
          </cell>
          <cell r="H1705" t="str">
            <v>chị ngọc anh</v>
          </cell>
          <cell r="I1705" t="str">
            <v>Khách cũ</v>
          </cell>
          <cell r="J1705" t="str">
            <v>Đơn bán</v>
          </cell>
          <cell r="K1705" t="str">
            <v>SAKUKO742222</v>
          </cell>
          <cell r="L1705" t="str">
            <v>THỰC PHẨM</v>
          </cell>
          <cell r="M1705" t="str">
            <v>MỲ, MIẾN</v>
          </cell>
          <cell r="N1705" t="str">
            <v>MỲ CHẾ BIẾN</v>
          </cell>
          <cell r="O1705" t="str">
            <v>175435</v>
          </cell>
          <cell r="P1705" t="str">
            <v>4901726014752</v>
          </cell>
          <cell r="Q1705" t="str">
            <v>ITSUKI FOODS- Mì soumen rau củ ngũ sắc320g</v>
          </cell>
          <cell r="R1705">
            <v>76000</v>
          </cell>
          <cell r="S1705">
            <v>1</v>
          </cell>
          <cell r="T1705">
            <v>76000</v>
          </cell>
          <cell r="U1705">
            <v>0</v>
          </cell>
          <cell r="V1705">
            <v>76000</v>
          </cell>
          <cell r="W1705" t="str">
            <v>4901726014752</v>
          </cell>
        </row>
        <row r="1706">
          <cell r="A1706">
            <v>2026</v>
          </cell>
          <cell r="B1706">
            <v>4</v>
          </cell>
          <cell r="C1706">
            <v>46127</v>
          </cell>
          <cell r="D1706" t="str">
            <v>1. SKK store</v>
          </cell>
          <cell r="E1706" t="str">
            <v>S1025</v>
          </cell>
          <cell r="F1706" t="str">
            <v>SKK T6 Time City</v>
          </cell>
          <cell r="G1706" t="str">
            <v>0902207783</v>
          </cell>
          <cell r="H1706" t="str">
            <v>chị cao thanh phương</v>
          </cell>
          <cell r="I1706" t="str">
            <v>Khách cũ</v>
          </cell>
          <cell r="J1706" t="str">
            <v>Đơn bán</v>
          </cell>
          <cell r="K1706" t="str">
            <v>SAKUKO741913</v>
          </cell>
          <cell r="L1706" t="str">
            <v>THỰC PHẨM</v>
          </cell>
          <cell r="M1706" t="str">
            <v>BÁNH KẸO, ĐỒ ĂN VẶT</v>
          </cell>
          <cell r="N1706" t="str">
            <v>KẸO</v>
          </cell>
          <cell r="O1706" t="str">
            <v>231374</v>
          </cell>
          <cell r="P1706" t="str">
            <v>4547894156315</v>
          </cell>
          <cell r="Q1706" t="str">
            <v>CLORETS-Kẹo cao su hương vị 4 mùa 140g</v>
          </cell>
          <cell r="R1706">
            <v>199000</v>
          </cell>
          <cell r="S1706">
            <v>1</v>
          </cell>
          <cell r="T1706">
            <v>199000</v>
          </cell>
          <cell r="U1706">
            <v>0</v>
          </cell>
          <cell r="V1706">
            <v>199000</v>
          </cell>
          <cell r="W1706" t="str">
            <v>4547894156315</v>
          </cell>
        </row>
        <row r="1707">
          <cell r="A1707">
            <v>2026</v>
          </cell>
          <cell r="B1707">
            <v>4</v>
          </cell>
          <cell r="C1707">
            <v>46126</v>
          </cell>
          <cell r="D1707" t="str">
            <v>1. SKK store</v>
          </cell>
          <cell r="E1707" t="str">
            <v>S1004</v>
          </cell>
          <cell r="F1707" t="str">
            <v>SKK  Mandarin C1</v>
          </cell>
          <cell r="G1707" t="str">
            <v>0903408897</v>
          </cell>
          <cell r="H1707" t="str">
            <v>chú minh</v>
          </cell>
          <cell r="I1707" t="str">
            <v>Khách cũ</v>
          </cell>
          <cell r="J1707" t="str">
            <v>Đơn bán</v>
          </cell>
          <cell r="K1707" t="str">
            <v>SAKUKO740574</v>
          </cell>
          <cell r="L1707" t="str">
            <v>THỰC PHẨM</v>
          </cell>
          <cell r="M1707" t="str">
            <v>BÁNH KẸO, ĐỒ ĂN VẶT</v>
          </cell>
          <cell r="N1707" t="str">
            <v>KẸO</v>
          </cell>
          <cell r="O1707" t="str">
            <v>231374</v>
          </cell>
          <cell r="P1707" t="str">
            <v>4547894156315</v>
          </cell>
          <cell r="Q1707" t="str">
            <v>CLORETS-Kẹo cao su hương vị 4 mùa 140g</v>
          </cell>
          <cell r="R1707">
            <v>199000</v>
          </cell>
          <cell r="S1707">
            <v>1</v>
          </cell>
          <cell r="T1707">
            <v>199000</v>
          </cell>
          <cell r="U1707">
            <v>0</v>
          </cell>
          <cell r="V1707">
            <v>199000</v>
          </cell>
          <cell r="W1707" t="str">
            <v>4547894156315</v>
          </cell>
        </row>
        <row r="1708">
          <cell r="A1708">
            <v>2026</v>
          </cell>
          <cell r="B1708">
            <v>4</v>
          </cell>
          <cell r="C1708">
            <v>46126</v>
          </cell>
          <cell r="D1708" t="str">
            <v>1. SKK store</v>
          </cell>
          <cell r="E1708" t="str">
            <v>S1005</v>
          </cell>
          <cell r="F1708" t="str">
            <v>SKK  Thái Hà</v>
          </cell>
          <cell r="G1708" t="str">
            <v>0963499969</v>
          </cell>
          <cell r="H1708" t="str">
            <v>chị huế</v>
          </cell>
          <cell r="I1708" t="str">
            <v>Khách cũ</v>
          </cell>
          <cell r="J1708" t="str">
            <v>Đơn bán</v>
          </cell>
          <cell r="K1708" t="str">
            <v>SAKUKO740173</v>
          </cell>
          <cell r="L1708" t="str">
            <v>THỰC PHẨM</v>
          </cell>
          <cell r="M1708" t="str">
            <v>MỲ, MIẾN</v>
          </cell>
          <cell r="N1708" t="str">
            <v>MỲ CHẾ BIẾN</v>
          </cell>
          <cell r="O1708" t="str">
            <v>154249</v>
          </cell>
          <cell r="P1708" t="str">
            <v>4517244004627</v>
          </cell>
          <cell r="Q1708" t="str">
            <v>ASAHI_Mì udon khô 400g</v>
          </cell>
          <cell r="R1708">
            <v>69000</v>
          </cell>
          <cell r="S1708">
            <v>1</v>
          </cell>
          <cell r="T1708">
            <v>69000</v>
          </cell>
          <cell r="U1708">
            <v>0</v>
          </cell>
          <cell r="V1708">
            <v>69000</v>
          </cell>
          <cell r="W1708" t="str">
            <v>4517244004627</v>
          </cell>
        </row>
        <row r="1709">
          <cell r="A1709">
            <v>2026</v>
          </cell>
          <cell r="B1709">
            <v>4</v>
          </cell>
          <cell r="C1709">
            <v>46126</v>
          </cell>
          <cell r="D1709" t="str">
            <v>1. SKK store</v>
          </cell>
          <cell r="E1709" t="str">
            <v>S1006</v>
          </cell>
          <cell r="F1709" t="str">
            <v>SKK Trần Đăng Ninh</v>
          </cell>
          <cell r="G1709" t="str">
            <v>0903466619</v>
          </cell>
          <cell r="H1709" t="str">
            <v>chị Huyền</v>
          </cell>
          <cell r="I1709" t="str">
            <v>Khách cũ</v>
          </cell>
          <cell r="J1709" t="str">
            <v>Đơn bán</v>
          </cell>
          <cell r="K1709" t="str">
            <v>SAKUKO740964</v>
          </cell>
          <cell r="L1709" t="str">
            <v>THỰC PHẨM</v>
          </cell>
          <cell r="M1709" t="str">
            <v>BÁNH KẸO, ĐỒ ĂN VẶT</v>
          </cell>
          <cell r="N1709" t="str">
            <v>KẸO</v>
          </cell>
          <cell r="O1709" t="str">
            <v>231376</v>
          </cell>
          <cell r="P1709" t="str">
            <v>4903333228577</v>
          </cell>
          <cell r="Q1709" t="str">
            <v>LOTTE-Kẹo cao su tổng hợp 7 loại dạng lọ 133g</v>
          </cell>
          <cell r="R1709">
            <v>199000</v>
          </cell>
          <cell r="S1709">
            <v>1</v>
          </cell>
          <cell r="T1709">
            <v>199000</v>
          </cell>
          <cell r="U1709">
            <v>0</v>
          </cell>
          <cell r="V1709">
            <v>199000</v>
          </cell>
          <cell r="W1709" t="str">
            <v>4903333228577</v>
          </cell>
        </row>
        <row r="1710">
          <cell r="A1710">
            <v>2026</v>
          </cell>
          <cell r="B1710">
            <v>4</v>
          </cell>
          <cell r="C1710">
            <v>46126</v>
          </cell>
          <cell r="D1710" t="str">
            <v>1. SKK store</v>
          </cell>
          <cell r="E1710" t="str">
            <v>S1006</v>
          </cell>
          <cell r="F1710" t="str">
            <v>SKK Trần Đăng Ninh</v>
          </cell>
          <cell r="G1710" t="str">
            <v>0903466619</v>
          </cell>
          <cell r="H1710" t="str">
            <v>chị Huyền</v>
          </cell>
          <cell r="I1710" t="str">
            <v>Khách cũ</v>
          </cell>
          <cell r="J1710" t="str">
            <v>Đơn bán</v>
          </cell>
          <cell r="K1710" t="str">
            <v>SAKUKO740964</v>
          </cell>
          <cell r="L1710" t="str">
            <v>THỰC PHẨM</v>
          </cell>
          <cell r="M1710" t="str">
            <v>BÁNH KẸO, ĐỒ ĂN VẶT</v>
          </cell>
          <cell r="N1710" t="str">
            <v>KẸO CAO SU</v>
          </cell>
          <cell r="O1710" t="str">
            <v>154653</v>
          </cell>
          <cell r="P1710" t="str">
            <v>4547894156650</v>
          </cell>
          <cell r="Q1710" t="str">
            <v>MONDELEZ JAPAN - Kẹo cao su vị bưởi hồng 130g</v>
          </cell>
          <cell r="R1710">
            <v>235000</v>
          </cell>
          <cell r="S1710">
            <v>1</v>
          </cell>
          <cell r="T1710">
            <v>235000</v>
          </cell>
          <cell r="U1710">
            <v>0</v>
          </cell>
          <cell r="V1710">
            <v>235000</v>
          </cell>
          <cell r="W1710" t="str">
            <v>4547894156650</v>
          </cell>
        </row>
        <row r="1711">
          <cell r="A1711">
            <v>2026</v>
          </cell>
          <cell r="B1711">
            <v>4</v>
          </cell>
          <cell r="C1711">
            <v>46126</v>
          </cell>
          <cell r="D1711" t="str">
            <v>1. SKK store</v>
          </cell>
          <cell r="E1711" t="str">
            <v>S1006</v>
          </cell>
          <cell r="F1711" t="str">
            <v>SKK Trần Đăng Ninh</v>
          </cell>
          <cell r="G1711" t="str">
            <v>0919506969</v>
          </cell>
          <cell r="H1711" t="str">
            <v>chị Dung</v>
          </cell>
          <cell r="I1711" t="str">
            <v>Khách cũ</v>
          </cell>
          <cell r="J1711" t="str">
            <v>Đơn bán</v>
          </cell>
          <cell r="K1711" t="str">
            <v>SAKUKO741104</v>
          </cell>
          <cell r="L1711" t="str">
            <v>THỰC PHẨM</v>
          </cell>
          <cell r="M1711" t="str">
            <v>BÁNH KẸO, ĐỒ ĂN VẶT</v>
          </cell>
          <cell r="N1711" t="str">
            <v>KẸO CAO SU</v>
          </cell>
          <cell r="O1711" t="str">
            <v>153932</v>
          </cell>
          <cell r="P1711" t="str">
            <v>4903333241651</v>
          </cell>
          <cell r="Q1711" t="str">
            <v>LOTTE - Kẹo cao su black black ít đường 133g</v>
          </cell>
          <cell r="R1711">
            <v>199000</v>
          </cell>
          <cell r="S1711">
            <v>1</v>
          </cell>
          <cell r="T1711">
            <v>199000</v>
          </cell>
          <cell r="U1711">
            <v>0</v>
          </cell>
          <cell r="V1711">
            <v>199000</v>
          </cell>
          <cell r="W1711" t="str">
            <v>4903333241651</v>
          </cell>
        </row>
        <row r="1712">
          <cell r="A1712">
            <v>2026</v>
          </cell>
          <cell r="B1712">
            <v>4</v>
          </cell>
          <cell r="C1712">
            <v>46126</v>
          </cell>
          <cell r="D1712" t="str">
            <v>1. SKK store</v>
          </cell>
          <cell r="E1712" t="str">
            <v>S1006</v>
          </cell>
          <cell r="F1712" t="str">
            <v>SKK Trần Đăng Ninh</v>
          </cell>
          <cell r="G1712" t="str">
            <v>0936273809</v>
          </cell>
          <cell r="H1712" t="str">
            <v>Chị Nguyễn Minh Phương</v>
          </cell>
          <cell r="I1712" t="str">
            <v>Khách cũ</v>
          </cell>
          <cell r="J1712" t="str">
            <v>Đơn bán</v>
          </cell>
          <cell r="K1712" t="str">
            <v>SAKUKO740894</v>
          </cell>
          <cell r="L1712" t="str">
            <v>THỰC PHẨM</v>
          </cell>
          <cell r="M1712" t="str">
            <v>MỲ, MIẾN</v>
          </cell>
          <cell r="N1712" t="str">
            <v>MỲ ĂN LIỀN</v>
          </cell>
          <cell r="O1712" t="str">
            <v>154359</v>
          </cell>
          <cell r="P1712" t="str">
            <v>4979397000138</v>
          </cell>
          <cell r="Q1712" t="str">
            <v>YAMAMOTO- Mì ramen ăn liền hải sản thịt heo 88g*5</v>
          </cell>
          <cell r="R1712">
            <v>99000</v>
          </cell>
          <cell r="S1712">
            <v>1</v>
          </cell>
          <cell r="T1712">
            <v>99000</v>
          </cell>
          <cell r="U1712">
            <v>0</v>
          </cell>
          <cell r="V1712">
            <v>99000</v>
          </cell>
          <cell r="W1712" t="str">
            <v>4979397000138</v>
          </cell>
        </row>
        <row r="1713">
          <cell r="A1713">
            <v>2026</v>
          </cell>
          <cell r="B1713">
            <v>4</v>
          </cell>
          <cell r="C1713">
            <v>46126</v>
          </cell>
          <cell r="D1713" t="str">
            <v>1. SKK store</v>
          </cell>
          <cell r="E1713" t="str">
            <v>S1007</v>
          </cell>
          <cell r="F1713" t="str">
            <v>SKK  Nguyễn Du</v>
          </cell>
          <cell r="G1713" t="str">
            <v>0904262728</v>
          </cell>
          <cell r="H1713" t="str">
            <v>đào thị hoà vũ</v>
          </cell>
          <cell r="I1713" t="str">
            <v>Khách cũ</v>
          </cell>
          <cell r="J1713" t="str">
            <v>Đơn bán</v>
          </cell>
          <cell r="K1713" t="str">
            <v>SAKUKO740888</v>
          </cell>
          <cell r="L1713" t="str">
            <v>THỰC PHẨM</v>
          </cell>
          <cell r="M1713" t="str">
            <v>MỲ, MIẾN</v>
          </cell>
          <cell r="N1713" t="str">
            <v>MỲ CHẾ BIẾN</v>
          </cell>
          <cell r="O1713" t="str">
            <v>154249</v>
          </cell>
          <cell r="P1713" t="str">
            <v>4517244004627</v>
          </cell>
          <cell r="Q1713" t="str">
            <v>ASAHI_Mì udon khô 400g</v>
          </cell>
          <cell r="R1713">
            <v>69000</v>
          </cell>
          <cell r="S1713">
            <v>1</v>
          </cell>
          <cell r="T1713">
            <v>69000</v>
          </cell>
          <cell r="U1713">
            <v>0</v>
          </cell>
          <cell r="V1713">
            <v>69000</v>
          </cell>
          <cell r="W1713" t="str">
            <v>4517244004627</v>
          </cell>
        </row>
        <row r="1714">
          <cell r="A1714">
            <v>2026</v>
          </cell>
          <cell r="B1714">
            <v>4</v>
          </cell>
          <cell r="C1714">
            <v>46126</v>
          </cell>
          <cell r="D1714" t="str">
            <v>1. SKK store</v>
          </cell>
          <cell r="E1714" t="str">
            <v>S1008</v>
          </cell>
          <cell r="F1714" t="str">
            <v>SKK  Hàng Bông</v>
          </cell>
          <cell r="G1714" t="str">
            <v>0917291675</v>
          </cell>
          <cell r="H1714" t="str">
            <v>cô Trinh</v>
          </cell>
          <cell r="I1714" t="str">
            <v>Khách cũ</v>
          </cell>
          <cell r="J1714" t="str">
            <v>Đơn bán</v>
          </cell>
          <cell r="K1714" t="str">
            <v>SAKUKO740351</v>
          </cell>
          <cell r="L1714" t="str">
            <v>THỰC PHẨM</v>
          </cell>
          <cell r="M1714" t="str">
            <v>MỲ, MIẾN</v>
          </cell>
          <cell r="N1714" t="str">
            <v>MỲ CHẾ BIẾN</v>
          </cell>
          <cell r="O1714" t="str">
            <v>154249</v>
          </cell>
          <cell r="P1714" t="str">
            <v>4517244004627</v>
          </cell>
          <cell r="Q1714" t="str">
            <v>ASAHI_Mì udon khô 400g</v>
          </cell>
          <cell r="R1714">
            <v>69000</v>
          </cell>
          <cell r="S1714">
            <v>1</v>
          </cell>
          <cell r="T1714">
            <v>69000</v>
          </cell>
          <cell r="U1714">
            <v>0</v>
          </cell>
          <cell r="V1714">
            <v>69000</v>
          </cell>
          <cell r="W1714" t="str">
            <v>4517244004627</v>
          </cell>
        </row>
        <row r="1715">
          <cell r="A1715">
            <v>2026</v>
          </cell>
          <cell r="B1715">
            <v>4</v>
          </cell>
          <cell r="C1715">
            <v>46126</v>
          </cell>
          <cell r="D1715" t="str">
            <v>1. SKK store</v>
          </cell>
          <cell r="E1715" t="str">
            <v>S1025</v>
          </cell>
          <cell r="F1715" t="str">
            <v>SKK T6 Time City</v>
          </cell>
          <cell r="G1715" t="str">
            <v>0386392222</v>
          </cell>
          <cell r="H1715" t="str">
            <v>c Điệp</v>
          </cell>
          <cell r="I1715" t="str">
            <v>Khách cũ</v>
          </cell>
          <cell r="J1715" t="str">
            <v>Đơn bán</v>
          </cell>
          <cell r="K1715" t="str">
            <v>SAKUKO740629</v>
          </cell>
          <cell r="L1715" t="str">
            <v>THỰC PHẨM</v>
          </cell>
          <cell r="M1715" t="str">
            <v>BÁNH KẸO, ĐỒ ĂN VẶT</v>
          </cell>
          <cell r="N1715" t="str">
            <v>KẸO</v>
          </cell>
          <cell r="O1715" t="str">
            <v>231377</v>
          </cell>
          <cell r="P1715" t="str">
            <v>4903333200375</v>
          </cell>
          <cell r="Q1715" t="str">
            <v>LOTTE-Kẹo cao su tổng hợp dạng lọ 114g</v>
          </cell>
          <cell r="R1715">
            <v>199000</v>
          </cell>
          <cell r="S1715">
            <v>1</v>
          </cell>
          <cell r="T1715">
            <v>199000</v>
          </cell>
          <cell r="U1715">
            <v>0</v>
          </cell>
          <cell r="V1715">
            <v>199000</v>
          </cell>
          <cell r="W1715" t="str">
            <v>4903333200375</v>
          </cell>
        </row>
        <row r="1716">
          <cell r="A1716">
            <v>2026</v>
          </cell>
          <cell r="B1716">
            <v>4</v>
          </cell>
          <cell r="C1716">
            <v>46125</v>
          </cell>
          <cell r="D1716" t="str">
            <v>1. SKK store</v>
          </cell>
          <cell r="E1716" t="str">
            <v>S1006</v>
          </cell>
          <cell r="F1716" t="str">
            <v>SKK Trần Đăng Ninh</v>
          </cell>
          <cell r="G1716" t="str">
            <v>0977938989</v>
          </cell>
          <cell r="H1716" t="str">
            <v>Chị Hương</v>
          </cell>
          <cell r="I1716" t="str">
            <v>Khách cũ</v>
          </cell>
          <cell r="J1716" t="str">
            <v>Đơn bán</v>
          </cell>
          <cell r="K1716" t="str">
            <v>SAKUKO738969</v>
          </cell>
          <cell r="L1716" t="str">
            <v>THỰC PHẨM</v>
          </cell>
          <cell r="M1716" t="str">
            <v>MỲ, MIẾN</v>
          </cell>
          <cell r="N1716" t="str">
            <v>MỲ CHẾ BIẾN</v>
          </cell>
          <cell r="O1716" t="str">
            <v>175435</v>
          </cell>
          <cell r="P1716" t="str">
            <v>4901726014752</v>
          </cell>
          <cell r="Q1716" t="str">
            <v>ITSUKI FOODS- Mì soumen rau củ ngũ sắc320g</v>
          </cell>
          <cell r="R1716">
            <v>76000</v>
          </cell>
          <cell r="S1716">
            <v>1</v>
          </cell>
          <cell r="T1716">
            <v>76000</v>
          </cell>
          <cell r="U1716">
            <v>0</v>
          </cell>
          <cell r="V1716">
            <v>76000</v>
          </cell>
          <cell r="W1716" t="str">
            <v>4901726014752</v>
          </cell>
        </row>
        <row r="1717">
          <cell r="A1717">
            <v>2026</v>
          </cell>
          <cell r="B1717">
            <v>4</v>
          </cell>
          <cell r="C1717">
            <v>46125</v>
          </cell>
          <cell r="D1717" t="str">
            <v>1. SKK store</v>
          </cell>
          <cell r="E1717" t="str">
            <v>S1007</v>
          </cell>
          <cell r="F1717" t="str">
            <v>SKK  Nguyễn Du</v>
          </cell>
          <cell r="G1717" t="str">
            <v>0986268073</v>
          </cell>
          <cell r="H1717" t="str">
            <v>chị Huyền</v>
          </cell>
          <cell r="I1717" t="str">
            <v>Khách cũ</v>
          </cell>
          <cell r="J1717" t="str">
            <v>Đơn bán</v>
          </cell>
          <cell r="K1717" t="str">
            <v>SAKUKO739812</v>
          </cell>
          <cell r="L1717" t="str">
            <v>THỰC PHẨM</v>
          </cell>
          <cell r="M1717" t="str">
            <v>MỲ, MIẾN</v>
          </cell>
          <cell r="N1717" t="str">
            <v>MỲ ĂN LIỀN</v>
          </cell>
          <cell r="O1717" t="str">
            <v>154198</v>
          </cell>
          <cell r="P1717" t="str">
            <v>4979397000145</v>
          </cell>
          <cell r="Q1717" t="str">
            <v>YAMAMOTO_Mì ramen ăn liền vị miso 90g*5</v>
          </cell>
          <cell r="R1717">
            <v>99000</v>
          </cell>
          <cell r="S1717">
            <v>1</v>
          </cell>
          <cell r="T1717">
            <v>99000</v>
          </cell>
          <cell r="U1717">
            <v>0</v>
          </cell>
          <cell r="V1717">
            <v>99000</v>
          </cell>
          <cell r="W1717" t="str">
            <v>4979397000145</v>
          </cell>
        </row>
        <row r="1718">
          <cell r="A1718">
            <v>2026</v>
          </cell>
          <cell r="B1718">
            <v>4</v>
          </cell>
          <cell r="C1718">
            <v>46125</v>
          </cell>
          <cell r="D1718" t="str">
            <v>1. SKK store</v>
          </cell>
          <cell r="E1718" t="str">
            <v>S1008</v>
          </cell>
          <cell r="F1718" t="str">
            <v>SKK  Hàng Bông</v>
          </cell>
          <cell r="G1718" t="str">
            <v>0984429889</v>
          </cell>
          <cell r="H1718" t="str">
            <v>Chị Thìn</v>
          </cell>
          <cell r="I1718" t="str">
            <v>Khách cũ</v>
          </cell>
          <cell r="J1718" t="str">
            <v>Đơn bán</v>
          </cell>
          <cell r="K1718" t="str">
            <v>SAKUKO739301</v>
          </cell>
          <cell r="L1718" t="str">
            <v>THỰC PHẨM</v>
          </cell>
          <cell r="M1718" t="str">
            <v>MỲ, MIẾN</v>
          </cell>
          <cell r="N1718" t="str">
            <v>MỲ CHẾ BIẾN</v>
          </cell>
          <cell r="O1718" t="str">
            <v>174948</v>
          </cell>
          <cell r="P1718" t="str">
            <v>4582114354119</v>
          </cell>
          <cell r="Q1718" t="str">
            <v>SANUKISHISEI- Mì soumen 300g</v>
          </cell>
          <cell r="R1718">
            <v>35000</v>
          </cell>
          <cell r="S1718">
            <v>8</v>
          </cell>
          <cell r="T1718">
            <v>280000</v>
          </cell>
          <cell r="U1718">
            <v>0</v>
          </cell>
          <cell r="V1718">
            <v>280000</v>
          </cell>
          <cell r="W1718" t="str">
            <v>4582114354119</v>
          </cell>
        </row>
        <row r="1719">
          <cell r="A1719">
            <v>2026</v>
          </cell>
          <cell r="B1719">
            <v>4</v>
          </cell>
          <cell r="C1719">
            <v>46125</v>
          </cell>
          <cell r="D1719" t="str">
            <v>1. SKK store</v>
          </cell>
          <cell r="E1719" t="str">
            <v>S1015</v>
          </cell>
          <cell r="F1719" t="str">
            <v>SKK Hàm Nghi</v>
          </cell>
          <cell r="G1719" t="str">
            <v>0931498685</v>
          </cell>
          <cell r="H1719" t="str">
            <v>Chị Trang</v>
          </cell>
          <cell r="I1719" t="str">
            <v>Khách cũ</v>
          </cell>
          <cell r="J1719" t="str">
            <v>Đơn bán</v>
          </cell>
          <cell r="K1719" t="str">
            <v>SAKUKO739150</v>
          </cell>
          <cell r="L1719" t="str">
            <v>NHÀ CỬA ĐỜI SỐNG</v>
          </cell>
          <cell r="M1719" t="str">
            <v>PHÒNG CHỐNG CÔN TRÙNG</v>
          </cell>
          <cell r="N1719" t="str">
            <v>DIỆT CÔN TRÙNG</v>
          </cell>
          <cell r="O1719" t="str">
            <v>134478</v>
          </cell>
          <cell r="P1719" t="str">
            <v>4987115545939</v>
          </cell>
          <cell r="Q1719" t="str">
            <v>KINCHO-DD làm thơm phòng đuổi muỗi (không mùi)</v>
          </cell>
          <cell r="R1719">
            <v>199000</v>
          </cell>
          <cell r="S1719">
            <v>2</v>
          </cell>
          <cell r="T1719">
            <v>398000</v>
          </cell>
          <cell r="U1719">
            <v>0</v>
          </cell>
          <cell r="V1719">
            <v>398000</v>
          </cell>
          <cell r="W1719" t="str">
            <v>4987115545939</v>
          </cell>
        </row>
        <row r="1720">
          <cell r="A1720">
            <v>2026</v>
          </cell>
          <cell r="B1720">
            <v>4</v>
          </cell>
          <cell r="C1720">
            <v>46124</v>
          </cell>
          <cell r="D1720" t="str">
            <v>1. SKK store</v>
          </cell>
          <cell r="E1720" t="str">
            <v>S1004</v>
          </cell>
          <cell r="F1720" t="str">
            <v>SKK  Mandarin C1</v>
          </cell>
          <cell r="G1720" t="str">
            <v>0966482882</v>
          </cell>
          <cell r="H1720" t="str">
            <v>Chị Hoa</v>
          </cell>
          <cell r="I1720" t="str">
            <v>Khách cũ</v>
          </cell>
          <cell r="J1720" t="str">
            <v>Đơn bán</v>
          </cell>
          <cell r="K1720" t="str">
            <v>SAKUKO737673</v>
          </cell>
          <cell r="L1720" t="str">
            <v>THỰC PHẨM</v>
          </cell>
          <cell r="M1720" t="str">
            <v>MỲ, MIẾN</v>
          </cell>
          <cell r="N1720" t="str">
            <v>MỲ ĂN LIỀN</v>
          </cell>
          <cell r="O1720" t="str">
            <v>154359</v>
          </cell>
          <cell r="P1720" t="str">
            <v>4979397000138</v>
          </cell>
          <cell r="Q1720" t="str">
            <v>YAMAMOTO- Mì ramen ăn liền hải sản thịt heo 88g*5</v>
          </cell>
          <cell r="R1720">
            <v>99000</v>
          </cell>
          <cell r="S1720">
            <v>1</v>
          </cell>
          <cell r="T1720">
            <v>99000</v>
          </cell>
          <cell r="U1720">
            <v>0</v>
          </cell>
          <cell r="V1720">
            <v>99000</v>
          </cell>
          <cell r="W1720" t="str">
            <v>4979397000138</v>
          </cell>
        </row>
        <row r="1721">
          <cell r="A1721">
            <v>2026</v>
          </cell>
          <cell r="B1721">
            <v>4</v>
          </cell>
          <cell r="C1721">
            <v>46124</v>
          </cell>
          <cell r="D1721" t="str">
            <v>1. SKK store</v>
          </cell>
          <cell r="E1721" t="str">
            <v>S1004</v>
          </cell>
          <cell r="F1721" t="str">
            <v>SKK  Mandarin C1</v>
          </cell>
          <cell r="G1721" t="str">
            <v>0983272377</v>
          </cell>
          <cell r="H1721" t="str">
            <v>Chị Cẩm Vân</v>
          </cell>
          <cell r="I1721" t="str">
            <v>Khách cũ</v>
          </cell>
          <cell r="J1721" t="str">
            <v>Đơn bán</v>
          </cell>
          <cell r="K1721" t="str">
            <v>SAKUKO738750</v>
          </cell>
          <cell r="L1721" t="str">
            <v>THỰC PHẨM</v>
          </cell>
          <cell r="M1721" t="str">
            <v>MỲ, MIẾN</v>
          </cell>
          <cell r="N1721" t="str">
            <v>MỲ ĂN LIỀN</v>
          </cell>
          <cell r="O1721" t="str">
            <v>153693</v>
          </cell>
          <cell r="P1721" t="str">
            <v>4902881066440</v>
          </cell>
          <cell r="Q1721" t="str">
            <v>MYOJO- Mỳ ramen vị miso 5 gói</v>
          </cell>
          <cell r="R1721">
            <v>105000</v>
          </cell>
          <cell r="S1721">
            <v>1</v>
          </cell>
          <cell r="T1721">
            <v>105000</v>
          </cell>
          <cell r="U1721">
            <v>0</v>
          </cell>
          <cell r="V1721">
            <v>105000</v>
          </cell>
          <cell r="W1721" t="str">
            <v>4902881066440</v>
          </cell>
        </row>
        <row r="1722">
          <cell r="A1722">
            <v>2026</v>
          </cell>
          <cell r="B1722">
            <v>4</v>
          </cell>
          <cell r="C1722">
            <v>46124</v>
          </cell>
          <cell r="D1722" t="str">
            <v>1. SKK store</v>
          </cell>
          <cell r="E1722" t="str">
            <v>S1004</v>
          </cell>
          <cell r="F1722" t="str">
            <v>SKK  Mandarin C1</v>
          </cell>
          <cell r="G1722" t="str">
            <v>0983272377</v>
          </cell>
          <cell r="H1722" t="str">
            <v>Chị Cẩm Vân</v>
          </cell>
          <cell r="I1722" t="str">
            <v>Khách cũ</v>
          </cell>
          <cell r="J1722" t="str">
            <v>Đơn bán</v>
          </cell>
          <cell r="K1722" t="str">
            <v>SAKUKO738750</v>
          </cell>
          <cell r="L1722" t="str">
            <v>THỰC PHẨM</v>
          </cell>
          <cell r="M1722" t="str">
            <v>MỲ, MIẾN</v>
          </cell>
          <cell r="N1722" t="str">
            <v>MỲ ĂN LIỀN</v>
          </cell>
          <cell r="O1722" t="str">
            <v>154359</v>
          </cell>
          <cell r="P1722" t="str">
            <v>4979397000138</v>
          </cell>
          <cell r="Q1722" t="str">
            <v>YAMAMOTO- Mì ramen ăn liền hải sản thịt heo 88g*5</v>
          </cell>
          <cell r="R1722">
            <v>99000</v>
          </cell>
          <cell r="S1722">
            <v>1</v>
          </cell>
          <cell r="T1722">
            <v>99000</v>
          </cell>
          <cell r="U1722">
            <v>0</v>
          </cell>
          <cell r="V1722">
            <v>99000</v>
          </cell>
          <cell r="W1722" t="str">
            <v>4979397000138</v>
          </cell>
        </row>
        <row r="1723">
          <cell r="A1723">
            <v>2026</v>
          </cell>
          <cell r="B1723">
            <v>4</v>
          </cell>
          <cell r="C1723">
            <v>46124</v>
          </cell>
          <cell r="D1723" t="str">
            <v>1. SKK store</v>
          </cell>
          <cell r="E1723" t="str">
            <v>S1006</v>
          </cell>
          <cell r="F1723" t="str">
            <v>SKK Trần Đăng Ninh</v>
          </cell>
          <cell r="G1723" t="str">
            <v>0911544259</v>
          </cell>
          <cell r="H1723" t="str">
            <v>Chị người nhậty</v>
          </cell>
          <cell r="I1723" t="str">
            <v>Khách mới</v>
          </cell>
          <cell r="J1723" t="str">
            <v>Đơn bán</v>
          </cell>
          <cell r="K1723" t="str">
            <v>SAKUKO738052</v>
          </cell>
          <cell r="L1723" t="str">
            <v>THỰC PHẨM</v>
          </cell>
          <cell r="M1723" t="str">
            <v>MỲ, MIẾN</v>
          </cell>
          <cell r="N1723" t="str">
            <v>MỲ CHẾ BIẾN</v>
          </cell>
          <cell r="O1723" t="str">
            <v>175435</v>
          </cell>
          <cell r="P1723" t="str">
            <v>4901726014752</v>
          </cell>
          <cell r="Q1723" t="str">
            <v>ITSUKI FOODS- Mì soumen rau củ ngũ sắc320g</v>
          </cell>
          <cell r="R1723">
            <v>76000</v>
          </cell>
          <cell r="S1723">
            <v>1</v>
          </cell>
          <cell r="T1723">
            <v>76000</v>
          </cell>
          <cell r="U1723">
            <v>0</v>
          </cell>
          <cell r="V1723">
            <v>76000</v>
          </cell>
          <cell r="W1723" t="str">
            <v>4901726014752</v>
          </cell>
        </row>
        <row r="1724">
          <cell r="A1724">
            <v>2026</v>
          </cell>
          <cell r="B1724">
            <v>4</v>
          </cell>
          <cell r="C1724">
            <v>46124</v>
          </cell>
          <cell r="D1724" t="str">
            <v>1. SKK store</v>
          </cell>
          <cell r="E1724" t="str">
            <v>S1025</v>
          </cell>
          <cell r="F1724" t="str">
            <v>SKK T6 Time City</v>
          </cell>
          <cell r="G1724" t="str">
            <v>0858682124</v>
          </cell>
          <cell r="H1724" t="str">
            <v>Chị Hiền</v>
          </cell>
          <cell r="I1724" t="str">
            <v>Khách cũ</v>
          </cell>
          <cell r="J1724" t="str">
            <v>Đơn bán</v>
          </cell>
          <cell r="K1724" t="str">
            <v>SAKUKO738747</v>
          </cell>
          <cell r="L1724" t="str">
            <v>THỰC PHẨM</v>
          </cell>
          <cell r="M1724" t="str">
            <v>MỲ, MIẾN</v>
          </cell>
          <cell r="N1724" t="str">
            <v>MỲ CHẾ BIẾN</v>
          </cell>
          <cell r="O1724" t="str">
            <v>175435</v>
          </cell>
          <cell r="P1724" t="str">
            <v>4901726014752</v>
          </cell>
          <cell r="Q1724" t="str">
            <v>ITSUKI FOODS- Mì soumen rau củ ngũ sắc320g</v>
          </cell>
          <cell r="R1724">
            <v>76000</v>
          </cell>
          <cell r="S1724">
            <v>1</v>
          </cell>
          <cell r="T1724">
            <v>76000</v>
          </cell>
          <cell r="U1724">
            <v>0</v>
          </cell>
          <cell r="V1724">
            <v>76000</v>
          </cell>
          <cell r="W1724" t="str">
            <v>4901726014752</v>
          </cell>
        </row>
        <row r="1725">
          <cell r="A1725">
            <v>2026</v>
          </cell>
          <cell r="B1725">
            <v>4</v>
          </cell>
          <cell r="C1725">
            <v>46124</v>
          </cell>
          <cell r="D1725" t="str">
            <v>1. SKK store</v>
          </cell>
          <cell r="E1725" t="str">
            <v>S1025</v>
          </cell>
          <cell r="F1725" t="str">
            <v>SKK T6 Time City</v>
          </cell>
          <cell r="G1725" t="str">
            <v>0903233311</v>
          </cell>
          <cell r="H1725" t="str">
            <v>Anh Nam</v>
          </cell>
          <cell r="I1725" t="str">
            <v>Khách mới</v>
          </cell>
          <cell r="J1725" t="str">
            <v>Đơn bán</v>
          </cell>
          <cell r="K1725" t="str">
            <v>SAKUKO738060</v>
          </cell>
          <cell r="L1725" t="str">
            <v>THỰC PHẨM</v>
          </cell>
          <cell r="M1725" t="str">
            <v>MỲ, MIẾN</v>
          </cell>
          <cell r="N1725" t="str">
            <v>MỲ CHẾ BIẾN</v>
          </cell>
          <cell r="O1725" t="str">
            <v>154251</v>
          </cell>
          <cell r="P1725" t="str">
            <v>4560159440776</v>
          </cell>
          <cell r="Q1725" t="str">
            <v>SATO_Mì soba khô 800g</v>
          </cell>
          <cell r="R1725">
            <v>104000</v>
          </cell>
          <cell r="S1725">
            <v>1</v>
          </cell>
          <cell r="T1725">
            <v>104000</v>
          </cell>
          <cell r="U1725">
            <v>0</v>
          </cell>
          <cell r="V1725">
            <v>104000</v>
          </cell>
          <cell r="W1725" t="str">
            <v>4560159440776</v>
          </cell>
        </row>
        <row r="1726">
          <cell r="A1726">
            <v>2026</v>
          </cell>
          <cell r="B1726">
            <v>4</v>
          </cell>
          <cell r="C1726">
            <v>46124</v>
          </cell>
          <cell r="D1726" t="str">
            <v>1. SKK store</v>
          </cell>
          <cell r="E1726" t="str">
            <v>S1025</v>
          </cell>
          <cell r="F1726" t="str">
            <v>SKK T6 Time City</v>
          </cell>
          <cell r="G1726" t="str">
            <v>0987604036</v>
          </cell>
          <cell r="H1726" t="str">
            <v>cô nguyễn thị Khuyên</v>
          </cell>
          <cell r="I1726" t="str">
            <v>Khách cũ</v>
          </cell>
          <cell r="J1726" t="str">
            <v>Đơn bán</v>
          </cell>
          <cell r="K1726" t="str">
            <v>SAKUKO737714</v>
          </cell>
          <cell r="L1726" t="str">
            <v>THỰC PHẨM</v>
          </cell>
          <cell r="M1726" t="str">
            <v>MỲ, MIẾN</v>
          </cell>
          <cell r="N1726" t="str">
            <v>MỲ CHẾ BIẾN</v>
          </cell>
          <cell r="O1726" t="str">
            <v>154249</v>
          </cell>
          <cell r="P1726" t="str">
            <v>4517244004627</v>
          </cell>
          <cell r="Q1726" t="str">
            <v>ASAHI_Mì udon khô 400g</v>
          </cell>
          <cell r="R1726">
            <v>69000</v>
          </cell>
          <cell r="S1726">
            <v>1</v>
          </cell>
          <cell r="T1726">
            <v>69000</v>
          </cell>
          <cell r="U1726">
            <v>0</v>
          </cell>
          <cell r="V1726">
            <v>69000</v>
          </cell>
          <cell r="W1726" t="str">
            <v>4517244004627</v>
          </cell>
        </row>
        <row r="1727">
          <cell r="A1727">
            <v>2026</v>
          </cell>
          <cell r="B1727">
            <v>4</v>
          </cell>
          <cell r="C1727">
            <v>46123</v>
          </cell>
          <cell r="D1727" t="str">
            <v>1. SKK store</v>
          </cell>
          <cell r="E1727" t="str">
            <v>S1005</v>
          </cell>
          <cell r="F1727" t="str">
            <v>SKK  Thái Hà</v>
          </cell>
          <cell r="G1727" t="str">
            <v>0976036549</v>
          </cell>
          <cell r="H1727" t="str">
            <v>Chị Huệ</v>
          </cell>
          <cell r="I1727" t="str">
            <v>Khách cũ</v>
          </cell>
          <cell r="J1727" t="str">
            <v>Đơn bán</v>
          </cell>
          <cell r="K1727" t="str">
            <v>SAKUKO736105</v>
          </cell>
          <cell r="L1727" t="str">
            <v>THỰC PHẨM</v>
          </cell>
          <cell r="M1727" t="str">
            <v>MỲ, MIẾN</v>
          </cell>
          <cell r="N1727" t="str">
            <v>MỲ CHẾ BIẾN</v>
          </cell>
          <cell r="O1727" t="str">
            <v>174948</v>
          </cell>
          <cell r="P1727" t="str">
            <v>4582114354119</v>
          </cell>
          <cell r="Q1727" t="str">
            <v>SANUKISHISEI- Mì soumen 300g</v>
          </cell>
          <cell r="R1727">
            <v>35000</v>
          </cell>
          <cell r="S1727">
            <v>1</v>
          </cell>
          <cell r="T1727">
            <v>35000</v>
          </cell>
          <cell r="U1727">
            <v>0</v>
          </cell>
          <cell r="V1727">
            <v>35000</v>
          </cell>
          <cell r="W1727" t="str">
            <v>4582114354119</v>
          </cell>
        </row>
        <row r="1728">
          <cell r="A1728">
            <v>2026</v>
          </cell>
          <cell r="B1728">
            <v>4</v>
          </cell>
          <cell r="C1728">
            <v>46123</v>
          </cell>
          <cell r="D1728" t="str">
            <v>1. SKK store</v>
          </cell>
          <cell r="E1728" t="str">
            <v>S1007</v>
          </cell>
          <cell r="F1728" t="str">
            <v>SKK  Nguyễn Du</v>
          </cell>
          <cell r="G1728" t="str">
            <v>0936453817</v>
          </cell>
          <cell r="H1728" t="str">
            <v>Chị Linh</v>
          </cell>
          <cell r="I1728" t="str">
            <v>Khách cũ</v>
          </cell>
          <cell r="J1728" t="str">
            <v>Đơn bán</v>
          </cell>
          <cell r="K1728" t="str">
            <v>SAKUKO735954</v>
          </cell>
          <cell r="L1728" t="str">
            <v>THỰC PHẨM</v>
          </cell>
          <cell r="M1728" t="str">
            <v>MỲ, MIẾN</v>
          </cell>
          <cell r="N1728" t="str">
            <v>MỲ ĂN LIỀN</v>
          </cell>
          <cell r="O1728" t="str">
            <v>154196</v>
          </cell>
          <cell r="P1728" t="str">
            <v>4979397000152</v>
          </cell>
          <cell r="Q1728" t="str">
            <v>YAMAMOTO_Mì xào kiểu Nhật 89g*5</v>
          </cell>
          <cell r="R1728">
            <v>99000</v>
          </cell>
          <cell r="S1728">
            <v>1</v>
          </cell>
          <cell r="T1728">
            <v>99000</v>
          </cell>
          <cell r="U1728">
            <v>0</v>
          </cell>
          <cell r="V1728">
            <v>99000</v>
          </cell>
          <cell r="W1728" t="str">
            <v>4979397000152</v>
          </cell>
        </row>
        <row r="1729">
          <cell r="A1729">
            <v>2026</v>
          </cell>
          <cell r="B1729">
            <v>4</v>
          </cell>
          <cell r="C1729">
            <v>46123</v>
          </cell>
          <cell r="D1729" t="str">
            <v>1. SKK store</v>
          </cell>
          <cell r="E1729" t="str">
            <v>S1008</v>
          </cell>
          <cell r="F1729" t="str">
            <v>SKK  Hàng Bông</v>
          </cell>
          <cell r="G1729" t="str">
            <v>02466810202</v>
          </cell>
          <cell r="H1729" t="str">
            <v>KH Tây</v>
          </cell>
          <cell r="I1729" t="str">
            <v>Khách vãng lai</v>
          </cell>
          <cell r="J1729" t="str">
            <v>Đơn bán</v>
          </cell>
          <cell r="K1729" t="str">
            <v>SAKUKO736723</v>
          </cell>
          <cell r="L1729" t="str">
            <v>THỰC PHẨM</v>
          </cell>
          <cell r="M1729" t="str">
            <v>BÁNH KẸO, ĐỒ ĂN VẶT</v>
          </cell>
          <cell r="N1729" t="str">
            <v>KẸO</v>
          </cell>
          <cell r="O1729" t="str">
            <v>231376</v>
          </cell>
          <cell r="P1729" t="str">
            <v>4903333228577</v>
          </cell>
          <cell r="Q1729" t="str">
            <v>LOTTE-Kẹo cao su tổng hợp 7 loại dạng lọ 133g</v>
          </cell>
          <cell r="R1729">
            <v>199000</v>
          </cell>
          <cell r="S1729">
            <v>1</v>
          </cell>
          <cell r="T1729">
            <v>199000</v>
          </cell>
          <cell r="U1729">
            <v>0</v>
          </cell>
          <cell r="V1729">
            <v>199000</v>
          </cell>
          <cell r="W1729" t="str">
            <v>4903333228577</v>
          </cell>
        </row>
        <row r="1730">
          <cell r="A1730">
            <v>2026</v>
          </cell>
          <cell r="B1730">
            <v>4</v>
          </cell>
          <cell r="C1730">
            <v>46123</v>
          </cell>
          <cell r="D1730" t="str">
            <v>1. SKK store</v>
          </cell>
          <cell r="E1730" t="str">
            <v>S1008</v>
          </cell>
          <cell r="F1730" t="str">
            <v>SKK  Hàng Bông</v>
          </cell>
          <cell r="G1730" t="str">
            <v>02466810202</v>
          </cell>
          <cell r="H1730" t="str">
            <v>KH Tây</v>
          </cell>
          <cell r="I1730" t="str">
            <v>Khách vãng lai</v>
          </cell>
          <cell r="J1730" t="str">
            <v>Đơn bán</v>
          </cell>
          <cell r="K1730" t="str">
            <v>SAKUKO736723</v>
          </cell>
          <cell r="L1730" t="str">
            <v>THỰC PHẨM</v>
          </cell>
          <cell r="M1730" t="str">
            <v>BÁNH KẸO, ĐỒ ĂN VẶT</v>
          </cell>
          <cell r="N1730" t="str">
            <v>KẸO CAO SU</v>
          </cell>
          <cell r="O1730" t="str">
            <v>153932</v>
          </cell>
          <cell r="P1730" t="str">
            <v>4903333241651</v>
          </cell>
          <cell r="Q1730" t="str">
            <v>LOTTE - Kẹo cao su black black ít đường 133g</v>
          </cell>
          <cell r="R1730">
            <v>199000</v>
          </cell>
          <cell r="S1730">
            <v>2</v>
          </cell>
          <cell r="T1730">
            <v>398000</v>
          </cell>
          <cell r="U1730">
            <v>0</v>
          </cell>
          <cell r="V1730">
            <v>398000</v>
          </cell>
          <cell r="W1730" t="str">
            <v>4903333241651</v>
          </cell>
        </row>
        <row r="1731">
          <cell r="A1731">
            <v>2026</v>
          </cell>
          <cell r="B1731">
            <v>4</v>
          </cell>
          <cell r="C1731">
            <v>46123</v>
          </cell>
          <cell r="D1731" t="str">
            <v>1. SKK store</v>
          </cell>
          <cell r="E1731" t="str">
            <v>S1008</v>
          </cell>
          <cell r="F1731" t="str">
            <v>SKK  Hàng Bông</v>
          </cell>
          <cell r="G1731" t="str">
            <v>0975574586</v>
          </cell>
          <cell r="H1731" t="str">
            <v>C Tuyet</v>
          </cell>
          <cell r="I1731" t="str">
            <v>Khách cũ</v>
          </cell>
          <cell r="J1731" t="str">
            <v>Đơn bán</v>
          </cell>
          <cell r="K1731" t="str">
            <v>SAKUKO736593</v>
          </cell>
          <cell r="L1731" t="str">
            <v>THỰC PHẨM</v>
          </cell>
          <cell r="M1731" t="str">
            <v>MỲ, MIẾN</v>
          </cell>
          <cell r="N1731" t="str">
            <v>MỲ CHẾ BIẾN</v>
          </cell>
          <cell r="O1731" t="str">
            <v>175435</v>
          </cell>
          <cell r="P1731" t="str">
            <v>4901726014752</v>
          </cell>
          <cell r="Q1731" t="str">
            <v>ITSUKI FOODS- Mì soumen rau củ ngũ sắc320g</v>
          </cell>
          <cell r="R1731">
            <v>76000</v>
          </cell>
          <cell r="S1731">
            <v>4</v>
          </cell>
          <cell r="T1731">
            <v>304000</v>
          </cell>
          <cell r="U1731">
            <v>0</v>
          </cell>
          <cell r="V1731">
            <v>304000</v>
          </cell>
          <cell r="W1731" t="str">
            <v>4901726014752</v>
          </cell>
        </row>
        <row r="1732">
          <cell r="A1732">
            <v>2026</v>
          </cell>
          <cell r="B1732">
            <v>4</v>
          </cell>
          <cell r="C1732">
            <v>46123</v>
          </cell>
          <cell r="D1732" t="str">
            <v>1. SKK store</v>
          </cell>
          <cell r="E1732" t="str">
            <v>S1008</v>
          </cell>
          <cell r="F1732" t="str">
            <v>SKK  Hàng Bông</v>
          </cell>
          <cell r="G1732" t="str">
            <v>0981632187</v>
          </cell>
          <cell r="H1732" t="str">
            <v>chú tuyến</v>
          </cell>
          <cell r="I1732" t="str">
            <v>Khách cũ</v>
          </cell>
          <cell r="J1732" t="str">
            <v>Đơn bán</v>
          </cell>
          <cell r="K1732" t="str">
            <v>SAKUKO736688</v>
          </cell>
          <cell r="L1732" t="str">
            <v>THỰC PHẨM</v>
          </cell>
          <cell r="M1732" t="str">
            <v>MỲ, MIẾN</v>
          </cell>
          <cell r="N1732" t="str">
            <v>MỲ CHẾ BIẾN</v>
          </cell>
          <cell r="O1732" t="str">
            <v>154247</v>
          </cell>
          <cell r="P1732" t="str">
            <v>4902902105004</v>
          </cell>
          <cell r="Q1732" t="str">
            <v>MALONY_Miến khoai tây 500g</v>
          </cell>
          <cell r="R1732">
            <v>139000</v>
          </cell>
          <cell r="S1732">
            <v>1</v>
          </cell>
          <cell r="T1732">
            <v>139000</v>
          </cell>
          <cell r="U1732">
            <v>0</v>
          </cell>
          <cell r="V1732">
            <v>139000</v>
          </cell>
          <cell r="W1732" t="str">
            <v>4902902105004</v>
          </cell>
        </row>
        <row r="1733">
          <cell r="A1733">
            <v>2026</v>
          </cell>
          <cell r="B1733">
            <v>4</v>
          </cell>
          <cell r="C1733">
            <v>46123</v>
          </cell>
          <cell r="D1733" t="str">
            <v>1. SKK store</v>
          </cell>
          <cell r="E1733" t="str">
            <v>S1008</v>
          </cell>
          <cell r="F1733" t="str">
            <v>SKK  Hàng Bông</v>
          </cell>
          <cell r="G1733" t="str">
            <v>0988240909</v>
          </cell>
          <cell r="H1733" t="str">
            <v>Chị Nguyễn Kim Thoa</v>
          </cell>
          <cell r="I1733" t="str">
            <v>Khách cũ</v>
          </cell>
          <cell r="J1733" t="str">
            <v>Đơn bán</v>
          </cell>
          <cell r="K1733" t="str">
            <v>SAKUKO737058</v>
          </cell>
          <cell r="L1733" t="str">
            <v>THỰC PHẨM</v>
          </cell>
          <cell r="M1733" t="str">
            <v>MỲ, MIẾN</v>
          </cell>
          <cell r="N1733" t="str">
            <v>MỲ ĂN LIỀN</v>
          </cell>
          <cell r="O1733" t="str">
            <v>154359</v>
          </cell>
          <cell r="P1733" t="str">
            <v>4979397000138</v>
          </cell>
          <cell r="Q1733" t="str">
            <v>YAMAMOTO- Mì ramen ăn liền hải sản thịt heo 88g*5</v>
          </cell>
          <cell r="R1733">
            <v>99000</v>
          </cell>
          <cell r="S1733">
            <v>1</v>
          </cell>
          <cell r="T1733">
            <v>99000</v>
          </cell>
          <cell r="U1733">
            <v>0</v>
          </cell>
          <cell r="V1733">
            <v>99000</v>
          </cell>
          <cell r="W1733" t="str">
            <v>4979397000138</v>
          </cell>
        </row>
        <row r="1734">
          <cell r="A1734">
            <v>2026</v>
          </cell>
          <cell r="B1734">
            <v>4</v>
          </cell>
          <cell r="C1734">
            <v>46122</v>
          </cell>
          <cell r="D1734" t="str">
            <v>1. SKK store</v>
          </cell>
          <cell r="E1734" t="str">
            <v>S1005</v>
          </cell>
          <cell r="F1734" t="str">
            <v>SKK  Thái Hà</v>
          </cell>
          <cell r="G1734" t="str">
            <v>0936085086</v>
          </cell>
          <cell r="H1734" t="str">
            <v>Cô Thúy</v>
          </cell>
          <cell r="I1734" t="str">
            <v>Khách cũ</v>
          </cell>
          <cell r="J1734" t="str">
            <v>Đơn bán</v>
          </cell>
          <cell r="K1734" t="str">
            <v>SAKUKO735459</v>
          </cell>
          <cell r="L1734" t="str">
            <v>THỰC PHẨM</v>
          </cell>
          <cell r="M1734" t="str">
            <v>MỲ, MIẾN</v>
          </cell>
          <cell r="N1734" t="str">
            <v>MỲ CHẾ BIẾN</v>
          </cell>
          <cell r="O1734" t="str">
            <v>175435</v>
          </cell>
          <cell r="P1734" t="str">
            <v>4901726014752</v>
          </cell>
          <cell r="Q1734" t="str">
            <v>ITSUKI FOODS- Mì soumen rau củ ngũ sắc320g</v>
          </cell>
          <cell r="R1734">
            <v>76000</v>
          </cell>
          <cell r="S1734">
            <v>1</v>
          </cell>
          <cell r="T1734">
            <v>76000</v>
          </cell>
          <cell r="U1734">
            <v>0</v>
          </cell>
          <cell r="V1734">
            <v>76000</v>
          </cell>
          <cell r="W1734" t="str">
            <v>4901726014752</v>
          </cell>
        </row>
        <row r="1735">
          <cell r="A1735">
            <v>2026</v>
          </cell>
          <cell r="B1735">
            <v>4</v>
          </cell>
          <cell r="C1735">
            <v>46122</v>
          </cell>
          <cell r="D1735" t="str">
            <v>1. SKK store</v>
          </cell>
          <cell r="E1735" t="str">
            <v>S1006</v>
          </cell>
          <cell r="F1735" t="str">
            <v>SKK Trần Đăng Ninh</v>
          </cell>
          <cell r="G1735" t="str">
            <v>0968893139</v>
          </cell>
          <cell r="H1735" t="str">
            <v>chị hà</v>
          </cell>
          <cell r="I1735" t="str">
            <v>Khách cũ</v>
          </cell>
          <cell r="J1735" t="str">
            <v>Đơn bán</v>
          </cell>
          <cell r="K1735" t="str">
            <v>SAKUKO734904</v>
          </cell>
          <cell r="L1735" t="str">
            <v>THỰC PHẨM</v>
          </cell>
          <cell r="M1735" t="str">
            <v>MỲ, MIẾN</v>
          </cell>
          <cell r="N1735" t="str">
            <v>MỲ CHẾ BIẾN</v>
          </cell>
          <cell r="O1735" t="str">
            <v>154249</v>
          </cell>
          <cell r="P1735" t="str">
            <v>4517244004627</v>
          </cell>
          <cell r="Q1735" t="str">
            <v>ASAHI_Mì udon khô 400g</v>
          </cell>
          <cell r="R1735">
            <v>69000</v>
          </cell>
          <cell r="S1735">
            <v>1</v>
          </cell>
          <cell r="T1735">
            <v>69000</v>
          </cell>
          <cell r="U1735">
            <v>0</v>
          </cell>
          <cell r="V1735">
            <v>69000</v>
          </cell>
          <cell r="W1735" t="str">
            <v>4517244004627</v>
          </cell>
        </row>
        <row r="1736">
          <cell r="A1736">
            <v>2026</v>
          </cell>
          <cell r="B1736">
            <v>4</v>
          </cell>
          <cell r="C1736">
            <v>46122</v>
          </cell>
          <cell r="D1736" t="str">
            <v>1. SKK store</v>
          </cell>
          <cell r="E1736" t="str">
            <v>S1006</v>
          </cell>
          <cell r="F1736" t="str">
            <v>SKK Trần Đăng Ninh</v>
          </cell>
          <cell r="G1736" t="str">
            <v>0968893139</v>
          </cell>
          <cell r="H1736" t="str">
            <v>chị hà</v>
          </cell>
          <cell r="I1736" t="str">
            <v>Khách cũ</v>
          </cell>
          <cell r="J1736" t="str">
            <v>Đơn bán</v>
          </cell>
          <cell r="K1736" t="str">
            <v>SAKUKO734904</v>
          </cell>
          <cell r="L1736" t="str">
            <v>THỰC PHẨM</v>
          </cell>
          <cell r="M1736" t="str">
            <v>MỲ, MIẾN</v>
          </cell>
          <cell r="N1736" t="str">
            <v>MỲ CHẾ BIẾN</v>
          </cell>
          <cell r="O1736" t="str">
            <v>154251</v>
          </cell>
          <cell r="P1736" t="str">
            <v>4560159440776</v>
          </cell>
          <cell r="Q1736" t="str">
            <v>SATO_Mì soba khô 800g</v>
          </cell>
          <cell r="R1736">
            <v>104000</v>
          </cell>
          <cell r="S1736">
            <v>1</v>
          </cell>
          <cell r="T1736">
            <v>104000</v>
          </cell>
          <cell r="U1736">
            <v>0</v>
          </cell>
          <cell r="V1736">
            <v>104000</v>
          </cell>
          <cell r="W1736" t="str">
            <v>4560159440776</v>
          </cell>
        </row>
        <row r="1737">
          <cell r="A1737">
            <v>2026</v>
          </cell>
          <cell r="B1737">
            <v>4</v>
          </cell>
          <cell r="C1737">
            <v>46122</v>
          </cell>
          <cell r="D1737" t="str">
            <v>1. SKK store</v>
          </cell>
          <cell r="E1737" t="str">
            <v>S1006</v>
          </cell>
          <cell r="F1737" t="str">
            <v>SKK Trần Đăng Ninh</v>
          </cell>
          <cell r="G1737" t="str">
            <v>0968893139</v>
          </cell>
          <cell r="H1737" t="str">
            <v>chị hà</v>
          </cell>
          <cell r="I1737" t="str">
            <v>Khách cũ</v>
          </cell>
          <cell r="J1737" t="str">
            <v>Đơn bán</v>
          </cell>
          <cell r="K1737" t="str">
            <v>SAKUKO734904</v>
          </cell>
          <cell r="L1737" t="str">
            <v>THỰC PHẨM</v>
          </cell>
          <cell r="M1737" t="str">
            <v>MỲ, MIẾN</v>
          </cell>
          <cell r="N1737" t="str">
            <v>MỲ CHẾ BIẾN</v>
          </cell>
          <cell r="O1737" t="str">
            <v>175435</v>
          </cell>
          <cell r="P1737" t="str">
            <v>4901726014752</v>
          </cell>
          <cell r="Q1737" t="str">
            <v>ITSUKI FOODS- Mì soumen rau củ ngũ sắc320g</v>
          </cell>
          <cell r="R1737">
            <v>76000</v>
          </cell>
          <cell r="S1737">
            <v>2</v>
          </cell>
          <cell r="T1737">
            <v>152000</v>
          </cell>
          <cell r="U1737">
            <v>0</v>
          </cell>
          <cell r="V1737">
            <v>152000</v>
          </cell>
          <cell r="W1737" t="str">
            <v>4901726014752</v>
          </cell>
        </row>
        <row r="1738">
          <cell r="A1738">
            <v>2026</v>
          </cell>
          <cell r="B1738">
            <v>4</v>
          </cell>
          <cell r="C1738">
            <v>46122</v>
          </cell>
          <cell r="D1738" t="str">
            <v>1. SKK store</v>
          </cell>
          <cell r="E1738" t="str">
            <v>S1006</v>
          </cell>
          <cell r="F1738" t="str">
            <v>SKK Trần Đăng Ninh</v>
          </cell>
          <cell r="G1738" t="str">
            <v>0984961994</v>
          </cell>
          <cell r="H1738" t="str">
            <v>Chị Linh</v>
          </cell>
          <cell r="I1738" t="str">
            <v>Khách cũ</v>
          </cell>
          <cell r="J1738" t="str">
            <v>Đơn bán</v>
          </cell>
          <cell r="K1738" t="str">
            <v>SAKUKO735567</v>
          </cell>
          <cell r="L1738" t="str">
            <v>THỰC PHẨM</v>
          </cell>
          <cell r="M1738" t="str">
            <v>MỲ, MIẾN</v>
          </cell>
          <cell r="N1738" t="str">
            <v>MỲ CHẾ BIẾN</v>
          </cell>
          <cell r="O1738" t="str">
            <v>175435</v>
          </cell>
          <cell r="P1738" t="str">
            <v>4901726014752</v>
          </cell>
          <cell r="Q1738" t="str">
            <v>ITSUKI FOODS- Mì soumen rau củ ngũ sắc320g</v>
          </cell>
          <cell r="R1738">
            <v>76000</v>
          </cell>
          <cell r="S1738">
            <v>1</v>
          </cell>
          <cell r="T1738">
            <v>76000</v>
          </cell>
          <cell r="U1738">
            <v>0</v>
          </cell>
          <cell r="V1738">
            <v>76000</v>
          </cell>
          <cell r="W1738" t="str">
            <v>4901726014752</v>
          </cell>
        </row>
        <row r="1739">
          <cell r="A1739">
            <v>2026</v>
          </cell>
          <cell r="B1739">
            <v>4</v>
          </cell>
          <cell r="C1739">
            <v>46122</v>
          </cell>
          <cell r="D1739" t="str">
            <v>1. SKK store</v>
          </cell>
          <cell r="E1739" t="str">
            <v>S1008</v>
          </cell>
          <cell r="F1739" t="str">
            <v>SKK  Hàng Bông</v>
          </cell>
          <cell r="G1739" t="str">
            <v>0913360006</v>
          </cell>
          <cell r="H1739" t="str">
            <v>Cô Lương</v>
          </cell>
          <cell r="I1739" t="str">
            <v>Khách cũ</v>
          </cell>
          <cell r="J1739" t="str">
            <v>Đơn bán</v>
          </cell>
          <cell r="K1739" t="str">
            <v>SAKUKO735322</v>
          </cell>
          <cell r="L1739" t="str">
            <v>THỰC PHẨM</v>
          </cell>
          <cell r="M1739" t="str">
            <v>MỲ, MIẾN</v>
          </cell>
          <cell r="N1739" t="str">
            <v>MỲ CHẾ BIẾN</v>
          </cell>
          <cell r="O1739" t="str">
            <v>154249</v>
          </cell>
          <cell r="P1739" t="str">
            <v>4517244004627</v>
          </cell>
          <cell r="Q1739" t="str">
            <v>ASAHI_Mì udon khô 400g</v>
          </cell>
          <cell r="R1739">
            <v>69000</v>
          </cell>
          <cell r="S1739">
            <v>2</v>
          </cell>
          <cell r="T1739">
            <v>138000</v>
          </cell>
          <cell r="U1739">
            <v>0</v>
          </cell>
          <cell r="V1739">
            <v>138000</v>
          </cell>
          <cell r="W1739" t="str">
            <v>4517244004627</v>
          </cell>
        </row>
        <row r="1740">
          <cell r="A1740">
            <v>2026</v>
          </cell>
          <cell r="B1740">
            <v>4</v>
          </cell>
          <cell r="C1740">
            <v>46122</v>
          </cell>
          <cell r="D1740" t="str">
            <v>1. SKK store</v>
          </cell>
          <cell r="E1740" t="str">
            <v>S1015</v>
          </cell>
          <cell r="F1740" t="str">
            <v>SKK Hàm Nghi</v>
          </cell>
          <cell r="G1740" t="str">
            <v>0912428266</v>
          </cell>
          <cell r="H1740" t="str">
            <v>c lan</v>
          </cell>
          <cell r="I1740" t="str">
            <v>Khách cũ</v>
          </cell>
          <cell r="J1740" t="str">
            <v>Đơn bán</v>
          </cell>
          <cell r="K1740" t="str">
            <v>SAKUKO734930</v>
          </cell>
          <cell r="L1740" t="str">
            <v>THỰC PHẨM</v>
          </cell>
          <cell r="M1740" t="str">
            <v>MỲ, MIẾN</v>
          </cell>
          <cell r="N1740" t="str">
            <v>MỲ CHẾ BIẾN</v>
          </cell>
          <cell r="O1740" t="str">
            <v>175435</v>
          </cell>
          <cell r="P1740" t="str">
            <v>4901726014752</v>
          </cell>
          <cell r="Q1740" t="str">
            <v>ITSUKI FOODS- Mì soumen rau củ ngũ sắc320g</v>
          </cell>
          <cell r="R1740">
            <v>76000</v>
          </cell>
          <cell r="S1740">
            <v>1</v>
          </cell>
          <cell r="T1740">
            <v>76000</v>
          </cell>
          <cell r="U1740">
            <v>0</v>
          </cell>
          <cell r="V1740">
            <v>76000</v>
          </cell>
          <cell r="W1740" t="str">
            <v>4901726014752</v>
          </cell>
        </row>
        <row r="1741">
          <cell r="A1741">
            <v>2026</v>
          </cell>
          <cell r="B1741">
            <v>4</v>
          </cell>
          <cell r="C1741">
            <v>46122</v>
          </cell>
          <cell r="D1741" t="str">
            <v>1. SKK store</v>
          </cell>
          <cell r="E1741" t="str">
            <v>S1025</v>
          </cell>
          <cell r="F1741" t="str">
            <v>SKK T6 Time City</v>
          </cell>
          <cell r="G1741" t="str">
            <v>0904148393</v>
          </cell>
          <cell r="H1741" t="str">
            <v>Chị Lê Thị Bích Lan</v>
          </cell>
          <cell r="I1741" t="str">
            <v>Khách cũ</v>
          </cell>
          <cell r="J1741" t="str">
            <v>Đơn bán</v>
          </cell>
          <cell r="K1741" t="str">
            <v>SAKUKO735780</v>
          </cell>
          <cell r="L1741" t="str">
            <v>THỰC PHẨM</v>
          </cell>
          <cell r="M1741" t="str">
            <v>MỲ, MIẾN</v>
          </cell>
          <cell r="N1741" t="str">
            <v>MỲ CHẾ BIẾN</v>
          </cell>
          <cell r="O1741" t="str">
            <v>174948</v>
          </cell>
          <cell r="P1741" t="str">
            <v>4582114354119</v>
          </cell>
          <cell r="Q1741" t="str">
            <v>SANUKISHISEI- Mì soumen 300g</v>
          </cell>
          <cell r="R1741">
            <v>35000</v>
          </cell>
          <cell r="S1741">
            <v>1</v>
          </cell>
          <cell r="T1741">
            <v>35000</v>
          </cell>
          <cell r="U1741">
            <v>0</v>
          </cell>
          <cell r="V1741">
            <v>35000</v>
          </cell>
          <cell r="W1741" t="str">
            <v>4582114354119</v>
          </cell>
        </row>
        <row r="1742">
          <cell r="A1742">
            <v>2026</v>
          </cell>
          <cell r="B1742">
            <v>4</v>
          </cell>
          <cell r="C1742">
            <v>46121</v>
          </cell>
          <cell r="D1742" t="str">
            <v>1. SKK store</v>
          </cell>
          <cell r="E1742" t="str">
            <v>S1006</v>
          </cell>
          <cell r="F1742" t="str">
            <v>SKK Trần Đăng Ninh</v>
          </cell>
          <cell r="G1742" t="str">
            <v>0973783648</v>
          </cell>
          <cell r="H1742" t="str">
            <v>c Vân</v>
          </cell>
          <cell r="I1742" t="str">
            <v>Khách cũ</v>
          </cell>
          <cell r="J1742" t="str">
            <v>Đơn bán</v>
          </cell>
          <cell r="K1742" t="str">
            <v>SAKUKO734604</v>
          </cell>
          <cell r="L1742" t="str">
            <v>THỰC PHẨM</v>
          </cell>
          <cell r="M1742" t="str">
            <v>MỲ, MIẾN</v>
          </cell>
          <cell r="N1742" t="str">
            <v>MỲ ĂN LIỀN</v>
          </cell>
          <cell r="O1742" t="str">
            <v>153693</v>
          </cell>
          <cell r="P1742" t="str">
            <v>4902881066440</v>
          </cell>
          <cell r="Q1742" t="str">
            <v>MYOJO- Mỳ ramen vị miso 5 gói</v>
          </cell>
          <cell r="R1742">
            <v>105000</v>
          </cell>
          <cell r="S1742">
            <v>1</v>
          </cell>
          <cell r="T1742">
            <v>105000</v>
          </cell>
          <cell r="U1742">
            <v>0</v>
          </cell>
          <cell r="V1742">
            <v>105000</v>
          </cell>
          <cell r="W1742" t="str">
            <v>4902881066440</v>
          </cell>
        </row>
        <row r="1743">
          <cell r="A1743">
            <v>2026</v>
          </cell>
          <cell r="B1743">
            <v>4</v>
          </cell>
          <cell r="C1743">
            <v>46121</v>
          </cell>
          <cell r="D1743" t="str">
            <v>1. SKK store</v>
          </cell>
          <cell r="E1743" t="str">
            <v>S1006</v>
          </cell>
          <cell r="F1743" t="str">
            <v>SKK Trần Đăng Ninh</v>
          </cell>
          <cell r="G1743" t="str">
            <v>0986567899</v>
          </cell>
          <cell r="H1743" t="str">
            <v>Đào Thị Hiền</v>
          </cell>
          <cell r="I1743" t="str">
            <v>Khách cũ</v>
          </cell>
          <cell r="J1743" t="str">
            <v>Đơn bán</v>
          </cell>
          <cell r="K1743" t="str">
            <v>SAKUKO734388</v>
          </cell>
          <cell r="L1743" t="str">
            <v>THỰC PHẨM</v>
          </cell>
          <cell r="M1743" t="str">
            <v>MỲ, MIẾN</v>
          </cell>
          <cell r="N1743" t="str">
            <v>MỲ ĂN LIỀN</v>
          </cell>
          <cell r="O1743" t="str">
            <v>154359</v>
          </cell>
          <cell r="P1743" t="str">
            <v>4979397000138</v>
          </cell>
          <cell r="Q1743" t="str">
            <v>YAMAMOTO- Mì ramen ăn liền hải sản thịt heo 88g*5</v>
          </cell>
          <cell r="R1743">
            <v>99000</v>
          </cell>
          <cell r="S1743">
            <v>1</v>
          </cell>
          <cell r="T1743">
            <v>99000</v>
          </cell>
          <cell r="U1743">
            <v>0</v>
          </cell>
          <cell r="V1743">
            <v>99000</v>
          </cell>
          <cell r="W1743" t="str">
            <v>4979397000138</v>
          </cell>
        </row>
        <row r="1744">
          <cell r="A1744">
            <v>2026</v>
          </cell>
          <cell r="B1744">
            <v>4</v>
          </cell>
          <cell r="C1744">
            <v>46121</v>
          </cell>
          <cell r="D1744" t="str">
            <v>1. SKK store</v>
          </cell>
          <cell r="E1744" t="str">
            <v>S1015</v>
          </cell>
          <cell r="F1744" t="str">
            <v>SKK Hàm Nghi</v>
          </cell>
          <cell r="G1744" t="str">
            <v>0396793286</v>
          </cell>
          <cell r="H1744" t="str">
            <v>c hạnh</v>
          </cell>
          <cell r="I1744" t="str">
            <v>Khách cũ</v>
          </cell>
          <cell r="J1744" t="str">
            <v>Đơn bán</v>
          </cell>
          <cell r="K1744" t="str">
            <v>SAKUKO733980</v>
          </cell>
          <cell r="L1744" t="str">
            <v>CHĂM SÓC SẮC ĐẸP</v>
          </cell>
          <cell r="M1744" t="str">
            <v>CHĂM SÓC DA</v>
          </cell>
          <cell r="N1744" t="str">
            <v>RỬA MẶT</v>
          </cell>
          <cell r="O1744" t="str">
            <v>230269</v>
          </cell>
          <cell r="P1744" t="str">
            <v>4987241173242</v>
          </cell>
          <cell r="Q1744" t="str">
            <v>ROHTO- SRM Melano CC mờ thâm nám (130g)</v>
          </cell>
          <cell r="R1744">
            <v>294000</v>
          </cell>
          <cell r="S1744">
            <v>1</v>
          </cell>
          <cell r="T1744">
            <v>294000</v>
          </cell>
          <cell r="U1744">
            <v>0</v>
          </cell>
          <cell r="V1744">
            <v>294000</v>
          </cell>
          <cell r="W1744" t="str">
            <v>4987241173242</v>
          </cell>
        </row>
        <row r="1745">
          <cell r="A1745">
            <v>2026</v>
          </cell>
          <cell r="B1745">
            <v>4</v>
          </cell>
          <cell r="C1745">
            <v>46120</v>
          </cell>
          <cell r="D1745" t="str">
            <v>1. SKK store</v>
          </cell>
          <cell r="E1745" t="str">
            <v>S1007</v>
          </cell>
          <cell r="F1745" t="str">
            <v>SKK  Nguyễn Du</v>
          </cell>
          <cell r="G1745" t="str">
            <v>0949888268</v>
          </cell>
          <cell r="H1745" t="str">
            <v>CHỊ hiền</v>
          </cell>
          <cell r="I1745" t="str">
            <v>Khách cũ</v>
          </cell>
          <cell r="J1745" t="str">
            <v>Đơn bán</v>
          </cell>
          <cell r="K1745" t="str">
            <v>SAKUKO732786</v>
          </cell>
          <cell r="L1745" t="str">
            <v>THỰC PHẨM</v>
          </cell>
          <cell r="M1745" t="str">
            <v>MỲ, MIẾN</v>
          </cell>
          <cell r="N1745" t="str">
            <v>MỲ ĂN LIỀN</v>
          </cell>
          <cell r="O1745" t="str">
            <v>154359</v>
          </cell>
          <cell r="P1745" t="str">
            <v>4979397000138</v>
          </cell>
          <cell r="Q1745" t="str">
            <v>YAMAMOTO- Mì ramen ăn liền hải sản thịt heo 88g*5</v>
          </cell>
          <cell r="R1745">
            <v>99000</v>
          </cell>
          <cell r="S1745">
            <v>1</v>
          </cell>
          <cell r="T1745">
            <v>99000</v>
          </cell>
          <cell r="U1745">
            <v>0</v>
          </cell>
          <cell r="V1745">
            <v>99000</v>
          </cell>
          <cell r="W1745" t="str">
            <v>4979397000138</v>
          </cell>
        </row>
        <row r="1746">
          <cell r="A1746">
            <v>2026</v>
          </cell>
          <cell r="B1746">
            <v>4</v>
          </cell>
          <cell r="C1746">
            <v>46120</v>
          </cell>
          <cell r="D1746" t="str">
            <v>1. SKK store</v>
          </cell>
          <cell r="E1746" t="str">
            <v>S1015</v>
          </cell>
          <cell r="F1746" t="str">
            <v>SKK Hàm Nghi</v>
          </cell>
          <cell r="G1746" t="str">
            <v>0979798688</v>
          </cell>
          <cell r="H1746" t="str">
            <v>chị quỳnh</v>
          </cell>
          <cell r="I1746" t="str">
            <v>Khách cũ</v>
          </cell>
          <cell r="J1746" t="str">
            <v>Đơn bán</v>
          </cell>
          <cell r="K1746" t="str">
            <v>SAKUKO733028</v>
          </cell>
          <cell r="L1746" t="str">
            <v>THỰC PHẨM</v>
          </cell>
          <cell r="M1746" t="str">
            <v>MỲ, MIẾN</v>
          </cell>
          <cell r="N1746" t="str">
            <v>MỲ ĂN LIỀN</v>
          </cell>
          <cell r="O1746" t="str">
            <v>153693</v>
          </cell>
          <cell r="P1746" t="str">
            <v>4902881066440</v>
          </cell>
          <cell r="Q1746" t="str">
            <v>MYOJO- Mỳ ramen vị miso 5 gói</v>
          </cell>
          <cell r="R1746">
            <v>105000</v>
          </cell>
          <cell r="S1746">
            <v>1</v>
          </cell>
          <cell r="T1746">
            <v>105000</v>
          </cell>
          <cell r="U1746">
            <v>0</v>
          </cell>
          <cell r="V1746">
            <v>105000</v>
          </cell>
          <cell r="W1746" t="str">
            <v>4902881066440</v>
          </cell>
        </row>
        <row r="1747">
          <cell r="A1747">
            <v>2026</v>
          </cell>
          <cell r="B1747">
            <v>4</v>
          </cell>
          <cell r="C1747">
            <v>46120</v>
          </cell>
          <cell r="D1747" t="str">
            <v>1. SKK store</v>
          </cell>
          <cell r="E1747" t="str">
            <v>S1018</v>
          </cell>
          <cell r="F1747" t="str">
            <v>SKK Nguyễn Tuân</v>
          </cell>
          <cell r="G1747" t="str">
            <v>0968608163</v>
          </cell>
          <cell r="H1747" t="str">
            <v>Chị Mai</v>
          </cell>
          <cell r="I1747" t="str">
            <v>Khách cũ</v>
          </cell>
          <cell r="J1747" t="str">
            <v>Đơn bán</v>
          </cell>
          <cell r="K1747" t="str">
            <v>SAKUKO733385</v>
          </cell>
          <cell r="L1747" t="str">
            <v>NHÀ CỬA ĐỜI SỐNG</v>
          </cell>
          <cell r="M1747" t="str">
            <v>PHÒNG CHỐNG CÔN TRÙNG</v>
          </cell>
          <cell r="N1747" t="str">
            <v>DIỆT CÔN TRÙNG</v>
          </cell>
          <cell r="O1747" t="str">
            <v>134480</v>
          </cell>
          <cell r="P1747" t="str">
            <v>4987115545885</v>
          </cell>
          <cell r="Q1747" t="str">
            <v>KINCHO-DD làm thơm phòng và đuổi muỗi (trái cây)</v>
          </cell>
          <cell r="R1747">
            <v>239000</v>
          </cell>
          <cell r="S1747">
            <v>1</v>
          </cell>
          <cell r="T1747">
            <v>239000</v>
          </cell>
          <cell r="U1747">
            <v>0</v>
          </cell>
          <cell r="V1747">
            <v>239000</v>
          </cell>
          <cell r="W1747" t="str">
            <v>4987115545885</v>
          </cell>
        </row>
        <row r="1748">
          <cell r="A1748">
            <v>2026</v>
          </cell>
          <cell r="B1748">
            <v>4</v>
          </cell>
          <cell r="C1748">
            <v>46119</v>
          </cell>
          <cell r="D1748" t="str">
            <v>1. SKK store</v>
          </cell>
          <cell r="E1748" t="str">
            <v>S1006</v>
          </cell>
          <cell r="F1748" t="str">
            <v>SKK Trần Đăng Ninh</v>
          </cell>
          <cell r="G1748" t="str">
            <v>0915341180</v>
          </cell>
          <cell r="H1748" t="str">
            <v>Trần Phương Linh</v>
          </cell>
          <cell r="I1748" t="str">
            <v>Khách cũ</v>
          </cell>
          <cell r="J1748" t="str">
            <v>Đơn bán</v>
          </cell>
          <cell r="K1748" t="str">
            <v>SAKUKO731889</v>
          </cell>
          <cell r="L1748" t="str">
            <v>THỰC PHẨM</v>
          </cell>
          <cell r="M1748" t="str">
            <v>MỲ, MIẾN</v>
          </cell>
          <cell r="N1748" t="str">
            <v>MỲ ĂN LIỀN</v>
          </cell>
          <cell r="O1748" t="str">
            <v>153693</v>
          </cell>
          <cell r="P1748" t="str">
            <v>4902881066440</v>
          </cell>
          <cell r="Q1748" t="str">
            <v>MYOJO- Mỳ ramen vị miso 5 gói</v>
          </cell>
          <cell r="R1748">
            <v>105000</v>
          </cell>
          <cell r="S1748">
            <v>1</v>
          </cell>
          <cell r="T1748">
            <v>105000</v>
          </cell>
          <cell r="U1748">
            <v>0</v>
          </cell>
          <cell r="V1748">
            <v>105000</v>
          </cell>
          <cell r="W1748" t="str">
            <v>4902881066440</v>
          </cell>
        </row>
        <row r="1749">
          <cell r="A1749">
            <v>2026</v>
          </cell>
          <cell r="B1749">
            <v>4</v>
          </cell>
          <cell r="C1749">
            <v>46119</v>
          </cell>
          <cell r="D1749" t="str">
            <v>1. SKK store</v>
          </cell>
          <cell r="E1749" t="str">
            <v>S1006</v>
          </cell>
          <cell r="F1749" t="str">
            <v>SKK Trần Đăng Ninh</v>
          </cell>
          <cell r="G1749" t="str">
            <v>0948401900</v>
          </cell>
          <cell r="H1749" t="str">
            <v>chị Dung</v>
          </cell>
          <cell r="I1749" t="str">
            <v>Khách cũ</v>
          </cell>
          <cell r="J1749" t="str">
            <v>Đơn bán</v>
          </cell>
          <cell r="K1749" t="str">
            <v>SAKUKO732220</v>
          </cell>
          <cell r="L1749" t="str">
            <v>THỰC PHẨM</v>
          </cell>
          <cell r="M1749" t="str">
            <v>MỲ, MIẾN</v>
          </cell>
          <cell r="N1749" t="str">
            <v>MỲ ĂN LIỀN</v>
          </cell>
          <cell r="O1749" t="str">
            <v>154198</v>
          </cell>
          <cell r="P1749" t="str">
            <v>4979397000145</v>
          </cell>
          <cell r="Q1749" t="str">
            <v>YAMAMOTO_Mì ramen ăn liền vị miso 90g*5</v>
          </cell>
          <cell r="R1749">
            <v>99000</v>
          </cell>
          <cell r="S1749">
            <v>1</v>
          </cell>
          <cell r="T1749">
            <v>99000</v>
          </cell>
          <cell r="U1749">
            <v>0</v>
          </cell>
          <cell r="V1749">
            <v>99000</v>
          </cell>
          <cell r="W1749" t="str">
            <v>4979397000145</v>
          </cell>
        </row>
        <row r="1750">
          <cell r="A1750">
            <v>2026</v>
          </cell>
          <cell r="B1750">
            <v>4</v>
          </cell>
          <cell r="C1750">
            <v>46119</v>
          </cell>
          <cell r="D1750" t="str">
            <v>1. SKK store</v>
          </cell>
          <cell r="E1750" t="str">
            <v>S1008</v>
          </cell>
          <cell r="F1750" t="str">
            <v>SKK  Hàng Bông</v>
          </cell>
          <cell r="G1750" t="str">
            <v>0912326720</v>
          </cell>
          <cell r="H1750" t="str">
            <v>Cô Thu Anh</v>
          </cell>
          <cell r="I1750" t="str">
            <v>Khách cũ</v>
          </cell>
          <cell r="J1750" t="str">
            <v>Đơn bán</v>
          </cell>
          <cell r="K1750" t="str">
            <v>SAKUKO731634</v>
          </cell>
          <cell r="L1750" t="str">
            <v>THỰC PHẨM</v>
          </cell>
          <cell r="M1750" t="str">
            <v>MỲ, MIẾN</v>
          </cell>
          <cell r="N1750" t="str">
            <v>MỲ ĂN LIỀN</v>
          </cell>
          <cell r="O1750" t="str">
            <v>154359</v>
          </cell>
          <cell r="P1750" t="str">
            <v>4979397000138</v>
          </cell>
          <cell r="Q1750" t="str">
            <v>YAMAMOTO- Mì ramen ăn liền hải sản thịt heo 88g*5</v>
          </cell>
          <cell r="R1750">
            <v>99000</v>
          </cell>
          <cell r="S1750">
            <v>1</v>
          </cell>
          <cell r="T1750">
            <v>99000</v>
          </cell>
          <cell r="U1750">
            <v>0</v>
          </cell>
          <cell r="V1750">
            <v>99000</v>
          </cell>
          <cell r="W1750" t="str">
            <v>4979397000138</v>
          </cell>
        </row>
        <row r="1751">
          <cell r="A1751">
            <v>2026</v>
          </cell>
          <cell r="B1751">
            <v>4</v>
          </cell>
          <cell r="C1751">
            <v>46119</v>
          </cell>
          <cell r="D1751" t="str">
            <v>1. SKK store</v>
          </cell>
          <cell r="E1751" t="str">
            <v>S1008</v>
          </cell>
          <cell r="F1751" t="str">
            <v>SKK  Hàng Bông</v>
          </cell>
          <cell r="G1751" t="str">
            <v>0983536321</v>
          </cell>
          <cell r="H1751" t="str">
            <v>Chị Hằng</v>
          </cell>
          <cell r="I1751" t="str">
            <v>Khách cũ</v>
          </cell>
          <cell r="J1751" t="str">
            <v>Đơn bán</v>
          </cell>
          <cell r="K1751" t="str">
            <v>SAKUKO731846</v>
          </cell>
          <cell r="L1751" t="str">
            <v>THỰC PHẨM</v>
          </cell>
          <cell r="M1751" t="str">
            <v>MỲ, MIẾN</v>
          </cell>
          <cell r="N1751" t="str">
            <v>MỲ ĂN LIỀN</v>
          </cell>
          <cell r="O1751" t="str">
            <v>154196</v>
          </cell>
          <cell r="P1751" t="str">
            <v>4979397000152</v>
          </cell>
          <cell r="Q1751" t="str">
            <v>YAMAMOTO_Mì xào kiểu Nhật 89g*5</v>
          </cell>
          <cell r="R1751">
            <v>99000</v>
          </cell>
          <cell r="S1751">
            <v>1</v>
          </cell>
          <cell r="T1751">
            <v>99000</v>
          </cell>
          <cell r="U1751">
            <v>0</v>
          </cell>
          <cell r="V1751">
            <v>99000</v>
          </cell>
          <cell r="W1751" t="str">
            <v>4979397000152</v>
          </cell>
        </row>
        <row r="1752">
          <cell r="A1752">
            <v>2026</v>
          </cell>
          <cell r="B1752">
            <v>4</v>
          </cell>
          <cell r="C1752">
            <v>46118</v>
          </cell>
          <cell r="D1752" t="str">
            <v>1. SKK store</v>
          </cell>
          <cell r="E1752" t="str">
            <v>S1004</v>
          </cell>
          <cell r="F1752" t="str">
            <v>SKK  Mandarin C1</v>
          </cell>
          <cell r="G1752" t="str">
            <v>0355040464</v>
          </cell>
          <cell r="H1752" t="str">
            <v>chị Lan</v>
          </cell>
          <cell r="I1752" t="str">
            <v>Khách cũ</v>
          </cell>
          <cell r="J1752" t="str">
            <v>Đơn bán</v>
          </cell>
          <cell r="K1752" t="str">
            <v>SAKUKO730809</v>
          </cell>
          <cell r="L1752" t="str">
            <v>THỰC PHẨM</v>
          </cell>
          <cell r="M1752" t="str">
            <v>MỲ, MIẾN</v>
          </cell>
          <cell r="N1752" t="str">
            <v>MỲ CHẾ BIẾN</v>
          </cell>
          <cell r="O1752" t="str">
            <v>174948</v>
          </cell>
          <cell r="P1752" t="str">
            <v>4582114354119</v>
          </cell>
          <cell r="Q1752" t="str">
            <v>SANUKISHISEI- Mì soumen 300g</v>
          </cell>
          <cell r="R1752">
            <v>35000</v>
          </cell>
          <cell r="S1752">
            <v>1</v>
          </cell>
          <cell r="T1752">
            <v>35000</v>
          </cell>
          <cell r="U1752">
            <v>0</v>
          </cell>
          <cell r="V1752">
            <v>35000</v>
          </cell>
          <cell r="W1752" t="str">
            <v>4582114354119</v>
          </cell>
        </row>
        <row r="1753">
          <cell r="A1753">
            <v>2026</v>
          </cell>
          <cell r="B1753">
            <v>4</v>
          </cell>
          <cell r="C1753">
            <v>46118</v>
          </cell>
          <cell r="D1753" t="str">
            <v>1. SKK store</v>
          </cell>
          <cell r="E1753" t="str">
            <v>S1008</v>
          </cell>
          <cell r="F1753" t="str">
            <v>SKK  Hàng Bông</v>
          </cell>
          <cell r="G1753" t="str">
            <v>0912666445</v>
          </cell>
          <cell r="H1753" t="str">
            <v>c hạnh</v>
          </cell>
          <cell r="I1753" t="str">
            <v>Khách cũ</v>
          </cell>
          <cell r="J1753" t="str">
            <v>Đơn bán</v>
          </cell>
          <cell r="K1753" t="str">
            <v>SAKUKO730856</v>
          </cell>
          <cell r="L1753" t="str">
            <v>THỰC PHẨM</v>
          </cell>
          <cell r="M1753" t="str">
            <v>MỲ, MIẾN</v>
          </cell>
          <cell r="N1753" t="str">
            <v>MỲ ĂN LIỀN</v>
          </cell>
          <cell r="O1753" t="str">
            <v>154359</v>
          </cell>
          <cell r="P1753" t="str">
            <v>4979397000138</v>
          </cell>
          <cell r="Q1753" t="str">
            <v>YAMAMOTO- Mì ramen ăn liền hải sản thịt heo 88g*5</v>
          </cell>
          <cell r="R1753">
            <v>99000</v>
          </cell>
          <cell r="S1753">
            <v>1</v>
          </cell>
          <cell r="T1753">
            <v>99000</v>
          </cell>
          <cell r="U1753">
            <v>0</v>
          </cell>
          <cell r="V1753">
            <v>99000</v>
          </cell>
          <cell r="W1753" t="str">
            <v>4979397000138</v>
          </cell>
        </row>
        <row r="1754">
          <cell r="A1754">
            <v>2026</v>
          </cell>
          <cell r="B1754">
            <v>4</v>
          </cell>
          <cell r="C1754">
            <v>46118</v>
          </cell>
          <cell r="D1754" t="str">
            <v>1. SKK store</v>
          </cell>
          <cell r="E1754" t="str">
            <v>S1015</v>
          </cell>
          <cell r="F1754" t="str">
            <v>SKK Hàm Nghi</v>
          </cell>
          <cell r="G1754" t="str">
            <v>0983681083</v>
          </cell>
          <cell r="H1754" t="str">
            <v>Chị Thúy Ngân</v>
          </cell>
          <cell r="I1754" t="str">
            <v>Khách cũ</v>
          </cell>
          <cell r="J1754" t="str">
            <v>Đơn bán</v>
          </cell>
          <cell r="K1754" t="str">
            <v>SAKUKO731033</v>
          </cell>
          <cell r="L1754" t="str">
            <v>THỰC PHẨM</v>
          </cell>
          <cell r="M1754" t="str">
            <v>MỲ, MIẾN</v>
          </cell>
          <cell r="N1754" t="str">
            <v>MỲ ĂN LIỀN</v>
          </cell>
          <cell r="O1754" t="str">
            <v>153999</v>
          </cell>
          <cell r="P1754" t="str">
            <v>4906871010246</v>
          </cell>
          <cell r="Q1754" t="str">
            <v>HATO - Mỳ Udon Tokyo 20g</v>
          </cell>
          <cell r="R1754">
            <v>47000</v>
          </cell>
          <cell r="S1754">
            <v>2</v>
          </cell>
          <cell r="T1754">
            <v>94000</v>
          </cell>
          <cell r="U1754">
            <v>0</v>
          </cell>
          <cell r="V1754">
            <v>94000</v>
          </cell>
          <cell r="W1754" t="str">
            <v>4906871010246</v>
          </cell>
        </row>
        <row r="1755">
          <cell r="A1755">
            <v>2026</v>
          </cell>
          <cell r="B1755">
            <v>4</v>
          </cell>
          <cell r="C1755">
            <v>46117</v>
          </cell>
          <cell r="D1755" t="str">
            <v>1. SKK store</v>
          </cell>
          <cell r="E1755" t="str">
            <v>S1006</v>
          </cell>
          <cell r="F1755" t="str">
            <v>SKK Trần Đăng Ninh</v>
          </cell>
          <cell r="G1755" t="str">
            <v>0377244693</v>
          </cell>
          <cell r="H1755" t="str">
            <v>Anh</v>
          </cell>
          <cell r="I1755" t="str">
            <v>Khách mới</v>
          </cell>
          <cell r="J1755" t="str">
            <v>Đơn bán</v>
          </cell>
          <cell r="K1755" t="str">
            <v>SAKUKO729928</v>
          </cell>
          <cell r="L1755" t="str">
            <v>THỰC PHẨM</v>
          </cell>
          <cell r="M1755" t="str">
            <v>MỲ, MIẾN</v>
          </cell>
          <cell r="N1755" t="str">
            <v>MỲ ĂN LIỀN</v>
          </cell>
          <cell r="O1755" t="str">
            <v>154196</v>
          </cell>
          <cell r="P1755" t="str">
            <v>4979397000152</v>
          </cell>
          <cell r="Q1755" t="str">
            <v>YAMAMOTO_Mì xào kiểu Nhật 89g*5</v>
          </cell>
          <cell r="R1755">
            <v>99000</v>
          </cell>
          <cell r="S1755">
            <v>1</v>
          </cell>
          <cell r="T1755">
            <v>99000</v>
          </cell>
          <cell r="U1755">
            <v>0</v>
          </cell>
          <cell r="V1755">
            <v>99000</v>
          </cell>
          <cell r="W1755" t="str">
            <v>4979397000152</v>
          </cell>
        </row>
        <row r="1756">
          <cell r="A1756">
            <v>2026</v>
          </cell>
          <cell r="B1756">
            <v>4</v>
          </cell>
          <cell r="C1756">
            <v>46117</v>
          </cell>
          <cell r="D1756" t="str">
            <v>1. SKK store</v>
          </cell>
          <cell r="E1756" t="str">
            <v>S1006</v>
          </cell>
          <cell r="F1756" t="str">
            <v>SKK Trần Đăng Ninh</v>
          </cell>
          <cell r="G1756" t="str">
            <v>0388373809</v>
          </cell>
          <cell r="H1756" t="str">
            <v>Phạm Quỳnh Giang</v>
          </cell>
          <cell r="I1756" t="str">
            <v>Khách cũ</v>
          </cell>
          <cell r="J1756" t="str">
            <v>Đơn bán</v>
          </cell>
          <cell r="K1756" t="str">
            <v>SAKUKO728874</v>
          </cell>
          <cell r="L1756" t="str">
            <v>THỰC PHẨM</v>
          </cell>
          <cell r="M1756" t="str">
            <v>MỲ, MIẾN</v>
          </cell>
          <cell r="N1756" t="str">
            <v>MỲ ĂN LIỀN</v>
          </cell>
          <cell r="O1756" t="str">
            <v>154198</v>
          </cell>
          <cell r="P1756" t="str">
            <v>4979397000145</v>
          </cell>
          <cell r="Q1756" t="str">
            <v>YAMAMOTO_Mì ramen ăn liền vị miso 90g*5</v>
          </cell>
          <cell r="R1756">
            <v>99000</v>
          </cell>
          <cell r="S1756">
            <v>1</v>
          </cell>
          <cell r="T1756">
            <v>99000</v>
          </cell>
          <cell r="U1756">
            <v>0</v>
          </cell>
          <cell r="V1756">
            <v>99000</v>
          </cell>
          <cell r="W1756" t="str">
            <v>4979397000145</v>
          </cell>
        </row>
        <row r="1757">
          <cell r="A1757">
            <v>2026</v>
          </cell>
          <cell r="B1757">
            <v>4</v>
          </cell>
          <cell r="C1757">
            <v>46117</v>
          </cell>
          <cell r="D1757" t="str">
            <v>1. SKK store</v>
          </cell>
          <cell r="E1757" t="str">
            <v>S1008</v>
          </cell>
          <cell r="F1757" t="str">
            <v>SKK  Hàng Bông</v>
          </cell>
          <cell r="G1757" t="str">
            <v>0913838061</v>
          </cell>
          <cell r="H1757" t="str">
            <v>Vũ Quỳnh Trang</v>
          </cell>
          <cell r="I1757" t="str">
            <v>Khách cũ</v>
          </cell>
          <cell r="J1757" t="str">
            <v>Đơn bán</v>
          </cell>
          <cell r="K1757" t="str">
            <v>SAKUKO729976</v>
          </cell>
          <cell r="L1757" t="str">
            <v>THỰC PHẨM</v>
          </cell>
          <cell r="M1757" t="str">
            <v>MỲ, MIẾN</v>
          </cell>
          <cell r="N1757" t="str">
            <v>MỲ ĂN LIỀN</v>
          </cell>
          <cell r="O1757" t="str">
            <v>154359</v>
          </cell>
          <cell r="P1757" t="str">
            <v>4979397000138</v>
          </cell>
          <cell r="Q1757" t="str">
            <v>YAMAMOTO- Mì ramen ăn liền hải sản thịt heo 88g*5</v>
          </cell>
          <cell r="R1757">
            <v>99000</v>
          </cell>
          <cell r="S1757">
            <v>2</v>
          </cell>
          <cell r="T1757">
            <v>198000</v>
          </cell>
          <cell r="U1757">
            <v>0</v>
          </cell>
          <cell r="V1757">
            <v>198000</v>
          </cell>
          <cell r="W1757" t="str">
            <v>4979397000138</v>
          </cell>
        </row>
        <row r="1758">
          <cell r="A1758">
            <v>2026</v>
          </cell>
          <cell r="B1758">
            <v>4</v>
          </cell>
          <cell r="C1758">
            <v>46117</v>
          </cell>
          <cell r="D1758" t="str">
            <v>1. SKK store</v>
          </cell>
          <cell r="E1758" t="str">
            <v>S1025</v>
          </cell>
          <cell r="F1758" t="str">
            <v>SKK T6 Time City</v>
          </cell>
          <cell r="G1758" t="str">
            <v>0858682124</v>
          </cell>
          <cell r="H1758" t="str">
            <v>Chị Hiền</v>
          </cell>
          <cell r="I1758" t="str">
            <v>Khách cũ</v>
          </cell>
          <cell r="J1758" t="str">
            <v>Đơn bán</v>
          </cell>
          <cell r="K1758" t="str">
            <v>SAKUKO728889</v>
          </cell>
          <cell r="L1758" t="str">
            <v>THỰC PHẨM</v>
          </cell>
          <cell r="M1758" t="str">
            <v>MỲ, MIẾN</v>
          </cell>
          <cell r="N1758" t="str">
            <v>MỲ CHẾ BIẾN</v>
          </cell>
          <cell r="O1758" t="str">
            <v>175435</v>
          </cell>
          <cell r="P1758" t="str">
            <v>4901726014752</v>
          </cell>
          <cell r="Q1758" t="str">
            <v>ITSUKI FOODS- Mì soumen rau củ ngũ sắc320g</v>
          </cell>
          <cell r="R1758">
            <v>76000</v>
          </cell>
          <cell r="S1758">
            <v>1</v>
          </cell>
          <cell r="T1758">
            <v>76000</v>
          </cell>
          <cell r="U1758">
            <v>0</v>
          </cell>
          <cell r="V1758">
            <v>76000</v>
          </cell>
          <cell r="W1758" t="str">
            <v>4901726014752</v>
          </cell>
        </row>
        <row r="1759">
          <cell r="A1759">
            <v>2026</v>
          </cell>
          <cell r="B1759">
            <v>4</v>
          </cell>
          <cell r="C1759">
            <v>46116</v>
          </cell>
          <cell r="D1759" t="str">
            <v>1. SKK store</v>
          </cell>
          <cell r="E1759" t="str">
            <v>S1006</v>
          </cell>
          <cell r="F1759" t="str">
            <v>SKK Trần Đăng Ninh</v>
          </cell>
          <cell r="G1759" t="str">
            <v>0966425966</v>
          </cell>
          <cell r="H1759" t="str">
            <v>CHỊ XUÂN</v>
          </cell>
          <cell r="I1759" t="str">
            <v>Khách cũ</v>
          </cell>
          <cell r="J1759" t="str">
            <v>Đơn bán</v>
          </cell>
          <cell r="K1759" t="str">
            <v>SAKUKO728000</v>
          </cell>
          <cell r="L1759" t="str">
            <v>THỰC PHẨM</v>
          </cell>
          <cell r="M1759" t="str">
            <v>MỲ, MIẾN</v>
          </cell>
          <cell r="N1759" t="str">
            <v>MỲ ĂN LIỀN</v>
          </cell>
          <cell r="O1759" t="str">
            <v>153693</v>
          </cell>
          <cell r="P1759" t="str">
            <v>4902881066440</v>
          </cell>
          <cell r="Q1759" t="str">
            <v>MYOJO- Mỳ ramen vị miso 5 gói</v>
          </cell>
          <cell r="R1759">
            <v>105000</v>
          </cell>
          <cell r="S1759">
            <v>1</v>
          </cell>
          <cell r="T1759">
            <v>105000</v>
          </cell>
          <cell r="U1759">
            <v>0</v>
          </cell>
          <cell r="V1759">
            <v>105000</v>
          </cell>
          <cell r="W1759" t="str">
            <v>4902881066440</v>
          </cell>
        </row>
        <row r="1760">
          <cell r="A1760">
            <v>2026</v>
          </cell>
          <cell r="B1760">
            <v>4</v>
          </cell>
          <cell r="C1760">
            <v>46116</v>
          </cell>
          <cell r="D1760" t="str">
            <v>1. SKK store</v>
          </cell>
          <cell r="E1760" t="str">
            <v>S1007</v>
          </cell>
          <cell r="F1760" t="str">
            <v>SKK  Nguyễn Du</v>
          </cell>
          <cell r="G1760" t="str">
            <v>0915109816</v>
          </cell>
          <cell r="H1760" t="str">
            <v>Cô Ứng T Phương Anh</v>
          </cell>
          <cell r="I1760" t="str">
            <v>Khách mới</v>
          </cell>
          <cell r="J1760" t="str">
            <v>Đơn bán</v>
          </cell>
          <cell r="K1760" t="str">
            <v>SAKUKO727673</v>
          </cell>
          <cell r="L1760" t="str">
            <v>THỰC PHẨM</v>
          </cell>
          <cell r="M1760" t="str">
            <v>MỲ, MIẾN</v>
          </cell>
          <cell r="N1760" t="str">
            <v>MỲ ĂN LIỀN</v>
          </cell>
          <cell r="O1760" t="str">
            <v>154198</v>
          </cell>
          <cell r="P1760" t="str">
            <v>4979397000145</v>
          </cell>
          <cell r="Q1760" t="str">
            <v>YAMAMOTO_Mì ramen ăn liền vị miso 90g*5</v>
          </cell>
          <cell r="R1760">
            <v>99000</v>
          </cell>
          <cell r="S1760">
            <v>1</v>
          </cell>
          <cell r="T1760">
            <v>99000</v>
          </cell>
          <cell r="U1760">
            <v>0</v>
          </cell>
          <cell r="V1760">
            <v>99000</v>
          </cell>
          <cell r="W1760" t="str">
            <v>4979397000145</v>
          </cell>
        </row>
        <row r="1761">
          <cell r="A1761">
            <v>2026</v>
          </cell>
          <cell r="B1761">
            <v>4</v>
          </cell>
          <cell r="C1761">
            <v>46116</v>
          </cell>
          <cell r="D1761" t="str">
            <v>1. SKK store</v>
          </cell>
          <cell r="E1761" t="str">
            <v>S1008</v>
          </cell>
          <cell r="F1761" t="str">
            <v>SKK  Hàng Bông</v>
          </cell>
          <cell r="G1761" t="str">
            <v>0912044362</v>
          </cell>
          <cell r="H1761" t="str">
            <v>chị Dương Bảo Ngọc</v>
          </cell>
          <cell r="I1761" t="str">
            <v>Khách cũ</v>
          </cell>
          <cell r="J1761" t="str">
            <v>Đơn bán</v>
          </cell>
          <cell r="K1761" t="str">
            <v>SAKUKO727444</v>
          </cell>
          <cell r="L1761" t="str">
            <v>THỰC PHẨM</v>
          </cell>
          <cell r="M1761" t="str">
            <v>MỲ, MIẾN</v>
          </cell>
          <cell r="N1761" t="str">
            <v>MỲ CHẾ BIẾN</v>
          </cell>
          <cell r="O1761" t="str">
            <v>154249</v>
          </cell>
          <cell r="P1761" t="str">
            <v>4517244004627</v>
          </cell>
          <cell r="Q1761" t="str">
            <v>ASAHI_Mì udon khô 400g</v>
          </cell>
          <cell r="R1761">
            <v>69000</v>
          </cell>
          <cell r="S1761">
            <v>2</v>
          </cell>
          <cell r="T1761">
            <v>138000</v>
          </cell>
          <cell r="U1761">
            <v>0</v>
          </cell>
          <cell r="V1761">
            <v>138000</v>
          </cell>
          <cell r="W1761" t="str">
            <v>4517244004627</v>
          </cell>
        </row>
        <row r="1762">
          <cell r="A1762">
            <v>2026</v>
          </cell>
          <cell r="B1762">
            <v>4</v>
          </cell>
          <cell r="C1762">
            <v>46116</v>
          </cell>
          <cell r="D1762" t="str">
            <v>1. SKK store</v>
          </cell>
          <cell r="E1762" t="str">
            <v>S1015</v>
          </cell>
          <cell r="F1762" t="str">
            <v>SKK Hàm Nghi</v>
          </cell>
          <cell r="G1762" t="str">
            <v>0358068741</v>
          </cell>
          <cell r="H1762" t="str">
            <v>côthủy</v>
          </cell>
          <cell r="I1762" t="str">
            <v>Khách mới</v>
          </cell>
          <cell r="J1762" t="str">
            <v>Đơn bán</v>
          </cell>
          <cell r="K1762" t="str">
            <v>SAKUKO728337</v>
          </cell>
          <cell r="L1762" t="str">
            <v>THỰC PHẨM</v>
          </cell>
          <cell r="M1762" t="str">
            <v>MỲ, MIẾN</v>
          </cell>
          <cell r="N1762" t="str">
            <v>MỲ CHẾ BIẾN</v>
          </cell>
          <cell r="O1762" t="str">
            <v>174948</v>
          </cell>
          <cell r="P1762" t="str">
            <v>4582114354119</v>
          </cell>
          <cell r="Q1762" t="str">
            <v>SANUKISHISEI- Mì soumen 300g</v>
          </cell>
          <cell r="R1762">
            <v>35000</v>
          </cell>
          <cell r="S1762">
            <v>1</v>
          </cell>
          <cell r="T1762">
            <v>35000</v>
          </cell>
          <cell r="U1762">
            <v>0</v>
          </cell>
          <cell r="V1762">
            <v>35000</v>
          </cell>
          <cell r="W1762" t="str">
            <v>4582114354119</v>
          </cell>
        </row>
        <row r="1763">
          <cell r="A1763">
            <v>2026</v>
          </cell>
          <cell r="B1763">
            <v>4</v>
          </cell>
          <cell r="C1763">
            <v>46115</v>
          </cell>
          <cell r="D1763" t="str">
            <v>1. SKK store</v>
          </cell>
          <cell r="E1763" t="str">
            <v>S1006</v>
          </cell>
          <cell r="F1763" t="str">
            <v>SKK Trần Đăng Ninh</v>
          </cell>
          <cell r="G1763" t="str">
            <v>0862954688</v>
          </cell>
          <cell r="H1763" t="str">
            <v>KLTDN</v>
          </cell>
          <cell r="I1763" t="str">
            <v>Khách vãng lai</v>
          </cell>
          <cell r="J1763" t="str">
            <v>Đơn bán</v>
          </cell>
          <cell r="K1763" t="str">
            <v>SAKUKO726663</v>
          </cell>
          <cell r="L1763" t="str">
            <v>THỰC PHẨM</v>
          </cell>
          <cell r="M1763" t="str">
            <v>MỲ, MIẾN</v>
          </cell>
          <cell r="N1763" t="str">
            <v>MỲ ĂN LIỀN</v>
          </cell>
          <cell r="O1763" t="str">
            <v>154359</v>
          </cell>
          <cell r="P1763" t="str">
            <v>4979397000138</v>
          </cell>
          <cell r="Q1763" t="str">
            <v>YAMAMOTO- Mì ramen ăn liền hải sản thịt heo 88g*5</v>
          </cell>
          <cell r="R1763">
            <v>99000</v>
          </cell>
          <cell r="S1763">
            <v>1</v>
          </cell>
          <cell r="T1763">
            <v>99000</v>
          </cell>
          <cell r="U1763">
            <v>0</v>
          </cell>
          <cell r="V1763">
            <v>99000</v>
          </cell>
          <cell r="W1763" t="str">
            <v>4979397000138</v>
          </cell>
        </row>
        <row r="1764">
          <cell r="A1764">
            <v>2026</v>
          </cell>
          <cell r="B1764">
            <v>4</v>
          </cell>
          <cell r="C1764">
            <v>46115</v>
          </cell>
          <cell r="D1764" t="str">
            <v>1. SKK store</v>
          </cell>
          <cell r="E1764" t="str">
            <v>S1006</v>
          </cell>
          <cell r="F1764" t="str">
            <v>SKK Trần Đăng Ninh</v>
          </cell>
          <cell r="G1764" t="str">
            <v>0975291368</v>
          </cell>
          <cell r="H1764" t="str">
            <v>Chú Sơn</v>
          </cell>
          <cell r="I1764" t="str">
            <v>Khách cũ</v>
          </cell>
          <cell r="J1764" t="str">
            <v>Đơn bán</v>
          </cell>
          <cell r="K1764" t="str">
            <v>SAKUKO727218</v>
          </cell>
          <cell r="L1764" t="str">
            <v>THỰC PHẨM</v>
          </cell>
          <cell r="M1764" t="str">
            <v>MỲ, MIẾN</v>
          </cell>
          <cell r="N1764" t="str">
            <v>MỲ ĂN LIỀN</v>
          </cell>
          <cell r="O1764" t="str">
            <v>154196</v>
          </cell>
          <cell r="P1764" t="str">
            <v>4979397000152</v>
          </cell>
          <cell r="Q1764" t="str">
            <v>YAMAMOTO_Mì xào kiểu Nhật 89g*5</v>
          </cell>
          <cell r="R1764">
            <v>99000</v>
          </cell>
          <cell r="S1764">
            <v>1</v>
          </cell>
          <cell r="T1764">
            <v>99000</v>
          </cell>
          <cell r="U1764">
            <v>0</v>
          </cell>
          <cell r="V1764">
            <v>99000</v>
          </cell>
          <cell r="W1764" t="str">
            <v>4979397000152</v>
          </cell>
        </row>
        <row r="1765">
          <cell r="A1765">
            <v>2026</v>
          </cell>
          <cell r="B1765">
            <v>4</v>
          </cell>
          <cell r="C1765">
            <v>46115</v>
          </cell>
          <cell r="D1765" t="str">
            <v>1. SKK store</v>
          </cell>
          <cell r="E1765" t="str">
            <v>S1007</v>
          </cell>
          <cell r="F1765" t="str">
            <v>SKK  Nguyễn Du</v>
          </cell>
          <cell r="G1765" t="str">
            <v>0862954339</v>
          </cell>
          <cell r="H1765" t="str">
            <v>Klnd</v>
          </cell>
          <cell r="I1765" t="str">
            <v>Khách vãng lai</v>
          </cell>
          <cell r="J1765" t="str">
            <v>Đơn bán</v>
          </cell>
          <cell r="K1765" t="str">
            <v>SAKUKO726760</v>
          </cell>
          <cell r="L1765" t="str">
            <v>THỰC PHẨM</v>
          </cell>
          <cell r="M1765" t="str">
            <v>MỲ, MIẾN</v>
          </cell>
          <cell r="N1765" t="str">
            <v>MỲ ĂN LIỀN</v>
          </cell>
          <cell r="O1765" t="str">
            <v>153693</v>
          </cell>
          <cell r="P1765" t="str">
            <v>4902881066440</v>
          </cell>
          <cell r="Q1765" t="str">
            <v>MYOJO- Mỳ ramen vị miso 5 gói</v>
          </cell>
          <cell r="R1765">
            <v>105000</v>
          </cell>
          <cell r="S1765">
            <v>1</v>
          </cell>
          <cell r="T1765">
            <v>105000</v>
          </cell>
          <cell r="U1765">
            <v>0</v>
          </cell>
          <cell r="V1765">
            <v>105000</v>
          </cell>
          <cell r="W1765" t="str">
            <v>4902881066440</v>
          </cell>
        </row>
        <row r="1766">
          <cell r="A1766">
            <v>2026</v>
          </cell>
          <cell r="B1766">
            <v>4</v>
          </cell>
          <cell r="C1766">
            <v>46115</v>
          </cell>
          <cell r="D1766" t="str">
            <v>1. SKK store</v>
          </cell>
          <cell r="E1766" t="str">
            <v>S1008</v>
          </cell>
          <cell r="F1766" t="str">
            <v>SKK  Hàng Bông</v>
          </cell>
          <cell r="G1766" t="str">
            <v>0915111616</v>
          </cell>
          <cell r="H1766" t="str">
            <v>c cHI</v>
          </cell>
          <cell r="I1766" t="str">
            <v>Khách cũ</v>
          </cell>
          <cell r="J1766" t="str">
            <v>Đơn bán</v>
          </cell>
          <cell r="K1766" t="str">
            <v>SAKUKO726415</v>
          </cell>
          <cell r="L1766" t="str">
            <v>THỰC PHẨM</v>
          </cell>
          <cell r="M1766" t="str">
            <v>MỲ, MIẾN</v>
          </cell>
          <cell r="N1766" t="str">
            <v>MỲ ĂN LIỀN</v>
          </cell>
          <cell r="O1766" t="str">
            <v>154359</v>
          </cell>
          <cell r="P1766" t="str">
            <v>4979397000138</v>
          </cell>
          <cell r="Q1766" t="str">
            <v>YAMAMOTO- Mì ramen ăn liền hải sản thịt heo 88g*5</v>
          </cell>
          <cell r="R1766">
            <v>99000</v>
          </cell>
          <cell r="S1766">
            <v>2</v>
          </cell>
          <cell r="T1766">
            <v>198000</v>
          </cell>
          <cell r="U1766">
            <v>0</v>
          </cell>
          <cell r="V1766">
            <v>198000</v>
          </cell>
          <cell r="W1766" t="str">
            <v>4979397000138</v>
          </cell>
        </row>
        <row r="1767">
          <cell r="A1767">
            <v>2026</v>
          </cell>
          <cell r="B1767">
            <v>4</v>
          </cell>
          <cell r="C1767">
            <v>46115</v>
          </cell>
          <cell r="D1767" t="str">
            <v>1. SKK store</v>
          </cell>
          <cell r="E1767" t="str">
            <v>S1015</v>
          </cell>
          <cell r="F1767" t="str">
            <v>SKK Hàm Nghi</v>
          </cell>
          <cell r="G1767" t="str">
            <v>0705085836</v>
          </cell>
          <cell r="H1767" t="str">
            <v>Sơn</v>
          </cell>
          <cell r="I1767" t="str">
            <v>Khách cũ</v>
          </cell>
          <cell r="J1767" t="str">
            <v>Đơn bán</v>
          </cell>
          <cell r="K1767" t="str">
            <v>SAKUKO727129</v>
          </cell>
          <cell r="L1767" t="str">
            <v>THỰC PHẨM</v>
          </cell>
          <cell r="M1767" t="str">
            <v>MỲ, MIẾN</v>
          </cell>
          <cell r="N1767" t="str">
            <v>MỲ ĂN LIỀN</v>
          </cell>
          <cell r="O1767" t="str">
            <v>154196</v>
          </cell>
          <cell r="P1767" t="str">
            <v>4979397000152</v>
          </cell>
          <cell r="Q1767" t="str">
            <v>YAMAMOTO_Mì xào kiểu Nhật 89g*5</v>
          </cell>
          <cell r="R1767">
            <v>99000</v>
          </cell>
          <cell r="S1767">
            <v>1</v>
          </cell>
          <cell r="T1767">
            <v>99000</v>
          </cell>
          <cell r="U1767">
            <v>0</v>
          </cell>
          <cell r="V1767">
            <v>99000</v>
          </cell>
          <cell r="W1767" t="str">
            <v>4979397000152</v>
          </cell>
        </row>
        <row r="1768">
          <cell r="A1768">
            <v>2026</v>
          </cell>
          <cell r="B1768">
            <v>4</v>
          </cell>
          <cell r="C1768">
            <v>46115</v>
          </cell>
          <cell r="D1768" t="str">
            <v>1. SKK store</v>
          </cell>
          <cell r="E1768" t="str">
            <v>S1015</v>
          </cell>
          <cell r="F1768" t="str">
            <v>SKK Hàm Nghi</v>
          </cell>
          <cell r="G1768" t="str">
            <v>0962446866</v>
          </cell>
          <cell r="H1768" t="str">
            <v>Chị Tú</v>
          </cell>
          <cell r="I1768" t="str">
            <v>Khách cũ</v>
          </cell>
          <cell r="J1768" t="str">
            <v>Đơn bán</v>
          </cell>
          <cell r="K1768" t="str">
            <v>SAKUKO727206</v>
          </cell>
          <cell r="L1768" t="str">
            <v>THỰC PHẨM</v>
          </cell>
          <cell r="M1768" t="str">
            <v>MỲ, MIẾN</v>
          </cell>
          <cell r="N1768" t="str">
            <v>MỲ ĂN LIỀN</v>
          </cell>
          <cell r="O1768" t="str">
            <v>154196</v>
          </cell>
          <cell r="P1768" t="str">
            <v>4979397000152</v>
          </cell>
          <cell r="Q1768" t="str">
            <v>YAMAMOTO_Mì xào kiểu Nhật 89g*5</v>
          </cell>
          <cell r="R1768">
            <v>99000</v>
          </cell>
          <cell r="S1768">
            <v>1</v>
          </cell>
          <cell r="T1768">
            <v>99000</v>
          </cell>
          <cell r="U1768">
            <v>0</v>
          </cell>
          <cell r="V1768">
            <v>99000</v>
          </cell>
          <cell r="W1768" t="str">
            <v>4979397000152</v>
          </cell>
        </row>
        <row r="1769">
          <cell r="A1769">
            <v>2026</v>
          </cell>
          <cell r="B1769">
            <v>4</v>
          </cell>
          <cell r="C1769">
            <v>46114</v>
          </cell>
          <cell r="D1769" t="str">
            <v>1. SKK store</v>
          </cell>
          <cell r="E1769" t="str">
            <v>S1004</v>
          </cell>
          <cell r="F1769" t="str">
            <v>SKK  Mandarin C1</v>
          </cell>
          <cell r="G1769" t="str">
            <v>0983681539</v>
          </cell>
          <cell r="H1769" t="str">
            <v>Chị Trần Thị Huyền Tâm</v>
          </cell>
          <cell r="I1769" t="str">
            <v>Khách cũ</v>
          </cell>
          <cell r="J1769" t="str">
            <v>Đơn bán</v>
          </cell>
          <cell r="K1769" t="str">
            <v>SAKUKO725374</v>
          </cell>
          <cell r="L1769" t="str">
            <v>THỰC PHẨM</v>
          </cell>
          <cell r="M1769" t="str">
            <v>MỲ, MIẾN</v>
          </cell>
          <cell r="N1769" t="str">
            <v>MỲ CHẾ BIẾN</v>
          </cell>
          <cell r="O1769" t="str">
            <v>174948</v>
          </cell>
          <cell r="P1769" t="str">
            <v>4582114354119</v>
          </cell>
          <cell r="Q1769" t="str">
            <v>SANUKISHISEI- Mì soumen 300g</v>
          </cell>
          <cell r="R1769">
            <v>35000</v>
          </cell>
          <cell r="S1769">
            <v>1</v>
          </cell>
          <cell r="T1769">
            <v>35000</v>
          </cell>
          <cell r="U1769">
            <v>0</v>
          </cell>
          <cell r="V1769">
            <v>35000</v>
          </cell>
          <cell r="W1769" t="str">
            <v>4582114354119</v>
          </cell>
        </row>
        <row r="1770">
          <cell r="A1770">
            <v>2026</v>
          </cell>
          <cell r="B1770">
            <v>4</v>
          </cell>
          <cell r="C1770">
            <v>46114</v>
          </cell>
          <cell r="D1770" t="str">
            <v>1. SKK store</v>
          </cell>
          <cell r="E1770" t="str">
            <v>S1004</v>
          </cell>
          <cell r="F1770" t="str">
            <v>SKK  Mandarin C1</v>
          </cell>
          <cell r="G1770" t="str">
            <v>0989550937</v>
          </cell>
          <cell r="H1770" t="str">
            <v>Thoa</v>
          </cell>
          <cell r="I1770" t="str">
            <v>Khách cũ</v>
          </cell>
          <cell r="J1770" t="str">
            <v>Đơn bán</v>
          </cell>
          <cell r="K1770" t="str">
            <v>SAKUKO725118</v>
          </cell>
          <cell r="L1770" t="str">
            <v>THỰC PHẨM</v>
          </cell>
          <cell r="M1770" t="str">
            <v>MỲ, MIẾN</v>
          </cell>
          <cell r="N1770" t="str">
            <v>MỲ CHẾ BIẾN</v>
          </cell>
          <cell r="O1770" t="str">
            <v>175435</v>
          </cell>
          <cell r="P1770" t="str">
            <v>4901726014752</v>
          </cell>
          <cell r="Q1770" t="str">
            <v>ITSUKI FOODS- Mì soumen rau củ ngũ sắc320g</v>
          </cell>
          <cell r="R1770">
            <v>76000</v>
          </cell>
          <cell r="S1770">
            <v>1</v>
          </cell>
          <cell r="T1770">
            <v>76000</v>
          </cell>
          <cell r="U1770">
            <v>0</v>
          </cell>
          <cell r="V1770">
            <v>76000</v>
          </cell>
          <cell r="W1770" t="str">
            <v>4901726014752</v>
          </cell>
        </row>
        <row r="1771">
          <cell r="A1771">
            <v>2026</v>
          </cell>
          <cell r="B1771">
            <v>4</v>
          </cell>
          <cell r="C1771">
            <v>46114</v>
          </cell>
          <cell r="D1771" t="str">
            <v>1. SKK store</v>
          </cell>
          <cell r="E1771" t="str">
            <v>S1006</v>
          </cell>
          <cell r="F1771" t="str">
            <v>SKK Trần Đăng Ninh</v>
          </cell>
          <cell r="G1771" t="str">
            <v>0978394845</v>
          </cell>
          <cell r="H1771" t="str">
            <v>ANH DŨNG</v>
          </cell>
          <cell r="I1771" t="str">
            <v>Khách mới</v>
          </cell>
          <cell r="J1771" t="str">
            <v>Đơn bán</v>
          </cell>
          <cell r="K1771" t="str">
            <v>SAKUKO725869</v>
          </cell>
          <cell r="L1771" t="str">
            <v>THỰC PHẨM</v>
          </cell>
          <cell r="M1771" t="str">
            <v>MỲ, MIẾN</v>
          </cell>
          <cell r="N1771" t="str">
            <v>MỲ ĂN LIỀN</v>
          </cell>
          <cell r="O1771" t="str">
            <v>153693</v>
          </cell>
          <cell r="P1771" t="str">
            <v>4902881066440</v>
          </cell>
          <cell r="Q1771" t="str">
            <v>MYOJO- Mỳ ramen vị miso 5 gói</v>
          </cell>
          <cell r="R1771">
            <v>105000</v>
          </cell>
          <cell r="S1771">
            <v>1</v>
          </cell>
          <cell r="T1771">
            <v>105000</v>
          </cell>
          <cell r="U1771">
            <v>0</v>
          </cell>
          <cell r="V1771">
            <v>105000</v>
          </cell>
          <cell r="W1771" t="str">
            <v>4902881066440</v>
          </cell>
        </row>
        <row r="1772">
          <cell r="A1772">
            <v>2026</v>
          </cell>
          <cell r="B1772">
            <v>4</v>
          </cell>
          <cell r="C1772">
            <v>46114</v>
          </cell>
          <cell r="D1772" t="str">
            <v>1. SKK store</v>
          </cell>
          <cell r="E1772" t="str">
            <v>S1006</v>
          </cell>
          <cell r="F1772" t="str">
            <v>SKK Trần Đăng Ninh</v>
          </cell>
          <cell r="G1772" t="str">
            <v>0983069055</v>
          </cell>
          <cell r="H1772" t="str">
            <v>Cô Nguyễn Thúy Nga</v>
          </cell>
          <cell r="I1772" t="str">
            <v>Khách cũ</v>
          </cell>
          <cell r="J1772" t="str">
            <v>Đơn bán</v>
          </cell>
          <cell r="K1772" t="str">
            <v>SAKUKO725653</v>
          </cell>
          <cell r="L1772" t="str">
            <v>THỰC PHẨM</v>
          </cell>
          <cell r="M1772" t="str">
            <v>MỲ, MIẾN</v>
          </cell>
          <cell r="N1772" t="str">
            <v>MỲ ĂN LIỀN</v>
          </cell>
          <cell r="O1772" t="str">
            <v>154359</v>
          </cell>
          <cell r="P1772" t="str">
            <v>4979397000138</v>
          </cell>
          <cell r="Q1772" t="str">
            <v>YAMAMOTO- Mì ramen ăn liền hải sản thịt heo 88g*5</v>
          </cell>
          <cell r="R1772">
            <v>99000</v>
          </cell>
          <cell r="S1772">
            <v>1</v>
          </cell>
          <cell r="T1772">
            <v>99000</v>
          </cell>
          <cell r="U1772">
            <v>0</v>
          </cell>
          <cell r="V1772">
            <v>99000</v>
          </cell>
          <cell r="W1772" t="str">
            <v>4979397000138</v>
          </cell>
        </row>
        <row r="1773">
          <cell r="A1773">
            <v>2026</v>
          </cell>
          <cell r="B1773">
            <v>4</v>
          </cell>
          <cell r="C1773">
            <v>46114</v>
          </cell>
          <cell r="D1773" t="str">
            <v>1. SKK store</v>
          </cell>
          <cell r="E1773" t="str">
            <v>S1006</v>
          </cell>
          <cell r="F1773" t="str">
            <v>SKK Trần Đăng Ninh</v>
          </cell>
          <cell r="G1773" t="str">
            <v>0988882467</v>
          </cell>
          <cell r="H1773" t="str">
            <v>bac Các</v>
          </cell>
          <cell r="I1773" t="str">
            <v>Khách cũ</v>
          </cell>
          <cell r="J1773" t="str">
            <v>Đơn bán</v>
          </cell>
          <cell r="K1773" t="str">
            <v>SAKUKO725094</v>
          </cell>
          <cell r="L1773" t="str">
            <v>THỰC PHẨM</v>
          </cell>
          <cell r="M1773" t="str">
            <v>MỲ, MIẾN</v>
          </cell>
          <cell r="N1773" t="str">
            <v>MỲ CHẾ BIẾN</v>
          </cell>
          <cell r="O1773" t="str">
            <v>154247</v>
          </cell>
          <cell r="P1773" t="str">
            <v>4902902105004</v>
          </cell>
          <cell r="Q1773" t="str">
            <v>MALONY_Miến khoai tây 500g</v>
          </cell>
          <cell r="R1773">
            <v>139000</v>
          </cell>
          <cell r="S1773">
            <v>1</v>
          </cell>
          <cell r="T1773">
            <v>139000</v>
          </cell>
          <cell r="U1773">
            <v>0</v>
          </cell>
          <cell r="V1773">
            <v>139000</v>
          </cell>
          <cell r="W1773" t="str">
            <v>4902902105004</v>
          </cell>
        </row>
        <row r="1774">
          <cell r="A1774">
            <v>2026</v>
          </cell>
          <cell r="B1774">
            <v>4</v>
          </cell>
          <cell r="C1774">
            <v>46114</v>
          </cell>
          <cell r="D1774" t="str">
            <v>1. SKK store</v>
          </cell>
          <cell r="E1774" t="str">
            <v>S1008</v>
          </cell>
          <cell r="F1774" t="str">
            <v>SKK  Hàng Bông</v>
          </cell>
          <cell r="G1774" t="str">
            <v>02466810202</v>
          </cell>
          <cell r="H1774" t="str">
            <v>KH Tây</v>
          </cell>
          <cell r="I1774" t="str">
            <v>Khách vãng lai</v>
          </cell>
          <cell r="J1774" t="str">
            <v>Đơn bán</v>
          </cell>
          <cell r="K1774" t="str">
            <v>SAKUKO725567</v>
          </cell>
          <cell r="L1774" t="str">
            <v>THỰC PHẨM</v>
          </cell>
          <cell r="M1774" t="str">
            <v>MỲ, MIẾN</v>
          </cell>
          <cell r="N1774" t="str">
            <v>MỲ ĂN LIỀN</v>
          </cell>
          <cell r="O1774" t="str">
            <v>154359</v>
          </cell>
          <cell r="P1774" t="str">
            <v>4979397000138</v>
          </cell>
          <cell r="Q1774" t="str">
            <v>YAMAMOTO- Mì ramen ăn liền hải sản thịt heo 88g*5</v>
          </cell>
          <cell r="R1774">
            <v>99000</v>
          </cell>
          <cell r="S1774">
            <v>2</v>
          </cell>
          <cell r="T1774">
            <v>198000</v>
          </cell>
          <cell r="U1774">
            <v>0</v>
          </cell>
          <cell r="V1774">
            <v>198000</v>
          </cell>
          <cell r="W1774" t="str">
            <v>4979397000138</v>
          </cell>
        </row>
        <row r="1775">
          <cell r="A1775">
            <v>2026</v>
          </cell>
          <cell r="B1775">
            <v>4</v>
          </cell>
          <cell r="C1775">
            <v>46114</v>
          </cell>
          <cell r="D1775" t="str">
            <v>1. SKK store</v>
          </cell>
          <cell r="E1775" t="str">
            <v>S1008</v>
          </cell>
          <cell r="F1775" t="str">
            <v>SKK  Hàng Bông</v>
          </cell>
          <cell r="G1775" t="str">
            <v>0913231715</v>
          </cell>
          <cell r="H1775" t="str">
            <v>nguyễn thị mến</v>
          </cell>
          <cell r="I1775" t="str">
            <v>Khách cũ</v>
          </cell>
          <cell r="J1775" t="str">
            <v>Đơn bán</v>
          </cell>
          <cell r="K1775" t="str">
            <v>SAKUKO725411</v>
          </cell>
          <cell r="L1775" t="str">
            <v>THỰC PHẨM</v>
          </cell>
          <cell r="M1775" t="str">
            <v>MỲ, MIẾN</v>
          </cell>
          <cell r="N1775" t="str">
            <v>MỲ CHẾ BIẾN</v>
          </cell>
          <cell r="O1775" t="str">
            <v>175435</v>
          </cell>
          <cell r="P1775" t="str">
            <v>4901726014752</v>
          </cell>
          <cell r="Q1775" t="str">
            <v>ITSUKI FOODS- Mì soumen rau củ ngũ sắc320g</v>
          </cell>
          <cell r="R1775">
            <v>76000</v>
          </cell>
          <cell r="S1775">
            <v>1</v>
          </cell>
          <cell r="T1775">
            <v>76000</v>
          </cell>
          <cell r="U1775">
            <v>0</v>
          </cell>
          <cell r="V1775">
            <v>76000</v>
          </cell>
          <cell r="W1775" t="str">
            <v>4901726014752</v>
          </cell>
        </row>
        <row r="1776">
          <cell r="A1776">
            <v>2026</v>
          </cell>
          <cell r="B1776">
            <v>4</v>
          </cell>
          <cell r="C1776">
            <v>46113</v>
          </cell>
          <cell r="D1776" t="str">
            <v>1. SKK store</v>
          </cell>
          <cell r="E1776" t="str">
            <v>S1006</v>
          </cell>
          <cell r="F1776" t="str">
            <v>SKK Trần Đăng Ninh</v>
          </cell>
          <cell r="G1776" t="str">
            <v>0983031102</v>
          </cell>
          <cell r="H1776" t="str">
            <v>Chị Nguyễn Bích Thủy</v>
          </cell>
          <cell r="I1776" t="str">
            <v>Khách cũ</v>
          </cell>
          <cell r="J1776" t="str">
            <v>Đơn bán</v>
          </cell>
          <cell r="K1776" t="str">
            <v>SAKUKO724380</v>
          </cell>
          <cell r="L1776" t="str">
            <v>THỰC PHẨM</v>
          </cell>
          <cell r="M1776" t="str">
            <v>MỲ, MIẾN</v>
          </cell>
          <cell r="N1776" t="str">
            <v>MỲ ĂN LIỀN</v>
          </cell>
          <cell r="O1776" t="str">
            <v>154198</v>
          </cell>
          <cell r="P1776" t="str">
            <v>4979397000145</v>
          </cell>
          <cell r="Q1776" t="str">
            <v>YAMAMOTO_Mì ramen ăn liền vị miso 90g*5</v>
          </cell>
          <cell r="R1776">
            <v>99000</v>
          </cell>
          <cell r="S1776">
            <v>1</v>
          </cell>
          <cell r="T1776">
            <v>99000</v>
          </cell>
          <cell r="U1776">
            <v>0</v>
          </cell>
          <cell r="V1776">
            <v>99000</v>
          </cell>
          <cell r="W1776" t="str">
            <v>4979397000145</v>
          </cell>
        </row>
        <row r="1777">
          <cell r="A1777">
            <v>2026</v>
          </cell>
          <cell r="B1777">
            <v>4</v>
          </cell>
          <cell r="C1777">
            <v>46113</v>
          </cell>
          <cell r="D1777" t="str">
            <v>1. SKK store</v>
          </cell>
          <cell r="E1777" t="str">
            <v>S1025</v>
          </cell>
          <cell r="F1777" t="str">
            <v>SKK T6 Time City</v>
          </cell>
          <cell r="G1777" t="str">
            <v>0819171083</v>
          </cell>
          <cell r="H1777" t="str">
            <v>C Hoàng Anh</v>
          </cell>
          <cell r="I1777" t="str">
            <v>Khách mới</v>
          </cell>
          <cell r="J1777" t="str">
            <v>Đơn bán</v>
          </cell>
          <cell r="K1777" t="str">
            <v>SAKUKO724421</v>
          </cell>
          <cell r="L1777" t="str">
            <v>THỰC PHẨM</v>
          </cell>
          <cell r="M1777" t="str">
            <v>MỲ, MIẾN</v>
          </cell>
          <cell r="N1777" t="str">
            <v>MỲ CHẾ BIẾN</v>
          </cell>
          <cell r="O1777" t="str">
            <v>154251</v>
          </cell>
          <cell r="P1777" t="str">
            <v>4560159440776</v>
          </cell>
          <cell r="Q1777" t="str">
            <v>SATO_Mì soba khô 800g</v>
          </cell>
          <cell r="R1777">
            <v>104000</v>
          </cell>
          <cell r="S1777">
            <v>1</v>
          </cell>
          <cell r="T1777">
            <v>104000</v>
          </cell>
          <cell r="U1777">
            <v>0</v>
          </cell>
          <cell r="V1777">
            <v>104000</v>
          </cell>
          <cell r="W1777" t="str">
            <v>4560159440776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ương Thị Thùy" refreshedDate="46220.463582407407" backgroundQuery="1" createdVersion="8" refreshedVersion="8" minRefreshableVersion="3" recordCount="0" supportSubquery="1" supportAdvancedDrill="1" xr:uid="{90C51727-ABC5-485B-BCCB-21E0A74466A4}">
  <cacheSource type="external" connectionId="1"/>
  <cacheFields count="5">
    <cacheField name="[Range1].[Ngành].[Ngành]" caption="Ngành" numFmtId="0" hierarchy="11" level="1">
      <sharedItems count="4">
        <s v="CHĂM SÓC SẮC ĐẸP"/>
        <s v="ĐỒ CHO MẸ BÉ"/>
        <s v="NHÀ CỬA ĐỜI SỐNG"/>
        <s v="THỰC PHẨM"/>
      </sharedItems>
    </cacheField>
    <cacheField name="[Range1].[Tên ST].[Tên ST]" caption="Tên ST" numFmtId="0" hierarchy="5" level="1">
      <sharedItems count="8">
        <s v="SKK  Hàng Bông"/>
        <s v="SKK  Mandarin C1"/>
        <s v="SKK  Nguyễn Du"/>
        <s v="SKK  Thái Hà"/>
        <s v="SKK Hàm Nghi"/>
        <s v="SKK Nguyễn Tuân"/>
        <s v="SKK T6 Time City"/>
        <s v="SKK Trần Đăng Ninh"/>
      </sharedItems>
    </cacheField>
    <cacheField name="[Range1].[Tháng].[Tháng]" caption="Tháng" numFmtId="0" hierarchy="1" level="1">
      <sharedItems containsSemiMixedTypes="0" containsString="0" containsNumber="1" containsInteger="1" minValue="4" maxValue="7" count="4">
        <n v="4"/>
        <n v="5"/>
        <n v="6"/>
        <n v="7"/>
      </sharedItems>
      <extLst>
        <ext xmlns:x15="http://schemas.microsoft.com/office/spreadsheetml/2010/11/main" uri="{4F2E5C28-24EA-4eb8-9CBF-B6C8F9C3D259}">
          <x15:cachedUniqueNames>
            <x15:cachedUniqueName index="0" name="[Range1].[Tháng].&amp;[4]"/>
            <x15:cachedUniqueName index="1" name="[Range1].[Tháng].&amp;[5]"/>
            <x15:cachedUniqueName index="2" name="[Range1].[Tháng].&amp;[6]"/>
            <x15:cachedUniqueName index="3" name="[Range1].[Tháng].&amp;[7]"/>
          </x15:cachedUniqueNames>
        </ext>
      </extLst>
    </cacheField>
    <cacheField name="[Measures].[Sum of SLSP 2]" caption="Sum of SLSP 2" numFmtId="0" hierarchy="25" level="32767"/>
    <cacheField name="[Measures].[Sum of Thực thu 2]" caption="Sum of Thực thu 2" numFmtId="0" hierarchy="26" level="32767"/>
  </cacheFields>
  <cacheHierarchies count="27">
    <cacheHierarchy uniqueName="[Range1].[Năm]" caption="Năm" attribute="1" defaultMemberUniqueName="[Range1].[Năm].[All]" allUniqueName="[Range1].[Năm].[All]" dimensionUniqueName="[Range1]" displayFolder="" count="0" memberValueDatatype="20" unbalanced="0"/>
    <cacheHierarchy uniqueName="[Range1].[Tháng]" caption="Tháng" attribute="1" defaultMemberUniqueName="[Range1].[Tháng].[All]" allUniqueName="[Range1].[Tháng].[All]" dimensionUniqueName="[Range1]" displayFolder="" count="2" memberValueDatatype="20" unbalanced="0">
      <fieldsUsage count="2">
        <fieldUsage x="-1"/>
        <fieldUsage x="2"/>
      </fieldsUsage>
    </cacheHierarchy>
    <cacheHierarchy uniqueName="[Range1].[Ngày]" caption="Ngày" attribute="1" time="1" defaultMemberUniqueName="[Range1].[Ngày].[All]" allUniqueName="[Range1].[Ngày].[All]" dimensionUniqueName="[Range1]" displayFolder="" count="0" memberValueDatatype="7" unbalanced="0"/>
    <cacheHierarchy uniqueName="[Range1].[Kênh KD]" caption="Kênh KD" attribute="1" defaultMemberUniqueName="[Range1].[Kênh KD].[All]" allUniqueName="[Range1].[Kênh KD].[All]" dimensionUniqueName="[Range1]" displayFolder="" count="0" memberValueDatatype="130" unbalanced="0"/>
    <cacheHierarchy uniqueName="[Range1].[Mã ST]" caption="Mã ST" attribute="1" defaultMemberUniqueName="[Range1].[Mã ST].[All]" allUniqueName="[Range1].[Mã ST].[All]" dimensionUniqueName="[Range1]" displayFolder="" count="0" memberValueDatatype="130" unbalanced="0"/>
    <cacheHierarchy uniqueName="[Range1].[Tên ST]" caption="Tên ST" attribute="1" defaultMemberUniqueName="[Range1].[Tên ST].[All]" allUniqueName="[Range1].[Tên ST].[All]" dimensionUniqueName="[Range1]" displayFolder="" count="2" memberValueDatatype="130" unbalanced="0">
      <fieldsUsage count="2">
        <fieldUsage x="-1"/>
        <fieldUsage x="1"/>
      </fieldsUsage>
    </cacheHierarchy>
    <cacheHierarchy uniqueName="[Range1].[SĐT]" caption="SĐT" attribute="1" defaultMemberUniqueName="[Range1].[SĐT].[All]" allUniqueName="[Range1].[SĐT].[All]" dimensionUniqueName="[Range1]" displayFolder="" count="0" memberValueDatatype="130" unbalanced="0"/>
    <cacheHierarchy uniqueName="[Range1].[Tên khách]" caption="Tên khách" attribute="1" defaultMemberUniqueName="[Range1].[Tên khách].[All]" allUniqueName="[Range1].[Tên khách].[All]" dimensionUniqueName="[Range1]" displayFolder="" count="0" memberValueDatatype="130" unbalanced="0"/>
    <cacheHierarchy uniqueName="[Range1].[Nhóm khách]" caption="Nhóm khách" attribute="1" defaultMemberUniqueName="[Range1].[Nhóm khách].[All]" allUniqueName="[Range1].[Nhóm khách].[All]" dimensionUniqueName="[Range1]" displayFolder="" count="0" memberValueDatatype="130" unbalanced="0"/>
    <cacheHierarchy uniqueName="[Range1].[Loại đơn]" caption="Loại đơn" attribute="1" defaultMemberUniqueName="[Range1].[Loại đơn].[All]" allUniqueName="[Range1].[Loại đơn].[All]" dimensionUniqueName="[Range1]" displayFolder="" count="0" memberValueDatatype="130" unbalanced="0"/>
    <cacheHierarchy uniqueName="[Range1].[Mã chứng từ]" caption="Mã chứng từ" attribute="1" defaultMemberUniqueName="[Range1].[Mã chứng từ].[All]" allUniqueName="[Range1].[Mã chứng từ].[All]" dimensionUniqueName="[Range1]" displayFolder="" count="0" memberValueDatatype="130" unbalanced="0"/>
    <cacheHierarchy uniqueName="[Range1].[Ngành]" caption="Ngành" attribute="1" defaultMemberUniqueName="[Range1].[Ngành].[All]" allUniqueName="[Range1].[Ngành].[All]" dimensionUniqueName="[Range1]" displayFolder="" count="2" memberValueDatatype="130" unbalanced="0">
      <fieldsUsage count="2">
        <fieldUsage x="-1"/>
        <fieldUsage x="0"/>
      </fieldsUsage>
    </cacheHierarchy>
    <cacheHierarchy uniqueName="[Range1].[Nhóm]" caption="Nhóm" attribute="1" defaultMemberUniqueName="[Range1].[Nhóm].[All]" allUniqueName="[Range1].[Nhóm].[All]" dimensionUniqueName="[Range1]" displayFolder="" count="0" memberValueDatatype="130" unbalanced="0"/>
    <cacheHierarchy uniqueName="[Range1].[Loại]" caption="Loại" attribute="1" defaultMemberUniqueName="[Range1].[Loại].[All]" allUniqueName="[Range1].[Loại].[All]" dimensionUniqueName="[Range1]" displayFolder="" count="0" memberValueDatatype="130" unbalanced="0"/>
    <cacheHierarchy uniqueName="[Range1].[Item no]" caption="Item no" attribute="1" defaultMemberUniqueName="[Range1].[Item no].[All]" allUniqueName="[Range1].[Item no].[All]" dimensionUniqueName="[Range1]" displayFolder="" count="0" memberValueDatatype="130" unbalanced="0"/>
    <cacheHierarchy uniqueName="[Range1].[Barcode]" caption="Barcode" attribute="1" defaultMemberUniqueName="[Range1].[Barcode].[All]" allUniqueName="[Range1].[Barcode].[All]" dimensionUniqueName="[Range1]" displayFolder="" count="0" memberValueDatatype="130" unbalanced="0"/>
    <cacheHierarchy uniqueName="[Range1].[Tên SP]" caption="Tên SP" attribute="1" defaultMemberUniqueName="[Range1].[Tên SP].[All]" allUniqueName="[Range1].[Tên SP].[All]" dimensionUniqueName="[Range1]" displayFolder="" count="0" memberValueDatatype="130" unbalanced="0"/>
    <cacheHierarchy uniqueName="[Range1].[Giá BL]" caption="Giá BL" attribute="1" defaultMemberUniqueName="[Range1].[Giá BL].[All]" allUniqueName="[Range1].[Giá BL].[All]" dimensionUniqueName="[Range1]" displayFolder="" count="0" memberValueDatatype="20" unbalanced="0"/>
    <cacheHierarchy uniqueName="[Range1].[SLSP]" caption="SLSP" attribute="1" defaultMemberUniqueName="[Range1].[SLSP].[All]" allUniqueName="[Range1].[SLSP].[All]" dimensionUniqueName="[Range1]" displayFolder="" count="0" memberValueDatatype="20" unbalanced="0"/>
    <cacheHierarchy uniqueName="[Range1].[Thành tiền BL]" caption="Thành tiền BL" attribute="1" defaultMemberUniqueName="[Range1].[Thành tiền BL].[All]" allUniqueName="[Range1].[Thành tiền BL].[All]" dimensionUniqueName="[Range1]" displayFolder="" count="0" memberValueDatatype="20" unbalanced="0"/>
    <cacheHierarchy uniqueName="[Range1].[Tiền KM]" caption="Tiền KM" attribute="1" defaultMemberUniqueName="[Range1].[Tiền KM].[All]" allUniqueName="[Range1].[Tiền KM].[All]" dimensionUniqueName="[Range1]" displayFolder="" count="0" memberValueDatatype="20" unbalanced="0"/>
    <cacheHierarchy uniqueName="[Range1].[Thực thu]" caption="Thực thu" attribute="1" defaultMemberUniqueName="[Range1].[Thực thu].[All]" allUniqueName="[Range1].[Thực thu].[All]" dimensionUniqueName="[Range1]" displayFolder="" count="0" memberValueDatatype="20" unbalanced="0"/>
    <cacheHierarchy uniqueName="[Range1].[Mới]" caption="Mới" attribute="1" defaultMemberUniqueName="[Range1].[Mới].[All]" allUniqueName="[Range1].[Mới].[All]" dimensionUniqueName="[Range1]" displayFolder="" count="0" memberValueDatatype="130" unbalanced="0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SLSP 2]" caption="Sum of SLSP 2" measure="1" displayFolder="" measureGroup="Rang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hực thu 2]" caption="Sum of Thực thu 2" measure="1" displayFolder="" measureGroup="Rang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Range1" uniqueName="[Range1]" caption="Range1"/>
  </dimensions>
  <measureGroups count="1">
    <measureGroup name="Range1" caption="Rang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BCE18-E174-4F11-B221-8215002CD453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42" firstHeaderRow="1" firstDataRow="3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LSP" fld="3" baseField="0" baseItem="0"/>
    <dataField name="Sum of Thực thu" fld="4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5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W$1777">
        <x15:activeTabTopLevelEntity name="[Ran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99FC-AE2B-4FCE-B65C-4FC891649BE3}">
  <dimension ref="A2:I75"/>
  <sheetViews>
    <sheetView workbookViewId="0">
      <selection activeCell="M79" sqref="M79"/>
    </sheetView>
  </sheetViews>
  <sheetFormatPr defaultRowHeight="14.4" x14ac:dyDescent="0.3"/>
  <cols>
    <col min="6" max="6" width="14.109375" bestFit="1" customWidth="1"/>
    <col min="7" max="7" width="49" bestFit="1" customWidth="1"/>
  </cols>
  <sheetData>
    <row r="2" spans="1:9" ht="55.2" x14ac:dyDescent="0.3">
      <c r="A2" s="13" t="s">
        <v>156</v>
      </c>
      <c r="B2" s="13" t="s">
        <v>157</v>
      </c>
      <c r="C2" s="13" t="s">
        <v>158</v>
      </c>
      <c r="D2" s="13" t="s">
        <v>159</v>
      </c>
      <c r="E2" s="13" t="s">
        <v>160</v>
      </c>
      <c r="F2" s="13" t="s">
        <v>0</v>
      </c>
      <c r="G2" s="13" t="s">
        <v>1</v>
      </c>
      <c r="H2" s="13" t="s">
        <v>2</v>
      </c>
      <c r="I2" s="14" t="s">
        <v>161</v>
      </c>
    </row>
    <row r="3" spans="1:9" x14ac:dyDescent="0.3">
      <c r="A3" s="4" t="s">
        <v>162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120</v>
      </c>
      <c r="G3" s="4" t="s">
        <v>121</v>
      </c>
      <c r="H3" s="4" t="s">
        <v>122</v>
      </c>
      <c r="I3" s="5">
        <v>55000</v>
      </c>
    </row>
    <row r="4" spans="1:9" x14ac:dyDescent="0.3">
      <c r="A4" s="4" t="s">
        <v>162</v>
      </c>
      <c r="B4" s="4" t="s">
        <v>163</v>
      </c>
      <c r="C4" s="4" t="s">
        <v>167</v>
      </c>
      <c r="D4" s="4" t="s">
        <v>165</v>
      </c>
      <c r="E4" s="4" t="s">
        <v>166</v>
      </c>
      <c r="F4" s="4" t="s">
        <v>123</v>
      </c>
      <c r="G4" s="4" t="s">
        <v>124</v>
      </c>
      <c r="H4" s="4" t="s">
        <v>125</v>
      </c>
      <c r="I4" s="5">
        <v>85000</v>
      </c>
    </row>
    <row r="5" spans="1:9" x14ac:dyDescent="0.3">
      <c r="A5" s="4" t="s">
        <v>162</v>
      </c>
      <c r="B5" s="4" t="s">
        <v>163</v>
      </c>
      <c r="C5" s="4" t="s">
        <v>167</v>
      </c>
      <c r="D5" s="4" t="s">
        <v>165</v>
      </c>
      <c r="E5" s="4" t="s">
        <v>166</v>
      </c>
      <c r="F5" s="4" t="s">
        <v>126</v>
      </c>
      <c r="G5" s="4" t="s">
        <v>127</v>
      </c>
      <c r="H5" s="4" t="s">
        <v>128</v>
      </c>
      <c r="I5" s="5">
        <v>95000</v>
      </c>
    </row>
    <row r="6" spans="1:9" x14ac:dyDescent="0.3">
      <c r="A6" s="4" t="s">
        <v>168</v>
      </c>
      <c r="B6" s="4" t="s">
        <v>169</v>
      </c>
      <c r="C6" s="4" t="s">
        <v>170</v>
      </c>
      <c r="D6" s="4" t="s">
        <v>165</v>
      </c>
      <c r="E6" s="4" t="s">
        <v>166</v>
      </c>
      <c r="F6" s="4" t="s">
        <v>3</v>
      </c>
      <c r="G6" s="4" t="s">
        <v>4</v>
      </c>
      <c r="H6" s="4" t="s">
        <v>5</v>
      </c>
      <c r="I6" s="5">
        <v>435000</v>
      </c>
    </row>
    <row r="7" spans="1:9" x14ac:dyDescent="0.3">
      <c r="A7" s="4" t="s">
        <v>168</v>
      </c>
      <c r="B7" s="4" t="s">
        <v>169</v>
      </c>
      <c r="C7" s="4" t="s">
        <v>170</v>
      </c>
      <c r="D7" s="4" t="s">
        <v>165</v>
      </c>
      <c r="E7" s="4" t="s">
        <v>166</v>
      </c>
      <c r="F7" s="4" t="s">
        <v>6</v>
      </c>
      <c r="G7" s="4" t="s">
        <v>7</v>
      </c>
      <c r="H7" s="4" t="s">
        <v>8</v>
      </c>
      <c r="I7" s="5">
        <v>435000</v>
      </c>
    </row>
    <row r="8" spans="1:9" x14ac:dyDescent="0.3">
      <c r="A8" s="4" t="s">
        <v>168</v>
      </c>
      <c r="B8" s="4" t="s">
        <v>169</v>
      </c>
      <c r="C8" s="4" t="s">
        <v>170</v>
      </c>
      <c r="D8" s="4" t="s">
        <v>165</v>
      </c>
      <c r="E8" s="4" t="s">
        <v>166</v>
      </c>
      <c r="F8" s="4" t="s">
        <v>129</v>
      </c>
      <c r="G8" s="4" t="s">
        <v>130</v>
      </c>
      <c r="H8" s="4" t="s">
        <v>131</v>
      </c>
      <c r="I8" s="5">
        <v>535000</v>
      </c>
    </row>
    <row r="9" spans="1:9" x14ac:dyDescent="0.3">
      <c r="A9" s="4" t="s">
        <v>168</v>
      </c>
      <c r="B9" s="4" t="s">
        <v>171</v>
      </c>
      <c r="C9" s="4" t="s">
        <v>172</v>
      </c>
      <c r="D9" s="4" t="s">
        <v>165</v>
      </c>
      <c r="E9" s="4" t="s">
        <v>166</v>
      </c>
      <c r="F9" s="4" t="s">
        <v>132</v>
      </c>
      <c r="G9" s="4" t="s">
        <v>133</v>
      </c>
      <c r="H9" s="4" t="s">
        <v>134</v>
      </c>
      <c r="I9" s="5">
        <v>395000</v>
      </c>
    </row>
    <row r="10" spans="1:9" x14ac:dyDescent="0.3">
      <c r="A10" s="4" t="s">
        <v>168</v>
      </c>
      <c r="B10" s="4" t="s">
        <v>171</v>
      </c>
      <c r="C10" s="4" t="s">
        <v>172</v>
      </c>
      <c r="D10" s="4" t="s">
        <v>165</v>
      </c>
      <c r="E10" s="4" t="s">
        <v>166</v>
      </c>
      <c r="F10" s="4" t="s">
        <v>9</v>
      </c>
      <c r="G10" s="4" t="s">
        <v>10</v>
      </c>
      <c r="H10" s="4" t="s">
        <v>11</v>
      </c>
      <c r="I10" s="5">
        <v>129000</v>
      </c>
    </row>
    <row r="11" spans="1:9" x14ac:dyDescent="0.3">
      <c r="A11" s="4" t="s">
        <v>168</v>
      </c>
      <c r="B11" s="4" t="s">
        <v>171</v>
      </c>
      <c r="C11" s="4" t="s">
        <v>172</v>
      </c>
      <c r="D11" s="4" t="s">
        <v>165</v>
      </c>
      <c r="E11" s="4" t="s">
        <v>166</v>
      </c>
      <c r="F11" s="4" t="s">
        <v>12</v>
      </c>
      <c r="G11" s="4" t="s">
        <v>13</v>
      </c>
      <c r="H11" s="4" t="s">
        <v>14</v>
      </c>
      <c r="I11" s="5">
        <v>135000</v>
      </c>
    </row>
    <row r="12" spans="1:9" x14ac:dyDescent="0.3">
      <c r="A12" s="4" t="s">
        <v>168</v>
      </c>
      <c r="B12" s="4" t="s">
        <v>171</v>
      </c>
      <c r="C12" s="4" t="s">
        <v>173</v>
      </c>
      <c r="D12" s="4" t="s">
        <v>165</v>
      </c>
      <c r="E12" s="4" t="s">
        <v>166</v>
      </c>
      <c r="F12" s="4" t="s">
        <v>15</v>
      </c>
      <c r="G12" s="4" t="s">
        <v>16</v>
      </c>
      <c r="H12" s="4" t="s">
        <v>17</v>
      </c>
      <c r="I12" s="5">
        <v>435000</v>
      </c>
    </row>
    <row r="13" spans="1:9" x14ac:dyDescent="0.3">
      <c r="A13" s="4" t="s">
        <v>168</v>
      </c>
      <c r="B13" s="4" t="s">
        <v>171</v>
      </c>
      <c r="C13" s="4" t="s">
        <v>173</v>
      </c>
      <c r="D13" s="4" t="s">
        <v>165</v>
      </c>
      <c r="E13" s="4" t="s">
        <v>166</v>
      </c>
      <c r="F13" s="4" t="s">
        <v>18</v>
      </c>
      <c r="G13" s="4" t="s">
        <v>19</v>
      </c>
      <c r="H13" s="4" t="s">
        <v>20</v>
      </c>
      <c r="I13" s="5">
        <v>455000</v>
      </c>
    </row>
    <row r="14" spans="1:9" x14ac:dyDescent="0.3">
      <c r="A14" s="4" t="s">
        <v>168</v>
      </c>
      <c r="B14" s="4" t="s">
        <v>171</v>
      </c>
      <c r="C14" s="4" t="s">
        <v>173</v>
      </c>
      <c r="D14" s="4" t="s">
        <v>165</v>
      </c>
      <c r="E14" s="4" t="s">
        <v>166</v>
      </c>
      <c r="F14" s="4" t="s">
        <v>21</v>
      </c>
      <c r="G14" s="4" t="s">
        <v>22</v>
      </c>
      <c r="H14" s="4" t="s">
        <v>23</v>
      </c>
      <c r="I14" s="5">
        <v>535000</v>
      </c>
    </row>
    <row r="15" spans="1:9" x14ac:dyDescent="0.3">
      <c r="A15" s="4" t="s">
        <v>168</v>
      </c>
      <c r="B15" s="4" t="s">
        <v>171</v>
      </c>
      <c r="C15" s="4" t="s">
        <v>173</v>
      </c>
      <c r="D15" s="4" t="s">
        <v>165</v>
      </c>
      <c r="E15" s="4" t="s">
        <v>166</v>
      </c>
      <c r="F15" s="4" t="s">
        <v>24</v>
      </c>
      <c r="G15" s="4" t="s">
        <v>25</v>
      </c>
      <c r="H15" s="4" t="s">
        <v>26</v>
      </c>
      <c r="I15" s="5">
        <v>555000</v>
      </c>
    </row>
    <row r="16" spans="1:9" x14ac:dyDescent="0.3">
      <c r="A16" s="4" t="s">
        <v>168</v>
      </c>
      <c r="B16" s="4" t="s">
        <v>171</v>
      </c>
      <c r="C16" s="4" t="s">
        <v>173</v>
      </c>
      <c r="D16" s="4" t="s">
        <v>165</v>
      </c>
      <c r="E16" s="4" t="s">
        <v>166</v>
      </c>
      <c r="F16" s="4" t="s">
        <v>27</v>
      </c>
      <c r="G16" s="4" t="s">
        <v>28</v>
      </c>
      <c r="H16" s="4" t="s">
        <v>29</v>
      </c>
      <c r="I16" s="5">
        <v>575000</v>
      </c>
    </row>
    <row r="17" spans="1:9" x14ac:dyDescent="0.3">
      <c r="A17" s="4" t="s">
        <v>168</v>
      </c>
      <c r="B17" s="4" t="s">
        <v>171</v>
      </c>
      <c r="C17" s="4" t="s">
        <v>174</v>
      </c>
      <c r="D17" s="4" t="s">
        <v>165</v>
      </c>
      <c r="E17" s="4" t="s">
        <v>166</v>
      </c>
      <c r="F17" s="4" t="s">
        <v>30</v>
      </c>
      <c r="G17" s="4" t="s">
        <v>31</v>
      </c>
      <c r="H17" s="4" t="s">
        <v>32</v>
      </c>
      <c r="I17" s="5">
        <v>455000</v>
      </c>
    </row>
    <row r="18" spans="1:9" x14ac:dyDescent="0.3">
      <c r="A18" s="4" t="s">
        <v>168</v>
      </c>
      <c r="B18" s="4" t="s">
        <v>171</v>
      </c>
      <c r="C18" s="4" t="s">
        <v>175</v>
      </c>
      <c r="D18" s="4" t="s">
        <v>165</v>
      </c>
      <c r="E18" s="4" t="s">
        <v>166</v>
      </c>
      <c r="F18" s="4" t="s">
        <v>33</v>
      </c>
      <c r="G18" s="4" t="s">
        <v>34</v>
      </c>
      <c r="H18" s="4" t="s">
        <v>35</v>
      </c>
      <c r="I18" s="5">
        <v>255000</v>
      </c>
    </row>
    <row r="19" spans="1:9" x14ac:dyDescent="0.3">
      <c r="A19" s="4" t="s">
        <v>168</v>
      </c>
      <c r="B19" s="4" t="s">
        <v>171</v>
      </c>
      <c r="C19" s="4" t="s">
        <v>175</v>
      </c>
      <c r="D19" s="4" t="s">
        <v>165</v>
      </c>
      <c r="E19" s="4" t="s">
        <v>166</v>
      </c>
      <c r="F19" s="4" t="s">
        <v>36</v>
      </c>
      <c r="G19" s="4" t="s">
        <v>37</v>
      </c>
      <c r="H19" s="4" t="s">
        <v>38</v>
      </c>
      <c r="I19" s="5">
        <v>290000</v>
      </c>
    </row>
    <row r="20" spans="1:9" x14ac:dyDescent="0.3">
      <c r="A20" s="4" t="s">
        <v>168</v>
      </c>
      <c r="B20" s="4" t="s">
        <v>171</v>
      </c>
      <c r="C20" s="4" t="s">
        <v>175</v>
      </c>
      <c r="D20" s="4" t="s">
        <v>165</v>
      </c>
      <c r="E20" s="4" t="s">
        <v>166</v>
      </c>
      <c r="F20" s="4" t="s">
        <v>39</v>
      </c>
      <c r="G20" s="4" t="s">
        <v>40</v>
      </c>
      <c r="H20" s="4" t="s">
        <v>41</v>
      </c>
      <c r="I20" s="5">
        <v>295000</v>
      </c>
    </row>
    <row r="21" spans="1:9" x14ac:dyDescent="0.3">
      <c r="A21" s="4" t="s">
        <v>168</v>
      </c>
      <c r="B21" s="4" t="s">
        <v>171</v>
      </c>
      <c r="C21" s="4" t="s">
        <v>175</v>
      </c>
      <c r="D21" s="4" t="s">
        <v>165</v>
      </c>
      <c r="E21" s="4" t="s">
        <v>166</v>
      </c>
      <c r="F21" s="4" t="s">
        <v>135</v>
      </c>
      <c r="G21" s="4" t="s">
        <v>136</v>
      </c>
      <c r="H21" s="4" t="s">
        <v>137</v>
      </c>
      <c r="I21" s="5">
        <v>100000</v>
      </c>
    </row>
    <row r="22" spans="1:9" x14ac:dyDescent="0.3">
      <c r="A22" s="4" t="s">
        <v>168</v>
      </c>
      <c r="B22" s="4" t="s">
        <v>171</v>
      </c>
      <c r="C22" s="4" t="s">
        <v>175</v>
      </c>
      <c r="D22" s="4" t="s">
        <v>176</v>
      </c>
      <c r="E22" s="4" t="s">
        <v>177</v>
      </c>
      <c r="F22" s="4" t="s">
        <v>138</v>
      </c>
      <c r="G22" s="4" t="s">
        <v>139</v>
      </c>
      <c r="H22" s="4" t="s">
        <v>140</v>
      </c>
      <c r="I22" s="5">
        <v>125000</v>
      </c>
    </row>
    <row r="23" spans="1:9" x14ac:dyDescent="0.3">
      <c r="A23" s="4" t="s">
        <v>168</v>
      </c>
      <c r="B23" s="4" t="s">
        <v>171</v>
      </c>
      <c r="C23" s="4" t="s">
        <v>175</v>
      </c>
      <c r="D23" s="4" t="s">
        <v>176</v>
      </c>
      <c r="E23" s="4" t="s">
        <v>178</v>
      </c>
      <c r="F23" s="4" t="s">
        <v>42</v>
      </c>
      <c r="G23" s="4" t="s">
        <v>43</v>
      </c>
      <c r="H23" s="4" t="s">
        <v>44</v>
      </c>
      <c r="I23" s="5">
        <v>294000</v>
      </c>
    </row>
    <row r="24" spans="1:9" x14ac:dyDescent="0.3">
      <c r="A24" s="4" t="s">
        <v>168</v>
      </c>
      <c r="B24" s="4" t="s">
        <v>179</v>
      </c>
      <c r="C24" s="4" t="s">
        <v>180</v>
      </c>
      <c r="D24" s="4" t="s">
        <v>165</v>
      </c>
      <c r="E24" s="4" t="s">
        <v>177</v>
      </c>
      <c r="F24" s="4" t="s">
        <v>141</v>
      </c>
      <c r="G24" s="4" t="s">
        <v>142</v>
      </c>
      <c r="H24" s="4" t="s">
        <v>143</v>
      </c>
      <c r="I24" s="5">
        <v>150000</v>
      </c>
    </row>
    <row r="25" spans="1:9" x14ac:dyDescent="0.3">
      <c r="A25" s="4" t="s">
        <v>168</v>
      </c>
      <c r="B25" s="4" t="s">
        <v>179</v>
      </c>
      <c r="C25" s="4" t="s">
        <v>180</v>
      </c>
      <c r="D25" s="4" t="s">
        <v>165</v>
      </c>
      <c r="E25" s="4" t="s">
        <v>177</v>
      </c>
      <c r="F25" s="4" t="s">
        <v>144</v>
      </c>
      <c r="G25" s="4" t="s">
        <v>145</v>
      </c>
      <c r="H25" s="4" t="s">
        <v>146</v>
      </c>
      <c r="I25" s="5">
        <v>150000</v>
      </c>
    </row>
    <row r="26" spans="1:9" x14ac:dyDescent="0.3">
      <c r="A26" s="4" t="s">
        <v>168</v>
      </c>
      <c r="B26" s="4" t="s">
        <v>179</v>
      </c>
      <c r="C26" s="4" t="s">
        <v>180</v>
      </c>
      <c r="D26" s="4" t="s">
        <v>165</v>
      </c>
      <c r="E26" s="4" t="s">
        <v>177</v>
      </c>
      <c r="F26" s="4" t="s">
        <v>147</v>
      </c>
      <c r="G26" s="4" t="s">
        <v>148</v>
      </c>
      <c r="H26" s="4" t="s">
        <v>149</v>
      </c>
      <c r="I26" s="5">
        <v>150000</v>
      </c>
    </row>
    <row r="27" spans="1:9" x14ac:dyDescent="0.3">
      <c r="A27" s="4" t="s">
        <v>168</v>
      </c>
      <c r="B27" s="4" t="s">
        <v>181</v>
      </c>
      <c r="C27" s="4" t="s">
        <v>182</v>
      </c>
      <c r="D27" s="4" t="s">
        <v>165</v>
      </c>
      <c r="E27" s="4" t="s">
        <v>166</v>
      </c>
      <c r="F27" s="4" t="s">
        <v>48</v>
      </c>
      <c r="G27" s="4" t="s">
        <v>49</v>
      </c>
      <c r="H27" s="4" t="s">
        <v>50</v>
      </c>
      <c r="I27" s="5">
        <v>49000</v>
      </c>
    </row>
    <row r="28" spans="1:9" x14ac:dyDescent="0.3">
      <c r="A28" s="4" t="s">
        <v>183</v>
      </c>
      <c r="B28" s="4" t="s">
        <v>184</v>
      </c>
      <c r="C28" s="4" t="s">
        <v>185</v>
      </c>
      <c r="D28" s="4" t="s">
        <v>165</v>
      </c>
      <c r="E28" s="4" t="s">
        <v>166</v>
      </c>
      <c r="F28" s="4" t="s">
        <v>45</v>
      </c>
      <c r="G28" s="4" t="s">
        <v>46</v>
      </c>
      <c r="H28" s="4" t="s">
        <v>47</v>
      </c>
      <c r="I28" s="5">
        <v>52000</v>
      </c>
    </row>
    <row r="29" spans="1:9" x14ac:dyDescent="0.3">
      <c r="A29" s="4" t="s">
        <v>183</v>
      </c>
      <c r="B29" s="4" t="s">
        <v>184</v>
      </c>
      <c r="C29" s="4" t="s">
        <v>185</v>
      </c>
      <c r="D29" s="4" t="s">
        <v>165</v>
      </c>
      <c r="E29" s="4" t="s">
        <v>166</v>
      </c>
      <c r="F29" s="4" t="s">
        <v>51</v>
      </c>
      <c r="G29" s="4" t="s">
        <v>52</v>
      </c>
      <c r="H29" s="4" t="s">
        <v>53</v>
      </c>
      <c r="I29" s="5">
        <v>45000</v>
      </c>
    </row>
    <row r="30" spans="1:9" x14ac:dyDescent="0.3">
      <c r="A30" s="4" t="s">
        <v>183</v>
      </c>
      <c r="B30" s="4" t="s">
        <v>186</v>
      </c>
      <c r="C30" s="4" t="s">
        <v>187</v>
      </c>
      <c r="D30" s="4" t="s">
        <v>165</v>
      </c>
      <c r="E30" s="4" t="s">
        <v>178</v>
      </c>
      <c r="F30" s="4" t="s">
        <v>150</v>
      </c>
      <c r="G30" s="4" t="s">
        <v>151</v>
      </c>
      <c r="H30" s="4" t="s">
        <v>152</v>
      </c>
      <c r="I30" s="5">
        <v>199000</v>
      </c>
    </row>
    <row r="31" spans="1:9" x14ac:dyDescent="0.3">
      <c r="A31" s="4" t="s">
        <v>183</v>
      </c>
      <c r="B31" s="4" t="s">
        <v>186</v>
      </c>
      <c r="C31" s="4" t="s">
        <v>188</v>
      </c>
      <c r="D31" s="4" t="s">
        <v>165</v>
      </c>
      <c r="E31" s="4" t="s">
        <v>177</v>
      </c>
      <c r="F31" s="4" t="s">
        <v>93</v>
      </c>
      <c r="G31" s="4" t="s">
        <v>94</v>
      </c>
      <c r="H31" s="4" t="s">
        <v>95</v>
      </c>
      <c r="I31" s="5">
        <v>239000</v>
      </c>
    </row>
    <row r="32" spans="1:9" x14ac:dyDescent="0.3">
      <c r="A32" s="4" t="s">
        <v>183</v>
      </c>
      <c r="B32" s="4" t="s">
        <v>186</v>
      </c>
      <c r="C32" s="4" t="s">
        <v>188</v>
      </c>
      <c r="D32" s="4" t="s">
        <v>165</v>
      </c>
      <c r="E32" s="4" t="s">
        <v>177</v>
      </c>
      <c r="F32" s="4" t="s">
        <v>96</v>
      </c>
      <c r="G32" s="4" t="s">
        <v>97</v>
      </c>
      <c r="H32" s="4" t="s">
        <v>98</v>
      </c>
      <c r="I32" s="5">
        <v>239000</v>
      </c>
    </row>
    <row r="33" spans="1:9" x14ac:dyDescent="0.3">
      <c r="A33" s="4" t="s">
        <v>183</v>
      </c>
      <c r="B33" s="4" t="s">
        <v>186</v>
      </c>
      <c r="C33" s="4" t="s">
        <v>188</v>
      </c>
      <c r="D33" s="4" t="s">
        <v>165</v>
      </c>
      <c r="E33" s="4" t="s">
        <v>177</v>
      </c>
      <c r="F33" s="4" t="s">
        <v>99</v>
      </c>
      <c r="G33" s="4" t="s">
        <v>100</v>
      </c>
      <c r="H33" s="4" t="s">
        <v>101</v>
      </c>
      <c r="I33" s="5">
        <v>199000</v>
      </c>
    </row>
    <row r="34" spans="1:9" x14ac:dyDescent="0.3">
      <c r="A34" s="4" t="s">
        <v>183</v>
      </c>
      <c r="B34" s="4" t="s">
        <v>186</v>
      </c>
      <c r="C34" s="4" t="s">
        <v>188</v>
      </c>
      <c r="D34" s="4" t="s">
        <v>165</v>
      </c>
      <c r="E34" s="4" t="s">
        <v>178</v>
      </c>
      <c r="F34" s="4" t="s">
        <v>153</v>
      </c>
      <c r="G34" s="4" t="s">
        <v>154</v>
      </c>
      <c r="H34" s="4" t="s">
        <v>155</v>
      </c>
      <c r="I34" s="5">
        <v>320000</v>
      </c>
    </row>
    <row r="35" spans="1:9" x14ac:dyDescent="0.3">
      <c r="A35" s="4" t="s">
        <v>183</v>
      </c>
      <c r="B35" s="4" t="s">
        <v>189</v>
      </c>
      <c r="C35" s="4" t="s">
        <v>190</v>
      </c>
      <c r="D35" s="4" t="s">
        <v>165</v>
      </c>
      <c r="E35" s="4" t="s">
        <v>166</v>
      </c>
      <c r="F35" s="4" t="s">
        <v>90</v>
      </c>
      <c r="G35" s="4" t="s">
        <v>91</v>
      </c>
      <c r="H35" s="4" t="s">
        <v>92</v>
      </c>
      <c r="I35" s="5">
        <v>52000</v>
      </c>
    </row>
    <row r="36" spans="1:9" x14ac:dyDescent="0.3">
      <c r="A36" s="4" t="s">
        <v>191</v>
      </c>
      <c r="B36" s="4" t="s">
        <v>192</v>
      </c>
      <c r="C36" s="4" t="s">
        <v>193</v>
      </c>
      <c r="D36" s="4" t="s">
        <v>165</v>
      </c>
      <c r="E36" s="4" t="s">
        <v>177</v>
      </c>
      <c r="F36" s="4" t="s">
        <v>102</v>
      </c>
      <c r="G36" s="4" t="s">
        <v>103</v>
      </c>
      <c r="H36" s="4" t="s">
        <v>104</v>
      </c>
      <c r="I36" s="5">
        <v>235000</v>
      </c>
    </row>
    <row r="37" spans="1:9" x14ac:dyDescent="0.3">
      <c r="A37" s="4" t="s">
        <v>191</v>
      </c>
      <c r="B37" s="4" t="s">
        <v>192</v>
      </c>
      <c r="C37" s="4" t="s">
        <v>193</v>
      </c>
      <c r="D37" s="4" t="s">
        <v>165</v>
      </c>
      <c r="E37" s="4" t="s">
        <v>177</v>
      </c>
      <c r="F37" s="4" t="s">
        <v>111</v>
      </c>
      <c r="G37" s="4" t="s">
        <v>112</v>
      </c>
      <c r="H37" s="4" t="s">
        <v>113</v>
      </c>
      <c r="I37" s="5">
        <v>235000</v>
      </c>
    </row>
    <row r="38" spans="1:9" x14ac:dyDescent="0.3">
      <c r="A38" s="4" t="s">
        <v>191</v>
      </c>
      <c r="B38" s="4" t="s">
        <v>192</v>
      </c>
      <c r="C38" s="4" t="s">
        <v>193</v>
      </c>
      <c r="D38" s="4" t="s">
        <v>165</v>
      </c>
      <c r="E38" s="4" t="s">
        <v>177</v>
      </c>
      <c r="F38" s="4" t="s">
        <v>105</v>
      </c>
      <c r="G38" s="4" t="s">
        <v>106</v>
      </c>
      <c r="H38" s="4" t="s">
        <v>107</v>
      </c>
      <c r="I38" s="5">
        <v>235000</v>
      </c>
    </row>
    <row r="39" spans="1:9" x14ac:dyDescent="0.3">
      <c r="A39" s="4" t="s">
        <v>191</v>
      </c>
      <c r="B39" s="4" t="s">
        <v>192</v>
      </c>
      <c r="C39" s="4" t="s">
        <v>193</v>
      </c>
      <c r="D39" s="4" t="s">
        <v>165</v>
      </c>
      <c r="E39" s="4" t="s">
        <v>177</v>
      </c>
      <c r="F39" s="4" t="s">
        <v>108</v>
      </c>
      <c r="G39" s="4" t="s">
        <v>109</v>
      </c>
      <c r="H39" s="4" t="s">
        <v>110</v>
      </c>
      <c r="I39" s="5">
        <v>235000</v>
      </c>
    </row>
    <row r="40" spans="1:9" x14ac:dyDescent="0.3">
      <c r="A40" s="4" t="s">
        <v>191</v>
      </c>
      <c r="B40" s="4" t="s">
        <v>192</v>
      </c>
      <c r="C40" s="4" t="s">
        <v>193</v>
      </c>
      <c r="D40" s="4" t="s">
        <v>165</v>
      </c>
      <c r="E40" s="4" t="s">
        <v>177</v>
      </c>
      <c r="F40" s="4" t="s">
        <v>117</v>
      </c>
      <c r="G40" s="4" t="s">
        <v>118</v>
      </c>
      <c r="H40" s="4" t="s">
        <v>119</v>
      </c>
      <c r="I40" s="5">
        <v>235000</v>
      </c>
    </row>
    <row r="41" spans="1:9" x14ac:dyDescent="0.3">
      <c r="A41" s="4" t="s">
        <v>191</v>
      </c>
      <c r="B41" s="4" t="s">
        <v>192</v>
      </c>
      <c r="C41" s="4" t="s">
        <v>193</v>
      </c>
      <c r="D41" s="4" t="s">
        <v>165</v>
      </c>
      <c r="E41" s="4" t="s">
        <v>166</v>
      </c>
      <c r="F41" s="4" t="s">
        <v>114</v>
      </c>
      <c r="G41" s="4" t="s">
        <v>115</v>
      </c>
      <c r="H41" s="4" t="s">
        <v>116</v>
      </c>
      <c r="I41" s="5">
        <v>235000</v>
      </c>
    </row>
    <row r="42" spans="1:9" x14ac:dyDescent="0.3">
      <c r="A42" s="4" t="s">
        <v>191</v>
      </c>
      <c r="B42" s="4" t="s">
        <v>335</v>
      </c>
      <c r="C42" s="4" t="s">
        <v>337</v>
      </c>
      <c r="D42" s="4" t="s">
        <v>165</v>
      </c>
      <c r="E42" s="4" t="s">
        <v>166</v>
      </c>
      <c r="F42" s="4" t="s">
        <v>2579</v>
      </c>
      <c r="G42" s="4" t="s">
        <v>2580</v>
      </c>
      <c r="H42" s="4" t="s">
        <v>2578</v>
      </c>
      <c r="I42" s="5">
        <v>18000</v>
      </c>
    </row>
    <row r="43" spans="1:9" x14ac:dyDescent="0.3">
      <c r="A43" s="4" t="s">
        <v>191</v>
      </c>
      <c r="B43" s="4" t="s">
        <v>335</v>
      </c>
      <c r="C43" s="4" t="s">
        <v>337</v>
      </c>
      <c r="D43" s="4" t="s">
        <v>165</v>
      </c>
      <c r="E43" s="4" t="s">
        <v>166</v>
      </c>
      <c r="F43" s="4" t="s">
        <v>2558</v>
      </c>
      <c r="G43" s="4" t="s">
        <v>2559</v>
      </c>
      <c r="H43" s="4" t="s">
        <v>2557</v>
      </c>
      <c r="I43" s="5">
        <v>24000</v>
      </c>
    </row>
    <row r="44" spans="1:9" x14ac:dyDescent="0.3">
      <c r="A44" s="4" t="s">
        <v>191</v>
      </c>
      <c r="B44" s="4" t="s">
        <v>335</v>
      </c>
      <c r="C44" s="4" t="s">
        <v>337</v>
      </c>
      <c r="D44" s="4" t="s">
        <v>165</v>
      </c>
      <c r="E44" s="4" t="s">
        <v>178</v>
      </c>
      <c r="F44" s="4" t="s">
        <v>542</v>
      </c>
      <c r="G44" s="4" t="s">
        <v>543</v>
      </c>
      <c r="H44" s="4" t="s">
        <v>541</v>
      </c>
      <c r="I44" s="5">
        <v>69000</v>
      </c>
    </row>
    <row r="45" spans="1:9" x14ac:dyDescent="0.3">
      <c r="A45" s="4" t="s">
        <v>191</v>
      </c>
      <c r="B45" s="4" t="s">
        <v>335</v>
      </c>
      <c r="C45" s="4" t="s">
        <v>337</v>
      </c>
      <c r="D45" s="4" t="s">
        <v>165</v>
      </c>
      <c r="E45" s="4" t="s">
        <v>178</v>
      </c>
      <c r="F45" s="4" t="s">
        <v>720</v>
      </c>
      <c r="G45" s="4" t="s">
        <v>721</v>
      </c>
      <c r="H45" s="4" t="s">
        <v>719</v>
      </c>
      <c r="I45" s="5">
        <v>104000</v>
      </c>
    </row>
    <row r="46" spans="1:9" x14ac:dyDescent="0.3">
      <c r="A46" s="4" t="s">
        <v>191</v>
      </c>
      <c r="B46" s="4" t="s">
        <v>335</v>
      </c>
      <c r="C46" s="4" t="s">
        <v>337</v>
      </c>
      <c r="D46" s="4" t="s">
        <v>165</v>
      </c>
      <c r="E46" s="4" t="s">
        <v>178</v>
      </c>
      <c r="F46" s="4" t="s">
        <v>657</v>
      </c>
      <c r="G46" s="4" t="s">
        <v>658</v>
      </c>
      <c r="H46" s="4" t="s">
        <v>656</v>
      </c>
      <c r="I46" s="5">
        <v>35000</v>
      </c>
    </row>
    <row r="47" spans="1:9" x14ac:dyDescent="0.3">
      <c r="A47" s="4" t="s">
        <v>191</v>
      </c>
      <c r="B47" s="4" t="s">
        <v>335</v>
      </c>
      <c r="C47" s="4" t="s">
        <v>337</v>
      </c>
      <c r="D47" s="4" t="s">
        <v>165</v>
      </c>
      <c r="E47" s="4" t="s">
        <v>178</v>
      </c>
      <c r="F47" s="4" t="s">
        <v>349</v>
      </c>
      <c r="G47" s="4" t="s">
        <v>350</v>
      </c>
      <c r="H47" s="4" t="s">
        <v>348</v>
      </c>
      <c r="I47" s="5">
        <v>76000</v>
      </c>
    </row>
    <row r="48" spans="1:9" x14ac:dyDescent="0.3">
      <c r="A48" s="4" t="s">
        <v>191</v>
      </c>
      <c r="B48" s="4" t="s">
        <v>335</v>
      </c>
      <c r="C48" s="4" t="s">
        <v>337</v>
      </c>
      <c r="D48" s="4" t="s">
        <v>165</v>
      </c>
      <c r="E48" s="4" t="s">
        <v>178</v>
      </c>
      <c r="F48" s="4" t="s">
        <v>865</v>
      </c>
      <c r="G48" s="4" t="s">
        <v>866</v>
      </c>
      <c r="H48" s="4" t="s">
        <v>864</v>
      </c>
      <c r="I48" s="5">
        <v>139000</v>
      </c>
    </row>
    <row r="49" spans="1:9" x14ac:dyDescent="0.3">
      <c r="A49" s="4" t="s">
        <v>191</v>
      </c>
      <c r="B49" s="4" t="s">
        <v>335</v>
      </c>
      <c r="C49" s="4" t="s">
        <v>336</v>
      </c>
      <c r="D49" s="4" t="s">
        <v>165</v>
      </c>
      <c r="E49" s="4" t="s">
        <v>177</v>
      </c>
      <c r="F49" s="4" t="s">
        <v>2926</v>
      </c>
      <c r="G49" s="4" t="s">
        <v>2927</v>
      </c>
      <c r="H49" s="4" t="s">
        <v>2925</v>
      </c>
      <c r="I49" s="5">
        <v>45000</v>
      </c>
    </row>
    <row r="50" spans="1:9" x14ac:dyDescent="0.3">
      <c r="A50" s="4" t="s">
        <v>191</v>
      </c>
      <c r="B50" s="4" t="s">
        <v>335</v>
      </c>
      <c r="C50" s="4" t="s">
        <v>336</v>
      </c>
      <c r="D50" s="4" t="s">
        <v>165</v>
      </c>
      <c r="E50" s="4" t="s">
        <v>177</v>
      </c>
      <c r="F50" s="4" t="s">
        <v>1147</v>
      </c>
      <c r="G50" s="4" t="s">
        <v>1148</v>
      </c>
      <c r="H50" s="4" t="s">
        <v>1146</v>
      </c>
      <c r="I50" s="5">
        <v>99000</v>
      </c>
    </row>
    <row r="51" spans="1:9" x14ac:dyDescent="0.3">
      <c r="A51" s="4" t="s">
        <v>191</v>
      </c>
      <c r="B51" s="4" t="s">
        <v>335</v>
      </c>
      <c r="C51" s="4" t="s">
        <v>336</v>
      </c>
      <c r="D51" s="4" t="s">
        <v>165</v>
      </c>
      <c r="E51" s="4" t="s">
        <v>177</v>
      </c>
      <c r="F51" s="4" t="s">
        <v>1285</v>
      </c>
      <c r="G51" s="4" t="s">
        <v>1286</v>
      </c>
      <c r="H51" s="4" t="s">
        <v>1284</v>
      </c>
      <c r="I51" s="5">
        <v>99000</v>
      </c>
    </row>
    <row r="52" spans="1:9" x14ac:dyDescent="0.3">
      <c r="A52" s="4" t="s">
        <v>191</v>
      </c>
      <c r="B52" s="4" t="s">
        <v>335</v>
      </c>
      <c r="C52" s="4" t="s">
        <v>336</v>
      </c>
      <c r="D52" s="4" t="s">
        <v>165</v>
      </c>
      <c r="E52" s="4" t="s">
        <v>177</v>
      </c>
      <c r="F52" s="4" t="s">
        <v>1519</v>
      </c>
      <c r="G52" s="4" t="s">
        <v>1520</v>
      </c>
      <c r="H52" s="4" t="s">
        <v>1518</v>
      </c>
      <c r="I52" s="5">
        <v>99000</v>
      </c>
    </row>
    <row r="53" spans="1:9" x14ac:dyDescent="0.3">
      <c r="A53" s="4" t="s">
        <v>191</v>
      </c>
      <c r="B53" s="4" t="s">
        <v>335</v>
      </c>
      <c r="C53" s="4" t="s">
        <v>336</v>
      </c>
      <c r="D53" s="4" t="s">
        <v>165</v>
      </c>
      <c r="E53" s="4" t="s">
        <v>166</v>
      </c>
      <c r="F53" s="4" t="s">
        <v>3532</v>
      </c>
      <c r="G53" s="4" t="s">
        <v>3533</v>
      </c>
      <c r="H53" s="4" t="s">
        <v>3534</v>
      </c>
      <c r="I53" s="5">
        <v>18000</v>
      </c>
    </row>
    <row r="54" spans="1:9" x14ac:dyDescent="0.3">
      <c r="A54" s="4" t="s">
        <v>191</v>
      </c>
      <c r="B54" s="4" t="s">
        <v>335</v>
      </c>
      <c r="C54" s="4" t="s">
        <v>336</v>
      </c>
      <c r="D54" s="4" t="s">
        <v>165</v>
      </c>
      <c r="E54" s="4" t="s">
        <v>166</v>
      </c>
      <c r="F54" s="4" t="s">
        <v>2613</v>
      </c>
      <c r="G54" s="4" t="s">
        <v>2614</v>
      </c>
      <c r="H54" s="4" t="s">
        <v>2612</v>
      </c>
      <c r="I54" s="5">
        <v>18000</v>
      </c>
    </row>
    <row r="55" spans="1:9" x14ac:dyDescent="0.3">
      <c r="A55" s="4" t="s">
        <v>191</v>
      </c>
      <c r="B55" s="4" t="s">
        <v>335</v>
      </c>
      <c r="C55" s="4" t="s">
        <v>336</v>
      </c>
      <c r="D55" s="4" t="s">
        <v>165</v>
      </c>
      <c r="E55" s="4" t="s">
        <v>166</v>
      </c>
      <c r="F55" s="4" t="s">
        <v>2567</v>
      </c>
      <c r="G55" s="4" t="s">
        <v>2568</v>
      </c>
      <c r="H55" s="4" t="s">
        <v>2566</v>
      </c>
      <c r="I55" s="5">
        <v>15000</v>
      </c>
    </row>
    <row r="56" spans="1:9" x14ac:dyDescent="0.3">
      <c r="A56" s="4" t="s">
        <v>191</v>
      </c>
      <c r="B56" s="4" t="s">
        <v>335</v>
      </c>
      <c r="C56" s="4" t="s">
        <v>336</v>
      </c>
      <c r="D56" s="4" t="s">
        <v>165</v>
      </c>
      <c r="E56" s="4" t="s">
        <v>166</v>
      </c>
      <c r="F56" s="4" t="s">
        <v>2573</v>
      </c>
      <c r="G56" s="4" t="s">
        <v>2574</v>
      </c>
      <c r="H56" s="4" t="s">
        <v>2572</v>
      </c>
      <c r="I56" s="5">
        <v>16000</v>
      </c>
    </row>
    <row r="57" spans="1:9" x14ac:dyDescent="0.3">
      <c r="A57" s="4" t="s">
        <v>191</v>
      </c>
      <c r="B57" s="4" t="s">
        <v>335</v>
      </c>
      <c r="C57" s="4" t="s">
        <v>336</v>
      </c>
      <c r="D57" s="4" t="s">
        <v>165</v>
      </c>
      <c r="E57" s="4" t="s">
        <v>166</v>
      </c>
      <c r="F57" s="4" t="s">
        <v>2576</v>
      </c>
      <c r="G57" s="4" t="s">
        <v>2577</v>
      </c>
      <c r="H57" s="4" t="s">
        <v>2575</v>
      </c>
      <c r="I57" s="5">
        <v>16000</v>
      </c>
    </row>
    <row r="58" spans="1:9" x14ac:dyDescent="0.3">
      <c r="A58" s="4" t="s">
        <v>191</v>
      </c>
      <c r="B58" s="4" t="s">
        <v>335</v>
      </c>
      <c r="C58" s="4" t="s">
        <v>336</v>
      </c>
      <c r="D58" s="4" t="s">
        <v>165</v>
      </c>
      <c r="E58" s="4" t="s">
        <v>166</v>
      </c>
      <c r="F58" s="4" t="s">
        <v>2552</v>
      </c>
      <c r="G58" s="4" t="s">
        <v>2553</v>
      </c>
      <c r="H58" s="4" t="s">
        <v>2551</v>
      </c>
      <c r="I58" s="5">
        <v>23000</v>
      </c>
    </row>
    <row r="59" spans="1:9" x14ac:dyDescent="0.3">
      <c r="A59" s="4" t="s">
        <v>191</v>
      </c>
      <c r="B59" s="4" t="s">
        <v>335</v>
      </c>
      <c r="C59" s="4" t="s">
        <v>336</v>
      </c>
      <c r="D59" s="4" t="s">
        <v>165</v>
      </c>
      <c r="E59" s="4" t="s">
        <v>166</v>
      </c>
      <c r="F59" s="4" t="s">
        <v>2570</v>
      </c>
      <c r="G59" s="4" t="s">
        <v>2571</v>
      </c>
      <c r="H59" s="4" t="s">
        <v>2569</v>
      </c>
      <c r="I59" s="5">
        <v>23000</v>
      </c>
    </row>
    <row r="60" spans="1:9" x14ac:dyDescent="0.3">
      <c r="A60" s="4" t="s">
        <v>191</v>
      </c>
      <c r="B60" s="4" t="s">
        <v>335</v>
      </c>
      <c r="C60" s="4" t="s">
        <v>336</v>
      </c>
      <c r="D60" s="4" t="s">
        <v>165</v>
      </c>
      <c r="E60" s="4" t="s">
        <v>166</v>
      </c>
      <c r="F60" s="4" t="s">
        <v>2588</v>
      </c>
      <c r="G60" s="4" t="s">
        <v>2589</v>
      </c>
      <c r="H60" s="4" t="s">
        <v>2587</v>
      </c>
      <c r="I60" s="5">
        <v>22000</v>
      </c>
    </row>
    <row r="61" spans="1:9" x14ac:dyDescent="0.3">
      <c r="A61" s="4" t="s">
        <v>191</v>
      </c>
      <c r="B61" s="4" t="s">
        <v>335</v>
      </c>
      <c r="C61" s="4" t="s">
        <v>336</v>
      </c>
      <c r="D61" s="4" t="s">
        <v>165</v>
      </c>
      <c r="E61" s="4" t="s">
        <v>166</v>
      </c>
      <c r="F61" s="4" t="s">
        <v>2583</v>
      </c>
      <c r="G61" s="4" t="s">
        <v>2584</v>
      </c>
      <c r="H61" s="4" t="s">
        <v>2582</v>
      </c>
      <c r="I61" s="5">
        <v>18000</v>
      </c>
    </row>
    <row r="62" spans="1:9" x14ac:dyDescent="0.3">
      <c r="A62" s="4" t="s">
        <v>191</v>
      </c>
      <c r="B62" s="4" t="s">
        <v>335</v>
      </c>
      <c r="C62" s="4" t="s">
        <v>336</v>
      </c>
      <c r="D62" s="4" t="s">
        <v>165</v>
      </c>
      <c r="E62" s="4" t="s">
        <v>178</v>
      </c>
      <c r="F62" s="4" t="s">
        <v>607</v>
      </c>
      <c r="G62" s="4" t="s">
        <v>608</v>
      </c>
      <c r="H62" s="4" t="s">
        <v>606</v>
      </c>
      <c r="I62" s="5">
        <v>105000</v>
      </c>
    </row>
    <row r="63" spans="1:9" x14ac:dyDescent="0.3">
      <c r="A63" s="4" t="s">
        <v>191</v>
      </c>
      <c r="B63" s="4" t="s">
        <v>335</v>
      </c>
      <c r="C63" s="4" t="s">
        <v>336</v>
      </c>
      <c r="D63" s="4" t="s">
        <v>165</v>
      </c>
      <c r="E63" s="4" t="s">
        <v>178</v>
      </c>
      <c r="F63" s="4" t="s">
        <v>1577</v>
      </c>
      <c r="G63" s="4" t="s">
        <v>1578</v>
      </c>
      <c r="H63" s="4" t="s">
        <v>1576</v>
      </c>
      <c r="I63" s="5">
        <v>47000</v>
      </c>
    </row>
    <row r="64" spans="1:9" x14ac:dyDescent="0.3">
      <c r="A64" s="4" t="s">
        <v>194</v>
      </c>
      <c r="B64" s="4" t="s">
        <v>195</v>
      </c>
      <c r="C64" s="4" t="s">
        <v>196</v>
      </c>
      <c r="D64" s="4" t="s">
        <v>165</v>
      </c>
      <c r="E64" s="4" t="s">
        <v>166</v>
      </c>
      <c r="F64" s="4" t="s">
        <v>66</v>
      </c>
      <c r="G64" s="4" t="s">
        <v>67</v>
      </c>
      <c r="H64" s="4" t="s">
        <v>68</v>
      </c>
      <c r="I64" s="5">
        <v>360000</v>
      </c>
    </row>
    <row r="65" spans="1:9" x14ac:dyDescent="0.3">
      <c r="A65" s="4" t="s">
        <v>194</v>
      </c>
      <c r="B65" s="4" t="s">
        <v>195</v>
      </c>
      <c r="C65" s="4" t="s">
        <v>196</v>
      </c>
      <c r="D65" s="4" t="s">
        <v>165</v>
      </c>
      <c r="E65" s="4" t="s">
        <v>166</v>
      </c>
      <c r="F65" s="4" t="s">
        <v>69</v>
      </c>
      <c r="G65" s="4" t="s">
        <v>70</v>
      </c>
      <c r="H65" s="4" t="s">
        <v>71</v>
      </c>
      <c r="I65" s="5">
        <v>275000</v>
      </c>
    </row>
    <row r="66" spans="1:9" x14ac:dyDescent="0.3">
      <c r="A66" s="4" t="s">
        <v>194</v>
      </c>
      <c r="B66" s="4" t="s">
        <v>195</v>
      </c>
      <c r="C66" s="4" t="s">
        <v>196</v>
      </c>
      <c r="D66" s="4" t="s">
        <v>165</v>
      </c>
      <c r="E66" s="4" t="s">
        <v>197</v>
      </c>
      <c r="F66" s="4" t="s">
        <v>57</v>
      </c>
      <c r="G66" s="4" t="s">
        <v>58</v>
      </c>
      <c r="H66" s="4" t="s">
        <v>59</v>
      </c>
      <c r="I66" s="5">
        <v>330000</v>
      </c>
    </row>
    <row r="67" spans="1:9" x14ac:dyDescent="0.3">
      <c r="A67" s="4" t="s">
        <v>194</v>
      </c>
      <c r="B67" s="4" t="s">
        <v>198</v>
      </c>
      <c r="C67" s="4" t="s">
        <v>199</v>
      </c>
      <c r="D67" s="4" t="s">
        <v>165</v>
      </c>
      <c r="E67" s="4" t="s">
        <v>197</v>
      </c>
      <c r="F67" s="4" t="s">
        <v>72</v>
      </c>
      <c r="G67" s="4" t="s">
        <v>73</v>
      </c>
      <c r="H67" s="4" t="s">
        <v>74</v>
      </c>
      <c r="I67" s="5">
        <v>220000</v>
      </c>
    </row>
    <row r="68" spans="1:9" x14ac:dyDescent="0.3">
      <c r="A68" s="4" t="s">
        <v>194</v>
      </c>
      <c r="B68" s="4" t="s">
        <v>200</v>
      </c>
      <c r="C68" s="4" t="s">
        <v>201</v>
      </c>
      <c r="D68" s="4" t="s">
        <v>165</v>
      </c>
      <c r="E68" s="4" t="s">
        <v>166</v>
      </c>
      <c r="F68" s="4" t="s">
        <v>75</v>
      </c>
      <c r="G68" s="4" t="s">
        <v>76</v>
      </c>
      <c r="H68" s="4" t="s">
        <v>77</v>
      </c>
      <c r="I68" s="5">
        <v>52000</v>
      </c>
    </row>
    <row r="69" spans="1:9" x14ac:dyDescent="0.3">
      <c r="A69" s="4" t="s">
        <v>194</v>
      </c>
      <c r="B69" s="4" t="s">
        <v>200</v>
      </c>
      <c r="C69" s="4" t="s">
        <v>201</v>
      </c>
      <c r="D69" s="4" t="s">
        <v>165</v>
      </c>
      <c r="E69" s="4" t="s">
        <v>166</v>
      </c>
      <c r="F69" s="4" t="s">
        <v>78</v>
      </c>
      <c r="G69" s="4" t="s">
        <v>79</v>
      </c>
      <c r="H69" s="4" t="s">
        <v>80</v>
      </c>
      <c r="I69" s="5">
        <v>14000</v>
      </c>
    </row>
    <row r="70" spans="1:9" x14ac:dyDescent="0.3">
      <c r="A70" s="4" t="s">
        <v>194</v>
      </c>
      <c r="B70" s="4" t="s">
        <v>200</v>
      </c>
      <c r="C70" s="4" t="s">
        <v>201</v>
      </c>
      <c r="D70" s="4" t="s">
        <v>165</v>
      </c>
      <c r="E70" s="4" t="s">
        <v>166</v>
      </c>
      <c r="F70" s="4" t="s">
        <v>81</v>
      </c>
      <c r="G70" s="4" t="s">
        <v>82</v>
      </c>
      <c r="H70" s="4" t="s">
        <v>83</v>
      </c>
      <c r="I70" s="5">
        <v>46000</v>
      </c>
    </row>
    <row r="71" spans="1:9" x14ac:dyDescent="0.3">
      <c r="A71" s="4" t="s">
        <v>194</v>
      </c>
      <c r="B71" s="4" t="s">
        <v>200</v>
      </c>
      <c r="C71" s="4" t="s">
        <v>201</v>
      </c>
      <c r="D71" s="4" t="s">
        <v>165</v>
      </c>
      <c r="E71" s="4" t="s">
        <v>166</v>
      </c>
      <c r="F71" s="4" t="s">
        <v>84</v>
      </c>
      <c r="G71" s="4" t="s">
        <v>85</v>
      </c>
      <c r="H71" s="4" t="s">
        <v>86</v>
      </c>
      <c r="I71" s="5">
        <v>49000</v>
      </c>
    </row>
    <row r="72" spans="1:9" x14ac:dyDescent="0.3">
      <c r="A72" s="4" t="s">
        <v>194</v>
      </c>
      <c r="B72" s="4" t="s">
        <v>200</v>
      </c>
      <c r="C72" s="4" t="s">
        <v>201</v>
      </c>
      <c r="D72" s="4" t="s">
        <v>165</v>
      </c>
      <c r="E72" s="4" t="s">
        <v>166</v>
      </c>
      <c r="F72" s="4" t="s">
        <v>87</v>
      </c>
      <c r="G72" s="4" t="s">
        <v>88</v>
      </c>
      <c r="H72" s="4" t="s">
        <v>89</v>
      </c>
      <c r="I72" s="5">
        <v>46000</v>
      </c>
    </row>
    <row r="73" spans="1:9" x14ac:dyDescent="0.3">
      <c r="F73" s="1" t="s">
        <v>54</v>
      </c>
      <c r="G73" s="2" t="s">
        <v>55</v>
      </c>
      <c r="H73" s="3" t="s">
        <v>56</v>
      </c>
      <c r="I73" t="str">
        <f>+VLOOKUP(F73,$F:$F,1,0)</f>
        <v>3830056330328</v>
      </c>
    </row>
    <row r="74" spans="1:9" x14ac:dyDescent="0.3">
      <c r="F74" s="1" t="s">
        <v>60</v>
      </c>
      <c r="G74" s="2" t="s">
        <v>61</v>
      </c>
      <c r="H74" s="3" t="s">
        <v>62</v>
      </c>
      <c r="I74" t="str">
        <f>+VLOOKUP(F74,$F:$F,1,0)</f>
        <v>8058301520170</v>
      </c>
    </row>
    <row r="75" spans="1:9" x14ac:dyDescent="0.3">
      <c r="F75" s="1" t="s">
        <v>63</v>
      </c>
      <c r="G75" s="2" t="s">
        <v>64</v>
      </c>
      <c r="H75" s="3" t="s">
        <v>65</v>
      </c>
      <c r="I75" t="str">
        <f>+VLOOKUP(F75,$F:$F,1,0)</f>
        <v>8436036590635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56A8-76F4-4B56-87EA-A7EC94B767ED}">
  <dimension ref="A1:AC72"/>
  <sheetViews>
    <sheetView topLeftCell="A38" zoomScale="80" zoomScaleNormal="80" workbookViewId="0">
      <selection activeCell="A2" sqref="A2:J72"/>
    </sheetView>
  </sheetViews>
  <sheetFormatPr defaultRowHeight="14.4" x14ac:dyDescent="0.3"/>
  <cols>
    <col min="6" max="6" width="14.109375" bestFit="1" customWidth="1"/>
    <col min="7" max="7" width="51.21875" bestFit="1" customWidth="1"/>
    <col min="10" max="10" width="11.33203125" style="7" bestFit="1" customWidth="1"/>
    <col min="11" max="11" width="9" style="7" bestFit="1" customWidth="1"/>
    <col min="12" max="12" width="11.21875" style="7" bestFit="1" customWidth="1"/>
    <col min="13" max="13" width="9" style="7" bestFit="1" customWidth="1"/>
    <col min="14" max="14" width="11.21875" style="7" bestFit="1" customWidth="1"/>
    <col min="15" max="15" width="9" style="7" bestFit="1" customWidth="1"/>
    <col min="16" max="16" width="11.21875" style="7" bestFit="1" customWidth="1"/>
    <col min="17" max="17" width="9" style="7" bestFit="1" customWidth="1"/>
    <col min="18" max="18" width="11.21875" style="7" bestFit="1" customWidth="1"/>
    <col min="19" max="19" width="9" style="7" bestFit="1" customWidth="1"/>
    <col min="20" max="20" width="11.21875" style="7" bestFit="1" customWidth="1"/>
    <col min="21" max="21" width="9" style="7" bestFit="1" customWidth="1"/>
    <col min="22" max="22" width="11.21875" style="7" bestFit="1" customWidth="1"/>
    <col min="23" max="23" width="9" style="7" bestFit="1" customWidth="1"/>
    <col min="24" max="24" width="11.21875" style="7" bestFit="1" customWidth="1"/>
    <col min="25" max="25" width="9" style="7" bestFit="1" customWidth="1"/>
    <col min="26" max="26" width="11.21875" style="7" bestFit="1" customWidth="1"/>
    <col min="27" max="27" width="9" style="7" bestFit="1" customWidth="1"/>
    <col min="28" max="28" width="12.88671875" style="7" bestFit="1" customWidth="1"/>
  </cols>
  <sheetData>
    <row r="1" spans="1:29" ht="29.4" customHeight="1" x14ac:dyDescent="0.3">
      <c r="K1" s="17">
        <f>+SUM(K3:K72)</f>
        <v>402</v>
      </c>
      <c r="L1" s="17">
        <f t="shared" ref="L1:AC1" si="0">+SUM(L3:L72)</f>
        <v>22110000</v>
      </c>
      <c r="M1" s="17">
        <f t="shared" si="0"/>
        <v>343</v>
      </c>
      <c r="N1" s="17">
        <f t="shared" si="0"/>
        <v>18865000</v>
      </c>
      <c r="O1" s="17">
        <f t="shared" si="0"/>
        <v>371</v>
      </c>
      <c r="P1" s="17">
        <f t="shared" si="0"/>
        <v>20405000</v>
      </c>
      <c r="Q1" s="17">
        <f t="shared" si="0"/>
        <v>329</v>
      </c>
      <c r="R1" s="17">
        <f t="shared" si="0"/>
        <v>18095000</v>
      </c>
      <c r="S1" s="17">
        <f t="shared" si="0"/>
        <v>333</v>
      </c>
      <c r="T1" s="17">
        <f t="shared" si="0"/>
        <v>18315000</v>
      </c>
      <c r="U1" s="17">
        <f t="shared" si="0"/>
        <v>399</v>
      </c>
      <c r="V1" s="17">
        <f t="shared" si="0"/>
        <v>21945000</v>
      </c>
      <c r="W1" s="17">
        <f t="shared" si="0"/>
        <v>328</v>
      </c>
      <c r="X1" s="17">
        <f t="shared" si="0"/>
        <v>18040000</v>
      </c>
      <c r="Y1" s="17">
        <f t="shared" si="0"/>
        <v>400</v>
      </c>
      <c r="Z1" s="17">
        <f t="shared" si="0"/>
        <v>22000000</v>
      </c>
      <c r="AA1" s="17">
        <f t="shared" si="0"/>
        <v>2905</v>
      </c>
      <c r="AB1" s="17">
        <f t="shared" si="0"/>
        <v>159775000</v>
      </c>
      <c r="AC1" s="17">
        <f t="shared" si="0"/>
        <v>0</v>
      </c>
    </row>
    <row r="2" spans="1:29" ht="55.2" x14ac:dyDescent="0.3">
      <c r="A2" s="13" t="s">
        <v>156</v>
      </c>
      <c r="B2" s="13" t="s">
        <v>157</v>
      </c>
      <c r="C2" s="13" t="s">
        <v>158</v>
      </c>
      <c r="D2" s="13" t="s">
        <v>159</v>
      </c>
      <c r="E2" s="13" t="s">
        <v>160</v>
      </c>
      <c r="F2" s="13" t="s">
        <v>0</v>
      </c>
      <c r="G2" s="13" t="s">
        <v>1</v>
      </c>
      <c r="H2" s="13" t="s">
        <v>2</v>
      </c>
      <c r="I2" s="13"/>
      <c r="J2" s="14" t="s">
        <v>161</v>
      </c>
      <c r="K2" s="6" t="s">
        <v>203</v>
      </c>
      <c r="L2" s="6" t="s">
        <v>211</v>
      </c>
      <c r="M2" s="6" t="s">
        <v>204</v>
      </c>
      <c r="N2" s="6" t="s">
        <v>212</v>
      </c>
      <c r="O2" s="6" t="s">
        <v>205</v>
      </c>
      <c r="P2" s="6" t="s">
        <v>213</v>
      </c>
      <c r="Q2" s="6" t="s">
        <v>206</v>
      </c>
      <c r="R2" s="6" t="s">
        <v>214</v>
      </c>
      <c r="S2" s="6" t="s">
        <v>207</v>
      </c>
      <c r="T2" s="6" t="s">
        <v>215</v>
      </c>
      <c r="U2" s="6" t="s">
        <v>208</v>
      </c>
      <c r="V2" s="6" t="s">
        <v>216</v>
      </c>
      <c r="W2" s="6" t="s">
        <v>209</v>
      </c>
      <c r="X2" s="6" t="s">
        <v>217</v>
      </c>
      <c r="Y2" s="6" t="s">
        <v>210</v>
      </c>
      <c r="Z2" s="15" t="s">
        <v>218</v>
      </c>
      <c r="AA2" s="15" t="s">
        <v>202</v>
      </c>
      <c r="AB2" s="16" t="s">
        <v>219</v>
      </c>
    </row>
    <row r="3" spans="1:29" x14ac:dyDescent="0.3">
      <c r="A3" s="4" t="s">
        <v>162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120</v>
      </c>
      <c r="G3" s="4" t="s">
        <v>121</v>
      </c>
      <c r="H3" s="4" t="s">
        <v>122</v>
      </c>
      <c r="I3" s="4" t="e">
        <f>+VLOOKUP(F3,'Danh sách mã hàng mới khai tác'!#REF!,2,0)</f>
        <v>#REF!</v>
      </c>
      <c r="J3" s="5">
        <v>55000</v>
      </c>
      <c r="K3" s="5">
        <v>0</v>
      </c>
      <c r="L3" s="5">
        <f>+$J$3*K3</f>
        <v>0</v>
      </c>
      <c r="M3" s="5">
        <v>0</v>
      </c>
      <c r="N3" s="5">
        <f>+$J$3*M3</f>
        <v>0</v>
      </c>
      <c r="O3" s="5">
        <v>0</v>
      </c>
      <c r="P3" s="5">
        <f>+$J$3*O3</f>
        <v>0</v>
      </c>
      <c r="Q3" s="5">
        <v>0</v>
      </c>
      <c r="R3" s="5">
        <f>+$J$3*Q3</f>
        <v>0</v>
      </c>
      <c r="S3" s="5">
        <v>0</v>
      </c>
      <c r="T3" s="5">
        <f>+$J$3*S3</f>
        <v>0</v>
      </c>
      <c r="U3" s="5">
        <v>0</v>
      </c>
      <c r="V3" s="5">
        <f>+$J$3*U3</f>
        <v>0</v>
      </c>
      <c r="W3" s="5">
        <v>0</v>
      </c>
      <c r="X3" s="5">
        <f>+$J$3*W3</f>
        <v>0</v>
      </c>
      <c r="Y3" s="5">
        <v>0</v>
      </c>
      <c r="Z3" s="5">
        <f>+$J$3*Y3</f>
        <v>0</v>
      </c>
      <c r="AA3" s="7">
        <f>+K3+M3+O3+Q3+S3+U3+W3+Y3</f>
        <v>0</v>
      </c>
      <c r="AB3" s="5">
        <f>+$J$3*AA3</f>
        <v>0</v>
      </c>
    </row>
    <row r="4" spans="1:29" x14ac:dyDescent="0.3">
      <c r="A4" s="4" t="s">
        <v>162</v>
      </c>
      <c r="B4" s="4" t="s">
        <v>163</v>
      </c>
      <c r="C4" s="4" t="s">
        <v>167</v>
      </c>
      <c r="D4" s="4" t="s">
        <v>165</v>
      </c>
      <c r="E4" s="4" t="s">
        <v>166</v>
      </c>
      <c r="F4" s="4" t="s">
        <v>123</v>
      </c>
      <c r="G4" s="4" t="s">
        <v>124</v>
      </c>
      <c r="H4" s="4" t="s">
        <v>125</v>
      </c>
      <c r="I4" s="4" t="e">
        <f>+VLOOKUP(F4,'Danh sách mã hàng mới khai tác'!#REF!,2,0)</f>
        <v>#REF!</v>
      </c>
      <c r="J4" s="5">
        <v>85000</v>
      </c>
      <c r="K4" s="5">
        <v>0</v>
      </c>
      <c r="L4" s="5">
        <f t="shared" ref="L4:N19" si="1">+$J$3*K4</f>
        <v>0</v>
      </c>
      <c r="M4" s="5">
        <v>0</v>
      </c>
      <c r="N4" s="5">
        <f t="shared" si="1"/>
        <v>0</v>
      </c>
      <c r="O4" s="5">
        <v>0</v>
      </c>
      <c r="P4" s="5">
        <f t="shared" ref="P4:P67" si="2">+$J$3*O4</f>
        <v>0</v>
      </c>
      <c r="Q4" s="5">
        <v>0</v>
      </c>
      <c r="R4" s="5">
        <f t="shared" ref="R4:R67" si="3">+$J$3*Q4</f>
        <v>0</v>
      </c>
      <c r="S4" s="5">
        <v>0</v>
      </c>
      <c r="T4" s="5">
        <f t="shared" ref="T4:T67" si="4">+$J$3*S4</f>
        <v>0</v>
      </c>
      <c r="U4" s="5">
        <v>0</v>
      </c>
      <c r="V4" s="5">
        <f t="shared" ref="V4:V67" si="5">+$J$3*U4</f>
        <v>0</v>
      </c>
      <c r="W4" s="5">
        <v>0</v>
      </c>
      <c r="X4" s="5">
        <f t="shared" ref="X4:X67" si="6">+$J$3*W4</f>
        <v>0</v>
      </c>
      <c r="Y4" s="5">
        <v>0</v>
      </c>
      <c r="Z4" s="5">
        <f t="shared" ref="Z4:Z67" si="7">+$J$3*Y4</f>
        <v>0</v>
      </c>
      <c r="AA4" s="7">
        <f t="shared" ref="AA4:AA67" si="8">+K4+M4+O4+Q4+S4+U4+W4+Y4</f>
        <v>0</v>
      </c>
      <c r="AB4" s="5">
        <f t="shared" ref="AB4:AB67" si="9">+$J$3*AA4</f>
        <v>0</v>
      </c>
    </row>
    <row r="5" spans="1:29" x14ac:dyDescent="0.3">
      <c r="A5" s="4" t="s">
        <v>162</v>
      </c>
      <c r="B5" s="4" t="s">
        <v>163</v>
      </c>
      <c r="C5" s="4" t="s">
        <v>167</v>
      </c>
      <c r="D5" s="4" t="s">
        <v>165</v>
      </c>
      <c r="E5" s="4" t="s">
        <v>166</v>
      </c>
      <c r="F5" s="4" t="s">
        <v>126</v>
      </c>
      <c r="G5" s="4" t="s">
        <v>127</v>
      </c>
      <c r="H5" s="4" t="s">
        <v>128</v>
      </c>
      <c r="I5" s="4" t="e">
        <f>+VLOOKUP(F5,'Danh sách mã hàng mới khai tác'!#REF!,2,0)</f>
        <v>#REF!</v>
      </c>
      <c r="J5" s="5">
        <v>95000</v>
      </c>
      <c r="K5" s="5">
        <v>0</v>
      </c>
      <c r="L5" s="5">
        <f t="shared" si="1"/>
        <v>0</v>
      </c>
      <c r="M5" s="5">
        <v>0</v>
      </c>
      <c r="N5" s="5">
        <f t="shared" si="1"/>
        <v>0</v>
      </c>
      <c r="O5" s="5">
        <v>0</v>
      </c>
      <c r="P5" s="5">
        <f t="shared" si="2"/>
        <v>0</v>
      </c>
      <c r="Q5" s="5">
        <v>0</v>
      </c>
      <c r="R5" s="5">
        <f t="shared" si="3"/>
        <v>0</v>
      </c>
      <c r="S5" s="5">
        <v>0</v>
      </c>
      <c r="T5" s="5">
        <f t="shared" si="4"/>
        <v>0</v>
      </c>
      <c r="U5" s="5">
        <v>0</v>
      </c>
      <c r="V5" s="5">
        <f t="shared" si="5"/>
        <v>0</v>
      </c>
      <c r="W5" s="5">
        <v>0</v>
      </c>
      <c r="X5" s="5">
        <f t="shared" si="6"/>
        <v>0</v>
      </c>
      <c r="Y5" s="5">
        <v>0</v>
      </c>
      <c r="Z5" s="5">
        <f t="shared" si="7"/>
        <v>0</v>
      </c>
      <c r="AA5" s="7">
        <f t="shared" si="8"/>
        <v>0</v>
      </c>
      <c r="AB5" s="5">
        <f t="shared" si="9"/>
        <v>0</v>
      </c>
    </row>
    <row r="6" spans="1:29" x14ac:dyDescent="0.3">
      <c r="A6" s="4" t="s">
        <v>168</v>
      </c>
      <c r="B6" s="4" t="s">
        <v>169</v>
      </c>
      <c r="C6" s="4" t="s">
        <v>170</v>
      </c>
      <c r="D6" s="4" t="s">
        <v>165</v>
      </c>
      <c r="E6" s="4" t="s">
        <v>166</v>
      </c>
      <c r="F6" s="4" t="s">
        <v>3</v>
      </c>
      <c r="G6" s="4" t="s">
        <v>4</v>
      </c>
      <c r="H6" s="4" t="s">
        <v>5</v>
      </c>
      <c r="I6" s="4" t="e">
        <f>+VLOOKUP(F6,'Danh sách mã hàng mới khai tác'!#REF!,2,0)</f>
        <v>#REF!</v>
      </c>
      <c r="J6" s="5">
        <v>435000</v>
      </c>
      <c r="K6" s="5">
        <v>6</v>
      </c>
      <c r="L6" s="5">
        <f t="shared" si="1"/>
        <v>330000</v>
      </c>
      <c r="M6" s="5">
        <v>4</v>
      </c>
      <c r="N6" s="5">
        <f t="shared" si="1"/>
        <v>220000</v>
      </c>
      <c r="O6" s="5">
        <v>6</v>
      </c>
      <c r="P6" s="5">
        <f t="shared" si="2"/>
        <v>330000</v>
      </c>
      <c r="Q6" s="5">
        <v>7</v>
      </c>
      <c r="R6" s="5">
        <f t="shared" si="3"/>
        <v>385000</v>
      </c>
      <c r="S6" s="5">
        <v>6</v>
      </c>
      <c r="T6" s="5">
        <f t="shared" si="4"/>
        <v>330000</v>
      </c>
      <c r="U6" s="5">
        <v>6</v>
      </c>
      <c r="V6" s="5">
        <f t="shared" si="5"/>
        <v>330000</v>
      </c>
      <c r="W6" s="5">
        <v>6</v>
      </c>
      <c r="X6" s="5">
        <f t="shared" si="6"/>
        <v>330000</v>
      </c>
      <c r="Y6" s="5">
        <v>6</v>
      </c>
      <c r="Z6" s="5">
        <f t="shared" si="7"/>
        <v>330000</v>
      </c>
      <c r="AA6" s="7">
        <f t="shared" si="8"/>
        <v>47</v>
      </c>
      <c r="AB6" s="5">
        <f t="shared" si="9"/>
        <v>2585000</v>
      </c>
    </row>
    <row r="7" spans="1:29" x14ac:dyDescent="0.3">
      <c r="A7" s="4" t="s">
        <v>168</v>
      </c>
      <c r="B7" s="4" t="s">
        <v>169</v>
      </c>
      <c r="C7" s="4" t="s">
        <v>170</v>
      </c>
      <c r="D7" s="4" t="s">
        <v>165</v>
      </c>
      <c r="E7" s="4" t="s">
        <v>166</v>
      </c>
      <c r="F7" s="4" t="s">
        <v>6</v>
      </c>
      <c r="G7" s="4" t="s">
        <v>7</v>
      </c>
      <c r="H7" s="4" t="s">
        <v>8</v>
      </c>
      <c r="I7" s="4" t="e">
        <f>+VLOOKUP(F7,'Danh sách mã hàng mới khai tác'!#REF!,2,0)</f>
        <v>#REF!</v>
      </c>
      <c r="J7" s="5">
        <v>435000</v>
      </c>
      <c r="K7" s="5">
        <v>5</v>
      </c>
      <c r="L7" s="5">
        <f t="shared" si="1"/>
        <v>275000</v>
      </c>
      <c r="M7" s="5">
        <v>5</v>
      </c>
      <c r="N7" s="5">
        <f t="shared" si="1"/>
        <v>275000</v>
      </c>
      <c r="O7" s="5">
        <v>6</v>
      </c>
      <c r="P7" s="5">
        <f t="shared" si="2"/>
        <v>330000</v>
      </c>
      <c r="Q7" s="5">
        <v>5</v>
      </c>
      <c r="R7" s="5">
        <f t="shared" si="3"/>
        <v>275000</v>
      </c>
      <c r="S7" s="5">
        <v>6</v>
      </c>
      <c r="T7" s="5">
        <f t="shared" si="4"/>
        <v>330000</v>
      </c>
      <c r="U7" s="5">
        <v>5</v>
      </c>
      <c r="V7" s="5">
        <f t="shared" si="5"/>
        <v>275000</v>
      </c>
      <c r="W7" s="5">
        <v>4</v>
      </c>
      <c r="X7" s="5">
        <f t="shared" si="6"/>
        <v>220000</v>
      </c>
      <c r="Y7" s="5">
        <v>4</v>
      </c>
      <c r="Z7" s="5">
        <f t="shared" si="7"/>
        <v>220000</v>
      </c>
      <c r="AA7" s="7">
        <f t="shared" si="8"/>
        <v>40</v>
      </c>
      <c r="AB7" s="5">
        <f t="shared" si="9"/>
        <v>2200000</v>
      </c>
    </row>
    <row r="8" spans="1:29" x14ac:dyDescent="0.3">
      <c r="A8" s="4" t="s">
        <v>168</v>
      </c>
      <c r="B8" s="4" t="s">
        <v>169</v>
      </c>
      <c r="C8" s="4" t="s">
        <v>170</v>
      </c>
      <c r="D8" s="4" t="s">
        <v>165</v>
      </c>
      <c r="E8" s="4" t="s">
        <v>166</v>
      </c>
      <c r="F8" s="4" t="s">
        <v>129</v>
      </c>
      <c r="G8" s="4" t="s">
        <v>130</v>
      </c>
      <c r="H8" s="4" t="s">
        <v>131</v>
      </c>
      <c r="I8" s="4" t="e">
        <f>+VLOOKUP(F8,'Danh sách mã hàng mới khai tác'!#REF!,2,0)</f>
        <v>#REF!</v>
      </c>
      <c r="J8" s="5">
        <v>535000</v>
      </c>
      <c r="K8" s="5">
        <v>7</v>
      </c>
      <c r="L8" s="5">
        <f t="shared" si="1"/>
        <v>385000</v>
      </c>
      <c r="M8" s="5">
        <v>5</v>
      </c>
      <c r="N8" s="5">
        <f t="shared" si="1"/>
        <v>275000</v>
      </c>
      <c r="O8" s="5">
        <v>6</v>
      </c>
      <c r="P8" s="5">
        <f t="shared" si="2"/>
        <v>330000</v>
      </c>
      <c r="Q8" s="5">
        <v>6</v>
      </c>
      <c r="R8" s="5">
        <f t="shared" si="3"/>
        <v>330000</v>
      </c>
      <c r="S8" s="5">
        <v>4</v>
      </c>
      <c r="T8" s="5">
        <f t="shared" si="4"/>
        <v>220000</v>
      </c>
      <c r="U8" s="5">
        <v>4</v>
      </c>
      <c r="V8" s="5">
        <f t="shared" si="5"/>
        <v>220000</v>
      </c>
      <c r="W8" s="5">
        <v>3</v>
      </c>
      <c r="X8" s="5">
        <f t="shared" si="6"/>
        <v>165000</v>
      </c>
      <c r="Y8" s="5">
        <v>6</v>
      </c>
      <c r="Z8" s="5">
        <f t="shared" si="7"/>
        <v>330000</v>
      </c>
      <c r="AA8" s="7">
        <f t="shared" si="8"/>
        <v>41</v>
      </c>
      <c r="AB8" s="5">
        <f t="shared" si="9"/>
        <v>2255000</v>
      </c>
    </row>
    <row r="9" spans="1:29" x14ac:dyDescent="0.3">
      <c r="A9" s="4" t="s">
        <v>168</v>
      </c>
      <c r="B9" s="4" t="s">
        <v>171</v>
      </c>
      <c r="C9" s="4" t="s">
        <v>172</v>
      </c>
      <c r="D9" s="4" t="s">
        <v>165</v>
      </c>
      <c r="E9" s="4" t="s">
        <v>166</v>
      </c>
      <c r="F9" s="4" t="s">
        <v>132</v>
      </c>
      <c r="G9" s="4" t="s">
        <v>133</v>
      </c>
      <c r="H9" s="4" t="s">
        <v>134</v>
      </c>
      <c r="I9" s="4" t="e">
        <f>+VLOOKUP(F9,'Danh sách mã hàng mới khai tác'!#REF!,2,0)</f>
        <v>#REF!</v>
      </c>
      <c r="J9" s="5">
        <v>395000</v>
      </c>
      <c r="K9" s="5">
        <v>4</v>
      </c>
      <c r="L9" s="5">
        <f t="shared" si="1"/>
        <v>220000</v>
      </c>
      <c r="M9" s="5">
        <v>4</v>
      </c>
      <c r="N9" s="5">
        <f t="shared" si="1"/>
        <v>220000</v>
      </c>
      <c r="O9" s="5">
        <v>5</v>
      </c>
      <c r="P9" s="5">
        <f t="shared" si="2"/>
        <v>275000</v>
      </c>
      <c r="Q9" s="5">
        <v>4</v>
      </c>
      <c r="R9" s="5">
        <f t="shared" si="3"/>
        <v>220000</v>
      </c>
      <c r="S9" s="5">
        <v>4</v>
      </c>
      <c r="T9" s="5">
        <f t="shared" si="4"/>
        <v>220000</v>
      </c>
      <c r="U9" s="5">
        <v>5</v>
      </c>
      <c r="V9" s="5">
        <f t="shared" si="5"/>
        <v>275000</v>
      </c>
      <c r="W9" s="5">
        <v>6</v>
      </c>
      <c r="X9" s="5">
        <f t="shared" si="6"/>
        <v>330000</v>
      </c>
      <c r="Y9" s="5">
        <v>4</v>
      </c>
      <c r="Z9" s="5">
        <f t="shared" si="7"/>
        <v>220000</v>
      </c>
      <c r="AA9" s="7">
        <f t="shared" si="8"/>
        <v>36</v>
      </c>
      <c r="AB9" s="5">
        <f t="shared" si="9"/>
        <v>1980000</v>
      </c>
    </row>
    <row r="10" spans="1:29" x14ac:dyDescent="0.3">
      <c r="A10" s="4" t="s">
        <v>168</v>
      </c>
      <c r="B10" s="4" t="s">
        <v>171</v>
      </c>
      <c r="C10" s="4" t="s">
        <v>172</v>
      </c>
      <c r="D10" s="4" t="s">
        <v>165</v>
      </c>
      <c r="E10" s="4" t="s">
        <v>166</v>
      </c>
      <c r="F10" s="4" t="s">
        <v>9</v>
      </c>
      <c r="G10" s="4" t="s">
        <v>10</v>
      </c>
      <c r="H10" s="4" t="s">
        <v>11</v>
      </c>
      <c r="I10" s="4" t="e">
        <f>+VLOOKUP(F10,'Danh sách mã hàng mới khai tác'!#REF!,2,0)</f>
        <v>#REF!</v>
      </c>
      <c r="J10" s="5">
        <v>129000</v>
      </c>
      <c r="K10" s="5">
        <v>4</v>
      </c>
      <c r="L10" s="5">
        <f t="shared" si="1"/>
        <v>220000</v>
      </c>
      <c r="M10" s="5">
        <v>3</v>
      </c>
      <c r="N10" s="5">
        <f t="shared" si="1"/>
        <v>165000</v>
      </c>
      <c r="O10" s="5">
        <v>1</v>
      </c>
      <c r="P10" s="5">
        <f t="shared" si="2"/>
        <v>55000</v>
      </c>
      <c r="Q10" s="5">
        <v>5</v>
      </c>
      <c r="R10" s="5">
        <f t="shared" si="3"/>
        <v>275000</v>
      </c>
      <c r="S10" s="5">
        <v>5</v>
      </c>
      <c r="T10" s="5">
        <f t="shared" si="4"/>
        <v>275000</v>
      </c>
      <c r="U10" s="5">
        <v>3</v>
      </c>
      <c r="V10" s="5">
        <f t="shared" si="5"/>
        <v>165000</v>
      </c>
      <c r="W10" s="5">
        <v>5</v>
      </c>
      <c r="X10" s="5">
        <f t="shared" si="6"/>
        <v>275000</v>
      </c>
      <c r="Y10" s="5">
        <v>8</v>
      </c>
      <c r="Z10" s="5">
        <f t="shared" si="7"/>
        <v>440000</v>
      </c>
      <c r="AA10" s="7">
        <f t="shared" si="8"/>
        <v>34</v>
      </c>
      <c r="AB10" s="5">
        <f t="shared" si="9"/>
        <v>1870000</v>
      </c>
    </row>
    <row r="11" spans="1:29" x14ac:dyDescent="0.3">
      <c r="A11" s="4" t="s">
        <v>168</v>
      </c>
      <c r="B11" s="4" t="s">
        <v>171</v>
      </c>
      <c r="C11" s="4" t="s">
        <v>172</v>
      </c>
      <c r="D11" s="4" t="s">
        <v>165</v>
      </c>
      <c r="E11" s="4" t="s">
        <v>166</v>
      </c>
      <c r="F11" s="4" t="s">
        <v>12</v>
      </c>
      <c r="G11" s="4" t="s">
        <v>13</v>
      </c>
      <c r="H11" s="4" t="s">
        <v>14</v>
      </c>
      <c r="I11" s="4" t="e">
        <f>+VLOOKUP(F11,'Danh sách mã hàng mới khai tác'!#REF!,2,0)</f>
        <v>#REF!</v>
      </c>
      <c r="J11" s="5">
        <v>135000</v>
      </c>
      <c r="K11" s="5">
        <v>4</v>
      </c>
      <c r="L11" s="5">
        <f t="shared" si="1"/>
        <v>220000</v>
      </c>
      <c r="M11" s="5">
        <v>10</v>
      </c>
      <c r="N11" s="5">
        <f t="shared" si="1"/>
        <v>550000</v>
      </c>
      <c r="O11" s="5">
        <v>6</v>
      </c>
      <c r="P11" s="5">
        <f t="shared" si="2"/>
        <v>330000</v>
      </c>
      <c r="Q11" s="5">
        <v>8</v>
      </c>
      <c r="R11" s="5">
        <f t="shared" si="3"/>
        <v>440000</v>
      </c>
      <c r="S11" s="5">
        <v>2</v>
      </c>
      <c r="T11" s="5">
        <f t="shared" si="4"/>
        <v>110000</v>
      </c>
      <c r="U11" s="5">
        <v>13</v>
      </c>
      <c r="V11" s="5">
        <f t="shared" si="5"/>
        <v>715000</v>
      </c>
      <c r="W11" s="5">
        <v>9</v>
      </c>
      <c r="X11" s="5">
        <f t="shared" si="6"/>
        <v>495000</v>
      </c>
      <c r="Y11" s="5">
        <v>10</v>
      </c>
      <c r="Z11" s="5">
        <f t="shared" si="7"/>
        <v>550000</v>
      </c>
      <c r="AA11" s="7">
        <f t="shared" si="8"/>
        <v>62</v>
      </c>
      <c r="AB11" s="5">
        <f t="shared" si="9"/>
        <v>3410000</v>
      </c>
    </row>
    <row r="12" spans="1:29" x14ac:dyDescent="0.3">
      <c r="A12" s="4" t="s">
        <v>168</v>
      </c>
      <c r="B12" s="4" t="s">
        <v>171</v>
      </c>
      <c r="C12" s="4" t="s">
        <v>173</v>
      </c>
      <c r="D12" s="4" t="s">
        <v>165</v>
      </c>
      <c r="E12" s="4" t="s">
        <v>166</v>
      </c>
      <c r="F12" s="4" t="s">
        <v>15</v>
      </c>
      <c r="G12" s="4" t="s">
        <v>16</v>
      </c>
      <c r="H12" s="4" t="s">
        <v>17</v>
      </c>
      <c r="I12" s="4" t="e">
        <f>+VLOOKUP(F12,'Danh sách mã hàng mới khai tác'!#REF!,2,0)</f>
        <v>#REF!</v>
      </c>
      <c r="J12" s="5">
        <v>435000</v>
      </c>
      <c r="K12" s="5">
        <v>6</v>
      </c>
      <c r="L12" s="5">
        <f t="shared" si="1"/>
        <v>330000</v>
      </c>
      <c r="M12" s="5">
        <v>4</v>
      </c>
      <c r="N12" s="5">
        <f t="shared" si="1"/>
        <v>220000</v>
      </c>
      <c r="O12" s="5">
        <v>4</v>
      </c>
      <c r="P12" s="5">
        <f t="shared" si="2"/>
        <v>220000</v>
      </c>
      <c r="Q12" s="5">
        <v>5</v>
      </c>
      <c r="R12" s="5">
        <f t="shared" si="3"/>
        <v>275000</v>
      </c>
      <c r="S12" s="5">
        <v>6</v>
      </c>
      <c r="T12" s="5">
        <f t="shared" si="4"/>
        <v>330000</v>
      </c>
      <c r="U12" s="5">
        <v>6</v>
      </c>
      <c r="V12" s="5">
        <f t="shared" si="5"/>
        <v>330000</v>
      </c>
      <c r="W12" s="5">
        <v>6</v>
      </c>
      <c r="X12" s="5">
        <f t="shared" si="6"/>
        <v>330000</v>
      </c>
      <c r="Y12" s="5">
        <v>6</v>
      </c>
      <c r="Z12" s="5">
        <f t="shared" si="7"/>
        <v>330000</v>
      </c>
      <c r="AA12" s="7">
        <f t="shared" si="8"/>
        <v>43</v>
      </c>
      <c r="AB12" s="5">
        <f t="shared" si="9"/>
        <v>2365000</v>
      </c>
    </row>
    <row r="13" spans="1:29" x14ac:dyDescent="0.3">
      <c r="A13" s="4" t="s">
        <v>168</v>
      </c>
      <c r="B13" s="4" t="s">
        <v>171</v>
      </c>
      <c r="C13" s="4" t="s">
        <v>173</v>
      </c>
      <c r="D13" s="4" t="s">
        <v>165</v>
      </c>
      <c r="E13" s="4" t="s">
        <v>166</v>
      </c>
      <c r="F13" s="4" t="s">
        <v>18</v>
      </c>
      <c r="G13" s="4" t="s">
        <v>19</v>
      </c>
      <c r="H13" s="4" t="s">
        <v>20</v>
      </c>
      <c r="I13" s="4" t="e">
        <f>+VLOOKUP(F13,'Danh sách mã hàng mới khai tác'!#REF!,2,0)</f>
        <v>#REF!</v>
      </c>
      <c r="J13" s="5">
        <v>455000</v>
      </c>
      <c r="K13" s="5">
        <v>6</v>
      </c>
      <c r="L13" s="5">
        <f t="shared" si="1"/>
        <v>330000</v>
      </c>
      <c r="M13" s="5">
        <v>6</v>
      </c>
      <c r="N13" s="5">
        <f t="shared" si="1"/>
        <v>330000</v>
      </c>
      <c r="O13" s="5">
        <v>7</v>
      </c>
      <c r="P13" s="5">
        <f t="shared" si="2"/>
        <v>385000</v>
      </c>
      <c r="Q13" s="5">
        <v>5</v>
      </c>
      <c r="R13" s="5">
        <f t="shared" si="3"/>
        <v>275000</v>
      </c>
      <c r="S13" s="5">
        <v>5</v>
      </c>
      <c r="T13" s="5">
        <f t="shared" si="4"/>
        <v>275000</v>
      </c>
      <c r="U13" s="5">
        <v>6</v>
      </c>
      <c r="V13" s="5">
        <f t="shared" si="5"/>
        <v>330000</v>
      </c>
      <c r="W13" s="5">
        <v>6</v>
      </c>
      <c r="X13" s="5">
        <f t="shared" si="6"/>
        <v>330000</v>
      </c>
      <c r="Y13" s="5">
        <v>6</v>
      </c>
      <c r="Z13" s="5">
        <f t="shared" si="7"/>
        <v>330000</v>
      </c>
      <c r="AA13" s="7">
        <f t="shared" si="8"/>
        <v>47</v>
      </c>
      <c r="AB13" s="5">
        <f t="shared" si="9"/>
        <v>2585000</v>
      </c>
    </row>
    <row r="14" spans="1:29" x14ac:dyDescent="0.3">
      <c r="A14" s="4" t="s">
        <v>168</v>
      </c>
      <c r="B14" s="4" t="s">
        <v>171</v>
      </c>
      <c r="C14" s="4" t="s">
        <v>173</v>
      </c>
      <c r="D14" s="4" t="s">
        <v>165</v>
      </c>
      <c r="E14" s="4" t="s">
        <v>166</v>
      </c>
      <c r="F14" s="4" t="s">
        <v>21</v>
      </c>
      <c r="G14" s="4" t="s">
        <v>22</v>
      </c>
      <c r="H14" s="4" t="s">
        <v>23</v>
      </c>
      <c r="I14" s="4" t="e">
        <f>+VLOOKUP(F14,'Danh sách mã hàng mới khai tác'!#REF!,2,0)</f>
        <v>#REF!</v>
      </c>
      <c r="J14" s="5">
        <v>535000</v>
      </c>
      <c r="K14" s="5">
        <v>6</v>
      </c>
      <c r="L14" s="5">
        <f t="shared" si="1"/>
        <v>330000</v>
      </c>
      <c r="M14" s="5">
        <v>4</v>
      </c>
      <c r="N14" s="5">
        <f t="shared" si="1"/>
        <v>220000</v>
      </c>
      <c r="O14" s="5">
        <v>6</v>
      </c>
      <c r="P14" s="5">
        <f t="shared" si="2"/>
        <v>330000</v>
      </c>
      <c r="Q14" s="5">
        <v>6</v>
      </c>
      <c r="R14" s="5">
        <f t="shared" si="3"/>
        <v>330000</v>
      </c>
      <c r="S14" s="5">
        <v>5</v>
      </c>
      <c r="T14" s="5">
        <f t="shared" si="4"/>
        <v>275000</v>
      </c>
      <c r="U14" s="5">
        <v>6</v>
      </c>
      <c r="V14" s="5">
        <f t="shared" si="5"/>
        <v>330000</v>
      </c>
      <c r="W14" s="5">
        <v>5</v>
      </c>
      <c r="X14" s="5">
        <f t="shared" si="6"/>
        <v>275000</v>
      </c>
      <c r="Y14" s="5">
        <v>6</v>
      </c>
      <c r="Z14" s="5">
        <f t="shared" si="7"/>
        <v>330000</v>
      </c>
      <c r="AA14" s="7">
        <f t="shared" si="8"/>
        <v>44</v>
      </c>
      <c r="AB14" s="5">
        <f t="shared" si="9"/>
        <v>2420000</v>
      </c>
    </row>
    <row r="15" spans="1:29" x14ac:dyDescent="0.3">
      <c r="A15" s="4" t="s">
        <v>168</v>
      </c>
      <c r="B15" s="4" t="s">
        <v>171</v>
      </c>
      <c r="C15" s="4" t="s">
        <v>173</v>
      </c>
      <c r="D15" s="4" t="s">
        <v>165</v>
      </c>
      <c r="E15" s="4" t="s">
        <v>166</v>
      </c>
      <c r="F15" s="4" t="s">
        <v>24</v>
      </c>
      <c r="G15" s="4" t="s">
        <v>25</v>
      </c>
      <c r="H15" s="4" t="s">
        <v>26</v>
      </c>
      <c r="I15" s="4" t="e">
        <f>+VLOOKUP(F15,'Danh sách mã hàng mới khai tác'!#REF!,2,0)</f>
        <v>#REF!</v>
      </c>
      <c r="J15" s="5">
        <v>555000</v>
      </c>
      <c r="K15" s="5">
        <v>5</v>
      </c>
      <c r="L15" s="5">
        <f t="shared" si="1"/>
        <v>275000</v>
      </c>
      <c r="M15" s="5">
        <v>4</v>
      </c>
      <c r="N15" s="5">
        <f t="shared" si="1"/>
        <v>220000</v>
      </c>
      <c r="O15" s="5">
        <v>11</v>
      </c>
      <c r="P15" s="5">
        <f t="shared" si="2"/>
        <v>605000</v>
      </c>
      <c r="Q15" s="5">
        <v>6</v>
      </c>
      <c r="R15" s="5">
        <f t="shared" si="3"/>
        <v>330000</v>
      </c>
      <c r="S15" s="5">
        <v>5</v>
      </c>
      <c r="T15" s="5">
        <f t="shared" si="4"/>
        <v>275000</v>
      </c>
      <c r="U15" s="5">
        <v>5</v>
      </c>
      <c r="V15" s="5">
        <f t="shared" si="5"/>
        <v>275000</v>
      </c>
      <c r="W15" s="5">
        <v>5</v>
      </c>
      <c r="X15" s="5">
        <f t="shared" si="6"/>
        <v>275000</v>
      </c>
      <c r="Y15" s="5">
        <v>5</v>
      </c>
      <c r="Z15" s="5">
        <f t="shared" si="7"/>
        <v>275000</v>
      </c>
      <c r="AA15" s="7">
        <f t="shared" si="8"/>
        <v>46</v>
      </c>
      <c r="AB15" s="5">
        <f t="shared" si="9"/>
        <v>2530000</v>
      </c>
    </row>
    <row r="16" spans="1:29" x14ac:dyDescent="0.3">
      <c r="A16" s="4" t="s">
        <v>168</v>
      </c>
      <c r="B16" s="4" t="s">
        <v>171</v>
      </c>
      <c r="C16" s="4" t="s">
        <v>173</v>
      </c>
      <c r="D16" s="4" t="s">
        <v>165</v>
      </c>
      <c r="E16" s="4" t="s">
        <v>166</v>
      </c>
      <c r="F16" s="4" t="s">
        <v>27</v>
      </c>
      <c r="G16" s="4" t="s">
        <v>28</v>
      </c>
      <c r="H16" s="4" t="s">
        <v>29</v>
      </c>
      <c r="I16" s="4" t="e">
        <f>+VLOOKUP(F16,'Danh sách mã hàng mới khai tác'!#REF!,2,0)</f>
        <v>#REF!</v>
      </c>
      <c r="J16" s="5">
        <v>575000</v>
      </c>
      <c r="K16" s="5">
        <v>8</v>
      </c>
      <c r="L16" s="5">
        <f t="shared" si="1"/>
        <v>440000</v>
      </c>
      <c r="M16" s="5">
        <v>7</v>
      </c>
      <c r="N16" s="5">
        <f t="shared" si="1"/>
        <v>385000</v>
      </c>
      <c r="O16" s="5">
        <v>7</v>
      </c>
      <c r="P16" s="5">
        <f t="shared" si="2"/>
        <v>385000</v>
      </c>
      <c r="Q16" s="5">
        <v>7</v>
      </c>
      <c r="R16" s="5">
        <f t="shared" si="3"/>
        <v>385000</v>
      </c>
      <c r="S16" s="5">
        <v>7</v>
      </c>
      <c r="T16" s="5">
        <f t="shared" si="4"/>
        <v>385000</v>
      </c>
      <c r="U16" s="5">
        <v>6</v>
      </c>
      <c r="V16" s="5">
        <f t="shared" si="5"/>
        <v>330000</v>
      </c>
      <c r="W16" s="5">
        <v>7</v>
      </c>
      <c r="X16" s="5">
        <f t="shared" si="6"/>
        <v>385000</v>
      </c>
      <c r="Y16" s="5">
        <v>6</v>
      </c>
      <c r="Z16" s="5">
        <f t="shared" si="7"/>
        <v>330000</v>
      </c>
      <c r="AA16" s="7">
        <f t="shared" si="8"/>
        <v>55</v>
      </c>
      <c r="AB16" s="5">
        <f t="shared" si="9"/>
        <v>3025000</v>
      </c>
    </row>
    <row r="17" spans="1:28" x14ac:dyDescent="0.3">
      <c r="A17" s="4" t="s">
        <v>168</v>
      </c>
      <c r="B17" s="4" t="s">
        <v>171</v>
      </c>
      <c r="C17" s="4" t="s">
        <v>174</v>
      </c>
      <c r="D17" s="4" t="s">
        <v>165</v>
      </c>
      <c r="E17" s="4" t="s">
        <v>166</v>
      </c>
      <c r="F17" s="4" t="s">
        <v>30</v>
      </c>
      <c r="G17" s="4" t="s">
        <v>31</v>
      </c>
      <c r="H17" s="4" t="s">
        <v>32</v>
      </c>
      <c r="I17" s="4" t="e">
        <f>+VLOOKUP(F17,'Danh sách mã hàng mới khai tác'!#REF!,2,0)</f>
        <v>#REF!</v>
      </c>
      <c r="J17" s="5">
        <v>455000</v>
      </c>
      <c r="K17" s="5">
        <v>6</v>
      </c>
      <c r="L17" s="5">
        <f t="shared" si="1"/>
        <v>330000</v>
      </c>
      <c r="M17" s="5">
        <v>4</v>
      </c>
      <c r="N17" s="5">
        <f t="shared" si="1"/>
        <v>220000</v>
      </c>
      <c r="O17" s="5">
        <v>6</v>
      </c>
      <c r="P17" s="5">
        <f t="shared" si="2"/>
        <v>330000</v>
      </c>
      <c r="Q17" s="5">
        <v>6</v>
      </c>
      <c r="R17" s="5">
        <f t="shared" si="3"/>
        <v>330000</v>
      </c>
      <c r="S17" s="5">
        <v>6</v>
      </c>
      <c r="T17" s="5">
        <f t="shared" si="4"/>
        <v>330000</v>
      </c>
      <c r="U17" s="5">
        <v>5</v>
      </c>
      <c r="V17" s="5">
        <f t="shared" si="5"/>
        <v>275000</v>
      </c>
      <c r="W17" s="5">
        <v>6</v>
      </c>
      <c r="X17" s="5">
        <f t="shared" si="6"/>
        <v>330000</v>
      </c>
      <c r="Y17" s="5">
        <v>5</v>
      </c>
      <c r="Z17" s="5">
        <f t="shared" si="7"/>
        <v>275000</v>
      </c>
      <c r="AA17" s="7">
        <f t="shared" si="8"/>
        <v>44</v>
      </c>
      <c r="AB17" s="5">
        <f t="shared" si="9"/>
        <v>2420000</v>
      </c>
    </row>
    <row r="18" spans="1:28" x14ac:dyDescent="0.3">
      <c r="A18" s="4" t="s">
        <v>168</v>
      </c>
      <c r="B18" s="4" t="s">
        <v>171</v>
      </c>
      <c r="C18" s="4" t="s">
        <v>175</v>
      </c>
      <c r="D18" s="4" t="s">
        <v>165</v>
      </c>
      <c r="E18" s="4" t="s">
        <v>166</v>
      </c>
      <c r="F18" s="4" t="s">
        <v>33</v>
      </c>
      <c r="G18" s="4" t="s">
        <v>34</v>
      </c>
      <c r="H18" s="4" t="s">
        <v>35</v>
      </c>
      <c r="I18" s="4" t="e">
        <f>+VLOOKUP(F18,'Danh sách mã hàng mới khai tác'!#REF!,2,0)</f>
        <v>#REF!</v>
      </c>
      <c r="J18" s="5">
        <v>255000</v>
      </c>
      <c r="K18" s="5">
        <v>5</v>
      </c>
      <c r="L18" s="5">
        <f t="shared" si="1"/>
        <v>275000</v>
      </c>
      <c r="M18" s="5">
        <v>8</v>
      </c>
      <c r="N18" s="5">
        <f t="shared" si="1"/>
        <v>440000</v>
      </c>
      <c r="O18" s="5">
        <v>7</v>
      </c>
      <c r="P18" s="5">
        <f t="shared" si="2"/>
        <v>385000</v>
      </c>
      <c r="Q18" s="5">
        <v>5</v>
      </c>
      <c r="R18" s="5">
        <f t="shared" si="3"/>
        <v>275000</v>
      </c>
      <c r="S18" s="5">
        <v>3</v>
      </c>
      <c r="T18" s="5">
        <f t="shared" si="4"/>
        <v>165000</v>
      </c>
      <c r="U18" s="5">
        <v>5</v>
      </c>
      <c r="V18" s="5">
        <f t="shared" si="5"/>
        <v>275000</v>
      </c>
      <c r="W18" s="5">
        <v>6</v>
      </c>
      <c r="X18" s="5">
        <f t="shared" si="6"/>
        <v>330000</v>
      </c>
      <c r="Y18" s="5">
        <v>8</v>
      </c>
      <c r="Z18" s="5">
        <f t="shared" si="7"/>
        <v>440000</v>
      </c>
      <c r="AA18" s="7">
        <f t="shared" si="8"/>
        <v>47</v>
      </c>
      <c r="AB18" s="5">
        <f t="shared" si="9"/>
        <v>2585000</v>
      </c>
    </row>
    <row r="19" spans="1:28" x14ac:dyDescent="0.3">
      <c r="A19" s="4" t="s">
        <v>168</v>
      </c>
      <c r="B19" s="4" t="s">
        <v>171</v>
      </c>
      <c r="C19" s="4" t="s">
        <v>175</v>
      </c>
      <c r="D19" s="4" t="s">
        <v>165</v>
      </c>
      <c r="E19" s="4" t="s">
        <v>166</v>
      </c>
      <c r="F19" s="4" t="s">
        <v>36</v>
      </c>
      <c r="G19" s="4" t="s">
        <v>37</v>
      </c>
      <c r="H19" s="4" t="s">
        <v>38</v>
      </c>
      <c r="I19" s="4" t="e">
        <f>+VLOOKUP(F19,'Danh sách mã hàng mới khai tác'!#REF!,2,0)</f>
        <v>#REF!</v>
      </c>
      <c r="J19" s="5">
        <v>290000</v>
      </c>
      <c r="K19" s="5">
        <v>8</v>
      </c>
      <c r="L19" s="5">
        <f t="shared" si="1"/>
        <v>440000</v>
      </c>
      <c r="M19" s="5">
        <v>9</v>
      </c>
      <c r="N19" s="5">
        <f t="shared" si="1"/>
        <v>495000</v>
      </c>
      <c r="O19" s="5">
        <v>10</v>
      </c>
      <c r="P19" s="5">
        <f t="shared" si="2"/>
        <v>550000</v>
      </c>
      <c r="Q19" s="5">
        <v>8</v>
      </c>
      <c r="R19" s="5">
        <f t="shared" si="3"/>
        <v>440000</v>
      </c>
      <c r="S19" s="5">
        <v>7</v>
      </c>
      <c r="T19" s="5">
        <f t="shared" si="4"/>
        <v>385000</v>
      </c>
      <c r="U19" s="5">
        <v>6</v>
      </c>
      <c r="V19" s="5">
        <f t="shared" si="5"/>
        <v>330000</v>
      </c>
      <c r="W19" s="5">
        <v>6</v>
      </c>
      <c r="X19" s="5">
        <f t="shared" si="6"/>
        <v>330000</v>
      </c>
      <c r="Y19" s="5">
        <v>7</v>
      </c>
      <c r="Z19" s="5">
        <f t="shared" si="7"/>
        <v>385000</v>
      </c>
      <c r="AA19" s="7">
        <f t="shared" si="8"/>
        <v>61</v>
      </c>
      <c r="AB19" s="5">
        <f t="shared" si="9"/>
        <v>3355000</v>
      </c>
    </row>
    <row r="20" spans="1:28" x14ac:dyDescent="0.3">
      <c r="A20" s="4" t="s">
        <v>168</v>
      </c>
      <c r="B20" s="4" t="s">
        <v>171</v>
      </c>
      <c r="C20" s="4" t="s">
        <v>175</v>
      </c>
      <c r="D20" s="4" t="s">
        <v>165</v>
      </c>
      <c r="E20" s="4" t="s">
        <v>166</v>
      </c>
      <c r="F20" s="4" t="s">
        <v>39</v>
      </c>
      <c r="G20" s="4" t="s">
        <v>40</v>
      </c>
      <c r="H20" s="4" t="s">
        <v>41</v>
      </c>
      <c r="I20" s="4" t="e">
        <f>+VLOOKUP(F20,'Danh sách mã hàng mới khai tác'!#REF!,2,0)</f>
        <v>#REF!</v>
      </c>
      <c r="J20" s="5">
        <v>295000</v>
      </c>
      <c r="K20" s="5">
        <v>5</v>
      </c>
      <c r="L20" s="5">
        <f t="shared" ref="L20:N35" si="10">+$J$3*K20</f>
        <v>275000</v>
      </c>
      <c r="M20" s="5">
        <v>4</v>
      </c>
      <c r="N20" s="5">
        <f t="shared" si="10"/>
        <v>220000</v>
      </c>
      <c r="O20" s="5">
        <v>9</v>
      </c>
      <c r="P20" s="5">
        <f t="shared" si="2"/>
        <v>495000</v>
      </c>
      <c r="Q20" s="5">
        <v>3</v>
      </c>
      <c r="R20" s="5">
        <f t="shared" si="3"/>
        <v>165000</v>
      </c>
      <c r="S20" s="5">
        <v>5</v>
      </c>
      <c r="T20" s="5">
        <f t="shared" si="4"/>
        <v>275000</v>
      </c>
      <c r="U20" s="5">
        <v>4</v>
      </c>
      <c r="V20" s="5">
        <f t="shared" si="5"/>
        <v>220000</v>
      </c>
      <c r="W20" s="5">
        <v>3</v>
      </c>
      <c r="X20" s="5">
        <f t="shared" si="6"/>
        <v>165000</v>
      </c>
      <c r="Y20" s="5">
        <v>5</v>
      </c>
      <c r="Z20" s="5">
        <f t="shared" si="7"/>
        <v>275000</v>
      </c>
      <c r="AA20" s="7">
        <f t="shared" si="8"/>
        <v>38</v>
      </c>
      <c r="AB20" s="5">
        <f t="shared" si="9"/>
        <v>2090000</v>
      </c>
    </row>
    <row r="21" spans="1:28" x14ac:dyDescent="0.3">
      <c r="A21" s="4" t="s">
        <v>168</v>
      </c>
      <c r="B21" s="4" t="s">
        <v>171</v>
      </c>
      <c r="C21" s="4" t="s">
        <v>175</v>
      </c>
      <c r="D21" s="4" t="s">
        <v>165</v>
      </c>
      <c r="E21" s="4" t="s">
        <v>166</v>
      </c>
      <c r="F21" s="4" t="s">
        <v>135</v>
      </c>
      <c r="G21" s="4" t="s">
        <v>136</v>
      </c>
      <c r="H21" s="4" t="s">
        <v>137</v>
      </c>
      <c r="I21" s="4" t="e">
        <f>+VLOOKUP(F21,'Danh sách mã hàng mới khai tác'!#REF!,2,0)</f>
        <v>#REF!</v>
      </c>
      <c r="J21" s="5">
        <v>100000</v>
      </c>
      <c r="K21" s="5">
        <v>5</v>
      </c>
      <c r="L21" s="5">
        <f t="shared" si="10"/>
        <v>275000</v>
      </c>
      <c r="M21" s="5">
        <v>8</v>
      </c>
      <c r="N21" s="5">
        <f t="shared" si="10"/>
        <v>440000</v>
      </c>
      <c r="O21" s="5">
        <v>6</v>
      </c>
      <c r="P21" s="5">
        <f t="shared" si="2"/>
        <v>330000</v>
      </c>
      <c r="Q21" s="5">
        <v>5</v>
      </c>
      <c r="R21" s="5">
        <f t="shared" si="3"/>
        <v>275000</v>
      </c>
      <c r="S21" s="5">
        <v>0</v>
      </c>
      <c r="T21" s="5">
        <f t="shared" si="4"/>
        <v>0</v>
      </c>
      <c r="U21" s="5">
        <v>3</v>
      </c>
      <c r="V21" s="5">
        <f t="shared" si="5"/>
        <v>165000</v>
      </c>
      <c r="W21" s="5">
        <v>2</v>
      </c>
      <c r="X21" s="5">
        <f t="shared" si="6"/>
        <v>110000</v>
      </c>
      <c r="Y21" s="5">
        <v>6</v>
      </c>
      <c r="Z21" s="5">
        <f t="shared" si="7"/>
        <v>330000</v>
      </c>
      <c r="AA21" s="7">
        <f t="shared" si="8"/>
        <v>35</v>
      </c>
      <c r="AB21" s="5">
        <f t="shared" si="9"/>
        <v>1925000</v>
      </c>
    </row>
    <row r="22" spans="1:28" x14ac:dyDescent="0.3">
      <c r="A22" s="4" t="s">
        <v>168</v>
      </c>
      <c r="B22" s="4" t="s">
        <v>171</v>
      </c>
      <c r="C22" s="4" t="s">
        <v>175</v>
      </c>
      <c r="D22" s="4" t="s">
        <v>176</v>
      </c>
      <c r="E22" s="4" t="s">
        <v>177</v>
      </c>
      <c r="F22" s="4" t="s">
        <v>138</v>
      </c>
      <c r="G22" s="4" t="s">
        <v>139</v>
      </c>
      <c r="H22" s="4" t="s">
        <v>140</v>
      </c>
      <c r="I22" s="4" t="e">
        <f>+VLOOKUP(F22,'Danh sách mã hàng mới khai tác'!#REF!,2,0)</f>
        <v>#REF!</v>
      </c>
      <c r="J22" s="5">
        <v>125000</v>
      </c>
      <c r="K22" s="5">
        <v>3</v>
      </c>
      <c r="L22" s="5">
        <f t="shared" si="10"/>
        <v>165000</v>
      </c>
      <c r="M22" s="5">
        <v>7</v>
      </c>
      <c r="N22" s="5">
        <f t="shared" si="10"/>
        <v>385000</v>
      </c>
      <c r="O22" s="5">
        <v>6</v>
      </c>
      <c r="P22" s="5">
        <f t="shared" si="2"/>
        <v>330000</v>
      </c>
      <c r="Q22" s="5">
        <v>2</v>
      </c>
      <c r="R22" s="5">
        <f t="shared" si="3"/>
        <v>110000</v>
      </c>
      <c r="S22" s="5">
        <v>5</v>
      </c>
      <c r="T22" s="5">
        <f t="shared" si="4"/>
        <v>275000</v>
      </c>
      <c r="U22" s="5">
        <v>3</v>
      </c>
      <c r="V22" s="5">
        <f t="shared" si="5"/>
        <v>165000</v>
      </c>
      <c r="W22" s="5">
        <v>1</v>
      </c>
      <c r="X22" s="5">
        <f t="shared" si="6"/>
        <v>55000</v>
      </c>
      <c r="Y22" s="5">
        <v>5</v>
      </c>
      <c r="Z22" s="5">
        <f t="shared" si="7"/>
        <v>275000</v>
      </c>
      <c r="AA22" s="7">
        <f t="shared" si="8"/>
        <v>32</v>
      </c>
      <c r="AB22" s="5">
        <f t="shared" si="9"/>
        <v>1760000</v>
      </c>
    </row>
    <row r="23" spans="1:28" x14ac:dyDescent="0.3">
      <c r="A23" s="4" t="s">
        <v>168</v>
      </c>
      <c r="B23" s="4" t="s">
        <v>171</v>
      </c>
      <c r="C23" s="4" t="s">
        <v>175</v>
      </c>
      <c r="D23" s="4" t="s">
        <v>176</v>
      </c>
      <c r="E23" s="4" t="s">
        <v>178</v>
      </c>
      <c r="F23" s="4" t="s">
        <v>42</v>
      </c>
      <c r="G23" s="4" t="s">
        <v>43</v>
      </c>
      <c r="H23" s="4" t="s">
        <v>44</v>
      </c>
      <c r="I23" s="4" t="e">
        <f>+VLOOKUP(F23,'Danh sách mã hàng mới khai tác'!#REF!,2,0)</f>
        <v>#REF!</v>
      </c>
      <c r="J23" s="5">
        <v>294000</v>
      </c>
      <c r="K23" s="5">
        <v>2</v>
      </c>
      <c r="L23" s="5">
        <f t="shared" si="10"/>
        <v>110000</v>
      </c>
      <c r="M23" s="5">
        <v>1</v>
      </c>
      <c r="N23" s="5">
        <f t="shared" si="10"/>
        <v>55000</v>
      </c>
      <c r="O23" s="5">
        <v>1</v>
      </c>
      <c r="P23" s="5">
        <f t="shared" si="2"/>
        <v>55000</v>
      </c>
      <c r="Q23" s="5">
        <v>2</v>
      </c>
      <c r="R23" s="5">
        <f t="shared" si="3"/>
        <v>110000</v>
      </c>
      <c r="S23" s="5">
        <v>0</v>
      </c>
      <c r="T23" s="5">
        <f t="shared" si="4"/>
        <v>0</v>
      </c>
      <c r="U23" s="5">
        <v>1</v>
      </c>
      <c r="V23" s="5">
        <f t="shared" si="5"/>
        <v>55000</v>
      </c>
      <c r="W23" s="5">
        <v>0</v>
      </c>
      <c r="X23" s="5">
        <f t="shared" si="6"/>
        <v>0</v>
      </c>
      <c r="Y23" s="5">
        <v>8</v>
      </c>
      <c r="Z23" s="5">
        <f t="shared" si="7"/>
        <v>440000</v>
      </c>
      <c r="AA23" s="7">
        <f t="shared" si="8"/>
        <v>15</v>
      </c>
      <c r="AB23" s="5">
        <f t="shared" si="9"/>
        <v>825000</v>
      </c>
    </row>
    <row r="24" spans="1:28" x14ac:dyDescent="0.3">
      <c r="A24" s="4" t="s">
        <v>168</v>
      </c>
      <c r="B24" s="4" t="s">
        <v>179</v>
      </c>
      <c r="C24" s="4" t="s">
        <v>180</v>
      </c>
      <c r="D24" s="4" t="s">
        <v>165</v>
      </c>
      <c r="E24" s="4" t="s">
        <v>177</v>
      </c>
      <c r="F24" s="4" t="s">
        <v>141</v>
      </c>
      <c r="G24" s="4" t="s">
        <v>142</v>
      </c>
      <c r="H24" s="4" t="s">
        <v>143</v>
      </c>
      <c r="I24" s="4" t="e">
        <f>+VLOOKUP(F24,'Danh sách mã hàng mới khai tác'!#REF!,2,0)</f>
        <v>#REF!</v>
      </c>
      <c r="J24" s="5">
        <v>150000</v>
      </c>
      <c r="K24" s="5">
        <v>8</v>
      </c>
      <c r="L24" s="5">
        <f t="shared" si="10"/>
        <v>440000</v>
      </c>
      <c r="M24" s="5">
        <v>12</v>
      </c>
      <c r="N24" s="5">
        <f t="shared" si="10"/>
        <v>660000</v>
      </c>
      <c r="O24" s="5">
        <v>18</v>
      </c>
      <c r="P24" s="5">
        <f t="shared" si="2"/>
        <v>990000</v>
      </c>
      <c r="Q24" s="5">
        <v>8</v>
      </c>
      <c r="R24" s="5">
        <f t="shared" si="3"/>
        <v>440000</v>
      </c>
      <c r="S24" s="5">
        <v>8</v>
      </c>
      <c r="T24" s="5">
        <f t="shared" si="4"/>
        <v>440000</v>
      </c>
      <c r="U24" s="5">
        <v>8</v>
      </c>
      <c r="V24" s="5">
        <f t="shared" si="5"/>
        <v>440000</v>
      </c>
      <c r="W24" s="5">
        <v>1</v>
      </c>
      <c r="X24" s="5">
        <f t="shared" si="6"/>
        <v>55000</v>
      </c>
      <c r="Y24" s="5">
        <v>7</v>
      </c>
      <c r="Z24" s="5">
        <f t="shared" si="7"/>
        <v>385000</v>
      </c>
      <c r="AA24" s="7">
        <f t="shared" si="8"/>
        <v>70</v>
      </c>
      <c r="AB24" s="5">
        <f t="shared" si="9"/>
        <v>3850000</v>
      </c>
    </row>
    <row r="25" spans="1:28" x14ac:dyDescent="0.3">
      <c r="A25" s="4" t="s">
        <v>168</v>
      </c>
      <c r="B25" s="4" t="s">
        <v>179</v>
      </c>
      <c r="C25" s="4" t="s">
        <v>180</v>
      </c>
      <c r="D25" s="4" t="s">
        <v>165</v>
      </c>
      <c r="E25" s="4" t="s">
        <v>177</v>
      </c>
      <c r="F25" s="4" t="s">
        <v>144</v>
      </c>
      <c r="G25" s="4" t="s">
        <v>145</v>
      </c>
      <c r="H25" s="4" t="s">
        <v>146</v>
      </c>
      <c r="I25" s="4" t="e">
        <f>+VLOOKUP(F25,'Danh sách mã hàng mới khai tác'!#REF!,2,0)</f>
        <v>#REF!</v>
      </c>
      <c r="J25" s="5">
        <v>150000</v>
      </c>
      <c r="K25" s="5">
        <v>5</v>
      </c>
      <c r="L25" s="5">
        <f t="shared" si="10"/>
        <v>275000</v>
      </c>
      <c r="M25" s="5">
        <v>9</v>
      </c>
      <c r="N25" s="5">
        <f t="shared" si="10"/>
        <v>495000</v>
      </c>
      <c r="O25" s="5">
        <v>7</v>
      </c>
      <c r="P25" s="5">
        <f t="shared" si="2"/>
        <v>385000</v>
      </c>
      <c r="Q25" s="5">
        <v>6</v>
      </c>
      <c r="R25" s="5">
        <f t="shared" si="3"/>
        <v>330000</v>
      </c>
      <c r="S25" s="5">
        <v>8</v>
      </c>
      <c r="T25" s="5">
        <f t="shared" si="4"/>
        <v>440000</v>
      </c>
      <c r="U25" s="5">
        <v>7</v>
      </c>
      <c r="V25" s="5">
        <f t="shared" si="5"/>
        <v>385000</v>
      </c>
      <c r="W25" s="5">
        <v>5</v>
      </c>
      <c r="X25" s="5">
        <f t="shared" si="6"/>
        <v>275000</v>
      </c>
      <c r="Y25" s="5">
        <v>6</v>
      </c>
      <c r="Z25" s="5">
        <f t="shared" si="7"/>
        <v>330000</v>
      </c>
      <c r="AA25" s="7">
        <f t="shared" si="8"/>
        <v>53</v>
      </c>
      <c r="AB25" s="5">
        <f t="shared" si="9"/>
        <v>2915000</v>
      </c>
    </row>
    <row r="26" spans="1:28" x14ac:dyDescent="0.3">
      <c r="A26" s="4" t="s">
        <v>168</v>
      </c>
      <c r="B26" s="4" t="s">
        <v>179</v>
      </c>
      <c r="C26" s="4" t="s">
        <v>180</v>
      </c>
      <c r="D26" s="4" t="s">
        <v>165</v>
      </c>
      <c r="E26" s="4" t="s">
        <v>177</v>
      </c>
      <c r="F26" s="4" t="s">
        <v>147</v>
      </c>
      <c r="G26" s="4" t="s">
        <v>148</v>
      </c>
      <c r="H26" s="4" t="s">
        <v>149</v>
      </c>
      <c r="I26" s="4" t="e">
        <f>+VLOOKUP(F26,'Danh sách mã hàng mới khai tác'!#REF!,2,0)</f>
        <v>#REF!</v>
      </c>
      <c r="J26" s="5">
        <v>150000</v>
      </c>
      <c r="K26" s="5">
        <v>7</v>
      </c>
      <c r="L26" s="5">
        <f t="shared" si="10"/>
        <v>385000</v>
      </c>
      <c r="M26" s="5">
        <v>8</v>
      </c>
      <c r="N26" s="5">
        <f t="shared" si="10"/>
        <v>440000</v>
      </c>
      <c r="O26" s="5">
        <v>13</v>
      </c>
      <c r="P26" s="5">
        <f t="shared" si="2"/>
        <v>715000</v>
      </c>
      <c r="Q26" s="5">
        <v>5</v>
      </c>
      <c r="R26" s="5">
        <f t="shared" si="3"/>
        <v>275000</v>
      </c>
      <c r="S26" s="5">
        <v>7</v>
      </c>
      <c r="T26" s="5">
        <f t="shared" si="4"/>
        <v>385000</v>
      </c>
      <c r="U26" s="5">
        <v>8</v>
      </c>
      <c r="V26" s="5">
        <f t="shared" si="5"/>
        <v>440000</v>
      </c>
      <c r="W26" s="5">
        <v>4</v>
      </c>
      <c r="X26" s="5">
        <f t="shared" si="6"/>
        <v>220000</v>
      </c>
      <c r="Y26" s="5">
        <v>8</v>
      </c>
      <c r="Z26" s="5">
        <f t="shared" si="7"/>
        <v>440000</v>
      </c>
      <c r="AA26" s="7">
        <f t="shared" si="8"/>
        <v>60</v>
      </c>
      <c r="AB26" s="5">
        <f t="shared" si="9"/>
        <v>3300000</v>
      </c>
    </row>
    <row r="27" spans="1:28" x14ac:dyDescent="0.3">
      <c r="A27" s="4" t="s">
        <v>168</v>
      </c>
      <c r="B27" s="4" t="s">
        <v>181</v>
      </c>
      <c r="C27" s="4" t="s">
        <v>182</v>
      </c>
      <c r="D27" s="4" t="s">
        <v>165</v>
      </c>
      <c r="E27" s="4" t="s">
        <v>166</v>
      </c>
      <c r="F27" s="4" t="s">
        <v>48</v>
      </c>
      <c r="G27" s="4" t="s">
        <v>49</v>
      </c>
      <c r="H27" s="4" t="s">
        <v>50</v>
      </c>
      <c r="I27" s="4" t="e">
        <f>+VLOOKUP(F27,'Danh sách mã hàng mới khai tác'!#REF!,2,0)</f>
        <v>#REF!</v>
      </c>
      <c r="J27" s="5">
        <v>49000</v>
      </c>
      <c r="K27" s="5">
        <v>9</v>
      </c>
      <c r="L27" s="5">
        <f t="shared" si="10"/>
        <v>495000</v>
      </c>
      <c r="M27" s="5">
        <v>0</v>
      </c>
      <c r="N27" s="5">
        <f t="shared" si="10"/>
        <v>0</v>
      </c>
      <c r="O27" s="5">
        <v>0</v>
      </c>
      <c r="P27" s="5">
        <f t="shared" si="2"/>
        <v>0</v>
      </c>
      <c r="Q27" s="5">
        <v>1</v>
      </c>
      <c r="R27" s="5">
        <f t="shared" si="3"/>
        <v>55000</v>
      </c>
      <c r="S27" s="5">
        <v>1</v>
      </c>
      <c r="T27" s="5">
        <f t="shared" si="4"/>
        <v>55000</v>
      </c>
      <c r="U27" s="5">
        <v>3</v>
      </c>
      <c r="V27" s="5">
        <f t="shared" si="5"/>
        <v>165000</v>
      </c>
      <c r="W27" s="5">
        <v>0</v>
      </c>
      <c r="X27" s="5">
        <f t="shared" si="6"/>
        <v>0</v>
      </c>
      <c r="Y27" s="5">
        <v>6</v>
      </c>
      <c r="Z27" s="5">
        <f t="shared" si="7"/>
        <v>330000</v>
      </c>
      <c r="AA27" s="7">
        <f t="shared" si="8"/>
        <v>20</v>
      </c>
      <c r="AB27" s="5">
        <f t="shared" si="9"/>
        <v>1100000</v>
      </c>
    </row>
    <row r="28" spans="1:28" x14ac:dyDescent="0.3">
      <c r="A28" s="4" t="s">
        <v>183</v>
      </c>
      <c r="B28" s="4" t="s">
        <v>184</v>
      </c>
      <c r="C28" s="4" t="s">
        <v>185</v>
      </c>
      <c r="D28" s="4" t="s">
        <v>165</v>
      </c>
      <c r="E28" s="4" t="s">
        <v>166</v>
      </c>
      <c r="F28" s="4" t="s">
        <v>45</v>
      </c>
      <c r="G28" s="4" t="s">
        <v>46</v>
      </c>
      <c r="H28" s="4" t="s">
        <v>47</v>
      </c>
      <c r="I28" s="4" t="e">
        <f>+VLOOKUP(F28,'Danh sách mã hàng mới khai tác'!#REF!,2,0)</f>
        <v>#REF!</v>
      </c>
      <c r="J28" s="5">
        <v>52000</v>
      </c>
      <c r="K28" s="5">
        <v>6</v>
      </c>
      <c r="L28" s="5">
        <f t="shared" si="10"/>
        <v>330000</v>
      </c>
      <c r="M28" s="5">
        <v>0</v>
      </c>
      <c r="N28" s="5">
        <f t="shared" si="10"/>
        <v>0</v>
      </c>
      <c r="O28" s="5">
        <v>5</v>
      </c>
      <c r="P28" s="5">
        <f t="shared" si="2"/>
        <v>275000</v>
      </c>
      <c r="Q28" s="5">
        <v>5</v>
      </c>
      <c r="R28" s="5">
        <f t="shared" si="3"/>
        <v>275000</v>
      </c>
      <c r="S28" s="5">
        <v>4</v>
      </c>
      <c r="T28" s="5">
        <f t="shared" si="4"/>
        <v>220000</v>
      </c>
      <c r="U28" s="5">
        <v>0</v>
      </c>
      <c r="V28" s="5">
        <f t="shared" si="5"/>
        <v>0</v>
      </c>
      <c r="W28" s="5">
        <v>2</v>
      </c>
      <c r="X28" s="5">
        <f t="shared" si="6"/>
        <v>110000</v>
      </c>
      <c r="Y28" s="5">
        <v>4</v>
      </c>
      <c r="Z28" s="5">
        <f t="shared" si="7"/>
        <v>220000</v>
      </c>
      <c r="AA28" s="7">
        <f t="shared" si="8"/>
        <v>26</v>
      </c>
      <c r="AB28" s="5">
        <f t="shared" si="9"/>
        <v>1430000</v>
      </c>
    </row>
    <row r="29" spans="1:28" x14ac:dyDescent="0.3">
      <c r="A29" s="4" t="s">
        <v>183</v>
      </c>
      <c r="B29" s="4" t="s">
        <v>184</v>
      </c>
      <c r="C29" s="4" t="s">
        <v>185</v>
      </c>
      <c r="D29" s="4" t="s">
        <v>165</v>
      </c>
      <c r="E29" s="4" t="s">
        <v>166</v>
      </c>
      <c r="F29" s="4" t="s">
        <v>51</v>
      </c>
      <c r="G29" s="4" t="s">
        <v>52</v>
      </c>
      <c r="H29" s="4" t="s">
        <v>53</v>
      </c>
      <c r="I29" s="4" t="e">
        <f>+VLOOKUP(F29,'Danh sách mã hàng mới khai tác'!#REF!,2,0)</f>
        <v>#REF!</v>
      </c>
      <c r="J29" s="5">
        <v>45000</v>
      </c>
      <c r="K29" s="5">
        <v>1</v>
      </c>
      <c r="L29" s="5">
        <f t="shared" si="10"/>
        <v>55000</v>
      </c>
      <c r="M29" s="5">
        <v>0</v>
      </c>
      <c r="N29" s="5">
        <f t="shared" si="10"/>
        <v>0</v>
      </c>
      <c r="O29" s="5">
        <v>0</v>
      </c>
      <c r="P29" s="5">
        <f t="shared" si="2"/>
        <v>0</v>
      </c>
      <c r="Q29" s="5">
        <v>0</v>
      </c>
      <c r="R29" s="5">
        <f t="shared" si="3"/>
        <v>0</v>
      </c>
      <c r="S29" s="5">
        <v>0</v>
      </c>
      <c r="T29" s="5">
        <f t="shared" si="4"/>
        <v>0</v>
      </c>
      <c r="U29" s="5">
        <v>0</v>
      </c>
      <c r="V29" s="5">
        <f t="shared" si="5"/>
        <v>0</v>
      </c>
      <c r="W29" s="5">
        <v>0</v>
      </c>
      <c r="X29" s="5">
        <f t="shared" si="6"/>
        <v>0</v>
      </c>
      <c r="Y29" s="5">
        <v>0</v>
      </c>
      <c r="Z29" s="5">
        <f t="shared" si="7"/>
        <v>0</v>
      </c>
      <c r="AA29" s="7">
        <f t="shared" si="8"/>
        <v>1</v>
      </c>
      <c r="AB29" s="5">
        <f t="shared" si="9"/>
        <v>55000</v>
      </c>
    </row>
    <row r="30" spans="1:28" x14ac:dyDescent="0.3">
      <c r="A30" s="4" t="s">
        <v>183</v>
      </c>
      <c r="B30" s="4" t="s">
        <v>186</v>
      </c>
      <c r="C30" s="4" t="s">
        <v>187</v>
      </c>
      <c r="D30" s="4" t="s">
        <v>165</v>
      </c>
      <c r="E30" s="4" t="s">
        <v>178</v>
      </c>
      <c r="F30" s="4" t="s">
        <v>150</v>
      </c>
      <c r="G30" s="4" t="s">
        <v>151</v>
      </c>
      <c r="H30" s="4" t="s">
        <v>152</v>
      </c>
      <c r="I30" s="4" t="e">
        <f>+VLOOKUP(F30,'Danh sách mã hàng mới khai tác'!#REF!,2,0)</f>
        <v>#REF!</v>
      </c>
      <c r="J30" s="5">
        <v>199000</v>
      </c>
      <c r="K30" s="5">
        <v>0</v>
      </c>
      <c r="L30" s="5">
        <f t="shared" si="10"/>
        <v>0</v>
      </c>
      <c r="M30" s="5">
        <v>0</v>
      </c>
      <c r="N30" s="5">
        <f t="shared" si="10"/>
        <v>0</v>
      </c>
      <c r="O30" s="5">
        <v>0</v>
      </c>
      <c r="P30" s="5">
        <f t="shared" si="2"/>
        <v>0</v>
      </c>
      <c r="Q30" s="5">
        <v>0</v>
      </c>
      <c r="R30" s="5">
        <f t="shared" si="3"/>
        <v>0</v>
      </c>
      <c r="S30" s="5">
        <v>0</v>
      </c>
      <c r="T30" s="5">
        <f t="shared" si="4"/>
        <v>0</v>
      </c>
      <c r="U30" s="5">
        <v>0</v>
      </c>
      <c r="V30" s="5">
        <f t="shared" si="5"/>
        <v>0</v>
      </c>
      <c r="W30" s="5">
        <v>0</v>
      </c>
      <c r="X30" s="5">
        <f t="shared" si="6"/>
        <v>0</v>
      </c>
      <c r="Y30" s="5">
        <v>0</v>
      </c>
      <c r="Z30" s="5">
        <f t="shared" si="7"/>
        <v>0</v>
      </c>
      <c r="AA30" s="7">
        <f t="shared" si="8"/>
        <v>0</v>
      </c>
      <c r="AB30" s="5">
        <f t="shared" si="9"/>
        <v>0</v>
      </c>
    </row>
    <row r="31" spans="1:28" x14ac:dyDescent="0.3">
      <c r="A31" s="4" t="s">
        <v>183</v>
      </c>
      <c r="B31" s="4" t="s">
        <v>186</v>
      </c>
      <c r="C31" s="4" t="s">
        <v>188</v>
      </c>
      <c r="D31" s="4" t="s">
        <v>165</v>
      </c>
      <c r="E31" s="4" t="s">
        <v>177</v>
      </c>
      <c r="F31" s="4" t="s">
        <v>93</v>
      </c>
      <c r="G31" s="4" t="s">
        <v>94</v>
      </c>
      <c r="H31" s="4" t="s">
        <v>95</v>
      </c>
      <c r="I31" s="4" t="e">
        <f>+VLOOKUP(F31,'Danh sách mã hàng mới khai tác'!#REF!,2,0)</f>
        <v>#REF!</v>
      </c>
      <c r="J31" s="5">
        <v>239000</v>
      </c>
      <c r="K31" s="5">
        <v>0</v>
      </c>
      <c r="L31" s="5">
        <f t="shared" si="10"/>
        <v>0</v>
      </c>
      <c r="M31" s="5">
        <v>1</v>
      </c>
      <c r="N31" s="5">
        <f t="shared" si="10"/>
        <v>55000</v>
      </c>
      <c r="O31" s="5">
        <v>4</v>
      </c>
      <c r="P31" s="5">
        <f t="shared" si="2"/>
        <v>220000</v>
      </c>
      <c r="Q31" s="5">
        <v>2</v>
      </c>
      <c r="R31" s="5">
        <f t="shared" si="3"/>
        <v>110000</v>
      </c>
      <c r="S31" s="5">
        <v>0</v>
      </c>
      <c r="T31" s="5">
        <f t="shared" si="4"/>
        <v>0</v>
      </c>
      <c r="U31" s="5">
        <v>1</v>
      </c>
      <c r="V31" s="5">
        <f t="shared" si="5"/>
        <v>55000</v>
      </c>
      <c r="W31" s="5">
        <v>1</v>
      </c>
      <c r="X31" s="5">
        <f t="shared" si="6"/>
        <v>55000</v>
      </c>
      <c r="Y31" s="5">
        <v>0</v>
      </c>
      <c r="Z31" s="5">
        <f t="shared" si="7"/>
        <v>0</v>
      </c>
      <c r="AA31" s="7">
        <f t="shared" si="8"/>
        <v>9</v>
      </c>
      <c r="AB31" s="5">
        <f t="shared" si="9"/>
        <v>495000</v>
      </c>
    </row>
    <row r="32" spans="1:28" x14ac:dyDescent="0.3">
      <c r="A32" s="4" t="s">
        <v>183</v>
      </c>
      <c r="B32" s="4" t="s">
        <v>186</v>
      </c>
      <c r="C32" s="4" t="s">
        <v>188</v>
      </c>
      <c r="D32" s="4" t="s">
        <v>165</v>
      </c>
      <c r="E32" s="4" t="s">
        <v>177</v>
      </c>
      <c r="F32" s="4" t="s">
        <v>96</v>
      </c>
      <c r="G32" s="4" t="s">
        <v>97</v>
      </c>
      <c r="H32" s="4" t="s">
        <v>98</v>
      </c>
      <c r="I32" s="4" t="e">
        <f>+VLOOKUP(F32,'Danh sách mã hàng mới khai tác'!#REF!,2,0)</f>
        <v>#REF!</v>
      </c>
      <c r="J32" s="5">
        <v>239000</v>
      </c>
      <c r="K32" s="5">
        <v>6</v>
      </c>
      <c r="L32" s="5">
        <f t="shared" si="10"/>
        <v>330000</v>
      </c>
      <c r="M32" s="5">
        <v>6</v>
      </c>
      <c r="N32" s="5">
        <f t="shared" si="10"/>
        <v>330000</v>
      </c>
      <c r="O32" s="5">
        <v>5</v>
      </c>
      <c r="P32" s="5">
        <f t="shared" si="2"/>
        <v>275000</v>
      </c>
      <c r="Q32" s="5">
        <v>4</v>
      </c>
      <c r="R32" s="5">
        <f t="shared" si="3"/>
        <v>220000</v>
      </c>
      <c r="S32" s="5">
        <v>2</v>
      </c>
      <c r="T32" s="5">
        <f t="shared" si="4"/>
        <v>110000</v>
      </c>
      <c r="U32" s="5">
        <v>6</v>
      </c>
      <c r="V32" s="5">
        <f t="shared" si="5"/>
        <v>330000</v>
      </c>
      <c r="W32" s="5">
        <v>6</v>
      </c>
      <c r="X32" s="5">
        <f t="shared" si="6"/>
        <v>330000</v>
      </c>
      <c r="Y32" s="5">
        <v>4</v>
      </c>
      <c r="Z32" s="5">
        <f t="shared" si="7"/>
        <v>220000</v>
      </c>
      <c r="AA32" s="7">
        <f t="shared" si="8"/>
        <v>39</v>
      </c>
      <c r="AB32" s="5">
        <f t="shared" si="9"/>
        <v>2145000</v>
      </c>
    </row>
    <row r="33" spans="1:28" x14ac:dyDescent="0.3">
      <c r="A33" s="4" t="s">
        <v>183</v>
      </c>
      <c r="B33" s="4" t="s">
        <v>186</v>
      </c>
      <c r="C33" s="4" t="s">
        <v>188</v>
      </c>
      <c r="D33" s="4" t="s">
        <v>165</v>
      </c>
      <c r="E33" s="4" t="s">
        <v>177</v>
      </c>
      <c r="F33" s="4" t="s">
        <v>99</v>
      </c>
      <c r="G33" s="4" t="s">
        <v>100</v>
      </c>
      <c r="H33" s="4" t="s">
        <v>101</v>
      </c>
      <c r="I33" s="4" t="e">
        <f>+VLOOKUP(F33,'Danh sách mã hàng mới khai tác'!#REF!,2,0)</f>
        <v>#REF!</v>
      </c>
      <c r="J33" s="5">
        <v>199000</v>
      </c>
      <c r="K33" s="5">
        <v>7</v>
      </c>
      <c r="L33" s="5">
        <f t="shared" si="10"/>
        <v>385000</v>
      </c>
      <c r="M33" s="5">
        <v>8</v>
      </c>
      <c r="N33" s="5">
        <f t="shared" si="10"/>
        <v>440000</v>
      </c>
      <c r="O33" s="5">
        <v>10</v>
      </c>
      <c r="P33" s="5">
        <f t="shared" si="2"/>
        <v>550000</v>
      </c>
      <c r="Q33" s="5">
        <v>7</v>
      </c>
      <c r="R33" s="5">
        <f t="shared" si="3"/>
        <v>385000</v>
      </c>
      <c r="S33" s="5">
        <v>18</v>
      </c>
      <c r="T33" s="5">
        <f t="shared" si="4"/>
        <v>990000</v>
      </c>
      <c r="U33" s="5">
        <v>8</v>
      </c>
      <c r="V33" s="5">
        <f t="shared" si="5"/>
        <v>440000</v>
      </c>
      <c r="W33" s="5">
        <v>7</v>
      </c>
      <c r="X33" s="5">
        <f t="shared" si="6"/>
        <v>385000</v>
      </c>
      <c r="Y33" s="5">
        <v>6</v>
      </c>
      <c r="Z33" s="5">
        <f t="shared" si="7"/>
        <v>330000</v>
      </c>
      <c r="AA33" s="7">
        <f t="shared" si="8"/>
        <v>71</v>
      </c>
      <c r="AB33" s="5">
        <f t="shared" si="9"/>
        <v>3905000</v>
      </c>
    </row>
    <row r="34" spans="1:28" x14ac:dyDescent="0.3">
      <c r="A34" s="4" t="s">
        <v>183</v>
      </c>
      <c r="B34" s="4" t="s">
        <v>186</v>
      </c>
      <c r="C34" s="4" t="s">
        <v>188</v>
      </c>
      <c r="D34" s="4" t="s">
        <v>165</v>
      </c>
      <c r="E34" s="4" t="s">
        <v>178</v>
      </c>
      <c r="F34" s="4" t="s">
        <v>153</v>
      </c>
      <c r="G34" s="4" t="s">
        <v>154</v>
      </c>
      <c r="H34" s="4" t="s">
        <v>155</v>
      </c>
      <c r="I34" s="4" t="e">
        <f>+VLOOKUP(F34,'Danh sách mã hàng mới khai tác'!#REF!,2,0)</f>
        <v>#REF!</v>
      </c>
      <c r="J34" s="5">
        <v>320000</v>
      </c>
      <c r="K34" s="5">
        <v>9</v>
      </c>
      <c r="L34" s="5">
        <f t="shared" si="10"/>
        <v>495000</v>
      </c>
      <c r="M34" s="5">
        <v>8</v>
      </c>
      <c r="N34" s="5">
        <f t="shared" si="10"/>
        <v>440000</v>
      </c>
      <c r="O34" s="5">
        <v>7</v>
      </c>
      <c r="P34" s="5">
        <f t="shared" si="2"/>
        <v>385000</v>
      </c>
      <c r="Q34" s="5">
        <v>7</v>
      </c>
      <c r="R34" s="5">
        <f t="shared" si="3"/>
        <v>385000</v>
      </c>
      <c r="S34" s="5">
        <v>8</v>
      </c>
      <c r="T34" s="5">
        <f t="shared" si="4"/>
        <v>440000</v>
      </c>
      <c r="U34" s="5">
        <v>4</v>
      </c>
      <c r="V34" s="5">
        <f t="shared" si="5"/>
        <v>220000</v>
      </c>
      <c r="W34" s="5">
        <v>9</v>
      </c>
      <c r="X34" s="5">
        <f t="shared" si="6"/>
        <v>495000</v>
      </c>
      <c r="Y34" s="5">
        <v>9</v>
      </c>
      <c r="Z34" s="5">
        <f t="shared" si="7"/>
        <v>495000</v>
      </c>
      <c r="AA34" s="7">
        <f t="shared" si="8"/>
        <v>61</v>
      </c>
      <c r="AB34" s="5">
        <f t="shared" si="9"/>
        <v>3355000</v>
      </c>
    </row>
    <row r="35" spans="1:28" x14ac:dyDescent="0.3">
      <c r="A35" s="4" t="s">
        <v>183</v>
      </c>
      <c r="B35" s="4" t="s">
        <v>189</v>
      </c>
      <c r="C35" s="4" t="s">
        <v>190</v>
      </c>
      <c r="D35" s="4" t="s">
        <v>165</v>
      </c>
      <c r="E35" s="4" t="s">
        <v>166</v>
      </c>
      <c r="F35" s="4" t="s">
        <v>90</v>
      </c>
      <c r="G35" s="4" t="s">
        <v>91</v>
      </c>
      <c r="H35" s="4" t="s">
        <v>92</v>
      </c>
      <c r="I35" s="4" t="e">
        <f>+VLOOKUP(F35,'Danh sách mã hàng mới khai tác'!#REF!,2,0)</f>
        <v>#REF!</v>
      </c>
      <c r="J35" s="5">
        <v>52000</v>
      </c>
      <c r="K35" s="5">
        <v>0</v>
      </c>
      <c r="L35" s="5">
        <f t="shared" si="10"/>
        <v>0</v>
      </c>
      <c r="M35" s="5">
        <v>0</v>
      </c>
      <c r="N35" s="5">
        <f t="shared" si="10"/>
        <v>0</v>
      </c>
      <c r="O35" s="5">
        <v>0</v>
      </c>
      <c r="P35" s="5">
        <f t="shared" si="2"/>
        <v>0</v>
      </c>
      <c r="Q35" s="5">
        <v>1</v>
      </c>
      <c r="R35" s="5">
        <f t="shared" si="3"/>
        <v>55000</v>
      </c>
      <c r="S35" s="5">
        <v>1</v>
      </c>
      <c r="T35" s="5">
        <f t="shared" si="4"/>
        <v>55000</v>
      </c>
      <c r="U35" s="5">
        <v>4</v>
      </c>
      <c r="V35" s="5">
        <f t="shared" si="5"/>
        <v>220000</v>
      </c>
      <c r="W35" s="5">
        <v>0</v>
      </c>
      <c r="X35" s="5">
        <f t="shared" si="6"/>
        <v>0</v>
      </c>
      <c r="Y35" s="5">
        <v>0</v>
      </c>
      <c r="Z35" s="5">
        <f t="shared" si="7"/>
        <v>0</v>
      </c>
      <c r="AA35" s="7">
        <f t="shared" si="8"/>
        <v>6</v>
      </c>
      <c r="AB35" s="5">
        <f t="shared" si="9"/>
        <v>330000</v>
      </c>
    </row>
    <row r="36" spans="1:28" x14ac:dyDescent="0.3">
      <c r="A36" s="4" t="s">
        <v>191</v>
      </c>
      <c r="B36" s="4" t="s">
        <v>192</v>
      </c>
      <c r="C36" s="4" t="s">
        <v>193</v>
      </c>
      <c r="D36" s="4" t="s">
        <v>165</v>
      </c>
      <c r="E36" s="4" t="s">
        <v>177</v>
      </c>
      <c r="F36" s="4" t="s">
        <v>102</v>
      </c>
      <c r="G36" s="4" t="s">
        <v>103</v>
      </c>
      <c r="H36" s="4" t="s">
        <v>104</v>
      </c>
      <c r="I36" s="4" t="e">
        <f>+VLOOKUP(F36,'Danh sách mã hàng mới khai tác'!#REF!,2,0)</f>
        <v>#REF!</v>
      </c>
      <c r="J36" s="5">
        <v>235000</v>
      </c>
      <c r="K36" s="5">
        <v>2</v>
      </c>
      <c r="L36" s="5">
        <f t="shared" ref="L36:N51" si="11">+$J$3*K36</f>
        <v>110000</v>
      </c>
      <c r="M36" s="5">
        <v>0</v>
      </c>
      <c r="N36" s="5">
        <f t="shared" si="11"/>
        <v>0</v>
      </c>
      <c r="O36" s="5">
        <v>0</v>
      </c>
      <c r="P36" s="5">
        <f t="shared" si="2"/>
        <v>0</v>
      </c>
      <c r="Q36" s="5">
        <v>0</v>
      </c>
      <c r="R36" s="5">
        <f t="shared" si="3"/>
        <v>0</v>
      </c>
      <c r="S36" s="5">
        <v>4</v>
      </c>
      <c r="T36" s="5">
        <f t="shared" si="4"/>
        <v>220000</v>
      </c>
      <c r="U36" s="5">
        <v>5</v>
      </c>
      <c r="V36" s="5">
        <f t="shared" si="5"/>
        <v>275000</v>
      </c>
      <c r="W36" s="5">
        <v>0</v>
      </c>
      <c r="X36" s="5">
        <f t="shared" si="6"/>
        <v>0</v>
      </c>
      <c r="Y36" s="5">
        <v>5</v>
      </c>
      <c r="Z36" s="5">
        <f t="shared" si="7"/>
        <v>275000</v>
      </c>
      <c r="AA36" s="7">
        <f t="shared" si="8"/>
        <v>16</v>
      </c>
      <c r="AB36" s="5">
        <f t="shared" si="9"/>
        <v>880000</v>
      </c>
    </row>
    <row r="37" spans="1:28" x14ac:dyDescent="0.3">
      <c r="A37" s="4" t="s">
        <v>191</v>
      </c>
      <c r="B37" s="4" t="s">
        <v>192</v>
      </c>
      <c r="C37" s="4" t="s">
        <v>193</v>
      </c>
      <c r="D37" s="4" t="s">
        <v>165</v>
      </c>
      <c r="E37" s="4" t="s">
        <v>177</v>
      </c>
      <c r="F37" s="4" t="s">
        <v>111</v>
      </c>
      <c r="G37" s="4" t="s">
        <v>112</v>
      </c>
      <c r="H37" s="4" t="s">
        <v>113</v>
      </c>
      <c r="I37" s="4" t="e">
        <f>+VLOOKUP(F37,'Danh sách mã hàng mới khai tác'!#REF!,2,0)</f>
        <v>#REF!</v>
      </c>
      <c r="J37" s="5">
        <v>235000</v>
      </c>
      <c r="K37" s="5">
        <v>8</v>
      </c>
      <c r="L37" s="5">
        <f t="shared" si="11"/>
        <v>440000</v>
      </c>
      <c r="M37" s="5">
        <v>7</v>
      </c>
      <c r="N37" s="5">
        <f t="shared" si="11"/>
        <v>385000</v>
      </c>
      <c r="O37" s="5">
        <v>11</v>
      </c>
      <c r="P37" s="5">
        <f t="shared" si="2"/>
        <v>605000</v>
      </c>
      <c r="Q37" s="5">
        <v>7</v>
      </c>
      <c r="R37" s="5">
        <f t="shared" si="3"/>
        <v>385000</v>
      </c>
      <c r="S37" s="5">
        <v>3</v>
      </c>
      <c r="T37" s="5">
        <f t="shared" si="4"/>
        <v>165000</v>
      </c>
      <c r="U37" s="5">
        <v>6</v>
      </c>
      <c r="V37" s="5">
        <f t="shared" si="5"/>
        <v>330000</v>
      </c>
      <c r="W37" s="5">
        <v>9</v>
      </c>
      <c r="X37" s="5">
        <f t="shared" si="6"/>
        <v>495000</v>
      </c>
      <c r="Y37" s="5">
        <v>8</v>
      </c>
      <c r="Z37" s="5">
        <f t="shared" si="7"/>
        <v>440000</v>
      </c>
      <c r="AA37" s="7">
        <f t="shared" si="8"/>
        <v>59</v>
      </c>
      <c r="AB37" s="5">
        <f t="shared" si="9"/>
        <v>3245000</v>
      </c>
    </row>
    <row r="38" spans="1:28" x14ac:dyDescent="0.3">
      <c r="A38" s="4" t="s">
        <v>191</v>
      </c>
      <c r="B38" s="4" t="s">
        <v>192</v>
      </c>
      <c r="C38" s="4" t="s">
        <v>193</v>
      </c>
      <c r="D38" s="4" t="s">
        <v>165</v>
      </c>
      <c r="E38" s="4" t="s">
        <v>177</v>
      </c>
      <c r="F38" s="4" t="s">
        <v>105</v>
      </c>
      <c r="G38" s="4" t="s">
        <v>106</v>
      </c>
      <c r="H38" s="4" t="s">
        <v>107</v>
      </c>
      <c r="I38" s="4" t="e">
        <f>+VLOOKUP(F38,'Danh sách mã hàng mới khai tác'!#REF!,2,0)</f>
        <v>#REF!</v>
      </c>
      <c r="J38" s="5">
        <v>235000</v>
      </c>
      <c r="K38" s="5">
        <v>0</v>
      </c>
      <c r="L38" s="5">
        <f t="shared" si="11"/>
        <v>0</v>
      </c>
      <c r="M38" s="5">
        <v>2</v>
      </c>
      <c r="N38" s="5">
        <f t="shared" si="11"/>
        <v>110000</v>
      </c>
      <c r="O38" s="5">
        <v>0</v>
      </c>
      <c r="P38" s="5">
        <f t="shared" si="2"/>
        <v>0</v>
      </c>
      <c r="Q38" s="5">
        <v>12</v>
      </c>
      <c r="R38" s="5">
        <f t="shared" si="3"/>
        <v>660000</v>
      </c>
      <c r="S38" s="5">
        <v>2</v>
      </c>
      <c r="T38" s="5">
        <f t="shared" si="4"/>
        <v>110000</v>
      </c>
      <c r="U38" s="5">
        <v>13</v>
      </c>
      <c r="V38" s="5">
        <f t="shared" si="5"/>
        <v>715000</v>
      </c>
      <c r="W38" s="5">
        <v>0</v>
      </c>
      <c r="X38" s="5">
        <f t="shared" si="6"/>
        <v>0</v>
      </c>
      <c r="Y38" s="5">
        <v>2</v>
      </c>
      <c r="Z38" s="5">
        <f t="shared" si="7"/>
        <v>110000</v>
      </c>
      <c r="AA38" s="7">
        <f t="shared" si="8"/>
        <v>31</v>
      </c>
      <c r="AB38" s="5">
        <f t="shared" si="9"/>
        <v>1705000</v>
      </c>
    </row>
    <row r="39" spans="1:28" x14ac:dyDescent="0.3">
      <c r="A39" s="4" t="s">
        <v>191</v>
      </c>
      <c r="B39" s="4" t="s">
        <v>192</v>
      </c>
      <c r="C39" s="4" t="s">
        <v>193</v>
      </c>
      <c r="D39" s="4" t="s">
        <v>165</v>
      </c>
      <c r="E39" s="4" t="s">
        <v>177</v>
      </c>
      <c r="F39" s="4" t="s">
        <v>108</v>
      </c>
      <c r="G39" s="4" t="s">
        <v>109</v>
      </c>
      <c r="H39" s="4" t="s">
        <v>110</v>
      </c>
      <c r="I39" s="4" t="e">
        <f>+VLOOKUP(F39,'Danh sách mã hàng mới khai tác'!#REF!,2,0)</f>
        <v>#REF!</v>
      </c>
      <c r="J39" s="5">
        <v>235000</v>
      </c>
      <c r="K39" s="5">
        <v>0</v>
      </c>
      <c r="L39" s="5">
        <f t="shared" si="11"/>
        <v>0</v>
      </c>
      <c r="M39" s="5">
        <v>0</v>
      </c>
      <c r="N39" s="5">
        <f t="shared" si="11"/>
        <v>0</v>
      </c>
      <c r="O39" s="5">
        <v>0</v>
      </c>
      <c r="P39" s="5">
        <f t="shared" si="2"/>
        <v>0</v>
      </c>
      <c r="Q39" s="5">
        <v>3</v>
      </c>
      <c r="R39" s="5">
        <f t="shared" si="3"/>
        <v>165000</v>
      </c>
      <c r="S39" s="5">
        <v>3</v>
      </c>
      <c r="T39" s="5">
        <f t="shared" si="4"/>
        <v>165000</v>
      </c>
      <c r="U39" s="5">
        <v>1</v>
      </c>
      <c r="V39" s="5">
        <f t="shared" si="5"/>
        <v>55000</v>
      </c>
      <c r="W39" s="5">
        <v>0</v>
      </c>
      <c r="X39" s="5">
        <f t="shared" si="6"/>
        <v>0</v>
      </c>
      <c r="Y39" s="5">
        <v>0</v>
      </c>
      <c r="Z39" s="5">
        <f t="shared" si="7"/>
        <v>0</v>
      </c>
      <c r="AA39" s="7">
        <f t="shared" si="8"/>
        <v>7</v>
      </c>
      <c r="AB39" s="5">
        <f t="shared" si="9"/>
        <v>385000</v>
      </c>
    </row>
    <row r="40" spans="1:28" x14ac:dyDescent="0.3">
      <c r="A40" s="4" t="s">
        <v>191</v>
      </c>
      <c r="B40" s="4" t="s">
        <v>192</v>
      </c>
      <c r="C40" s="4" t="s">
        <v>193</v>
      </c>
      <c r="D40" s="4" t="s">
        <v>165</v>
      </c>
      <c r="E40" s="4" t="s">
        <v>177</v>
      </c>
      <c r="F40" s="4" t="s">
        <v>117</v>
      </c>
      <c r="G40" s="4" t="s">
        <v>118</v>
      </c>
      <c r="H40" s="4" t="s">
        <v>119</v>
      </c>
      <c r="I40" s="4" t="e">
        <f>+VLOOKUP(F40,'Danh sách mã hàng mới khai tác'!#REF!,2,0)</f>
        <v>#REF!</v>
      </c>
      <c r="J40" s="5">
        <v>235000</v>
      </c>
      <c r="K40" s="5">
        <v>5</v>
      </c>
      <c r="L40" s="5">
        <f t="shared" si="11"/>
        <v>275000</v>
      </c>
      <c r="M40" s="5">
        <v>8</v>
      </c>
      <c r="N40" s="5">
        <f t="shared" si="11"/>
        <v>440000</v>
      </c>
      <c r="O40" s="5">
        <v>7</v>
      </c>
      <c r="P40" s="5">
        <f t="shared" si="2"/>
        <v>385000</v>
      </c>
      <c r="Q40" s="5">
        <v>16</v>
      </c>
      <c r="R40" s="5">
        <f t="shared" si="3"/>
        <v>880000</v>
      </c>
      <c r="S40" s="5">
        <v>3</v>
      </c>
      <c r="T40" s="5">
        <f t="shared" si="4"/>
        <v>165000</v>
      </c>
      <c r="U40" s="5">
        <v>13</v>
      </c>
      <c r="V40" s="5">
        <f t="shared" si="5"/>
        <v>715000</v>
      </c>
      <c r="W40" s="5">
        <v>3</v>
      </c>
      <c r="X40" s="5">
        <f t="shared" si="6"/>
        <v>165000</v>
      </c>
      <c r="Y40" s="5">
        <v>10</v>
      </c>
      <c r="Z40" s="5">
        <f t="shared" si="7"/>
        <v>550000</v>
      </c>
      <c r="AA40" s="7">
        <f t="shared" si="8"/>
        <v>65</v>
      </c>
      <c r="AB40" s="5">
        <f t="shared" si="9"/>
        <v>3575000</v>
      </c>
    </row>
    <row r="41" spans="1:28" x14ac:dyDescent="0.3">
      <c r="A41" s="4" t="s">
        <v>191</v>
      </c>
      <c r="B41" s="4" t="s">
        <v>192</v>
      </c>
      <c r="C41" s="4" t="s">
        <v>193</v>
      </c>
      <c r="D41" s="4" t="s">
        <v>165</v>
      </c>
      <c r="E41" s="4" t="s">
        <v>166</v>
      </c>
      <c r="F41" s="4" t="s">
        <v>114</v>
      </c>
      <c r="G41" s="4" t="s">
        <v>115</v>
      </c>
      <c r="H41" s="4" t="s">
        <v>116</v>
      </c>
      <c r="I41" s="4" t="e">
        <f>+VLOOKUP(F41,'Danh sách mã hàng mới khai tác'!#REF!,2,0)</f>
        <v>#REF!</v>
      </c>
      <c r="J41" s="5">
        <v>235000</v>
      </c>
      <c r="K41" s="5">
        <v>5</v>
      </c>
      <c r="L41" s="5">
        <f t="shared" si="11"/>
        <v>275000</v>
      </c>
      <c r="M41" s="5">
        <v>4</v>
      </c>
      <c r="N41" s="5">
        <f t="shared" si="11"/>
        <v>220000</v>
      </c>
      <c r="O41" s="5">
        <v>1</v>
      </c>
      <c r="P41" s="5">
        <f t="shared" si="2"/>
        <v>55000</v>
      </c>
      <c r="Q41" s="5">
        <v>3</v>
      </c>
      <c r="R41" s="5">
        <f t="shared" si="3"/>
        <v>165000</v>
      </c>
      <c r="S41" s="5">
        <v>5</v>
      </c>
      <c r="T41" s="5">
        <f t="shared" si="4"/>
        <v>275000</v>
      </c>
      <c r="U41" s="5">
        <v>6</v>
      </c>
      <c r="V41" s="5">
        <f t="shared" si="5"/>
        <v>330000</v>
      </c>
      <c r="W41" s="5">
        <v>5</v>
      </c>
      <c r="X41" s="5">
        <f t="shared" si="6"/>
        <v>275000</v>
      </c>
      <c r="Y41" s="5">
        <v>8</v>
      </c>
      <c r="Z41" s="5">
        <f t="shared" si="7"/>
        <v>440000</v>
      </c>
      <c r="AA41" s="7">
        <f t="shared" si="8"/>
        <v>37</v>
      </c>
      <c r="AB41" s="5">
        <f t="shared" si="9"/>
        <v>2035000</v>
      </c>
    </row>
    <row r="42" spans="1:28" x14ac:dyDescent="0.3">
      <c r="A42" s="4" t="s">
        <v>191</v>
      </c>
      <c r="B42" s="4" t="s">
        <v>335</v>
      </c>
      <c r="C42" s="4" t="s">
        <v>337</v>
      </c>
      <c r="D42" s="4" t="s">
        <v>165</v>
      </c>
      <c r="E42" s="4" t="s">
        <v>166</v>
      </c>
      <c r="F42" s="4" t="s">
        <v>2579</v>
      </c>
      <c r="G42" s="4" t="s">
        <v>2580</v>
      </c>
      <c r="H42" s="4" t="s">
        <v>2578</v>
      </c>
      <c r="I42" s="4" t="e">
        <f>+VLOOKUP(F42,'Danh sách mã hàng mới khai tác'!#REF!,2,0)</f>
        <v>#REF!</v>
      </c>
      <c r="J42" s="5">
        <v>18000</v>
      </c>
      <c r="K42" s="5">
        <v>15</v>
      </c>
      <c r="L42" s="5">
        <f t="shared" si="11"/>
        <v>825000</v>
      </c>
      <c r="M42" s="5">
        <v>15</v>
      </c>
      <c r="N42" s="5">
        <f t="shared" si="11"/>
        <v>825000</v>
      </c>
      <c r="O42" s="5">
        <v>13</v>
      </c>
      <c r="P42" s="5">
        <f t="shared" si="2"/>
        <v>715000</v>
      </c>
      <c r="Q42" s="5">
        <v>13</v>
      </c>
      <c r="R42" s="5">
        <f t="shared" si="3"/>
        <v>715000</v>
      </c>
      <c r="S42" s="5">
        <v>9</v>
      </c>
      <c r="T42" s="5">
        <f t="shared" si="4"/>
        <v>495000</v>
      </c>
      <c r="U42" s="5">
        <v>11</v>
      </c>
      <c r="V42" s="5">
        <f t="shared" si="5"/>
        <v>605000</v>
      </c>
      <c r="W42" s="5">
        <v>14</v>
      </c>
      <c r="X42" s="5">
        <f t="shared" si="6"/>
        <v>770000</v>
      </c>
      <c r="Y42" s="5">
        <v>14</v>
      </c>
      <c r="Z42" s="5">
        <f t="shared" si="7"/>
        <v>770000</v>
      </c>
      <c r="AA42" s="7">
        <f t="shared" si="8"/>
        <v>104</v>
      </c>
      <c r="AB42" s="5">
        <f t="shared" si="9"/>
        <v>5720000</v>
      </c>
    </row>
    <row r="43" spans="1:28" x14ac:dyDescent="0.3">
      <c r="A43" s="4" t="s">
        <v>191</v>
      </c>
      <c r="B43" s="4" t="s">
        <v>335</v>
      </c>
      <c r="C43" s="4" t="s">
        <v>337</v>
      </c>
      <c r="D43" s="4" t="s">
        <v>165</v>
      </c>
      <c r="E43" s="4" t="s">
        <v>166</v>
      </c>
      <c r="F43" s="4" t="s">
        <v>2558</v>
      </c>
      <c r="G43" s="4" t="s">
        <v>2559</v>
      </c>
      <c r="H43" s="4" t="s">
        <v>2557</v>
      </c>
      <c r="I43" s="4" t="e">
        <f>+VLOOKUP(F43,'Danh sách mã hàng mới khai tác'!#REF!,2,0)</f>
        <v>#REF!</v>
      </c>
      <c r="J43" s="5">
        <v>24000</v>
      </c>
      <c r="K43" s="5">
        <v>6</v>
      </c>
      <c r="L43" s="5">
        <f t="shared" si="11"/>
        <v>330000</v>
      </c>
      <c r="M43" s="5">
        <v>7</v>
      </c>
      <c r="N43" s="5">
        <f t="shared" si="11"/>
        <v>385000</v>
      </c>
      <c r="O43" s="5">
        <v>6</v>
      </c>
      <c r="P43" s="5">
        <f t="shared" si="2"/>
        <v>330000</v>
      </c>
      <c r="Q43" s="5">
        <v>6</v>
      </c>
      <c r="R43" s="5">
        <f t="shared" si="3"/>
        <v>330000</v>
      </c>
      <c r="S43" s="5">
        <v>11</v>
      </c>
      <c r="T43" s="5">
        <f t="shared" si="4"/>
        <v>605000</v>
      </c>
      <c r="U43" s="5">
        <v>12</v>
      </c>
      <c r="V43" s="5">
        <f t="shared" si="5"/>
        <v>660000</v>
      </c>
      <c r="W43" s="5">
        <v>10</v>
      </c>
      <c r="X43" s="5">
        <f t="shared" si="6"/>
        <v>550000</v>
      </c>
      <c r="Y43" s="5">
        <v>12</v>
      </c>
      <c r="Z43" s="5">
        <f t="shared" si="7"/>
        <v>660000</v>
      </c>
      <c r="AA43" s="7">
        <f t="shared" si="8"/>
        <v>70</v>
      </c>
      <c r="AB43" s="5">
        <f t="shared" si="9"/>
        <v>3850000</v>
      </c>
    </row>
    <row r="44" spans="1:28" x14ac:dyDescent="0.3">
      <c r="A44" s="4" t="s">
        <v>191</v>
      </c>
      <c r="B44" s="4" t="s">
        <v>335</v>
      </c>
      <c r="C44" s="4" t="s">
        <v>337</v>
      </c>
      <c r="D44" s="4" t="s">
        <v>165</v>
      </c>
      <c r="E44" s="4" t="s">
        <v>178</v>
      </c>
      <c r="F44" s="4" t="s">
        <v>542</v>
      </c>
      <c r="G44" s="4" t="s">
        <v>543</v>
      </c>
      <c r="H44" s="4" t="s">
        <v>541</v>
      </c>
      <c r="I44" s="4" t="e">
        <f>+VLOOKUP(F44,'Danh sách mã hàng mới khai tác'!#REF!,2,0)</f>
        <v>#REF!</v>
      </c>
      <c r="J44" s="5">
        <v>69000</v>
      </c>
      <c r="K44" s="5">
        <v>3</v>
      </c>
      <c r="L44" s="5">
        <f t="shared" si="11"/>
        <v>165000</v>
      </c>
      <c r="M44" s="5">
        <v>0</v>
      </c>
      <c r="N44" s="5">
        <f t="shared" si="11"/>
        <v>0</v>
      </c>
      <c r="O44" s="5">
        <v>0</v>
      </c>
      <c r="P44" s="5">
        <f t="shared" si="2"/>
        <v>0</v>
      </c>
      <c r="Q44" s="5">
        <v>0</v>
      </c>
      <c r="R44" s="5">
        <f t="shared" si="3"/>
        <v>0</v>
      </c>
      <c r="S44" s="5">
        <v>0</v>
      </c>
      <c r="T44" s="5">
        <f t="shared" si="4"/>
        <v>0</v>
      </c>
      <c r="U44" s="5">
        <v>0</v>
      </c>
      <c r="V44" s="5">
        <f t="shared" si="5"/>
        <v>0</v>
      </c>
      <c r="W44" s="5">
        <v>0</v>
      </c>
      <c r="X44" s="5">
        <f t="shared" si="6"/>
        <v>0</v>
      </c>
      <c r="Y44" s="5">
        <v>0</v>
      </c>
      <c r="Z44" s="5">
        <f t="shared" si="7"/>
        <v>0</v>
      </c>
      <c r="AA44" s="7">
        <f t="shared" si="8"/>
        <v>3</v>
      </c>
      <c r="AB44" s="5">
        <f t="shared" si="9"/>
        <v>165000</v>
      </c>
    </row>
    <row r="45" spans="1:28" x14ac:dyDescent="0.3">
      <c r="A45" s="4" t="s">
        <v>191</v>
      </c>
      <c r="B45" s="4" t="s">
        <v>335</v>
      </c>
      <c r="C45" s="4" t="s">
        <v>337</v>
      </c>
      <c r="D45" s="4" t="s">
        <v>165</v>
      </c>
      <c r="E45" s="4" t="s">
        <v>178</v>
      </c>
      <c r="F45" s="4" t="s">
        <v>720</v>
      </c>
      <c r="G45" s="4" t="s">
        <v>721</v>
      </c>
      <c r="H45" s="4" t="s">
        <v>719</v>
      </c>
      <c r="I45" s="4" t="e">
        <f>+VLOOKUP(F45,'Danh sách mã hàng mới khai tác'!#REF!,2,0)</f>
        <v>#REF!</v>
      </c>
      <c r="J45" s="5">
        <v>104000</v>
      </c>
      <c r="K45" s="5">
        <v>4</v>
      </c>
      <c r="L45" s="5">
        <f t="shared" si="11"/>
        <v>220000</v>
      </c>
      <c r="M45" s="5">
        <v>0</v>
      </c>
      <c r="N45" s="5">
        <f t="shared" si="11"/>
        <v>0</v>
      </c>
      <c r="O45" s="5">
        <v>11</v>
      </c>
      <c r="P45" s="5">
        <f t="shared" si="2"/>
        <v>605000</v>
      </c>
      <c r="Q45" s="5">
        <v>2</v>
      </c>
      <c r="R45" s="5">
        <f t="shared" si="3"/>
        <v>110000</v>
      </c>
      <c r="S45" s="5">
        <v>0</v>
      </c>
      <c r="T45" s="5">
        <f t="shared" si="4"/>
        <v>0</v>
      </c>
      <c r="U45" s="5">
        <v>6</v>
      </c>
      <c r="V45" s="5">
        <f t="shared" si="5"/>
        <v>330000</v>
      </c>
      <c r="W45" s="5">
        <v>4</v>
      </c>
      <c r="X45" s="5">
        <f t="shared" si="6"/>
        <v>220000</v>
      </c>
      <c r="Y45" s="5">
        <v>2</v>
      </c>
      <c r="Z45" s="5">
        <f t="shared" si="7"/>
        <v>110000</v>
      </c>
      <c r="AA45" s="7">
        <f t="shared" si="8"/>
        <v>29</v>
      </c>
      <c r="AB45" s="5">
        <f t="shared" si="9"/>
        <v>1595000</v>
      </c>
    </row>
    <row r="46" spans="1:28" x14ac:dyDescent="0.3">
      <c r="A46" s="4" t="s">
        <v>191</v>
      </c>
      <c r="B46" s="4" t="s">
        <v>335</v>
      </c>
      <c r="C46" s="4" t="s">
        <v>337</v>
      </c>
      <c r="D46" s="4" t="s">
        <v>165</v>
      </c>
      <c r="E46" s="4" t="s">
        <v>178</v>
      </c>
      <c r="F46" s="4" t="s">
        <v>657</v>
      </c>
      <c r="G46" s="4" t="s">
        <v>658</v>
      </c>
      <c r="H46" s="4" t="s">
        <v>656</v>
      </c>
      <c r="I46" s="4" t="e">
        <f>+VLOOKUP(F46,'Danh sách mã hàng mới khai tác'!#REF!,2,0)</f>
        <v>#REF!</v>
      </c>
      <c r="J46" s="5">
        <v>35000</v>
      </c>
      <c r="K46" s="5">
        <v>8</v>
      </c>
      <c r="L46" s="5">
        <f t="shared" si="11"/>
        <v>440000</v>
      </c>
      <c r="M46" s="5">
        <v>2</v>
      </c>
      <c r="N46" s="5">
        <f t="shared" si="11"/>
        <v>110000</v>
      </c>
      <c r="O46" s="5">
        <v>1</v>
      </c>
      <c r="P46" s="5">
        <f t="shared" si="2"/>
        <v>55000</v>
      </c>
      <c r="Q46" s="5">
        <v>0</v>
      </c>
      <c r="R46" s="5">
        <f t="shared" si="3"/>
        <v>0</v>
      </c>
      <c r="S46" s="5">
        <v>0</v>
      </c>
      <c r="T46" s="5">
        <f t="shared" si="4"/>
        <v>0</v>
      </c>
      <c r="U46" s="5">
        <v>0</v>
      </c>
      <c r="V46" s="5">
        <f t="shared" si="5"/>
        <v>0</v>
      </c>
      <c r="W46" s="5">
        <v>0</v>
      </c>
      <c r="X46" s="5">
        <f t="shared" si="6"/>
        <v>0</v>
      </c>
      <c r="Y46" s="5">
        <v>0</v>
      </c>
      <c r="Z46" s="5">
        <f t="shared" si="7"/>
        <v>0</v>
      </c>
      <c r="AA46" s="7">
        <f t="shared" si="8"/>
        <v>11</v>
      </c>
      <c r="AB46" s="5">
        <f t="shared" si="9"/>
        <v>605000</v>
      </c>
    </row>
    <row r="47" spans="1:28" x14ac:dyDescent="0.3">
      <c r="A47" s="4" t="s">
        <v>191</v>
      </c>
      <c r="B47" s="4" t="s">
        <v>335</v>
      </c>
      <c r="C47" s="4" t="s">
        <v>337</v>
      </c>
      <c r="D47" s="4" t="s">
        <v>165</v>
      </c>
      <c r="E47" s="4" t="s">
        <v>178</v>
      </c>
      <c r="F47" s="4" t="s">
        <v>349</v>
      </c>
      <c r="G47" s="4" t="s">
        <v>350</v>
      </c>
      <c r="H47" s="4" t="s">
        <v>348</v>
      </c>
      <c r="I47" s="4" t="e">
        <f>+VLOOKUP(F47,'Danh sách mã hàng mới khai tác'!#REF!,2,0)</f>
        <v>#REF!</v>
      </c>
      <c r="J47" s="5">
        <v>76000</v>
      </c>
      <c r="K47" s="5">
        <v>11</v>
      </c>
      <c r="L47" s="5">
        <f t="shared" si="11"/>
        <v>605000</v>
      </c>
      <c r="M47" s="5">
        <v>8</v>
      </c>
      <c r="N47" s="5">
        <f t="shared" si="11"/>
        <v>440000</v>
      </c>
      <c r="O47" s="5">
        <v>0</v>
      </c>
      <c r="P47" s="5">
        <f t="shared" si="2"/>
        <v>0</v>
      </c>
      <c r="Q47" s="5">
        <v>6</v>
      </c>
      <c r="R47" s="5">
        <f t="shared" si="3"/>
        <v>330000</v>
      </c>
      <c r="S47" s="5">
        <v>0</v>
      </c>
      <c r="T47" s="5">
        <f t="shared" si="4"/>
        <v>0</v>
      </c>
      <c r="U47" s="5">
        <v>11</v>
      </c>
      <c r="V47" s="5">
        <f t="shared" si="5"/>
        <v>605000</v>
      </c>
      <c r="W47" s="5">
        <v>0</v>
      </c>
      <c r="X47" s="5">
        <f t="shared" si="6"/>
        <v>0</v>
      </c>
      <c r="Y47" s="5">
        <v>7</v>
      </c>
      <c r="Z47" s="5">
        <f t="shared" si="7"/>
        <v>385000</v>
      </c>
      <c r="AA47" s="7">
        <f t="shared" si="8"/>
        <v>43</v>
      </c>
      <c r="AB47" s="5">
        <f t="shared" si="9"/>
        <v>2365000</v>
      </c>
    </row>
    <row r="48" spans="1:28" x14ac:dyDescent="0.3">
      <c r="A48" s="4" t="s">
        <v>191</v>
      </c>
      <c r="B48" s="4" t="s">
        <v>335</v>
      </c>
      <c r="C48" s="4" t="s">
        <v>337</v>
      </c>
      <c r="D48" s="4" t="s">
        <v>165</v>
      </c>
      <c r="E48" s="4" t="s">
        <v>178</v>
      </c>
      <c r="F48" s="4" t="s">
        <v>865</v>
      </c>
      <c r="G48" s="4" t="s">
        <v>866</v>
      </c>
      <c r="H48" s="4" t="s">
        <v>864</v>
      </c>
      <c r="I48" s="4" t="e">
        <f>+VLOOKUP(F48,'Danh sách mã hàng mới khai tác'!#REF!,2,0)</f>
        <v>#REF!</v>
      </c>
      <c r="J48" s="5">
        <v>139000</v>
      </c>
      <c r="K48" s="5">
        <v>2</v>
      </c>
      <c r="L48" s="5">
        <f t="shared" si="11"/>
        <v>110000</v>
      </c>
      <c r="M48" s="5">
        <v>8</v>
      </c>
      <c r="N48" s="5">
        <f t="shared" si="11"/>
        <v>440000</v>
      </c>
      <c r="O48" s="5">
        <v>8</v>
      </c>
      <c r="P48" s="5">
        <f t="shared" si="2"/>
        <v>440000</v>
      </c>
      <c r="Q48" s="5">
        <v>4</v>
      </c>
      <c r="R48" s="5">
        <f t="shared" si="3"/>
        <v>220000</v>
      </c>
      <c r="S48" s="5">
        <v>6</v>
      </c>
      <c r="T48" s="5">
        <f t="shared" si="4"/>
        <v>330000</v>
      </c>
      <c r="U48" s="5">
        <v>9</v>
      </c>
      <c r="V48" s="5">
        <f t="shared" si="5"/>
        <v>495000</v>
      </c>
      <c r="W48" s="5">
        <v>10</v>
      </c>
      <c r="X48" s="5">
        <f t="shared" si="6"/>
        <v>550000</v>
      </c>
      <c r="Y48" s="5">
        <v>6</v>
      </c>
      <c r="Z48" s="5">
        <f t="shared" si="7"/>
        <v>330000</v>
      </c>
      <c r="AA48" s="7">
        <f t="shared" si="8"/>
        <v>53</v>
      </c>
      <c r="AB48" s="5">
        <f t="shared" si="9"/>
        <v>2915000</v>
      </c>
    </row>
    <row r="49" spans="1:28" x14ac:dyDescent="0.3">
      <c r="A49" s="4" t="s">
        <v>191</v>
      </c>
      <c r="B49" s="4" t="s">
        <v>335</v>
      </c>
      <c r="C49" s="4" t="s">
        <v>336</v>
      </c>
      <c r="D49" s="4" t="s">
        <v>165</v>
      </c>
      <c r="E49" s="4" t="s">
        <v>177</v>
      </c>
      <c r="F49" s="4" t="s">
        <v>2926</v>
      </c>
      <c r="G49" s="4" t="s">
        <v>2927</v>
      </c>
      <c r="H49" s="4" t="s">
        <v>2925</v>
      </c>
      <c r="I49" s="4" t="e">
        <f>+VLOOKUP(F49,'Danh sách mã hàng mới khai tác'!#REF!,2,0)</f>
        <v>#REF!</v>
      </c>
      <c r="J49" s="5">
        <v>45000</v>
      </c>
      <c r="K49" s="5">
        <v>0</v>
      </c>
      <c r="L49" s="5">
        <f t="shared" si="11"/>
        <v>0</v>
      </c>
      <c r="M49" s="5">
        <v>0</v>
      </c>
      <c r="N49" s="5">
        <f t="shared" si="11"/>
        <v>0</v>
      </c>
      <c r="O49" s="5">
        <v>0</v>
      </c>
      <c r="P49" s="5">
        <f t="shared" si="2"/>
        <v>0</v>
      </c>
      <c r="Q49" s="5">
        <v>0</v>
      </c>
      <c r="R49" s="5">
        <f t="shared" si="3"/>
        <v>0</v>
      </c>
      <c r="S49" s="5">
        <v>0</v>
      </c>
      <c r="T49" s="5">
        <f t="shared" si="4"/>
        <v>0</v>
      </c>
      <c r="U49" s="5">
        <v>0</v>
      </c>
      <c r="V49" s="5">
        <f t="shared" si="5"/>
        <v>0</v>
      </c>
      <c r="W49" s="5">
        <v>0</v>
      </c>
      <c r="X49" s="5">
        <f t="shared" si="6"/>
        <v>0</v>
      </c>
      <c r="Y49" s="5">
        <v>0</v>
      </c>
      <c r="Z49" s="5">
        <f t="shared" si="7"/>
        <v>0</v>
      </c>
      <c r="AA49" s="7">
        <f t="shared" si="8"/>
        <v>0</v>
      </c>
      <c r="AB49" s="5">
        <f t="shared" si="9"/>
        <v>0</v>
      </c>
    </row>
    <row r="50" spans="1:28" x14ac:dyDescent="0.3">
      <c r="A50" s="4" t="s">
        <v>191</v>
      </c>
      <c r="B50" s="4" t="s">
        <v>335</v>
      </c>
      <c r="C50" s="4" t="s">
        <v>336</v>
      </c>
      <c r="D50" s="4" t="s">
        <v>165</v>
      </c>
      <c r="E50" s="4" t="s">
        <v>177</v>
      </c>
      <c r="F50" s="4" t="s">
        <v>1147</v>
      </c>
      <c r="G50" s="4" t="s">
        <v>1148</v>
      </c>
      <c r="H50" s="4" t="s">
        <v>1146</v>
      </c>
      <c r="I50" s="4" t="e">
        <f>+VLOOKUP(F50,'Danh sách mã hàng mới khai tác'!#REF!,2,0)</f>
        <v>#REF!</v>
      </c>
      <c r="J50" s="5">
        <v>99000</v>
      </c>
      <c r="K50" s="5">
        <v>6</v>
      </c>
      <c r="L50" s="5">
        <f t="shared" si="11"/>
        <v>330000</v>
      </c>
      <c r="M50" s="5">
        <v>5</v>
      </c>
      <c r="N50" s="5">
        <f t="shared" si="11"/>
        <v>275000</v>
      </c>
      <c r="O50" s="5">
        <v>1</v>
      </c>
      <c r="P50" s="5">
        <f t="shared" si="2"/>
        <v>55000</v>
      </c>
      <c r="Q50" s="5">
        <v>1</v>
      </c>
      <c r="R50" s="5">
        <f t="shared" si="3"/>
        <v>55000</v>
      </c>
      <c r="S50" s="5">
        <v>0</v>
      </c>
      <c r="T50" s="5">
        <f t="shared" si="4"/>
        <v>0</v>
      </c>
      <c r="U50" s="5">
        <v>7</v>
      </c>
      <c r="V50" s="5">
        <f t="shared" si="5"/>
        <v>385000</v>
      </c>
      <c r="W50" s="5">
        <v>7</v>
      </c>
      <c r="X50" s="5">
        <f t="shared" si="6"/>
        <v>385000</v>
      </c>
      <c r="Y50" s="5">
        <v>0</v>
      </c>
      <c r="Z50" s="5">
        <f t="shared" si="7"/>
        <v>0</v>
      </c>
      <c r="AA50" s="7">
        <f t="shared" si="8"/>
        <v>27</v>
      </c>
      <c r="AB50" s="5">
        <f t="shared" si="9"/>
        <v>1485000</v>
      </c>
    </row>
    <row r="51" spans="1:28" x14ac:dyDescent="0.3">
      <c r="A51" s="4" t="s">
        <v>191</v>
      </c>
      <c r="B51" s="4" t="s">
        <v>335</v>
      </c>
      <c r="C51" s="4" t="s">
        <v>336</v>
      </c>
      <c r="D51" s="4" t="s">
        <v>165</v>
      </c>
      <c r="E51" s="4" t="s">
        <v>177</v>
      </c>
      <c r="F51" s="4" t="s">
        <v>1285</v>
      </c>
      <c r="G51" s="4" t="s">
        <v>1286</v>
      </c>
      <c r="H51" s="4" t="s">
        <v>1284</v>
      </c>
      <c r="I51" s="4" t="e">
        <f>+VLOOKUP(F51,'Danh sách mã hàng mới khai tác'!#REF!,2,0)</f>
        <v>#REF!</v>
      </c>
      <c r="J51" s="5">
        <v>99000</v>
      </c>
      <c r="K51" s="5">
        <v>13</v>
      </c>
      <c r="L51" s="5">
        <f t="shared" si="11"/>
        <v>715000</v>
      </c>
      <c r="M51" s="5">
        <v>3</v>
      </c>
      <c r="N51" s="5">
        <f t="shared" si="11"/>
        <v>165000</v>
      </c>
      <c r="O51" s="5">
        <v>0</v>
      </c>
      <c r="P51" s="5">
        <f t="shared" si="2"/>
        <v>0</v>
      </c>
      <c r="Q51" s="5">
        <v>0</v>
      </c>
      <c r="R51" s="5">
        <f t="shared" si="3"/>
        <v>0</v>
      </c>
      <c r="S51" s="5">
        <v>9</v>
      </c>
      <c r="T51" s="5">
        <f t="shared" si="4"/>
        <v>495000</v>
      </c>
      <c r="U51" s="5">
        <v>10</v>
      </c>
      <c r="V51" s="5">
        <f t="shared" si="5"/>
        <v>550000</v>
      </c>
      <c r="W51" s="5">
        <v>6</v>
      </c>
      <c r="X51" s="5">
        <f t="shared" si="6"/>
        <v>330000</v>
      </c>
      <c r="Y51" s="5">
        <v>0</v>
      </c>
      <c r="Z51" s="5">
        <f t="shared" si="7"/>
        <v>0</v>
      </c>
      <c r="AA51" s="7">
        <f t="shared" si="8"/>
        <v>41</v>
      </c>
      <c r="AB51" s="5">
        <f t="shared" si="9"/>
        <v>2255000</v>
      </c>
    </row>
    <row r="52" spans="1:28" x14ac:dyDescent="0.3">
      <c r="A52" s="4" t="s">
        <v>191</v>
      </c>
      <c r="B52" s="4" t="s">
        <v>335</v>
      </c>
      <c r="C52" s="4" t="s">
        <v>336</v>
      </c>
      <c r="D52" s="4" t="s">
        <v>165</v>
      </c>
      <c r="E52" s="4" t="s">
        <v>177</v>
      </c>
      <c r="F52" s="4" t="s">
        <v>1519</v>
      </c>
      <c r="G52" s="4" t="s">
        <v>1520</v>
      </c>
      <c r="H52" s="4" t="s">
        <v>1518</v>
      </c>
      <c r="I52" s="4" t="e">
        <f>+VLOOKUP(F52,'Danh sách mã hàng mới khai tác'!#REF!,2,0)</f>
        <v>#REF!</v>
      </c>
      <c r="J52" s="5">
        <v>99000</v>
      </c>
      <c r="K52" s="5">
        <v>3</v>
      </c>
      <c r="L52" s="5">
        <f t="shared" ref="L52:N67" si="12">+$J$3*K52</f>
        <v>165000</v>
      </c>
      <c r="M52" s="5">
        <v>0</v>
      </c>
      <c r="N52" s="5">
        <f t="shared" si="12"/>
        <v>0</v>
      </c>
      <c r="O52" s="5">
        <v>0</v>
      </c>
      <c r="P52" s="5">
        <f t="shared" si="2"/>
        <v>0</v>
      </c>
      <c r="Q52" s="5">
        <v>0</v>
      </c>
      <c r="R52" s="5">
        <f t="shared" si="3"/>
        <v>0</v>
      </c>
      <c r="S52" s="5">
        <v>1</v>
      </c>
      <c r="T52" s="5">
        <f t="shared" si="4"/>
        <v>55000</v>
      </c>
      <c r="U52" s="5">
        <v>0</v>
      </c>
      <c r="V52" s="5">
        <f t="shared" si="5"/>
        <v>0</v>
      </c>
      <c r="W52" s="5">
        <v>1</v>
      </c>
      <c r="X52" s="5">
        <f t="shared" si="6"/>
        <v>55000</v>
      </c>
      <c r="Y52" s="5">
        <v>0</v>
      </c>
      <c r="Z52" s="5">
        <f t="shared" si="7"/>
        <v>0</v>
      </c>
      <c r="AA52" s="7">
        <f t="shared" si="8"/>
        <v>5</v>
      </c>
      <c r="AB52" s="5">
        <f t="shared" si="9"/>
        <v>275000</v>
      </c>
    </row>
    <row r="53" spans="1:28" x14ac:dyDescent="0.3">
      <c r="A53" s="4" t="s">
        <v>191</v>
      </c>
      <c r="B53" s="4" t="s">
        <v>335</v>
      </c>
      <c r="C53" s="4" t="s">
        <v>336</v>
      </c>
      <c r="D53" s="4" t="s">
        <v>165</v>
      </c>
      <c r="E53" s="4" t="s">
        <v>166</v>
      </c>
      <c r="F53" s="4" t="s">
        <v>3532</v>
      </c>
      <c r="G53" s="4" t="s">
        <v>3533</v>
      </c>
      <c r="H53" s="4" t="s">
        <v>3534</v>
      </c>
      <c r="I53" s="4" t="e">
        <f>+VLOOKUP(F53,'Danh sách mã hàng mới khai tác'!#REF!,2,0)</f>
        <v>#REF!</v>
      </c>
      <c r="J53" s="5">
        <v>18000</v>
      </c>
      <c r="K53" s="5">
        <v>15</v>
      </c>
      <c r="L53" s="5">
        <f t="shared" si="12"/>
        <v>825000</v>
      </c>
      <c r="M53" s="5">
        <v>8</v>
      </c>
      <c r="N53" s="5">
        <f t="shared" si="12"/>
        <v>440000</v>
      </c>
      <c r="O53" s="5">
        <v>15</v>
      </c>
      <c r="P53" s="5">
        <f t="shared" si="2"/>
        <v>825000</v>
      </c>
      <c r="Q53" s="5">
        <v>15</v>
      </c>
      <c r="R53" s="5">
        <f t="shared" si="3"/>
        <v>825000</v>
      </c>
      <c r="S53" s="5">
        <v>13</v>
      </c>
      <c r="T53" s="5">
        <f t="shared" si="4"/>
        <v>715000</v>
      </c>
      <c r="U53" s="5">
        <v>12</v>
      </c>
      <c r="V53" s="5">
        <f t="shared" si="5"/>
        <v>660000</v>
      </c>
      <c r="W53" s="5">
        <v>13</v>
      </c>
      <c r="X53" s="5">
        <f t="shared" si="6"/>
        <v>715000</v>
      </c>
      <c r="Y53" s="5">
        <v>15</v>
      </c>
      <c r="Z53" s="5">
        <f t="shared" si="7"/>
        <v>825000</v>
      </c>
      <c r="AA53" s="7">
        <f t="shared" si="8"/>
        <v>106</v>
      </c>
      <c r="AB53" s="5">
        <f t="shared" si="9"/>
        <v>5830000</v>
      </c>
    </row>
    <row r="54" spans="1:28" x14ac:dyDescent="0.3">
      <c r="A54" s="4" t="s">
        <v>191</v>
      </c>
      <c r="B54" s="4" t="s">
        <v>335</v>
      </c>
      <c r="C54" s="4" t="s">
        <v>336</v>
      </c>
      <c r="D54" s="4" t="s">
        <v>165</v>
      </c>
      <c r="E54" s="4" t="s">
        <v>166</v>
      </c>
      <c r="F54" s="4" t="s">
        <v>2613</v>
      </c>
      <c r="G54" s="4" t="s">
        <v>2614</v>
      </c>
      <c r="H54" s="4" t="s">
        <v>2612</v>
      </c>
      <c r="I54" s="4" t="e">
        <f>+VLOOKUP(F54,'Danh sách mã hàng mới khai tác'!#REF!,2,0)</f>
        <v>#REF!</v>
      </c>
      <c r="J54" s="5">
        <v>18000</v>
      </c>
      <c r="K54" s="5">
        <v>15</v>
      </c>
      <c r="L54" s="5">
        <f t="shared" si="12"/>
        <v>825000</v>
      </c>
      <c r="M54" s="5">
        <v>9</v>
      </c>
      <c r="N54" s="5">
        <f t="shared" si="12"/>
        <v>495000</v>
      </c>
      <c r="O54" s="5">
        <v>7</v>
      </c>
      <c r="P54" s="5">
        <f t="shared" si="2"/>
        <v>385000</v>
      </c>
      <c r="Q54" s="5">
        <v>8</v>
      </c>
      <c r="R54" s="5">
        <f t="shared" si="3"/>
        <v>440000</v>
      </c>
      <c r="S54" s="5">
        <v>13</v>
      </c>
      <c r="T54" s="5">
        <f t="shared" si="4"/>
        <v>715000</v>
      </c>
      <c r="U54" s="5">
        <v>14</v>
      </c>
      <c r="V54" s="5">
        <f t="shared" si="5"/>
        <v>770000</v>
      </c>
      <c r="W54" s="5">
        <v>14</v>
      </c>
      <c r="X54" s="5">
        <f t="shared" si="6"/>
        <v>770000</v>
      </c>
      <c r="Y54" s="5">
        <v>14</v>
      </c>
      <c r="Z54" s="5">
        <f t="shared" si="7"/>
        <v>770000</v>
      </c>
      <c r="AA54" s="7">
        <f t="shared" si="8"/>
        <v>94</v>
      </c>
      <c r="AB54" s="5">
        <f t="shared" si="9"/>
        <v>5170000</v>
      </c>
    </row>
    <row r="55" spans="1:28" x14ac:dyDescent="0.3">
      <c r="A55" s="4" t="s">
        <v>191</v>
      </c>
      <c r="B55" s="4" t="s">
        <v>335</v>
      </c>
      <c r="C55" s="4" t="s">
        <v>336</v>
      </c>
      <c r="D55" s="4" t="s">
        <v>165</v>
      </c>
      <c r="E55" s="4" t="s">
        <v>166</v>
      </c>
      <c r="F55" s="4" t="s">
        <v>2567</v>
      </c>
      <c r="G55" s="4" t="s">
        <v>2568</v>
      </c>
      <c r="H55" s="4" t="s">
        <v>2566</v>
      </c>
      <c r="I55" s="4" t="e">
        <f>+VLOOKUP(F55,'Danh sách mã hàng mới khai tác'!#REF!,2,0)</f>
        <v>#REF!</v>
      </c>
      <c r="J55" s="5">
        <v>15000</v>
      </c>
      <c r="K55" s="5">
        <v>15</v>
      </c>
      <c r="L55" s="5">
        <f t="shared" si="12"/>
        <v>825000</v>
      </c>
      <c r="M55" s="5">
        <v>14</v>
      </c>
      <c r="N55" s="5">
        <f t="shared" si="12"/>
        <v>770000</v>
      </c>
      <c r="O55" s="5">
        <v>14</v>
      </c>
      <c r="P55" s="5">
        <f t="shared" si="2"/>
        <v>770000</v>
      </c>
      <c r="Q55" s="5">
        <v>14</v>
      </c>
      <c r="R55" s="5">
        <f t="shared" si="3"/>
        <v>770000</v>
      </c>
      <c r="S55" s="5">
        <v>9</v>
      </c>
      <c r="T55" s="5">
        <f t="shared" si="4"/>
        <v>495000</v>
      </c>
      <c r="U55" s="5">
        <v>13</v>
      </c>
      <c r="V55" s="5">
        <f t="shared" si="5"/>
        <v>715000</v>
      </c>
      <c r="W55" s="5">
        <v>11</v>
      </c>
      <c r="X55" s="5">
        <f t="shared" si="6"/>
        <v>605000</v>
      </c>
      <c r="Y55" s="5">
        <v>15</v>
      </c>
      <c r="Z55" s="5">
        <f t="shared" si="7"/>
        <v>825000</v>
      </c>
      <c r="AA55" s="7">
        <f t="shared" si="8"/>
        <v>105</v>
      </c>
      <c r="AB55" s="5">
        <f t="shared" si="9"/>
        <v>5775000</v>
      </c>
    </row>
    <row r="56" spans="1:28" x14ac:dyDescent="0.3">
      <c r="A56" s="4" t="s">
        <v>191</v>
      </c>
      <c r="B56" s="4" t="s">
        <v>335</v>
      </c>
      <c r="C56" s="4" t="s">
        <v>336</v>
      </c>
      <c r="D56" s="4" t="s">
        <v>165</v>
      </c>
      <c r="E56" s="4" t="s">
        <v>166</v>
      </c>
      <c r="F56" s="4" t="s">
        <v>2573</v>
      </c>
      <c r="G56" s="4" t="s">
        <v>2574</v>
      </c>
      <c r="H56" s="4" t="s">
        <v>2572</v>
      </c>
      <c r="I56" s="4" t="e">
        <f>+VLOOKUP(F56,'Danh sách mã hàng mới khai tác'!#REF!,2,0)</f>
        <v>#REF!</v>
      </c>
      <c r="J56" s="5">
        <v>16000</v>
      </c>
      <c r="K56" s="5">
        <v>14</v>
      </c>
      <c r="L56" s="5">
        <f t="shared" si="12"/>
        <v>770000</v>
      </c>
      <c r="M56" s="5">
        <v>15</v>
      </c>
      <c r="N56" s="5">
        <f t="shared" si="12"/>
        <v>825000</v>
      </c>
      <c r="O56" s="5">
        <v>12</v>
      </c>
      <c r="P56" s="5">
        <f t="shared" si="2"/>
        <v>660000</v>
      </c>
      <c r="Q56" s="5">
        <v>12</v>
      </c>
      <c r="R56" s="5">
        <f t="shared" si="3"/>
        <v>660000</v>
      </c>
      <c r="S56" s="5">
        <v>13</v>
      </c>
      <c r="T56" s="5">
        <f t="shared" si="4"/>
        <v>715000</v>
      </c>
      <c r="U56" s="5">
        <v>12</v>
      </c>
      <c r="V56" s="5">
        <f t="shared" si="5"/>
        <v>660000</v>
      </c>
      <c r="W56" s="5">
        <v>13</v>
      </c>
      <c r="X56" s="5">
        <f t="shared" si="6"/>
        <v>715000</v>
      </c>
      <c r="Y56" s="5">
        <v>14</v>
      </c>
      <c r="Z56" s="5">
        <f t="shared" si="7"/>
        <v>770000</v>
      </c>
      <c r="AA56" s="7">
        <f t="shared" si="8"/>
        <v>105</v>
      </c>
      <c r="AB56" s="5">
        <f t="shared" si="9"/>
        <v>5775000</v>
      </c>
    </row>
    <row r="57" spans="1:28" x14ac:dyDescent="0.3">
      <c r="A57" s="4" t="s">
        <v>191</v>
      </c>
      <c r="B57" s="4" t="s">
        <v>335</v>
      </c>
      <c r="C57" s="4" t="s">
        <v>336</v>
      </c>
      <c r="D57" s="4" t="s">
        <v>165</v>
      </c>
      <c r="E57" s="4" t="s">
        <v>166</v>
      </c>
      <c r="F57" s="4" t="s">
        <v>2576</v>
      </c>
      <c r="G57" s="4" t="s">
        <v>2577</v>
      </c>
      <c r="H57" s="4" t="s">
        <v>2575</v>
      </c>
      <c r="I57" s="4" t="e">
        <f>+VLOOKUP(F57,'Danh sách mã hàng mới khai tác'!#REF!,2,0)</f>
        <v>#REF!</v>
      </c>
      <c r="J57" s="5">
        <v>16000</v>
      </c>
      <c r="K57" s="5">
        <v>15</v>
      </c>
      <c r="L57" s="5">
        <f t="shared" si="12"/>
        <v>825000</v>
      </c>
      <c r="M57" s="5">
        <v>6</v>
      </c>
      <c r="N57" s="5">
        <f t="shared" si="12"/>
        <v>330000</v>
      </c>
      <c r="O57" s="5">
        <v>13</v>
      </c>
      <c r="P57" s="5">
        <f t="shared" si="2"/>
        <v>715000</v>
      </c>
      <c r="Q57" s="5">
        <v>9</v>
      </c>
      <c r="R57" s="5">
        <f t="shared" si="3"/>
        <v>495000</v>
      </c>
      <c r="S57" s="5">
        <v>12</v>
      </c>
      <c r="T57" s="5">
        <f t="shared" si="4"/>
        <v>660000</v>
      </c>
      <c r="U57" s="5">
        <v>14</v>
      </c>
      <c r="V57" s="5">
        <f t="shared" si="5"/>
        <v>770000</v>
      </c>
      <c r="W57" s="5">
        <v>14</v>
      </c>
      <c r="X57" s="5">
        <f t="shared" si="6"/>
        <v>770000</v>
      </c>
      <c r="Y57" s="5">
        <v>13</v>
      </c>
      <c r="Z57" s="5">
        <f t="shared" si="7"/>
        <v>715000</v>
      </c>
      <c r="AA57" s="7">
        <f t="shared" si="8"/>
        <v>96</v>
      </c>
      <c r="AB57" s="5">
        <f t="shared" si="9"/>
        <v>5280000</v>
      </c>
    </row>
    <row r="58" spans="1:28" x14ac:dyDescent="0.3">
      <c r="A58" s="4" t="s">
        <v>191</v>
      </c>
      <c r="B58" s="4" t="s">
        <v>335</v>
      </c>
      <c r="C58" s="4" t="s">
        <v>336</v>
      </c>
      <c r="D58" s="4" t="s">
        <v>165</v>
      </c>
      <c r="E58" s="4" t="s">
        <v>166</v>
      </c>
      <c r="F58" s="4" t="s">
        <v>2552</v>
      </c>
      <c r="G58" s="4" t="s">
        <v>2553</v>
      </c>
      <c r="H58" s="4" t="s">
        <v>2551</v>
      </c>
      <c r="I58" s="4" t="e">
        <f>+VLOOKUP(F58,'Danh sách mã hàng mới khai tác'!#REF!,2,0)</f>
        <v>#REF!</v>
      </c>
      <c r="J58" s="5">
        <v>23000</v>
      </c>
      <c r="K58" s="5">
        <v>9</v>
      </c>
      <c r="L58" s="5">
        <f t="shared" si="12"/>
        <v>495000</v>
      </c>
      <c r="M58" s="5">
        <v>9</v>
      </c>
      <c r="N58" s="5">
        <f t="shared" si="12"/>
        <v>495000</v>
      </c>
      <c r="O58" s="5">
        <v>11</v>
      </c>
      <c r="P58" s="5">
        <f t="shared" si="2"/>
        <v>605000</v>
      </c>
      <c r="Q58" s="5">
        <v>10</v>
      </c>
      <c r="R58" s="5">
        <f t="shared" si="3"/>
        <v>550000</v>
      </c>
      <c r="S58" s="5">
        <v>12</v>
      </c>
      <c r="T58" s="5">
        <f t="shared" si="4"/>
        <v>660000</v>
      </c>
      <c r="U58" s="5">
        <v>12</v>
      </c>
      <c r="V58" s="5">
        <f t="shared" si="5"/>
        <v>660000</v>
      </c>
      <c r="W58" s="5">
        <v>11</v>
      </c>
      <c r="X58" s="5">
        <f t="shared" si="6"/>
        <v>605000</v>
      </c>
      <c r="Y58" s="5">
        <v>12</v>
      </c>
      <c r="Z58" s="5">
        <f t="shared" si="7"/>
        <v>660000</v>
      </c>
      <c r="AA58" s="7">
        <f t="shared" si="8"/>
        <v>86</v>
      </c>
      <c r="AB58" s="5">
        <f t="shared" si="9"/>
        <v>4730000</v>
      </c>
    </row>
    <row r="59" spans="1:28" x14ac:dyDescent="0.3">
      <c r="A59" s="4" t="s">
        <v>191</v>
      </c>
      <c r="B59" s="4" t="s">
        <v>335</v>
      </c>
      <c r="C59" s="4" t="s">
        <v>336</v>
      </c>
      <c r="D59" s="4" t="s">
        <v>165</v>
      </c>
      <c r="E59" s="4" t="s">
        <v>166</v>
      </c>
      <c r="F59" s="4" t="s">
        <v>2570</v>
      </c>
      <c r="G59" s="4" t="s">
        <v>2571</v>
      </c>
      <c r="H59" s="4" t="s">
        <v>2569</v>
      </c>
      <c r="I59" s="4" t="e">
        <f>+VLOOKUP(F59,'Danh sách mã hàng mới khai tác'!#REF!,2,0)</f>
        <v>#REF!</v>
      </c>
      <c r="J59" s="5">
        <v>23000</v>
      </c>
      <c r="K59" s="5">
        <v>12</v>
      </c>
      <c r="L59" s="5">
        <f t="shared" si="12"/>
        <v>660000</v>
      </c>
      <c r="M59" s="5">
        <v>5</v>
      </c>
      <c r="N59" s="5">
        <f t="shared" si="12"/>
        <v>275000</v>
      </c>
      <c r="O59" s="5">
        <v>11</v>
      </c>
      <c r="P59" s="5">
        <f t="shared" si="2"/>
        <v>605000</v>
      </c>
      <c r="Q59" s="5">
        <v>11</v>
      </c>
      <c r="R59" s="5">
        <f t="shared" si="3"/>
        <v>605000</v>
      </c>
      <c r="S59" s="5">
        <v>8</v>
      </c>
      <c r="T59" s="5">
        <f t="shared" si="4"/>
        <v>440000</v>
      </c>
      <c r="U59" s="5">
        <v>12</v>
      </c>
      <c r="V59" s="5">
        <f t="shared" si="5"/>
        <v>660000</v>
      </c>
      <c r="W59" s="5">
        <v>11</v>
      </c>
      <c r="X59" s="5">
        <f t="shared" si="6"/>
        <v>605000</v>
      </c>
      <c r="Y59" s="5">
        <v>12</v>
      </c>
      <c r="Z59" s="5">
        <f t="shared" si="7"/>
        <v>660000</v>
      </c>
      <c r="AA59" s="7">
        <f t="shared" si="8"/>
        <v>82</v>
      </c>
      <c r="AB59" s="5">
        <f t="shared" si="9"/>
        <v>4510000</v>
      </c>
    </row>
    <row r="60" spans="1:28" x14ac:dyDescent="0.3">
      <c r="A60" s="4" t="s">
        <v>191</v>
      </c>
      <c r="B60" s="4" t="s">
        <v>335</v>
      </c>
      <c r="C60" s="4" t="s">
        <v>336</v>
      </c>
      <c r="D60" s="4" t="s">
        <v>165</v>
      </c>
      <c r="E60" s="4" t="s">
        <v>166</v>
      </c>
      <c r="F60" s="4" t="s">
        <v>2588</v>
      </c>
      <c r="G60" s="4" t="s">
        <v>2589</v>
      </c>
      <c r="H60" s="4" t="s">
        <v>2587</v>
      </c>
      <c r="I60" s="4" t="e">
        <f>+VLOOKUP(F60,'Danh sách mã hàng mới khai tác'!#REF!,2,0)</f>
        <v>#REF!</v>
      </c>
      <c r="J60" s="5">
        <v>22000</v>
      </c>
      <c r="K60" s="5">
        <v>11</v>
      </c>
      <c r="L60" s="5">
        <f t="shared" si="12"/>
        <v>605000</v>
      </c>
      <c r="M60" s="5">
        <v>10</v>
      </c>
      <c r="N60" s="5">
        <f t="shared" si="12"/>
        <v>550000</v>
      </c>
      <c r="O60" s="5">
        <v>9</v>
      </c>
      <c r="P60" s="5">
        <f t="shared" si="2"/>
        <v>495000</v>
      </c>
      <c r="Q60" s="5">
        <v>4</v>
      </c>
      <c r="R60" s="5">
        <f t="shared" si="3"/>
        <v>220000</v>
      </c>
      <c r="S60" s="5">
        <v>12</v>
      </c>
      <c r="T60" s="5">
        <f t="shared" si="4"/>
        <v>660000</v>
      </c>
      <c r="U60" s="5">
        <v>12</v>
      </c>
      <c r="V60" s="5">
        <f t="shared" si="5"/>
        <v>660000</v>
      </c>
      <c r="W60" s="5">
        <v>9</v>
      </c>
      <c r="X60" s="5">
        <f t="shared" si="6"/>
        <v>495000</v>
      </c>
      <c r="Y60" s="5">
        <v>12</v>
      </c>
      <c r="Z60" s="5">
        <f t="shared" si="7"/>
        <v>660000</v>
      </c>
      <c r="AA60" s="7">
        <f t="shared" si="8"/>
        <v>79</v>
      </c>
      <c r="AB60" s="5">
        <f t="shared" si="9"/>
        <v>4345000</v>
      </c>
    </row>
    <row r="61" spans="1:28" x14ac:dyDescent="0.3">
      <c r="A61" s="4" t="s">
        <v>191</v>
      </c>
      <c r="B61" s="4" t="s">
        <v>335</v>
      </c>
      <c r="C61" s="4" t="s">
        <v>336</v>
      </c>
      <c r="D61" s="4" t="s">
        <v>165</v>
      </c>
      <c r="E61" s="4" t="s">
        <v>166</v>
      </c>
      <c r="F61" s="4" t="s">
        <v>2583</v>
      </c>
      <c r="G61" s="4" t="s">
        <v>2584</v>
      </c>
      <c r="H61" s="4" t="s">
        <v>2582</v>
      </c>
      <c r="I61" s="4" t="e">
        <f>+VLOOKUP(F61,'Danh sách mã hàng mới khai tác'!#REF!,2,0)</f>
        <v>#REF!</v>
      </c>
      <c r="J61" s="5">
        <v>18000</v>
      </c>
      <c r="K61" s="5">
        <v>15</v>
      </c>
      <c r="L61" s="5">
        <f t="shared" si="12"/>
        <v>825000</v>
      </c>
      <c r="M61" s="5">
        <v>14</v>
      </c>
      <c r="N61" s="5">
        <f t="shared" si="12"/>
        <v>770000</v>
      </c>
      <c r="O61" s="5">
        <v>15</v>
      </c>
      <c r="P61" s="5">
        <f t="shared" si="2"/>
        <v>825000</v>
      </c>
      <c r="Q61" s="5">
        <v>9</v>
      </c>
      <c r="R61" s="5">
        <f t="shared" si="3"/>
        <v>495000</v>
      </c>
      <c r="S61" s="5">
        <v>9</v>
      </c>
      <c r="T61" s="5">
        <f t="shared" si="4"/>
        <v>495000</v>
      </c>
      <c r="U61" s="5">
        <v>12</v>
      </c>
      <c r="V61" s="5">
        <f t="shared" si="5"/>
        <v>660000</v>
      </c>
      <c r="W61" s="5">
        <v>14</v>
      </c>
      <c r="X61" s="5">
        <f t="shared" si="6"/>
        <v>770000</v>
      </c>
      <c r="Y61" s="5">
        <v>15</v>
      </c>
      <c r="Z61" s="5">
        <f t="shared" si="7"/>
        <v>825000</v>
      </c>
      <c r="AA61" s="7">
        <f t="shared" si="8"/>
        <v>103</v>
      </c>
      <c r="AB61" s="5">
        <f t="shared" si="9"/>
        <v>5665000</v>
      </c>
    </row>
    <row r="62" spans="1:28" x14ac:dyDescent="0.3">
      <c r="A62" s="4" t="s">
        <v>191</v>
      </c>
      <c r="B62" s="4" t="s">
        <v>335</v>
      </c>
      <c r="C62" s="4" t="s">
        <v>336</v>
      </c>
      <c r="D62" s="4" t="s">
        <v>165</v>
      </c>
      <c r="E62" s="4" t="s">
        <v>178</v>
      </c>
      <c r="F62" s="4" t="s">
        <v>607</v>
      </c>
      <c r="G62" s="4" t="s">
        <v>608</v>
      </c>
      <c r="H62" s="4" t="s">
        <v>606</v>
      </c>
      <c r="I62" s="4" t="e">
        <f>+VLOOKUP(F62,'Danh sách mã hàng mới khai tác'!#REF!,2,0)</f>
        <v>#REF!</v>
      </c>
      <c r="J62" s="5">
        <v>105000</v>
      </c>
      <c r="K62" s="5">
        <v>0</v>
      </c>
      <c r="L62" s="5">
        <f t="shared" si="12"/>
        <v>0</v>
      </c>
      <c r="M62" s="5">
        <v>0</v>
      </c>
      <c r="N62" s="5">
        <f t="shared" si="12"/>
        <v>0</v>
      </c>
      <c r="O62" s="5">
        <v>0</v>
      </c>
      <c r="P62" s="5">
        <f t="shared" si="2"/>
        <v>0</v>
      </c>
      <c r="Q62" s="5">
        <v>0</v>
      </c>
      <c r="R62" s="5">
        <f t="shared" si="3"/>
        <v>0</v>
      </c>
      <c r="S62" s="5">
        <v>0</v>
      </c>
      <c r="T62" s="5">
        <f t="shared" si="4"/>
        <v>0</v>
      </c>
      <c r="U62" s="5">
        <v>0</v>
      </c>
      <c r="V62" s="5">
        <f t="shared" si="5"/>
        <v>0</v>
      </c>
      <c r="W62" s="5">
        <v>0</v>
      </c>
      <c r="X62" s="5">
        <f t="shared" si="6"/>
        <v>0</v>
      </c>
      <c r="Y62" s="5">
        <v>0</v>
      </c>
      <c r="Z62" s="5">
        <f t="shared" si="7"/>
        <v>0</v>
      </c>
      <c r="AA62" s="7">
        <f t="shared" si="8"/>
        <v>0</v>
      </c>
      <c r="AB62" s="5">
        <f t="shared" si="9"/>
        <v>0</v>
      </c>
    </row>
    <row r="63" spans="1:28" x14ac:dyDescent="0.3">
      <c r="A63" s="4" t="s">
        <v>191</v>
      </c>
      <c r="B63" s="4" t="s">
        <v>335</v>
      </c>
      <c r="C63" s="4" t="s">
        <v>336</v>
      </c>
      <c r="D63" s="4" t="s">
        <v>165</v>
      </c>
      <c r="E63" s="4" t="s">
        <v>178</v>
      </c>
      <c r="F63" s="4" t="s">
        <v>1577</v>
      </c>
      <c r="G63" s="4" t="s">
        <v>1578</v>
      </c>
      <c r="H63" s="4" t="s">
        <v>1576</v>
      </c>
      <c r="I63" s="4" t="e">
        <f>+VLOOKUP(F63,'Danh sách mã hàng mới khai tác'!#REF!,2,0)</f>
        <v>#REF!</v>
      </c>
      <c r="J63" s="5">
        <v>47000</v>
      </c>
      <c r="K63" s="5">
        <v>0</v>
      </c>
      <c r="L63" s="5">
        <f t="shared" si="12"/>
        <v>0</v>
      </c>
      <c r="M63" s="5">
        <v>0</v>
      </c>
      <c r="N63" s="5">
        <f t="shared" si="12"/>
        <v>0</v>
      </c>
      <c r="O63" s="5">
        <v>0</v>
      </c>
      <c r="P63" s="5">
        <f t="shared" si="2"/>
        <v>0</v>
      </c>
      <c r="Q63" s="5">
        <v>0</v>
      </c>
      <c r="R63" s="5">
        <f t="shared" si="3"/>
        <v>0</v>
      </c>
      <c r="S63" s="5">
        <v>0</v>
      </c>
      <c r="T63" s="5">
        <f t="shared" si="4"/>
        <v>0</v>
      </c>
      <c r="U63" s="5">
        <v>0</v>
      </c>
      <c r="V63" s="5">
        <f t="shared" si="5"/>
        <v>0</v>
      </c>
      <c r="W63" s="5">
        <v>0</v>
      </c>
      <c r="X63" s="5">
        <f t="shared" si="6"/>
        <v>0</v>
      </c>
      <c r="Y63" s="5">
        <v>0</v>
      </c>
      <c r="Z63" s="5">
        <f t="shared" si="7"/>
        <v>0</v>
      </c>
      <c r="AA63" s="7">
        <f t="shared" si="8"/>
        <v>0</v>
      </c>
      <c r="AB63" s="5">
        <f t="shared" si="9"/>
        <v>0</v>
      </c>
    </row>
    <row r="64" spans="1:28" x14ac:dyDescent="0.3">
      <c r="A64" s="4" t="s">
        <v>194</v>
      </c>
      <c r="B64" s="4" t="s">
        <v>195</v>
      </c>
      <c r="C64" s="4" t="s">
        <v>196</v>
      </c>
      <c r="D64" s="4" t="s">
        <v>165</v>
      </c>
      <c r="E64" s="4" t="s">
        <v>166</v>
      </c>
      <c r="F64" s="4" t="s">
        <v>66</v>
      </c>
      <c r="G64" s="4" t="s">
        <v>67</v>
      </c>
      <c r="H64" s="4" t="s">
        <v>68</v>
      </c>
      <c r="I64" s="4" t="e">
        <f>+VLOOKUP(F64,'Danh sách mã hàng mới khai tác'!#REF!,2,0)</f>
        <v>#REF!</v>
      </c>
      <c r="J64" s="5">
        <v>360000</v>
      </c>
      <c r="K64" s="5">
        <v>2</v>
      </c>
      <c r="L64" s="5">
        <f t="shared" si="12"/>
        <v>110000</v>
      </c>
      <c r="M64" s="5">
        <v>0</v>
      </c>
      <c r="N64" s="5">
        <f t="shared" si="12"/>
        <v>0</v>
      </c>
      <c r="O64" s="5">
        <v>0</v>
      </c>
      <c r="P64" s="5">
        <f t="shared" si="2"/>
        <v>0</v>
      </c>
      <c r="Q64" s="5">
        <v>0</v>
      </c>
      <c r="R64" s="5">
        <f t="shared" si="3"/>
        <v>0</v>
      </c>
      <c r="S64" s="5">
        <v>4</v>
      </c>
      <c r="T64" s="5">
        <f t="shared" si="4"/>
        <v>220000</v>
      </c>
      <c r="U64" s="5">
        <v>0</v>
      </c>
      <c r="V64" s="5">
        <f t="shared" si="5"/>
        <v>0</v>
      </c>
      <c r="W64" s="5">
        <v>0</v>
      </c>
      <c r="X64" s="5">
        <f t="shared" si="6"/>
        <v>0</v>
      </c>
      <c r="Y64" s="5">
        <v>4</v>
      </c>
      <c r="Z64" s="5">
        <f t="shared" si="7"/>
        <v>220000</v>
      </c>
      <c r="AA64" s="7">
        <f t="shared" si="8"/>
        <v>10</v>
      </c>
      <c r="AB64" s="5">
        <f t="shared" si="9"/>
        <v>550000</v>
      </c>
    </row>
    <row r="65" spans="1:28" x14ac:dyDescent="0.3">
      <c r="A65" s="4" t="s">
        <v>194</v>
      </c>
      <c r="B65" s="4" t="s">
        <v>195</v>
      </c>
      <c r="C65" s="4" t="s">
        <v>196</v>
      </c>
      <c r="D65" s="4" t="s">
        <v>165</v>
      </c>
      <c r="E65" s="4" t="s">
        <v>166</v>
      </c>
      <c r="F65" s="4" t="s">
        <v>69</v>
      </c>
      <c r="G65" s="4" t="s">
        <v>70</v>
      </c>
      <c r="H65" s="4" t="s">
        <v>71</v>
      </c>
      <c r="I65" s="4" t="e">
        <f>+VLOOKUP(F65,'Danh sách mã hàng mới khai tác'!#REF!,2,0)</f>
        <v>#REF!</v>
      </c>
      <c r="J65" s="5">
        <v>275000</v>
      </c>
      <c r="K65" s="5">
        <v>5</v>
      </c>
      <c r="L65" s="5">
        <f t="shared" si="12"/>
        <v>275000</v>
      </c>
      <c r="M65" s="5">
        <v>0</v>
      </c>
      <c r="N65" s="5">
        <f t="shared" si="12"/>
        <v>0</v>
      </c>
      <c r="O65" s="5">
        <v>0</v>
      </c>
      <c r="P65" s="5">
        <f t="shared" si="2"/>
        <v>0</v>
      </c>
      <c r="Q65" s="5">
        <v>0</v>
      </c>
      <c r="R65" s="5">
        <f t="shared" si="3"/>
        <v>0</v>
      </c>
      <c r="S65" s="5">
        <v>6</v>
      </c>
      <c r="T65" s="5">
        <f t="shared" si="4"/>
        <v>330000</v>
      </c>
      <c r="U65" s="5">
        <v>0</v>
      </c>
      <c r="V65" s="5">
        <f t="shared" si="5"/>
        <v>0</v>
      </c>
      <c r="W65" s="5">
        <v>0</v>
      </c>
      <c r="X65" s="5">
        <f t="shared" si="6"/>
        <v>0</v>
      </c>
      <c r="Y65" s="5">
        <v>6</v>
      </c>
      <c r="Z65" s="5">
        <f t="shared" si="7"/>
        <v>330000</v>
      </c>
      <c r="AA65" s="7">
        <f t="shared" si="8"/>
        <v>17</v>
      </c>
      <c r="AB65" s="5">
        <f t="shared" si="9"/>
        <v>935000</v>
      </c>
    </row>
    <row r="66" spans="1:28" x14ac:dyDescent="0.3">
      <c r="A66" s="4" t="s">
        <v>194</v>
      </c>
      <c r="B66" s="4" t="s">
        <v>195</v>
      </c>
      <c r="C66" s="4" t="s">
        <v>196</v>
      </c>
      <c r="D66" s="4" t="s">
        <v>165</v>
      </c>
      <c r="E66" s="4" t="s">
        <v>197</v>
      </c>
      <c r="F66" s="4" t="s">
        <v>57</v>
      </c>
      <c r="G66" s="4" t="s">
        <v>58</v>
      </c>
      <c r="H66" s="4" t="s">
        <v>59</v>
      </c>
      <c r="I66" s="4" t="e">
        <f>+VLOOKUP(F66,'Danh sách mã hàng mới khai tác'!#REF!,2,0)</f>
        <v>#REF!</v>
      </c>
      <c r="J66" s="5">
        <v>330000</v>
      </c>
      <c r="K66" s="5">
        <v>2</v>
      </c>
      <c r="L66" s="5">
        <f t="shared" si="12"/>
        <v>110000</v>
      </c>
      <c r="M66" s="5">
        <v>0</v>
      </c>
      <c r="N66" s="5">
        <f t="shared" si="12"/>
        <v>0</v>
      </c>
      <c r="O66" s="5">
        <v>0</v>
      </c>
      <c r="P66" s="5">
        <f t="shared" si="2"/>
        <v>0</v>
      </c>
      <c r="Q66" s="5">
        <v>0</v>
      </c>
      <c r="R66" s="5">
        <f t="shared" si="3"/>
        <v>0</v>
      </c>
      <c r="S66" s="5">
        <v>0</v>
      </c>
      <c r="T66" s="5">
        <f t="shared" si="4"/>
        <v>0</v>
      </c>
      <c r="U66" s="5">
        <v>0</v>
      </c>
      <c r="V66" s="5">
        <f t="shared" si="5"/>
        <v>0</v>
      </c>
      <c r="W66" s="5">
        <v>0</v>
      </c>
      <c r="X66" s="5">
        <f t="shared" si="6"/>
        <v>0</v>
      </c>
      <c r="Y66" s="5">
        <v>0</v>
      </c>
      <c r="Z66" s="5">
        <f t="shared" si="7"/>
        <v>0</v>
      </c>
      <c r="AA66" s="7">
        <f t="shared" si="8"/>
        <v>2</v>
      </c>
      <c r="AB66" s="5">
        <f t="shared" si="9"/>
        <v>110000</v>
      </c>
    </row>
    <row r="67" spans="1:28" x14ac:dyDescent="0.3">
      <c r="A67" s="4" t="s">
        <v>194</v>
      </c>
      <c r="B67" s="4" t="s">
        <v>198</v>
      </c>
      <c r="C67" s="4" t="s">
        <v>199</v>
      </c>
      <c r="D67" s="4" t="s">
        <v>165</v>
      </c>
      <c r="E67" s="4" t="s">
        <v>197</v>
      </c>
      <c r="F67" s="4" t="s">
        <v>72</v>
      </c>
      <c r="G67" s="4" t="s">
        <v>73</v>
      </c>
      <c r="H67" s="4" t="s">
        <v>74</v>
      </c>
      <c r="I67" s="4" t="e">
        <f>+VLOOKUP(F67,'Danh sách mã hàng mới khai tác'!#REF!,2,0)</f>
        <v>#REF!</v>
      </c>
      <c r="J67" s="5">
        <v>220000</v>
      </c>
      <c r="K67" s="5">
        <v>4</v>
      </c>
      <c r="L67" s="5">
        <f t="shared" si="12"/>
        <v>220000</v>
      </c>
      <c r="M67" s="5">
        <v>0</v>
      </c>
      <c r="N67" s="5">
        <f t="shared" si="12"/>
        <v>0</v>
      </c>
      <c r="O67" s="5">
        <v>0</v>
      </c>
      <c r="P67" s="5">
        <f t="shared" si="2"/>
        <v>0</v>
      </c>
      <c r="Q67" s="5">
        <v>0</v>
      </c>
      <c r="R67" s="5">
        <f t="shared" si="3"/>
        <v>0</v>
      </c>
      <c r="S67" s="5">
        <v>0</v>
      </c>
      <c r="T67" s="5">
        <f t="shared" si="4"/>
        <v>0</v>
      </c>
      <c r="U67" s="5">
        <v>0</v>
      </c>
      <c r="V67" s="5">
        <f t="shared" si="5"/>
        <v>0</v>
      </c>
      <c r="W67" s="5">
        <v>0</v>
      </c>
      <c r="X67" s="5">
        <f t="shared" si="6"/>
        <v>0</v>
      </c>
      <c r="Y67" s="5">
        <v>0</v>
      </c>
      <c r="Z67" s="5">
        <f t="shared" si="7"/>
        <v>0</v>
      </c>
      <c r="AA67" s="7">
        <f t="shared" si="8"/>
        <v>4</v>
      </c>
      <c r="AB67" s="5">
        <f t="shared" si="9"/>
        <v>220000</v>
      </c>
    </row>
    <row r="68" spans="1:28" x14ac:dyDescent="0.3">
      <c r="A68" s="4" t="s">
        <v>194</v>
      </c>
      <c r="B68" s="4" t="s">
        <v>200</v>
      </c>
      <c r="C68" s="4" t="s">
        <v>201</v>
      </c>
      <c r="D68" s="4" t="s">
        <v>165</v>
      </c>
      <c r="E68" s="4" t="s">
        <v>166</v>
      </c>
      <c r="F68" s="4" t="s">
        <v>75</v>
      </c>
      <c r="G68" s="4" t="s">
        <v>76</v>
      </c>
      <c r="H68" s="4" t="s">
        <v>77</v>
      </c>
      <c r="I68" s="4" t="e">
        <f>+VLOOKUP(F68,'Danh sách mã hàng mới khai tác'!#REF!,2,0)</f>
        <v>#REF!</v>
      </c>
      <c r="J68" s="5">
        <v>52000</v>
      </c>
      <c r="K68" s="5">
        <v>0</v>
      </c>
      <c r="L68" s="5">
        <f t="shared" ref="L68:N72" si="13">+$J$3*K68</f>
        <v>0</v>
      </c>
      <c r="M68" s="5">
        <v>8</v>
      </c>
      <c r="N68" s="5">
        <f t="shared" si="13"/>
        <v>440000</v>
      </c>
      <c r="O68" s="5">
        <v>0</v>
      </c>
      <c r="P68" s="5">
        <f t="shared" ref="P68:P72" si="14">+$J$3*O68</f>
        <v>0</v>
      </c>
      <c r="Q68" s="5">
        <v>0</v>
      </c>
      <c r="R68" s="5">
        <f t="shared" ref="R68:R72" si="15">+$J$3*Q68</f>
        <v>0</v>
      </c>
      <c r="S68" s="5">
        <v>2</v>
      </c>
      <c r="T68" s="5">
        <f t="shared" ref="T68:T72" si="16">+$J$3*S68</f>
        <v>110000</v>
      </c>
      <c r="U68" s="5">
        <v>5</v>
      </c>
      <c r="V68" s="5">
        <f t="shared" ref="V68:V72" si="17">+$J$3*U68</f>
        <v>275000</v>
      </c>
      <c r="W68" s="5">
        <v>1</v>
      </c>
      <c r="X68" s="5">
        <f t="shared" ref="X68:X72" si="18">+$J$3*W68</f>
        <v>55000</v>
      </c>
      <c r="Y68" s="5">
        <v>2</v>
      </c>
      <c r="Z68" s="5">
        <f t="shared" ref="Z68:Z72" si="19">+$J$3*Y68</f>
        <v>110000</v>
      </c>
      <c r="AA68" s="7">
        <f t="shared" ref="AA68:AA72" si="20">+K68+M68+O68+Q68+S68+U68+W68+Y68</f>
        <v>18</v>
      </c>
      <c r="AB68" s="5">
        <f t="shared" ref="AB68:AB72" si="21">+$J$3*AA68</f>
        <v>990000</v>
      </c>
    </row>
    <row r="69" spans="1:28" x14ac:dyDescent="0.3">
      <c r="A69" s="4" t="s">
        <v>194</v>
      </c>
      <c r="B69" s="4" t="s">
        <v>200</v>
      </c>
      <c r="C69" s="4" t="s">
        <v>201</v>
      </c>
      <c r="D69" s="4" t="s">
        <v>165</v>
      </c>
      <c r="E69" s="4" t="s">
        <v>166</v>
      </c>
      <c r="F69" s="4" t="s">
        <v>78</v>
      </c>
      <c r="G69" s="4" t="s">
        <v>79</v>
      </c>
      <c r="H69" s="4" t="s">
        <v>80</v>
      </c>
      <c r="I69" s="4" t="e">
        <f>+VLOOKUP(F69,'Danh sách mã hàng mới khai tác'!#REF!,2,0)</f>
        <v>#REF!</v>
      </c>
      <c r="J69" s="5">
        <v>14000</v>
      </c>
      <c r="K69" s="5">
        <v>10</v>
      </c>
      <c r="L69" s="5">
        <f t="shared" si="13"/>
        <v>550000</v>
      </c>
      <c r="M69" s="5">
        <v>12</v>
      </c>
      <c r="N69" s="5">
        <f t="shared" si="13"/>
        <v>660000</v>
      </c>
      <c r="O69" s="5">
        <v>9</v>
      </c>
      <c r="P69" s="5">
        <f t="shared" si="14"/>
        <v>495000</v>
      </c>
      <c r="Q69" s="5">
        <v>10</v>
      </c>
      <c r="R69" s="5">
        <f t="shared" si="15"/>
        <v>550000</v>
      </c>
      <c r="S69" s="5">
        <v>11</v>
      </c>
      <c r="T69" s="5">
        <f t="shared" si="16"/>
        <v>605000</v>
      </c>
      <c r="U69" s="5">
        <v>11</v>
      </c>
      <c r="V69" s="5">
        <f t="shared" si="17"/>
        <v>605000</v>
      </c>
      <c r="W69" s="5">
        <v>10</v>
      </c>
      <c r="X69" s="5">
        <f t="shared" si="18"/>
        <v>550000</v>
      </c>
      <c r="Y69" s="5">
        <v>11</v>
      </c>
      <c r="Z69" s="5">
        <f t="shared" si="19"/>
        <v>605000</v>
      </c>
      <c r="AA69" s="7">
        <f t="shared" si="20"/>
        <v>84</v>
      </c>
      <c r="AB69" s="5">
        <f t="shared" si="21"/>
        <v>4620000</v>
      </c>
    </row>
    <row r="70" spans="1:28" x14ac:dyDescent="0.3">
      <c r="A70" s="4" t="s">
        <v>194</v>
      </c>
      <c r="B70" s="4" t="s">
        <v>200</v>
      </c>
      <c r="C70" s="4" t="s">
        <v>201</v>
      </c>
      <c r="D70" s="4" t="s">
        <v>165</v>
      </c>
      <c r="E70" s="4" t="s">
        <v>166</v>
      </c>
      <c r="F70" s="4" t="s">
        <v>81</v>
      </c>
      <c r="G70" s="4" t="s">
        <v>82</v>
      </c>
      <c r="H70" s="4" t="s">
        <v>83</v>
      </c>
      <c r="I70" s="4" t="e">
        <f>+VLOOKUP(F70,'Danh sách mã hàng mới khai tác'!#REF!,2,0)</f>
        <v>#REF!</v>
      </c>
      <c r="J70" s="5">
        <v>46000</v>
      </c>
      <c r="K70" s="5">
        <v>6</v>
      </c>
      <c r="L70" s="5">
        <f t="shared" si="13"/>
        <v>330000</v>
      </c>
      <c r="M70" s="5">
        <v>7</v>
      </c>
      <c r="N70" s="5">
        <f t="shared" si="13"/>
        <v>385000</v>
      </c>
      <c r="O70" s="5">
        <v>5</v>
      </c>
      <c r="P70" s="5">
        <f t="shared" si="14"/>
        <v>275000</v>
      </c>
      <c r="Q70" s="5">
        <v>6</v>
      </c>
      <c r="R70" s="5">
        <f t="shared" si="15"/>
        <v>330000</v>
      </c>
      <c r="S70" s="5">
        <v>6</v>
      </c>
      <c r="T70" s="5">
        <f t="shared" si="16"/>
        <v>330000</v>
      </c>
      <c r="U70" s="5">
        <v>9</v>
      </c>
      <c r="V70" s="5">
        <f t="shared" si="17"/>
        <v>495000</v>
      </c>
      <c r="W70" s="5">
        <v>6</v>
      </c>
      <c r="X70" s="5">
        <f t="shared" si="18"/>
        <v>330000</v>
      </c>
      <c r="Y70" s="5">
        <v>8</v>
      </c>
      <c r="Z70" s="5">
        <f t="shared" si="19"/>
        <v>440000</v>
      </c>
      <c r="AA70" s="7">
        <f t="shared" si="20"/>
        <v>53</v>
      </c>
      <c r="AB70" s="5">
        <f t="shared" si="21"/>
        <v>2915000</v>
      </c>
    </row>
    <row r="71" spans="1:28" x14ac:dyDescent="0.3">
      <c r="A71" s="4" t="s">
        <v>194</v>
      </c>
      <c r="B71" s="4" t="s">
        <v>200</v>
      </c>
      <c r="C71" s="4" t="s">
        <v>201</v>
      </c>
      <c r="D71" s="4" t="s">
        <v>165</v>
      </c>
      <c r="E71" s="4" t="s">
        <v>166</v>
      </c>
      <c r="F71" s="4" t="s">
        <v>84</v>
      </c>
      <c r="G71" s="4" t="s">
        <v>85</v>
      </c>
      <c r="H71" s="4" t="s">
        <v>86</v>
      </c>
      <c r="I71" s="4" t="e">
        <f>+VLOOKUP(F71,'Danh sách mã hàng mới khai tác'!#REF!,2,0)</f>
        <v>#REF!</v>
      </c>
      <c r="J71" s="5">
        <v>49000</v>
      </c>
      <c r="K71" s="5">
        <v>3</v>
      </c>
      <c r="L71" s="5">
        <f t="shared" si="13"/>
        <v>165000</v>
      </c>
      <c r="M71" s="5">
        <v>3</v>
      </c>
      <c r="N71" s="5">
        <f t="shared" si="13"/>
        <v>165000</v>
      </c>
      <c r="O71" s="5">
        <v>7</v>
      </c>
      <c r="P71" s="5">
        <f t="shared" si="14"/>
        <v>385000</v>
      </c>
      <c r="Q71" s="5">
        <v>6</v>
      </c>
      <c r="R71" s="5">
        <f t="shared" si="15"/>
        <v>330000</v>
      </c>
      <c r="S71" s="5">
        <v>6</v>
      </c>
      <c r="T71" s="5">
        <f t="shared" si="16"/>
        <v>330000</v>
      </c>
      <c r="U71" s="5">
        <v>5</v>
      </c>
      <c r="V71" s="5">
        <f t="shared" si="17"/>
        <v>275000</v>
      </c>
      <c r="W71" s="5">
        <v>6</v>
      </c>
      <c r="X71" s="5">
        <f t="shared" si="18"/>
        <v>330000</v>
      </c>
      <c r="Y71" s="5">
        <v>7</v>
      </c>
      <c r="Z71" s="5">
        <f t="shared" si="19"/>
        <v>385000</v>
      </c>
      <c r="AA71" s="7">
        <f t="shared" si="20"/>
        <v>43</v>
      </c>
      <c r="AB71" s="5">
        <f t="shared" si="21"/>
        <v>2365000</v>
      </c>
    </row>
    <row r="72" spans="1:28" x14ac:dyDescent="0.3">
      <c r="A72" s="4" t="s">
        <v>194</v>
      </c>
      <c r="B72" s="4" t="s">
        <v>200</v>
      </c>
      <c r="C72" s="4" t="s">
        <v>201</v>
      </c>
      <c r="D72" s="4" t="s">
        <v>165</v>
      </c>
      <c r="E72" s="4" t="s">
        <v>166</v>
      </c>
      <c r="F72" s="4" t="s">
        <v>87</v>
      </c>
      <c r="G72" s="4" t="s">
        <v>88</v>
      </c>
      <c r="H72" s="4" t="s">
        <v>89</v>
      </c>
      <c r="I72" s="4" t="e">
        <f>+VLOOKUP(F72,'Danh sách mã hàng mới khai tác'!#REF!,2,0)</f>
        <v>#REF!</v>
      </c>
      <c r="J72" s="5">
        <v>46000</v>
      </c>
      <c r="K72" s="5">
        <v>5</v>
      </c>
      <c r="L72" s="5">
        <f t="shared" si="13"/>
        <v>275000</v>
      </c>
      <c r="M72" s="5">
        <v>5</v>
      </c>
      <c r="N72" s="5">
        <f t="shared" si="13"/>
        <v>275000</v>
      </c>
      <c r="O72" s="5">
        <v>5</v>
      </c>
      <c r="P72" s="5">
        <f t="shared" si="14"/>
        <v>275000</v>
      </c>
      <c r="Q72" s="5">
        <v>1</v>
      </c>
      <c r="R72" s="5">
        <f t="shared" si="15"/>
        <v>55000</v>
      </c>
      <c r="S72" s="5">
        <v>3</v>
      </c>
      <c r="T72" s="5">
        <f t="shared" si="16"/>
        <v>165000</v>
      </c>
      <c r="U72" s="5">
        <v>5</v>
      </c>
      <c r="V72" s="5">
        <f t="shared" si="17"/>
        <v>275000</v>
      </c>
      <c r="W72" s="5">
        <v>5</v>
      </c>
      <c r="X72" s="5">
        <f t="shared" si="18"/>
        <v>275000</v>
      </c>
      <c r="Y72" s="5">
        <v>5</v>
      </c>
      <c r="Z72" s="5">
        <f t="shared" si="19"/>
        <v>275000</v>
      </c>
      <c r="AA72" s="7">
        <f t="shared" si="20"/>
        <v>34</v>
      </c>
      <c r="AB72" s="5">
        <f t="shared" si="21"/>
        <v>1870000</v>
      </c>
    </row>
  </sheetData>
  <autoFilter ref="A1:AC1" xr:uid="{B53F56A8-76F4-4B56-87EA-A7EC94B767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2C78-1FDF-4B7A-90FA-EC4ADDF567E8}">
  <dimension ref="A3:AJ1779"/>
  <sheetViews>
    <sheetView tabSelected="1" workbookViewId="0">
      <selection activeCell="L5" sqref="L5"/>
    </sheetView>
  </sheetViews>
  <sheetFormatPr defaultRowHeight="14.4" x14ac:dyDescent="0.3"/>
  <cols>
    <col min="1" max="1" width="21" bestFit="1" customWidth="1"/>
    <col min="2" max="2" width="15.5546875" bestFit="1" customWidth="1"/>
    <col min="3" max="3" width="15.21875" bestFit="1" customWidth="1"/>
    <col min="4" max="4" width="11.44140625" bestFit="1" customWidth="1"/>
    <col min="5" max="5" width="15.21875" bestFit="1" customWidth="1"/>
    <col min="6" max="6" width="11.44140625" bestFit="1" customWidth="1"/>
    <col min="7" max="7" width="15.21875" bestFit="1" customWidth="1"/>
    <col min="8" max="8" width="11.44140625" bestFit="1" customWidth="1"/>
    <col min="9" max="9" width="15.21875" bestFit="1" customWidth="1"/>
    <col min="10" max="10" width="16.21875" bestFit="1" customWidth="1"/>
    <col min="11" max="11" width="20" bestFit="1" customWidth="1"/>
    <col min="16" max="16" width="10.5546875" bestFit="1" customWidth="1"/>
  </cols>
  <sheetData>
    <row r="3" spans="1:36" x14ac:dyDescent="0.3">
      <c r="B3" s="10" t="s">
        <v>3529</v>
      </c>
      <c r="C3" s="10"/>
      <c r="N3" s="18" t="s">
        <v>220</v>
      </c>
      <c r="O3" s="18" t="s">
        <v>221</v>
      </c>
      <c r="P3" s="18" t="s">
        <v>222</v>
      </c>
      <c r="Q3" s="18" t="s">
        <v>223</v>
      </c>
      <c r="R3" s="18" t="s">
        <v>224</v>
      </c>
      <c r="S3" s="18" t="s">
        <v>225</v>
      </c>
      <c r="T3" s="18" t="s">
        <v>226</v>
      </c>
      <c r="U3" s="18" t="s">
        <v>227</v>
      </c>
      <c r="V3" s="18" t="s">
        <v>228</v>
      </c>
      <c r="W3" s="18" t="s">
        <v>229</v>
      </c>
      <c r="X3" s="18" t="s">
        <v>230</v>
      </c>
      <c r="Y3" s="18" t="s">
        <v>156</v>
      </c>
      <c r="Z3" s="18" t="s">
        <v>157</v>
      </c>
      <c r="AA3" s="18" t="s">
        <v>158</v>
      </c>
      <c r="AB3" s="18" t="s">
        <v>231</v>
      </c>
      <c r="AC3" s="18" t="s">
        <v>232</v>
      </c>
      <c r="AD3" s="18" t="s">
        <v>1</v>
      </c>
      <c r="AE3" s="19" t="s">
        <v>233</v>
      </c>
      <c r="AF3" s="19" t="s">
        <v>234</v>
      </c>
      <c r="AG3" s="19" t="s">
        <v>235</v>
      </c>
      <c r="AH3" s="19" t="s">
        <v>236</v>
      </c>
      <c r="AI3" s="19" t="s">
        <v>237</v>
      </c>
      <c r="AJ3" s="20" t="s">
        <v>3535</v>
      </c>
    </row>
    <row r="4" spans="1:36" x14ac:dyDescent="0.3">
      <c r="B4">
        <v>4</v>
      </c>
      <c r="D4">
        <v>5</v>
      </c>
      <c r="F4">
        <v>6</v>
      </c>
      <c r="H4">
        <v>7</v>
      </c>
      <c r="J4" t="s">
        <v>3530</v>
      </c>
      <c r="K4" t="s">
        <v>3531</v>
      </c>
      <c r="N4" s="8">
        <v>2026</v>
      </c>
      <c r="O4" s="8">
        <v>7</v>
      </c>
      <c r="P4" s="9">
        <v>46219</v>
      </c>
      <c r="Q4" t="s">
        <v>238</v>
      </c>
      <c r="R4" t="s">
        <v>239</v>
      </c>
      <c r="S4" t="s">
        <v>240</v>
      </c>
      <c r="T4" t="s">
        <v>2399</v>
      </c>
      <c r="U4" t="s">
        <v>615</v>
      </c>
      <c r="V4" t="s">
        <v>246</v>
      </c>
      <c r="W4" t="s">
        <v>244</v>
      </c>
      <c r="X4" t="s">
        <v>3536</v>
      </c>
      <c r="Y4" t="s">
        <v>194</v>
      </c>
      <c r="Z4" t="s">
        <v>198</v>
      </c>
      <c r="AA4" t="s">
        <v>199</v>
      </c>
      <c r="AB4" t="s">
        <v>74</v>
      </c>
      <c r="AC4" t="s">
        <v>72</v>
      </c>
      <c r="AD4" t="s">
        <v>73</v>
      </c>
      <c r="AE4" s="7">
        <v>220000</v>
      </c>
      <c r="AF4" s="7">
        <v>1</v>
      </c>
      <c r="AG4" s="7">
        <v>220000</v>
      </c>
      <c r="AH4" s="7">
        <v>0</v>
      </c>
      <c r="AI4" s="7">
        <v>220000</v>
      </c>
      <c r="AJ4" t="s">
        <v>72</v>
      </c>
    </row>
    <row r="5" spans="1:36" x14ac:dyDescent="0.3">
      <c r="A5" s="10" t="s">
        <v>3525</v>
      </c>
      <c r="B5" t="s">
        <v>3527</v>
      </c>
      <c r="C5" t="s">
        <v>3528</v>
      </c>
      <c r="D5" t="s">
        <v>3527</v>
      </c>
      <c r="E5" t="s">
        <v>3528</v>
      </c>
      <c r="F5" t="s">
        <v>3527</v>
      </c>
      <c r="G5" t="s">
        <v>3528</v>
      </c>
      <c r="H5" t="s">
        <v>3527</v>
      </c>
      <c r="I5" t="s">
        <v>3528</v>
      </c>
      <c r="N5" s="8">
        <v>2026</v>
      </c>
      <c r="O5" s="8">
        <v>7</v>
      </c>
      <c r="P5" s="9">
        <v>46219</v>
      </c>
      <c r="Q5" t="s">
        <v>238</v>
      </c>
      <c r="R5" t="s">
        <v>279</v>
      </c>
      <c r="S5" t="s">
        <v>280</v>
      </c>
      <c r="T5" t="s">
        <v>3034</v>
      </c>
      <c r="U5" t="s">
        <v>3035</v>
      </c>
      <c r="V5" t="s">
        <v>246</v>
      </c>
      <c r="W5" t="s">
        <v>244</v>
      </c>
      <c r="X5" t="s">
        <v>3537</v>
      </c>
      <c r="Y5" t="s">
        <v>191</v>
      </c>
      <c r="Z5" t="s">
        <v>335</v>
      </c>
      <c r="AA5" t="s">
        <v>336</v>
      </c>
      <c r="AB5" t="s">
        <v>1518</v>
      </c>
      <c r="AC5" t="s">
        <v>1519</v>
      </c>
      <c r="AD5" t="s">
        <v>1520</v>
      </c>
      <c r="AE5" s="7">
        <v>99000</v>
      </c>
      <c r="AF5" s="7">
        <v>1</v>
      </c>
      <c r="AG5" s="7">
        <v>99000</v>
      </c>
      <c r="AH5" s="7">
        <v>0</v>
      </c>
      <c r="AI5" s="7">
        <v>99000</v>
      </c>
      <c r="AJ5" t="s">
        <v>1519</v>
      </c>
    </row>
    <row r="6" spans="1:36" x14ac:dyDescent="0.3">
      <c r="A6" s="11" t="s">
        <v>168</v>
      </c>
      <c r="N6" s="8">
        <v>2026</v>
      </c>
      <c r="O6" s="8">
        <v>7</v>
      </c>
      <c r="P6" s="9">
        <v>46219</v>
      </c>
      <c r="Q6" t="s">
        <v>238</v>
      </c>
      <c r="R6" t="s">
        <v>279</v>
      </c>
      <c r="S6" t="s">
        <v>280</v>
      </c>
      <c r="T6" t="s">
        <v>3034</v>
      </c>
      <c r="U6" t="s">
        <v>3035</v>
      </c>
      <c r="V6" t="s">
        <v>246</v>
      </c>
      <c r="W6" t="s">
        <v>244</v>
      </c>
      <c r="X6" t="s">
        <v>3537</v>
      </c>
      <c r="Y6" t="s">
        <v>191</v>
      </c>
      <c r="Z6" t="s">
        <v>335</v>
      </c>
      <c r="AA6" t="s">
        <v>336</v>
      </c>
      <c r="AB6" t="s">
        <v>2612</v>
      </c>
      <c r="AC6" t="s">
        <v>2613</v>
      </c>
      <c r="AD6" t="s">
        <v>2614</v>
      </c>
      <c r="AE6" s="7">
        <v>18000</v>
      </c>
      <c r="AF6" s="7">
        <v>1</v>
      </c>
      <c r="AG6" s="7">
        <v>18000</v>
      </c>
      <c r="AH6" s="7">
        <v>0</v>
      </c>
      <c r="AI6" s="7">
        <v>18000</v>
      </c>
      <c r="AJ6" t="s">
        <v>2613</v>
      </c>
    </row>
    <row r="7" spans="1:36" x14ac:dyDescent="0.3">
      <c r="A7" s="12" t="s">
        <v>375</v>
      </c>
      <c r="B7">
        <v>13</v>
      </c>
      <c r="C7">
        <v>1510000</v>
      </c>
      <c r="D7">
        <v>22</v>
      </c>
      <c r="E7">
        <v>5165000</v>
      </c>
      <c r="F7">
        <v>40</v>
      </c>
      <c r="G7">
        <v>10450500</v>
      </c>
      <c r="H7">
        <v>11</v>
      </c>
      <c r="I7">
        <v>3260000</v>
      </c>
      <c r="J7">
        <v>86</v>
      </c>
      <c r="K7">
        <v>20385500</v>
      </c>
      <c r="N7" s="8">
        <v>2026</v>
      </c>
      <c r="O7" s="8">
        <v>7</v>
      </c>
      <c r="P7" s="9">
        <v>46219</v>
      </c>
      <c r="Q7" t="s">
        <v>238</v>
      </c>
      <c r="R7" t="s">
        <v>279</v>
      </c>
      <c r="S7" t="s">
        <v>280</v>
      </c>
      <c r="T7" t="s">
        <v>3538</v>
      </c>
      <c r="U7" t="s">
        <v>3539</v>
      </c>
      <c r="V7" t="s">
        <v>249</v>
      </c>
      <c r="W7" t="s">
        <v>244</v>
      </c>
      <c r="X7" t="s">
        <v>3540</v>
      </c>
      <c r="Y7" t="s">
        <v>191</v>
      </c>
      <c r="Z7" t="s">
        <v>192</v>
      </c>
      <c r="AA7" t="s">
        <v>193</v>
      </c>
      <c r="AB7" t="s">
        <v>113</v>
      </c>
      <c r="AC7" t="s">
        <v>111</v>
      </c>
      <c r="AD7" t="s">
        <v>112</v>
      </c>
      <c r="AE7" s="7">
        <v>235000</v>
      </c>
      <c r="AF7" s="7">
        <v>1</v>
      </c>
      <c r="AG7" s="7">
        <v>235000</v>
      </c>
      <c r="AH7" s="7">
        <v>0</v>
      </c>
      <c r="AI7" s="7">
        <v>235000</v>
      </c>
      <c r="AJ7" t="s">
        <v>111</v>
      </c>
    </row>
    <row r="8" spans="1:36" x14ac:dyDescent="0.3">
      <c r="A8" s="12" t="s">
        <v>240</v>
      </c>
      <c r="B8">
        <v>13</v>
      </c>
      <c r="C8">
        <v>1820000</v>
      </c>
      <c r="D8">
        <v>16</v>
      </c>
      <c r="E8">
        <v>3638000</v>
      </c>
      <c r="F8">
        <v>9</v>
      </c>
      <c r="G8">
        <v>1694400</v>
      </c>
      <c r="H8">
        <v>7</v>
      </c>
      <c r="I8">
        <v>1941500</v>
      </c>
      <c r="J8">
        <v>45</v>
      </c>
      <c r="K8">
        <v>9093900</v>
      </c>
      <c r="N8" s="8">
        <v>2026</v>
      </c>
      <c r="O8" s="8">
        <v>7</v>
      </c>
      <c r="P8" s="9">
        <v>46219</v>
      </c>
      <c r="Q8" t="s">
        <v>238</v>
      </c>
      <c r="R8" t="s">
        <v>279</v>
      </c>
      <c r="S8" t="s">
        <v>280</v>
      </c>
      <c r="T8" t="s">
        <v>3541</v>
      </c>
      <c r="U8" t="s">
        <v>386</v>
      </c>
      <c r="V8" t="s">
        <v>249</v>
      </c>
      <c r="W8" t="s">
        <v>244</v>
      </c>
      <c r="X8" t="s">
        <v>3542</v>
      </c>
      <c r="Y8" t="s">
        <v>191</v>
      </c>
      <c r="Z8" t="s">
        <v>335</v>
      </c>
      <c r="AA8" t="s">
        <v>336</v>
      </c>
      <c r="AB8" t="s">
        <v>3534</v>
      </c>
      <c r="AC8" t="s">
        <v>3532</v>
      </c>
      <c r="AD8" t="s">
        <v>3533</v>
      </c>
      <c r="AE8" s="7">
        <v>18000</v>
      </c>
      <c r="AF8" s="7">
        <v>5</v>
      </c>
      <c r="AG8" s="7">
        <v>90000</v>
      </c>
      <c r="AH8" s="7">
        <v>0</v>
      </c>
      <c r="AI8" s="7">
        <v>90000</v>
      </c>
      <c r="AJ8" t="s">
        <v>3532</v>
      </c>
    </row>
    <row r="9" spans="1:36" x14ac:dyDescent="0.3">
      <c r="A9" s="12" t="s">
        <v>352</v>
      </c>
      <c r="B9">
        <v>2</v>
      </c>
      <c r="C9">
        <v>588000</v>
      </c>
      <c r="D9">
        <v>10</v>
      </c>
      <c r="E9">
        <v>4025000</v>
      </c>
      <c r="F9">
        <v>19</v>
      </c>
      <c r="G9">
        <v>3806300</v>
      </c>
      <c r="H9">
        <v>11</v>
      </c>
      <c r="I9">
        <v>2509500</v>
      </c>
      <c r="J9">
        <v>42</v>
      </c>
      <c r="K9">
        <v>10928800</v>
      </c>
      <c r="N9" s="8">
        <v>2026</v>
      </c>
      <c r="O9" s="8">
        <v>7</v>
      </c>
      <c r="P9" s="9">
        <v>46219</v>
      </c>
      <c r="Q9" t="s">
        <v>238</v>
      </c>
      <c r="R9" t="s">
        <v>279</v>
      </c>
      <c r="S9" t="s">
        <v>280</v>
      </c>
      <c r="T9" t="s">
        <v>3541</v>
      </c>
      <c r="U9" t="s">
        <v>386</v>
      </c>
      <c r="V9" t="s">
        <v>249</v>
      </c>
      <c r="W9" t="s">
        <v>244</v>
      </c>
      <c r="X9" t="s">
        <v>3542</v>
      </c>
      <c r="Y9" t="s">
        <v>191</v>
      </c>
      <c r="Z9" t="s">
        <v>335</v>
      </c>
      <c r="AA9" t="s">
        <v>336</v>
      </c>
      <c r="AB9" t="s">
        <v>2612</v>
      </c>
      <c r="AC9" t="s">
        <v>2613</v>
      </c>
      <c r="AD9" t="s">
        <v>2614</v>
      </c>
      <c r="AE9" s="7">
        <v>18000</v>
      </c>
      <c r="AF9" s="7">
        <v>5</v>
      </c>
      <c r="AG9" s="7">
        <v>90000</v>
      </c>
      <c r="AH9" s="7">
        <v>0</v>
      </c>
      <c r="AI9" s="7">
        <v>90000</v>
      </c>
      <c r="AJ9" t="s">
        <v>2613</v>
      </c>
    </row>
    <row r="10" spans="1:36" x14ac:dyDescent="0.3">
      <c r="A10" s="12" t="s">
        <v>280</v>
      </c>
      <c r="D10">
        <v>7</v>
      </c>
      <c r="E10">
        <v>1998000</v>
      </c>
      <c r="F10">
        <v>29</v>
      </c>
      <c r="G10">
        <v>5864000</v>
      </c>
      <c r="H10">
        <v>13</v>
      </c>
      <c r="I10">
        <v>3673500</v>
      </c>
      <c r="J10">
        <v>49</v>
      </c>
      <c r="K10">
        <v>11535500</v>
      </c>
      <c r="N10" s="8">
        <v>2026</v>
      </c>
      <c r="O10" s="8">
        <v>7</v>
      </c>
      <c r="P10" s="9">
        <v>46219</v>
      </c>
      <c r="Q10" t="s">
        <v>238</v>
      </c>
      <c r="R10" t="s">
        <v>279</v>
      </c>
      <c r="S10" t="s">
        <v>280</v>
      </c>
      <c r="T10" t="s">
        <v>3541</v>
      </c>
      <c r="U10" t="s">
        <v>386</v>
      </c>
      <c r="V10" t="s">
        <v>249</v>
      </c>
      <c r="W10" t="s">
        <v>244</v>
      </c>
      <c r="X10" t="s">
        <v>3542</v>
      </c>
      <c r="Y10" t="s">
        <v>191</v>
      </c>
      <c r="Z10" t="s">
        <v>335</v>
      </c>
      <c r="AA10" t="s">
        <v>336</v>
      </c>
      <c r="AB10" t="s">
        <v>2575</v>
      </c>
      <c r="AC10" t="s">
        <v>2576</v>
      </c>
      <c r="AD10" t="s">
        <v>2577</v>
      </c>
      <c r="AE10" s="7">
        <v>16000</v>
      </c>
      <c r="AF10" s="7">
        <v>5</v>
      </c>
      <c r="AG10" s="7">
        <v>80000</v>
      </c>
      <c r="AH10" s="7">
        <v>0</v>
      </c>
      <c r="AI10" s="7">
        <v>80000</v>
      </c>
      <c r="AJ10" t="s">
        <v>2576</v>
      </c>
    </row>
    <row r="11" spans="1:36" x14ac:dyDescent="0.3">
      <c r="A11" s="12" t="s">
        <v>397</v>
      </c>
      <c r="B11">
        <v>1</v>
      </c>
      <c r="C11">
        <v>294000</v>
      </c>
      <c r="D11">
        <v>15</v>
      </c>
      <c r="E11">
        <v>6226000</v>
      </c>
      <c r="F11">
        <v>18</v>
      </c>
      <c r="G11">
        <v>4809000</v>
      </c>
      <c r="H11">
        <v>16</v>
      </c>
      <c r="I11">
        <v>3925500</v>
      </c>
      <c r="J11">
        <v>50</v>
      </c>
      <c r="K11">
        <v>15254500</v>
      </c>
      <c r="N11" s="8">
        <v>2026</v>
      </c>
      <c r="O11" s="8">
        <v>7</v>
      </c>
      <c r="P11" s="9">
        <v>46219</v>
      </c>
      <c r="Q11" t="s">
        <v>238</v>
      </c>
      <c r="R11" t="s">
        <v>279</v>
      </c>
      <c r="S11" t="s">
        <v>280</v>
      </c>
      <c r="T11" t="s">
        <v>2526</v>
      </c>
      <c r="U11" t="s">
        <v>3543</v>
      </c>
      <c r="V11" t="s">
        <v>246</v>
      </c>
      <c r="W11" t="s">
        <v>244</v>
      </c>
      <c r="X11" t="s">
        <v>3544</v>
      </c>
      <c r="Y11" t="s">
        <v>168</v>
      </c>
      <c r="Z11" t="s">
        <v>171</v>
      </c>
      <c r="AA11" t="s">
        <v>175</v>
      </c>
      <c r="AB11" t="s">
        <v>140</v>
      </c>
      <c r="AC11" t="s">
        <v>138</v>
      </c>
      <c r="AD11" t="s">
        <v>139</v>
      </c>
      <c r="AE11" s="7">
        <v>125000</v>
      </c>
      <c r="AF11" s="7">
        <v>1</v>
      </c>
      <c r="AG11" s="7">
        <v>125000</v>
      </c>
      <c r="AH11" s="7">
        <v>12500</v>
      </c>
      <c r="AI11" s="7">
        <v>112500</v>
      </c>
      <c r="AJ11" t="s">
        <v>138</v>
      </c>
    </row>
    <row r="12" spans="1:36" x14ac:dyDescent="0.3">
      <c r="A12" s="12" t="s">
        <v>416</v>
      </c>
      <c r="B12">
        <v>1</v>
      </c>
      <c r="C12">
        <v>294000</v>
      </c>
      <c r="D12">
        <v>3</v>
      </c>
      <c r="E12">
        <v>1124000</v>
      </c>
      <c r="F12">
        <v>18</v>
      </c>
      <c r="G12">
        <v>1970900</v>
      </c>
      <c r="H12">
        <v>7</v>
      </c>
      <c r="I12">
        <v>2180000</v>
      </c>
      <c r="J12">
        <v>29</v>
      </c>
      <c r="K12">
        <v>5568900</v>
      </c>
      <c r="N12" s="8">
        <v>2026</v>
      </c>
      <c r="O12" s="8">
        <v>7</v>
      </c>
      <c r="P12" s="9">
        <v>46219</v>
      </c>
      <c r="Q12" t="s">
        <v>238</v>
      </c>
      <c r="R12" t="s">
        <v>303</v>
      </c>
      <c r="S12" t="s">
        <v>304</v>
      </c>
      <c r="T12" t="s">
        <v>305</v>
      </c>
      <c r="U12" t="s">
        <v>306</v>
      </c>
      <c r="V12" t="s">
        <v>243</v>
      </c>
      <c r="W12" t="s">
        <v>244</v>
      </c>
      <c r="X12" t="s">
        <v>3545</v>
      </c>
      <c r="Y12" t="s">
        <v>191</v>
      </c>
      <c r="Z12" t="s">
        <v>335</v>
      </c>
      <c r="AA12" t="s">
        <v>336</v>
      </c>
      <c r="AB12" t="s">
        <v>2612</v>
      </c>
      <c r="AC12" t="s">
        <v>2613</v>
      </c>
      <c r="AD12" t="s">
        <v>2614</v>
      </c>
      <c r="AE12" s="7">
        <v>18000</v>
      </c>
      <c r="AF12" s="7">
        <v>1</v>
      </c>
      <c r="AG12" s="7">
        <v>18000</v>
      </c>
      <c r="AH12" s="7">
        <v>0</v>
      </c>
      <c r="AI12" s="7">
        <v>18000</v>
      </c>
      <c r="AJ12" t="s">
        <v>2613</v>
      </c>
    </row>
    <row r="13" spans="1:36" x14ac:dyDescent="0.3">
      <c r="A13" s="12" t="s">
        <v>426</v>
      </c>
      <c r="B13">
        <v>7</v>
      </c>
      <c r="C13">
        <v>571000</v>
      </c>
      <c r="D13">
        <v>9</v>
      </c>
      <c r="E13">
        <v>3462000</v>
      </c>
      <c r="F13">
        <v>10</v>
      </c>
      <c r="G13">
        <v>1557500</v>
      </c>
      <c r="H13">
        <v>3</v>
      </c>
      <c r="I13">
        <v>479000</v>
      </c>
      <c r="J13">
        <v>29</v>
      </c>
      <c r="K13">
        <v>6069500</v>
      </c>
      <c r="N13" s="8">
        <v>2026</v>
      </c>
      <c r="O13" s="8">
        <v>7</v>
      </c>
      <c r="P13" s="9">
        <v>46219</v>
      </c>
      <c r="Q13" t="s">
        <v>238</v>
      </c>
      <c r="R13" t="s">
        <v>303</v>
      </c>
      <c r="S13" t="s">
        <v>304</v>
      </c>
      <c r="T13" t="s">
        <v>1456</v>
      </c>
      <c r="U13" t="s">
        <v>3546</v>
      </c>
      <c r="V13" t="s">
        <v>246</v>
      </c>
      <c r="W13" t="s">
        <v>244</v>
      </c>
      <c r="X13" t="s">
        <v>3547</v>
      </c>
      <c r="Y13" t="s">
        <v>183</v>
      </c>
      <c r="Z13" t="s">
        <v>184</v>
      </c>
      <c r="AA13" t="s">
        <v>185</v>
      </c>
      <c r="AB13" t="s">
        <v>47</v>
      </c>
      <c r="AC13" t="s">
        <v>45</v>
      </c>
      <c r="AD13" t="s">
        <v>46</v>
      </c>
      <c r="AE13" s="7">
        <v>52000</v>
      </c>
      <c r="AF13" s="7">
        <v>1</v>
      </c>
      <c r="AG13" s="7">
        <v>52000</v>
      </c>
      <c r="AH13" s="7">
        <v>0</v>
      </c>
      <c r="AI13" s="7">
        <v>52000</v>
      </c>
      <c r="AJ13" t="s">
        <v>45</v>
      </c>
    </row>
    <row r="14" spans="1:36" x14ac:dyDescent="0.3">
      <c r="A14" s="12" t="s">
        <v>304</v>
      </c>
      <c r="B14">
        <v>28</v>
      </c>
      <c r="C14">
        <v>2884000</v>
      </c>
      <c r="D14">
        <v>32</v>
      </c>
      <c r="E14">
        <v>10587000</v>
      </c>
      <c r="F14">
        <v>48</v>
      </c>
      <c r="G14">
        <v>11580900</v>
      </c>
      <c r="H14">
        <v>33</v>
      </c>
      <c r="I14">
        <v>8681500</v>
      </c>
      <c r="J14">
        <v>141</v>
      </c>
      <c r="K14">
        <v>33733400</v>
      </c>
      <c r="N14" s="8">
        <v>2026</v>
      </c>
      <c r="O14" s="8">
        <v>7</v>
      </c>
      <c r="P14" s="9">
        <v>46219</v>
      </c>
      <c r="Q14" t="s">
        <v>238</v>
      </c>
      <c r="R14" t="s">
        <v>351</v>
      </c>
      <c r="S14" t="s">
        <v>352</v>
      </c>
      <c r="T14" t="s">
        <v>356</v>
      </c>
      <c r="U14" t="s">
        <v>357</v>
      </c>
      <c r="V14" t="s">
        <v>243</v>
      </c>
      <c r="W14" t="s">
        <v>244</v>
      </c>
      <c r="X14" t="s">
        <v>3548</v>
      </c>
      <c r="Y14" t="s">
        <v>168</v>
      </c>
      <c r="Z14" t="s">
        <v>171</v>
      </c>
      <c r="AA14" t="s">
        <v>175</v>
      </c>
      <c r="AB14" t="s">
        <v>41</v>
      </c>
      <c r="AC14" t="s">
        <v>39</v>
      </c>
      <c r="AD14" t="s">
        <v>40</v>
      </c>
      <c r="AE14" s="7">
        <v>295000</v>
      </c>
      <c r="AF14" s="7">
        <v>1</v>
      </c>
      <c r="AG14" s="7">
        <v>295000</v>
      </c>
      <c r="AH14" s="7">
        <v>0</v>
      </c>
      <c r="AI14" s="7">
        <v>295000</v>
      </c>
      <c r="AJ14" t="s">
        <v>39</v>
      </c>
    </row>
    <row r="15" spans="1:36" x14ac:dyDescent="0.3">
      <c r="A15" s="11" t="s">
        <v>194</v>
      </c>
      <c r="N15" s="8">
        <v>2026</v>
      </c>
      <c r="O15" s="8">
        <v>7</v>
      </c>
      <c r="P15" s="9">
        <v>46219</v>
      </c>
      <c r="Q15" t="s">
        <v>238</v>
      </c>
      <c r="R15" t="s">
        <v>351</v>
      </c>
      <c r="S15" t="s">
        <v>352</v>
      </c>
      <c r="T15" t="s">
        <v>2405</v>
      </c>
      <c r="U15" t="s">
        <v>851</v>
      </c>
      <c r="V15" t="s">
        <v>246</v>
      </c>
      <c r="W15" t="s">
        <v>244</v>
      </c>
      <c r="X15" t="s">
        <v>3549</v>
      </c>
      <c r="Y15" t="s">
        <v>168</v>
      </c>
      <c r="Z15" t="s">
        <v>181</v>
      </c>
      <c r="AA15" t="s">
        <v>182</v>
      </c>
      <c r="AB15" t="s">
        <v>50</v>
      </c>
      <c r="AC15" t="s">
        <v>48</v>
      </c>
      <c r="AD15" t="s">
        <v>49</v>
      </c>
      <c r="AE15" s="7">
        <v>49000</v>
      </c>
      <c r="AF15" s="7">
        <v>1</v>
      </c>
      <c r="AG15" s="7">
        <v>49000</v>
      </c>
      <c r="AH15" s="7">
        <v>0</v>
      </c>
      <c r="AI15" s="7">
        <v>49000</v>
      </c>
      <c r="AJ15" t="s">
        <v>48</v>
      </c>
    </row>
    <row r="16" spans="1:36" x14ac:dyDescent="0.3">
      <c r="A16" s="12" t="s">
        <v>375</v>
      </c>
      <c r="B16">
        <v>23</v>
      </c>
      <c r="C16">
        <v>813000</v>
      </c>
      <c r="D16">
        <v>25</v>
      </c>
      <c r="E16">
        <v>1966000</v>
      </c>
      <c r="F16">
        <v>17</v>
      </c>
      <c r="G16">
        <v>1198000</v>
      </c>
      <c r="H16">
        <v>8</v>
      </c>
      <c r="I16">
        <v>354000</v>
      </c>
      <c r="J16">
        <v>73</v>
      </c>
      <c r="K16">
        <v>4331000</v>
      </c>
      <c r="N16" s="8">
        <v>2026</v>
      </c>
      <c r="O16" s="8">
        <v>7</v>
      </c>
      <c r="P16" s="9">
        <v>46219</v>
      </c>
      <c r="Q16" t="s">
        <v>238</v>
      </c>
      <c r="R16" t="s">
        <v>351</v>
      </c>
      <c r="S16" t="s">
        <v>352</v>
      </c>
      <c r="T16" t="s">
        <v>704</v>
      </c>
      <c r="U16" t="s">
        <v>705</v>
      </c>
      <c r="V16" t="s">
        <v>246</v>
      </c>
      <c r="W16" t="s">
        <v>244</v>
      </c>
      <c r="X16" t="s">
        <v>3550</v>
      </c>
      <c r="Y16" t="s">
        <v>194</v>
      </c>
      <c r="Z16" t="s">
        <v>200</v>
      </c>
      <c r="AA16" t="s">
        <v>201</v>
      </c>
      <c r="AB16" t="s">
        <v>89</v>
      </c>
      <c r="AC16" t="s">
        <v>87</v>
      </c>
      <c r="AD16" t="s">
        <v>88</v>
      </c>
      <c r="AE16" s="7">
        <v>46000</v>
      </c>
      <c r="AF16" s="7">
        <v>1</v>
      </c>
      <c r="AG16" s="7">
        <v>46000</v>
      </c>
      <c r="AH16" s="7">
        <v>0</v>
      </c>
      <c r="AI16" s="7">
        <v>46000</v>
      </c>
      <c r="AJ16" t="s">
        <v>87</v>
      </c>
    </row>
    <row r="17" spans="1:36" x14ac:dyDescent="0.3">
      <c r="A17" s="12" t="s">
        <v>240</v>
      </c>
      <c r="B17">
        <v>13</v>
      </c>
      <c r="C17">
        <v>659000</v>
      </c>
      <c r="D17">
        <v>29</v>
      </c>
      <c r="E17">
        <v>4001000</v>
      </c>
      <c r="F17">
        <v>19</v>
      </c>
      <c r="G17">
        <v>1798000</v>
      </c>
      <c r="H17">
        <v>9</v>
      </c>
      <c r="I17">
        <v>1372000</v>
      </c>
      <c r="J17">
        <v>70</v>
      </c>
      <c r="K17">
        <v>7830000</v>
      </c>
      <c r="N17" s="8">
        <v>2026</v>
      </c>
      <c r="O17" s="8">
        <v>7</v>
      </c>
      <c r="P17" s="9">
        <v>46219</v>
      </c>
      <c r="Q17" t="s">
        <v>238</v>
      </c>
      <c r="R17" t="s">
        <v>374</v>
      </c>
      <c r="S17" t="s">
        <v>375</v>
      </c>
      <c r="T17" t="s">
        <v>3075</v>
      </c>
      <c r="U17" t="s">
        <v>3551</v>
      </c>
      <c r="V17" t="s">
        <v>246</v>
      </c>
      <c r="W17" t="s">
        <v>244</v>
      </c>
      <c r="X17" t="s">
        <v>3552</v>
      </c>
      <c r="Y17" t="s">
        <v>168</v>
      </c>
      <c r="Z17" t="s">
        <v>171</v>
      </c>
      <c r="AA17" t="s">
        <v>175</v>
      </c>
      <c r="AB17" t="s">
        <v>35</v>
      </c>
      <c r="AC17" t="s">
        <v>33</v>
      </c>
      <c r="AD17" t="s">
        <v>34</v>
      </c>
      <c r="AE17" s="7">
        <v>255000</v>
      </c>
      <c r="AF17" s="7">
        <v>1</v>
      </c>
      <c r="AG17" s="7">
        <v>255000</v>
      </c>
      <c r="AH17" s="7">
        <v>0</v>
      </c>
      <c r="AI17" s="7">
        <v>255000</v>
      </c>
      <c r="AJ17" t="s">
        <v>33</v>
      </c>
    </row>
    <row r="18" spans="1:36" x14ac:dyDescent="0.3">
      <c r="A18" s="12" t="s">
        <v>352</v>
      </c>
      <c r="D18">
        <v>8</v>
      </c>
      <c r="E18">
        <v>310000</v>
      </c>
      <c r="F18">
        <v>10</v>
      </c>
      <c r="G18">
        <v>350000</v>
      </c>
      <c r="H18">
        <v>4</v>
      </c>
      <c r="I18">
        <v>190000</v>
      </c>
      <c r="J18">
        <v>22</v>
      </c>
      <c r="K18">
        <v>850000</v>
      </c>
      <c r="N18" s="8">
        <v>2026</v>
      </c>
      <c r="O18" s="8">
        <v>7</v>
      </c>
      <c r="P18" s="9">
        <v>46219</v>
      </c>
      <c r="Q18" t="s">
        <v>238</v>
      </c>
      <c r="R18" t="s">
        <v>374</v>
      </c>
      <c r="S18" t="s">
        <v>375</v>
      </c>
      <c r="T18" t="s">
        <v>766</v>
      </c>
      <c r="U18" t="s">
        <v>767</v>
      </c>
      <c r="V18" t="s">
        <v>246</v>
      </c>
      <c r="W18" t="s">
        <v>244</v>
      </c>
      <c r="X18" t="s">
        <v>3553</v>
      </c>
      <c r="Y18" t="s">
        <v>168</v>
      </c>
      <c r="Z18" t="s">
        <v>171</v>
      </c>
      <c r="AA18" t="s">
        <v>173</v>
      </c>
      <c r="AB18" t="s">
        <v>29</v>
      </c>
      <c r="AC18" t="s">
        <v>27</v>
      </c>
      <c r="AD18" t="s">
        <v>28</v>
      </c>
      <c r="AE18" s="7">
        <v>575000</v>
      </c>
      <c r="AF18" s="7">
        <v>1</v>
      </c>
      <c r="AG18" s="7">
        <v>575000</v>
      </c>
      <c r="AH18" s="7">
        <v>0</v>
      </c>
      <c r="AI18" s="7">
        <v>575000</v>
      </c>
      <c r="AJ18" t="s">
        <v>27</v>
      </c>
    </row>
    <row r="19" spans="1:36" x14ac:dyDescent="0.3">
      <c r="A19" s="12" t="s">
        <v>280</v>
      </c>
      <c r="D19">
        <v>9</v>
      </c>
      <c r="E19">
        <v>260000</v>
      </c>
      <c r="F19">
        <v>7</v>
      </c>
      <c r="G19">
        <v>200000</v>
      </c>
      <c r="H19">
        <v>8</v>
      </c>
      <c r="I19">
        <v>348000</v>
      </c>
      <c r="J19">
        <v>24</v>
      </c>
      <c r="K19">
        <v>808000</v>
      </c>
      <c r="N19" s="8">
        <v>2026</v>
      </c>
      <c r="O19" s="8">
        <v>7</v>
      </c>
      <c r="P19" s="9">
        <v>46219</v>
      </c>
      <c r="Q19" t="s">
        <v>238</v>
      </c>
      <c r="R19" t="s">
        <v>396</v>
      </c>
      <c r="S19" t="s">
        <v>397</v>
      </c>
      <c r="T19" t="s">
        <v>1472</v>
      </c>
      <c r="U19" t="s">
        <v>3554</v>
      </c>
      <c r="V19" t="s">
        <v>246</v>
      </c>
      <c r="W19" t="s">
        <v>244</v>
      </c>
      <c r="X19" t="s">
        <v>3555</v>
      </c>
      <c r="Y19" t="s">
        <v>191</v>
      </c>
      <c r="Z19" t="s">
        <v>192</v>
      </c>
      <c r="AA19" t="s">
        <v>193</v>
      </c>
      <c r="AB19" t="s">
        <v>113</v>
      </c>
      <c r="AC19" t="s">
        <v>111</v>
      </c>
      <c r="AD19" t="s">
        <v>112</v>
      </c>
      <c r="AE19" s="7">
        <v>235000</v>
      </c>
      <c r="AF19" s="7">
        <v>1</v>
      </c>
      <c r="AG19" s="7">
        <v>235000</v>
      </c>
      <c r="AH19" s="7">
        <v>0</v>
      </c>
      <c r="AI19" s="7">
        <v>235000</v>
      </c>
      <c r="AJ19" t="s">
        <v>111</v>
      </c>
    </row>
    <row r="20" spans="1:36" x14ac:dyDescent="0.3">
      <c r="A20" s="12" t="s">
        <v>397</v>
      </c>
      <c r="D20">
        <v>6</v>
      </c>
      <c r="E20">
        <v>294000</v>
      </c>
      <c r="F20">
        <v>9</v>
      </c>
      <c r="G20">
        <v>278000</v>
      </c>
      <c r="H20">
        <v>2</v>
      </c>
      <c r="I20">
        <v>95000</v>
      </c>
      <c r="J20">
        <v>17</v>
      </c>
      <c r="K20">
        <v>667000</v>
      </c>
      <c r="N20" s="8">
        <v>2026</v>
      </c>
      <c r="O20" s="8">
        <v>7</v>
      </c>
      <c r="P20" s="9">
        <v>46219</v>
      </c>
      <c r="Q20" t="s">
        <v>238</v>
      </c>
      <c r="R20" t="s">
        <v>396</v>
      </c>
      <c r="S20" t="s">
        <v>397</v>
      </c>
      <c r="T20" t="s">
        <v>1581</v>
      </c>
      <c r="U20" t="s">
        <v>1095</v>
      </c>
      <c r="V20" t="s">
        <v>246</v>
      </c>
      <c r="W20" t="s">
        <v>244</v>
      </c>
      <c r="X20" t="s">
        <v>3556</v>
      </c>
      <c r="Y20" t="s">
        <v>168</v>
      </c>
      <c r="Z20" t="s">
        <v>171</v>
      </c>
      <c r="AA20" t="s">
        <v>172</v>
      </c>
      <c r="AB20" t="s">
        <v>11</v>
      </c>
      <c r="AC20" t="s">
        <v>9</v>
      </c>
      <c r="AD20" t="s">
        <v>10</v>
      </c>
      <c r="AE20" s="7">
        <v>129000</v>
      </c>
      <c r="AF20" s="7">
        <v>1</v>
      </c>
      <c r="AG20" s="7">
        <v>129000</v>
      </c>
      <c r="AH20" s="7">
        <v>0</v>
      </c>
      <c r="AI20" s="7">
        <v>129000</v>
      </c>
      <c r="AJ20" t="s">
        <v>9</v>
      </c>
    </row>
    <row r="21" spans="1:36" x14ac:dyDescent="0.3">
      <c r="A21" s="12" t="s">
        <v>416</v>
      </c>
      <c r="D21">
        <v>6</v>
      </c>
      <c r="E21">
        <v>119000</v>
      </c>
      <c r="F21">
        <v>6</v>
      </c>
      <c r="G21">
        <v>195000</v>
      </c>
      <c r="H21">
        <v>3</v>
      </c>
      <c r="I21">
        <v>109000</v>
      </c>
      <c r="J21">
        <v>15</v>
      </c>
      <c r="K21">
        <v>423000</v>
      </c>
      <c r="N21" s="8">
        <v>2026</v>
      </c>
      <c r="O21" s="8">
        <v>7</v>
      </c>
      <c r="P21" s="9">
        <v>46219</v>
      </c>
      <c r="Q21" t="s">
        <v>238</v>
      </c>
      <c r="R21" t="s">
        <v>415</v>
      </c>
      <c r="S21" t="s">
        <v>416</v>
      </c>
      <c r="T21" t="s">
        <v>1196</v>
      </c>
      <c r="U21" t="s">
        <v>3557</v>
      </c>
      <c r="V21" t="s">
        <v>246</v>
      </c>
      <c r="W21" t="s">
        <v>244</v>
      </c>
      <c r="X21" t="s">
        <v>3558</v>
      </c>
      <c r="Y21" t="s">
        <v>191</v>
      </c>
      <c r="Z21" t="s">
        <v>335</v>
      </c>
      <c r="AA21" t="s">
        <v>336</v>
      </c>
      <c r="AB21" t="s">
        <v>1284</v>
      </c>
      <c r="AC21" t="s">
        <v>1285</v>
      </c>
      <c r="AD21" t="s">
        <v>1286</v>
      </c>
      <c r="AE21" s="7">
        <v>99000</v>
      </c>
      <c r="AF21" s="7">
        <v>1</v>
      </c>
      <c r="AG21" s="7">
        <v>99000</v>
      </c>
      <c r="AH21" s="7">
        <v>0</v>
      </c>
      <c r="AI21" s="7">
        <v>99000</v>
      </c>
      <c r="AJ21" t="s">
        <v>1285</v>
      </c>
    </row>
    <row r="22" spans="1:36" x14ac:dyDescent="0.3">
      <c r="A22" s="12" t="s">
        <v>426</v>
      </c>
      <c r="B22">
        <v>9</v>
      </c>
      <c r="C22">
        <v>506000</v>
      </c>
      <c r="D22">
        <v>23</v>
      </c>
      <c r="E22">
        <v>2312000</v>
      </c>
      <c r="F22">
        <v>13</v>
      </c>
      <c r="G22">
        <v>1269000</v>
      </c>
      <c r="H22">
        <v>2</v>
      </c>
      <c r="I22">
        <v>439000</v>
      </c>
      <c r="J22">
        <v>47</v>
      </c>
      <c r="K22">
        <v>4526000</v>
      </c>
      <c r="N22" s="8">
        <v>2026</v>
      </c>
      <c r="O22" s="8">
        <v>7</v>
      </c>
      <c r="P22" s="9">
        <v>46219</v>
      </c>
      <c r="Q22" t="s">
        <v>238</v>
      </c>
      <c r="R22" t="s">
        <v>425</v>
      </c>
      <c r="S22" t="s">
        <v>426</v>
      </c>
      <c r="T22" t="s">
        <v>3559</v>
      </c>
      <c r="U22" t="s">
        <v>629</v>
      </c>
      <c r="V22" t="s">
        <v>246</v>
      </c>
      <c r="W22" t="s">
        <v>244</v>
      </c>
      <c r="X22" t="s">
        <v>3560</v>
      </c>
      <c r="Y22" t="s">
        <v>191</v>
      </c>
      <c r="Z22" t="s">
        <v>192</v>
      </c>
      <c r="AA22" t="s">
        <v>193</v>
      </c>
      <c r="AB22" t="s">
        <v>113</v>
      </c>
      <c r="AC22" t="s">
        <v>111</v>
      </c>
      <c r="AD22" t="s">
        <v>112</v>
      </c>
      <c r="AE22" s="7">
        <v>235000</v>
      </c>
      <c r="AF22" s="7">
        <v>1</v>
      </c>
      <c r="AG22" s="7">
        <v>235000</v>
      </c>
      <c r="AH22" s="7">
        <v>0</v>
      </c>
      <c r="AI22" s="7">
        <v>235000</v>
      </c>
      <c r="AJ22" t="s">
        <v>111</v>
      </c>
    </row>
    <row r="23" spans="1:36" x14ac:dyDescent="0.3">
      <c r="A23" s="12" t="s">
        <v>304</v>
      </c>
      <c r="D23">
        <v>17</v>
      </c>
      <c r="E23">
        <v>611000</v>
      </c>
      <c r="F23">
        <v>12</v>
      </c>
      <c r="G23">
        <v>442000</v>
      </c>
      <c r="H23">
        <v>3</v>
      </c>
      <c r="I23">
        <v>118000</v>
      </c>
      <c r="J23">
        <v>32</v>
      </c>
      <c r="K23">
        <v>1171000</v>
      </c>
      <c r="N23" s="8">
        <v>2026</v>
      </c>
      <c r="O23" s="8">
        <v>7</v>
      </c>
      <c r="P23" s="9">
        <v>46219</v>
      </c>
      <c r="Q23" t="s">
        <v>238</v>
      </c>
      <c r="R23" t="s">
        <v>425</v>
      </c>
      <c r="S23" t="s">
        <v>426</v>
      </c>
      <c r="T23" t="s">
        <v>3559</v>
      </c>
      <c r="U23" t="s">
        <v>629</v>
      </c>
      <c r="V23" t="s">
        <v>246</v>
      </c>
      <c r="W23" t="s">
        <v>286</v>
      </c>
      <c r="X23" t="s">
        <v>3560</v>
      </c>
      <c r="Y23" t="s">
        <v>191</v>
      </c>
      <c r="Z23" t="s">
        <v>192</v>
      </c>
      <c r="AA23" t="s">
        <v>193</v>
      </c>
      <c r="AB23" t="s">
        <v>113</v>
      </c>
      <c r="AC23" t="s">
        <v>111</v>
      </c>
      <c r="AD23" t="s">
        <v>112</v>
      </c>
      <c r="AE23" s="7">
        <v>235000</v>
      </c>
      <c r="AF23" s="7">
        <v>-1</v>
      </c>
      <c r="AG23" s="7">
        <v>-235000</v>
      </c>
      <c r="AH23" s="7">
        <v>0</v>
      </c>
      <c r="AI23" s="7">
        <v>-235000</v>
      </c>
      <c r="AJ23" t="s">
        <v>111</v>
      </c>
    </row>
    <row r="24" spans="1:36" x14ac:dyDescent="0.3">
      <c r="A24" s="11" t="s">
        <v>183</v>
      </c>
      <c r="N24" s="8">
        <v>2026</v>
      </c>
      <c r="O24" s="8">
        <v>7</v>
      </c>
      <c r="P24" s="9">
        <v>46219</v>
      </c>
      <c r="Q24" t="s">
        <v>238</v>
      </c>
      <c r="R24" t="s">
        <v>425</v>
      </c>
      <c r="S24" t="s">
        <v>426</v>
      </c>
      <c r="T24" t="s">
        <v>1249</v>
      </c>
      <c r="U24" t="s">
        <v>3561</v>
      </c>
      <c r="V24" t="s">
        <v>246</v>
      </c>
      <c r="W24" t="s">
        <v>244</v>
      </c>
      <c r="X24" t="s">
        <v>3562</v>
      </c>
      <c r="Y24" t="s">
        <v>191</v>
      </c>
      <c r="Z24" t="s">
        <v>335</v>
      </c>
      <c r="AA24" t="s">
        <v>336</v>
      </c>
      <c r="AB24" t="s">
        <v>2575</v>
      </c>
      <c r="AC24" t="s">
        <v>2576</v>
      </c>
      <c r="AD24" t="s">
        <v>2577</v>
      </c>
      <c r="AE24" s="7">
        <v>16000</v>
      </c>
      <c r="AF24" s="7">
        <v>1</v>
      </c>
      <c r="AG24" s="7">
        <v>16000</v>
      </c>
      <c r="AH24" s="7">
        <v>0</v>
      </c>
      <c r="AI24" s="7">
        <v>16000</v>
      </c>
      <c r="AJ24" t="s">
        <v>2576</v>
      </c>
    </row>
    <row r="25" spans="1:36" x14ac:dyDescent="0.3">
      <c r="A25" s="12" t="s">
        <v>375</v>
      </c>
      <c r="B25">
        <v>3</v>
      </c>
      <c r="C25">
        <v>343000</v>
      </c>
      <c r="D25">
        <v>13</v>
      </c>
      <c r="E25">
        <v>1311150</v>
      </c>
      <c r="F25">
        <v>13</v>
      </c>
      <c r="G25">
        <v>1150000</v>
      </c>
      <c r="H25">
        <v>3</v>
      </c>
      <c r="I25">
        <v>424000</v>
      </c>
      <c r="J25">
        <v>32</v>
      </c>
      <c r="K25">
        <v>3228150</v>
      </c>
      <c r="N25" s="8">
        <v>2026</v>
      </c>
      <c r="O25" s="8">
        <v>7</v>
      </c>
      <c r="P25" s="9">
        <v>46218</v>
      </c>
      <c r="Q25" t="s">
        <v>238</v>
      </c>
      <c r="R25" t="s">
        <v>239</v>
      </c>
      <c r="S25" t="s">
        <v>240</v>
      </c>
      <c r="T25" t="s">
        <v>1826</v>
      </c>
      <c r="U25" t="s">
        <v>1827</v>
      </c>
      <c r="V25" t="s">
        <v>246</v>
      </c>
      <c r="W25" t="s">
        <v>244</v>
      </c>
      <c r="X25" t="s">
        <v>3563</v>
      </c>
      <c r="Y25" t="s">
        <v>191</v>
      </c>
      <c r="Z25" t="s">
        <v>335</v>
      </c>
      <c r="AA25" t="s">
        <v>336</v>
      </c>
      <c r="AB25" t="s">
        <v>1146</v>
      </c>
      <c r="AC25" t="s">
        <v>1147</v>
      </c>
      <c r="AD25" t="s">
        <v>1148</v>
      </c>
      <c r="AE25" s="7">
        <v>99000</v>
      </c>
      <c r="AF25" s="7">
        <v>2</v>
      </c>
      <c r="AG25" s="7">
        <v>198000</v>
      </c>
      <c r="AH25" s="7">
        <v>0</v>
      </c>
      <c r="AI25" s="7">
        <v>198000</v>
      </c>
      <c r="AJ25" t="s">
        <v>1147</v>
      </c>
    </row>
    <row r="26" spans="1:36" x14ac:dyDescent="0.3">
      <c r="A26" s="12" t="s">
        <v>240</v>
      </c>
      <c r="B26">
        <v>7</v>
      </c>
      <c r="C26">
        <v>925000</v>
      </c>
      <c r="D26">
        <v>13</v>
      </c>
      <c r="E26">
        <v>806050</v>
      </c>
      <c r="F26">
        <v>5</v>
      </c>
      <c r="G26">
        <v>260000</v>
      </c>
      <c r="H26">
        <v>1</v>
      </c>
      <c r="I26">
        <v>52000</v>
      </c>
      <c r="J26">
        <v>26</v>
      </c>
      <c r="K26">
        <v>2043050</v>
      </c>
      <c r="N26" s="8">
        <v>2026</v>
      </c>
      <c r="O26" s="8">
        <v>7</v>
      </c>
      <c r="P26" s="9">
        <v>46218</v>
      </c>
      <c r="Q26" t="s">
        <v>238</v>
      </c>
      <c r="R26" t="s">
        <v>239</v>
      </c>
      <c r="S26" t="s">
        <v>240</v>
      </c>
      <c r="T26" t="s">
        <v>1440</v>
      </c>
      <c r="U26" t="s">
        <v>1441</v>
      </c>
      <c r="V26" t="s">
        <v>246</v>
      </c>
      <c r="W26" t="s">
        <v>244</v>
      </c>
      <c r="X26" t="s">
        <v>3564</v>
      </c>
      <c r="Y26" t="s">
        <v>194</v>
      </c>
      <c r="Z26" t="s">
        <v>200</v>
      </c>
      <c r="AA26" t="s">
        <v>201</v>
      </c>
      <c r="AB26" t="s">
        <v>80</v>
      </c>
      <c r="AC26" t="s">
        <v>78</v>
      </c>
      <c r="AD26" t="s">
        <v>79</v>
      </c>
      <c r="AE26" s="7">
        <v>14000</v>
      </c>
      <c r="AF26" s="7">
        <v>1</v>
      </c>
      <c r="AG26" s="7">
        <v>14000</v>
      </c>
      <c r="AH26" s="7">
        <v>0</v>
      </c>
      <c r="AI26" s="7">
        <v>14000</v>
      </c>
      <c r="AJ26" t="s">
        <v>78</v>
      </c>
    </row>
    <row r="27" spans="1:36" x14ac:dyDescent="0.3">
      <c r="A27" s="12" t="s">
        <v>352</v>
      </c>
      <c r="B27">
        <v>3</v>
      </c>
      <c r="C27">
        <v>717000</v>
      </c>
      <c r="D27">
        <v>4</v>
      </c>
      <c r="E27">
        <v>558100</v>
      </c>
      <c r="F27">
        <v>5</v>
      </c>
      <c r="G27">
        <v>604000</v>
      </c>
      <c r="J27">
        <v>12</v>
      </c>
      <c r="K27">
        <v>1879100</v>
      </c>
      <c r="N27" s="8">
        <v>2026</v>
      </c>
      <c r="O27" s="8">
        <v>7</v>
      </c>
      <c r="P27" s="9">
        <v>46218</v>
      </c>
      <c r="Q27" t="s">
        <v>238</v>
      </c>
      <c r="R27" t="s">
        <v>239</v>
      </c>
      <c r="S27" t="s">
        <v>240</v>
      </c>
      <c r="T27" t="s">
        <v>1337</v>
      </c>
      <c r="U27" t="s">
        <v>1338</v>
      </c>
      <c r="V27" t="s">
        <v>246</v>
      </c>
      <c r="W27" t="s">
        <v>244</v>
      </c>
      <c r="X27" t="s">
        <v>3565</v>
      </c>
      <c r="Y27" t="s">
        <v>191</v>
      </c>
      <c r="Z27" t="s">
        <v>335</v>
      </c>
      <c r="AA27" t="s">
        <v>337</v>
      </c>
      <c r="AB27" t="s">
        <v>656</v>
      </c>
      <c r="AC27" t="s">
        <v>657</v>
      </c>
      <c r="AD27" t="s">
        <v>658</v>
      </c>
      <c r="AE27" s="7">
        <v>35000</v>
      </c>
      <c r="AF27" s="7">
        <v>1</v>
      </c>
      <c r="AG27" s="7">
        <v>35000</v>
      </c>
      <c r="AH27" s="7">
        <v>0</v>
      </c>
      <c r="AI27" s="7">
        <v>35000</v>
      </c>
      <c r="AJ27" t="s">
        <v>657</v>
      </c>
    </row>
    <row r="28" spans="1:36" x14ac:dyDescent="0.3">
      <c r="A28" s="12" t="s">
        <v>280</v>
      </c>
      <c r="B28">
        <v>1</v>
      </c>
      <c r="C28">
        <v>239000</v>
      </c>
      <c r="D28">
        <v>5</v>
      </c>
      <c r="E28">
        <v>435050</v>
      </c>
      <c r="F28">
        <v>4</v>
      </c>
      <c r="G28">
        <v>208000</v>
      </c>
      <c r="H28">
        <v>6</v>
      </c>
      <c r="I28">
        <v>954000</v>
      </c>
      <c r="J28">
        <v>16</v>
      </c>
      <c r="K28">
        <v>1836050</v>
      </c>
      <c r="N28" s="8">
        <v>2026</v>
      </c>
      <c r="O28" s="8">
        <v>7</v>
      </c>
      <c r="P28" s="9">
        <v>46218</v>
      </c>
      <c r="Q28" t="s">
        <v>238</v>
      </c>
      <c r="R28" t="s">
        <v>239</v>
      </c>
      <c r="S28" t="s">
        <v>240</v>
      </c>
      <c r="T28" t="s">
        <v>1015</v>
      </c>
      <c r="U28" t="s">
        <v>1016</v>
      </c>
      <c r="V28" t="s">
        <v>246</v>
      </c>
      <c r="W28" t="s">
        <v>244</v>
      </c>
      <c r="X28" t="s">
        <v>3566</v>
      </c>
      <c r="Y28" t="s">
        <v>191</v>
      </c>
      <c r="Z28" t="s">
        <v>335</v>
      </c>
      <c r="AA28" t="s">
        <v>337</v>
      </c>
      <c r="AB28" t="s">
        <v>541</v>
      </c>
      <c r="AC28" t="s">
        <v>542</v>
      </c>
      <c r="AD28" t="s">
        <v>543</v>
      </c>
      <c r="AE28" s="7">
        <v>69000</v>
      </c>
      <c r="AF28" s="7">
        <v>1</v>
      </c>
      <c r="AG28" s="7">
        <v>69000</v>
      </c>
      <c r="AH28" s="7">
        <v>0</v>
      </c>
      <c r="AI28" s="7">
        <v>69000</v>
      </c>
      <c r="AJ28" t="s">
        <v>542</v>
      </c>
    </row>
    <row r="29" spans="1:36" x14ac:dyDescent="0.3">
      <c r="A29" s="12" t="s">
        <v>397</v>
      </c>
      <c r="B29">
        <v>4</v>
      </c>
      <c r="C29">
        <v>876000</v>
      </c>
      <c r="D29">
        <v>6</v>
      </c>
      <c r="E29">
        <v>624100</v>
      </c>
      <c r="F29">
        <v>11</v>
      </c>
      <c r="G29">
        <v>1606600</v>
      </c>
      <c r="H29">
        <v>4</v>
      </c>
      <c r="I29">
        <v>208000</v>
      </c>
      <c r="J29">
        <v>25</v>
      </c>
      <c r="K29">
        <v>3314700</v>
      </c>
      <c r="N29" s="8">
        <v>2026</v>
      </c>
      <c r="O29" s="8">
        <v>7</v>
      </c>
      <c r="P29" s="9">
        <v>46218</v>
      </c>
      <c r="Q29" t="s">
        <v>238</v>
      </c>
      <c r="R29" t="s">
        <v>279</v>
      </c>
      <c r="S29" t="s">
        <v>280</v>
      </c>
      <c r="T29" t="s">
        <v>281</v>
      </c>
      <c r="U29" t="s">
        <v>282</v>
      </c>
      <c r="V29" t="s">
        <v>243</v>
      </c>
      <c r="W29" t="s">
        <v>244</v>
      </c>
      <c r="X29" t="s">
        <v>3567</v>
      </c>
      <c r="Y29" t="s">
        <v>183</v>
      </c>
      <c r="Z29" t="s">
        <v>184</v>
      </c>
      <c r="AA29" t="s">
        <v>185</v>
      </c>
      <c r="AB29" t="s">
        <v>47</v>
      </c>
      <c r="AC29" t="s">
        <v>45</v>
      </c>
      <c r="AD29" t="s">
        <v>46</v>
      </c>
      <c r="AE29" s="7">
        <v>52000</v>
      </c>
      <c r="AF29" s="7">
        <v>2</v>
      </c>
      <c r="AG29" s="7">
        <v>104000</v>
      </c>
      <c r="AH29" s="7">
        <v>0</v>
      </c>
      <c r="AI29" s="7">
        <v>104000</v>
      </c>
      <c r="AJ29" t="s">
        <v>45</v>
      </c>
    </row>
    <row r="30" spans="1:36" x14ac:dyDescent="0.3">
      <c r="A30" s="12" t="s">
        <v>416</v>
      </c>
      <c r="B30">
        <v>2</v>
      </c>
      <c r="C30">
        <v>478000</v>
      </c>
      <c r="D30">
        <v>7</v>
      </c>
      <c r="E30">
        <v>1239250</v>
      </c>
      <c r="F30">
        <v>7</v>
      </c>
      <c r="G30">
        <v>539050</v>
      </c>
      <c r="H30">
        <v>2</v>
      </c>
      <c r="I30">
        <v>104000</v>
      </c>
      <c r="J30">
        <v>18</v>
      </c>
      <c r="K30">
        <v>2360300</v>
      </c>
      <c r="N30" s="8">
        <v>2026</v>
      </c>
      <c r="O30" s="8">
        <v>7</v>
      </c>
      <c r="P30" s="9">
        <v>46218</v>
      </c>
      <c r="Q30" t="s">
        <v>238</v>
      </c>
      <c r="R30" t="s">
        <v>279</v>
      </c>
      <c r="S30" t="s">
        <v>280</v>
      </c>
      <c r="T30" t="s">
        <v>281</v>
      </c>
      <c r="U30" t="s">
        <v>282</v>
      </c>
      <c r="V30" t="s">
        <v>243</v>
      </c>
      <c r="W30" t="s">
        <v>244</v>
      </c>
      <c r="X30" t="s">
        <v>3568</v>
      </c>
      <c r="Y30" t="s">
        <v>191</v>
      </c>
      <c r="Z30" t="s">
        <v>335</v>
      </c>
      <c r="AA30" t="s">
        <v>336</v>
      </c>
      <c r="AB30" t="s">
        <v>2566</v>
      </c>
      <c r="AC30" t="s">
        <v>2567</v>
      </c>
      <c r="AD30" t="s">
        <v>2568</v>
      </c>
      <c r="AE30" s="7">
        <v>15000</v>
      </c>
      <c r="AF30" s="7">
        <v>1</v>
      </c>
      <c r="AG30" s="7">
        <v>15000</v>
      </c>
      <c r="AH30" s="7">
        <v>0</v>
      </c>
      <c r="AI30" s="7">
        <v>15000</v>
      </c>
      <c r="AJ30" t="s">
        <v>2567</v>
      </c>
    </row>
    <row r="31" spans="1:36" x14ac:dyDescent="0.3">
      <c r="A31" s="12" t="s">
        <v>426</v>
      </c>
      <c r="B31">
        <v>2</v>
      </c>
      <c r="C31">
        <v>104000</v>
      </c>
      <c r="D31">
        <v>16</v>
      </c>
      <c r="E31">
        <v>790000</v>
      </c>
      <c r="F31">
        <v>3</v>
      </c>
      <c r="G31">
        <v>343000</v>
      </c>
      <c r="H31">
        <v>4</v>
      </c>
      <c r="I31">
        <v>208000</v>
      </c>
      <c r="J31">
        <v>25</v>
      </c>
      <c r="K31">
        <v>1445000</v>
      </c>
      <c r="N31" s="8">
        <v>2026</v>
      </c>
      <c r="O31" s="8">
        <v>7</v>
      </c>
      <c r="P31" s="9">
        <v>46218</v>
      </c>
      <c r="Q31" t="s">
        <v>238</v>
      </c>
      <c r="R31" t="s">
        <v>279</v>
      </c>
      <c r="S31" t="s">
        <v>280</v>
      </c>
      <c r="T31" t="s">
        <v>3569</v>
      </c>
      <c r="U31" t="s">
        <v>3570</v>
      </c>
      <c r="V31" t="s">
        <v>246</v>
      </c>
      <c r="W31" t="s">
        <v>244</v>
      </c>
      <c r="X31" t="s">
        <v>3571</v>
      </c>
      <c r="Y31" t="s">
        <v>168</v>
      </c>
      <c r="Z31" t="s">
        <v>171</v>
      </c>
      <c r="AA31" t="s">
        <v>175</v>
      </c>
      <c r="AB31" t="s">
        <v>41</v>
      </c>
      <c r="AC31" t="s">
        <v>39</v>
      </c>
      <c r="AD31" t="s">
        <v>40</v>
      </c>
      <c r="AE31" s="7">
        <v>295000</v>
      </c>
      <c r="AF31" s="7">
        <v>1</v>
      </c>
      <c r="AG31" s="7">
        <v>295000</v>
      </c>
      <c r="AH31" s="7">
        <v>0</v>
      </c>
      <c r="AI31" s="7">
        <v>295000</v>
      </c>
      <c r="AJ31" t="s">
        <v>39</v>
      </c>
    </row>
    <row r="32" spans="1:36" x14ac:dyDescent="0.3">
      <c r="A32" s="12" t="s">
        <v>304</v>
      </c>
      <c r="B32">
        <v>1</v>
      </c>
      <c r="C32">
        <v>52000</v>
      </c>
      <c r="D32">
        <v>13</v>
      </c>
      <c r="E32">
        <v>806050</v>
      </c>
      <c r="F32">
        <v>12</v>
      </c>
      <c r="G32">
        <v>1529000</v>
      </c>
      <c r="H32">
        <v>4</v>
      </c>
      <c r="I32">
        <v>582000</v>
      </c>
      <c r="J32">
        <v>30</v>
      </c>
      <c r="K32">
        <v>2969050</v>
      </c>
      <c r="N32" s="8">
        <v>2026</v>
      </c>
      <c r="O32" s="8">
        <v>7</v>
      </c>
      <c r="P32" s="9">
        <v>46218</v>
      </c>
      <c r="Q32" t="s">
        <v>238</v>
      </c>
      <c r="R32" t="s">
        <v>279</v>
      </c>
      <c r="S32" t="s">
        <v>280</v>
      </c>
      <c r="T32" t="s">
        <v>3572</v>
      </c>
      <c r="U32" t="s">
        <v>3573</v>
      </c>
      <c r="V32" t="s">
        <v>246</v>
      </c>
      <c r="W32" t="s">
        <v>244</v>
      </c>
      <c r="X32" t="s">
        <v>3574</v>
      </c>
      <c r="Y32" t="s">
        <v>168</v>
      </c>
      <c r="Z32" t="s">
        <v>171</v>
      </c>
      <c r="AA32" t="s">
        <v>175</v>
      </c>
      <c r="AB32" t="s">
        <v>140</v>
      </c>
      <c r="AC32" t="s">
        <v>138</v>
      </c>
      <c r="AD32" t="s">
        <v>139</v>
      </c>
      <c r="AE32" s="7">
        <v>125000</v>
      </c>
      <c r="AF32" s="7">
        <v>1</v>
      </c>
      <c r="AG32" s="7">
        <v>125000</v>
      </c>
      <c r="AH32" s="7">
        <v>12500</v>
      </c>
      <c r="AI32" s="7">
        <v>112500</v>
      </c>
      <c r="AJ32" t="s">
        <v>138</v>
      </c>
    </row>
    <row r="33" spans="1:36" x14ac:dyDescent="0.3">
      <c r="A33" s="11" t="s">
        <v>191</v>
      </c>
      <c r="N33" s="8">
        <v>2026</v>
      </c>
      <c r="O33" s="8">
        <v>7</v>
      </c>
      <c r="P33" s="9">
        <v>46218</v>
      </c>
      <c r="Q33" t="s">
        <v>238</v>
      </c>
      <c r="R33" t="s">
        <v>303</v>
      </c>
      <c r="S33" t="s">
        <v>304</v>
      </c>
      <c r="T33" t="s">
        <v>1694</v>
      </c>
      <c r="U33" t="s">
        <v>317</v>
      </c>
      <c r="V33" t="s">
        <v>246</v>
      </c>
      <c r="W33" t="s">
        <v>244</v>
      </c>
      <c r="X33" t="s">
        <v>3575</v>
      </c>
      <c r="Y33" t="s">
        <v>168</v>
      </c>
      <c r="Z33" t="s">
        <v>171</v>
      </c>
      <c r="AA33" t="s">
        <v>175</v>
      </c>
      <c r="AB33" t="s">
        <v>41</v>
      </c>
      <c r="AC33" t="s">
        <v>39</v>
      </c>
      <c r="AD33" t="s">
        <v>40</v>
      </c>
      <c r="AE33" s="7">
        <v>295000</v>
      </c>
      <c r="AF33" s="7">
        <v>1</v>
      </c>
      <c r="AG33" s="7">
        <v>295000</v>
      </c>
      <c r="AH33" s="7">
        <v>0</v>
      </c>
      <c r="AI33" s="7">
        <v>295000</v>
      </c>
      <c r="AJ33" t="s">
        <v>39</v>
      </c>
    </row>
    <row r="34" spans="1:36" x14ac:dyDescent="0.3">
      <c r="A34" s="12" t="s">
        <v>375</v>
      </c>
      <c r="B34">
        <v>49</v>
      </c>
      <c r="C34">
        <v>5772000</v>
      </c>
      <c r="D34">
        <v>24</v>
      </c>
      <c r="E34">
        <v>3687000</v>
      </c>
      <c r="F34">
        <v>43</v>
      </c>
      <c r="G34">
        <v>4359600</v>
      </c>
      <c r="H34">
        <v>44</v>
      </c>
      <c r="I34">
        <v>2346000</v>
      </c>
      <c r="J34">
        <v>160</v>
      </c>
      <c r="K34">
        <v>16164600</v>
      </c>
      <c r="N34" s="8">
        <v>2026</v>
      </c>
      <c r="O34" s="8">
        <v>7</v>
      </c>
      <c r="P34" s="9">
        <v>46218</v>
      </c>
      <c r="Q34" t="s">
        <v>238</v>
      </c>
      <c r="R34" t="s">
        <v>303</v>
      </c>
      <c r="S34" t="s">
        <v>304</v>
      </c>
      <c r="T34" t="s">
        <v>3576</v>
      </c>
      <c r="U34" t="s">
        <v>3577</v>
      </c>
      <c r="V34" t="s">
        <v>246</v>
      </c>
      <c r="W34" t="s">
        <v>244</v>
      </c>
      <c r="X34" t="s">
        <v>3578</v>
      </c>
      <c r="Y34" t="s">
        <v>168</v>
      </c>
      <c r="Z34" t="s">
        <v>171</v>
      </c>
      <c r="AA34" t="s">
        <v>173</v>
      </c>
      <c r="AB34" t="s">
        <v>26</v>
      </c>
      <c r="AC34" t="s">
        <v>24</v>
      </c>
      <c r="AD34" t="s">
        <v>25</v>
      </c>
      <c r="AE34" s="7">
        <v>555000</v>
      </c>
      <c r="AF34" s="7">
        <v>1</v>
      </c>
      <c r="AG34" s="7">
        <v>555000</v>
      </c>
      <c r="AH34" s="7">
        <v>0</v>
      </c>
      <c r="AI34" s="7">
        <v>555000</v>
      </c>
      <c r="AJ34" t="s">
        <v>24</v>
      </c>
    </row>
    <row r="35" spans="1:36" x14ac:dyDescent="0.3">
      <c r="A35" s="12" t="s">
        <v>240</v>
      </c>
      <c r="B35">
        <v>34</v>
      </c>
      <c r="C35">
        <v>4421050</v>
      </c>
      <c r="D35">
        <v>17</v>
      </c>
      <c r="E35">
        <v>2167000</v>
      </c>
      <c r="F35">
        <v>29</v>
      </c>
      <c r="G35">
        <v>3704700</v>
      </c>
      <c r="H35">
        <v>34</v>
      </c>
      <c r="I35">
        <v>2788000</v>
      </c>
      <c r="J35">
        <v>114</v>
      </c>
      <c r="K35">
        <v>13080750</v>
      </c>
      <c r="N35" s="8">
        <v>2026</v>
      </c>
      <c r="O35" s="8">
        <v>7</v>
      </c>
      <c r="P35" s="9">
        <v>46218</v>
      </c>
      <c r="Q35" t="s">
        <v>238</v>
      </c>
      <c r="R35" t="s">
        <v>351</v>
      </c>
      <c r="S35" t="s">
        <v>352</v>
      </c>
      <c r="T35" t="s">
        <v>3579</v>
      </c>
      <c r="U35" t="s">
        <v>3580</v>
      </c>
      <c r="V35" t="s">
        <v>246</v>
      </c>
      <c r="W35" t="s">
        <v>244</v>
      </c>
      <c r="X35" t="s">
        <v>3581</v>
      </c>
      <c r="Y35" t="s">
        <v>191</v>
      </c>
      <c r="Z35" t="s">
        <v>335</v>
      </c>
      <c r="AA35" t="s">
        <v>336</v>
      </c>
      <c r="AB35" t="s">
        <v>2587</v>
      </c>
      <c r="AC35" t="s">
        <v>2588</v>
      </c>
      <c r="AD35" t="s">
        <v>2589</v>
      </c>
      <c r="AE35" s="7">
        <v>22000</v>
      </c>
      <c r="AF35" s="7">
        <v>1</v>
      </c>
      <c r="AG35" s="7">
        <v>22000</v>
      </c>
      <c r="AH35" s="7">
        <v>0</v>
      </c>
      <c r="AI35" s="7">
        <v>22000</v>
      </c>
      <c r="AJ35" t="s">
        <v>2588</v>
      </c>
    </row>
    <row r="36" spans="1:36" x14ac:dyDescent="0.3">
      <c r="A36" s="12" t="s">
        <v>352</v>
      </c>
      <c r="B36">
        <v>33</v>
      </c>
      <c r="C36">
        <v>2307200</v>
      </c>
      <c r="D36">
        <v>22</v>
      </c>
      <c r="E36">
        <v>2528000</v>
      </c>
      <c r="F36">
        <v>34</v>
      </c>
      <c r="G36">
        <v>4732800</v>
      </c>
      <c r="H36">
        <v>53</v>
      </c>
      <c r="I36">
        <v>2442000</v>
      </c>
      <c r="J36">
        <v>142</v>
      </c>
      <c r="K36">
        <v>12010000</v>
      </c>
      <c r="N36" s="8">
        <v>2026</v>
      </c>
      <c r="O36" s="8">
        <v>7</v>
      </c>
      <c r="P36" s="9">
        <v>46218</v>
      </c>
      <c r="Q36" t="s">
        <v>238</v>
      </c>
      <c r="R36" t="s">
        <v>351</v>
      </c>
      <c r="S36" t="s">
        <v>352</v>
      </c>
      <c r="T36" t="s">
        <v>3579</v>
      </c>
      <c r="U36" t="s">
        <v>3580</v>
      </c>
      <c r="V36" t="s">
        <v>246</v>
      </c>
      <c r="W36" t="s">
        <v>244</v>
      </c>
      <c r="X36" t="s">
        <v>3581</v>
      </c>
      <c r="Y36" t="s">
        <v>191</v>
      </c>
      <c r="Z36" t="s">
        <v>335</v>
      </c>
      <c r="AA36" t="s">
        <v>336</v>
      </c>
      <c r="AB36" t="s">
        <v>2575</v>
      </c>
      <c r="AC36" t="s">
        <v>2576</v>
      </c>
      <c r="AD36" t="s">
        <v>2577</v>
      </c>
      <c r="AE36" s="7">
        <v>16000</v>
      </c>
      <c r="AF36" s="7">
        <v>1</v>
      </c>
      <c r="AG36" s="7">
        <v>16000</v>
      </c>
      <c r="AH36" s="7">
        <v>0</v>
      </c>
      <c r="AI36" s="7">
        <v>16000</v>
      </c>
      <c r="AJ36" t="s">
        <v>2576</v>
      </c>
    </row>
    <row r="37" spans="1:36" x14ac:dyDescent="0.3">
      <c r="A37" s="12" t="s">
        <v>280</v>
      </c>
      <c r="B37">
        <v>31</v>
      </c>
      <c r="C37">
        <v>4391250</v>
      </c>
      <c r="D37">
        <v>36</v>
      </c>
      <c r="E37">
        <v>6756000</v>
      </c>
      <c r="F37">
        <v>61</v>
      </c>
      <c r="G37">
        <v>7647800</v>
      </c>
      <c r="H37">
        <v>61</v>
      </c>
      <c r="I37">
        <v>3786000</v>
      </c>
      <c r="J37">
        <v>189</v>
      </c>
      <c r="K37">
        <v>22581050</v>
      </c>
      <c r="N37" s="8">
        <v>2026</v>
      </c>
      <c r="O37" s="8">
        <v>7</v>
      </c>
      <c r="P37" s="9">
        <v>46218</v>
      </c>
      <c r="Q37" t="s">
        <v>238</v>
      </c>
      <c r="R37" t="s">
        <v>351</v>
      </c>
      <c r="S37" t="s">
        <v>352</v>
      </c>
      <c r="T37" t="s">
        <v>3582</v>
      </c>
      <c r="U37" t="s">
        <v>3583</v>
      </c>
      <c r="V37" t="s">
        <v>246</v>
      </c>
      <c r="W37" t="s">
        <v>244</v>
      </c>
      <c r="X37" t="s">
        <v>3584</v>
      </c>
      <c r="Y37" t="s">
        <v>168</v>
      </c>
      <c r="Z37" t="s">
        <v>171</v>
      </c>
      <c r="AA37" t="s">
        <v>173</v>
      </c>
      <c r="AB37" t="s">
        <v>29</v>
      </c>
      <c r="AC37" t="s">
        <v>27</v>
      </c>
      <c r="AD37" t="s">
        <v>28</v>
      </c>
      <c r="AE37" s="7">
        <v>575000</v>
      </c>
      <c r="AF37" s="7">
        <v>1</v>
      </c>
      <c r="AG37" s="7">
        <v>575000</v>
      </c>
      <c r="AH37" s="7">
        <v>0</v>
      </c>
      <c r="AI37" s="7">
        <v>575000</v>
      </c>
      <c r="AJ37" t="s">
        <v>27</v>
      </c>
    </row>
    <row r="38" spans="1:36" x14ac:dyDescent="0.3">
      <c r="A38" s="12" t="s">
        <v>397</v>
      </c>
      <c r="B38">
        <v>22</v>
      </c>
      <c r="C38">
        <v>3014000</v>
      </c>
      <c r="D38">
        <v>32</v>
      </c>
      <c r="E38">
        <v>4929900</v>
      </c>
      <c r="F38">
        <v>18</v>
      </c>
      <c r="G38">
        <v>2269800</v>
      </c>
      <c r="H38">
        <v>34</v>
      </c>
      <c r="I38">
        <v>2345000</v>
      </c>
      <c r="J38">
        <v>106</v>
      </c>
      <c r="K38">
        <v>12558700</v>
      </c>
      <c r="N38" s="8">
        <v>2026</v>
      </c>
      <c r="O38" s="8">
        <v>7</v>
      </c>
      <c r="P38" s="9">
        <v>46218</v>
      </c>
      <c r="Q38" t="s">
        <v>238</v>
      </c>
      <c r="R38" t="s">
        <v>351</v>
      </c>
      <c r="S38" t="s">
        <v>352</v>
      </c>
      <c r="T38" t="s">
        <v>2000</v>
      </c>
      <c r="U38" t="s">
        <v>2001</v>
      </c>
      <c r="V38" t="s">
        <v>246</v>
      </c>
      <c r="W38" t="s">
        <v>244</v>
      </c>
      <c r="X38" t="s">
        <v>3585</v>
      </c>
      <c r="Y38" t="s">
        <v>191</v>
      </c>
      <c r="Z38" t="s">
        <v>335</v>
      </c>
      <c r="AA38" t="s">
        <v>336</v>
      </c>
      <c r="AB38" t="s">
        <v>2582</v>
      </c>
      <c r="AC38" t="s">
        <v>2583</v>
      </c>
      <c r="AD38" t="s">
        <v>2584</v>
      </c>
      <c r="AE38" s="7">
        <v>18000</v>
      </c>
      <c r="AF38" s="7">
        <v>2</v>
      </c>
      <c r="AG38" s="7">
        <v>36000</v>
      </c>
      <c r="AH38" s="7">
        <v>0</v>
      </c>
      <c r="AI38" s="7">
        <v>36000</v>
      </c>
      <c r="AJ38" t="s">
        <v>2583</v>
      </c>
    </row>
    <row r="39" spans="1:36" x14ac:dyDescent="0.3">
      <c r="A39" s="12" t="s">
        <v>416</v>
      </c>
      <c r="B39">
        <v>13</v>
      </c>
      <c r="C39">
        <v>998450</v>
      </c>
      <c r="D39">
        <v>19</v>
      </c>
      <c r="E39">
        <v>1453050</v>
      </c>
      <c r="F39">
        <v>26</v>
      </c>
      <c r="G39">
        <v>2573600</v>
      </c>
      <c r="H39">
        <v>29</v>
      </c>
      <c r="I39">
        <v>1883000</v>
      </c>
      <c r="J39">
        <v>87</v>
      </c>
      <c r="K39">
        <v>6908100</v>
      </c>
      <c r="N39" s="8">
        <v>2026</v>
      </c>
      <c r="O39" s="8">
        <v>7</v>
      </c>
      <c r="P39" s="9">
        <v>46218</v>
      </c>
      <c r="Q39" t="s">
        <v>238</v>
      </c>
      <c r="R39" t="s">
        <v>351</v>
      </c>
      <c r="S39" t="s">
        <v>352</v>
      </c>
      <c r="T39" t="s">
        <v>802</v>
      </c>
      <c r="U39" t="s">
        <v>3586</v>
      </c>
      <c r="V39" t="s">
        <v>246</v>
      </c>
      <c r="W39" t="s">
        <v>244</v>
      </c>
      <c r="X39" t="s">
        <v>3587</v>
      </c>
      <c r="Y39" t="s">
        <v>191</v>
      </c>
      <c r="Z39" t="s">
        <v>335</v>
      </c>
      <c r="AA39" t="s">
        <v>337</v>
      </c>
      <c r="AB39" t="s">
        <v>2557</v>
      </c>
      <c r="AC39" t="s">
        <v>2558</v>
      </c>
      <c r="AD39" t="s">
        <v>2559</v>
      </c>
      <c r="AE39" s="7">
        <v>24000</v>
      </c>
      <c r="AF39" s="7">
        <v>1</v>
      </c>
      <c r="AG39" s="7">
        <v>24000</v>
      </c>
      <c r="AH39" s="7">
        <v>0</v>
      </c>
      <c r="AI39" s="7">
        <v>24000</v>
      </c>
      <c r="AJ39" t="s">
        <v>2558</v>
      </c>
    </row>
    <row r="40" spans="1:36" x14ac:dyDescent="0.3">
      <c r="A40" s="12" t="s">
        <v>426</v>
      </c>
      <c r="B40">
        <v>32</v>
      </c>
      <c r="C40">
        <v>4099500</v>
      </c>
      <c r="D40">
        <v>23</v>
      </c>
      <c r="E40">
        <v>2694700</v>
      </c>
      <c r="F40">
        <v>23</v>
      </c>
      <c r="G40">
        <v>2903200</v>
      </c>
      <c r="H40">
        <v>14</v>
      </c>
      <c r="I40">
        <v>1768000</v>
      </c>
      <c r="J40">
        <v>92</v>
      </c>
      <c r="K40">
        <v>11465400</v>
      </c>
      <c r="N40" s="8">
        <v>2026</v>
      </c>
      <c r="O40" s="8">
        <v>7</v>
      </c>
      <c r="P40" s="9">
        <v>46218</v>
      </c>
      <c r="Q40" t="s">
        <v>238</v>
      </c>
      <c r="R40" t="s">
        <v>351</v>
      </c>
      <c r="S40" t="s">
        <v>352</v>
      </c>
      <c r="T40" t="s">
        <v>586</v>
      </c>
      <c r="U40" t="s">
        <v>587</v>
      </c>
      <c r="V40" t="s">
        <v>246</v>
      </c>
      <c r="W40" t="s">
        <v>244</v>
      </c>
      <c r="X40" t="s">
        <v>3588</v>
      </c>
      <c r="Y40" t="s">
        <v>191</v>
      </c>
      <c r="Z40" t="s">
        <v>335</v>
      </c>
      <c r="AA40" t="s">
        <v>336</v>
      </c>
      <c r="AB40" t="s">
        <v>2551</v>
      </c>
      <c r="AC40" t="s">
        <v>2552</v>
      </c>
      <c r="AD40" t="s">
        <v>2553</v>
      </c>
      <c r="AE40" s="7">
        <v>23000</v>
      </c>
      <c r="AF40" s="7">
        <v>2</v>
      </c>
      <c r="AG40" s="7">
        <v>46000</v>
      </c>
      <c r="AH40" s="7">
        <v>0</v>
      </c>
      <c r="AI40" s="7">
        <v>46000</v>
      </c>
      <c r="AJ40" t="s">
        <v>2552</v>
      </c>
    </row>
    <row r="41" spans="1:36" x14ac:dyDescent="0.3">
      <c r="A41" s="12" t="s">
        <v>304</v>
      </c>
      <c r="B41">
        <v>78</v>
      </c>
      <c r="C41">
        <v>10360000</v>
      </c>
      <c r="D41">
        <v>43</v>
      </c>
      <c r="E41">
        <v>7268350</v>
      </c>
      <c r="F41">
        <v>80</v>
      </c>
      <c r="G41">
        <v>10664200</v>
      </c>
      <c r="H41">
        <v>52</v>
      </c>
      <c r="I41">
        <v>4090000</v>
      </c>
      <c r="J41">
        <v>253</v>
      </c>
      <c r="K41">
        <v>32382550</v>
      </c>
      <c r="N41" s="8">
        <v>2026</v>
      </c>
      <c r="O41" s="8">
        <v>7</v>
      </c>
      <c r="P41" s="9">
        <v>46218</v>
      </c>
      <c r="Q41" t="s">
        <v>238</v>
      </c>
      <c r="R41" t="s">
        <v>374</v>
      </c>
      <c r="S41" t="s">
        <v>375</v>
      </c>
      <c r="T41" t="s">
        <v>487</v>
      </c>
      <c r="U41" t="s">
        <v>259</v>
      </c>
      <c r="V41" t="s">
        <v>246</v>
      </c>
      <c r="W41" t="s">
        <v>244</v>
      </c>
      <c r="X41" t="s">
        <v>3589</v>
      </c>
      <c r="Y41" t="s">
        <v>168</v>
      </c>
      <c r="Z41" t="s">
        <v>171</v>
      </c>
      <c r="AA41" t="s">
        <v>175</v>
      </c>
      <c r="AB41" t="s">
        <v>137</v>
      </c>
      <c r="AC41" t="s">
        <v>135</v>
      </c>
      <c r="AD41" t="s">
        <v>136</v>
      </c>
      <c r="AE41" s="7">
        <v>100000</v>
      </c>
      <c r="AF41" s="7">
        <v>4</v>
      </c>
      <c r="AG41" s="7">
        <v>400000</v>
      </c>
      <c r="AH41" s="7">
        <v>40000</v>
      </c>
      <c r="AI41" s="7">
        <v>360000</v>
      </c>
      <c r="AJ41" t="s">
        <v>135</v>
      </c>
    </row>
    <row r="42" spans="1:36" x14ac:dyDescent="0.3">
      <c r="A42" s="11" t="s">
        <v>3526</v>
      </c>
      <c r="B42">
        <v>425</v>
      </c>
      <c r="C42">
        <v>49036450</v>
      </c>
      <c r="D42">
        <v>530</v>
      </c>
      <c r="E42">
        <v>84151750</v>
      </c>
      <c r="F42">
        <v>658</v>
      </c>
      <c r="G42">
        <v>92558850</v>
      </c>
      <c r="H42">
        <v>485</v>
      </c>
      <c r="I42">
        <v>53655500</v>
      </c>
      <c r="J42">
        <v>2098</v>
      </c>
      <c r="K42">
        <v>279402550</v>
      </c>
      <c r="N42" s="8">
        <v>2026</v>
      </c>
      <c r="O42" s="8">
        <v>7</v>
      </c>
      <c r="P42" s="9">
        <v>46218</v>
      </c>
      <c r="Q42" t="s">
        <v>238</v>
      </c>
      <c r="R42" t="s">
        <v>396</v>
      </c>
      <c r="S42" t="s">
        <v>397</v>
      </c>
      <c r="T42" t="s">
        <v>398</v>
      </c>
      <c r="U42" t="s">
        <v>399</v>
      </c>
      <c r="V42" t="s">
        <v>243</v>
      </c>
      <c r="W42" t="s">
        <v>244</v>
      </c>
      <c r="X42" t="s">
        <v>3590</v>
      </c>
      <c r="Y42" t="s">
        <v>183</v>
      </c>
      <c r="Z42" t="s">
        <v>184</v>
      </c>
      <c r="AA42" t="s">
        <v>185</v>
      </c>
      <c r="AB42" t="s">
        <v>47</v>
      </c>
      <c r="AC42" t="s">
        <v>45</v>
      </c>
      <c r="AD42" t="s">
        <v>46</v>
      </c>
      <c r="AE42" s="7">
        <v>52000</v>
      </c>
      <c r="AF42" s="7">
        <v>1</v>
      </c>
      <c r="AG42" s="7">
        <v>52000</v>
      </c>
      <c r="AH42" s="7">
        <v>0</v>
      </c>
      <c r="AI42" s="7">
        <v>52000</v>
      </c>
      <c r="AJ42" t="s">
        <v>45</v>
      </c>
    </row>
    <row r="43" spans="1:36" x14ac:dyDescent="0.3">
      <c r="N43" s="8">
        <v>2026</v>
      </c>
      <c r="O43" s="8">
        <v>7</v>
      </c>
      <c r="P43" s="9">
        <v>46218</v>
      </c>
      <c r="Q43" t="s">
        <v>238</v>
      </c>
      <c r="R43" t="s">
        <v>396</v>
      </c>
      <c r="S43" t="s">
        <v>397</v>
      </c>
      <c r="T43" t="s">
        <v>3591</v>
      </c>
      <c r="U43" t="s">
        <v>1323</v>
      </c>
      <c r="V43" t="s">
        <v>246</v>
      </c>
      <c r="W43" t="s">
        <v>244</v>
      </c>
      <c r="X43" t="s">
        <v>3592</v>
      </c>
      <c r="Y43" t="s">
        <v>191</v>
      </c>
      <c r="Z43" t="s">
        <v>335</v>
      </c>
      <c r="AA43" t="s">
        <v>336</v>
      </c>
      <c r="AB43" t="s">
        <v>3534</v>
      </c>
      <c r="AC43" t="s">
        <v>3532</v>
      </c>
      <c r="AD43" t="s">
        <v>3533</v>
      </c>
      <c r="AE43" s="7">
        <v>18000</v>
      </c>
      <c r="AF43" s="7">
        <v>1</v>
      </c>
      <c r="AG43" s="7">
        <v>18000</v>
      </c>
      <c r="AH43" s="7">
        <v>0</v>
      </c>
      <c r="AI43" s="7">
        <v>18000</v>
      </c>
      <c r="AJ43" t="s">
        <v>3532</v>
      </c>
    </row>
    <row r="44" spans="1:36" x14ac:dyDescent="0.3">
      <c r="N44" s="8">
        <v>2026</v>
      </c>
      <c r="O44" s="8">
        <v>7</v>
      </c>
      <c r="P44" s="9">
        <v>46218</v>
      </c>
      <c r="Q44" t="s">
        <v>238</v>
      </c>
      <c r="R44" t="s">
        <v>396</v>
      </c>
      <c r="S44" t="s">
        <v>397</v>
      </c>
      <c r="T44" t="s">
        <v>3591</v>
      </c>
      <c r="U44" t="s">
        <v>1323</v>
      </c>
      <c r="V44" t="s">
        <v>246</v>
      </c>
      <c r="W44" t="s">
        <v>244</v>
      </c>
      <c r="X44" t="s">
        <v>3592</v>
      </c>
      <c r="Y44" t="s">
        <v>191</v>
      </c>
      <c r="Z44" t="s">
        <v>335</v>
      </c>
      <c r="AA44" t="s">
        <v>336</v>
      </c>
      <c r="AB44" t="s">
        <v>2612</v>
      </c>
      <c r="AC44" t="s">
        <v>2613</v>
      </c>
      <c r="AD44" t="s">
        <v>2614</v>
      </c>
      <c r="AE44" s="7">
        <v>18000</v>
      </c>
      <c r="AF44" s="7">
        <v>1</v>
      </c>
      <c r="AG44" s="7">
        <v>18000</v>
      </c>
      <c r="AH44" s="7">
        <v>0</v>
      </c>
      <c r="AI44" s="7">
        <v>18000</v>
      </c>
      <c r="AJ44" t="s">
        <v>2613</v>
      </c>
    </row>
    <row r="45" spans="1:36" x14ac:dyDescent="0.3">
      <c r="N45" s="8">
        <v>2026</v>
      </c>
      <c r="O45" s="8">
        <v>7</v>
      </c>
      <c r="P45" s="9">
        <v>46218</v>
      </c>
      <c r="Q45" t="s">
        <v>238</v>
      </c>
      <c r="R45" t="s">
        <v>396</v>
      </c>
      <c r="S45" t="s">
        <v>397</v>
      </c>
      <c r="T45" t="s">
        <v>3593</v>
      </c>
      <c r="U45" t="s">
        <v>3594</v>
      </c>
      <c r="V45" t="s">
        <v>246</v>
      </c>
      <c r="W45" t="s">
        <v>244</v>
      </c>
      <c r="X45" t="s">
        <v>3595</v>
      </c>
      <c r="Y45" t="s">
        <v>168</v>
      </c>
      <c r="Z45" t="s">
        <v>171</v>
      </c>
      <c r="AA45" t="s">
        <v>175</v>
      </c>
      <c r="AB45" t="s">
        <v>140</v>
      </c>
      <c r="AC45" t="s">
        <v>138</v>
      </c>
      <c r="AD45" t="s">
        <v>139</v>
      </c>
      <c r="AE45" s="7">
        <v>125000</v>
      </c>
      <c r="AF45" s="7">
        <v>1</v>
      </c>
      <c r="AG45" s="7">
        <v>125000</v>
      </c>
      <c r="AH45" s="7">
        <v>12500</v>
      </c>
      <c r="AI45" s="7">
        <v>112500</v>
      </c>
      <c r="AJ45" t="s">
        <v>138</v>
      </c>
    </row>
    <row r="46" spans="1:36" x14ac:dyDescent="0.3">
      <c r="N46" s="8">
        <v>2026</v>
      </c>
      <c r="O46" s="8">
        <v>7</v>
      </c>
      <c r="P46" s="9">
        <v>46218</v>
      </c>
      <c r="Q46" t="s">
        <v>238</v>
      </c>
      <c r="R46" t="s">
        <v>396</v>
      </c>
      <c r="S46" t="s">
        <v>397</v>
      </c>
      <c r="T46" t="s">
        <v>3596</v>
      </c>
      <c r="U46" t="s">
        <v>289</v>
      </c>
      <c r="V46" t="s">
        <v>246</v>
      </c>
      <c r="W46" t="s">
        <v>244</v>
      </c>
      <c r="X46" t="s">
        <v>3597</v>
      </c>
      <c r="Y46" t="s">
        <v>183</v>
      </c>
      <c r="Z46" t="s">
        <v>189</v>
      </c>
      <c r="AA46" t="s">
        <v>190</v>
      </c>
      <c r="AB46" t="s">
        <v>92</v>
      </c>
      <c r="AC46" t="s">
        <v>90</v>
      </c>
      <c r="AD46" t="s">
        <v>91</v>
      </c>
      <c r="AE46" s="7">
        <v>52000</v>
      </c>
      <c r="AF46" s="7">
        <v>1</v>
      </c>
      <c r="AG46" s="7">
        <v>52000</v>
      </c>
      <c r="AH46" s="7">
        <v>0</v>
      </c>
      <c r="AI46" s="7">
        <v>52000</v>
      </c>
      <c r="AJ46" t="s">
        <v>90</v>
      </c>
    </row>
    <row r="47" spans="1:36" x14ac:dyDescent="0.3">
      <c r="N47" s="8">
        <v>2026</v>
      </c>
      <c r="O47" s="8">
        <v>7</v>
      </c>
      <c r="P47" s="9">
        <v>46218</v>
      </c>
      <c r="Q47" t="s">
        <v>238</v>
      </c>
      <c r="R47" t="s">
        <v>396</v>
      </c>
      <c r="S47" t="s">
        <v>397</v>
      </c>
      <c r="T47" t="s">
        <v>2956</v>
      </c>
      <c r="U47" t="s">
        <v>2957</v>
      </c>
      <c r="V47" t="s">
        <v>246</v>
      </c>
      <c r="W47" t="s">
        <v>244</v>
      </c>
      <c r="X47" t="s">
        <v>3598</v>
      </c>
      <c r="Y47" t="s">
        <v>191</v>
      </c>
      <c r="Z47" t="s">
        <v>192</v>
      </c>
      <c r="AA47" t="s">
        <v>193</v>
      </c>
      <c r="AB47" t="s">
        <v>113</v>
      </c>
      <c r="AC47" t="s">
        <v>111</v>
      </c>
      <c r="AD47" t="s">
        <v>112</v>
      </c>
      <c r="AE47" s="7">
        <v>235000</v>
      </c>
      <c r="AF47" s="7">
        <v>1</v>
      </c>
      <c r="AG47" s="7">
        <v>235000</v>
      </c>
      <c r="AH47" s="7">
        <v>0</v>
      </c>
      <c r="AI47" s="7">
        <v>235000</v>
      </c>
      <c r="AJ47" t="s">
        <v>111</v>
      </c>
    </row>
    <row r="48" spans="1:36" x14ac:dyDescent="0.3">
      <c r="N48" s="8">
        <v>2026</v>
      </c>
      <c r="O48" s="8">
        <v>7</v>
      </c>
      <c r="P48" s="9">
        <v>46218</v>
      </c>
      <c r="Q48" t="s">
        <v>238</v>
      </c>
      <c r="R48" t="s">
        <v>415</v>
      </c>
      <c r="S48" t="s">
        <v>416</v>
      </c>
      <c r="T48" t="s">
        <v>774</v>
      </c>
      <c r="U48" t="s">
        <v>368</v>
      </c>
      <c r="V48" t="s">
        <v>246</v>
      </c>
      <c r="W48" t="s">
        <v>244</v>
      </c>
      <c r="X48" t="s">
        <v>3599</v>
      </c>
      <c r="Y48" t="s">
        <v>183</v>
      </c>
      <c r="Z48" t="s">
        <v>184</v>
      </c>
      <c r="AA48" t="s">
        <v>185</v>
      </c>
      <c r="AB48" t="s">
        <v>47</v>
      </c>
      <c r="AC48" t="s">
        <v>45</v>
      </c>
      <c r="AD48" t="s">
        <v>46</v>
      </c>
      <c r="AE48" s="7">
        <v>52000</v>
      </c>
      <c r="AF48" s="7">
        <v>1</v>
      </c>
      <c r="AG48" s="7">
        <v>52000</v>
      </c>
      <c r="AH48" s="7">
        <v>0</v>
      </c>
      <c r="AI48" s="7">
        <v>52000</v>
      </c>
      <c r="AJ48" t="s">
        <v>45</v>
      </c>
    </row>
    <row r="49" spans="14:36" x14ac:dyDescent="0.3">
      <c r="N49" s="8">
        <v>2026</v>
      </c>
      <c r="O49" s="8">
        <v>7</v>
      </c>
      <c r="P49" s="9">
        <v>46218</v>
      </c>
      <c r="Q49" t="s">
        <v>238</v>
      </c>
      <c r="R49" t="s">
        <v>415</v>
      </c>
      <c r="S49" t="s">
        <v>416</v>
      </c>
      <c r="T49" t="s">
        <v>3600</v>
      </c>
      <c r="U49" t="s">
        <v>3601</v>
      </c>
      <c r="V49" t="s">
        <v>246</v>
      </c>
      <c r="W49" t="s">
        <v>244</v>
      </c>
      <c r="X49" t="s">
        <v>3602</v>
      </c>
      <c r="Y49" t="s">
        <v>194</v>
      </c>
      <c r="Z49" t="s">
        <v>200</v>
      </c>
      <c r="AA49" t="s">
        <v>201</v>
      </c>
      <c r="AB49" t="s">
        <v>80</v>
      </c>
      <c r="AC49" t="s">
        <v>78</v>
      </c>
      <c r="AD49" t="s">
        <v>79</v>
      </c>
      <c r="AE49" s="7">
        <v>14000</v>
      </c>
      <c r="AF49" s="7">
        <v>1</v>
      </c>
      <c r="AG49" s="7">
        <v>14000</v>
      </c>
      <c r="AH49" s="7">
        <v>0</v>
      </c>
      <c r="AI49" s="7">
        <v>14000</v>
      </c>
      <c r="AJ49" t="s">
        <v>78</v>
      </c>
    </row>
    <row r="50" spans="14:36" x14ac:dyDescent="0.3">
      <c r="N50" s="8">
        <v>2026</v>
      </c>
      <c r="O50" s="8">
        <v>7</v>
      </c>
      <c r="P50" s="9">
        <v>46218</v>
      </c>
      <c r="Q50" t="s">
        <v>238</v>
      </c>
      <c r="R50" t="s">
        <v>415</v>
      </c>
      <c r="S50" t="s">
        <v>416</v>
      </c>
      <c r="T50" t="s">
        <v>3603</v>
      </c>
      <c r="U50" t="s">
        <v>3604</v>
      </c>
      <c r="V50" t="s">
        <v>249</v>
      </c>
      <c r="W50" t="s">
        <v>244</v>
      </c>
      <c r="X50" t="s">
        <v>3605</v>
      </c>
      <c r="Y50" t="s">
        <v>191</v>
      </c>
      <c r="Z50" t="s">
        <v>335</v>
      </c>
      <c r="AA50" t="s">
        <v>336</v>
      </c>
      <c r="AB50" t="s">
        <v>3534</v>
      </c>
      <c r="AC50" t="s">
        <v>3532</v>
      </c>
      <c r="AD50" t="s">
        <v>3533</v>
      </c>
      <c r="AE50" s="7">
        <v>18000</v>
      </c>
      <c r="AF50" s="7">
        <v>1</v>
      </c>
      <c r="AG50" s="7">
        <v>18000</v>
      </c>
      <c r="AH50" s="7">
        <v>0</v>
      </c>
      <c r="AI50" s="7">
        <v>18000</v>
      </c>
      <c r="AJ50" t="s">
        <v>3532</v>
      </c>
    </row>
    <row r="51" spans="14:36" x14ac:dyDescent="0.3">
      <c r="N51" s="8">
        <v>2026</v>
      </c>
      <c r="O51" s="8">
        <v>7</v>
      </c>
      <c r="P51" s="9">
        <v>46218</v>
      </c>
      <c r="Q51" t="s">
        <v>238</v>
      </c>
      <c r="R51" t="s">
        <v>415</v>
      </c>
      <c r="S51" t="s">
        <v>416</v>
      </c>
      <c r="T51" t="s">
        <v>3603</v>
      </c>
      <c r="U51" t="s">
        <v>3604</v>
      </c>
      <c r="V51" t="s">
        <v>249</v>
      </c>
      <c r="W51" t="s">
        <v>244</v>
      </c>
      <c r="X51" t="s">
        <v>3605</v>
      </c>
      <c r="Y51" t="s">
        <v>191</v>
      </c>
      <c r="Z51" t="s">
        <v>335</v>
      </c>
      <c r="AA51" t="s">
        <v>336</v>
      </c>
      <c r="AB51" t="s">
        <v>2572</v>
      </c>
      <c r="AC51" t="s">
        <v>2573</v>
      </c>
      <c r="AD51" t="s">
        <v>2574</v>
      </c>
      <c r="AE51" s="7">
        <v>16000</v>
      </c>
      <c r="AF51" s="7">
        <v>1</v>
      </c>
      <c r="AG51" s="7">
        <v>16000</v>
      </c>
      <c r="AH51" s="7">
        <v>0</v>
      </c>
      <c r="AI51" s="7">
        <v>16000</v>
      </c>
      <c r="AJ51" t="s">
        <v>2573</v>
      </c>
    </row>
    <row r="52" spans="14:36" x14ac:dyDescent="0.3">
      <c r="N52" s="8">
        <v>2026</v>
      </c>
      <c r="O52" s="8">
        <v>7</v>
      </c>
      <c r="P52" s="9">
        <v>46218</v>
      </c>
      <c r="Q52" t="s">
        <v>238</v>
      </c>
      <c r="R52" t="s">
        <v>415</v>
      </c>
      <c r="S52" t="s">
        <v>416</v>
      </c>
      <c r="T52" t="s">
        <v>3603</v>
      </c>
      <c r="U52" t="s">
        <v>3604</v>
      </c>
      <c r="V52" t="s">
        <v>249</v>
      </c>
      <c r="W52" t="s">
        <v>244</v>
      </c>
      <c r="X52" t="s">
        <v>3605</v>
      </c>
      <c r="Y52" t="s">
        <v>191</v>
      </c>
      <c r="Z52" t="s">
        <v>335</v>
      </c>
      <c r="AA52" t="s">
        <v>336</v>
      </c>
      <c r="AB52" t="s">
        <v>2575</v>
      </c>
      <c r="AC52" t="s">
        <v>2576</v>
      </c>
      <c r="AD52" t="s">
        <v>2577</v>
      </c>
      <c r="AE52" s="7">
        <v>16000</v>
      </c>
      <c r="AF52" s="7">
        <v>1</v>
      </c>
      <c r="AG52" s="7">
        <v>16000</v>
      </c>
      <c r="AH52" s="7">
        <v>0</v>
      </c>
      <c r="AI52" s="7">
        <v>16000</v>
      </c>
      <c r="AJ52" t="s">
        <v>2576</v>
      </c>
    </row>
    <row r="53" spans="14:36" x14ac:dyDescent="0.3">
      <c r="N53" s="8">
        <v>2026</v>
      </c>
      <c r="O53" s="8">
        <v>7</v>
      </c>
      <c r="P53" s="9">
        <v>46218</v>
      </c>
      <c r="Q53" t="s">
        <v>238</v>
      </c>
      <c r="R53" t="s">
        <v>425</v>
      </c>
      <c r="S53" t="s">
        <v>426</v>
      </c>
      <c r="T53" t="s">
        <v>3606</v>
      </c>
      <c r="U53" t="s">
        <v>297</v>
      </c>
      <c r="V53" t="s">
        <v>246</v>
      </c>
      <c r="W53" t="s">
        <v>244</v>
      </c>
      <c r="X53" t="s">
        <v>3607</v>
      </c>
      <c r="Y53" t="s">
        <v>191</v>
      </c>
      <c r="Z53" t="s">
        <v>192</v>
      </c>
      <c r="AA53" t="s">
        <v>193</v>
      </c>
      <c r="AB53" t="s">
        <v>107</v>
      </c>
      <c r="AC53" t="s">
        <v>105</v>
      </c>
      <c r="AD53" t="s">
        <v>106</v>
      </c>
      <c r="AE53" s="7">
        <v>235000</v>
      </c>
      <c r="AF53" s="7">
        <v>1</v>
      </c>
      <c r="AG53" s="7">
        <v>235000</v>
      </c>
      <c r="AH53" s="7">
        <v>0</v>
      </c>
      <c r="AI53" s="7">
        <v>235000</v>
      </c>
      <c r="AJ53" t="s">
        <v>105</v>
      </c>
    </row>
    <row r="54" spans="14:36" x14ac:dyDescent="0.3">
      <c r="N54" s="8">
        <v>2026</v>
      </c>
      <c r="O54" s="8">
        <v>7</v>
      </c>
      <c r="P54" s="9">
        <v>46217</v>
      </c>
      <c r="Q54" t="s">
        <v>238</v>
      </c>
      <c r="R54" t="s">
        <v>239</v>
      </c>
      <c r="S54" t="s">
        <v>240</v>
      </c>
      <c r="T54" t="s">
        <v>3608</v>
      </c>
      <c r="U54" t="s">
        <v>300</v>
      </c>
      <c r="V54" t="s">
        <v>246</v>
      </c>
      <c r="W54" t="s">
        <v>244</v>
      </c>
      <c r="X54" t="s">
        <v>3609</v>
      </c>
      <c r="Y54" t="s">
        <v>194</v>
      </c>
      <c r="Z54" t="s">
        <v>195</v>
      </c>
      <c r="AA54" t="s">
        <v>196</v>
      </c>
      <c r="AB54" t="s">
        <v>68</v>
      </c>
      <c r="AC54" t="s">
        <v>66</v>
      </c>
      <c r="AD54" t="s">
        <v>67</v>
      </c>
      <c r="AE54" s="7">
        <v>360000</v>
      </c>
      <c r="AF54" s="7">
        <v>1</v>
      </c>
      <c r="AG54" s="7">
        <v>360000</v>
      </c>
      <c r="AH54" s="7">
        <v>0</v>
      </c>
      <c r="AI54" s="7">
        <v>360000</v>
      </c>
      <c r="AJ54" t="s">
        <v>66</v>
      </c>
    </row>
    <row r="55" spans="14:36" x14ac:dyDescent="0.3">
      <c r="N55" s="8">
        <v>2026</v>
      </c>
      <c r="O55" s="8">
        <v>7</v>
      </c>
      <c r="P55" s="9">
        <v>46217</v>
      </c>
      <c r="Q55" t="s">
        <v>238</v>
      </c>
      <c r="R55" t="s">
        <v>239</v>
      </c>
      <c r="S55" t="s">
        <v>240</v>
      </c>
      <c r="T55" t="s">
        <v>2456</v>
      </c>
      <c r="U55" t="s">
        <v>3610</v>
      </c>
      <c r="V55" t="s">
        <v>246</v>
      </c>
      <c r="W55" t="s">
        <v>244</v>
      </c>
      <c r="X55" t="s">
        <v>3611</v>
      </c>
      <c r="Y55" t="s">
        <v>191</v>
      </c>
      <c r="Z55" t="s">
        <v>335</v>
      </c>
      <c r="AA55" t="s">
        <v>336</v>
      </c>
      <c r="AB55" t="s">
        <v>2551</v>
      </c>
      <c r="AC55" t="s">
        <v>2552</v>
      </c>
      <c r="AD55" t="s">
        <v>2553</v>
      </c>
      <c r="AE55" s="7">
        <v>23000</v>
      </c>
      <c r="AF55" s="7">
        <v>2</v>
      </c>
      <c r="AG55" s="7">
        <v>46000</v>
      </c>
      <c r="AH55" s="7">
        <v>0</v>
      </c>
      <c r="AI55" s="7">
        <v>46000</v>
      </c>
      <c r="AJ55" t="s">
        <v>2552</v>
      </c>
    </row>
    <row r="56" spans="14:36" x14ac:dyDescent="0.3">
      <c r="N56" s="8">
        <v>2026</v>
      </c>
      <c r="O56" s="8">
        <v>7</v>
      </c>
      <c r="P56" s="9">
        <v>46217</v>
      </c>
      <c r="Q56" t="s">
        <v>238</v>
      </c>
      <c r="R56" t="s">
        <v>239</v>
      </c>
      <c r="S56" t="s">
        <v>240</v>
      </c>
      <c r="T56" t="s">
        <v>726</v>
      </c>
      <c r="U56" t="s">
        <v>3612</v>
      </c>
      <c r="V56" t="s">
        <v>246</v>
      </c>
      <c r="W56" t="s">
        <v>244</v>
      </c>
      <c r="X56" t="s">
        <v>3613</v>
      </c>
      <c r="Y56" t="s">
        <v>191</v>
      </c>
      <c r="Z56" t="s">
        <v>192</v>
      </c>
      <c r="AA56" t="s">
        <v>193</v>
      </c>
      <c r="AB56" t="s">
        <v>110</v>
      </c>
      <c r="AC56" t="s">
        <v>108</v>
      </c>
      <c r="AD56" t="s">
        <v>109</v>
      </c>
      <c r="AE56" s="7">
        <v>235000</v>
      </c>
      <c r="AF56" s="7">
        <v>1</v>
      </c>
      <c r="AG56" s="7">
        <v>235000</v>
      </c>
      <c r="AH56" s="7">
        <v>0</v>
      </c>
      <c r="AI56" s="7">
        <v>235000</v>
      </c>
      <c r="AJ56" t="s">
        <v>108</v>
      </c>
    </row>
    <row r="57" spans="14:36" x14ac:dyDescent="0.3">
      <c r="N57" s="8">
        <v>2026</v>
      </c>
      <c r="O57" s="8">
        <v>7</v>
      </c>
      <c r="P57" s="9">
        <v>46217</v>
      </c>
      <c r="Q57" t="s">
        <v>238</v>
      </c>
      <c r="R57" t="s">
        <v>279</v>
      </c>
      <c r="S57" t="s">
        <v>280</v>
      </c>
      <c r="T57" t="s">
        <v>3614</v>
      </c>
      <c r="U57" t="s">
        <v>3615</v>
      </c>
      <c r="V57" t="s">
        <v>249</v>
      </c>
      <c r="W57" t="s">
        <v>244</v>
      </c>
      <c r="X57" t="s">
        <v>3616</v>
      </c>
      <c r="Y57" t="s">
        <v>191</v>
      </c>
      <c r="Z57" t="s">
        <v>192</v>
      </c>
      <c r="AA57" t="s">
        <v>193</v>
      </c>
      <c r="AB57" t="s">
        <v>104</v>
      </c>
      <c r="AC57" t="s">
        <v>102</v>
      </c>
      <c r="AD57" t="s">
        <v>103</v>
      </c>
      <c r="AE57" s="7">
        <v>235000</v>
      </c>
      <c r="AF57" s="7">
        <v>1</v>
      </c>
      <c r="AG57" s="7">
        <v>235000</v>
      </c>
      <c r="AH57" s="7">
        <v>0</v>
      </c>
      <c r="AI57" s="7">
        <v>235000</v>
      </c>
      <c r="AJ57" t="s">
        <v>102</v>
      </c>
    </row>
    <row r="58" spans="14:36" x14ac:dyDescent="0.3">
      <c r="N58" s="8">
        <v>2026</v>
      </c>
      <c r="O58" s="8">
        <v>7</v>
      </c>
      <c r="P58" s="9">
        <v>46217</v>
      </c>
      <c r="Q58" t="s">
        <v>238</v>
      </c>
      <c r="R58" t="s">
        <v>279</v>
      </c>
      <c r="S58" t="s">
        <v>280</v>
      </c>
      <c r="T58" t="s">
        <v>3617</v>
      </c>
      <c r="U58" t="s">
        <v>3618</v>
      </c>
      <c r="V58" t="s">
        <v>246</v>
      </c>
      <c r="W58" t="s">
        <v>244</v>
      </c>
      <c r="X58" t="s">
        <v>3619</v>
      </c>
      <c r="Y58" t="s">
        <v>168</v>
      </c>
      <c r="Z58" t="s">
        <v>171</v>
      </c>
      <c r="AA58" t="s">
        <v>173</v>
      </c>
      <c r="AB58" t="s">
        <v>29</v>
      </c>
      <c r="AC58" t="s">
        <v>27</v>
      </c>
      <c r="AD58" t="s">
        <v>28</v>
      </c>
      <c r="AE58" s="7">
        <v>575000</v>
      </c>
      <c r="AF58" s="7">
        <v>1</v>
      </c>
      <c r="AG58" s="7">
        <v>575000</v>
      </c>
      <c r="AH58" s="7">
        <v>0</v>
      </c>
      <c r="AI58" s="7">
        <v>575000</v>
      </c>
      <c r="AJ58" t="s">
        <v>27</v>
      </c>
    </row>
    <row r="59" spans="14:36" x14ac:dyDescent="0.3">
      <c r="N59" s="8">
        <v>2026</v>
      </c>
      <c r="O59" s="8">
        <v>7</v>
      </c>
      <c r="P59" s="9">
        <v>46217</v>
      </c>
      <c r="Q59" t="s">
        <v>238</v>
      </c>
      <c r="R59" t="s">
        <v>279</v>
      </c>
      <c r="S59" t="s">
        <v>280</v>
      </c>
      <c r="T59" t="s">
        <v>1683</v>
      </c>
      <c r="U59" t="s">
        <v>1684</v>
      </c>
      <c r="V59" t="s">
        <v>246</v>
      </c>
      <c r="W59" t="s">
        <v>244</v>
      </c>
      <c r="X59" t="s">
        <v>3620</v>
      </c>
      <c r="Y59" t="s">
        <v>183</v>
      </c>
      <c r="Z59" t="s">
        <v>184</v>
      </c>
      <c r="AA59" t="s">
        <v>185</v>
      </c>
      <c r="AB59" t="s">
        <v>47</v>
      </c>
      <c r="AC59" t="s">
        <v>45</v>
      </c>
      <c r="AD59" t="s">
        <v>46</v>
      </c>
      <c r="AE59" s="7">
        <v>52000</v>
      </c>
      <c r="AF59" s="7">
        <v>1</v>
      </c>
      <c r="AG59" s="7">
        <v>52000</v>
      </c>
      <c r="AH59" s="7">
        <v>0</v>
      </c>
      <c r="AI59" s="7">
        <v>52000</v>
      </c>
      <c r="AJ59" t="s">
        <v>45</v>
      </c>
    </row>
    <row r="60" spans="14:36" x14ac:dyDescent="0.3">
      <c r="N60" s="8">
        <v>2026</v>
      </c>
      <c r="O60" s="8">
        <v>7</v>
      </c>
      <c r="P60" s="9">
        <v>46217</v>
      </c>
      <c r="Q60" t="s">
        <v>238</v>
      </c>
      <c r="R60" t="s">
        <v>279</v>
      </c>
      <c r="S60" t="s">
        <v>280</v>
      </c>
      <c r="T60" t="s">
        <v>3621</v>
      </c>
      <c r="U60" t="s">
        <v>3622</v>
      </c>
      <c r="V60" t="s">
        <v>249</v>
      </c>
      <c r="W60" t="s">
        <v>244</v>
      </c>
      <c r="X60" t="s">
        <v>3623</v>
      </c>
      <c r="Y60" t="s">
        <v>191</v>
      </c>
      <c r="Z60" t="s">
        <v>335</v>
      </c>
      <c r="AA60" t="s">
        <v>336</v>
      </c>
      <c r="AB60" t="s">
        <v>2551</v>
      </c>
      <c r="AC60" t="s">
        <v>2552</v>
      </c>
      <c r="AD60" t="s">
        <v>2553</v>
      </c>
      <c r="AE60" s="7">
        <v>23000</v>
      </c>
      <c r="AF60" s="7">
        <v>1</v>
      </c>
      <c r="AG60" s="7">
        <v>23000</v>
      </c>
      <c r="AH60" s="7">
        <v>0</v>
      </c>
      <c r="AI60" s="7">
        <v>23000</v>
      </c>
      <c r="AJ60" t="s">
        <v>2552</v>
      </c>
    </row>
    <row r="61" spans="14:36" x14ac:dyDescent="0.3">
      <c r="N61" s="8">
        <v>2026</v>
      </c>
      <c r="O61" s="8">
        <v>7</v>
      </c>
      <c r="P61" s="9">
        <v>46217</v>
      </c>
      <c r="Q61" t="s">
        <v>238</v>
      </c>
      <c r="R61" t="s">
        <v>303</v>
      </c>
      <c r="S61" t="s">
        <v>304</v>
      </c>
      <c r="T61" t="s">
        <v>3624</v>
      </c>
      <c r="U61" t="s">
        <v>368</v>
      </c>
      <c r="V61" t="s">
        <v>246</v>
      </c>
      <c r="W61" t="s">
        <v>244</v>
      </c>
      <c r="X61" t="s">
        <v>3625</v>
      </c>
      <c r="Y61" t="s">
        <v>191</v>
      </c>
      <c r="Z61" t="s">
        <v>192</v>
      </c>
      <c r="AA61" t="s">
        <v>193</v>
      </c>
      <c r="AB61" t="s">
        <v>113</v>
      </c>
      <c r="AC61" t="s">
        <v>111</v>
      </c>
      <c r="AD61" t="s">
        <v>112</v>
      </c>
      <c r="AE61" s="7">
        <v>235000</v>
      </c>
      <c r="AF61" s="7">
        <v>1</v>
      </c>
      <c r="AG61" s="7">
        <v>235000</v>
      </c>
      <c r="AH61" s="7">
        <v>0</v>
      </c>
      <c r="AI61" s="7">
        <v>235000</v>
      </c>
      <c r="AJ61" t="s">
        <v>111</v>
      </c>
    </row>
    <row r="62" spans="14:36" x14ac:dyDescent="0.3">
      <c r="N62" s="8">
        <v>2026</v>
      </c>
      <c r="O62" s="8">
        <v>7</v>
      </c>
      <c r="P62" s="9">
        <v>46217</v>
      </c>
      <c r="Q62" t="s">
        <v>238</v>
      </c>
      <c r="R62" t="s">
        <v>303</v>
      </c>
      <c r="S62" t="s">
        <v>304</v>
      </c>
      <c r="T62" t="s">
        <v>642</v>
      </c>
      <c r="U62" t="s">
        <v>643</v>
      </c>
      <c r="V62" t="s">
        <v>246</v>
      </c>
      <c r="W62" t="s">
        <v>244</v>
      </c>
      <c r="X62" t="s">
        <v>3626</v>
      </c>
      <c r="Y62" t="s">
        <v>191</v>
      </c>
      <c r="Z62" t="s">
        <v>335</v>
      </c>
      <c r="AA62" t="s">
        <v>337</v>
      </c>
      <c r="AB62" t="s">
        <v>2578</v>
      </c>
      <c r="AC62" t="s">
        <v>2579</v>
      </c>
      <c r="AD62" t="s">
        <v>2580</v>
      </c>
      <c r="AE62" s="7">
        <v>18000</v>
      </c>
      <c r="AF62" s="7">
        <v>1</v>
      </c>
      <c r="AG62" s="7">
        <v>18000</v>
      </c>
      <c r="AH62" s="7">
        <v>0</v>
      </c>
      <c r="AI62" s="7">
        <v>18000</v>
      </c>
      <c r="AJ62" t="s">
        <v>2579</v>
      </c>
    </row>
    <row r="63" spans="14:36" x14ac:dyDescent="0.3">
      <c r="N63" s="8">
        <v>2026</v>
      </c>
      <c r="O63" s="8">
        <v>7</v>
      </c>
      <c r="P63" s="9">
        <v>46217</v>
      </c>
      <c r="Q63" t="s">
        <v>238</v>
      </c>
      <c r="R63" t="s">
        <v>303</v>
      </c>
      <c r="S63" t="s">
        <v>304</v>
      </c>
      <c r="T63" t="s">
        <v>3627</v>
      </c>
      <c r="U63" t="s">
        <v>3628</v>
      </c>
      <c r="V63" t="s">
        <v>246</v>
      </c>
      <c r="W63" t="s">
        <v>244</v>
      </c>
      <c r="X63" t="s">
        <v>3629</v>
      </c>
      <c r="Y63" t="s">
        <v>191</v>
      </c>
      <c r="Z63" t="s">
        <v>335</v>
      </c>
      <c r="AA63" t="s">
        <v>337</v>
      </c>
      <c r="AB63" t="s">
        <v>2557</v>
      </c>
      <c r="AC63" t="s">
        <v>2558</v>
      </c>
      <c r="AD63" t="s">
        <v>2559</v>
      </c>
      <c r="AE63" s="7">
        <v>24000</v>
      </c>
      <c r="AF63" s="7">
        <v>1</v>
      </c>
      <c r="AG63" s="7">
        <v>24000</v>
      </c>
      <c r="AH63" s="7">
        <v>0</v>
      </c>
      <c r="AI63" s="7">
        <v>24000</v>
      </c>
      <c r="AJ63" t="s">
        <v>2558</v>
      </c>
    </row>
    <row r="64" spans="14:36" x14ac:dyDescent="0.3">
      <c r="N64" s="8">
        <v>2026</v>
      </c>
      <c r="O64" s="8">
        <v>7</v>
      </c>
      <c r="P64" s="9">
        <v>46217</v>
      </c>
      <c r="Q64" t="s">
        <v>238</v>
      </c>
      <c r="R64" t="s">
        <v>351</v>
      </c>
      <c r="S64" t="s">
        <v>352</v>
      </c>
      <c r="T64" t="s">
        <v>3630</v>
      </c>
      <c r="U64" t="s">
        <v>3631</v>
      </c>
      <c r="V64" t="s">
        <v>249</v>
      </c>
      <c r="W64" t="s">
        <v>244</v>
      </c>
      <c r="X64" t="s">
        <v>3632</v>
      </c>
      <c r="Y64" t="s">
        <v>168</v>
      </c>
      <c r="Z64" t="s">
        <v>181</v>
      </c>
      <c r="AA64" t="s">
        <v>182</v>
      </c>
      <c r="AB64" t="s">
        <v>50</v>
      </c>
      <c r="AC64" t="s">
        <v>48</v>
      </c>
      <c r="AD64" t="s">
        <v>49</v>
      </c>
      <c r="AE64" s="7">
        <v>49000</v>
      </c>
      <c r="AF64" s="7">
        <v>1</v>
      </c>
      <c r="AG64" s="7">
        <v>49000</v>
      </c>
      <c r="AH64" s="7">
        <v>0</v>
      </c>
      <c r="AI64" s="7">
        <v>49000</v>
      </c>
      <c r="AJ64" t="s">
        <v>48</v>
      </c>
    </row>
    <row r="65" spans="14:36" x14ac:dyDescent="0.3">
      <c r="N65" s="8">
        <v>2026</v>
      </c>
      <c r="O65" s="8">
        <v>7</v>
      </c>
      <c r="P65" s="9">
        <v>46217</v>
      </c>
      <c r="Q65" t="s">
        <v>238</v>
      </c>
      <c r="R65" t="s">
        <v>351</v>
      </c>
      <c r="S65" t="s">
        <v>352</v>
      </c>
      <c r="T65" t="s">
        <v>3633</v>
      </c>
      <c r="U65" t="s">
        <v>3634</v>
      </c>
      <c r="V65" t="s">
        <v>246</v>
      </c>
      <c r="W65" t="s">
        <v>244</v>
      </c>
      <c r="X65" t="s">
        <v>3635</v>
      </c>
      <c r="Y65" t="s">
        <v>168</v>
      </c>
      <c r="Z65" t="s">
        <v>171</v>
      </c>
      <c r="AA65" t="s">
        <v>175</v>
      </c>
      <c r="AB65" t="s">
        <v>140</v>
      </c>
      <c r="AC65" t="s">
        <v>138</v>
      </c>
      <c r="AD65" t="s">
        <v>139</v>
      </c>
      <c r="AE65" s="7">
        <v>125000</v>
      </c>
      <c r="AF65" s="7">
        <v>1</v>
      </c>
      <c r="AG65" s="7">
        <v>125000</v>
      </c>
      <c r="AH65" s="7">
        <v>12500</v>
      </c>
      <c r="AI65" s="7">
        <v>112500</v>
      </c>
      <c r="AJ65" t="s">
        <v>138</v>
      </c>
    </row>
    <row r="66" spans="14:36" x14ac:dyDescent="0.3">
      <c r="N66" s="8">
        <v>2026</v>
      </c>
      <c r="O66" s="8">
        <v>7</v>
      </c>
      <c r="P66" s="9">
        <v>46217</v>
      </c>
      <c r="Q66" t="s">
        <v>238</v>
      </c>
      <c r="R66" t="s">
        <v>351</v>
      </c>
      <c r="S66" t="s">
        <v>352</v>
      </c>
      <c r="T66" t="s">
        <v>3636</v>
      </c>
      <c r="U66" t="s">
        <v>353</v>
      </c>
      <c r="V66" t="s">
        <v>249</v>
      </c>
      <c r="W66" t="s">
        <v>244</v>
      </c>
      <c r="X66" t="s">
        <v>3637</v>
      </c>
      <c r="Y66" t="s">
        <v>168</v>
      </c>
      <c r="Z66" t="s">
        <v>179</v>
      </c>
      <c r="AA66" t="s">
        <v>180</v>
      </c>
      <c r="AB66" t="s">
        <v>146</v>
      </c>
      <c r="AC66" t="s">
        <v>144</v>
      </c>
      <c r="AD66" t="s">
        <v>145</v>
      </c>
      <c r="AE66" s="7">
        <v>150000</v>
      </c>
      <c r="AF66" s="7">
        <v>1</v>
      </c>
      <c r="AG66" s="7">
        <v>150000</v>
      </c>
      <c r="AH66" s="7">
        <v>15000</v>
      </c>
      <c r="AI66" s="7">
        <v>135000</v>
      </c>
      <c r="AJ66" t="s">
        <v>144</v>
      </c>
    </row>
    <row r="67" spans="14:36" x14ac:dyDescent="0.3">
      <c r="N67" s="8">
        <v>2026</v>
      </c>
      <c r="O67" s="8">
        <v>7</v>
      </c>
      <c r="P67" s="9">
        <v>46217</v>
      </c>
      <c r="Q67" t="s">
        <v>238</v>
      </c>
      <c r="R67" t="s">
        <v>351</v>
      </c>
      <c r="S67" t="s">
        <v>352</v>
      </c>
      <c r="T67" t="s">
        <v>3360</v>
      </c>
      <c r="U67" t="s">
        <v>3638</v>
      </c>
      <c r="V67" t="s">
        <v>246</v>
      </c>
      <c r="W67" t="s">
        <v>244</v>
      </c>
      <c r="X67" t="s">
        <v>3639</v>
      </c>
      <c r="Y67" t="s">
        <v>191</v>
      </c>
      <c r="Z67" t="s">
        <v>335</v>
      </c>
      <c r="AA67" t="s">
        <v>336</v>
      </c>
      <c r="AB67" t="s">
        <v>2612</v>
      </c>
      <c r="AC67" t="s">
        <v>2613</v>
      </c>
      <c r="AD67" t="s">
        <v>2614</v>
      </c>
      <c r="AE67" s="7">
        <v>18000</v>
      </c>
      <c r="AF67" s="7">
        <v>2</v>
      </c>
      <c r="AG67" s="7">
        <v>36000</v>
      </c>
      <c r="AH67" s="7">
        <v>0</v>
      </c>
      <c r="AI67" s="7">
        <v>36000</v>
      </c>
      <c r="AJ67" t="s">
        <v>2613</v>
      </c>
    </row>
    <row r="68" spans="14:36" x14ac:dyDescent="0.3">
      <c r="N68" s="8">
        <v>2026</v>
      </c>
      <c r="O68" s="8">
        <v>7</v>
      </c>
      <c r="P68" s="9">
        <v>46217</v>
      </c>
      <c r="Q68" t="s">
        <v>238</v>
      </c>
      <c r="R68" t="s">
        <v>351</v>
      </c>
      <c r="S68" t="s">
        <v>352</v>
      </c>
      <c r="T68" t="s">
        <v>3360</v>
      </c>
      <c r="U68" t="s">
        <v>3638</v>
      </c>
      <c r="V68" t="s">
        <v>246</v>
      </c>
      <c r="W68" t="s">
        <v>244</v>
      </c>
      <c r="X68" t="s">
        <v>3639</v>
      </c>
      <c r="Y68" t="s">
        <v>191</v>
      </c>
      <c r="Z68" t="s">
        <v>335</v>
      </c>
      <c r="AA68" t="s">
        <v>336</v>
      </c>
      <c r="AB68" t="s">
        <v>2582</v>
      </c>
      <c r="AC68" t="s">
        <v>2583</v>
      </c>
      <c r="AD68" t="s">
        <v>2584</v>
      </c>
      <c r="AE68" s="7">
        <v>18000</v>
      </c>
      <c r="AF68" s="7">
        <v>2</v>
      </c>
      <c r="AG68" s="7">
        <v>36000</v>
      </c>
      <c r="AH68" s="7">
        <v>0</v>
      </c>
      <c r="AI68" s="7">
        <v>36000</v>
      </c>
      <c r="AJ68" t="s">
        <v>2583</v>
      </c>
    </row>
    <row r="69" spans="14:36" x14ac:dyDescent="0.3">
      <c r="N69" s="8">
        <v>2026</v>
      </c>
      <c r="O69" s="8">
        <v>7</v>
      </c>
      <c r="P69" s="9">
        <v>46217</v>
      </c>
      <c r="Q69" t="s">
        <v>238</v>
      </c>
      <c r="R69" t="s">
        <v>374</v>
      </c>
      <c r="S69" t="s">
        <v>375</v>
      </c>
      <c r="T69" t="s">
        <v>376</v>
      </c>
      <c r="U69" t="s">
        <v>377</v>
      </c>
      <c r="V69" t="s">
        <v>243</v>
      </c>
      <c r="W69" t="s">
        <v>244</v>
      </c>
      <c r="X69" t="s">
        <v>3640</v>
      </c>
      <c r="Y69" t="s">
        <v>191</v>
      </c>
      <c r="Z69" t="s">
        <v>335</v>
      </c>
      <c r="AA69" t="s">
        <v>336</v>
      </c>
      <c r="AB69" t="s">
        <v>3534</v>
      </c>
      <c r="AC69" t="s">
        <v>3532</v>
      </c>
      <c r="AD69" t="s">
        <v>3533</v>
      </c>
      <c r="AE69" s="7">
        <v>18000</v>
      </c>
      <c r="AF69" s="7">
        <v>1</v>
      </c>
      <c r="AG69" s="7">
        <v>18000</v>
      </c>
      <c r="AH69" s="7">
        <v>0</v>
      </c>
      <c r="AI69" s="7">
        <v>18000</v>
      </c>
      <c r="AJ69" t="s">
        <v>3532</v>
      </c>
    </row>
    <row r="70" spans="14:36" x14ac:dyDescent="0.3">
      <c r="N70" s="8">
        <v>2026</v>
      </c>
      <c r="O70" s="8">
        <v>7</v>
      </c>
      <c r="P70" s="9">
        <v>46217</v>
      </c>
      <c r="Q70" t="s">
        <v>238</v>
      </c>
      <c r="R70" t="s">
        <v>374</v>
      </c>
      <c r="S70" t="s">
        <v>375</v>
      </c>
      <c r="T70" t="s">
        <v>376</v>
      </c>
      <c r="U70" t="s">
        <v>377</v>
      </c>
      <c r="V70" t="s">
        <v>243</v>
      </c>
      <c r="W70" t="s">
        <v>244</v>
      </c>
      <c r="X70" t="s">
        <v>3640</v>
      </c>
      <c r="Y70" t="s">
        <v>191</v>
      </c>
      <c r="Z70" t="s">
        <v>335</v>
      </c>
      <c r="AA70" t="s">
        <v>336</v>
      </c>
      <c r="AB70" t="s">
        <v>2612</v>
      </c>
      <c r="AC70" t="s">
        <v>2613</v>
      </c>
      <c r="AD70" t="s">
        <v>2614</v>
      </c>
      <c r="AE70" s="7">
        <v>18000</v>
      </c>
      <c r="AF70" s="7">
        <v>1</v>
      </c>
      <c r="AG70" s="7">
        <v>18000</v>
      </c>
      <c r="AH70" s="7">
        <v>0</v>
      </c>
      <c r="AI70" s="7">
        <v>18000</v>
      </c>
      <c r="AJ70" t="s">
        <v>2613</v>
      </c>
    </row>
    <row r="71" spans="14:36" x14ac:dyDescent="0.3">
      <c r="N71" s="8">
        <v>2026</v>
      </c>
      <c r="O71" s="8">
        <v>7</v>
      </c>
      <c r="P71" s="9">
        <v>46217</v>
      </c>
      <c r="Q71" t="s">
        <v>238</v>
      </c>
      <c r="R71" t="s">
        <v>374</v>
      </c>
      <c r="S71" t="s">
        <v>375</v>
      </c>
      <c r="T71" t="s">
        <v>376</v>
      </c>
      <c r="U71" t="s">
        <v>377</v>
      </c>
      <c r="V71" t="s">
        <v>243</v>
      </c>
      <c r="W71" t="s">
        <v>244</v>
      </c>
      <c r="X71" t="s">
        <v>3640</v>
      </c>
      <c r="Y71" t="s">
        <v>191</v>
      </c>
      <c r="Z71" t="s">
        <v>335</v>
      </c>
      <c r="AA71" t="s">
        <v>336</v>
      </c>
      <c r="AB71" t="s">
        <v>2572</v>
      </c>
      <c r="AC71" t="s">
        <v>2573</v>
      </c>
      <c r="AD71" t="s">
        <v>2574</v>
      </c>
      <c r="AE71" s="7">
        <v>16000</v>
      </c>
      <c r="AF71" s="7">
        <v>1</v>
      </c>
      <c r="AG71" s="7">
        <v>16000</v>
      </c>
      <c r="AH71" s="7">
        <v>0</v>
      </c>
      <c r="AI71" s="7">
        <v>16000</v>
      </c>
      <c r="AJ71" t="s">
        <v>2573</v>
      </c>
    </row>
    <row r="72" spans="14:36" x14ac:dyDescent="0.3">
      <c r="N72" s="8">
        <v>2026</v>
      </c>
      <c r="O72" s="8">
        <v>7</v>
      </c>
      <c r="P72" s="9">
        <v>46217</v>
      </c>
      <c r="Q72" t="s">
        <v>238</v>
      </c>
      <c r="R72" t="s">
        <v>374</v>
      </c>
      <c r="S72" t="s">
        <v>375</v>
      </c>
      <c r="T72" t="s">
        <v>376</v>
      </c>
      <c r="U72" t="s">
        <v>377</v>
      </c>
      <c r="V72" t="s">
        <v>243</v>
      </c>
      <c r="W72" t="s">
        <v>244</v>
      </c>
      <c r="X72" t="s">
        <v>3641</v>
      </c>
      <c r="Y72" t="s">
        <v>168</v>
      </c>
      <c r="Z72" t="s">
        <v>169</v>
      </c>
      <c r="AA72" t="s">
        <v>170</v>
      </c>
      <c r="AB72" t="s">
        <v>131</v>
      </c>
      <c r="AC72" t="s">
        <v>129</v>
      </c>
      <c r="AD72" t="s">
        <v>130</v>
      </c>
      <c r="AE72" s="7">
        <v>535000</v>
      </c>
      <c r="AF72" s="7">
        <v>1</v>
      </c>
      <c r="AG72" s="7">
        <v>535000</v>
      </c>
      <c r="AH72" s="7">
        <v>0</v>
      </c>
      <c r="AI72" s="7">
        <v>535000</v>
      </c>
      <c r="AJ72" t="s">
        <v>129</v>
      </c>
    </row>
    <row r="73" spans="14:36" x14ac:dyDescent="0.3">
      <c r="N73" s="8">
        <v>2026</v>
      </c>
      <c r="O73" s="8">
        <v>7</v>
      </c>
      <c r="P73" s="9">
        <v>46217</v>
      </c>
      <c r="Q73" t="s">
        <v>238</v>
      </c>
      <c r="R73" t="s">
        <v>374</v>
      </c>
      <c r="S73" t="s">
        <v>375</v>
      </c>
      <c r="T73" t="s">
        <v>771</v>
      </c>
      <c r="U73" t="s">
        <v>3642</v>
      </c>
      <c r="V73" t="s">
        <v>246</v>
      </c>
      <c r="W73" t="s">
        <v>244</v>
      </c>
      <c r="X73" t="s">
        <v>3643</v>
      </c>
      <c r="Y73" t="s">
        <v>191</v>
      </c>
      <c r="Z73" t="s">
        <v>192</v>
      </c>
      <c r="AA73" t="s">
        <v>193</v>
      </c>
      <c r="AB73" t="s">
        <v>113</v>
      </c>
      <c r="AC73" t="s">
        <v>111</v>
      </c>
      <c r="AD73" t="s">
        <v>112</v>
      </c>
      <c r="AE73" s="7">
        <v>235000</v>
      </c>
      <c r="AF73" s="7">
        <v>1</v>
      </c>
      <c r="AG73" s="7">
        <v>235000</v>
      </c>
      <c r="AH73" s="7">
        <v>0</v>
      </c>
      <c r="AI73" s="7">
        <v>235000</v>
      </c>
      <c r="AJ73" t="s">
        <v>111</v>
      </c>
    </row>
    <row r="74" spans="14:36" x14ac:dyDescent="0.3">
      <c r="N74" s="8">
        <v>2026</v>
      </c>
      <c r="O74" s="8">
        <v>7</v>
      </c>
      <c r="P74" s="9">
        <v>46217</v>
      </c>
      <c r="Q74" t="s">
        <v>238</v>
      </c>
      <c r="R74" t="s">
        <v>374</v>
      </c>
      <c r="S74" t="s">
        <v>375</v>
      </c>
      <c r="T74" t="s">
        <v>3644</v>
      </c>
      <c r="U74" t="s">
        <v>3645</v>
      </c>
      <c r="V74" t="s">
        <v>246</v>
      </c>
      <c r="W74" t="s">
        <v>244</v>
      </c>
      <c r="X74" t="s">
        <v>3646</v>
      </c>
      <c r="Y74" t="s">
        <v>191</v>
      </c>
      <c r="Z74" t="s">
        <v>335</v>
      </c>
      <c r="AA74" t="s">
        <v>336</v>
      </c>
      <c r="AB74" t="s">
        <v>2582</v>
      </c>
      <c r="AC74" t="s">
        <v>2583</v>
      </c>
      <c r="AD74" t="s">
        <v>2584</v>
      </c>
      <c r="AE74" s="7">
        <v>18000</v>
      </c>
      <c r="AF74" s="7">
        <v>1</v>
      </c>
      <c r="AG74" s="7">
        <v>18000</v>
      </c>
      <c r="AH74" s="7">
        <v>0</v>
      </c>
      <c r="AI74" s="7">
        <v>18000</v>
      </c>
      <c r="AJ74" t="s">
        <v>2583</v>
      </c>
    </row>
    <row r="75" spans="14:36" x14ac:dyDescent="0.3">
      <c r="N75" s="8">
        <v>2026</v>
      </c>
      <c r="O75" s="8">
        <v>7</v>
      </c>
      <c r="P75" s="9">
        <v>46217</v>
      </c>
      <c r="Q75" t="s">
        <v>238</v>
      </c>
      <c r="R75" t="s">
        <v>374</v>
      </c>
      <c r="S75" t="s">
        <v>375</v>
      </c>
      <c r="T75" t="s">
        <v>3647</v>
      </c>
      <c r="U75" t="s">
        <v>3648</v>
      </c>
      <c r="V75" t="s">
        <v>246</v>
      </c>
      <c r="W75" t="s">
        <v>244</v>
      </c>
      <c r="X75" t="s">
        <v>3649</v>
      </c>
      <c r="Y75" t="s">
        <v>183</v>
      </c>
      <c r="Z75" t="s">
        <v>184</v>
      </c>
      <c r="AA75" t="s">
        <v>185</v>
      </c>
      <c r="AB75" t="s">
        <v>47</v>
      </c>
      <c r="AC75" t="s">
        <v>45</v>
      </c>
      <c r="AD75" t="s">
        <v>46</v>
      </c>
      <c r="AE75" s="7">
        <v>52000</v>
      </c>
      <c r="AF75" s="7">
        <v>1</v>
      </c>
      <c r="AG75" s="7">
        <v>52000</v>
      </c>
      <c r="AH75" s="7">
        <v>0</v>
      </c>
      <c r="AI75" s="7">
        <v>52000</v>
      </c>
      <c r="AJ75" t="s">
        <v>45</v>
      </c>
    </row>
    <row r="76" spans="14:36" x14ac:dyDescent="0.3">
      <c r="N76" s="8">
        <v>2026</v>
      </c>
      <c r="O76" s="8">
        <v>7</v>
      </c>
      <c r="P76" s="9">
        <v>46217</v>
      </c>
      <c r="Q76" t="s">
        <v>238</v>
      </c>
      <c r="R76" t="s">
        <v>396</v>
      </c>
      <c r="S76" t="s">
        <v>397</v>
      </c>
      <c r="T76" t="s">
        <v>3650</v>
      </c>
      <c r="U76" t="s">
        <v>3651</v>
      </c>
      <c r="V76" t="s">
        <v>246</v>
      </c>
      <c r="W76" t="s">
        <v>244</v>
      </c>
      <c r="X76" t="s">
        <v>3652</v>
      </c>
      <c r="Y76" t="s">
        <v>194</v>
      </c>
      <c r="Z76" t="s">
        <v>200</v>
      </c>
      <c r="AA76" t="s">
        <v>201</v>
      </c>
      <c r="AB76" t="s">
        <v>86</v>
      </c>
      <c r="AC76" t="s">
        <v>84</v>
      </c>
      <c r="AD76" t="s">
        <v>85</v>
      </c>
      <c r="AE76" s="7">
        <v>49000</v>
      </c>
      <c r="AF76" s="7">
        <v>1</v>
      </c>
      <c r="AG76" s="7">
        <v>49000</v>
      </c>
      <c r="AH76" s="7">
        <v>0</v>
      </c>
      <c r="AI76" s="7">
        <v>49000</v>
      </c>
      <c r="AJ76" t="s">
        <v>84</v>
      </c>
    </row>
    <row r="77" spans="14:36" x14ac:dyDescent="0.3">
      <c r="N77" s="8">
        <v>2026</v>
      </c>
      <c r="O77" s="8">
        <v>7</v>
      </c>
      <c r="P77" s="9">
        <v>46217</v>
      </c>
      <c r="Q77" t="s">
        <v>238</v>
      </c>
      <c r="R77" t="s">
        <v>425</v>
      </c>
      <c r="S77" t="s">
        <v>426</v>
      </c>
      <c r="T77" t="s">
        <v>3653</v>
      </c>
      <c r="U77" t="s">
        <v>1046</v>
      </c>
      <c r="V77" t="s">
        <v>246</v>
      </c>
      <c r="W77" t="s">
        <v>244</v>
      </c>
      <c r="X77" t="s">
        <v>3654</v>
      </c>
      <c r="Y77" t="s">
        <v>191</v>
      </c>
      <c r="Z77" t="s">
        <v>192</v>
      </c>
      <c r="AA77" t="s">
        <v>193</v>
      </c>
      <c r="AB77" t="s">
        <v>116</v>
      </c>
      <c r="AC77" t="s">
        <v>114</v>
      </c>
      <c r="AD77" t="s">
        <v>115</v>
      </c>
      <c r="AE77" s="7">
        <v>235000</v>
      </c>
      <c r="AF77" s="7">
        <v>1</v>
      </c>
      <c r="AG77" s="7">
        <v>235000</v>
      </c>
      <c r="AH77" s="7">
        <v>0</v>
      </c>
      <c r="AI77" s="7">
        <v>235000</v>
      </c>
      <c r="AJ77" t="s">
        <v>114</v>
      </c>
    </row>
    <row r="78" spans="14:36" x14ac:dyDescent="0.3">
      <c r="N78" s="8">
        <v>2026</v>
      </c>
      <c r="O78" s="8">
        <v>7</v>
      </c>
      <c r="P78" s="9">
        <v>46216</v>
      </c>
      <c r="Q78" t="s">
        <v>238</v>
      </c>
      <c r="R78" t="s">
        <v>239</v>
      </c>
      <c r="S78" t="s">
        <v>240</v>
      </c>
      <c r="T78" t="s">
        <v>241</v>
      </c>
      <c r="U78" t="s">
        <v>3655</v>
      </c>
      <c r="V78" t="s">
        <v>243</v>
      </c>
      <c r="W78" t="s">
        <v>244</v>
      </c>
      <c r="X78" t="s">
        <v>3656</v>
      </c>
      <c r="Y78" t="s">
        <v>191</v>
      </c>
      <c r="Z78" t="s">
        <v>192</v>
      </c>
      <c r="AA78" t="s">
        <v>193</v>
      </c>
      <c r="AB78" t="s">
        <v>113</v>
      </c>
      <c r="AC78" t="s">
        <v>111</v>
      </c>
      <c r="AD78" t="s">
        <v>112</v>
      </c>
      <c r="AE78" s="7">
        <v>235000</v>
      </c>
      <c r="AF78" s="7">
        <v>1</v>
      </c>
      <c r="AG78" s="7">
        <v>235000</v>
      </c>
      <c r="AH78" s="7">
        <v>0</v>
      </c>
      <c r="AI78" s="7">
        <v>235000</v>
      </c>
      <c r="AJ78" t="s">
        <v>111</v>
      </c>
    </row>
    <row r="79" spans="14:36" x14ac:dyDescent="0.3">
      <c r="N79" s="8">
        <v>2026</v>
      </c>
      <c r="O79" s="8">
        <v>7</v>
      </c>
      <c r="P79" s="9">
        <v>46216</v>
      </c>
      <c r="Q79" t="s">
        <v>238</v>
      </c>
      <c r="R79" t="s">
        <v>239</v>
      </c>
      <c r="S79" t="s">
        <v>240</v>
      </c>
      <c r="T79" t="s">
        <v>1210</v>
      </c>
      <c r="U79" t="s">
        <v>3657</v>
      </c>
      <c r="V79" t="s">
        <v>246</v>
      </c>
      <c r="W79" t="s">
        <v>244</v>
      </c>
      <c r="X79" t="s">
        <v>3658</v>
      </c>
      <c r="Y79" t="s">
        <v>191</v>
      </c>
      <c r="Z79" t="s">
        <v>335</v>
      </c>
      <c r="AA79" t="s">
        <v>337</v>
      </c>
      <c r="AB79" t="s">
        <v>719</v>
      </c>
      <c r="AC79" t="s">
        <v>720</v>
      </c>
      <c r="AD79" t="s">
        <v>721</v>
      </c>
      <c r="AE79" s="7">
        <v>104000</v>
      </c>
      <c r="AF79" s="7">
        <v>1</v>
      </c>
      <c r="AG79" s="7">
        <v>104000</v>
      </c>
      <c r="AH79" s="7">
        <v>0</v>
      </c>
      <c r="AI79" s="7">
        <v>104000</v>
      </c>
      <c r="AJ79" t="s">
        <v>720</v>
      </c>
    </row>
    <row r="80" spans="14:36" x14ac:dyDescent="0.3">
      <c r="N80" s="8">
        <v>2026</v>
      </c>
      <c r="O80" s="8">
        <v>7</v>
      </c>
      <c r="P80" s="9">
        <v>46216</v>
      </c>
      <c r="Q80" t="s">
        <v>238</v>
      </c>
      <c r="R80" t="s">
        <v>279</v>
      </c>
      <c r="S80" t="s">
        <v>280</v>
      </c>
      <c r="T80" t="s">
        <v>1597</v>
      </c>
      <c r="U80" t="s">
        <v>742</v>
      </c>
      <c r="V80" t="s">
        <v>246</v>
      </c>
      <c r="W80" t="s">
        <v>244</v>
      </c>
      <c r="X80" t="s">
        <v>3659</v>
      </c>
      <c r="Y80" t="s">
        <v>168</v>
      </c>
      <c r="Z80" t="s">
        <v>171</v>
      </c>
      <c r="AA80" t="s">
        <v>173</v>
      </c>
      <c r="AB80" t="s">
        <v>26</v>
      </c>
      <c r="AC80" t="s">
        <v>24</v>
      </c>
      <c r="AD80" t="s">
        <v>25</v>
      </c>
      <c r="AE80" s="7">
        <v>555000</v>
      </c>
      <c r="AF80" s="7">
        <v>1</v>
      </c>
      <c r="AG80" s="7">
        <v>555000</v>
      </c>
      <c r="AH80" s="7">
        <v>0</v>
      </c>
      <c r="AI80" s="7">
        <v>555000</v>
      </c>
      <c r="AJ80" t="s">
        <v>24</v>
      </c>
    </row>
    <row r="81" spans="14:36" x14ac:dyDescent="0.3">
      <c r="N81" s="8">
        <v>2026</v>
      </c>
      <c r="O81" s="8">
        <v>7</v>
      </c>
      <c r="P81" s="9">
        <v>46216</v>
      </c>
      <c r="Q81" t="s">
        <v>238</v>
      </c>
      <c r="R81" t="s">
        <v>279</v>
      </c>
      <c r="S81" t="s">
        <v>280</v>
      </c>
      <c r="T81" t="s">
        <v>3660</v>
      </c>
      <c r="U81" t="s">
        <v>3661</v>
      </c>
      <c r="V81" t="s">
        <v>249</v>
      </c>
      <c r="W81" t="s">
        <v>244</v>
      </c>
      <c r="X81" t="s">
        <v>3662</v>
      </c>
      <c r="Y81" t="s">
        <v>191</v>
      </c>
      <c r="Z81" t="s">
        <v>335</v>
      </c>
      <c r="AA81" t="s">
        <v>336</v>
      </c>
      <c r="AB81" t="s">
        <v>2569</v>
      </c>
      <c r="AC81" t="s">
        <v>2570</v>
      </c>
      <c r="AD81" t="s">
        <v>2571</v>
      </c>
      <c r="AE81" s="7">
        <v>23000</v>
      </c>
      <c r="AF81" s="7">
        <v>2</v>
      </c>
      <c r="AG81" s="7">
        <v>46000</v>
      </c>
      <c r="AH81" s="7">
        <v>0</v>
      </c>
      <c r="AI81" s="7">
        <v>46000</v>
      </c>
      <c r="AJ81" t="s">
        <v>2570</v>
      </c>
    </row>
    <row r="82" spans="14:36" x14ac:dyDescent="0.3">
      <c r="N82" s="8">
        <v>2026</v>
      </c>
      <c r="O82" s="8">
        <v>7</v>
      </c>
      <c r="P82" s="9">
        <v>46216</v>
      </c>
      <c r="Q82" t="s">
        <v>238</v>
      </c>
      <c r="R82" t="s">
        <v>279</v>
      </c>
      <c r="S82" t="s">
        <v>280</v>
      </c>
      <c r="T82" t="s">
        <v>3660</v>
      </c>
      <c r="U82" t="s">
        <v>3661</v>
      </c>
      <c r="V82" t="s">
        <v>249</v>
      </c>
      <c r="W82" t="s">
        <v>244</v>
      </c>
      <c r="X82" t="s">
        <v>3662</v>
      </c>
      <c r="Y82" t="s">
        <v>191</v>
      </c>
      <c r="Z82" t="s">
        <v>335</v>
      </c>
      <c r="AA82" t="s">
        <v>336</v>
      </c>
      <c r="AB82" t="s">
        <v>2587</v>
      </c>
      <c r="AC82" t="s">
        <v>2588</v>
      </c>
      <c r="AD82" t="s">
        <v>2589</v>
      </c>
      <c r="AE82" s="7">
        <v>22000</v>
      </c>
      <c r="AF82" s="7">
        <v>2</v>
      </c>
      <c r="AG82" s="7">
        <v>44000</v>
      </c>
      <c r="AH82" s="7">
        <v>0</v>
      </c>
      <c r="AI82" s="7">
        <v>44000</v>
      </c>
      <c r="AJ82" t="s">
        <v>2588</v>
      </c>
    </row>
    <row r="83" spans="14:36" x14ac:dyDescent="0.3">
      <c r="N83" s="8">
        <v>2026</v>
      </c>
      <c r="O83" s="8">
        <v>7</v>
      </c>
      <c r="P83" s="9">
        <v>46216</v>
      </c>
      <c r="Q83" t="s">
        <v>238</v>
      </c>
      <c r="R83" t="s">
        <v>279</v>
      </c>
      <c r="S83" t="s">
        <v>280</v>
      </c>
      <c r="T83" t="s">
        <v>3663</v>
      </c>
      <c r="U83" t="s">
        <v>3615</v>
      </c>
      <c r="V83" t="s">
        <v>249</v>
      </c>
      <c r="W83" t="s">
        <v>244</v>
      </c>
      <c r="X83" t="s">
        <v>3664</v>
      </c>
      <c r="Y83" t="s">
        <v>194</v>
      </c>
      <c r="Z83" t="s">
        <v>200</v>
      </c>
      <c r="AA83" t="s">
        <v>201</v>
      </c>
      <c r="AB83" t="s">
        <v>89</v>
      </c>
      <c r="AC83" t="s">
        <v>87</v>
      </c>
      <c r="AD83" t="s">
        <v>88</v>
      </c>
      <c r="AE83" s="7">
        <v>46000</v>
      </c>
      <c r="AF83" s="7">
        <v>1</v>
      </c>
      <c r="AG83" s="7">
        <v>46000</v>
      </c>
      <c r="AH83" s="7">
        <v>0</v>
      </c>
      <c r="AI83" s="7">
        <v>46000</v>
      </c>
      <c r="AJ83" t="s">
        <v>87</v>
      </c>
    </row>
    <row r="84" spans="14:36" x14ac:dyDescent="0.3">
      <c r="N84" s="8">
        <v>2026</v>
      </c>
      <c r="O84" s="8">
        <v>7</v>
      </c>
      <c r="P84" s="9">
        <v>46216</v>
      </c>
      <c r="Q84" t="s">
        <v>238</v>
      </c>
      <c r="R84" t="s">
        <v>279</v>
      </c>
      <c r="S84" t="s">
        <v>280</v>
      </c>
      <c r="T84" t="s">
        <v>2367</v>
      </c>
      <c r="U84" t="s">
        <v>2368</v>
      </c>
      <c r="V84" t="s">
        <v>246</v>
      </c>
      <c r="W84" t="s">
        <v>244</v>
      </c>
      <c r="X84" t="s">
        <v>3665</v>
      </c>
      <c r="Y84" t="s">
        <v>191</v>
      </c>
      <c r="Z84" t="s">
        <v>335</v>
      </c>
      <c r="AA84" t="s">
        <v>336</v>
      </c>
      <c r="AB84" t="s">
        <v>1284</v>
      </c>
      <c r="AC84" t="s">
        <v>1285</v>
      </c>
      <c r="AD84" t="s">
        <v>1286</v>
      </c>
      <c r="AE84" s="7">
        <v>99000</v>
      </c>
      <c r="AF84" s="7">
        <v>1</v>
      </c>
      <c r="AG84" s="7">
        <v>99000</v>
      </c>
      <c r="AH84" s="7">
        <v>0</v>
      </c>
      <c r="AI84" s="7">
        <v>99000</v>
      </c>
      <c r="AJ84" t="s">
        <v>1285</v>
      </c>
    </row>
    <row r="85" spans="14:36" x14ac:dyDescent="0.3">
      <c r="N85" s="8">
        <v>2026</v>
      </c>
      <c r="O85" s="8">
        <v>7</v>
      </c>
      <c r="P85" s="9">
        <v>46216</v>
      </c>
      <c r="Q85" t="s">
        <v>238</v>
      </c>
      <c r="R85" t="s">
        <v>303</v>
      </c>
      <c r="S85" t="s">
        <v>304</v>
      </c>
      <c r="T85" t="s">
        <v>698</v>
      </c>
      <c r="U85" t="s">
        <v>3666</v>
      </c>
      <c r="V85" t="s">
        <v>246</v>
      </c>
      <c r="W85" t="s">
        <v>244</v>
      </c>
      <c r="X85" t="s">
        <v>3667</v>
      </c>
      <c r="Y85" t="s">
        <v>191</v>
      </c>
      <c r="Z85" t="s">
        <v>335</v>
      </c>
      <c r="AA85" t="s">
        <v>337</v>
      </c>
      <c r="AB85" t="s">
        <v>2557</v>
      </c>
      <c r="AC85" t="s">
        <v>2558</v>
      </c>
      <c r="AD85" t="s">
        <v>2559</v>
      </c>
      <c r="AE85" s="7">
        <v>24000</v>
      </c>
      <c r="AF85" s="7">
        <v>3</v>
      </c>
      <c r="AG85" s="7">
        <v>72000</v>
      </c>
      <c r="AH85" s="7">
        <v>0</v>
      </c>
      <c r="AI85" s="7">
        <v>72000</v>
      </c>
      <c r="AJ85" t="s">
        <v>2558</v>
      </c>
    </row>
    <row r="86" spans="14:36" x14ac:dyDescent="0.3">
      <c r="N86" s="8">
        <v>2026</v>
      </c>
      <c r="O86" s="8">
        <v>7</v>
      </c>
      <c r="P86" s="9">
        <v>46216</v>
      </c>
      <c r="Q86" t="s">
        <v>238</v>
      </c>
      <c r="R86" t="s">
        <v>303</v>
      </c>
      <c r="S86" t="s">
        <v>304</v>
      </c>
      <c r="T86" t="s">
        <v>1026</v>
      </c>
      <c r="U86" t="s">
        <v>1027</v>
      </c>
      <c r="V86" t="s">
        <v>246</v>
      </c>
      <c r="W86" t="s">
        <v>244</v>
      </c>
      <c r="X86" t="s">
        <v>3668</v>
      </c>
      <c r="Y86" t="s">
        <v>168</v>
      </c>
      <c r="Z86" t="s">
        <v>171</v>
      </c>
      <c r="AA86" t="s">
        <v>175</v>
      </c>
      <c r="AB86" t="s">
        <v>137</v>
      </c>
      <c r="AC86" t="s">
        <v>135</v>
      </c>
      <c r="AD86" t="s">
        <v>136</v>
      </c>
      <c r="AE86" s="7">
        <v>100000</v>
      </c>
      <c r="AF86" s="7">
        <v>1</v>
      </c>
      <c r="AG86" s="7">
        <v>100000</v>
      </c>
      <c r="AH86" s="7">
        <v>10000</v>
      </c>
      <c r="AI86" s="7">
        <v>90000</v>
      </c>
      <c r="AJ86" t="s">
        <v>135</v>
      </c>
    </row>
    <row r="87" spans="14:36" x14ac:dyDescent="0.3">
      <c r="N87" s="8">
        <v>2026</v>
      </c>
      <c r="O87" s="8">
        <v>7</v>
      </c>
      <c r="P87" s="9">
        <v>46216</v>
      </c>
      <c r="Q87" t="s">
        <v>238</v>
      </c>
      <c r="R87" t="s">
        <v>303</v>
      </c>
      <c r="S87" t="s">
        <v>304</v>
      </c>
      <c r="T87" t="s">
        <v>305</v>
      </c>
      <c r="U87" t="s">
        <v>306</v>
      </c>
      <c r="V87" t="s">
        <v>243</v>
      </c>
      <c r="W87" t="s">
        <v>244</v>
      </c>
      <c r="X87" t="s">
        <v>3669</v>
      </c>
      <c r="Y87" t="s">
        <v>183</v>
      </c>
      <c r="Z87" t="s">
        <v>186</v>
      </c>
      <c r="AA87" t="s">
        <v>188</v>
      </c>
      <c r="AB87" t="s">
        <v>95</v>
      </c>
      <c r="AC87" t="s">
        <v>93</v>
      </c>
      <c r="AD87" t="s">
        <v>94</v>
      </c>
      <c r="AE87" s="7">
        <v>239000</v>
      </c>
      <c r="AF87" s="7">
        <v>1</v>
      </c>
      <c r="AG87" s="7">
        <v>239000</v>
      </c>
      <c r="AH87" s="7">
        <v>0</v>
      </c>
      <c r="AI87" s="7">
        <v>239000</v>
      </c>
      <c r="AJ87" t="s">
        <v>93</v>
      </c>
    </row>
    <row r="88" spans="14:36" x14ac:dyDescent="0.3">
      <c r="N88" s="8">
        <v>2026</v>
      </c>
      <c r="O88" s="8">
        <v>7</v>
      </c>
      <c r="P88" s="9">
        <v>46216</v>
      </c>
      <c r="Q88" t="s">
        <v>238</v>
      </c>
      <c r="R88" t="s">
        <v>303</v>
      </c>
      <c r="S88" t="s">
        <v>304</v>
      </c>
      <c r="T88" t="s">
        <v>1031</v>
      </c>
      <c r="U88" t="s">
        <v>867</v>
      </c>
      <c r="V88" t="s">
        <v>246</v>
      </c>
      <c r="W88" t="s">
        <v>244</v>
      </c>
      <c r="X88" t="s">
        <v>3670</v>
      </c>
      <c r="Y88" t="s">
        <v>168</v>
      </c>
      <c r="Z88" t="s">
        <v>171</v>
      </c>
      <c r="AA88" t="s">
        <v>175</v>
      </c>
      <c r="AB88" t="s">
        <v>38</v>
      </c>
      <c r="AC88" t="s">
        <v>36</v>
      </c>
      <c r="AD88" t="s">
        <v>37</v>
      </c>
      <c r="AE88" s="7">
        <v>290000</v>
      </c>
      <c r="AF88" s="7">
        <v>1</v>
      </c>
      <c r="AG88" s="7">
        <v>290000</v>
      </c>
      <c r="AH88" s="7">
        <v>0</v>
      </c>
      <c r="AI88" s="7">
        <v>290000</v>
      </c>
      <c r="AJ88" t="s">
        <v>36</v>
      </c>
    </row>
    <row r="89" spans="14:36" x14ac:dyDescent="0.3">
      <c r="N89" s="8">
        <v>2026</v>
      </c>
      <c r="O89" s="8">
        <v>7</v>
      </c>
      <c r="P89" s="9">
        <v>46216</v>
      </c>
      <c r="Q89" t="s">
        <v>238</v>
      </c>
      <c r="R89" t="s">
        <v>303</v>
      </c>
      <c r="S89" t="s">
        <v>304</v>
      </c>
      <c r="T89" t="s">
        <v>2677</v>
      </c>
      <c r="U89" t="s">
        <v>934</v>
      </c>
      <c r="V89" t="s">
        <v>246</v>
      </c>
      <c r="W89" t="s">
        <v>244</v>
      </c>
      <c r="X89" t="s">
        <v>3671</v>
      </c>
      <c r="Y89" t="s">
        <v>168</v>
      </c>
      <c r="Z89" t="s">
        <v>181</v>
      </c>
      <c r="AA89" t="s">
        <v>182</v>
      </c>
      <c r="AB89" t="s">
        <v>50</v>
      </c>
      <c r="AC89" t="s">
        <v>48</v>
      </c>
      <c r="AD89" t="s">
        <v>49</v>
      </c>
      <c r="AE89" s="7">
        <v>49000</v>
      </c>
      <c r="AF89" s="7">
        <v>1</v>
      </c>
      <c r="AG89" s="7">
        <v>49000</v>
      </c>
      <c r="AH89" s="7">
        <v>0</v>
      </c>
      <c r="AI89" s="7">
        <v>49000</v>
      </c>
      <c r="AJ89" t="s">
        <v>48</v>
      </c>
    </row>
    <row r="90" spans="14:36" x14ac:dyDescent="0.3">
      <c r="N90" s="8">
        <v>2026</v>
      </c>
      <c r="O90" s="8">
        <v>7</v>
      </c>
      <c r="P90" s="9">
        <v>46216</v>
      </c>
      <c r="Q90" t="s">
        <v>238</v>
      </c>
      <c r="R90" t="s">
        <v>351</v>
      </c>
      <c r="S90" t="s">
        <v>352</v>
      </c>
      <c r="T90" t="s">
        <v>1766</v>
      </c>
      <c r="U90" t="s">
        <v>3672</v>
      </c>
      <c r="V90" t="s">
        <v>246</v>
      </c>
      <c r="W90" t="s">
        <v>244</v>
      </c>
      <c r="X90" t="s">
        <v>3673</v>
      </c>
      <c r="Y90" t="s">
        <v>194</v>
      </c>
      <c r="Z90" t="s">
        <v>200</v>
      </c>
      <c r="AA90" t="s">
        <v>201</v>
      </c>
      <c r="AB90" t="s">
        <v>89</v>
      </c>
      <c r="AC90" t="s">
        <v>87</v>
      </c>
      <c r="AD90" t="s">
        <v>88</v>
      </c>
      <c r="AE90" s="7">
        <v>46000</v>
      </c>
      <c r="AF90" s="7">
        <v>1</v>
      </c>
      <c r="AG90" s="7">
        <v>46000</v>
      </c>
      <c r="AH90" s="7">
        <v>0</v>
      </c>
      <c r="AI90" s="7">
        <v>46000</v>
      </c>
      <c r="AJ90" t="s">
        <v>87</v>
      </c>
    </row>
    <row r="91" spans="14:36" x14ac:dyDescent="0.3">
      <c r="N91" s="8">
        <v>2026</v>
      </c>
      <c r="O91" s="8">
        <v>7</v>
      </c>
      <c r="P91" s="9">
        <v>46216</v>
      </c>
      <c r="Q91" t="s">
        <v>238</v>
      </c>
      <c r="R91" t="s">
        <v>351</v>
      </c>
      <c r="S91" t="s">
        <v>352</v>
      </c>
      <c r="T91" t="s">
        <v>356</v>
      </c>
      <c r="U91" t="s">
        <v>357</v>
      </c>
      <c r="V91" t="s">
        <v>243</v>
      </c>
      <c r="W91" t="s">
        <v>244</v>
      </c>
      <c r="X91" t="s">
        <v>3674</v>
      </c>
      <c r="Y91" t="s">
        <v>168</v>
      </c>
      <c r="Z91" t="s">
        <v>171</v>
      </c>
      <c r="AA91" t="s">
        <v>175</v>
      </c>
      <c r="AB91" t="s">
        <v>41</v>
      </c>
      <c r="AC91" t="s">
        <v>39</v>
      </c>
      <c r="AD91" t="s">
        <v>40</v>
      </c>
      <c r="AE91" s="7">
        <v>295000</v>
      </c>
      <c r="AF91" s="7">
        <v>1</v>
      </c>
      <c r="AG91" s="7">
        <v>295000</v>
      </c>
      <c r="AH91" s="7">
        <v>0</v>
      </c>
      <c r="AI91" s="7">
        <v>295000</v>
      </c>
      <c r="AJ91" t="s">
        <v>39</v>
      </c>
    </row>
    <row r="92" spans="14:36" x14ac:dyDescent="0.3">
      <c r="N92" s="8">
        <v>2026</v>
      </c>
      <c r="O92" s="8">
        <v>7</v>
      </c>
      <c r="P92" s="9">
        <v>46216</v>
      </c>
      <c r="Q92" t="s">
        <v>238</v>
      </c>
      <c r="R92" t="s">
        <v>351</v>
      </c>
      <c r="S92" t="s">
        <v>352</v>
      </c>
      <c r="T92" t="s">
        <v>3675</v>
      </c>
      <c r="U92" t="s">
        <v>629</v>
      </c>
      <c r="V92" t="s">
        <v>246</v>
      </c>
      <c r="W92" t="s">
        <v>244</v>
      </c>
      <c r="X92" t="s">
        <v>3676</v>
      </c>
      <c r="Y92" t="s">
        <v>168</v>
      </c>
      <c r="Z92" t="s">
        <v>179</v>
      </c>
      <c r="AA92" t="s">
        <v>180</v>
      </c>
      <c r="AB92" t="s">
        <v>146</v>
      </c>
      <c r="AC92" t="s">
        <v>144</v>
      </c>
      <c r="AD92" t="s">
        <v>145</v>
      </c>
      <c r="AE92" s="7">
        <v>150000</v>
      </c>
      <c r="AF92" s="7">
        <v>1</v>
      </c>
      <c r="AG92" s="7">
        <v>150000</v>
      </c>
      <c r="AH92" s="7">
        <v>15000</v>
      </c>
      <c r="AI92" s="7">
        <v>135000</v>
      </c>
      <c r="AJ92" t="s">
        <v>144</v>
      </c>
    </row>
    <row r="93" spans="14:36" x14ac:dyDescent="0.3">
      <c r="N93" s="8">
        <v>2026</v>
      </c>
      <c r="O93" s="8">
        <v>7</v>
      </c>
      <c r="P93" s="9">
        <v>46216</v>
      </c>
      <c r="Q93" t="s">
        <v>238</v>
      </c>
      <c r="R93" t="s">
        <v>351</v>
      </c>
      <c r="S93" t="s">
        <v>352</v>
      </c>
      <c r="T93" t="s">
        <v>3675</v>
      </c>
      <c r="U93" t="s">
        <v>629</v>
      </c>
      <c r="V93" t="s">
        <v>246</v>
      </c>
      <c r="W93" t="s">
        <v>244</v>
      </c>
      <c r="X93" t="s">
        <v>3676</v>
      </c>
      <c r="Y93" t="s">
        <v>168</v>
      </c>
      <c r="Z93" t="s">
        <v>179</v>
      </c>
      <c r="AA93" t="s">
        <v>180</v>
      </c>
      <c r="AB93" t="s">
        <v>149</v>
      </c>
      <c r="AC93" t="s">
        <v>147</v>
      </c>
      <c r="AD93" t="s">
        <v>148</v>
      </c>
      <c r="AE93" s="7">
        <v>150000</v>
      </c>
      <c r="AF93" s="7">
        <v>1</v>
      </c>
      <c r="AG93" s="7">
        <v>150000</v>
      </c>
      <c r="AH93" s="7">
        <v>15000</v>
      </c>
      <c r="AI93" s="7">
        <v>135000</v>
      </c>
      <c r="AJ93" t="s">
        <v>147</v>
      </c>
    </row>
    <row r="94" spans="14:36" x14ac:dyDescent="0.3">
      <c r="N94" s="8">
        <v>2026</v>
      </c>
      <c r="O94" s="8">
        <v>7</v>
      </c>
      <c r="P94" s="9">
        <v>46216</v>
      </c>
      <c r="Q94" t="s">
        <v>238</v>
      </c>
      <c r="R94" t="s">
        <v>374</v>
      </c>
      <c r="S94" t="s">
        <v>375</v>
      </c>
      <c r="T94" t="s">
        <v>992</v>
      </c>
      <c r="U94" t="s">
        <v>3677</v>
      </c>
      <c r="V94" t="s">
        <v>246</v>
      </c>
      <c r="W94" t="s">
        <v>244</v>
      </c>
      <c r="X94" t="s">
        <v>3678</v>
      </c>
      <c r="Y94" t="s">
        <v>191</v>
      </c>
      <c r="Z94" t="s">
        <v>335</v>
      </c>
      <c r="AA94" t="s">
        <v>336</v>
      </c>
      <c r="AB94" t="s">
        <v>2569</v>
      </c>
      <c r="AC94" t="s">
        <v>2570</v>
      </c>
      <c r="AD94" t="s">
        <v>2571</v>
      </c>
      <c r="AE94" s="7">
        <v>23000</v>
      </c>
      <c r="AF94" s="7">
        <v>1</v>
      </c>
      <c r="AG94" s="7">
        <v>23000</v>
      </c>
      <c r="AH94" s="7">
        <v>0</v>
      </c>
      <c r="AI94" s="7">
        <v>23000</v>
      </c>
      <c r="AJ94" t="s">
        <v>2570</v>
      </c>
    </row>
    <row r="95" spans="14:36" x14ac:dyDescent="0.3">
      <c r="N95" s="8">
        <v>2026</v>
      </c>
      <c r="O95" s="8">
        <v>7</v>
      </c>
      <c r="P95" s="9">
        <v>46216</v>
      </c>
      <c r="Q95" t="s">
        <v>238</v>
      </c>
      <c r="R95" t="s">
        <v>374</v>
      </c>
      <c r="S95" t="s">
        <v>375</v>
      </c>
      <c r="T95" t="s">
        <v>3679</v>
      </c>
      <c r="U95" t="s">
        <v>3680</v>
      </c>
      <c r="V95" t="s">
        <v>246</v>
      </c>
      <c r="W95" t="s">
        <v>244</v>
      </c>
      <c r="X95" t="s">
        <v>3681</v>
      </c>
      <c r="Y95" t="s">
        <v>191</v>
      </c>
      <c r="Z95" t="s">
        <v>335</v>
      </c>
      <c r="AA95" t="s">
        <v>336</v>
      </c>
      <c r="AB95" t="s">
        <v>2582</v>
      </c>
      <c r="AC95" t="s">
        <v>2583</v>
      </c>
      <c r="AD95" t="s">
        <v>2584</v>
      </c>
      <c r="AE95" s="7">
        <v>18000</v>
      </c>
      <c r="AF95" s="7">
        <v>2</v>
      </c>
      <c r="AG95" s="7">
        <v>36000</v>
      </c>
      <c r="AH95" s="7">
        <v>0</v>
      </c>
      <c r="AI95" s="7">
        <v>36000</v>
      </c>
      <c r="AJ95" t="s">
        <v>2583</v>
      </c>
    </row>
    <row r="96" spans="14:36" x14ac:dyDescent="0.3">
      <c r="N96" s="8">
        <v>2026</v>
      </c>
      <c r="O96" s="8">
        <v>7</v>
      </c>
      <c r="P96" s="9">
        <v>46216</v>
      </c>
      <c r="Q96" t="s">
        <v>238</v>
      </c>
      <c r="R96" t="s">
        <v>396</v>
      </c>
      <c r="S96" t="s">
        <v>397</v>
      </c>
      <c r="T96" t="s">
        <v>3682</v>
      </c>
      <c r="U96" t="s">
        <v>3683</v>
      </c>
      <c r="V96" t="s">
        <v>246</v>
      </c>
      <c r="W96" t="s">
        <v>244</v>
      </c>
      <c r="X96" t="s">
        <v>3684</v>
      </c>
      <c r="Y96" t="s">
        <v>168</v>
      </c>
      <c r="Z96" t="s">
        <v>171</v>
      </c>
      <c r="AA96" t="s">
        <v>175</v>
      </c>
      <c r="AB96" t="s">
        <v>137</v>
      </c>
      <c r="AC96" t="s">
        <v>135</v>
      </c>
      <c r="AD96" t="s">
        <v>136</v>
      </c>
      <c r="AE96" s="7">
        <v>100000</v>
      </c>
      <c r="AF96" s="7">
        <v>1</v>
      </c>
      <c r="AG96" s="7">
        <v>100000</v>
      </c>
      <c r="AH96" s="7">
        <v>10000</v>
      </c>
      <c r="AI96" s="7">
        <v>90000</v>
      </c>
      <c r="AJ96" t="s">
        <v>135</v>
      </c>
    </row>
    <row r="97" spans="14:36" x14ac:dyDescent="0.3">
      <c r="N97" s="8">
        <v>2026</v>
      </c>
      <c r="O97" s="8">
        <v>7</v>
      </c>
      <c r="P97" s="9">
        <v>46216</v>
      </c>
      <c r="Q97" t="s">
        <v>238</v>
      </c>
      <c r="R97" t="s">
        <v>415</v>
      </c>
      <c r="S97" t="s">
        <v>416</v>
      </c>
      <c r="T97" t="s">
        <v>2453</v>
      </c>
      <c r="U97" t="s">
        <v>3685</v>
      </c>
      <c r="V97" t="s">
        <v>246</v>
      </c>
      <c r="W97" t="s">
        <v>244</v>
      </c>
      <c r="X97" t="s">
        <v>3686</v>
      </c>
      <c r="Y97" t="s">
        <v>191</v>
      </c>
      <c r="Z97" t="s">
        <v>335</v>
      </c>
      <c r="AA97" t="s">
        <v>336</v>
      </c>
      <c r="AB97" t="s">
        <v>1284</v>
      </c>
      <c r="AC97" t="s">
        <v>1285</v>
      </c>
      <c r="AD97" t="s">
        <v>1286</v>
      </c>
      <c r="AE97" s="7">
        <v>99000</v>
      </c>
      <c r="AF97" s="7">
        <v>1</v>
      </c>
      <c r="AG97" s="7">
        <v>99000</v>
      </c>
      <c r="AH97" s="7">
        <v>0</v>
      </c>
      <c r="AI97" s="7">
        <v>99000</v>
      </c>
      <c r="AJ97" t="s">
        <v>1285</v>
      </c>
    </row>
    <row r="98" spans="14:36" x14ac:dyDescent="0.3">
      <c r="N98" s="8">
        <v>2026</v>
      </c>
      <c r="O98" s="8">
        <v>7</v>
      </c>
      <c r="P98" s="9">
        <v>46216</v>
      </c>
      <c r="Q98" t="s">
        <v>238</v>
      </c>
      <c r="R98" t="s">
        <v>415</v>
      </c>
      <c r="S98" t="s">
        <v>416</v>
      </c>
      <c r="T98" t="s">
        <v>2453</v>
      </c>
      <c r="U98" t="s">
        <v>3685</v>
      </c>
      <c r="V98" t="s">
        <v>246</v>
      </c>
      <c r="W98" t="s">
        <v>244</v>
      </c>
      <c r="X98" t="s">
        <v>3686</v>
      </c>
      <c r="Y98" t="s">
        <v>191</v>
      </c>
      <c r="Z98" t="s">
        <v>335</v>
      </c>
      <c r="AA98" t="s">
        <v>336</v>
      </c>
      <c r="AB98" t="s">
        <v>1146</v>
      </c>
      <c r="AC98" t="s">
        <v>1147</v>
      </c>
      <c r="AD98" t="s">
        <v>1148</v>
      </c>
      <c r="AE98" s="7">
        <v>99000</v>
      </c>
      <c r="AF98" s="7">
        <v>1</v>
      </c>
      <c r="AG98" s="7">
        <v>99000</v>
      </c>
      <c r="AH98" s="7">
        <v>0</v>
      </c>
      <c r="AI98" s="7">
        <v>99000</v>
      </c>
      <c r="AJ98" t="s">
        <v>1147</v>
      </c>
    </row>
    <row r="99" spans="14:36" x14ac:dyDescent="0.3">
      <c r="N99" s="8">
        <v>2026</v>
      </c>
      <c r="O99" s="8">
        <v>7</v>
      </c>
      <c r="P99" s="9">
        <v>46216</v>
      </c>
      <c r="Q99" t="s">
        <v>238</v>
      </c>
      <c r="R99" t="s">
        <v>415</v>
      </c>
      <c r="S99" t="s">
        <v>416</v>
      </c>
      <c r="T99" t="s">
        <v>775</v>
      </c>
      <c r="U99" t="s">
        <v>776</v>
      </c>
      <c r="V99" t="s">
        <v>246</v>
      </c>
      <c r="W99" t="s">
        <v>244</v>
      </c>
      <c r="X99" t="s">
        <v>3687</v>
      </c>
      <c r="Y99" t="s">
        <v>191</v>
      </c>
      <c r="Z99" t="s">
        <v>335</v>
      </c>
      <c r="AA99" t="s">
        <v>336</v>
      </c>
      <c r="AB99" t="s">
        <v>1146</v>
      </c>
      <c r="AC99" t="s">
        <v>1147</v>
      </c>
      <c r="AD99" t="s">
        <v>1148</v>
      </c>
      <c r="AE99" s="7">
        <v>99000</v>
      </c>
      <c r="AF99" s="7">
        <v>1</v>
      </c>
      <c r="AG99" s="7">
        <v>99000</v>
      </c>
      <c r="AH99" s="7">
        <v>0</v>
      </c>
      <c r="AI99" s="7">
        <v>99000</v>
      </c>
      <c r="AJ99" t="s">
        <v>1147</v>
      </c>
    </row>
    <row r="100" spans="14:36" x14ac:dyDescent="0.3">
      <c r="N100" s="8">
        <v>2026</v>
      </c>
      <c r="O100" s="8">
        <v>7</v>
      </c>
      <c r="P100" s="9">
        <v>46216</v>
      </c>
      <c r="Q100" t="s">
        <v>238</v>
      </c>
      <c r="R100" t="s">
        <v>425</v>
      </c>
      <c r="S100" t="s">
        <v>426</v>
      </c>
      <c r="T100" t="s">
        <v>3207</v>
      </c>
      <c r="U100" t="s">
        <v>3208</v>
      </c>
      <c r="V100" t="s">
        <v>246</v>
      </c>
      <c r="W100" t="s">
        <v>244</v>
      </c>
      <c r="X100" t="s">
        <v>3688</v>
      </c>
      <c r="Y100" t="s">
        <v>191</v>
      </c>
      <c r="Z100" t="s">
        <v>335</v>
      </c>
      <c r="AA100" t="s">
        <v>336</v>
      </c>
      <c r="AB100" t="s">
        <v>2612</v>
      </c>
      <c r="AC100" t="s">
        <v>2613</v>
      </c>
      <c r="AD100" t="s">
        <v>2614</v>
      </c>
      <c r="AE100" s="7">
        <v>18000</v>
      </c>
      <c r="AF100" s="7">
        <v>1</v>
      </c>
      <c r="AG100" s="7">
        <v>18000</v>
      </c>
      <c r="AH100" s="7">
        <v>0</v>
      </c>
      <c r="AI100" s="7">
        <v>18000</v>
      </c>
      <c r="AJ100" t="s">
        <v>2613</v>
      </c>
    </row>
    <row r="101" spans="14:36" x14ac:dyDescent="0.3">
      <c r="N101" s="8">
        <v>2026</v>
      </c>
      <c r="O101" s="8">
        <v>7</v>
      </c>
      <c r="P101" s="9">
        <v>46216</v>
      </c>
      <c r="Q101" t="s">
        <v>238</v>
      </c>
      <c r="R101" t="s">
        <v>425</v>
      </c>
      <c r="S101" t="s">
        <v>426</v>
      </c>
      <c r="T101" t="s">
        <v>3207</v>
      </c>
      <c r="U101" t="s">
        <v>3208</v>
      </c>
      <c r="V101" t="s">
        <v>246</v>
      </c>
      <c r="W101" t="s">
        <v>244</v>
      </c>
      <c r="X101" t="s">
        <v>3688</v>
      </c>
      <c r="Y101" t="s">
        <v>191</v>
      </c>
      <c r="Z101" t="s">
        <v>335</v>
      </c>
      <c r="AA101" t="s">
        <v>336</v>
      </c>
      <c r="AB101" t="s">
        <v>2575</v>
      </c>
      <c r="AC101" t="s">
        <v>2576</v>
      </c>
      <c r="AD101" t="s">
        <v>2577</v>
      </c>
      <c r="AE101" s="7">
        <v>16000</v>
      </c>
      <c r="AF101" s="7">
        <v>1</v>
      </c>
      <c r="AG101" s="7">
        <v>16000</v>
      </c>
      <c r="AH101" s="7">
        <v>0</v>
      </c>
      <c r="AI101" s="7">
        <v>16000</v>
      </c>
      <c r="AJ101" t="s">
        <v>2576</v>
      </c>
    </row>
    <row r="102" spans="14:36" x14ac:dyDescent="0.3">
      <c r="N102" s="8">
        <v>2026</v>
      </c>
      <c r="O102" s="8">
        <v>7</v>
      </c>
      <c r="P102" s="9">
        <v>46216</v>
      </c>
      <c r="Q102" t="s">
        <v>238</v>
      </c>
      <c r="R102" t="s">
        <v>425</v>
      </c>
      <c r="S102" t="s">
        <v>426</v>
      </c>
      <c r="T102" t="s">
        <v>3207</v>
      </c>
      <c r="U102" t="s">
        <v>3208</v>
      </c>
      <c r="V102" t="s">
        <v>246</v>
      </c>
      <c r="W102" t="s">
        <v>244</v>
      </c>
      <c r="X102" t="s">
        <v>3688</v>
      </c>
      <c r="Y102" t="s">
        <v>191</v>
      </c>
      <c r="Z102" t="s">
        <v>335</v>
      </c>
      <c r="AA102" t="s">
        <v>337</v>
      </c>
      <c r="AB102" t="s">
        <v>2578</v>
      </c>
      <c r="AC102" t="s">
        <v>2579</v>
      </c>
      <c r="AD102" t="s">
        <v>2580</v>
      </c>
      <c r="AE102" s="7">
        <v>18000</v>
      </c>
      <c r="AF102" s="7">
        <v>1</v>
      </c>
      <c r="AG102" s="7">
        <v>18000</v>
      </c>
      <c r="AH102" s="7">
        <v>0</v>
      </c>
      <c r="AI102" s="7">
        <v>18000</v>
      </c>
      <c r="AJ102" t="s">
        <v>2579</v>
      </c>
    </row>
    <row r="103" spans="14:36" x14ac:dyDescent="0.3">
      <c r="N103" s="8">
        <v>2026</v>
      </c>
      <c r="O103" s="8">
        <v>7</v>
      </c>
      <c r="P103" s="9">
        <v>46215</v>
      </c>
      <c r="Q103" t="s">
        <v>238</v>
      </c>
      <c r="R103" t="s">
        <v>239</v>
      </c>
      <c r="S103" t="s">
        <v>240</v>
      </c>
      <c r="T103" t="s">
        <v>2410</v>
      </c>
      <c r="U103" t="s">
        <v>2411</v>
      </c>
      <c r="V103" t="s">
        <v>246</v>
      </c>
      <c r="W103" t="s">
        <v>244</v>
      </c>
      <c r="X103" t="s">
        <v>3689</v>
      </c>
      <c r="Y103" t="s">
        <v>191</v>
      </c>
      <c r="Z103" t="s">
        <v>335</v>
      </c>
      <c r="AA103" t="s">
        <v>337</v>
      </c>
      <c r="AB103" t="s">
        <v>2557</v>
      </c>
      <c r="AC103" t="s">
        <v>2558</v>
      </c>
      <c r="AD103" t="s">
        <v>2559</v>
      </c>
      <c r="AE103" s="7">
        <v>24000</v>
      </c>
      <c r="AF103" s="7">
        <v>4</v>
      </c>
      <c r="AG103" s="7">
        <v>96000</v>
      </c>
      <c r="AH103" s="7">
        <v>0</v>
      </c>
      <c r="AI103" s="7">
        <v>96000</v>
      </c>
      <c r="AJ103" t="s">
        <v>2558</v>
      </c>
    </row>
    <row r="104" spans="14:36" x14ac:dyDescent="0.3">
      <c r="N104" s="8">
        <v>2026</v>
      </c>
      <c r="O104" s="8">
        <v>7</v>
      </c>
      <c r="P104" s="9">
        <v>46215</v>
      </c>
      <c r="Q104" t="s">
        <v>238</v>
      </c>
      <c r="R104" t="s">
        <v>239</v>
      </c>
      <c r="S104" t="s">
        <v>240</v>
      </c>
      <c r="T104" t="s">
        <v>2686</v>
      </c>
      <c r="U104" t="s">
        <v>3543</v>
      </c>
      <c r="V104" t="s">
        <v>246</v>
      </c>
      <c r="W104" t="s">
        <v>244</v>
      </c>
      <c r="X104" t="s">
        <v>3690</v>
      </c>
      <c r="Y104" t="s">
        <v>194</v>
      </c>
      <c r="Z104" t="s">
        <v>195</v>
      </c>
      <c r="AA104" t="s">
        <v>196</v>
      </c>
      <c r="AB104" t="s">
        <v>68</v>
      </c>
      <c r="AC104" t="s">
        <v>66</v>
      </c>
      <c r="AD104" t="s">
        <v>67</v>
      </c>
      <c r="AE104" s="7">
        <v>360000</v>
      </c>
      <c r="AF104" s="7">
        <v>1</v>
      </c>
      <c r="AG104" s="7">
        <v>360000</v>
      </c>
      <c r="AH104" s="7">
        <v>0</v>
      </c>
      <c r="AI104" s="7">
        <v>360000</v>
      </c>
      <c r="AJ104" t="s">
        <v>66</v>
      </c>
    </row>
    <row r="105" spans="14:36" x14ac:dyDescent="0.3">
      <c r="N105" s="8">
        <v>2026</v>
      </c>
      <c r="O105" s="8">
        <v>7</v>
      </c>
      <c r="P105" s="9">
        <v>46215</v>
      </c>
      <c r="Q105" t="s">
        <v>238</v>
      </c>
      <c r="R105" t="s">
        <v>239</v>
      </c>
      <c r="S105" t="s">
        <v>240</v>
      </c>
      <c r="T105" t="s">
        <v>2686</v>
      </c>
      <c r="U105" t="s">
        <v>3543</v>
      </c>
      <c r="V105" t="s">
        <v>246</v>
      </c>
      <c r="W105" t="s">
        <v>244</v>
      </c>
      <c r="X105" t="s">
        <v>3690</v>
      </c>
      <c r="Y105" t="s">
        <v>194</v>
      </c>
      <c r="Z105" t="s">
        <v>195</v>
      </c>
      <c r="AA105" t="s">
        <v>196</v>
      </c>
      <c r="AB105" t="s">
        <v>59</v>
      </c>
      <c r="AC105" t="s">
        <v>57</v>
      </c>
      <c r="AD105" t="s">
        <v>58</v>
      </c>
      <c r="AE105" s="7">
        <v>330000</v>
      </c>
      <c r="AF105" s="7">
        <v>1</v>
      </c>
      <c r="AG105" s="7">
        <v>330000</v>
      </c>
      <c r="AH105" s="7">
        <v>0</v>
      </c>
      <c r="AI105" s="7">
        <v>330000</v>
      </c>
      <c r="AJ105" t="s">
        <v>57</v>
      </c>
    </row>
    <row r="106" spans="14:36" x14ac:dyDescent="0.3">
      <c r="N106" s="8">
        <v>2026</v>
      </c>
      <c r="O106" s="8">
        <v>7</v>
      </c>
      <c r="P106" s="9">
        <v>46215</v>
      </c>
      <c r="Q106" t="s">
        <v>238</v>
      </c>
      <c r="R106" t="s">
        <v>239</v>
      </c>
      <c r="S106" t="s">
        <v>240</v>
      </c>
      <c r="T106" t="s">
        <v>787</v>
      </c>
      <c r="U106" t="s">
        <v>788</v>
      </c>
      <c r="V106" t="s">
        <v>246</v>
      </c>
      <c r="W106" t="s">
        <v>244</v>
      </c>
      <c r="X106" t="s">
        <v>3691</v>
      </c>
      <c r="Y106" t="s">
        <v>191</v>
      </c>
      <c r="Z106" t="s">
        <v>335</v>
      </c>
      <c r="AA106" t="s">
        <v>337</v>
      </c>
      <c r="AB106" t="s">
        <v>541</v>
      </c>
      <c r="AC106" t="s">
        <v>542</v>
      </c>
      <c r="AD106" t="s">
        <v>543</v>
      </c>
      <c r="AE106" s="7">
        <v>69000</v>
      </c>
      <c r="AF106" s="7">
        <v>1</v>
      </c>
      <c r="AG106" s="7">
        <v>69000</v>
      </c>
      <c r="AH106" s="7">
        <v>0</v>
      </c>
      <c r="AI106" s="7">
        <v>69000</v>
      </c>
      <c r="AJ106" t="s">
        <v>542</v>
      </c>
    </row>
    <row r="107" spans="14:36" x14ac:dyDescent="0.3">
      <c r="N107" s="8">
        <v>2026</v>
      </c>
      <c r="O107" s="8">
        <v>7</v>
      </c>
      <c r="P107" s="9">
        <v>46215</v>
      </c>
      <c r="Q107" t="s">
        <v>238</v>
      </c>
      <c r="R107" t="s">
        <v>279</v>
      </c>
      <c r="S107" t="s">
        <v>280</v>
      </c>
      <c r="T107" t="s">
        <v>3692</v>
      </c>
      <c r="U107" t="s">
        <v>1064</v>
      </c>
      <c r="V107" t="s">
        <v>249</v>
      </c>
      <c r="W107" t="s">
        <v>244</v>
      </c>
      <c r="X107" t="s">
        <v>3693</v>
      </c>
      <c r="Y107" t="s">
        <v>191</v>
      </c>
      <c r="Z107" t="s">
        <v>335</v>
      </c>
      <c r="AA107" t="s">
        <v>337</v>
      </c>
      <c r="AB107" t="s">
        <v>2557</v>
      </c>
      <c r="AC107" t="s">
        <v>2558</v>
      </c>
      <c r="AD107" t="s">
        <v>2559</v>
      </c>
      <c r="AE107" s="7">
        <v>24000</v>
      </c>
      <c r="AF107" s="7">
        <v>1</v>
      </c>
      <c r="AG107" s="7">
        <v>24000</v>
      </c>
      <c r="AH107" s="7">
        <v>0</v>
      </c>
      <c r="AI107" s="7">
        <v>24000</v>
      </c>
      <c r="AJ107" t="s">
        <v>2558</v>
      </c>
    </row>
    <row r="108" spans="14:36" x14ac:dyDescent="0.3">
      <c r="N108" s="8">
        <v>2026</v>
      </c>
      <c r="O108" s="8">
        <v>7</v>
      </c>
      <c r="P108" s="9">
        <v>46215</v>
      </c>
      <c r="Q108" t="s">
        <v>238</v>
      </c>
      <c r="R108" t="s">
        <v>279</v>
      </c>
      <c r="S108" t="s">
        <v>280</v>
      </c>
      <c r="T108" t="s">
        <v>1832</v>
      </c>
      <c r="U108" t="s">
        <v>3694</v>
      </c>
      <c r="V108" t="s">
        <v>246</v>
      </c>
      <c r="W108" t="s">
        <v>244</v>
      </c>
      <c r="X108" t="s">
        <v>3695</v>
      </c>
      <c r="Y108" t="s">
        <v>168</v>
      </c>
      <c r="Z108" t="s">
        <v>171</v>
      </c>
      <c r="AA108" t="s">
        <v>175</v>
      </c>
      <c r="AB108" t="s">
        <v>140</v>
      </c>
      <c r="AC108" t="s">
        <v>138</v>
      </c>
      <c r="AD108" t="s">
        <v>139</v>
      </c>
      <c r="AE108" s="7">
        <v>125000</v>
      </c>
      <c r="AF108" s="7">
        <v>1</v>
      </c>
      <c r="AG108" s="7">
        <v>125000</v>
      </c>
      <c r="AH108" s="7">
        <v>12500</v>
      </c>
      <c r="AI108" s="7">
        <v>112500</v>
      </c>
      <c r="AJ108" t="s">
        <v>138</v>
      </c>
    </row>
    <row r="109" spans="14:36" x14ac:dyDescent="0.3">
      <c r="N109" s="8">
        <v>2026</v>
      </c>
      <c r="O109" s="8">
        <v>7</v>
      </c>
      <c r="P109" s="9">
        <v>46215</v>
      </c>
      <c r="Q109" t="s">
        <v>238</v>
      </c>
      <c r="R109" t="s">
        <v>279</v>
      </c>
      <c r="S109" t="s">
        <v>280</v>
      </c>
      <c r="T109" t="s">
        <v>1488</v>
      </c>
      <c r="U109" t="s">
        <v>1489</v>
      </c>
      <c r="V109" t="s">
        <v>246</v>
      </c>
      <c r="W109" t="s">
        <v>244</v>
      </c>
      <c r="X109" t="s">
        <v>3696</v>
      </c>
      <c r="Y109" t="s">
        <v>168</v>
      </c>
      <c r="Z109" t="s">
        <v>171</v>
      </c>
      <c r="AA109" t="s">
        <v>175</v>
      </c>
      <c r="AB109" t="s">
        <v>44</v>
      </c>
      <c r="AC109" t="s">
        <v>42</v>
      </c>
      <c r="AD109" t="s">
        <v>43</v>
      </c>
      <c r="AE109" s="7">
        <v>294000</v>
      </c>
      <c r="AF109" s="7">
        <v>1</v>
      </c>
      <c r="AG109" s="7">
        <v>294000</v>
      </c>
      <c r="AH109" s="7">
        <v>0</v>
      </c>
      <c r="AI109" s="7">
        <v>294000</v>
      </c>
      <c r="AJ109" t="s">
        <v>42</v>
      </c>
    </row>
    <row r="110" spans="14:36" x14ac:dyDescent="0.3">
      <c r="N110" s="8">
        <v>2026</v>
      </c>
      <c r="O110" s="8">
        <v>7</v>
      </c>
      <c r="P110" s="9">
        <v>46215</v>
      </c>
      <c r="Q110" t="s">
        <v>238</v>
      </c>
      <c r="R110" t="s">
        <v>279</v>
      </c>
      <c r="S110" t="s">
        <v>280</v>
      </c>
      <c r="T110" t="s">
        <v>3697</v>
      </c>
      <c r="U110" t="s">
        <v>3698</v>
      </c>
      <c r="V110" t="s">
        <v>249</v>
      </c>
      <c r="W110" t="s">
        <v>244</v>
      </c>
      <c r="X110" t="s">
        <v>3699</v>
      </c>
      <c r="Y110" t="s">
        <v>168</v>
      </c>
      <c r="Z110" t="s">
        <v>171</v>
      </c>
      <c r="AA110" t="s">
        <v>175</v>
      </c>
      <c r="AB110" t="s">
        <v>44</v>
      </c>
      <c r="AC110" t="s">
        <v>42</v>
      </c>
      <c r="AD110" t="s">
        <v>43</v>
      </c>
      <c r="AE110" s="7">
        <v>294000</v>
      </c>
      <c r="AF110" s="7">
        <v>1</v>
      </c>
      <c r="AG110" s="7">
        <v>294000</v>
      </c>
      <c r="AH110" s="7">
        <v>0</v>
      </c>
      <c r="AI110" s="7">
        <v>294000</v>
      </c>
      <c r="AJ110" t="s">
        <v>42</v>
      </c>
    </row>
    <row r="111" spans="14:36" x14ac:dyDescent="0.3">
      <c r="N111" s="8">
        <v>2026</v>
      </c>
      <c r="O111" s="8">
        <v>7</v>
      </c>
      <c r="P111" s="9">
        <v>46215</v>
      </c>
      <c r="Q111" t="s">
        <v>238</v>
      </c>
      <c r="R111" t="s">
        <v>303</v>
      </c>
      <c r="S111" t="s">
        <v>304</v>
      </c>
      <c r="T111" t="s">
        <v>305</v>
      </c>
      <c r="U111" t="s">
        <v>306</v>
      </c>
      <c r="V111" t="s">
        <v>243</v>
      </c>
      <c r="W111" t="s">
        <v>244</v>
      </c>
      <c r="X111" t="s">
        <v>3700</v>
      </c>
      <c r="Y111" t="s">
        <v>194</v>
      </c>
      <c r="Z111" t="s">
        <v>200</v>
      </c>
      <c r="AA111" t="s">
        <v>201</v>
      </c>
      <c r="AB111" t="s">
        <v>80</v>
      </c>
      <c r="AC111" t="s">
        <v>78</v>
      </c>
      <c r="AD111" t="s">
        <v>79</v>
      </c>
      <c r="AE111" s="7">
        <v>14000</v>
      </c>
      <c r="AF111" s="7">
        <v>1</v>
      </c>
      <c r="AG111" s="7">
        <v>14000</v>
      </c>
      <c r="AH111" s="7">
        <v>0</v>
      </c>
      <c r="AI111" s="7">
        <v>14000</v>
      </c>
      <c r="AJ111" t="s">
        <v>78</v>
      </c>
    </row>
    <row r="112" spans="14:36" x14ac:dyDescent="0.3">
      <c r="N112" s="8">
        <v>2026</v>
      </c>
      <c r="O112" s="8">
        <v>7</v>
      </c>
      <c r="P112" s="9">
        <v>46215</v>
      </c>
      <c r="Q112" t="s">
        <v>238</v>
      </c>
      <c r="R112" t="s">
        <v>303</v>
      </c>
      <c r="S112" t="s">
        <v>304</v>
      </c>
      <c r="T112" t="s">
        <v>3701</v>
      </c>
      <c r="U112" t="s">
        <v>3702</v>
      </c>
      <c r="V112" t="s">
        <v>246</v>
      </c>
      <c r="W112" t="s">
        <v>244</v>
      </c>
      <c r="X112" t="s">
        <v>3703</v>
      </c>
      <c r="Y112" t="s">
        <v>191</v>
      </c>
      <c r="Z112" t="s">
        <v>192</v>
      </c>
      <c r="AA112" t="s">
        <v>193</v>
      </c>
      <c r="AB112" t="s">
        <v>113</v>
      </c>
      <c r="AC112" t="s">
        <v>111</v>
      </c>
      <c r="AD112" t="s">
        <v>112</v>
      </c>
      <c r="AE112" s="7">
        <v>235000</v>
      </c>
      <c r="AF112" s="7">
        <v>1</v>
      </c>
      <c r="AG112" s="7">
        <v>235000</v>
      </c>
      <c r="AH112" s="7">
        <v>0</v>
      </c>
      <c r="AI112" s="7">
        <v>235000</v>
      </c>
      <c r="AJ112" t="s">
        <v>111</v>
      </c>
    </row>
    <row r="113" spans="14:36" x14ac:dyDescent="0.3">
      <c r="N113" s="8">
        <v>2026</v>
      </c>
      <c r="O113" s="8">
        <v>7</v>
      </c>
      <c r="P113" s="9">
        <v>46215</v>
      </c>
      <c r="Q113" t="s">
        <v>238</v>
      </c>
      <c r="R113" t="s">
        <v>303</v>
      </c>
      <c r="S113" t="s">
        <v>304</v>
      </c>
      <c r="T113" t="s">
        <v>916</v>
      </c>
      <c r="U113" t="s">
        <v>917</v>
      </c>
      <c r="V113" t="s">
        <v>246</v>
      </c>
      <c r="W113" t="s">
        <v>244</v>
      </c>
      <c r="X113" t="s">
        <v>3704</v>
      </c>
      <c r="Y113" t="s">
        <v>168</v>
      </c>
      <c r="Z113" t="s">
        <v>171</v>
      </c>
      <c r="AA113" t="s">
        <v>172</v>
      </c>
      <c r="AB113" t="s">
        <v>134</v>
      </c>
      <c r="AC113" t="s">
        <v>132</v>
      </c>
      <c r="AD113" t="s">
        <v>133</v>
      </c>
      <c r="AE113" s="7">
        <v>395000</v>
      </c>
      <c r="AF113" s="7">
        <v>1</v>
      </c>
      <c r="AG113" s="7">
        <v>395000</v>
      </c>
      <c r="AH113" s="7">
        <v>50000</v>
      </c>
      <c r="AI113" s="7">
        <v>345000</v>
      </c>
      <c r="AJ113" t="s">
        <v>132</v>
      </c>
    </row>
    <row r="114" spans="14:36" x14ac:dyDescent="0.3">
      <c r="N114" s="8">
        <v>2026</v>
      </c>
      <c r="O114" s="8">
        <v>7</v>
      </c>
      <c r="P114" s="9">
        <v>46215</v>
      </c>
      <c r="Q114" t="s">
        <v>238</v>
      </c>
      <c r="R114" t="s">
        <v>303</v>
      </c>
      <c r="S114" t="s">
        <v>304</v>
      </c>
      <c r="T114" t="s">
        <v>916</v>
      </c>
      <c r="U114" t="s">
        <v>917</v>
      </c>
      <c r="V114" t="s">
        <v>246</v>
      </c>
      <c r="W114" t="s">
        <v>244</v>
      </c>
      <c r="X114" t="s">
        <v>3704</v>
      </c>
      <c r="Y114" t="s">
        <v>168</v>
      </c>
      <c r="Z114" t="s">
        <v>171</v>
      </c>
      <c r="AA114" t="s">
        <v>173</v>
      </c>
      <c r="AB114" t="s">
        <v>17</v>
      </c>
      <c r="AC114" t="s">
        <v>15</v>
      </c>
      <c r="AD114" t="s">
        <v>16</v>
      </c>
      <c r="AE114" s="7">
        <v>435000</v>
      </c>
      <c r="AF114" s="7">
        <v>1</v>
      </c>
      <c r="AG114" s="7">
        <v>435000</v>
      </c>
      <c r="AH114" s="7">
        <v>0</v>
      </c>
      <c r="AI114" s="7">
        <v>435000</v>
      </c>
      <c r="AJ114" t="s">
        <v>15</v>
      </c>
    </row>
    <row r="115" spans="14:36" x14ac:dyDescent="0.3">
      <c r="N115" s="8">
        <v>2026</v>
      </c>
      <c r="O115" s="8">
        <v>7</v>
      </c>
      <c r="P115" s="9">
        <v>46215</v>
      </c>
      <c r="Q115" t="s">
        <v>238</v>
      </c>
      <c r="R115" t="s">
        <v>303</v>
      </c>
      <c r="S115" t="s">
        <v>304</v>
      </c>
      <c r="T115" t="s">
        <v>3705</v>
      </c>
      <c r="U115" t="s">
        <v>3706</v>
      </c>
      <c r="V115" t="s">
        <v>246</v>
      </c>
      <c r="W115" t="s">
        <v>244</v>
      </c>
      <c r="X115" t="s">
        <v>3707</v>
      </c>
      <c r="Y115" t="s">
        <v>191</v>
      </c>
      <c r="Z115" t="s">
        <v>335</v>
      </c>
      <c r="AA115" t="s">
        <v>336</v>
      </c>
      <c r="AB115" t="s">
        <v>2612</v>
      </c>
      <c r="AC115" t="s">
        <v>2613</v>
      </c>
      <c r="AD115" t="s">
        <v>2614</v>
      </c>
      <c r="AE115" s="7">
        <v>18000</v>
      </c>
      <c r="AF115" s="7">
        <v>5</v>
      </c>
      <c r="AG115" s="7">
        <v>90000</v>
      </c>
      <c r="AH115" s="7">
        <v>0</v>
      </c>
      <c r="AI115" s="7">
        <v>90000</v>
      </c>
      <c r="AJ115" t="s">
        <v>2613</v>
      </c>
    </row>
    <row r="116" spans="14:36" x14ac:dyDescent="0.3">
      <c r="N116" s="8">
        <v>2026</v>
      </c>
      <c r="O116" s="8">
        <v>7</v>
      </c>
      <c r="P116" s="9">
        <v>46215</v>
      </c>
      <c r="Q116" t="s">
        <v>238</v>
      </c>
      <c r="R116" t="s">
        <v>303</v>
      </c>
      <c r="S116" t="s">
        <v>304</v>
      </c>
      <c r="T116" t="s">
        <v>3708</v>
      </c>
      <c r="U116" t="s">
        <v>928</v>
      </c>
      <c r="V116" t="s">
        <v>246</v>
      </c>
      <c r="W116" t="s">
        <v>244</v>
      </c>
      <c r="X116" t="s">
        <v>3709</v>
      </c>
      <c r="Y116" t="s">
        <v>194</v>
      </c>
      <c r="Z116" t="s">
        <v>200</v>
      </c>
      <c r="AA116" t="s">
        <v>201</v>
      </c>
      <c r="AB116" t="s">
        <v>77</v>
      </c>
      <c r="AC116" t="s">
        <v>75</v>
      </c>
      <c r="AD116" t="s">
        <v>76</v>
      </c>
      <c r="AE116" s="7">
        <v>52000</v>
      </c>
      <c r="AF116" s="7">
        <v>1</v>
      </c>
      <c r="AG116" s="7">
        <v>52000</v>
      </c>
      <c r="AH116" s="7">
        <v>0</v>
      </c>
      <c r="AI116" s="7">
        <v>52000</v>
      </c>
      <c r="AJ116" t="s">
        <v>75</v>
      </c>
    </row>
    <row r="117" spans="14:36" x14ac:dyDescent="0.3">
      <c r="N117" s="8">
        <v>2026</v>
      </c>
      <c r="O117" s="8">
        <v>7</v>
      </c>
      <c r="P117" s="9">
        <v>46215</v>
      </c>
      <c r="Q117" t="s">
        <v>238</v>
      </c>
      <c r="R117" t="s">
        <v>303</v>
      </c>
      <c r="S117" t="s">
        <v>304</v>
      </c>
      <c r="T117" t="s">
        <v>2540</v>
      </c>
      <c r="U117" t="s">
        <v>1462</v>
      </c>
      <c r="V117" t="s">
        <v>246</v>
      </c>
      <c r="W117" t="s">
        <v>244</v>
      </c>
      <c r="X117" t="s">
        <v>3710</v>
      </c>
      <c r="Y117" t="s">
        <v>168</v>
      </c>
      <c r="Z117" t="s">
        <v>171</v>
      </c>
      <c r="AA117" t="s">
        <v>173</v>
      </c>
      <c r="AB117" t="s">
        <v>29</v>
      </c>
      <c r="AC117" t="s">
        <v>27</v>
      </c>
      <c r="AD117" t="s">
        <v>28</v>
      </c>
      <c r="AE117" s="7">
        <v>575000</v>
      </c>
      <c r="AF117" s="7">
        <v>1</v>
      </c>
      <c r="AG117" s="7">
        <v>575000</v>
      </c>
      <c r="AH117" s="7">
        <v>0</v>
      </c>
      <c r="AI117" s="7">
        <v>575000</v>
      </c>
      <c r="AJ117" t="s">
        <v>27</v>
      </c>
    </row>
    <row r="118" spans="14:36" x14ac:dyDescent="0.3">
      <c r="N118" s="8">
        <v>2026</v>
      </c>
      <c r="O118" s="8">
        <v>7</v>
      </c>
      <c r="P118" s="9">
        <v>46215</v>
      </c>
      <c r="Q118" t="s">
        <v>238</v>
      </c>
      <c r="R118" t="s">
        <v>351</v>
      </c>
      <c r="S118" t="s">
        <v>352</v>
      </c>
      <c r="T118" t="s">
        <v>2122</v>
      </c>
      <c r="U118" t="s">
        <v>2123</v>
      </c>
      <c r="V118" t="s">
        <v>246</v>
      </c>
      <c r="W118" t="s">
        <v>244</v>
      </c>
      <c r="X118" t="s">
        <v>3711</v>
      </c>
      <c r="Y118" t="s">
        <v>191</v>
      </c>
      <c r="Z118" t="s">
        <v>335</v>
      </c>
      <c r="AA118" t="s">
        <v>336</v>
      </c>
      <c r="AB118" t="s">
        <v>2575</v>
      </c>
      <c r="AC118" t="s">
        <v>2576</v>
      </c>
      <c r="AD118" t="s">
        <v>2577</v>
      </c>
      <c r="AE118" s="7">
        <v>16000</v>
      </c>
      <c r="AF118" s="7">
        <v>2</v>
      </c>
      <c r="AG118" s="7">
        <v>32000</v>
      </c>
      <c r="AH118" s="7">
        <v>0</v>
      </c>
      <c r="AI118" s="7">
        <v>32000</v>
      </c>
      <c r="AJ118" t="s">
        <v>2576</v>
      </c>
    </row>
    <row r="119" spans="14:36" x14ac:dyDescent="0.3">
      <c r="N119" s="8">
        <v>2026</v>
      </c>
      <c r="O119" s="8">
        <v>7</v>
      </c>
      <c r="P119" s="9">
        <v>46215</v>
      </c>
      <c r="Q119" t="s">
        <v>238</v>
      </c>
      <c r="R119" t="s">
        <v>351</v>
      </c>
      <c r="S119" t="s">
        <v>352</v>
      </c>
      <c r="T119" t="s">
        <v>3712</v>
      </c>
      <c r="U119" t="s">
        <v>353</v>
      </c>
      <c r="V119" t="s">
        <v>249</v>
      </c>
      <c r="W119" t="s">
        <v>244</v>
      </c>
      <c r="X119" t="s">
        <v>3713</v>
      </c>
      <c r="Y119" t="s">
        <v>191</v>
      </c>
      <c r="Z119" t="s">
        <v>335</v>
      </c>
      <c r="AA119" t="s">
        <v>336</v>
      </c>
      <c r="AB119" t="s">
        <v>2566</v>
      </c>
      <c r="AC119" t="s">
        <v>2567</v>
      </c>
      <c r="AD119" t="s">
        <v>2568</v>
      </c>
      <c r="AE119" s="7">
        <v>15000</v>
      </c>
      <c r="AF119" s="7">
        <v>1</v>
      </c>
      <c r="AG119" s="7">
        <v>15000</v>
      </c>
      <c r="AH119" s="7">
        <v>0</v>
      </c>
      <c r="AI119" s="7">
        <v>15000</v>
      </c>
      <c r="AJ119" t="s">
        <v>2567</v>
      </c>
    </row>
    <row r="120" spans="14:36" x14ac:dyDescent="0.3">
      <c r="N120" s="8">
        <v>2026</v>
      </c>
      <c r="O120" s="8">
        <v>7</v>
      </c>
      <c r="P120" s="9">
        <v>46215</v>
      </c>
      <c r="Q120" t="s">
        <v>238</v>
      </c>
      <c r="R120" t="s">
        <v>351</v>
      </c>
      <c r="S120" t="s">
        <v>352</v>
      </c>
      <c r="T120" t="s">
        <v>3714</v>
      </c>
      <c r="U120" t="s">
        <v>3715</v>
      </c>
      <c r="V120" t="s">
        <v>249</v>
      </c>
      <c r="W120" t="s">
        <v>244</v>
      </c>
      <c r="X120" t="s">
        <v>3716</v>
      </c>
      <c r="Y120" t="s">
        <v>191</v>
      </c>
      <c r="Z120" t="s">
        <v>335</v>
      </c>
      <c r="AA120" t="s">
        <v>336</v>
      </c>
      <c r="AB120" t="s">
        <v>2587</v>
      </c>
      <c r="AC120" t="s">
        <v>2588</v>
      </c>
      <c r="AD120" t="s">
        <v>2589</v>
      </c>
      <c r="AE120" s="7">
        <v>22000</v>
      </c>
      <c r="AF120" s="7">
        <v>1</v>
      </c>
      <c r="AG120" s="7">
        <v>22000</v>
      </c>
      <c r="AH120" s="7">
        <v>0</v>
      </c>
      <c r="AI120" s="7">
        <v>22000</v>
      </c>
      <c r="AJ120" t="s">
        <v>2588</v>
      </c>
    </row>
    <row r="121" spans="14:36" x14ac:dyDescent="0.3">
      <c r="N121" s="8">
        <v>2026</v>
      </c>
      <c r="O121" s="8">
        <v>7</v>
      </c>
      <c r="P121" s="9">
        <v>46215</v>
      </c>
      <c r="Q121" t="s">
        <v>238</v>
      </c>
      <c r="R121" t="s">
        <v>351</v>
      </c>
      <c r="S121" t="s">
        <v>352</v>
      </c>
      <c r="T121" t="s">
        <v>3714</v>
      </c>
      <c r="U121" t="s">
        <v>3715</v>
      </c>
      <c r="V121" t="s">
        <v>249</v>
      </c>
      <c r="W121" t="s">
        <v>244</v>
      </c>
      <c r="X121" t="s">
        <v>3716</v>
      </c>
      <c r="Y121" t="s">
        <v>191</v>
      </c>
      <c r="Z121" t="s">
        <v>335</v>
      </c>
      <c r="AA121" t="s">
        <v>337</v>
      </c>
      <c r="AB121" t="s">
        <v>2557</v>
      </c>
      <c r="AC121" t="s">
        <v>2558</v>
      </c>
      <c r="AD121" t="s">
        <v>2559</v>
      </c>
      <c r="AE121" s="7">
        <v>24000</v>
      </c>
      <c r="AF121" s="7">
        <v>1</v>
      </c>
      <c r="AG121" s="7">
        <v>24000</v>
      </c>
      <c r="AH121" s="7">
        <v>0</v>
      </c>
      <c r="AI121" s="7">
        <v>24000</v>
      </c>
      <c r="AJ121" t="s">
        <v>2558</v>
      </c>
    </row>
    <row r="122" spans="14:36" x14ac:dyDescent="0.3">
      <c r="N122" s="8">
        <v>2026</v>
      </c>
      <c r="O122" s="8">
        <v>7</v>
      </c>
      <c r="P122" s="9">
        <v>46215</v>
      </c>
      <c r="Q122" t="s">
        <v>238</v>
      </c>
      <c r="R122" t="s">
        <v>374</v>
      </c>
      <c r="S122" t="s">
        <v>375</v>
      </c>
      <c r="T122" t="s">
        <v>376</v>
      </c>
      <c r="U122" t="s">
        <v>377</v>
      </c>
      <c r="V122" t="s">
        <v>243</v>
      </c>
      <c r="W122" t="s">
        <v>244</v>
      </c>
      <c r="X122" t="s">
        <v>3717</v>
      </c>
      <c r="Y122" t="s">
        <v>194</v>
      </c>
      <c r="Z122" t="s">
        <v>200</v>
      </c>
      <c r="AA122" t="s">
        <v>201</v>
      </c>
      <c r="AB122" t="s">
        <v>89</v>
      </c>
      <c r="AC122" t="s">
        <v>87</v>
      </c>
      <c r="AD122" t="s">
        <v>88</v>
      </c>
      <c r="AE122" s="7">
        <v>46000</v>
      </c>
      <c r="AF122" s="7">
        <v>1</v>
      </c>
      <c r="AG122" s="7">
        <v>46000</v>
      </c>
      <c r="AH122" s="7">
        <v>0</v>
      </c>
      <c r="AI122" s="7">
        <v>46000</v>
      </c>
      <c r="AJ122" t="s">
        <v>87</v>
      </c>
    </row>
    <row r="123" spans="14:36" x14ac:dyDescent="0.3">
      <c r="N123" s="8">
        <v>2026</v>
      </c>
      <c r="O123" s="8">
        <v>7</v>
      </c>
      <c r="P123" s="9">
        <v>46215</v>
      </c>
      <c r="Q123" t="s">
        <v>238</v>
      </c>
      <c r="R123" t="s">
        <v>374</v>
      </c>
      <c r="S123" t="s">
        <v>375</v>
      </c>
      <c r="T123" t="s">
        <v>376</v>
      </c>
      <c r="U123" t="s">
        <v>377</v>
      </c>
      <c r="V123" t="s">
        <v>243</v>
      </c>
      <c r="W123" t="s">
        <v>244</v>
      </c>
      <c r="X123" t="s">
        <v>3718</v>
      </c>
      <c r="Y123" t="s">
        <v>183</v>
      </c>
      <c r="Z123" t="s">
        <v>186</v>
      </c>
      <c r="AA123" t="s">
        <v>188</v>
      </c>
      <c r="AB123" t="s">
        <v>155</v>
      </c>
      <c r="AC123" t="s">
        <v>153</v>
      </c>
      <c r="AD123" t="s">
        <v>154</v>
      </c>
      <c r="AE123" s="7">
        <v>320000</v>
      </c>
      <c r="AF123" s="7">
        <v>1</v>
      </c>
      <c r="AG123" s="7">
        <v>320000</v>
      </c>
      <c r="AH123" s="7">
        <v>0</v>
      </c>
      <c r="AI123" s="7">
        <v>320000</v>
      </c>
      <c r="AJ123" t="s">
        <v>153</v>
      </c>
    </row>
    <row r="124" spans="14:36" x14ac:dyDescent="0.3">
      <c r="N124" s="8">
        <v>2026</v>
      </c>
      <c r="O124" s="8">
        <v>7</v>
      </c>
      <c r="P124" s="9">
        <v>46215</v>
      </c>
      <c r="Q124" t="s">
        <v>238</v>
      </c>
      <c r="R124" t="s">
        <v>374</v>
      </c>
      <c r="S124" t="s">
        <v>375</v>
      </c>
      <c r="T124" t="s">
        <v>1412</v>
      </c>
      <c r="U124" t="s">
        <v>3719</v>
      </c>
      <c r="V124" t="s">
        <v>246</v>
      </c>
      <c r="W124" t="s">
        <v>244</v>
      </c>
      <c r="X124" t="s">
        <v>3720</v>
      </c>
      <c r="Y124" t="s">
        <v>191</v>
      </c>
      <c r="Z124" t="s">
        <v>335</v>
      </c>
      <c r="AA124" t="s">
        <v>337</v>
      </c>
      <c r="AB124" t="s">
        <v>864</v>
      </c>
      <c r="AC124" t="s">
        <v>865</v>
      </c>
      <c r="AD124" t="s">
        <v>866</v>
      </c>
      <c r="AE124" s="7">
        <v>139000</v>
      </c>
      <c r="AF124" s="7">
        <v>1</v>
      </c>
      <c r="AG124" s="7">
        <v>139000</v>
      </c>
      <c r="AH124" s="7">
        <v>0</v>
      </c>
      <c r="AI124" s="7">
        <v>139000</v>
      </c>
      <c r="AJ124" t="s">
        <v>865</v>
      </c>
    </row>
    <row r="125" spans="14:36" x14ac:dyDescent="0.3">
      <c r="N125" s="8">
        <v>2026</v>
      </c>
      <c r="O125" s="8">
        <v>7</v>
      </c>
      <c r="P125" s="9">
        <v>46215</v>
      </c>
      <c r="Q125" t="s">
        <v>238</v>
      </c>
      <c r="R125" t="s">
        <v>374</v>
      </c>
      <c r="S125" t="s">
        <v>375</v>
      </c>
      <c r="T125" t="s">
        <v>382</v>
      </c>
      <c r="U125" t="s">
        <v>383</v>
      </c>
      <c r="V125" t="s">
        <v>243</v>
      </c>
      <c r="W125" t="s">
        <v>244</v>
      </c>
      <c r="X125" t="s">
        <v>3721</v>
      </c>
      <c r="Y125" t="s">
        <v>191</v>
      </c>
      <c r="Z125" t="s">
        <v>335</v>
      </c>
      <c r="AA125" t="s">
        <v>336</v>
      </c>
      <c r="AB125" t="s">
        <v>2569</v>
      </c>
      <c r="AC125" t="s">
        <v>2570</v>
      </c>
      <c r="AD125" t="s">
        <v>2571</v>
      </c>
      <c r="AE125" s="7">
        <v>23000</v>
      </c>
      <c r="AF125" s="7">
        <v>3</v>
      </c>
      <c r="AG125" s="7">
        <v>69000</v>
      </c>
      <c r="AH125" s="7">
        <v>0</v>
      </c>
      <c r="AI125" s="7">
        <v>69000</v>
      </c>
      <c r="AJ125" t="s">
        <v>2570</v>
      </c>
    </row>
    <row r="126" spans="14:36" x14ac:dyDescent="0.3">
      <c r="N126" s="8">
        <v>2026</v>
      </c>
      <c r="O126" s="8">
        <v>7</v>
      </c>
      <c r="P126" s="9">
        <v>46215</v>
      </c>
      <c r="Q126" t="s">
        <v>238</v>
      </c>
      <c r="R126" t="s">
        <v>374</v>
      </c>
      <c r="S126" t="s">
        <v>375</v>
      </c>
      <c r="T126" t="s">
        <v>382</v>
      </c>
      <c r="U126" t="s">
        <v>383</v>
      </c>
      <c r="V126" t="s">
        <v>243</v>
      </c>
      <c r="W126" t="s">
        <v>244</v>
      </c>
      <c r="X126" t="s">
        <v>3722</v>
      </c>
      <c r="Y126" t="s">
        <v>191</v>
      </c>
      <c r="Z126" t="s">
        <v>335</v>
      </c>
      <c r="AA126" t="s">
        <v>336</v>
      </c>
      <c r="AB126" t="s">
        <v>2582</v>
      </c>
      <c r="AC126" t="s">
        <v>2583</v>
      </c>
      <c r="AD126" t="s">
        <v>2584</v>
      </c>
      <c r="AE126" s="7">
        <v>18000</v>
      </c>
      <c r="AF126" s="7">
        <v>1</v>
      </c>
      <c r="AG126" s="7">
        <v>18000</v>
      </c>
      <c r="AH126" s="7">
        <v>0</v>
      </c>
      <c r="AI126" s="7">
        <v>18000</v>
      </c>
      <c r="AJ126" t="s">
        <v>2583</v>
      </c>
    </row>
    <row r="127" spans="14:36" x14ac:dyDescent="0.3">
      <c r="N127" s="8">
        <v>2026</v>
      </c>
      <c r="O127" s="8">
        <v>7</v>
      </c>
      <c r="P127" s="9">
        <v>46215</v>
      </c>
      <c r="Q127" t="s">
        <v>238</v>
      </c>
      <c r="R127" t="s">
        <v>374</v>
      </c>
      <c r="S127" t="s">
        <v>375</v>
      </c>
      <c r="T127" t="s">
        <v>382</v>
      </c>
      <c r="U127" t="s">
        <v>383</v>
      </c>
      <c r="V127" t="s">
        <v>243</v>
      </c>
      <c r="W127" t="s">
        <v>244</v>
      </c>
      <c r="X127" t="s">
        <v>3722</v>
      </c>
      <c r="Y127" t="s">
        <v>191</v>
      </c>
      <c r="Z127" t="s">
        <v>335</v>
      </c>
      <c r="AA127" t="s">
        <v>337</v>
      </c>
      <c r="AB127" t="s">
        <v>2578</v>
      </c>
      <c r="AC127" t="s">
        <v>2579</v>
      </c>
      <c r="AD127" t="s">
        <v>2580</v>
      </c>
      <c r="AE127" s="7">
        <v>18000</v>
      </c>
      <c r="AF127" s="7">
        <v>1</v>
      </c>
      <c r="AG127" s="7">
        <v>18000</v>
      </c>
      <c r="AH127" s="7">
        <v>0</v>
      </c>
      <c r="AI127" s="7">
        <v>18000</v>
      </c>
      <c r="AJ127" t="s">
        <v>2579</v>
      </c>
    </row>
    <row r="128" spans="14:36" x14ac:dyDescent="0.3">
      <c r="N128" s="8">
        <v>2026</v>
      </c>
      <c r="O128" s="8">
        <v>7</v>
      </c>
      <c r="P128" s="9">
        <v>46215</v>
      </c>
      <c r="Q128" t="s">
        <v>238</v>
      </c>
      <c r="R128" t="s">
        <v>374</v>
      </c>
      <c r="S128" t="s">
        <v>375</v>
      </c>
      <c r="T128" t="s">
        <v>382</v>
      </c>
      <c r="U128" t="s">
        <v>383</v>
      </c>
      <c r="V128" t="s">
        <v>243</v>
      </c>
      <c r="W128" t="s">
        <v>244</v>
      </c>
      <c r="X128" t="s">
        <v>3723</v>
      </c>
      <c r="Y128" t="s">
        <v>191</v>
      </c>
      <c r="Z128" t="s">
        <v>335</v>
      </c>
      <c r="AA128" t="s">
        <v>337</v>
      </c>
      <c r="AB128" t="s">
        <v>2578</v>
      </c>
      <c r="AC128" t="s">
        <v>2579</v>
      </c>
      <c r="AD128" t="s">
        <v>2580</v>
      </c>
      <c r="AE128" s="7">
        <v>18000</v>
      </c>
      <c r="AF128" s="7">
        <v>1</v>
      </c>
      <c r="AG128" s="7">
        <v>18000</v>
      </c>
      <c r="AH128" s="7">
        <v>0</v>
      </c>
      <c r="AI128" s="7">
        <v>18000</v>
      </c>
      <c r="AJ128" t="s">
        <v>2579</v>
      </c>
    </row>
    <row r="129" spans="14:36" x14ac:dyDescent="0.3">
      <c r="N129" s="8">
        <v>2026</v>
      </c>
      <c r="O129" s="8">
        <v>7</v>
      </c>
      <c r="P129" s="9">
        <v>46215</v>
      </c>
      <c r="Q129" t="s">
        <v>238</v>
      </c>
      <c r="R129" t="s">
        <v>396</v>
      </c>
      <c r="S129" t="s">
        <v>397</v>
      </c>
      <c r="T129" t="s">
        <v>3724</v>
      </c>
      <c r="U129" t="s">
        <v>368</v>
      </c>
      <c r="V129" t="s">
        <v>246</v>
      </c>
      <c r="W129" t="s">
        <v>244</v>
      </c>
      <c r="X129" t="s">
        <v>3725</v>
      </c>
      <c r="Y129" t="s">
        <v>191</v>
      </c>
      <c r="Z129" t="s">
        <v>192</v>
      </c>
      <c r="AA129" t="s">
        <v>193</v>
      </c>
      <c r="AB129" t="s">
        <v>113</v>
      </c>
      <c r="AC129" t="s">
        <v>111</v>
      </c>
      <c r="AD129" t="s">
        <v>112</v>
      </c>
      <c r="AE129" s="7">
        <v>235000</v>
      </c>
      <c r="AF129" s="7">
        <v>1</v>
      </c>
      <c r="AG129" s="7">
        <v>235000</v>
      </c>
      <c r="AH129" s="7">
        <v>0</v>
      </c>
      <c r="AI129" s="7">
        <v>235000</v>
      </c>
      <c r="AJ129" t="s">
        <v>111</v>
      </c>
    </row>
    <row r="130" spans="14:36" x14ac:dyDescent="0.3">
      <c r="N130" s="8">
        <v>2026</v>
      </c>
      <c r="O130" s="8">
        <v>7</v>
      </c>
      <c r="P130" s="9">
        <v>46215</v>
      </c>
      <c r="Q130" t="s">
        <v>238</v>
      </c>
      <c r="R130" t="s">
        <v>415</v>
      </c>
      <c r="S130" t="s">
        <v>416</v>
      </c>
      <c r="T130" t="s">
        <v>3726</v>
      </c>
      <c r="U130" t="s">
        <v>308</v>
      </c>
      <c r="V130" t="s">
        <v>249</v>
      </c>
      <c r="W130" t="s">
        <v>244</v>
      </c>
      <c r="X130" t="s">
        <v>3727</v>
      </c>
      <c r="Y130" t="s">
        <v>168</v>
      </c>
      <c r="Z130" t="s">
        <v>171</v>
      </c>
      <c r="AA130" t="s">
        <v>173</v>
      </c>
      <c r="AB130" t="s">
        <v>29</v>
      </c>
      <c r="AC130" t="s">
        <v>27</v>
      </c>
      <c r="AD130" t="s">
        <v>28</v>
      </c>
      <c r="AE130" s="7">
        <v>575000</v>
      </c>
      <c r="AF130" s="7">
        <v>1</v>
      </c>
      <c r="AG130" s="7">
        <v>575000</v>
      </c>
      <c r="AH130" s="7">
        <v>0</v>
      </c>
      <c r="AI130" s="7">
        <v>575000</v>
      </c>
      <c r="AJ130" t="s">
        <v>27</v>
      </c>
    </row>
    <row r="131" spans="14:36" x14ac:dyDescent="0.3">
      <c r="N131" s="8">
        <v>2026</v>
      </c>
      <c r="O131" s="8">
        <v>7</v>
      </c>
      <c r="P131" s="9">
        <v>46215</v>
      </c>
      <c r="Q131" t="s">
        <v>238</v>
      </c>
      <c r="R131" t="s">
        <v>415</v>
      </c>
      <c r="S131" t="s">
        <v>416</v>
      </c>
      <c r="T131" t="s">
        <v>3726</v>
      </c>
      <c r="U131" t="s">
        <v>308</v>
      </c>
      <c r="V131" t="s">
        <v>249</v>
      </c>
      <c r="W131" t="s">
        <v>244</v>
      </c>
      <c r="X131" t="s">
        <v>3727</v>
      </c>
      <c r="Y131" t="s">
        <v>168</v>
      </c>
      <c r="Z131" t="s">
        <v>171</v>
      </c>
      <c r="AA131" t="s">
        <v>173</v>
      </c>
      <c r="AB131" t="s">
        <v>26</v>
      </c>
      <c r="AC131" t="s">
        <v>24</v>
      </c>
      <c r="AD131" t="s">
        <v>25</v>
      </c>
      <c r="AE131" s="7">
        <v>555000</v>
      </c>
      <c r="AF131" s="7">
        <v>1</v>
      </c>
      <c r="AG131" s="7">
        <v>555000</v>
      </c>
      <c r="AH131" s="7">
        <v>0</v>
      </c>
      <c r="AI131" s="7">
        <v>555000</v>
      </c>
      <c r="AJ131" t="s">
        <v>24</v>
      </c>
    </row>
    <row r="132" spans="14:36" x14ac:dyDescent="0.3">
      <c r="N132" s="8">
        <v>2026</v>
      </c>
      <c r="O132" s="8">
        <v>7</v>
      </c>
      <c r="P132" s="9">
        <v>46215</v>
      </c>
      <c r="Q132" t="s">
        <v>238</v>
      </c>
      <c r="R132" t="s">
        <v>415</v>
      </c>
      <c r="S132" t="s">
        <v>416</v>
      </c>
      <c r="T132" t="s">
        <v>3726</v>
      </c>
      <c r="U132" t="s">
        <v>308</v>
      </c>
      <c r="V132" t="s">
        <v>249</v>
      </c>
      <c r="W132" t="s">
        <v>244</v>
      </c>
      <c r="X132" t="s">
        <v>3727</v>
      </c>
      <c r="Y132" t="s">
        <v>168</v>
      </c>
      <c r="Z132" t="s">
        <v>171</v>
      </c>
      <c r="AA132" t="s">
        <v>175</v>
      </c>
      <c r="AB132" t="s">
        <v>41</v>
      </c>
      <c r="AC132" t="s">
        <v>39</v>
      </c>
      <c r="AD132" t="s">
        <v>40</v>
      </c>
      <c r="AE132" s="7">
        <v>295000</v>
      </c>
      <c r="AF132" s="7">
        <v>1</v>
      </c>
      <c r="AG132" s="7">
        <v>295000</v>
      </c>
      <c r="AH132" s="7">
        <v>295000</v>
      </c>
      <c r="AI132" s="7">
        <v>0</v>
      </c>
      <c r="AJ132" t="s">
        <v>39</v>
      </c>
    </row>
    <row r="133" spans="14:36" x14ac:dyDescent="0.3">
      <c r="N133" s="8">
        <v>2026</v>
      </c>
      <c r="O133" s="8">
        <v>7</v>
      </c>
      <c r="P133" s="9">
        <v>46215</v>
      </c>
      <c r="Q133" t="s">
        <v>238</v>
      </c>
      <c r="R133" t="s">
        <v>415</v>
      </c>
      <c r="S133" t="s">
        <v>416</v>
      </c>
      <c r="T133" t="s">
        <v>3728</v>
      </c>
      <c r="U133" t="s">
        <v>3729</v>
      </c>
      <c r="V133" t="s">
        <v>246</v>
      </c>
      <c r="W133" t="s">
        <v>244</v>
      </c>
      <c r="X133" t="s">
        <v>3730</v>
      </c>
      <c r="Y133" t="s">
        <v>191</v>
      </c>
      <c r="Z133" t="s">
        <v>192</v>
      </c>
      <c r="AA133" t="s">
        <v>193</v>
      </c>
      <c r="AB133" t="s">
        <v>107</v>
      </c>
      <c r="AC133" t="s">
        <v>105</v>
      </c>
      <c r="AD133" t="s">
        <v>106</v>
      </c>
      <c r="AE133" s="7">
        <v>235000</v>
      </c>
      <c r="AF133" s="7">
        <v>1</v>
      </c>
      <c r="AG133" s="7">
        <v>235000</v>
      </c>
      <c r="AH133" s="7">
        <v>0</v>
      </c>
      <c r="AI133" s="7">
        <v>235000</v>
      </c>
      <c r="AJ133" t="s">
        <v>105</v>
      </c>
    </row>
    <row r="134" spans="14:36" x14ac:dyDescent="0.3">
      <c r="N134" s="8">
        <v>2026</v>
      </c>
      <c r="O134" s="8">
        <v>7</v>
      </c>
      <c r="P134" s="9">
        <v>46214</v>
      </c>
      <c r="Q134" t="s">
        <v>238</v>
      </c>
      <c r="R134" t="s">
        <v>239</v>
      </c>
      <c r="S134" t="s">
        <v>240</v>
      </c>
      <c r="T134" t="s">
        <v>241</v>
      </c>
      <c r="U134" t="s">
        <v>3655</v>
      </c>
      <c r="V134" t="s">
        <v>243</v>
      </c>
      <c r="W134" t="s">
        <v>244</v>
      </c>
      <c r="X134" t="s">
        <v>3731</v>
      </c>
      <c r="Y134" t="s">
        <v>191</v>
      </c>
      <c r="Z134" t="s">
        <v>335</v>
      </c>
      <c r="AA134" t="s">
        <v>336</v>
      </c>
      <c r="AB134" t="s">
        <v>1284</v>
      </c>
      <c r="AC134" t="s">
        <v>1285</v>
      </c>
      <c r="AD134" t="s">
        <v>1286</v>
      </c>
      <c r="AE134" s="7">
        <v>99000</v>
      </c>
      <c r="AF134" s="7">
        <v>1</v>
      </c>
      <c r="AG134" s="7">
        <v>99000</v>
      </c>
      <c r="AH134" s="7">
        <v>0</v>
      </c>
      <c r="AI134" s="7">
        <v>99000</v>
      </c>
      <c r="AJ134" t="s">
        <v>1285</v>
      </c>
    </row>
    <row r="135" spans="14:36" x14ac:dyDescent="0.3">
      <c r="N135" s="8">
        <v>2026</v>
      </c>
      <c r="O135" s="8">
        <v>7</v>
      </c>
      <c r="P135" s="9">
        <v>46214</v>
      </c>
      <c r="Q135" t="s">
        <v>238</v>
      </c>
      <c r="R135" t="s">
        <v>239</v>
      </c>
      <c r="S135" t="s">
        <v>240</v>
      </c>
      <c r="T135" t="s">
        <v>241</v>
      </c>
      <c r="U135" t="s">
        <v>3655</v>
      </c>
      <c r="V135" t="s">
        <v>243</v>
      </c>
      <c r="W135" t="s">
        <v>244</v>
      </c>
      <c r="X135" t="s">
        <v>3731</v>
      </c>
      <c r="Y135" t="s">
        <v>191</v>
      </c>
      <c r="Z135" t="s">
        <v>335</v>
      </c>
      <c r="AA135" t="s">
        <v>336</v>
      </c>
      <c r="AB135" t="s">
        <v>1146</v>
      </c>
      <c r="AC135" t="s">
        <v>1147</v>
      </c>
      <c r="AD135" t="s">
        <v>1148</v>
      </c>
      <c r="AE135" s="7">
        <v>99000</v>
      </c>
      <c r="AF135" s="7">
        <v>1</v>
      </c>
      <c r="AG135" s="7">
        <v>99000</v>
      </c>
      <c r="AH135" s="7">
        <v>0</v>
      </c>
      <c r="AI135" s="7">
        <v>99000</v>
      </c>
      <c r="AJ135" t="s">
        <v>1147</v>
      </c>
    </row>
    <row r="136" spans="14:36" x14ac:dyDescent="0.3">
      <c r="N136" s="8">
        <v>2026</v>
      </c>
      <c r="O136" s="8">
        <v>7</v>
      </c>
      <c r="P136" s="9">
        <v>46214</v>
      </c>
      <c r="Q136" t="s">
        <v>238</v>
      </c>
      <c r="R136" t="s">
        <v>239</v>
      </c>
      <c r="S136" t="s">
        <v>240</v>
      </c>
      <c r="T136" t="s">
        <v>3732</v>
      </c>
      <c r="U136" t="s">
        <v>506</v>
      </c>
      <c r="V136" t="s">
        <v>246</v>
      </c>
      <c r="W136" t="s">
        <v>244</v>
      </c>
      <c r="X136" t="s">
        <v>3733</v>
      </c>
      <c r="Y136" t="s">
        <v>191</v>
      </c>
      <c r="Z136" t="s">
        <v>335</v>
      </c>
      <c r="AA136" t="s">
        <v>337</v>
      </c>
      <c r="AB136" t="s">
        <v>719</v>
      </c>
      <c r="AC136" t="s">
        <v>720</v>
      </c>
      <c r="AD136" t="s">
        <v>721</v>
      </c>
      <c r="AE136" s="7">
        <v>104000</v>
      </c>
      <c r="AF136" s="7">
        <v>1</v>
      </c>
      <c r="AG136" s="7">
        <v>104000</v>
      </c>
      <c r="AH136" s="7">
        <v>0</v>
      </c>
      <c r="AI136" s="7">
        <v>104000</v>
      </c>
      <c r="AJ136" t="s">
        <v>720</v>
      </c>
    </row>
    <row r="137" spans="14:36" x14ac:dyDescent="0.3">
      <c r="N137" s="8">
        <v>2026</v>
      </c>
      <c r="O137" s="8">
        <v>7</v>
      </c>
      <c r="P137" s="9">
        <v>46214</v>
      </c>
      <c r="Q137" t="s">
        <v>238</v>
      </c>
      <c r="R137" t="s">
        <v>239</v>
      </c>
      <c r="S137" t="s">
        <v>240</v>
      </c>
      <c r="T137" t="s">
        <v>951</v>
      </c>
      <c r="U137" t="s">
        <v>952</v>
      </c>
      <c r="V137" t="s">
        <v>246</v>
      </c>
      <c r="W137" t="s">
        <v>244</v>
      </c>
      <c r="X137" t="s">
        <v>3734</v>
      </c>
      <c r="Y137" t="s">
        <v>191</v>
      </c>
      <c r="Z137" t="s">
        <v>335</v>
      </c>
      <c r="AA137" t="s">
        <v>336</v>
      </c>
      <c r="AB137" t="s">
        <v>1146</v>
      </c>
      <c r="AC137" t="s">
        <v>1147</v>
      </c>
      <c r="AD137" t="s">
        <v>1148</v>
      </c>
      <c r="AE137" s="7">
        <v>99000</v>
      </c>
      <c r="AF137" s="7">
        <v>1</v>
      </c>
      <c r="AG137" s="7">
        <v>99000</v>
      </c>
      <c r="AH137" s="7">
        <v>0</v>
      </c>
      <c r="AI137" s="7">
        <v>99000</v>
      </c>
      <c r="AJ137" t="s">
        <v>1147</v>
      </c>
    </row>
    <row r="138" spans="14:36" x14ac:dyDescent="0.3">
      <c r="N138" s="8">
        <v>2026</v>
      </c>
      <c r="O138" s="8">
        <v>7</v>
      </c>
      <c r="P138" s="9">
        <v>46214</v>
      </c>
      <c r="Q138" t="s">
        <v>238</v>
      </c>
      <c r="R138" t="s">
        <v>239</v>
      </c>
      <c r="S138" t="s">
        <v>240</v>
      </c>
      <c r="T138" t="s">
        <v>1828</v>
      </c>
      <c r="U138" t="s">
        <v>3735</v>
      </c>
      <c r="V138" t="s">
        <v>246</v>
      </c>
      <c r="W138" t="s">
        <v>244</v>
      </c>
      <c r="X138" t="s">
        <v>3736</v>
      </c>
      <c r="Y138" t="s">
        <v>191</v>
      </c>
      <c r="Z138" t="s">
        <v>335</v>
      </c>
      <c r="AA138" t="s">
        <v>336</v>
      </c>
      <c r="AB138" t="s">
        <v>1284</v>
      </c>
      <c r="AC138" t="s">
        <v>1285</v>
      </c>
      <c r="AD138" t="s">
        <v>1286</v>
      </c>
      <c r="AE138" s="7">
        <v>99000</v>
      </c>
      <c r="AF138" s="7">
        <v>1</v>
      </c>
      <c r="AG138" s="7">
        <v>99000</v>
      </c>
      <c r="AH138" s="7">
        <v>0</v>
      </c>
      <c r="AI138" s="7">
        <v>99000</v>
      </c>
      <c r="AJ138" t="s">
        <v>1285</v>
      </c>
    </row>
    <row r="139" spans="14:36" x14ac:dyDescent="0.3">
      <c r="N139" s="8">
        <v>2026</v>
      </c>
      <c r="O139" s="8">
        <v>7</v>
      </c>
      <c r="P139" s="9">
        <v>46214</v>
      </c>
      <c r="Q139" t="s">
        <v>238</v>
      </c>
      <c r="R139" t="s">
        <v>239</v>
      </c>
      <c r="S139" t="s">
        <v>240</v>
      </c>
      <c r="T139" t="s">
        <v>2298</v>
      </c>
      <c r="U139" t="s">
        <v>3737</v>
      </c>
      <c r="V139" t="s">
        <v>246</v>
      </c>
      <c r="W139" t="s">
        <v>244</v>
      </c>
      <c r="X139" t="s">
        <v>3738</v>
      </c>
      <c r="Y139" t="s">
        <v>191</v>
      </c>
      <c r="Z139" t="s">
        <v>335</v>
      </c>
      <c r="AA139" t="s">
        <v>337</v>
      </c>
      <c r="AB139" t="s">
        <v>656</v>
      </c>
      <c r="AC139" t="s">
        <v>657</v>
      </c>
      <c r="AD139" t="s">
        <v>658</v>
      </c>
      <c r="AE139" s="7">
        <v>35000</v>
      </c>
      <c r="AF139" s="7">
        <v>1</v>
      </c>
      <c r="AG139" s="7">
        <v>35000</v>
      </c>
      <c r="AH139" s="7">
        <v>0</v>
      </c>
      <c r="AI139" s="7">
        <v>35000</v>
      </c>
      <c r="AJ139" t="s">
        <v>657</v>
      </c>
    </row>
    <row r="140" spans="14:36" x14ac:dyDescent="0.3">
      <c r="N140" s="8">
        <v>2026</v>
      </c>
      <c r="O140" s="8">
        <v>7</v>
      </c>
      <c r="P140" s="9">
        <v>46214</v>
      </c>
      <c r="Q140" t="s">
        <v>238</v>
      </c>
      <c r="R140" t="s">
        <v>279</v>
      </c>
      <c r="S140" t="s">
        <v>280</v>
      </c>
      <c r="T140" t="s">
        <v>281</v>
      </c>
      <c r="U140" t="s">
        <v>282</v>
      </c>
      <c r="V140" t="s">
        <v>243</v>
      </c>
      <c r="W140" t="s">
        <v>244</v>
      </c>
      <c r="X140" t="s">
        <v>3739</v>
      </c>
      <c r="Y140" t="s">
        <v>191</v>
      </c>
      <c r="Z140" t="s">
        <v>335</v>
      </c>
      <c r="AA140" t="s">
        <v>336</v>
      </c>
      <c r="AB140" t="s">
        <v>1146</v>
      </c>
      <c r="AC140" t="s">
        <v>1147</v>
      </c>
      <c r="AD140" t="s">
        <v>1148</v>
      </c>
      <c r="AE140" s="7">
        <v>99000</v>
      </c>
      <c r="AF140" s="7">
        <v>1</v>
      </c>
      <c r="AG140" s="7">
        <v>99000</v>
      </c>
      <c r="AH140" s="7">
        <v>0</v>
      </c>
      <c r="AI140" s="7">
        <v>99000</v>
      </c>
      <c r="AJ140" t="s">
        <v>1147</v>
      </c>
    </row>
    <row r="141" spans="14:36" x14ac:dyDescent="0.3">
      <c r="N141" s="8">
        <v>2026</v>
      </c>
      <c r="O141" s="8">
        <v>7</v>
      </c>
      <c r="P141" s="9">
        <v>46214</v>
      </c>
      <c r="Q141" t="s">
        <v>238</v>
      </c>
      <c r="R141" t="s">
        <v>279</v>
      </c>
      <c r="S141" t="s">
        <v>280</v>
      </c>
      <c r="T141" t="s">
        <v>534</v>
      </c>
      <c r="U141" t="s">
        <v>3740</v>
      </c>
      <c r="V141" t="s">
        <v>246</v>
      </c>
      <c r="W141" t="s">
        <v>244</v>
      </c>
      <c r="X141" t="s">
        <v>3741</v>
      </c>
      <c r="Y141" t="s">
        <v>183</v>
      </c>
      <c r="Z141" t="s">
        <v>186</v>
      </c>
      <c r="AA141" t="s">
        <v>188</v>
      </c>
      <c r="AB141" t="s">
        <v>95</v>
      </c>
      <c r="AC141" t="s">
        <v>93</v>
      </c>
      <c r="AD141" t="s">
        <v>94</v>
      </c>
      <c r="AE141" s="7">
        <v>239000</v>
      </c>
      <c r="AF141" s="7">
        <v>1</v>
      </c>
      <c r="AG141" s="7">
        <v>239000</v>
      </c>
      <c r="AH141" s="7">
        <v>0</v>
      </c>
      <c r="AI141" s="7">
        <v>239000</v>
      </c>
      <c r="AJ141" t="s">
        <v>93</v>
      </c>
    </row>
    <row r="142" spans="14:36" x14ac:dyDescent="0.3">
      <c r="N142" s="8">
        <v>2026</v>
      </c>
      <c r="O142" s="8">
        <v>7</v>
      </c>
      <c r="P142" s="9">
        <v>46214</v>
      </c>
      <c r="Q142" t="s">
        <v>238</v>
      </c>
      <c r="R142" t="s">
        <v>279</v>
      </c>
      <c r="S142" t="s">
        <v>280</v>
      </c>
      <c r="T142" t="s">
        <v>1759</v>
      </c>
      <c r="U142" t="s">
        <v>1760</v>
      </c>
      <c r="V142" t="s">
        <v>246</v>
      </c>
      <c r="W142" t="s">
        <v>244</v>
      </c>
      <c r="X142" t="s">
        <v>3742</v>
      </c>
      <c r="Y142" t="s">
        <v>191</v>
      </c>
      <c r="Z142" t="s">
        <v>335</v>
      </c>
      <c r="AA142" t="s">
        <v>336</v>
      </c>
      <c r="AB142" t="s">
        <v>1146</v>
      </c>
      <c r="AC142" t="s">
        <v>1147</v>
      </c>
      <c r="AD142" t="s">
        <v>1148</v>
      </c>
      <c r="AE142" s="7">
        <v>99000</v>
      </c>
      <c r="AF142" s="7">
        <v>1</v>
      </c>
      <c r="AG142" s="7">
        <v>99000</v>
      </c>
      <c r="AH142" s="7">
        <v>0</v>
      </c>
      <c r="AI142" s="7">
        <v>99000</v>
      </c>
      <c r="AJ142" t="s">
        <v>1147</v>
      </c>
    </row>
    <row r="143" spans="14:36" x14ac:dyDescent="0.3">
      <c r="N143" s="8">
        <v>2026</v>
      </c>
      <c r="O143" s="8">
        <v>7</v>
      </c>
      <c r="P143" s="9">
        <v>46214</v>
      </c>
      <c r="Q143" t="s">
        <v>238</v>
      </c>
      <c r="R143" t="s">
        <v>279</v>
      </c>
      <c r="S143" t="s">
        <v>280</v>
      </c>
      <c r="T143" t="s">
        <v>3743</v>
      </c>
      <c r="U143" t="s">
        <v>3744</v>
      </c>
      <c r="V143" t="s">
        <v>249</v>
      </c>
      <c r="W143" t="s">
        <v>244</v>
      </c>
      <c r="X143" t="s">
        <v>3745</v>
      </c>
      <c r="Y143" t="s">
        <v>191</v>
      </c>
      <c r="Z143" t="s">
        <v>335</v>
      </c>
      <c r="AA143" t="s">
        <v>336</v>
      </c>
      <c r="AB143" t="s">
        <v>3534</v>
      </c>
      <c r="AC143" t="s">
        <v>3532</v>
      </c>
      <c r="AD143" t="s">
        <v>3533</v>
      </c>
      <c r="AE143" s="7">
        <v>18000</v>
      </c>
      <c r="AF143" s="7">
        <v>2</v>
      </c>
      <c r="AG143" s="7">
        <v>36000</v>
      </c>
      <c r="AH143" s="7">
        <v>0</v>
      </c>
      <c r="AI143" s="7">
        <v>36000</v>
      </c>
      <c r="AJ143" t="s">
        <v>3532</v>
      </c>
    </row>
    <row r="144" spans="14:36" x14ac:dyDescent="0.3">
      <c r="N144" s="8">
        <v>2026</v>
      </c>
      <c r="O144" s="8">
        <v>7</v>
      </c>
      <c r="P144" s="9">
        <v>46214</v>
      </c>
      <c r="Q144" t="s">
        <v>238</v>
      </c>
      <c r="R144" t="s">
        <v>279</v>
      </c>
      <c r="S144" t="s">
        <v>280</v>
      </c>
      <c r="T144" t="s">
        <v>3746</v>
      </c>
      <c r="U144" t="s">
        <v>3747</v>
      </c>
      <c r="V144" t="s">
        <v>249</v>
      </c>
      <c r="W144" t="s">
        <v>244</v>
      </c>
      <c r="X144" t="s">
        <v>3748</v>
      </c>
      <c r="Y144" t="s">
        <v>191</v>
      </c>
      <c r="Z144" t="s">
        <v>335</v>
      </c>
      <c r="AA144" t="s">
        <v>336</v>
      </c>
      <c r="AB144" t="s">
        <v>1284</v>
      </c>
      <c r="AC144" t="s">
        <v>1285</v>
      </c>
      <c r="AD144" t="s">
        <v>1286</v>
      </c>
      <c r="AE144" s="7">
        <v>99000</v>
      </c>
      <c r="AF144" s="7">
        <v>1</v>
      </c>
      <c r="AG144" s="7">
        <v>99000</v>
      </c>
      <c r="AH144" s="7">
        <v>0</v>
      </c>
      <c r="AI144" s="7">
        <v>99000</v>
      </c>
      <c r="AJ144" t="s">
        <v>1285</v>
      </c>
    </row>
    <row r="145" spans="14:36" x14ac:dyDescent="0.3">
      <c r="N145" s="8">
        <v>2026</v>
      </c>
      <c r="O145" s="8">
        <v>7</v>
      </c>
      <c r="P145" s="9">
        <v>46214</v>
      </c>
      <c r="Q145" t="s">
        <v>238</v>
      </c>
      <c r="R145" t="s">
        <v>303</v>
      </c>
      <c r="S145" t="s">
        <v>304</v>
      </c>
      <c r="T145" t="s">
        <v>305</v>
      </c>
      <c r="U145" t="s">
        <v>306</v>
      </c>
      <c r="V145" t="s">
        <v>243</v>
      </c>
      <c r="W145" t="s">
        <v>244</v>
      </c>
      <c r="X145" t="s">
        <v>3749</v>
      </c>
      <c r="Y145" t="s">
        <v>191</v>
      </c>
      <c r="Z145" t="s">
        <v>335</v>
      </c>
      <c r="AA145" t="s">
        <v>336</v>
      </c>
      <c r="AB145" t="s">
        <v>1146</v>
      </c>
      <c r="AC145" t="s">
        <v>1147</v>
      </c>
      <c r="AD145" t="s">
        <v>1148</v>
      </c>
      <c r="AE145" s="7">
        <v>99000</v>
      </c>
      <c r="AF145" s="7">
        <v>1</v>
      </c>
      <c r="AG145" s="7">
        <v>99000</v>
      </c>
      <c r="AH145" s="7">
        <v>0</v>
      </c>
      <c r="AI145" s="7">
        <v>99000</v>
      </c>
      <c r="AJ145" t="s">
        <v>1147</v>
      </c>
    </row>
    <row r="146" spans="14:36" x14ac:dyDescent="0.3">
      <c r="N146" s="8">
        <v>2026</v>
      </c>
      <c r="O146" s="8">
        <v>7</v>
      </c>
      <c r="P146" s="9">
        <v>46214</v>
      </c>
      <c r="Q146" t="s">
        <v>238</v>
      </c>
      <c r="R146" t="s">
        <v>303</v>
      </c>
      <c r="S146" t="s">
        <v>304</v>
      </c>
      <c r="T146" t="s">
        <v>2946</v>
      </c>
      <c r="U146" t="s">
        <v>331</v>
      </c>
      <c r="V146" t="s">
        <v>246</v>
      </c>
      <c r="W146" t="s">
        <v>244</v>
      </c>
      <c r="X146" t="s">
        <v>3750</v>
      </c>
      <c r="Y146" t="s">
        <v>168</v>
      </c>
      <c r="Z146" t="s">
        <v>171</v>
      </c>
      <c r="AA146" t="s">
        <v>173</v>
      </c>
      <c r="AB146" t="s">
        <v>29</v>
      </c>
      <c r="AC146" t="s">
        <v>27</v>
      </c>
      <c r="AD146" t="s">
        <v>28</v>
      </c>
      <c r="AE146" s="7">
        <v>575000</v>
      </c>
      <c r="AF146" s="7">
        <v>1</v>
      </c>
      <c r="AG146" s="7">
        <v>575000</v>
      </c>
      <c r="AH146" s="7">
        <v>0</v>
      </c>
      <c r="AI146" s="7">
        <v>575000</v>
      </c>
      <c r="AJ146" t="s">
        <v>27</v>
      </c>
    </row>
    <row r="147" spans="14:36" x14ac:dyDescent="0.3">
      <c r="N147" s="8">
        <v>2026</v>
      </c>
      <c r="O147" s="8">
        <v>7</v>
      </c>
      <c r="P147" s="9">
        <v>46214</v>
      </c>
      <c r="Q147" t="s">
        <v>238</v>
      </c>
      <c r="R147" t="s">
        <v>303</v>
      </c>
      <c r="S147" t="s">
        <v>304</v>
      </c>
      <c r="T147" t="s">
        <v>2419</v>
      </c>
      <c r="U147" t="s">
        <v>2420</v>
      </c>
      <c r="V147" t="s">
        <v>246</v>
      </c>
      <c r="W147" t="s">
        <v>244</v>
      </c>
      <c r="X147" t="s">
        <v>3751</v>
      </c>
      <c r="Y147" t="s">
        <v>191</v>
      </c>
      <c r="Z147" t="s">
        <v>335</v>
      </c>
      <c r="AA147" t="s">
        <v>336</v>
      </c>
      <c r="AB147" t="s">
        <v>2587</v>
      </c>
      <c r="AC147" t="s">
        <v>2588</v>
      </c>
      <c r="AD147" t="s">
        <v>2589</v>
      </c>
      <c r="AE147" s="7">
        <v>22000</v>
      </c>
      <c r="AF147" s="7">
        <v>1</v>
      </c>
      <c r="AG147" s="7">
        <v>22000</v>
      </c>
      <c r="AH147" s="7">
        <v>0</v>
      </c>
      <c r="AI147" s="7">
        <v>22000</v>
      </c>
      <c r="AJ147" t="s">
        <v>2588</v>
      </c>
    </row>
    <row r="148" spans="14:36" x14ac:dyDescent="0.3">
      <c r="N148" s="8">
        <v>2026</v>
      </c>
      <c r="O148" s="8">
        <v>7</v>
      </c>
      <c r="P148" s="9">
        <v>46214</v>
      </c>
      <c r="Q148" t="s">
        <v>238</v>
      </c>
      <c r="R148" t="s">
        <v>303</v>
      </c>
      <c r="S148" t="s">
        <v>304</v>
      </c>
      <c r="T148" t="s">
        <v>1167</v>
      </c>
      <c r="U148" t="s">
        <v>1168</v>
      </c>
      <c r="V148" t="s">
        <v>246</v>
      </c>
      <c r="W148" t="s">
        <v>244</v>
      </c>
      <c r="X148" t="s">
        <v>3752</v>
      </c>
      <c r="Y148" t="s">
        <v>168</v>
      </c>
      <c r="Z148" t="s">
        <v>171</v>
      </c>
      <c r="AA148" t="s">
        <v>175</v>
      </c>
      <c r="AB148" t="s">
        <v>38</v>
      </c>
      <c r="AC148" t="s">
        <v>36</v>
      </c>
      <c r="AD148" t="s">
        <v>37</v>
      </c>
      <c r="AE148" s="7">
        <v>290000</v>
      </c>
      <c r="AF148" s="7">
        <v>1</v>
      </c>
      <c r="AG148" s="7">
        <v>290000</v>
      </c>
      <c r="AH148" s="7">
        <v>0</v>
      </c>
      <c r="AI148" s="7">
        <v>290000</v>
      </c>
      <c r="AJ148" t="s">
        <v>36</v>
      </c>
    </row>
    <row r="149" spans="14:36" x14ac:dyDescent="0.3">
      <c r="N149" s="8">
        <v>2026</v>
      </c>
      <c r="O149" s="8">
        <v>7</v>
      </c>
      <c r="P149" s="9">
        <v>46214</v>
      </c>
      <c r="Q149" t="s">
        <v>238</v>
      </c>
      <c r="R149" t="s">
        <v>303</v>
      </c>
      <c r="S149" t="s">
        <v>304</v>
      </c>
      <c r="T149" t="s">
        <v>2048</v>
      </c>
      <c r="U149" t="s">
        <v>2049</v>
      </c>
      <c r="V149" t="s">
        <v>246</v>
      </c>
      <c r="W149" t="s">
        <v>244</v>
      </c>
      <c r="X149" t="s">
        <v>3753</v>
      </c>
      <c r="Y149" t="s">
        <v>168</v>
      </c>
      <c r="Z149" t="s">
        <v>171</v>
      </c>
      <c r="AA149" t="s">
        <v>173</v>
      </c>
      <c r="AB149" t="s">
        <v>29</v>
      </c>
      <c r="AC149" t="s">
        <v>27</v>
      </c>
      <c r="AD149" t="s">
        <v>28</v>
      </c>
      <c r="AE149" s="7">
        <v>575000</v>
      </c>
      <c r="AF149" s="7">
        <v>1</v>
      </c>
      <c r="AG149" s="7">
        <v>575000</v>
      </c>
      <c r="AH149" s="7">
        <v>0</v>
      </c>
      <c r="AI149" s="7">
        <v>575000</v>
      </c>
      <c r="AJ149" t="s">
        <v>27</v>
      </c>
    </row>
    <row r="150" spans="14:36" x14ac:dyDescent="0.3">
      <c r="N150" s="8">
        <v>2026</v>
      </c>
      <c r="O150" s="8">
        <v>7</v>
      </c>
      <c r="P150" s="9">
        <v>46214</v>
      </c>
      <c r="Q150" t="s">
        <v>238</v>
      </c>
      <c r="R150" t="s">
        <v>303</v>
      </c>
      <c r="S150" t="s">
        <v>304</v>
      </c>
      <c r="T150" t="s">
        <v>2048</v>
      </c>
      <c r="U150" t="s">
        <v>2049</v>
      </c>
      <c r="V150" t="s">
        <v>246</v>
      </c>
      <c r="W150" t="s">
        <v>244</v>
      </c>
      <c r="X150" t="s">
        <v>3753</v>
      </c>
      <c r="Y150" t="s">
        <v>168</v>
      </c>
      <c r="Z150" t="s">
        <v>171</v>
      </c>
      <c r="AA150" t="s">
        <v>173</v>
      </c>
      <c r="AB150" t="s">
        <v>26</v>
      </c>
      <c r="AC150" t="s">
        <v>24</v>
      </c>
      <c r="AD150" t="s">
        <v>25</v>
      </c>
      <c r="AE150" s="7">
        <v>555000</v>
      </c>
      <c r="AF150" s="7">
        <v>1</v>
      </c>
      <c r="AG150" s="7">
        <v>555000</v>
      </c>
      <c r="AH150" s="7">
        <v>0</v>
      </c>
      <c r="AI150" s="7">
        <v>555000</v>
      </c>
      <c r="AJ150" t="s">
        <v>24</v>
      </c>
    </row>
    <row r="151" spans="14:36" x14ac:dyDescent="0.3">
      <c r="N151" s="8">
        <v>2026</v>
      </c>
      <c r="O151" s="8">
        <v>7</v>
      </c>
      <c r="P151" s="9">
        <v>46214</v>
      </c>
      <c r="Q151" t="s">
        <v>238</v>
      </c>
      <c r="R151" t="s">
        <v>351</v>
      </c>
      <c r="S151" t="s">
        <v>352</v>
      </c>
      <c r="T151" t="s">
        <v>3754</v>
      </c>
      <c r="U151" t="s">
        <v>539</v>
      </c>
      <c r="V151" t="s">
        <v>249</v>
      </c>
      <c r="W151" t="s">
        <v>244</v>
      </c>
      <c r="X151" t="s">
        <v>3755</v>
      </c>
      <c r="Y151" t="s">
        <v>194</v>
      </c>
      <c r="Z151" t="s">
        <v>200</v>
      </c>
      <c r="AA151" t="s">
        <v>201</v>
      </c>
      <c r="AB151" t="s">
        <v>77</v>
      </c>
      <c r="AC151" t="s">
        <v>75</v>
      </c>
      <c r="AD151" t="s">
        <v>76</v>
      </c>
      <c r="AE151" s="7">
        <v>52000</v>
      </c>
      <c r="AF151" s="7">
        <v>1</v>
      </c>
      <c r="AG151" s="7">
        <v>52000</v>
      </c>
      <c r="AH151" s="7">
        <v>0</v>
      </c>
      <c r="AI151" s="7">
        <v>52000</v>
      </c>
      <c r="AJ151" t="s">
        <v>75</v>
      </c>
    </row>
    <row r="152" spans="14:36" x14ac:dyDescent="0.3">
      <c r="N152" s="8">
        <v>2026</v>
      </c>
      <c r="O152" s="8">
        <v>7</v>
      </c>
      <c r="P152" s="9">
        <v>46214</v>
      </c>
      <c r="Q152" t="s">
        <v>238</v>
      </c>
      <c r="R152" t="s">
        <v>351</v>
      </c>
      <c r="S152" t="s">
        <v>352</v>
      </c>
      <c r="T152" t="s">
        <v>3756</v>
      </c>
      <c r="U152" t="s">
        <v>317</v>
      </c>
      <c r="V152" t="s">
        <v>249</v>
      </c>
      <c r="W152" t="s">
        <v>244</v>
      </c>
      <c r="X152" t="s">
        <v>3757</v>
      </c>
      <c r="Y152" t="s">
        <v>191</v>
      </c>
      <c r="Z152" t="s">
        <v>192</v>
      </c>
      <c r="AA152" t="s">
        <v>193</v>
      </c>
      <c r="AB152" t="s">
        <v>113</v>
      </c>
      <c r="AC152" t="s">
        <v>111</v>
      </c>
      <c r="AD152" t="s">
        <v>112</v>
      </c>
      <c r="AE152" s="7">
        <v>235000</v>
      </c>
      <c r="AF152" s="7">
        <v>1</v>
      </c>
      <c r="AG152" s="7">
        <v>235000</v>
      </c>
      <c r="AH152" s="7">
        <v>0</v>
      </c>
      <c r="AI152" s="7">
        <v>235000</v>
      </c>
      <c r="AJ152" t="s">
        <v>111</v>
      </c>
    </row>
    <row r="153" spans="14:36" x14ac:dyDescent="0.3">
      <c r="N153" s="8">
        <v>2026</v>
      </c>
      <c r="O153" s="8">
        <v>7</v>
      </c>
      <c r="P153" s="9">
        <v>46214</v>
      </c>
      <c r="Q153" t="s">
        <v>238</v>
      </c>
      <c r="R153" t="s">
        <v>351</v>
      </c>
      <c r="S153" t="s">
        <v>352</v>
      </c>
      <c r="T153" t="s">
        <v>3758</v>
      </c>
      <c r="U153" t="s">
        <v>797</v>
      </c>
      <c r="V153" t="s">
        <v>246</v>
      </c>
      <c r="W153" t="s">
        <v>244</v>
      </c>
      <c r="X153" t="s">
        <v>3759</v>
      </c>
      <c r="Y153" t="s">
        <v>191</v>
      </c>
      <c r="Z153" t="s">
        <v>335</v>
      </c>
      <c r="AA153" t="s">
        <v>336</v>
      </c>
      <c r="AB153" t="s">
        <v>2569</v>
      </c>
      <c r="AC153" t="s">
        <v>2570</v>
      </c>
      <c r="AD153" t="s">
        <v>2571</v>
      </c>
      <c r="AE153" s="7">
        <v>23000</v>
      </c>
      <c r="AF153" s="7">
        <v>1</v>
      </c>
      <c r="AG153" s="7">
        <v>23000</v>
      </c>
      <c r="AH153" s="7">
        <v>0</v>
      </c>
      <c r="AI153" s="7">
        <v>23000</v>
      </c>
      <c r="AJ153" t="s">
        <v>2570</v>
      </c>
    </row>
    <row r="154" spans="14:36" x14ac:dyDescent="0.3">
      <c r="N154" s="8">
        <v>2026</v>
      </c>
      <c r="O154" s="8">
        <v>7</v>
      </c>
      <c r="P154" s="9">
        <v>46214</v>
      </c>
      <c r="Q154" t="s">
        <v>238</v>
      </c>
      <c r="R154" t="s">
        <v>351</v>
      </c>
      <c r="S154" t="s">
        <v>352</v>
      </c>
      <c r="T154" t="s">
        <v>3758</v>
      </c>
      <c r="U154" t="s">
        <v>797</v>
      </c>
      <c r="V154" t="s">
        <v>246</v>
      </c>
      <c r="W154" t="s">
        <v>244</v>
      </c>
      <c r="X154" t="s">
        <v>3759</v>
      </c>
      <c r="Y154" t="s">
        <v>191</v>
      </c>
      <c r="Z154" t="s">
        <v>335</v>
      </c>
      <c r="AA154" t="s">
        <v>336</v>
      </c>
      <c r="AB154" t="s">
        <v>2587</v>
      </c>
      <c r="AC154" t="s">
        <v>2588</v>
      </c>
      <c r="AD154" t="s">
        <v>2589</v>
      </c>
      <c r="AE154" s="7">
        <v>22000</v>
      </c>
      <c r="AF154" s="7">
        <v>1</v>
      </c>
      <c r="AG154" s="7">
        <v>22000</v>
      </c>
      <c r="AH154" s="7">
        <v>0</v>
      </c>
      <c r="AI154" s="7">
        <v>22000</v>
      </c>
      <c r="AJ154" t="s">
        <v>2588</v>
      </c>
    </row>
    <row r="155" spans="14:36" x14ac:dyDescent="0.3">
      <c r="N155" s="8">
        <v>2026</v>
      </c>
      <c r="O155" s="8">
        <v>7</v>
      </c>
      <c r="P155" s="9">
        <v>46214</v>
      </c>
      <c r="Q155" t="s">
        <v>238</v>
      </c>
      <c r="R155" t="s">
        <v>351</v>
      </c>
      <c r="S155" t="s">
        <v>352</v>
      </c>
      <c r="T155" t="s">
        <v>3758</v>
      </c>
      <c r="U155" t="s">
        <v>797</v>
      </c>
      <c r="V155" t="s">
        <v>246</v>
      </c>
      <c r="W155" t="s">
        <v>244</v>
      </c>
      <c r="X155" t="s">
        <v>3759</v>
      </c>
      <c r="Y155" t="s">
        <v>191</v>
      </c>
      <c r="Z155" t="s">
        <v>335</v>
      </c>
      <c r="AA155" t="s">
        <v>337</v>
      </c>
      <c r="AB155" t="s">
        <v>2557</v>
      </c>
      <c r="AC155" t="s">
        <v>2558</v>
      </c>
      <c r="AD155" t="s">
        <v>2559</v>
      </c>
      <c r="AE155" s="7">
        <v>24000</v>
      </c>
      <c r="AF155" s="7">
        <v>2</v>
      </c>
      <c r="AG155" s="7">
        <v>48000</v>
      </c>
      <c r="AH155" s="7">
        <v>0</v>
      </c>
      <c r="AI155" s="7">
        <v>48000</v>
      </c>
      <c r="AJ155" t="s">
        <v>2558</v>
      </c>
    </row>
    <row r="156" spans="14:36" x14ac:dyDescent="0.3">
      <c r="N156" s="8">
        <v>2026</v>
      </c>
      <c r="O156" s="8">
        <v>7</v>
      </c>
      <c r="P156" s="9">
        <v>46214</v>
      </c>
      <c r="Q156" t="s">
        <v>238</v>
      </c>
      <c r="R156" t="s">
        <v>351</v>
      </c>
      <c r="S156" t="s">
        <v>352</v>
      </c>
      <c r="T156" t="s">
        <v>1864</v>
      </c>
      <c r="U156" t="s">
        <v>1865</v>
      </c>
      <c r="V156" t="s">
        <v>246</v>
      </c>
      <c r="W156" t="s">
        <v>244</v>
      </c>
      <c r="X156" t="s">
        <v>3760</v>
      </c>
      <c r="Y156" t="s">
        <v>168</v>
      </c>
      <c r="Z156" t="s">
        <v>171</v>
      </c>
      <c r="AA156" t="s">
        <v>173</v>
      </c>
      <c r="AB156" t="s">
        <v>17</v>
      </c>
      <c r="AC156" t="s">
        <v>15</v>
      </c>
      <c r="AD156" t="s">
        <v>16</v>
      </c>
      <c r="AE156" s="7">
        <v>435000</v>
      </c>
      <c r="AF156" s="7">
        <v>1</v>
      </c>
      <c r="AG156" s="7">
        <v>435000</v>
      </c>
      <c r="AH156" s="7">
        <v>0</v>
      </c>
      <c r="AI156" s="7">
        <v>435000</v>
      </c>
      <c r="AJ156" t="s">
        <v>15</v>
      </c>
    </row>
    <row r="157" spans="14:36" x14ac:dyDescent="0.3">
      <c r="N157" s="8">
        <v>2026</v>
      </c>
      <c r="O157" s="8">
        <v>7</v>
      </c>
      <c r="P157" s="9">
        <v>46214</v>
      </c>
      <c r="Q157" t="s">
        <v>238</v>
      </c>
      <c r="R157" t="s">
        <v>351</v>
      </c>
      <c r="S157" t="s">
        <v>352</v>
      </c>
      <c r="T157" t="s">
        <v>3761</v>
      </c>
      <c r="U157" t="s">
        <v>3762</v>
      </c>
      <c r="V157" t="s">
        <v>249</v>
      </c>
      <c r="W157" t="s">
        <v>244</v>
      </c>
      <c r="X157" t="s">
        <v>3763</v>
      </c>
      <c r="Y157" t="s">
        <v>191</v>
      </c>
      <c r="Z157" t="s">
        <v>335</v>
      </c>
      <c r="AA157" t="s">
        <v>336</v>
      </c>
      <c r="AB157" t="s">
        <v>2612</v>
      </c>
      <c r="AC157" t="s">
        <v>2613</v>
      </c>
      <c r="AD157" t="s">
        <v>2614</v>
      </c>
      <c r="AE157" s="7">
        <v>18000</v>
      </c>
      <c r="AF157" s="7">
        <v>1</v>
      </c>
      <c r="AG157" s="7">
        <v>18000</v>
      </c>
      <c r="AH157" s="7">
        <v>0</v>
      </c>
      <c r="AI157" s="7">
        <v>18000</v>
      </c>
      <c r="AJ157" t="s">
        <v>2613</v>
      </c>
    </row>
    <row r="158" spans="14:36" x14ac:dyDescent="0.3">
      <c r="N158" s="8">
        <v>2026</v>
      </c>
      <c r="O158" s="8">
        <v>7</v>
      </c>
      <c r="P158" s="9">
        <v>46214</v>
      </c>
      <c r="Q158" t="s">
        <v>238</v>
      </c>
      <c r="R158" t="s">
        <v>351</v>
      </c>
      <c r="S158" t="s">
        <v>352</v>
      </c>
      <c r="T158" t="s">
        <v>3761</v>
      </c>
      <c r="U158" t="s">
        <v>3762</v>
      </c>
      <c r="V158" t="s">
        <v>249</v>
      </c>
      <c r="W158" t="s">
        <v>244</v>
      </c>
      <c r="X158" t="s">
        <v>3763</v>
      </c>
      <c r="Y158" t="s">
        <v>191</v>
      </c>
      <c r="Z158" t="s">
        <v>335</v>
      </c>
      <c r="AA158" t="s">
        <v>337</v>
      </c>
      <c r="AB158" t="s">
        <v>2578</v>
      </c>
      <c r="AC158" t="s">
        <v>2579</v>
      </c>
      <c r="AD158" t="s">
        <v>2580</v>
      </c>
      <c r="AE158" s="7">
        <v>18000</v>
      </c>
      <c r="AF158" s="7">
        <v>1</v>
      </c>
      <c r="AG158" s="7">
        <v>18000</v>
      </c>
      <c r="AH158" s="7">
        <v>0</v>
      </c>
      <c r="AI158" s="7">
        <v>18000</v>
      </c>
      <c r="AJ158" t="s">
        <v>2579</v>
      </c>
    </row>
    <row r="159" spans="14:36" x14ac:dyDescent="0.3">
      <c r="N159" s="8">
        <v>2026</v>
      </c>
      <c r="O159" s="8">
        <v>7</v>
      </c>
      <c r="P159" s="9">
        <v>46214</v>
      </c>
      <c r="Q159" t="s">
        <v>238</v>
      </c>
      <c r="R159" t="s">
        <v>351</v>
      </c>
      <c r="S159" t="s">
        <v>352</v>
      </c>
      <c r="T159" t="s">
        <v>3764</v>
      </c>
      <c r="U159" t="s">
        <v>3638</v>
      </c>
      <c r="V159" t="s">
        <v>246</v>
      </c>
      <c r="W159" t="s">
        <v>244</v>
      </c>
      <c r="X159" t="s">
        <v>3765</v>
      </c>
      <c r="Y159" t="s">
        <v>191</v>
      </c>
      <c r="Z159" t="s">
        <v>335</v>
      </c>
      <c r="AA159" t="s">
        <v>337</v>
      </c>
      <c r="AB159" t="s">
        <v>2578</v>
      </c>
      <c r="AC159" t="s">
        <v>2579</v>
      </c>
      <c r="AD159" t="s">
        <v>2580</v>
      </c>
      <c r="AE159" s="7">
        <v>18000</v>
      </c>
      <c r="AF159" s="7">
        <v>1</v>
      </c>
      <c r="AG159" s="7">
        <v>18000</v>
      </c>
      <c r="AH159" s="7">
        <v>0</v>
      </c>
      <c r="AI159" s="7">
        <v>18000</v>
      </c>
      <c r="AJ159" t="s">
        <v>2579</v>
      </c>
    </row>
    <row r="160" spans="14:36" x14ac:dyDescent="0.3">
      <c r="N160" s="8">
        <v>2026</v>
      </c>
      <c r="O160" s="8">
        <v>7</v>
      </c>
      <c r="P160" s="9">
        <v>46214</v>
      </c>
      <c r="Q160" t="s">
        <v>238</v>
      </c>
      <c r="R160" t="s">
        <v>374</v>
      </c>
      <c r="S160" t="s">
        <v>375</v>
      </c>
      <c r="T160" t="s">
        <v>667</v>
      </c>
      <c r="U160" t="s">
        <v>3766</v>
      </c>
      <c r="V160" t="s">
        <v>246</v>
      </c>
      <c r="W160" t="s">
        <v>244</v>
      </c>
      <c r="X160" t="s">
        <v>3767</v>
      </c>
      <c r="Y160" t="s">
        <v>194</v>
      </c>
      <c r="Z160" t="s">
        <v>200</v>
      </c>
      <c r="AA160" t="s">
        <v>201</v>
      </c>
      <c r="AB160" t="s">
        <v>77</v>
      </c>
      <c r="AC160" t="s">
        <v>75</v>
      </c>
      <c r="AD160" t="s">
        <v>76</v>
      </c>
      <c r="AE160" s="7">
        <v>52000</v>
      </c>
      <c r="AF160" s="7">
        <v>1</v>
      </c>
      <c r="AG160" s="7">
        <v>52000</v>
      </c>
      <c r="AH160" s="7">
        <v>0</v>
      </c>
      <c r="AI160" s="7">
        <v>52000</v>
      </c>
      <c r="AJ160" t="s">
        <v>75</v>
      </c>
    </row>
    <row r="161" spans="14:36" x14ac:dyDescent="0.3">
      <c r="N161" s="8">
        <v>2026</v>
      </c>
      <c r="O161" s="8">
        <v>7</v>
      </c>
      <c r="P161" s="9">
        <v>46214</v>
      </c>
      <c r="Q161" t="s">
        <v>238</v>
      </c>
      <c r="R161" t="s">
        <v>396</v>
      </c>
      <c r="S161" t="s">
        <v>397</v>
      </c>
      <c r="T161" t="s">
        <v>398</v>
      </c>
      <c r="U161" t="s">
        <v>399</v>
      </c>
      <c r="V161" t="s">
        <v>243</v>
      </c>
      <c r="W161" t="s">
        <v>244</v>
      </c>
      <c r="X161" t="s">
        <v>3768</v>
      </c>
      <c r="Y161" t="s">
        <v>191</v>
      </c>
      <c r="Z161" t="s">
        <v>335</v>
      </c>
      <c r="AA161" t="s">
        <v>336</v>
      </c>
      <c r="AB161" t="s">
        <v>2582</v>
      </c>
      <c r="AC161" t="s">
        <v>2583</v>
      </c>
      <c r="AD161" t="s">
        <v>2584</v>
      </c>
      <c r="AE161" s="7">
        <v>18000</v>
      </c>
      <c r="AF161" s="7">
        <v>1</v>
      </c>
      <c r="AG161" s="7">
        <v>18000</v>
      </c>
      <c r="AH161" s="7">
        <v>0</v>
      </c>
      <c r="AI161" s="7">
        <v>18000</v>
      </c>
      <c r="AJ161" t="s">
        <v>2583</v>
      </c>
    </row>
    <row r="162" spans="14:36" x14ac:dyDescent="0.3">
      <c r="N162" s="8">
        <v>2026</v>
      </c>
      <c r="O162" s="8">
        <v>7</v>
      </c>
      <c r="P162" s="9">
        <v>46214</v>
      </c>
      <c r="Q162" t="s">
        <v>238</v>
      </c>
      <c r="R162" t="s">
        <v>396</v>
      </c>
      <c r="S162" t="s">
        <v>397</v>
      </c>
      <c r="T162" t="s">
        <v>1611</v>
      </c>
      <c r="U162" t="s">
        <v>615</v>
      </c>
      <c r="V162" t="s">
        <v>246</v>
      </c>
      <c r="W162" t="s">
        <v>244</v>
      </c>
      <c r="X162" t="s">
        <v>3769</v>
      </c>
      <c r="Y162" t="s">
        <v>194</v>
      </c>
      <c r="Z162" t="s">
        <v>200</v>
      </c>
      <c r="AA162" t="s">
        <v>201</v>
      </c>
      <c r="AB162" t="s">
        <v>89</v>
      </c>
      <c r="AC162" t="s">
        <v>87</v>
      </c>
      <c r="AD162" t="s">
        <v>88</v>
      </c>
      <c r="AE162" s="7">
        <v>46000</v>
      </c>
      <c r="AF162" s="7">
        <v>1</v>
      </c>
      <c r="AG162" s="7">
        <v>46000</v>
      </c>
      <c r="AH162" s="7">
        <v>0</v>
      </c>
      <c r="AI162" s="7">
        <v>46000</v>
      </c>
      <c r="AJ162" t="s">
        <v>87</v>
      </c>
    </row>
    <row r="163" spans="14:36" x14ac:dyDescent="0.3">
      <c r="N163" s="8">
        <v>2026</v>
      </c>
      <c r="O163" s="8">
        <v>7</v>
      </c>
      <c r="P163" s="9">
        <v>46214</v>
      </c>
      <c r="Q163" t="s">
        <v>238</v>
      </c>
      <c r="R163" t="s">
        <v>396</v>
      </c>
      <c r="S163" t="s">
        <v>397</v>
      </c>
      <c r="T163" t="s">
        <v>3770</v>
      </c>
      <c r="U163" t="s">
        <v>3771</v>
      </c>
      <c r="V163" t="s">
        <v>246</v>
      </c>
      <c r="W163" t="s">
        <v>244</v>
      </c>
      <c r="X163" t="s">
        <v>3772</v>
      </c>
      <c r="Y163" t="s">
        <v>191</v>
      </c>
      <c r="Z163" t="s">
        <v>335</v>
      </c>
      <c r="AA163" t="s">
        <v>336</v>
      </c>
      <c r="AB163" t="s">
        <v>2566</v>
      </c>
      <c r="AC163" t="s">
        <v>2567</v>
      </c>
      <c r="AD163" t="s">
        <v>2568</v>
      </c>
      <c r="AE163" s="7">
        <v>15000</v>
      </c>
      <c r="AF163" s="7">
        <v>1</v>
      </c>
      <c r="AG163" s="7">
        <v>15000</v>
      </c>
      <c r="AH163" s="7">
        <v>0</v>
      </c>
      <c r="AI163" s="7">
        <v>15000</v>
      </c>
      <c r="AJ163" t="s">
        <v>2567</v>
      </c>
    </row>
    <row r="164" spans="14:36" x14ac:dyDescent="0.3">
      <c r="N164" s="8">
        <v>2026</v>
      </c>
      <c r="O164" s="8">
        <v>7</v>
      </c>
      <c r="P164" s="9">
        <v>46214</v>
      </c>
      <c r="Q164" t="s">
        <v>238</v>
      </c>
      <c r="R164" t="s">
        <v>396</v>
      </c>
      <c r="S164" t="s">
        <v>397</v>
      </c>
      <c r="T164" t="s">
        <v>3770</v>
      </c>
      <c r="U164" t="s">
        <v>3771</v>
      </c>
      <c r="V164" t="s">
        <v>246</v>
      </c>
      <c r="W164" t="s">
        <v>244</v>
      </c>
      <c r="X164" t="s">
        <v>3772</v>
      </c>
      <c r="Y164" t="s">
        <v>191</v>
      </c>
      <c r="Z164" t="s">
        <v>335</v>
      </c>
      <c r="AA164" t="s">
        <v>336</v>
      </c>
      <c r="AB164" t="s">
        <v>2572</v>
      </c>
      <c r="AC164" t="s">
        <v>2573</v>
      </c>
      <c r="AD164" t="s">
        <v>2574</v>
      </c>
      <c r="AE164" s="7">
        <v>16000</v>
      </c>
      <c r="AF164" s="7">
        <v>1</v>
      </c>
      <c r="AG164" s="7">
        <v>16000</v>
      </c>
      <c r="AH164" s="7">
        <v>0</v>
      </c>
      <c r="AI164" s="7">
        <v>16000</v>
      </c>
      <c r="AJ164" t="s">
        <v>2573</v>
      </c>
    </row>
    <row r="165" spans="14:36" x14ac:dyDescent="0.3">
      <c r="N165" s="8">
        <v>2026</v>
      </c>
      <c r="O165" s="8">
        <v>7</v>
      </c>
      <c r="P165" s="9">
        <v>46214</v>
      </c>
      <c r="Q165" t="s">
        <v>238</v>
      </c>
      <c r="R165" t="s">
        <v>396</v>
      </c>
      <c r="S165" t="s">
        <v>397</v>
      </c>
      <c r="T165" t="s">
        <v>3770</v>
      </c>
      <c r="U165" t="s">
        <v>3771</v>
      </c>
      <c r="V165" t="s">
        <v>246</v>
      </c>
      <c r="W165" t="s">
        <v>244</v>
      </c>
      <c r="X165" t="s">
        <v>3772</v>
      </c>
      <c r="Y165" t="s">
        <v>191</v>
      </c>
      <c r="Z165" t="s">
        <v>335</v>
      </c>
      <c r="AA165" t="s">
        <v>336</v>
      </c>
      <c r="AB165" t="s">
        <v>2575</v>
      </c>
      <c r="AC165" t="s">
        <v>2576</v>
      </c>
      <c r="AD165" t="s">
        <v>2577</v>
      </c>
      <c r="AE165" s="7">
        <v>16000</v>
      </c>
      <c r="AF165" s="7">
        <v>1</v>
      </c>
      <c r="AG165" s="7">
        <v>16000</v>
      </c>
      <c r="AH165" s="7">
        <v>0</v>
      </c>
      <c r="AI165" s="7">
        <v>16000</v>
      </c>
      <c r="AJ165" t="s">
        <v>2576</v>
      </c>
    </row>
    <row r="166" spans="14:36" x14ac:dyDescent="0.3">
      <c r="N166" s="8">
        <v>2026</v>
      </c>
      <c r="O166" s="8">
        <v>7</v>
      </c>
      <c r="P166" s="9">
        <v>46214</v>
      </c>
      <c r="Q166" t="s">
        <v>238</v>
      </c>
      <c r="R166" t="s">
        <v>396</v>
      </c>
      <c r="S166" t="s">
        <v>397</v>
      </c>
      <c r="T166" t="s">
        <v>3770</v>
      </c>
      <c r="U166" t="s">
        <v>3771</v>
      </c>
      <c r="V166" t="s">
        <v>246</v>
      </c>
      <c r="W166" t="s">
        <v>244</v>
      </c>
      <c r="X166" t="s">
        <v>3772</v>
      </c>
      <c r="Y166" t="s">
        <v>191</v>
      </c>
      <c r="Z166" t="s">
        <v>335</v>
      </c>
      <c r="AA166" t="s">
        <v>337</v>
      </c>
      <c r="AB166" t="s">
        <v>2578</v>
      </c>
      <c r="AC166" t="s">
        <v>2579</v>
      </c>
      <c r="AD166" t="s">
        <v>2580</v>
      </c>
      <c r="AE166" s="7">
        <v>18000</v>
      </c>
      <c r="AF166" s="7">
        <v>1</v>
      </c>
      <c r="AG166" s="7">
        <v>18000</v>
      </c>
      <c r="AH166" s="7">
        <v>0</v>
      </c>
      <c r="AI166" s="7">
        <v>18000</v>
      </c>
      <c r="AJ166" t="s">
        <v>2579</v>
      </c>
    </row>
    <row r="167" spans="14:36" x14ac:dyDescent="0.3">
      <c r="N167" s="8">
        <v>2026</v>
      </c>
      <c r="O167" s="8">
        <v>7</v>
      </c>
      <c r="P167" s="9">
        <v>46214</v>
      </c>
      <c r="Q167" t="s">
        <v>238</v>
      </c>
      <c r="R167" t="s">
        <v>396</v>
      </c>
      <c r="S167" t="s">
        <v>397</v>
      </c>
      <c r="T167" t="s">
        <v>3773</v>
      </c>
      <c r="U167" t="s">
        <v>3231</v>
      </c>
      <c r="V167" t="s">
        <v>246</v>
      </c>
      <c r="W167" t="s">
        <v>244</v>
      </c>
      <c r="X167" t="s">
        <v>3774</v>
      </c>
      <c r="Y167" t="s">
        <v>183</v>
      </c>
      <c r="Z167" t="s">
        <v>189</v>
      </c>
      <c r="AA167" t="s">
        <v>190</v>
      </c>
      <c r="AB167" t="s">
        <v>92</v>
      </c>
      <c r="AC167" t="s">
        <v>90</v>
      </c>
      <c r="AD167" t="s">
        <v>91</v>
      </c>
      <c r="AE167" s="7">
        <v>52000</v>
      </c>
      <c r="AF167" s="7">
        <v>1</v>
      </c>
      <c r="AG167" s="7">
        <v>52000</v>
      </c>
      <c r="AH167" s="7">
        <v>0</v>
      </c>
      <c r="AI167" s="7">
        <v>52000</v>
      </c>
      <c r="AJ167" t="s">
        <v>90</v>
      </c>
    </row>
    <row r="168" spans="14:36" x14ac:dyDescent="0.3">
      <c r="N168" s="8">
        <v>2026</v>
      </c>
      <c r="O168" s="8">
        <v>7</v>
      </c>
      <c r="P168" s="9">
        <v>46214</v>
      </c>
      <c r="Q168" t="s">
        <v>238</v>
      </c>
      <c r="R168" t="s">
        <v>396</v>
      </c>
      <c r="S168" t="s">
        <v>397</v>
      </c>
      <c r="T168" t="s">
        <v>820</v>
      </c>
      <c r="U168" t="s">
        <v>494</v>
      </c>
      <c r="V168" t="s">
        <v>246</v>
      </c>
      <c r="W168" t="s">
        <v>244</v>
      </c>
      <c r="X168" t="s">
        <v>3775</v>
      </c>
      <c r="Y168" t="s">
        <v>191</v>
      </c>
      <c r="Z168" t="s">
        <v>335</v>
      </c>
      <c r="AA168" t="s">
        <v>336</v>
      </c>
      <c r="AB168" t="s">
        <v>2566</v>
      </c>
      <c r="AC168" t="s">
        <v>2567</v>
      </c>
      <c r="AD168" t="s">
        <v>2568</v>
      </c>
      <c r="AE168" s="7">
        <v>15000</v>
      </c>
      <c r="AF168" s="7">
        <v>1</v>
      </c>
      <c r="AG168" s="7">
        <v>15000</v>
      </c>
      <c r="AH168" s="7">
        <v>0</v>
      </c>
      <c r="AI168" s="7">
        <v>15000</v>
      </c>
      <c r="AJ168" t="s">
        <v>2567</v>
      </c>
    </row>
    <row r="169" spans="14:36" x14ac:dyDescent="0.3">
      <c r="N169" s="8">
        <v>2026</v>
      </c>
      <c r="O169" s="8">
        <v>7</v>
      </c>
      <c r="P169" s="9">
        <v>46214</v>
      </c>
      <c r="Q169" t="s">
        <v>238</v>
      </c>
      <c r="R169" t="s">
        <v>415</v>
      </c>
      <c r="S169" t="s">
        <v>416</v>
      </c>
      <c r="T169" t="s">
        <v>417</v>
      </c>
      <c r="U169" t="s">
        <v>418</v>
      </c>
      <c r="V169" t="s">
        <v>243</v>
      </c>
      <c r="W169" t="s">
        <v>244</v>
      </c>
      <c r="X169" t="s">
        <v>3776</v>
      </c>
      <c r="Y169" t="s">
        <v>191</v>
      </c>
      <c r="Z169" t="s">
        <v>335</v>
      </c>
      <c r="AA169" t="s">
        <v>336</v>
      </c>
      <c r="AB169" t="s">
        <v>2587</v>
      </c>
      <c r="AC169" t="s">
        <v>2588</v>
      </c>
      <c r="AD169" t="s">
        <v>2589</v>
      </c>
      <c r="AE169" s="7">
        <v>22000</v>
      </c>
      <c r="AF169" s="7">
        <v>2</v>
      </c>
      <c r="AG169" s="7">
        <v>44000</v>
      </c>
      <c r="AH169" s="7">
        <v>0</v>
      </c>
      <c r="AI169" s="7">
        <v>44000</v>
      </c>
      <c r="AJ169" t="s">
        <v>2588</v>
      </c>
    </row>
    <row r="170" spans="14:36" x14ac:dyDescent="0.3">
      <c r="N170" s="8">
        <v>2026</v>
      </c>
      <c r="O170" s="8">
        <v>7</v>
      </c>
      <c r="P170" s="9">
        <v>46214</v>
      </c>
      <c r="Q170" t="s">
        <v>238</v>
      </c>
      <c r="R170" t="s">
        <v>415</v>
      </c>
      <c r="S170" t="s">
        <v>416</v>
      </c>
      <c r="T170" t="s">
        <v>417</v>
      </c>
      <c r="U170" t="s">
        <v>418</v>
      </c>
      <c r="V170" t="s">
        <v>243</v>
      </c>
      <c r="W170" t="s">
        <v>244</v>
      </c>
      <c r="X170" t="s">
        <v>3776</v>
      </c>
      <c r="Y170" t="s">
        <v>191</v>
      </c>
      <c r="Z170" t="s">
        <v>335</v>
      </c>
      <c r="AA170" t="s">
        <v>337</v>
      </c>
      <c r="AB170" t="s">
        <v>2557</v>
      </c>
      <c r="AC170" t="s">
        <v>2558</v>
      </c>
      <c r="AD170" t="s">
        <v>2559</v>
      </c>
      <c r="AE170" s="7">
        <v>24000</v>
      </c>
      <c r="AF170" s="7">
        <v>1</v>
      </c>
      <c r="AG170" s="7">
        <v>24000</v>
      </c>
      <c r="AH170" s="7">
        <v>0</v>
      </c>
      <c r="AI170" s="7">
        <v>24000</v>
      </c>
      <c r="AJ170" t="s">
        <v>2558</v>
      </c>
    </row>
    <row r="171" spans="14:36" x14ac:dyDescent="0.3">
      <c r="N171" s="8">
        <v>2026</v>
      </c>
      <c r="O171" s="8">
        <v>7</v>
      </c>
      <c r="P171" s="9">
        <v>46214</v>
      </c>
      <c r="Q171" t="s">
        <v>238</v>
      </c>
      <c r="R171" t="s">
        <v>415</v>
      </c>
      <c r="S171" t="s">
        <v>416</v>
      </c>
      <c r="T171" t="s">
        <v>417</v>
      </c>
      <c r="U171" t="s">
        <v>418</v>
      </c>
      <c r="V171" t="s">
        <v>243</v>
      </c>
      <c r="W171" t="s">
        <v>244</v>
      </c>
      <c r="X171" t="s">
        <v>3777</v>
      </c>
      <c r="Y171" t="s">
        <v>191</v>
      </c>
      <c r="Z171" t="s">
        <v>335</v>
      </c>
      <c r="AA171" t="s">
        <v>336</v>
      </c>
      <c r="AB171" t="s">
        <v>2566</v>
      </c>
      <c r="AC171" t="s">
        <v>2567</v>
      </c>
      <c r="AD171" t="s">
        <v>2568</v>
      </c>
      <c r="AE171" s="7">
        <v>15000</v>
      </c>
      <c r="AF171" s="7">
        <v>1</v>
      </c>
      <c r="AG171" s="7">
        <v>15000</v>
      </c>
      <c r="AH171" s="7">
        <v>0</v>
      </c>
      <c r="AI171" s="7">
        <v>15000</v>
      </c>
      <c r="AJ171" t="s">
        <v>2567</v>
      </c>
    </row>
    <row r="172" spans="14:36" x14ac:dyDescent="0.3">
      <c r="N172" s="8">
        <v>2026</v>
      </c>
      <c r="O172" s="8">
        <v>7</v>
      </c>
      <c r="P172" s="9">
        <v>46214</v>
      </c>
      <c r="Q172" t="s">
        <v>238</v>
      </c>
      <c r="R172" t="s">
        <v>415</v>
      </c>
      <c r="S172" t="s">
        <v>416</v>
      </c>
      <c r="T172" t="s">
        <v>417</v>
      </c>
      <c r="U172" t="s">
        <v>418</v>
      </c>
      <c r="V172" t="s">
        <v>243</v>
      </c>
      <c r="W172" t="s">
        <v>244</v>
      </c>
      <c r="X172" t="s">
        <v>3777</v>
      </c>
      <c r="Y172" t="s">
        <v>191</v>
      </c>
      <c r="Z172" t="s">
        <v>335</v>
      </c>
      <c r="AA172" t="s">
        <v>336</v>
      </c>
      <c r="AB172" t="s">
        <v>3534</v>
      </c>
      <c r="AC172" t="s">
        <v>3532</v>
      </c>
      <c r="AD172" t="s">
        <v>3533</v>
      </c>
      <c r="AE172" s="7">
        <v>18000</v>
      </c>
      <c r="AF172" s="7">
        <v>1</v>
      </c>
      <c r="AG172" s="7">
        <v>18000</v>
      </c>
      <c r="AH172" s="7">
        <v>0</v>
      </c>
      <c r="AI172" s="7">
        <v>18000</v>
      </c>
      <c r="AJ172" t="s">
        <v>3532</v>
      </c>
    </row>
    <row r="173" spans="14:36" x14ac:dyDescent="0.3">
      <c r="N173" s="8">
        <v>2026</v>
      </c>
      <c r="O173" s="8">
        <v>7</v>
      </c>
      <c r="P173" s="9">
        <v>46214</v>
      </c>
      <c r="Q173" t="s">
        <v>238</v>
      </c>
      <c r="R173" t="s">
        <v>415</v>
      </c>
      <c r="S173" t="s">
        <v>416</v>
      </c>
      <c r="T173" t="s">
        <v>417</v>
      </c>
      <c r="U173" t="s">
        <v>418</v>
      </c>
      <c r="V173" t="s">
        <v>243</v>
      </c>
      <c r="W173" t="s">
        <v>244</v>
      </c>
      <c r="X173" t="s">
        <v>3777</v>
      </c>
      <c r="Y173" t="s">
        <v>191</v>
      </c>
      <c r="Z173" t="s">
        <v>335</v>
      </c>
      <c r="AA173" t="s">
        <v>336</v>
      </c>
      <c r="AB173" t="s">
        <v>2612</v>
      </c>
      <c r="AC173" t="s">
        <v>2613</v>
      </c>
      <c r="AD173" t="s">
        <v>2614</v>
      </c>
      <c r="AE173" s="7">
        <v>18000</v>
      </c>
      <c r="AF173" s="7">
        <v>1</v>
      </c>
      <c r="AG173" s="7">
        <v>18000</v>
      </c>
      <c r="AH173" s="7">
        <v>0</v>
      </c>
      <c r="AI173" s="7">
        <v>18000</v>
      </c>
      <c r="AJ173" t="s">
        <v>2613</v>
      </c>
    </row>
    <row r="174" spans="14:36" x14ac:dyDescent="0.3">
      <c r="N174" s="8">
        <v>2026</v>
      </c>
      <c r="O174" s="8">
        <v>7</v>
      </c>
      <c r="P174" s="9">
        <v>46214</v>
      </c>
      <c r="Q174" t="s">
        <v>238</v>
      </c>
      <c r="R174" t="s">
        <v>415</v>
      </c>
      <c r="S174" t="s">
        <v>416</v>
      </c>
      <c r="T174" t="s">
        <v>417</v>
      </c>
      <c r="U174" t="s">
        <v>418</v>
      </c>
      <c r="V174" t="s">
        <v>243</v>
      </c>
      <c r="W174" t="s">
        <v>244</v>
      </c>
      <c r="X174" t="s">
        <v>3777</v>
      </c>
      <c r="Y174" t="s">
        <v>191</v>
      </c>
      <c r="Z174" t="s">
        <v>335</v>
      </c>
      <c r="AA174" t="s">
        <v>336</v>
      </c>
      <c r="AB174" t="s">
        <v>2572</v>
      </c>
      <c r="AC174" t="s">
        <v>2573</v>
      </c>
      <c r="AD174" t="s">
        <v>2574</v>
      </c>
      <c r="AE174" s="7">
        <v>16000</v>
      </c>
      <c r="AF174" s="7">
        <v>1</v>
      </c>
      <c r="AG174" s="7">
        <v>16000</v>
      </c>
      <c r="AH174" s="7">
        <v>0</v>
      </c>
      <c r="AI174" s="7">
        <v>16000</v>
      </c>
      <c r="AJ174" t="s">
        <v>2573</v>
      </c>
    </row>
    <row r="175" spans="14:36" x14ac:dyDescent="0.3">
      <c r="N175" s="8">
        <v>2026</v>
      </c>
      <c r="O175" s="8">
        <v>7</v>
      </c>
      <c r="P175" s="9">
        <v>46214</v>
      </c>
      <c r="Q175" t="s">
        <v>238</v>
      </c>
      <c r="R175" t="s">
        <v>415</v>
      </c>
      <c r="S175" t="s">
        <v>416</v>
      </c>
      <c r="T175" t="s">
        <v>417</v>
      </c>
      <c r="U175" t="s">
        <v>418</v>
      </c>
      <c r="V175" t="s">
        <v>243</v>
      </c>
      <c r="W175" t="s">
        <v>244</v>
      </c>
      <c r="X175" t="s">
        <v>3777</v>
      </c>
      <c r="Y175" t="s">
        <v>191</v>
      </c>
      <c r="Z175" t="s">
        <v>335</v>
      </c>
      <c r="AA175" t="s">
        <v>336</v>
      </c>
      <c r="AB175" t="s">
        <v>2582</v>
      </c>
      <c r="AC175" t="s">
        <v>2583</v>
      </c>
      <c r="AD175" t="s">
        <v>2584</v>
      </c>
      <c r="AE175" s="7">
        <v>18000</v>
      </c>
      <c r="AF175" s="7">
        <v>1</v>
      </c>
      <c r="AG175" s="7">
        <v>18000</v>
      </c>
      <c r="AH175" s="7">
        <v>0</v>
      </c>
      <c r="AI175" s="7">
        <v>18000</v>
      </c>
      <c r="AJ175" t="s">
        <v>2583</v>
      </c>
    </row>
    <row r="176" spans="14:36" x14ac:dyDescent="0.3">
      <c r="N176" s="8">
        <v>2026</v>
      </c>
      <c r="O176" s="8">
        <v>7</v>
      </c>
      <c r="P176" s="9">
        <v>46214</v>
      </c>
      <c r="Q176" t="s">
        <v>238</v>
      </c>
      <c r="R176" t="s">
        <v>415</v>
      </c>
      <c r="S176" t="s">
        <v>416</v>
      </c>
      <c r="T176" t="s">
        <v>417</v>
      </c>
      <c r="U176" t="s">
        <v>418</v>
      </c>
      <c r="V176" t="s">
        <v>243</v>
      </c>
      <c r="W176" t="s">
        <v>244</v>
      </c>
      <c r="X176" t="s">
        <v>3777</v>
      </c>
      <c r="Y176" t="s">
        <v>191</v>
      </c>
      <c r="Z176" t="s">
        <v>335</v>
      </c>
      <c r="AA176" t="s">
        <v>337</v>
      </c>
      <c r="AB176" t="s">
        <v>2578</v>
      </c>
      <c r="AC176" t="s">
        <v>2579</v>
      </c>
      <c r="AD176" t="s">
        <v>2580</v>
      </c>
      <c r="AE176" s="7">
        <v>18000</v>
      </c>
      <c r="AF176" s="7">
        <v>1</v>
      </c>
      <c r="AG176" s="7">
        <v>18000</v>
      </c>
      <c r="AH176" s="7">
        <v>0</v>
      </c>
      <c r="AI176" s="7">
        <v>18000</v>
      </c>
      <c r="AJ176" t="s">
        <v>2579</v>
      </c>
    </row>
    <row r="177" spans="14:36" x14ac:dyDescent="0.3">
      <c r="N177" s="8">
        <v>2026</v>
      </c>
      <c r="O177" s="8">
        <v>7</v>
      </c>
      <c r="P177" s="9">
        <v>46214</v>
      </c>
      <c r="Q177" t="s">
        <v>238</v>
      </c>
      <c r="R177" t="s">
        <v>415</v>
      </c>
      <c r="S177" t="s">
        <v>416</v>
      </c>
      <c r="T177" t="s">
        <v>417</v>
      </c>
      <c r="U177" t="s">
        <v>418</v>
      </c>
      <c r="V177" t="s">
        <v>243</v>
      </c>
      <c r="W177" t="s">
        <v>244</v>
      </c>
      <c r="X177" t="s">
        <v>3778</v>
      </c>
      <c r="Y177" t="s">
        <v>168</v>
      </c>
      <c r="Z177" t="s">
        <v>171</v>
      </c>
      <c r="AA177" t="s">
        <v>173</v>
      </c>
      <c r="AB177" t="s">
        <v>23</v>
      </c>
      <c r="AC177" t="s">
        <v>21</v>
      </c>
      <c r="AD177" t="s">
        <v>22</v>
      </c>
      <c r="AE177" s="7">
        <v>535000</v>
      </c>
      <c r="AF177" s="7">
        <v>1</v>
      </c>
      <c r="AG177" s="7">
        <v>535000</v>
      </c>
      <c r="AH177" s="7">
        <v>0</v>
      </c>
      <c r="AI177" s="7">
        <v>535000</v>
      </c>
      <c r="AJ177" t="s">
        <v>21</v>
      </c>
    </row>
    <row r="178" spans="14:36" x14ac:dyDescent="0.3">
      <c r="N178" s="8">
        <v>2026</v>
      </c>
      <c r="O178" s="8">
        <v>7</v>
      </c>
      <c r="P178" s="9">
        <v>46214</v>
      </c>
      <c r="Q178" t="s">
        <v>238</v>
      </c>
      <c r="R178" t="s">
        <v>415</v>
      </c>
      <c r="S178" t="s">
        <v>416</v>
      </c>
      <c r="T178" t="s">
        <v>417</v>
      </c>
      <c r="U178" t="s">
        <v>418</v>
      </c>
      <c r="V178" t="s">
        <v>243</v>
      </c>
      <c r="W178" t="s">
        <v>244</v>
      </c>
      <c r="X178" t="s">
        <v>3778</v>
      </c>
      <c r="Y178" t="s">
        <v>168</v>
      </c>
      <c r="Z178" t="s">
        <v>171</v>
      </c>
      <c r="AA178" t="s">
        <v>175</v>
      </c>
      <c r="AB178" t="s">
        <v>38</v>
      </c>
      <c r="AC178" t="s">
        <v>36</v>
      </c>
      <c r="AD178" t="s">
        <v>37</v>
      </c>
      <c r="AE178" s="7">
        <v>290000</v>
      </c>
      <c r="AF178" s="7">
        <v>1</v>
      </c>
      <c r="AG178" s="7">
        <v>290000</v>
      </c>
      <c r="AH178" s="7">
        <v>0</v>
      </c>
      <c r="AI178" s="7">
        <v>290000</v>
      </c>
      <c r="AJ178" t="s">
        <v>36</v>
      </c>
    </row>
    <row r="179" spans="14:36" x14ac:dyDescent="0.3">
      <c r="N179" s="8">
        <v>2026</v>
      </c>
      <c r="O179" s="8">
        <v>7</v>
      </c>
      <c r="P179" s="9">
        <v>46214</v>
      </c>
      <c r="Q179" t="s">
        <v>238</v>
      </c>
      <c r="R179" t="s">
        <v>415</v>
      </c>
      <c r="S179" t="s">
        <v>416</v>
      </c>
      <c r="T179" t="s">
        <v>3779</v>
      </c>
      <c r="U179" t="s">
        <v>3780</v>
      </c>
      <c r="V179" t="s">
        <v>246</v>
      </c>
      <c r="W179" t="s">
        <v>244</v>
      </c>
      <c r="X179" t="s">
        <v>3781</v>
      </c>
      <c r="Y179" t="s">
        <v>191</v>
      </c>
      <c r="Z179" t="s">
        <v>335</v>
      </c>
      <c r="AA179" t="s">
        <v>336</v>
      </c>
      <c r="AB179" t="s">
        <v>1284</v>
      </c>
      <c r="AC179" t="s">
        <v>1285</v>
      </c>
      <c r="AD179" t="s">
        <v>1286</v>
      </c>
      <c r="AE179" s="7">
        <v>99000</v>
      </c>
      <c r="AF179" s="7">
        <v>1</v>
      </c>
      <c r="AG179" s="7">
        <v>99000</v>
      </c>
      <c r="AH179" s="7">
        <v>0</v>
      </c>
      <c r="AI179" s="7">
        <v>99000</v>
      </c>
      <c r="AJ179" t="s">
        <v>1285</v>
      </c>
    </row>
    <row r="180" spans="14:36" x14ac:dyDescent="0.3">
      <c r="N180" s="8">
        <v>2026</v>
      </c>
      <c r="O180" s="8">
        <v>7</v>
      </c>
      <c r="P180" s="9">
        <v>46214</v>
      </c>
      <c r="Q180" t="s">
        <v>238</v>
      </c>
      <c r="R180" t="s">
        <v>415</v>
      </c>
      <c r="S180" t="s">
        <v>416</v>
      </c>
      <c r="T180" t="s">
        <v>3779</v>
      </c>
      <c r="U180" t="s">
        <v>3780</v>
      </c>
      <c r="V180" t="s">
        <v>246</v>
      </c>
      <c r="W180" t="s">
        <v>244</v>
      </c>
      <c r="X180" t="s">
        <v>3781</v>
      </c>
      <c r="Y180" t="s">
        <v>191</v>
      </c>
      <c r="Z180" t="s">
        <v>335</v>
      </c>
      <c r="AA180" t="s">
        <v>336</v>
      </c>
      <c r="AB180" t="s">
        <v>1146</v>
      </c>
      <c r="AC180" t="s">
        <v>1147</v>
      </c>
      <c r="AD180" t="s">
        <v>1148</v>
      </c>
      <c r="AE180" s="7">
        <v>99000</v>
      </c>
      <c r="AF180" s="7">
        <v>1</v>
      </c>
      <c r="AG180" s="7">
        <v>99000</v>
      </c>
      <c r="AH180" s="7">
        <v>0</v>
      </c>
      <c r="AI180" s="7">
        <v>99000</v>
      </c>
      <c r="AJ180" t="s">
        <v>1147</v>
      </c>
    </row>
    <row r="181" spans="14:36" x14ac:dyDescent="0.3">
      <c r="N181" s="8">
        <v>2026</v>
      </c>
      <c r="O181" s="8">
        <v>7</v>
      </c>
      <c r="P181" s="9">
        <v>46214</v>
      </c>
      <c r="Q181" t="s">
        <v>238</v>
      </c>
      <c r="R181" t="s">
        <v>425</v>
      </c>
      <c r="S181" t="s">
        <v>426</v>
      </c>
      <c r="T181" t="s">
        <v>2064</v>
      </c>
      <c r="U181" t="s">
        <v>2065</v>
      </c>
      <c r="V181" t="s">
        <v>246</v>
      </c>
      <c r="W181" t="s">
        <v>244</v>
      </c>
      <c r="X181" t="s">
        <v>3782</v>
      </c>
      <c r="Y181" t="s">
        <v>168</v>
      </c>
      <c r="Z181" t="s">
        <v>181</v>
      </c>
      <c r="AA181" t="s">
        <v>182</v>
      </c>
      <c r="AB181" t="s">
        <v>50</v>
      </c>
      <c r="AC181" t="s">
        <v>48</v>
      </c>
      <c r="AD181" t="s">
        <v>49</v>
      </c>
      <c r="AE181" s="7">
        <v>49000</v>
      </c>
      <c r="AF181" s="7">
        <v>1</v>
      </c>
      <c r="AG181" s="7">
        <v>49000</v>
      </c>
      <c r="AH181" s="7">
        <v>0</v>
      </c>
      <c r="AI181" s="7">
        <v>49000</v>
      </c>
      <c r="AJ181" t="s">
        <v>48</v>
      </c>
    </row>
    <row r="182" spans="14:36" x14ac:dyDescent="0.3">
      <c r="N182" s="8">
        <v>2026</v>
      </c>
      <c r="O182" s="8">
        <v>7</v>
      </c>
      <c r="P182" s="9">
        <v>46214</v>
      </c>
      <c r="Q182" t="s">
        <v>238</v>
      </c>
      <c r="R182" t="s">
        <v>425</v>
      </c>
      <c r="S182" t="s">
        <v>426</v>
      </c>
      <c r="T182" t="s">
        <v>2858</v>
      </c>
      <c r="U182" t="s">
        <v>464</v>
      </c>
      <c r="V182" t="s">
        <v>246</v>
      </c>
      <c r="W182" t="s">
        <v>244</v>
      </c>
      <c r="X182" t="s">
        <v>3783</v>
      </c>
      <c r="Y182" t="s">
        <v>191</v>
      </c>
      <c r="Z182" t="s">
        <v>192</v>
      </c>
      <c r="AA182" t="s">
        <v>193</v>
      </c>
      <c r="AB182" t="s">
        <v>110</v>
      </c>
      <c r="AC182" t="s">
        <v>108</v>
      </c>
      <c r="AD182" t="s">
        <v>109</v>
      </c>
      <c r="AE182" s="7">
        <v>235000</v>
      </c>
      <c r="AF182" s="7">
        <v>1</v>
      </c>
      <c r="AG182" s="7">
        <v>235000</v>
      </c>
      <c r="AH182" s="7">
        <v>0</v>
      </c>
      <c r="AI182" s="7">
        <v>235000</v>
      </c>
      <c r="AJ182" t="s">
        <v>108</v>
      </c>
    </row>
    <row r="183" spans="14:36" x14ac:dyDescent="0.3">
      <c r="N183" s="8">
        <v>2026</v>
      </c>
      <c r="O183" s="8">
        <v>7</v>
      </c>
      <c r="P183" s="9">
        <v>46213</v>
      </c>
      <c r="Q183" t="s">
        <v>238</v>
      </c>
      <c r="R183" t="s">
        <v>239</v>
      </c>
      <c r="S183" t="s">
        <v>240</v>
      </c>
      <c r="T183" t="s">
        <v>1756</v>
      </c>
      <c r="U183" t="s">
        <v>1757</v>
      </c>
      <c r="V183" t="s">
        <v>246</v>
      </c>
      <c r="W183" t="s">
        <v>244</v>
      </c>
      <c r="X183" t="s">
        <v>3784</v>
      </c>
      <c r="Y183" t="s">
        <v>191</v>
      </c>
      <c r="Z183" t="s">
        <v>335</v>
      </c>
      <c r="AA183" t="s">
        <v>336</v>
      </c>
      <c r="AB183" t="s">
        <v>2551</v>
      </c>
      <c r="AC183" t="s">
        <v>2552</v>
      </c>
      <c r="AD183" t="s">
        <v>2553</v>
      </c>
      <c r="AE183" s="7">
        <v>23000</v>
      </c>
      <c r="AF183" s="7">
        <v>1</v>
      </c>
      <c r="AG183" s="7">
        <v>23000</v>
      </c>
      <c r="AH183" s="7">
        <v>0</v>
      </c>
      <c r="AI183" s="7">
        <v>23000</v>
      </c>
      <c r="AJ183" t="s">
        <v>2552</v>
      </c>
    </row>
    <row r="184" spans="14:36" x14ac:dyDescent="0.3">
      <c r="N184" s="8">
        <v>2026</v>
      </c>
      <c r="O184" s="8">
        <v>7</v>
      </c>
      <c r="P184" s="9">
        <v>46213</v>
      </c>
      <c r="Q184" t="s">
        <v>238</v>
      </c>
      <c r="R184" t="s">
        <v>239</v>
      </c>
      <c r="S184" t="s">
        <v>240</v>
      </c>
      <c r="T184" t="s">
        <v>1756</v>
      </c>
      <c r="U184" t="s">
        <v>1757</v>
      </c>
      <c r="V184" t="s">
        <v>246</v>
      </c>
      <c r="W184" t="s">
        <v>244</v>
      </c>
      <c r="X184" t="s">
        <v>3784</v>
      </c>
      <c r="Y184" t="s">
        <v>191</v>
      </c>
      <c r="Z184" t="s">
        <v>335</v>
      </c>
      <c r="AA184" t="s">
        <v>337</v>
      </c>
      <c r="AB184" t="s">
        <v>2557</v>
      </c>
      <c r="AC184" t="s">
        <v>2558</v>
      </c>
      <c r="AD184" t="s">
        <v>2559</v>
      </c>
      <c r="AE184" s="7">
        <v>24000</v>
      </c>
      <c r="AF184" s="7">
        <v>1</v>
      </c>
      <c r="AG184" s="7">
        <v>24000</v>
      </c>
      <c r="AH184" s="7">
        <v>0</v>
      </c>
      <c r="AI184" s="7">
        <v>24000</v>
      </c>
      <c r="AJ184" t="s">
        <v>2558</v>
      </c>
    </row>
    <row r="185" spans="14:36" x14ac:dyDescent="0.3">
      <c r="N185" s="8">
        <v>2026</v>
      </c>
      <c r="O185" s="8">
        <v>7</v>
      </c>
      <c r="P185" s="9">
        <v>46213</v>
      </c>
      <c r="Q185" t="s">
        <v>238</v>
      </c>
      <c r="R185" t="s">
        <v>279</v>
      </c>
      <c r="S185" t="s">
        <v>280</v>
      </c>
      <c r="T185" t="s">
        <v>3785</v>
      </c>
      <c r="U185" t="s">
        <v>957</v>
      </c>
      <c r="V185" t="s">
        <v>249</v>
      </c>
      <c r="W185" t="s">
        <v>244</v>
      </c>
      <c r="X185" t="s">
        <v>3786</v>
      </c>
      <c r="Y185" t="s">
        <v>191</v>
      </c>
      <c r="Z185" t="s">
        <v>335</v>
      </c>
      <c r="AA185" t="s">
        <v>337</v>
      </c>
      <c r="AB185" t="s">
        <v>348</v>
      </c>
      <c r="AC185" t="s">
        <v>349</v>
      </c>
      <c r="AD185" t="s">
        <v>350</v>
      </c>
      <c r="AE185" s="7">
        <v>76000</v>
      </c>
      <c r="AF185" s="7">
        <v>1</v>
      </c>
      <c r="AG185" s="7">
        <v>76000</v>
      </c>
      <c r="AH185" s="7">
        <v>0</v>
      </c>
      <c r="AI185" s="7">
        <v>76000</v>
      </c>
      <c r="AJ185" t="s">
        <v>349</v>
      </c>
    </row>
    <row r="186" spans="14:36" x14ac:dyDescent="0.3">
      <c r="N186" s="8">
        <v>2026</v>
      </c>
      <c r="O186" s="8">
        <v>7</v>
      </c>
      <c r="P186" s="9">
        <v>46213</v>
      </c>
      <c r="Q186" t="s">
        <v>238</v>
      </c>
      <c r="R186" t="s">
        <v>279</v>
      </c>
      <c r="S186" t="s">
        <v>280</v>
      </c>
      <c r="T186" t="s">
        <v>281</v>
      </c>
      <c r="U186" t="s">
        <v>282</v>
      </c>
      <c r="V186" t="s">
        <v>243</v>
      </c>
      <c r="W186" t="s">
        <v>244</v>
      </c>
      <c r="X186" t="s">
        <v>3787</v>
      </c>
      <c r="Y186" t="s">
        <v>194</v>
      </c>
      <c r="Z186" t="s">
        <v>200</v>
      </c>
      <c r="AA186" t="s">
        <v>201</v>
      </c>
      <c r="AB186" t="s">
        <v>86</v>
      </c>
      <c r="AC186" t="s">
        <v>84</v>
      </c>
      <c r="AD186" t="s">
        <v>85</v>
      </c>
      <c r="AE186" s="7">
        <v>49000</v>
      </c>
      <c r="AF186" s="7">
        <v>1</v>
      </c>
      <c r="AG186" s="7">
        <v>49000</v>
      </c>
      <c r="AH186" s="7">
        <v>0</v>
      </c>
      <c r="AI186" s="7">
        <v>49000</v>
      </c>
      <c r="AJ186" t="s">
        <v>84</v>
      </c>
    </row>
    <row r="187" spans="14:36" x14ac:dyDescent="0.3">
      <c r="N187" s="8">
        <v>2026</v>
      </c>
      <c r="O187" s="8">
        <v>7</v>
      </c>
      <c r="P187" s="9">
        <v>46213</v>
      </c>
      <c r="Q187" t="s">
        <v>238</v>
      </c>
      <c r="R187" t="s">
        <v>279</v>
      </c>
      <c r="S187" t="s">
        <v>280</v>
      </c>
      <c r="T187" t="s">
        <v>281</v>
      </c>
      <c r="U187" t="s">
        <v>282</v>
      </c>
      <c r="V187" t="s">
        <v>243</v>
      </c>
      <c r="W187" t="s">
        <v>244</v>
      </c>
      <c r="X187" t="s">
        <v>3787</v>
      </c>
      <c r="Y187" t="s">
        <v>191</v>
      </c>
      <c r="Z187" t="s">
        <v>192</v>
      </c>
      <c r="AA187" t="s">
        <v>193</v>
      </c>
      <c r="AB187" t="s">
        <v>107</v>
      </c>
      <c r="AC187" t="s">
        <v>105</v>
      </c>
      <c r="AD187" t="s">
        <v>106</v>
      </c>
      <c r="AE187" s="7">
        <v>235000</v>
      </c>
      <c r="AF187" s="7">
        <v>1</v>
      </c>
      <c r="AG187" s="7">
        <v>235000</v>
      </c>
      <c r="AH187" s="7">
        <v>0</v>
      </c>
      <c r="AI187" s="7">
        <v>235000</v>
      </c>
      <c r="AJ187" t="s">
        <v>105</v>
      </c>
    </row>
    <row r="188" spans="14:36" x14ac:dyDescent="0.3">
      <c r="N188" s="8">
        <v>2026</v>
      </c>
      <c r="O188" s="8">
        <v>7</v>
      </c>
      <c r="P188" s="9">
        <v>46213</v>
      </c>
      <c r="Q188" t="s">
        <v>238</v>
      </c>
      <c r="R188" t="s">
        <v>279</v>
      </c>
      <c r="S188" t="s">
        <v>280</v>
      </c>
      <c r="T188" t="s">
        <v>3788</v>
      </c>
      <c r="U188" t="s">
        <v>472</v>
      </c>
      <c r="V188" t="s">
        <v>246</v>
      </c>
      <c r="W188" t="s">
        <v>244</v>
      </c>
      <c r="X188" t="s">
        <v>3789</v>
      </c>
      <c r="Y188" t="s">
        <v>194</v>
      </c>
      <c r="Z188" t="s">
        <v>200</v>
      </c>
      <c r="AA188" t="s">
        <v>201</v>
      </c>
      <c r="AB188" t="s">
        <v>80</v>
      </c>
      <c r="AC188" t="s">
        <v>78</v>
      </c>
      <c r="AD188" t="s">
        <v>79</v>
      </c>
      <c r="AE188" s="7">
        <v>14000</v>
      </c>
      <c r="AF188" s="7">
        <v>1</v>
      </c>
      <c r="AG188" s="7">
        <v>14000</v>
      </c>
      <c r="AH188" s="7">
        <v>0</v>
      </c>
      <c r="AI188" s="7">
        <v>14000</v>
      </c>
      <c r="AJ188" t="s">
        <v>78</v>
      </c>
    </row>
    <row r="189" spans="14:36" x14ac:dyDescent="0.3">
      <c r="N189" s="8">
        <v>2026</v>
      </c>
      <c r="O189" s="8">
        <v>7</v>
      </c>
      <c r="P189" s="9">
        <v>46213</v>
      </c>
      <c r="Q189" t="s">
        <v>238</v>
      </c>
      <c r="R189" t="s">
        <v>279</v>
      </c>
      <c r="S189" t="s">
        <v>280</v>
      </c>
      <c r="T189" t="s">
        <v>3790</v>
      </c>
      <c r="U189" t="s">
        <v>3791</v>
      </c>
      <c r="V189" t="s">
        <v>246</v>
      </c>
      <c r="W189" t="s">
        <v>244</v>
      </c>
      <c r="X189" t="s">
        <v>3792</v>
      </c>
      <c r="Y189" t="s">
        <v>191</v>
      </c>
      <c r="Z189" t="s">
        <v>335</v>
      </c>
      <c r="AA189" t="s">
        <v>336</v>
      </c>
      <c r="AB189" t="s">
        <v>1284</v>
      </c>
      <c r="AC189" t="s">
        <v>1285</v>
      </c>
      <c r="AD189" t="s">
        <v>1286</v>
      </c>
      <c r="AE189" s="7">
        <v>99000</v>
      </c>
      <c r="AF189" s="7">
        <v>1</v>
      </c>
      <c r="AG189" s="7">
        <v>99000</v>
      </c>
      <c r="AH189" s="7">
        <v>0</v>
      </c>
      <c r="AI189" s="7">
        <v>99000</v>
      </c>
      <c r="AJ189" t="s">
        <v>1285</v>
      </c>
    </row>
    <row r="190" spans="14:36" x14ac:dyDescent="0.3">
      <c r="N190" s="8">
        <v>2026</v>
      </c>
      <c r="O190" s="8">
        <v>7</v>
      </c>
      <c r="P190" s="9">
        <v>46213</v>
      </c>
      <c r="Q190" t="s">
        <v>238</v>
      </c>
      <c r="R190" t="s">
        <v>279</v>
      </c>
      <c r="S190" t="s">
        <v>280</v>
      </c>
      <c r="T190" t="s">
        <v>3790</v>
      </c>
      <c r="U190" t="s">
        <v>3791</v>
      </c>
      <c r="V190" t="s">
        <v>246</v>
      </c>
      <c r="W190" t="s">
        <v>244</v>
      </c>
      <c r="X190" t="s">
        <v>3792</v>
      </c>
      <c r="Y190" t="s">
        <v>191</v>
      </c>
      <c r="Z190" t="s">
        <v>335</v>
      </c>
      <c r="AA190" t="s">
        <v>336</v>
      </c>
      <c r="AB190" t="s">
        <v>2582</v>
      </c>
      <c r="AC190" t="s">
        <v>2583</v>
      </c>
      <c r="AD190" t="s">
        <v>2584</v>
      </c>
      <c r="AE190" s="7">
        <v>18000</v>
      </c>
      <c r="AF190" s="7">
        <v>1</v>
      </c>
      <c r="AG190" s="7">
        <v>18000</v>
      </c>
      <c r="AH190" s="7">
        <v>0</v>
      </c>
      <c r="AI190" s="7">
        <v>18000</v>
      </c>
      <c r="AJ190" t="s">
        <v>2583</v>
      </c>
    </row>
    <row r="191" spans="14:36" x14ac:dyDescent="0.3">
      <c r="N191" s="8">
        <v>2026</v>
      </c>
      <c r="O191" s="8">
        <v>7</v>
      </c>
      <c r="P191" s="9">
        <v>46213</v>
      </c>
      <c r="Q191" t="s">
        <v>238</v>
      </c>
      <c r="R191" t="s">
        <v>279</v>
      </c>
      <c r="S191" t="s">
        <v>280</v>
      </c>
      <c r="T191" t="s">
        <v>3793</v>
      </c>
      <c r="U191" t="s">
        <v>3794</v>
      </c>
      <c r="V191" t="s">
        <v>246</v>
      </c>
      <c r="W191" t="s">
        <v>244</v>
      </c>
      <c r="X191" t="s">
        <v>3795</v>
      </c>
      <c r="Y191" t="s">
        <v>191</v>
      </c>
      <c r="Z191" t="s">
        <v>192</v>
      </c>
      <c r="AA191" t="s">
        <v>193</v>
      </c>
      <c r="AB191" t="s">
        <v>113</v>
      </c>
      <c r="AC191" t="s">
        <v>111</v>
      </c>
      <c r="AD191" t="s">
        <v>112</v>
      </c>
      <c r="AE191" s="7">
        <v>235000</v>
      </c>
      <c r="AF191" s="7">
        <v>1</v>
      </c>
      <c r="AG191" s="7">
        <v>235000</v>
      </c>
      <c r="AH191" s="7">
        <v>0</v>
      </c>
      <c r="AI191" s="7">
        <v>235000</v>
      </c>
      <c r="AJ191" t="s">
        <v>111</v>
      </c>
    </row>
    <row r="192" spans="14:36" x14ac:dyDescent="0.3">
      <c r="N192" s="8">
        <v>2026</v>
      </c>
      <c r="O192" s="8">
        <v>7</v>
      </c>
      <c r="P192" s="9">
        <v>46213</v>
      </c>
      <c r="Q192" t="s">
        <v>238</v>
      </c>
      <c r="R192" t="s">
        <v>279</v>
      </c>
      <c r="S192" t="s">
        <v>280</v>
      </c>
      <c r="T192" t="s">
        <v>2456</v>
      </c>
      <c r="U192" t="s">
        <v>3610</v>
      </c>
      <c r="V192" t="s">
        <v>246</v>
      </c>
      <c r="W192" t="s">
        <v>244</v>
      </c>
      <c r="X192" t="s">
        <v>3796</v>
      </c>
      <c r="Y192" t="s">
        <v>183</v>
      </c>
      <c r="Z192" t="s">
        <v>186</v>
      </c>
      <c r="AA192" t="s">
        <v>188</v>
      </c>
      <c r="AB192" t="s">
        <v>155</v>
      </c>
      <c r="AC192" t="s">
        <v>153</v>
      </c>
      <c r="AD192" t="s">
        <v>154</v>
      </c>
      <c r="AE192" s="7">
        <v>320000</v>
      </c>
      <c r="AF192" s="7">
        <v>1</v>
      </c>
      <c r="AG192" s="7">
        <v>320000</v>
      </c>
      <c r="AH192" s="7">
        <v>0</v>
      </c>
      <c r="AI192" s="7">
        <v>320000</v>
      </c>
      <c r="AJ192" t="s">
        <v>153</v>
      </c>
    </row>
    <row r="193" spans="14:36" x14ac:dyDescent="0.3">
      <c r="N193" s="8">
        <v>2026</v>
      </c>
      <c r="O193" s="8">
        <v>7</v>
      </c>
      <c r="P193" s="9">
        <v>46213</v>
      </c>
      <c r="Q193" t="s">
        <v>238</v>
      </c>
      <c r="R193" t="s">
        <v>279</v>
      </c>
      <c r="S193" t="s">
        <v>280</v>
      </c>
      <c r="T193" t="s">
        <v>1074</v>
      </c>
      <c r="U193" t="s">
        <v>3797</v>
      </c>
      <c r="V193" t="s">
        <v>246</v>
      </c>
      <c r="W193" t="s">
        <v>244</v>
      </c>
      <c r="X193" t="s">
        <v>3798</v>
      </c>
      <c r="Y193" t="s">
        <v>191</v>
      </c>
      <c r="Z193" t="s">
        <v>335</v>
      </c>
      <c r="AA193" t="s">
        <v>336</v>
      </c>
      <c r="AB193" t="s">
        <v>2569</v>
      </c>
      <c r="AC193" t="s">
        <v>2570</v>
      </c>
      <c r="AD193" t="s">
        <v>2571</v>
      </c>
      <c r="AE193" s="7">
        <v>23000</v>
      </c>
      <c r="AF193" s="7">
        <v>5</v>
      </c>
      <c r="AG193" s="7">
        <v>115000</v>
      </c>
      <c r="AH193" s="7">
        <v>0</v>
      </c>
      <c r="AI193" s="7">
        <v>115000</v>
      </c>
      <c r="AJ193" t="s">
        <v>2570</v>
      </c>
    </row>
    <row r="194" spans="14:36" x14ac:dyDescent="0.3">
      <c r="N194" s="8">
        <v>2026</v>
      </c>
      <c r="O194" s="8">
        <v>7</v>
      </c>
      <c r="P194" s="9">
        <v>46213</v>
      </c>
      <c r="Q194" t="s">
        <v>238</v>
      </c>
      <c r="R194" t="s">
        <v>279</v>
      </c>
      <c r="S194" t="s">
        <v>280</v>
      </c>
      <c r="T194" t="s">
        <v>444</v>
      </c>
      <c r="U194" t="s">
        <v>445</v>
      </c>
      <c r="V194" t="s">
        <v>246</v>
      </c>
      <c r="W194" t="s">
        <v>244</v>
      </c>
      <c r="X194" t="s">
        <v>3799</v>
      </c>
      <c r="Y194" t="s">
        <v>168</v>
      </c>
      <c r="Z194" t="s">
        <v>171</v>
      </c>
      <c r="AA194" t="s">
        <v>173</v>
      </c>
      <c r="AB194" t="s">
        <v>26</v>
      </c>
      <c r="AC194" t="s">
        <v>24</v>
      </c>
      <c r="AD194" t="s">
        <v>25</v>
      </c>
      <c r="AE194" s="7">
        <v>555000</v>
      </c>
      <c r="AF194" s="7">
        <v>1</v>
      </c>
      <c r="AG194" s="7">
        <v>555000</v>
      </c>
      <c r="AH194" s="7">
        <v>0</v>
      </c>
      <c r="AI194" s="7">
        <v>555000</v>
      </c>
      <c r="AJ194" t="s">
        <v>24</v>
      </c>
    </row>
    <row r="195" spans="14:36" x14ac:dyDescent="0.3">
      <c r="N195" s="8">
        <v>2026</v>
      </c>
      <c r="O195" s="8">
        <v>7</v>
      </c>
      <c r="P195" s="9">
        <v>46213</v>
      </c>
      <c r="Q195" t="s">
        <v>238</v>
      </c>
      <c r="R195" t="s">
        <v>303</v>
      </c>
      <c r="S195" t="s">
        <v>304</v>
      </c>
      <c r="T195" t="s">
        <v>2333</v>
      </c>
      <c r="U195" t="s">
        <v>3800</v>
      </c>
      <c r="V195" t="s">
        <v>246</v>
      </c>
      <c r="W195" t="s">
        <v>244</v>
      </c>
      <c r="X195" t="s">
        <v>3801</v>
      </c>
      <c r="Y195" t="s">
        <v>191</v>
      </c>
      <c r="Z195" t="s">
        <v>335</v>
      </c>
      <c r="AA195" t="s">
        <v>336</v>
      </c>
      <c r="AB195" t="s">
        <v>1146</v>
      </c>
      <c r="AC195" t="s">
        <v>1147</v>
      </c>
      <c r="AD195" t="s">
        <v>1148</v>
      </c>
      <c r="AE195" s="7">
        <v>99000</v>
      </c>
      <c r="AF195" s="7">
        <v>1</v>
      </c>
      <c r="AG195" s="7">
        <v>99000</v>
      </c>
      <c r="AH195" s="7">
        <v>0</v>
      </c>
      <c r="AI195" s="7">
        <v>99000</v>
      </c>
      <c r="AJ195" t="s">
        <v>1147</v>
      </c>
    </row>
    <row r="196" spans="14:36" x14ac:dyDescent="0.3">
      <c r="N196" s="8">
        <v>2026</v>
      </c>
      <c r="O196" s="8">
        <v>7</v>
      </c>
      <c r="P196" s="9">
        <v>46213</v>
      </c>
      <c r="Q196" t="s">
        <v>238</v>
      </c>
      <c r="R196" t="s">
        <v>303</v>
      </c>
      <c r="S196" t="s">
        <v>304</v>
      </c>
      <c r="T196" t="s">
        <v>2536</v>
      </c>
      <c r="U196" t="s">
        <v>3802</v>
      </c>
      <c r="V196" t="s">
        <v>246</v>
      </c>
      <c r="W196" t="s">
        <v>244</v>
      </c>
      <c r="X196" t="s">
        <v>3803</v>
      </c>
      <c r="Y196" t="s">
        <v>168</v>
      </c>
      <c r="Z196" t="s">
        <v>171</v>
      </c>
      <c r="AA196" t="s">
        <v>172</v>
      </c>
      <c r="AB196" t="s">
        <v>11</v>
      </c>
      <c r="AC196" t="s">
        <v>9</v>
      </c>
      <c r="AD196" t="s">
        <v>10</v>
      </c>
      <c r="AE196" s="7">
        <v>129000</v>
      </c>
      <c r="AF196" s="7">
        <v>2</v>
      </c>
      <c r="AG196" s="7">
        <v>258000</v>
      </c>
      <c r="AH196" s="7">
        <v>0</v>
      </c>
      <c r="AI196" s="7">
        <v>258000</v>
      </c>
      <c r="AJ196" t="s">
        <v>9</v>
      </c>
    </row>
    <row r="197" spans="14:36" x14ac:dyDescent="0.3">
      <c r="N197" s="8">
        <v>2026</v>
      </c>
      <c r="O197" s="8">
        <v>7</v>
      </c>
      <c r="P197" s="9">
        <v>46213</v>
      </c>
      <c r="Q197" t="s">
        <v>238</v>
      </c>
      <c r="R197" t="s">
        <v>303</v>
      </c>
      <c r="S197" t="s">
        <v>304</v>
      </c>
      <c r="T197" t="s">
        <v>1226</v>
      </c>
      <c r="U197" t="s">
        <v>3804</v>
      </c>
      <c r="V197" t="s">
        <v>246</v>
      </c>
      <c r="W197" t="s">
        <v>244</v>
      </c>
      <c r="X197" t="s">
        <v>3805</v>
      </c>
      <c r="Y197" t="s">
        <v>168</v>
      </c>
      <c r="Z197" t="s">
        <v>171</v>
      </c>
      <c r="AA197" t="s">
        <v>175</v>
      </c>
      <c r="AB197" t="s">
        <v>137</v>
      </c>
      <c r="AC197" t="s">
        <v>135</v>
      </c>
      <c r="AD197" t="s">
        <v>136</v>
      </c>
      <c r="AE197" s="7">
        <v>100000</v>
      </c>
      <c r="AF197" s="7">
        <v>2</v>
      </c>
      <c r="AG197" s="7">
        <v>200000</v>
      </c>
      <c r="AH197" s="7">
        <v>20000</v>
      </c>
      <c r="AI197" s="7">
        <v>180000</v>
      </c>
      <c r="AJ197" t="s">
        <v>135</v>
      </c>
    </row>
    <row r="198" spans="14:36" x14ac:dyDescent="0.3">
      <c r="N198" s="8">
        <v>2026</v>
      </c>
      <c r="O198" s="8">
        <v>7</v>
      </c>
      <c r="P198" s="9">
        <v>46213</v>
      </c>
      <c r="Q198" t="s">
        <v>238</v>
      </c>
      <c r="R198" t="s">
        <v>303</v>
      </c>
      <c r="S198" t="s">
        <v>304</v>
      </c>
      <c r="T198" t="s">
        <v>344</v>
      </c>
      <c r="U198" t="s">
        <v>345</v>
      </c>
      <c r="V198" t="s">
        <v>246</v>
      </c>
      <c r="W198" t="s">
        <v>244</v>
      </c>
      <c r="X198" t="s">
        <v>3806</v>
      </c>
      <c r="Y198" t="s">
        <v>168</v>
      </c>
      <c r="Z198" t="s">
        <v>179</v>
      </c>
      <c r="AA198" t="s">
        <v>180</v>
      </c>
      <c r="AB198" t="s">
        <v>149</v>
      </c>
      <c r="AC198" t="s">
        <v>147</v>
      </c>
      <c r="AD198" t="s">
        <v>148</v>
      </c>
      <c r="AE198" s="7">
        <v>150000</v>
      </c>
      <c r="AF198" s="7">
        <v>1</v>
      </c>
      <c r="AG198" s="7">
        <v>150000</v>
      </c>
      <c r="AH198" s="7">
        <v>15000</v>
      </c>
      <c r="AI198" s="7">
        <v>135000</v>
      </c>
      <c r="AJ198" t="s">
        <v>147</v>
      </c>
    </row>
    <row r="199" spans="14:36" x14ac:dyDescent="0.3">
      <c r="N199" s="8">
        <v>2026</v>
      </c>
      <c r="O199" s="8">
        <v>7</v>
      </c>
      <c r="P199" s="9">
        <v>46213</v>
      </c>
      <c r="Q199" t="s">
        <v>238</v>
      </c>
      <c r="R199" t="s">
        <v>351</v>
      </c>
      <c r="S199" t="s">
        <v>352</v>
      </c>
      <c r="T199" t="s">
        <v>3807</v>
      </c>
      <c r="U199" t="s">
        <v>1366</v>
      </c>
      <c r="V199" t="s">
        <v>249</v>
      </c>
      <c r="W199" t="s">
        <v>244</v>
      </c>
      <c r="X199" t="s">
        <v>3808</v>
      </c>
      <c r="Y199" t="s">
        <v>191</v>
      </c>
      <c r="Z199" t="s">
        <v>335</v>
      </c>
      <c r="AA199" t="s">
        <v>336</v>
      </c>
      <c r="AB199" t="s">
        <v>2612</v>
      </c>
      <c r="AC199" t="s">
        <v>2613</v>
      </c>
      <c r="AD199" t="s">
        <v>2614</v>
      </c>
      <c r="AE199" s="7">
        <v>18000</v>
      </c>
      <c r="AF199" s="7">
        <v>2</v>
      </c>
      <c r="AG199" s="7">
        <v>36000</v>
      </c>
      <c r="AH199" s="7">
        <v>0</v>
      </c>
      <c r="AI199" s="7">
        <v>36000</v>
      </c>
      <c r="AJ199" t="s">
        <v>2613</v>
      </c>
    </row>
    <row r="200" spans="14:36" x14ac:dyDescent="0.3">
      <c r="N200" s="8">
        <v>2026</v>
      </c>
      <c r="O200" s="8">
        <v>7</v>
      </c>
      <c r="P200" s="9">
        <v>46213</v>
      </c>
      <c r="Q200" t="s">
        <v>238</v>
      </c>
      <c r="R200" t="s">
        <v>351</v>
      </c>
      <c r="S200" t="s">
        <v>352</v>
      </c>
      <c r="T200" t="s">
        <v>3764</v>
      </c>
      <c r="U200" t="s">
        <v>3638</v>
      </c>
      <c r="V200" t="s">
        <v>249</v>
      </c>
      <c r="W200" t="s">
        <v>244</v>
      </c>
      <c r="X200" t="s">
        <v>3809</v>
      </c>
      <c r="Y200" t="s">
        <v>191</v>
      </c>
      <c r="Z200" t="s">
        <v>335</v>
      </c>
      <c r="AA200" t="s">
        <v>337</v>
      </c>
      <c r="AB200" t="s">
        <v>2557</v>
      </c>
      <c r="AC200" t="s">
        <v>2558</v>
      </c>
      <c r="AD200" t="s">
        <v>2559</v>
      </c>
      <c r="AE200" s="7">
        <v>24000</v>
      </c>
      <c r="AF200" s="7">
        <v>1</v>
      </c>
      <c r="AG200" s="7">
        <v>24000</v>
      </c>
      <c r="AH200" s="7">
        <v>0</v>
      </c>
      <c r="AI200" s="7">
        <v>24000</v>
      </c>
      <c r="AJ200" t="s">
        <v>2558</v>
      </c>
    </row>
    <row r="201" spans="14:36" x14ac:dyDescent="0.3">
      <c r="N201" s="8">
        <v>2026</v>
      </c>
      <c r="O201" s="8">
        <v>7</v>
      </c>
      <c r="P201" s="9">
        <v>46213</v>
      </c>
      <c r="Q201" t="s">
        <v>238</v>
      </c>
      <c r="R201" t="s">
        <v>374</v>
      </c>
      <c r="S201" t="s">
        <v>375</v>
      </c>
      <c r="T201" t="s">
        <v>376</v>
      </c>
      <c r="U201" t="s">
        <v>377</v>
      </c>
      <c r="V201" t="s">
        <v>243</v>
      </c>
      <c r="W201" t="s">
        <v>244</v>
      </c>
      <c r="X201" t="s">
        <v>3810</v>
      </c>
      <c r="Y201" t="s">
        <v>191</v>
      </c>
      <c r="Z201" t="s">
        <v>192</v>
      </c>
      <c r="AA201" t="s">
        <v>193</v>
      </c>
      <c r="AB201" t="s">
        <v>116</v>
      </c>
      <c r="AC201" t="s">
        <v>114</v>
      </c>
      <c r="AD201" t="s">
        <v>115</v>
      </c>
      <c r="AE201" s="7">
        <v>235000</v>
      </c>
      <c r="AF201" s="7">
        <v>1</v>
      </c>
      <c r="AG201" s="7">
        <v>235000</v>
      </c>
      <c r="AH201" s="7">
        <v>0</v>
      </c>
      <c r="AI201" s="7">
        <v>235000</v>
      </c>
      <c r="AJ201" t="s">
        <v>114</v>
      </c>
    </row>
    <row r="202" spans="14:36" x14ac:dyDescent="0.3">
      <c r="N202" s="8">
        <v>2026</v>
      </c>
      <c r="O202" s="8">
        <v>7</v>
      </c>
      <c r="P202" s="9">
        <v>46213</v>
      </c>
      <c r="Q202" t="s">
        <v>238</v>
      </c>
      <c r="R202" t="s">
        <v>374</v>
      </c>
      <c r="S202" t="s">
        <v>375</v>
      </c>
      <c r="T202" t="s">
        <v>989</v>
      </c>
      <c r="U202" t="s">
        <v>3811</v>
      </c>
      <c r="V202" t="s">
        <v>246</v>
      </c>
      <c r="W202" t="s">
        <v>244</v>
      </c>
      <c r="X202" t="s">
        <v>3812</v>
      </c>
      <c r="Y202" t="s">
        <v>191</v>
      </c>
      <c r="Z202" t="s">
        <v>335</v>
      </c>
      <c r="AA202" t="s">
        <v>337</v>
      </c>
      <c r="AB202" t="s">
        <v>2557</v>
      </c>
      <c r="AC202" t="s">
        <v>2558</v>
      </c>
      <c r="AD202" t="s">
        <v>2559</v>
      </c>
      <c r="AE202" s="7">
        <v>24000</v>
      </c>
      <c r="AF202" s="7">
        <v>1</v>
      </c>
      <c r="AG202" s="7">
        <v>24000</v>
      </c>
      <c r="AH202" s="7">
        <v>0</v>
      </c>
      <c r="AI202" s="7">
        <v>24000</v>
      </c>
      <c r="AJ202" t="s">
        <v>2558</v>
      </c>
    </row>
    <row r="203" spans="14:36" x14ac:dyDescent="0.3">
      <c r="N203" s="8">
        <v>2026</v>
      </c>
      <c r="O203" s="8">
        <v>7</v>
      </c>
      <c r="P203" s="9">
        <v>46213</v>
      </c>
      <c r="Q203" t="s">
        <v>238</v>
      </c>
      <c r="R203" t="s">
        <v>374</v>
      </c>
      <c r="S203" t="s">
        <v>375</v>
      </c>
      <c r="T203" t="s">
        <v>594</v>
      </c>
      <c r="U203" t="s">
        <v>595</v>
      </c>
      <c r="V203" t="s">
        <v>246</v>
      </c>
      <c r="W203" t="s">
        <v>244</v>
      </c>
      <c r="X203" t="s">
        <v>3813</v>
      </c>
      <c r="Y203" t="s">
        <v>191</v>
      </c>
      <c r="Z203" t="s">
        <v>335</v>
      </c>
      <c r="AA203" t="s">
        <v>336</v>
      </c>
      <c r="AB203" t="s">
        <v>2566</v>
      </c>
      <c r="AC203" t="s">
        <v>2567</v>
      </c>
      <c r="AD203" t="s">
        <v>2568</v>
      </c>
      <c r="AE203" s="7">
        <v>15000</v>
      </c>
      <c r="AF203" s="7">
        <v>3</v>
      </c>
      <c r="AG203" s="7">
        <v>45000</v>
      </c>
      <c r="AH203" s="7">
        <v>0</v>
      </c>
      <c r="AI203" s="7">
        <v>45000</v>
      </c>
      <c r="AJ203" t="s">
        <v>2567</v>
      </c>
    </row>
    <row r="204" spans="14:36" x14ac:dyDescent="0.3">
      <c r="N204" s="8">
        <v>2026</v>
      </c>
      <c r="O204" s="8">
        <v>7</v>
      </c>
      <c r="P204" s="9">
        <v>46213</v>
      </c>
      <c r="Q204" t="s">
        <v>238</v>
      </c>
      <c r="R204" t="s">
        <v>374</v>
      </c>
      <c r="S204" t="s">
        <v>375</v>
      </c>
      <c r="T204" t="s">
        <v>594</v>
      </c>
      <c r="U204" t="s">
        <v>595</v>
      </c>
      <c r="V204" t="s">
        <v>246</v>
      </c>
      <c r="W204" t="s">
        <v>244</v>
      </c>
      <c r="X204" t="s">
        <v>3813</v>
      </c>
      <c r="Y204" t="s">
        <v>191</v>
      </c>
      <c r="Z204" t="s">
        <v>335</v>
      </c>
      <c r="AA204" t="s">
        <v>336</v>
      </c>
      <c r="AB204" t="s">
        <v>2612</v>
      </c>
      <c r="AC204" t="s">
        <v>2613</v>
      </c>
      <c r="AD204" t="s">
        <v>2614</v>
      </c>
      <c r="AE204" s="7">
        <v>18000</v>
      </c>
      <c r="AF204" s="7">
        <v>1</v>
      </c>
      <c r="AG204" s="7">
        <v>18000</v>
      </c>
      <c r="AH204" s="7">
        <v>0</v>
      </c>
      <c r="AI204" s="7">
        <v>18000</v>
      </c>
      <c r="AJ204" t="s">
        <v>2613</v>
      </c>
    </row>
    <row r="205" spans="14:36" x14ac:dyDescent="0.3">
      <c r="N205" s="8">
        <v>2026</v>
      </c>
      <c r="O205" s="8">
        <v>7</v>
      </c>
      <c r="P205" s="9">
        <v>46213</v>
      </c>
      <c r="Q205" t="s">
        <v>238</v>
      </c>
      <c r="R205" t="s">
        <v>374</v>
      </c>
      <c r="S205" t="s">
        <v>375</v>
      </c>
      <c r="T205" t="s">
        <v>594</v>
      </c>
      <c r="U205" t="s">
        <v>595</v>
      </c>
      <c r="V205" t="s">
        <v>246</v>
      </c>
      <c r="W205" t="s">
        <v>244</v>
      </c>
      <c r="X205" t="s">
        <v>3813</v>
      </c>
      <c r="Y205" t="s">
        <v>191</v>
      </c>
      <c r="Z205" t="s">
        <v>335</v>
      </c>
      <c r="AA205" t="s">
        <v>336</v>
      </c>
      <c r="AB205" t="s">
        <v>2575</v>
      </c>
      <c r="AC205" t="s">
        <v>2576</v>
      </c>
      <c r="AD205" t="s">
        <v>2577</v>
      </c>
      <c r="AE205" s="7">
        <v>16000</v>
      </c>
      <c r="AF205" s="7">
        <v>2</v>
      </c>
      <c r="AG205" s="7">
        <v>32000</v>
      </c>
      <c r="AH205" s="7">
        <v>0</v>
      </c>
      <c r="AI205" s="7">
        <v>32000</v>
      </c>
      <c r="AJ205" t="s">
        <v>2576</v>
      </c>
    </row>
    <row r="206" spans="14:36" x14ac:dyDescent="0.3">
      <c r="N206" s="8">
        <v>2026</v>
      </c>
      <c r="O206" s="8">
        <v>7</v>
      </c>
      <c r="P206" s="9">
        <v>46213</v>
      </c>
      <c r="Q206" t="s">
        <v>238</v>
      </c>
      <c r="R206" t="s">
        <v>374</v>
      </c>
      <c r="S206" t="s">
        <v>375</v>
      </c>
      <c r="T206" t="s">
        <v>594</v>
      </c>
      <c r="U206" t="s">
        <v>595</v>
      </c>
      <c r="V206" t="s">
        <v>246</v>
      </c>
      <c r="W206" t="s">
        <v>244</v>
      </c>
      <c r="X206" t="s">
        <v>3813</v>
      </c>
      <c r="Y206" t="s">
        <v>191</v>
      </c>
      <c r="Z206" t="s">
        <v>335</v>
      </c>
      <c r="AA206" t="s">
        <v>336</v>
      </c>
      <c r="AB206" t="s">
        <v>2582</v>
      </c>
      <c r="AC206" t="s">
        <v>2583</v>
      </c>
      <c r="AD206" t="s">
        <v>2584</v>
      </c>
      <c r="AE206" s="7">
        <v>18000</v>
      </c>
      <c r="AF206" s="7">
        <v>2</v>
      </c>
      <c r="AG206" s="7">
        <v>36000</v>
      </c>
      <c r="AH206" s="7">
        <v>0</v>
      </c>
      <c r="AI206" s="7">
        <v>36000</v>
      </c>
      <c r="AJ206" t="s">
        <v>2583</v>
      </c>
    </row>
    <row r="207" spans="14:36" x14ac:dyDescent="0.3">
      <c r="N207" s="8">
        <v>2026</v>
      </c>
      <c r="O207" s="8">
        <v>7</v>
      </c>
      <c r="P207" s="9">
        <v>46213</v>
      </c>
      <c r="Q207" t="s">
        <v>238</v>
      </c>
      <c r="R207" t="s">
        <v>374</v>
      </c>
      <c r="S207" t="s">
        <v>375</v>
      </c>
      <c r="T207" t="s">
        <v>594</v>
      </c>
      <c r="U207" t="s">
        <v>595</v>
      </c>
      <c r="V207" t="s">
        <v>246</v>
      </c>
      <c r="W207" t="s">
        <v>244</v>
      </c>
      <c r="X207" t="s">
        <v>3813</v>
      </c>
      <c r="Y207" t="s">
        <v>191</v>
      </c>
      <c r="Z207" t="s">
        <v>335</v>
      </c>
      <c r="AA207" t="s">
        <v>337</v>
      </c>
      <c r="AB207" t="s">
        <v>2578</v>
      </c>
      <c r="AC207" t="s">
        <v>2579</v>
      </c>
      <c r="AD207" t="s">
        <v>2580</v>
      </c>
      <c r="AE207" s="7">
        <v>18000</v>
      </c>
      <c r="AF207" s="7">
        <v>2</v>
      </c>
      <c r="AG207" s="7">
        <v>36000</v>
      </c>
      <c r="AH207" s="7">
        <v>0</v>
      </c>
      <c r="AI207" s="7">
        <v>36000</v>
      </c>
      <c r="AJ207" t="s">
        <v>2579</v>
      </c>
    </row>
    <row r="208" spans="14:36" x14ac:dyDescent="0.3">
      <c r="N208" s="8">
        <v>2026</v>
      </c>
      <c r="O208" s="8">
        <v>7</v>
      </c>
      <c r="P208" s="9">
        <v>46213</v>
      </c>
      <c r="Q208" t="s">
        <v>238</v>
      </c>
      <c r="R208" t="s">
        <v>374</v>
      </c>
      <c r="S208" t="s">
        <v>375</v>
      </c>
      <c r="T208" t="s">
        <v>1096</v>
      </c>
      <c r="U208" t="s">
        <v>331</v>
      </c>
      <c r="V208" t="s">
        <v>246</v>
      </c>
      <c r="W208" t="s">
        <v>244</v>
      </c>
      <c r="X208" t="s">
        <v>3814</v>
      </c>
      <c r="Y208" t="s">
        <v>191</v>
      </c>
      <c r="Z208" t="s">
        <v>335</v>
      </c>
      <c r="AA208" t="s">
        <v>336</v>
      </c>
      <c r="AB208" t="s">
        <v>1146</v>
      </c>
      <c r="AC208" t="s">
        <v>1147</v>
      </c>
      <c r="AD208" t="s">
        <v>1148</v>
      </c>
      <c r="AE208" s="7">
        <v>99000</v>
      </c>
      <c r="AF208" s="7">
        <v>1</v>
      </c>
      <c r="AG208" s="7">
        <v>99000</v>
      </c>
      <c r="AH208" s="7">
        <v>0</v>
      </c>
      <c r="AI208" s="7">
        <v>99000</v>
      </c>
      <c r="AJ208" t="s">
        <v>1147</v>
      </c>
    </row>
    <row r="209" spans="14:36" x14ac:dyDescent="0.3">
      <c r="N209" s="8">
        <v>2026</v>
      </c>
      <c r="O209" s="8">
        <v>7</v>
      </c>
      <c r="P209" s="9">
        <v>46213</v>
      </c>
      <c r="Q209" t="s">
        <v>238</v>
      </c>
      <c r="R209" t="s">
        <v>396</v>
      </c>
      <c r="S209" t="s">
        <v>397</v>
      </c>
      <c r="T209" t="s">
        <v>3815</v>
      </c>
      <c r="U209" t="s">
        <v>673</v>
      </c>
      <c r="V209" t="s">
        <v>249</v>
      </c>
      <c r="W209" t="s">
        <v>244</v>
      </c>
      <c r="X209" t="s">
        <v>3816</v>
      </c>
      <c r="Y209" t="s">
        <v>168</v>
      </c>
      <c r="Z209" t="s">
        <v>171</v>
      </c>
      <c r="AA209" t="s">
        <v>175</v>
      </c>
      <c r="AB209" t="s">
        <v>137</v>
      </c>
      <c r="AC209" t="s">
        <v>135</v>
      </c>
      <c r="AD209" t="s">
        <v>136</v>
      </c>
      <c r="AE209" s="7">
        <v>100000</v>
      </c>
      <c r="AF209" s="7">
        <v>1</v>
      </c>
      <c r="AG209" s="7">
        <v>100000</v>
      </c>
      <c r="AH209" s="7">
        <v>10000</v>
      </c>
      <c r="AI209" s="7">
        <v>90000</v>
      </c>
      <c r="AJ209" t="s">
        <v>135</v>
      </c>
    </row>
    <row r="210" spans="14:36" x14ac:dyDescent="0.3">
      <c r="N210" s="8">
        <v>2026</v>
      </c>
      <c r="O210" s="8">
        <v>7</v>
      </c>
      <c r="P210" s="9">
        <v>46213</v>
      </c>
      <c r="Q210" t="s">
        <v>238</v>
      </c>
      <c r="R210" t="s">
        <v>396</v>
      </c>
      <c r="S210" t="s">
        <v>397</v>
      </c>
      <c r="T210" t="s">
        <v>3817</v>
      </c>
      <c r="U210" t="s">
        <v>3818</v>
      </c>
      <c r="V210" t="s">
        <v>249</v>
      </c>
      <c r="W210" t="s">
        <v>244</v>
      </c>
      <c r="X210" t="s">
        <v>3819</v>
      </c>
      <c r="Y210" t="s">
        <v>191</v>
      </c>
      <c r="Z210" t="s">
        <v>335</v>
      </c>
      <c r="AA210" t="s">
        <v>336</v>
      </c>
      <c r="AB210" t="s">
        <v>3534</v>
      </c>
      <c r="AC210" t="s">
        <v>3532</v>
      </c>
      <c r="AD210" t="s">
        <v>3533</v>
      </c>
      <c r="AE210" s="7">
        <v>18000</v>
      </c>
      <c r="AF210" s="7">
        <v>1</v>
      </c>
      <c r="AG210" s="7">
        <v>18000</v>
      </c>
      <c r="AH210" s="7">
        <v>0</v>
      </c>
      <c r="AI210" s="7">
        <v>18000</v>
      </c>
      <c r="AJ210" t="s">
        <v>3532</v>
      </c>
    </row>
    <row r="211" spans="14:36" x14ac:dyDescent="0.3">
      <c r="N211" s="8">
        <v>2026</v>
      </c>
      <c r="O211" s="8">
        <v>7</v>
      </c>
      <c r="P211" s="9">
        <v>46213</v>
      </c>
      <c r="Q211" t="s">
        <v>238</v>
      </c>
      <c r="R211" t="s">
        <v>396</v>
      </c>
      <c r="S211" t="s">
        <v>397</v>
      </c>
      <c r="T211" t="s">
        <v>3817</v>
      </c>
      <c r="U211" t="s">
        <v>3818</v>
      </c>
      <c r="V211" t="s">
        <v>249</v>
      </c>
      <c r="W211" t="s">
        <v>244</v>
      </c>
      <c r="X211" t="s">
        <v>3819</v>
      </c>
      <c r="Y211" t="s">
        <v>191</v>
      </c>
      <c r="Z211" t="s">
        <v>335</v>
      </c>
      <c r="AA211" t="s">
        <v>336</v>
      </c>
      <c r="AB211" t="s">
        <v>2572</v>
      </c>
      <c r="AC211" t="s">
        <v>2573</v>
      </c>
      <c r="AD211" t="s">
        <v>2574</v>
      </c>
      <c r="AE211" s="7">
        <v>16000</v>
      </c>
      <c r="AF211" s="7">
        <v>1</v>
      </c>
      <c r="AG211" s="7">
        <v>16000</v>
      </c>
      <c r="AH211" s="7">
        <v>0</v>
      </c>
      <c r="AI211" s="7">
        <v>16000</v>
      </c>
      <c r="AJ211" t="s">
        <v>2573</v>
      </c>
    </row>
    <row r="212" spans="14:36" x14ac:dyDescent="0.3">
      <c r="N212" s="8">
        <v>2026</v>
      </c>
      <c r="O212" s="8">
        <v>7</v>
      </c>
      <c r="P212" s="9">
        <v>46213</v>
      </c>
      <c r="Q212" t="s">
        <v>238</v>
      </c>
      <c r="R212" t="s">
        <v>396</v>
      </c>
      <c r="S212" t="s">
        <v>397</v>
      </c>
      <c r="T212" t="s">
        <v>3817</v>
      </c>
      <c r="U212" t="s">
        <v>3818</v>
      </c>
      <c r="V212" t="s">
        <v>249</v>
      </c>
      <c r="W212" t="s">
        <v>244</v>
      </c>
      <c r="X212" t="s">
        <v>3819</v>
      </c>
      <c r="Y212" t="s">
        <v>191</v>
      </c>
      <c r="Z212" t="s">
        <v>335</v>
      </c>
      <c r="AA212" t="s">
        <v>336</v>
      </c>
      <c r="AB212" t="s">
        <v>2582</v>
      </c>
      <c r="AC212" t="s">
        <v>2583</v>
      </c>
      <c r="AD212" t="s">
        <v>2584</v>
      </c>
      <c r="AE212" s="7">
        <v>18000</v>
      </c>
      <c r="AF212" s="7">
        <v>1</v>
      </c>
      <c r="AG212" s="7">
        <v>18000</v>
      </c>
      <c r="AH212" s="7">
        <v>0</v>
      </c>
      <c r="AI212" s="7">
        <v>18000</v>
      </c>
      <c r="AJ212" t="s">
        <v>2583</v>
      </c>
    </row>
    <row r="213" spans="14:36" x14ac:dyDescent="0.3">
      <c r="N213" s="8">
        <v>2026</v>
      </c>
      <c r="O213" s="8">
        <v>7</v>
      </c>
      <c r="P213" s="9">
        <v>46213</v>
      </c>
      <c r="Q213" t="s">
        <v>238</v>
      </c>
      <c r="R213" t="s">
        <v>396</v>
      </c>
      <c r="S213" t="s">
        <v>397</v>
      </c>
      <c r="T213" t="s">
        <v>3817</v>
      </c>
      <c r="U213" t="s">
        <v>3818</v>
      </c>
      <c r="V213" t="s">
        <v>249</v>
      </c>
      <c r="W213" t="s">
        <v>244</v>
      </c>
      <c r="X213" t="s">
        <v>3819</v>
      </c>
      <c r="Y213" t="s">
        <v>191</v>
      </c>
      <c r="Z213" t="s">
        <v>335</v>
      </c>
      <c r="AA213" t="s">
        <v>337</v>
      </c>
      <c r="AB213" t="s">
        <v>2578</v>
      </c>
      <c r="AC213" t="s">
        <v>2579</v>
      </c>
      <c r="AD213" t="s">
        <v>2580</v>
      </c>
      <c r="AE213" s="7">
        <v>18000</v>
      </c>
      <c r="AF213" s="7">
        <v>1</v>
      </c>
      <c r="AG213" s="7">
        <v>18000</v>
      </c>
      <c r="AH213" s="7">
        <v>0</v>
      </c>
      <c r="AI213" s="7">
        <v>18000</v>
      </c>
      <c r="AJ213" t="s">
        <v>2579</v>
      </c>
    </row>
    <row r="214" spans="14:36" x14ac:dyDescent="0.3">
      <c r="N214" s="8">
        <v>2026</v>
      </c>
      <c r="O214" s="8">
        <v>7</v>
      </c>
      <c r="P214" s="9">
        <v>46213</v>
      </c>
      <c r="Q214" t="s">
        <v>238</v>
      </c>
      <c r="R214" t="s">
        <v>415</v>
      </c>
      <c r="S214" t="s">
        <v>416</v>
      </c>
      <c r="T214" t="s">
        <v>3820</v>
      </c>
      <c r="U214" t="s">
        <v>3821</v>
      </c>
      <c r="V214" t="s">
        <v>246</v>
      </c>
      <c r="W214" t="s">
        <v>244</v>
      </c>
      <c r="X214" t="s">
        <v>3822</v>
      </c>
      <c r="Y214" t="s">
        <v>191</v>
      </c>
      <c r="Z214" t="s">
        <v>335</v>
      </c>
      <c r="AA214" t="s">
        <v>336</v>
      </c>
      <c r="AB214" t="s">
        <v>2566</v>
      </c>
      <c r="AC214" t="s">
        <v>2567</v>
      </c>
      <c r="AD214" t="s">
        <v>2568</v>
      </c>
      <c r="AE214" s="7">
        <v>15000</v>
      </c>
      <c r="AF214" s="7">
        <v>1</v>
      </c>
      <c r="AG214" s="7">
        <v>15000</v>
      </c>
      <c r="AH214" s="7">
        <v>0</v>
      </c>
      <c r="AI214" s="7">
        <v>15000</v>
      </c>
      <c r="AJ214" t="s">
        <v>2567</v>
      </c>
    </row>
    <row r="215" spans="14:36" x14ac:dyDescent="0.3">
      <c r="N215" s="8">
        <v>2026</v>
      </c>
      <c r="O215" s="8">
        <v>7</v>
      </c>
      <c r="P215" s="9">
        <v>46213</v>
      </c>
      <c r="Q215" t="s">
        <v>238</v>
      </c>
      <c r="R215" t="s">
        <v>415</v>
      </c>
      <c r="S215" t="s">
        <v>416</v>
      </c>
      <c r="T215" t="s">
        <v>3823</v>
      </c>
      <c r="U215" t="s">
        <v>490</v>
      </c>
      <c r="V215" t="s">
        <v>246</v>
      </c>
      <c r="W215" t="s">
        <v>244</v>
      </c>
      <c r="X215" t="s">
        <v>3824</v>
      </c>
      <c r="Y215" t="s">
        <v>191</v>
      </c>
      <c r="Z215" t="s">
        <v>335</v>
      </c>
      <c r="AA215" t="s">
        <v>336</v>
      </c>
      <c r="AB215" t="s">
        <v>2566</v>
      </c>
      <c r="AC215" t="s">
        <v>2567</v>
      </c>
      <c r="AD215" t="s">
        <v>2568</v>
      </c>
      <c r="AE215" s="7">
        <v>15000</v>
      </c>
      <c r="AF215" s="7">
        <v>2</v>
      </c>
      <c r="AG215" s="7">
        <v>30000</v>
      </c>
      <c r="AH215" s="7">
        <v>0</v>
      </c>
      <c r="AI215" s="7">
        <v>30000</v>
      </c>
      <c r="AJ215" t="s">
        <v>2567</v>
      </c>
    </row>
    <row r="216" spans="14:36" x14ac:dyDescent="0.3">
      <c r="N216" s="8">
        <v>2026</v>
      </c>
      <c r="O216" s="8">
        <v>7</v>
      </c>
      <c r="P216" s="9">
        <v>46213</v>
      </c>
      <c r="Q216" t="s">
        <v>238</v>
      </c>
      <c r="R216" t="s">
        <v>425</v>
      </c>
      <c r="S216" t="s">
        <v>426</v>
      </c>
      <c r="T216" t="s">
        <v>1005</v>
      </c>
      <c r="U216" t="s">
        <v>1006</v>
      </c>
      <c r="V216" t="s">
        <v>246</v>
      </c>
      <c r="W216" t="s">
        <v>244</v>
      </c>
      <c r="X216" t="s">
        <v>3825</v>
      </c>
      <c r="Y216" t="s">
        <v>191</v>
      </c>
      <c r="Z216" t="s">
        <v>335</v>
      </c>
      <c r="AA216" t="s">
        <v>336</v>
      </c>
      <c r="AB216" t="s">
        <v>2572</v>
      </c>
      <c r="AC216" t="s">
        <v>2573</v>
      </c>
      <c r="AD216" t="s">
        <v>2574</v>
      </c>
      <c r="AE216" s="7">
        <v>16000</v>
      </c>
      <c r="AF216" s="7">
        <v>1</v>
      </c>
      <c r="AG216" s="7">
        <v>16000</v>
      </c>
      <c r="AH216" s="7">
        <v>0</v>
      </c>
      <c r="AI216" s="7">
        <v>16000</v>
      </c>
      <c r="AJ216" t="s">
        <v>2573</v>
      </c>
    </row>
    <row r="217" spans="14:36" x14ac:dyDescent="0.3">
      <c r="N217" s="8">
        <v>2026</v>
      </c>
      <c r="O217" s="8">
        <v>7</v>
      </c>
      <c r="P217" s="9">
        <v>46212</v>
      </c>
      <c r="Q217" t="s">
        <v>238</v>
      </c>
      <c r="R217" t="s">
        <v>239</v>
      </c>
      <c r="S217" t="s">
        <v>240</v>
      </c>
      <c r="T217" t="s">
        <v>1434</v>
      </c>
      <c r="U217" t="s">
        <v>1435</v>
      </c>
      <c r="V217" t="s">
        <v>246</v>
      </c>
      <c r="W217" t="s">
        <v>244</v>
      </c>
      <c r="X217" t="s">
        <v>3826</v>
      </c>
      <c r="Y217" t="s">
        <v>168</v>
      </c>
      <c r="Z217" t="s">
        <v>171</v>
      </c>
      <c r="AA217" t="s">
        <v>173</v>
      </c>
      <c r="AB217" t="s">
        <v>29</v>
      </c>
      <c r="AC217" t="s">
        <v>27</v>
      </c>
      <c r="AD217" t="s">
        <v>28</v>
      </c>
      <c r="AE217" s="7">
        <v>575000</v>
      </c>
      <c r="AF217" s="7">
        <v>1</v>
      </c>
      <c r="AG217" s="7">
        <v>575000</v>
      </c>
      <c r="AH217" s="7">
        <v>0</v>
      </c>
      <c r="AI217" s="7">
        <v>575000</v>
      </c>
      <c r="AJ217" t="s">
        <v>27</v>
      </c>
    </row>
    <row r="218" spans="14:36" x14ac:dyDescent="0.3">
      <c r="N218" s="8">
        <v>2026</v>
      </c>
      <c r="O218" s="8">
        <v>7</v>
      </c>
      <c r="P218" s="9">
        <v>46212</v>
      </c>
      <c r="Q218" t="s">
        <v>238</v>
      </c>
      <c r="R218" t="s">
        <v>239</v>
      </c>
      <c r="S218" t="s">
        <v>240</v>
      </c>
      <c r="T218" t="s">
        <v>3827</v>
      </c>
      <c r="U218" t="s">
        <v>3828</v>
      </c>
      <c r="V218" t="s">
        <v>246</v>
      </c>
      <c r="W218" t="s">
        <v>244</v>
      </c>
      <c r="X218" t="s">
        <v>3829</v>
      </c>
      <c r="Y218" t="s">
        <v>168</v>
      </c>
      <c r="Z218" t="s">
        <v>179</v>
      </c>
      <c r="AA218" t="s">
        <v>180</v>
      </c>
      <c r="AB218" t="s">
        <v>146</v>
      </c>
      <c r="AC218" t="s">
        <v>144</v>
      </c>
      <c r="AD218" t="s">
        <v>145</v>
      </c>
      <c r="AE218" s="7">
        <v>150000</v>
      </c>
      <c r="AF218" s="7">
        <v>1</v>
      </c>
      <c r="AG218" s="7">
        <v>150000</v>
      </c>
      <c r="AH218" s="7">
        <v>15000</v>
      </c>
      <c r="AI218" s="7">
        <v>135000</v>
      </c>
      <c r="AJ218" t="s">
        <v>144</v>
      </c>
    </row>
    <row r="219" spans="14:36" x14ac:dyDescent="0.3">
      <c r="N219" s="8">
        <v>2026</v>
      </c>
      <c r="O219" s="8">
        <v>7</v>
      </c>
      <c r="P219" s="9">
        <v>46212</v>
      </c>
      <c r="Q219" t="s">
        <v>238</v>
      </c>
      <c r="R219" t="s">
        <v>239</v>
      </c>
      <c r="S219" t="s">
        <v>240</v>
      </c>
      <c r="T219" t="s">
        <v>2666</v>
      </c>
      <c r="U219" t="s">
        <v>3830</v>
      </c>
      <c r="V219" t="s">
        <v>246</v>
      </c>
      <c r="W219" t="s">
        <v>244</v>
      </c>
      <c r="X219" t="s">
        <v>3831</v>
      </c>
      <c r="Y219" t="s">
        <v>191</v>
      </c>
      <c r="Z219" t="s">
        <v>335</v>
      </c>
      <c r="AA219" t="s">
        <v>336</v>
      </c>
      <c r="AB219" t="s">
        <v>2587</v>
      </c>
      <c r="AC219" t="s">
        <v>2588</v>
      </c>
      <c r="AD219" t="s">
        <v>2589</v>
      </c>
      <c r="AE219" s="7">
        <v>22000</v>
      </c>
      <c r="AF219" s="7">
        <v>1</v>
      </c>
      <c r="AG219" s="7">
        <v>22000</v>
      </c>
      <c r="AH219" s="7">
        <v>0</v>
      </c>
      <c r="AI219" s="7">
        <v>22000</v>
      </c>
      <c r="AJ219" t="s">
        <v>2588</v>
      </c>
    </row>
    <row r="220" spans="14:36" x14ac:dyDescent="0.3">
      <c r="N220" s="8">
        <v>2026</v>
      </c>
      <c r="O220" s="8">
        <v>7</v>
      </c>
      <c r="P220" s="9">
        <v>46212</v>
      </c>
      <c r="Q220" t="s">
        <v>238</v>
      </c>
      <c r="R220" t="s">
        <v>239</v>
      </c>
      <c r="S220" t="s">
        <v>240</v>
      </c>
      <c r="T220" t="s">
        <v>2666</v>
      </c>
      <c r="U220" t="s">
        <v>3830</v>
      </c>
      <c r="V220" t="s">
        <v>246</v>
      </c>
      <c r="W220" t="s">
        <v>244</v>
      </c>
      <c r="X220" t="s">
        <v>3831</v>
      </c>
      <c r="Y220" t="s">
        <v>191</v>
      </c>
      <c r="Z220" t="s">
        <v>335</v>
      </c>
      <c r="AA220" t="s">
        <v>336</v>
      </c>
      <c r="AB220" t="s">
        <v>2572</v>
      </c>
      <c r="AC220" t="s">
        <v>2573</v>
      </c>
      <c r="AD220" t="s">
        <v>2574</v>
      </c>
      <c r="AE220" s="7">
        <v>16000</v>
      </c>
      <c r="AF220" s="7">
        <v>1</v>
      </c>
      <c r="AG220" s="7">
        <v>16000</v>
      </c>
      <c r="AH220" s="7">
        <v>0</v>
      </c>
      <c r="AI220" s="7">
        <v>16000</v>
      </c>
      <c r="AJ220" t="s">
        <v>2573</v>
      </c>
    </row>
    <row r="221" spans="14:36" x14ac:dyDescent="0.3">
      <c r="N221" s="8">
        <v>2026</v>
      </c>
      <c r="O221" s="8">
        <v>7</v>
      </c>
      <c r="P221" s="9">
        <v>46212</v>
      </c>
      <c r="Q221" t="s">
        <v>238</v>
      </c>
      <c r="R221" t="s">
        <v>239</v>
      </c>
      <c r="S221" t="s">
        <v>240</v>
      </c>
      <c r="T221" t="s">
        <v>2666</v>
      </c>
      <c r="U221" t="s">
        <v>3830</v>
      </c>
      <c r="V221" t="s">
        <v>246</v>
      </c>
      <c r="W221" t="s">
        <v>244</v>
      </c>
      <c r="X221" t="s">
        <v>3831</v>
      </c>
      <c r="Y221" t="s">
        <v>191</v>
      </c>
      <c r="Z221" t="s">
        <v>335</v>
      </c>
      <c r="AA221" t="s">
        <v>337</v>
      </c>
      <c r="AB221" t="s">
        <v>2557</v>
      </c>
      <c r="AC221" t="s">
        <v>2558</v>
      </c>
      <c r="AD221" t="s">
        <v>2559</v>
      </c>
      <c r="AE221" s="7">
        <v>24000</v>
      </c>
      <c r="AF221" s="7">
        <v>1</v>
      </c>
      <c r="AG221" s="7">
        <v>24000</v>
      </c>
      <c r="AH221" s="7">
        <v>0</v>
      </c>
      <c r="AI221" s="7">
        <v>24000</v>
      </c>
      <c r="AJ221" t="s">
        <v>2558</v>
      </c>
    </row>
    <row r="222" spans="14:36" x14ac:dyDescent="0.3">
      <c r="N222" s="8">
        <v>2026</v>
      </c>
      <c r="O222" s="8">
        <v>7</v>
      </c>
      <c r="P222" s="9">
        <v>46212</v>
      </c>
      <c r="Q222" t="s">
        <v>238</v>
      </c>
      <c r="R222" t="s">
        <v>279</v>
      </c>
      <c r="S222" t="s">
        <v>280</v>
      </c>
      <c r="T222" t="s">
        <v>1535</v>
      </c>
      <c r="U222" t="s">
        <v>1536</v>
      </c>
      <c r="V222" t="s">
        <v>246</v>
      </c>
      <c r="W222" t="s">
        <v>244</v>
      </c>
      <c r="X222" t="s">
        <v>3832</v>
      </c>
      <c r="Y222" t="s">
        <v>191</v>
      </c>
      <c r="Z222" t="s">
        <v>192</v>
      </c>
      <c r="AA222" t="s">
        <v>193</v>
      </c>
      <c r="AB222" t="s">
        <v>113</v>
      </c>
      <c r="AC222" t="s">
        <v>111</v>
      </c>
      <c r="AD222" t="s">
        <v>112</v>
      </c>
      <c r="AE222" s="7">
        <v>235000</v>
      </c>
      <c r="AF222" s="7">
        <v>1</v>
      </c>
      <c r="AG222" s="7">
        <v>235000</v>
      </c>
      <c r="AH222" s="7">
        <v>0</v>
      </c>
      <c r="AI222" s="7">
        <v>235000</v>
      </c>
      <c r="AJ222" t="s">
        <v>111</v>
      </c>
    </row>
    <row r="223" spans="14:36" x14ac:dyDescent="0.3">
      <c r="N223" s="8">
        <v>2026</v>
      </c>
      <c r="O223" s="8">
        <v>7</v>
      </c>
      <c r="P223" s="9">
        <v>46212</v>
      </c>
      <c r="Q223" t="s">
        <v>238</v>
      </c>
      <c r="R223" t="s">
        <v>279</v>
      </c>
      <c r="S223" t="s">
        <v>280</v>
      </c>
      <c r="T223" t="s">
        <v>1956</v>
      </c>
      <c r="U223" t="s">
        <v>1957</v>
      </c>
      <c r="V223" t="s">
        <v>246</v>
      </c>
      <c r="W223" t="s">
        <v>244</v>
      </c>
      <c r="X223" t="s">
        <v>3833</v>
      </c>
      <c r="Y223" t="s">
        <v>191</v>
      </c>
      <c r="Z223" t="s">
        <v>335</v>
      </c>
      <c r="AA223" t="s">
        <v>337</v>
      </c>
      <c r="AB223" t="s">
        <v>2557</v>
      </c>
      <c r="AC223" t="s">
        <v>2558</v>
      </c>
      <c r="AD223" t="s">
        <v>2559</v>
      </c>
      <c r="AE223" s="7">
        <v>24000</v>
      </c>
      <c r="AF223" s="7">
        <v>4</v>
      </c>
      <c r="AG223" s="7">
        <v>96000</v>
      </c>
      <c r="AH223" s="7">
        <v>0</v>
      </c>
      <c r="AI223" s="7">
        <v>96000</v>
      </c>
      <c r="AJ223" t="s">
        <v>2558</v>
      </c>
    </row>
    <row r="224" spans="14:36" x14ac:dyDescent="0.3">
      <c r="N224" s="8">
        <v>2026</v>
      </c>
      <c r="O224" s="8">
        <v>7</v>
      </c>
      <c r="P224" s="9">
        <v>46212</v>
      </c>
      <c r="Q224" t="s">
        <v>238</v>
      </c>
      <c r="R224" t="s">
        <v>303</v>
      </c>
      <c r="S224" t="s">
        <v>304</v>
      </c>
      <c r="T224" t="s">
        <v>2537</v>
      </c>
      <c r="U224" t="s">
        <v>2538</v>
      </c>
      <c r="V224" t="s">
        <v>246</v>
      </c>
      <c r="W224" t="s">
        <v>244</v>
      </c>
      <c r="X224" t="s">
        <v>3834</v>
      </c>
      <c r="Y224" t="s">
        <v>191</v>
      </c>
      <c r="Z224" t="s">
        <v>335</v>
      </c>
      <c r="AA224" t="s">
        <v>336</v>
      </c>
      <c r="AB224" t="s">
        <v>1146</v>
      </c>
      <c r="AC224" t="s">
        <v>1147</v>
      </c>
      <c r="AD224" t="s">
        <v>1148</v>
      </c>
      <c r="AE224" s="7">
        <v>99000</v>
      </c>
      <c r="AF224" s="7">
        <v>1</v>
      </c>
      <c r="AG224" s="7">
        <v>99000</v>
      </c>
      <c r="AH224" s="7">
        <v>0</v>
      </c>
      <c r="AI224" s="7">
        <v>99000</v>
      </c>
      <c r="AJ224" t="s">
        <v>1147</v>
      </c>
    </row>
    <row r="225" spans="14:36" x14ac:dyDescent="0.3">
      <c r="N225" s="8">
        <v>2026</v>
      </c>
      <c r="O225" s="8">
        <v>7</v>
      </c>
      <c r="P225" s="9">
        <v>46212</v>
      </c>
      <c r="Q225" t="s">
        <v>238</v>
      </c>
      <c r="R225" t="s">
        <v>351</v>
      </c>
      <c r="S225" t="s">
        <v>352</v>
      </c>
      <c r="T225" t="s">
        <v>3835</v>
      </c>
      <c r="U225" t="s">
        <v>3615</v>
      </c>
      <c r="V225" t="s">
        <v>246</v>
      </c>
      <c r="W225" t="s">
        <v>244</v>
      </c>
      <c r="X225" t="s">
        <v>3836</v>
      </c>
      <c r="Y225" t="s">
        <v>191</v>
      </c>
      <c r="Z225" t="s">
        <v>335</v>
      </c>
      <c r="AA225" t="s">
        <v>336</v>
      </c>
      <c r="AB225" t="s">
        <v>2587</v>
      </c>
      <c r="AC225" t="s">
        <v>2588</v>
      </c>
      <c r="AD225" t="s">
        <v>2589</v>
      </c>
      <c r="AE225" s="7">
        <v>22000</v>
      </c>
      <c r="AF225" s="7">
        <v>1</v>
      </c>
      <c r="AG225" s="7">
        <v>22000</v>
      </c>
      <c r="AH225" s="7">
        <v>0</v>
      </c>
      <c r="AI225" s="7">
        <v>22000</v>
      </c>
      <c r="AJ225" t="s">
        <v>2588</v>
      </c>
    </row>
    <row r="226" spans="14:36" x14ac:dyDescent="0.3">
      <c r="N226" s="8">
        <v>2026</v>
      </c>
      <c r="O226" s="8">
        <v>7</v>
      </c>
      <c r="P226" s="9">
        <v>46212</v>
      </c>
      <c r="Q226" t="s">
        <v>238</v>
      </c>
      <c r="R226" t="s">
        <v>351</v>
      </c>
      <c r="S226" t="s">
        <v>352</v>
      </c>
      <c r="T226" t="s">
        <v>3835</v>
      </c>
      <c r="U226" t="s">
        <v>3615</v>
      </c>
      <c r="V226" t="s">
        <v>246</v>
      </c>
      <c r="W226" t="s">
        <v>244</v>
      </c>
      <c r="X226" t="s">
        <v>3836</v>
      </c>
      <c r="Y226" t="s">
        <v>191</v>
      </c>
      <c r="Z226" t="s">
        <v>335</v>
      </c>
      <c r="AA226" t="s">
        <v>336</v>
      </c>
      <c r="AB226" t="s">
        <v>2612</v>
      </c>
      <c r="AC226" t="s">
        <v>2613</v>
      </c>
      <c r="AD226" t="s">
        <v>2614</v>
      </c>
      <c r="AE226" s="7">
        <v>18000</v>
      </c>
      <c r="AF226" s="7">
        <v>2</v>
      </c>
      <c r="AG226" s="7">
        <v>36000</v>
      </c>
      <c r="AH226" s="7">
        <v>0</v>
      </c>
      <c r="AI226" s="7">
        <v>36000</v>
      </c>
      <c r="AJ226" t="s">
        <v>2613</v>
      </c>
    </row>
    <row r="227" spans="14:36" x14ac:dyDescent="0.3">
      <c r="N227" s="8">
        <v>2026</v>
      </c>
      <c r="O227" s="8">
        <v>7</v>
      </c>
      <c r="P227" s="9">
        <v>46212</v>
      </c>
      <c r="Q227" t="s">
        <v>238</v>
      </c>
      <c r="R227" t="s">
        <v>351</v>
      </c>
      <c r="S227" t="s">
        <v>352</v>
      </c>
      <c r="T227" t="s">
        <v>3835</v>
      </c>
      <c r="U227" t="s">
        <v>3615</v>
      </c>
      <c r="V227" t="s">
        <v>246</v>
      </c>
      <c r="W227" t="s">
        <v>244</v>
      </c>
      <c r="X227" t="s">
        <v>3836</v>
      </c>
      <c r="Y227" t="s">
        <v>191</v>
      </c>
      <c r="Z227" t="s">
        <v>335</v>
      </c>
      <c r="AA227" t="s">
        <v>336</v>
      </c>
      <c r="AB227" t="s">
        <v>2575</v>
      </c>
      <c r="AC227" t="s">
        <v>2576</v>
      </c>
      <c r="AD227" t="s">
        <v>2577</v>
      </c>
      <c r="AE227" s="7">
        <v>16000</v>
      </c>
      <c r="AF227" s="7">
        <v>2</v>
      </c>
      <c r="AG227" s="7">
        <v>32000</v>
      </c>
      <c r="AH227" s="7">
        <v>0</v>
      </c>
      <c r="AI227" s="7">
        <v>32000</v>
      </c>
      <c r="AJ227" t="s">
        <v>2576</v>
      </c>
    </row>
    <row r="228" spans="14:36" x14ac:dyDescent="0.3">
      <c r="N228" s="8">
        <v>2026</v>
      </c>
      <c r="O228" s="8">
        <v>7</v>
      </c>
      <c r="P228" s="9">
        <v>46212</v>
      </c>
      <c r="Q228" t="s">
        <v>238</v>
      </c>
      <c r="R228" t="s">
        <v>374</v>
      </c>
      <c r="S228" t="s">
        <v>375</v>
      </c>
      <c r="T228" t="s">
        <v>376</v>
      </c>
      <c r="U228" t="s">
        <v>377</v>
      </c>
      <c r="V228" t="s">
        <v>243</v>
      </c>
      <c r="W228" t="s">
        <v>244</v>
      </c>
      <c r="X228" t="s">
        <v>3837</v>
      </c>
      <c r="Y228" t="s">
        <v>191</v>
      </c>
      <c r="Z228" t="s">
        <v>335</v>
      </c>
      <c r="AA228" t="s">
        <v>336</v>
      </c>
      <c r="AB228" t="s">
        <v>2572</v>
      </c>
      <c r="AC228" t="s">
        <v>2573</v>
      </c>
      <c r="AD228" t="s">
        <v>2574</v>
      </c>
      <c r="AE228" s="7">
        <v>16000</v>
      </c>
      <c r="AF228" s="7">
        <v>1</v>
      </c>
      <c r="AG228" s="7">
        <v>16000</v>
      </c>
      <c r="AH228" s="7">
        <v>0</v>
      </c>
      <c r="AI228" s="7">
        <v>16000</v>
      </c>
      <c r="AJ228" t="s">
        <v>2573</v>
      </c>
    </row>
    <row r="229" spans="14:36" x14ac:dyDescent="0.3">
      <c r="N229" s="8">
        <v>2026</v>
      </c>
      <c r="O229" s="8">
        <v>7</v>
      </c>
      <c r="P229" s="9">
        <v>46212</v>
      </c>
      <c r="Q229" t="s">
        <v>238</v>
      </c>
      <c r="R229" t="s">
        <v>374</v>
      </c>
      <c r="S229" t="s">
        <v>375</v>
      </c>
      <c r="T229" t="s">
        <v>376</v>
      </c>
      <c r="U229" t="s">
        <v>377</v>
      </c>
      <c r="V229" t="s">
        <v>243</v>
      </c>
      <c r="W229" t="s">
        <v>244</v>
      </c>
      <c r="X229" t="s">
        <v>3838</v>
      </c>
      <c r="Y229" t="s">
        <v>191</v>
      </c>
      <c r="Z229" t="s">
        <v>335</v>
      </c>
      <c r="AA229" t="s">
        <v>336</v>
      </c>
      <c r="AB229" t="s">
        <v>2566</v>
      </c>
      <c r="AC229" t="s">
        <v>2567</v>
      </c>
      <c r="AD229" t="s">
        <v>2568</v>
      </c>
      <c r="AE229" s="7">
        <v>15000</v>
      </c>
      <c r="AF229" s="7">
        <v>1</v>
      </c>
      <c r="AG229" s="7">
        <v>15000</v>
      </c>
      <c r="AH229" s="7">
        <v>0</v>
      </c>
      <c r="AI229" s="7">
        <v>15000</v>
      </c>
      <c r="AJ229" t="s">
        <v>2567</v>
      </c>
    </row>
    <row r="230" spans="14:36" x14ac:dyDescent="0.3">
      <c r="N230" s="8">
        <v>2026</v>
      </c>
      <c r="O230" s="8">
        <v>7</v>
      </c>
      <c r="P230" s="9">
        <v>46212</v>
      </c>
      <c r="Q230" t="s">
        <v>238</v>
      </c>
      <c r="R230" t="s">
        <v>374</v>
      </c>
      <c r="S230" t="s">
        <v>375</v>
      </c>
      <c r="T230" t="s">
        <v>376</v>
      </c>
      <c r="U230" t="s">
        <v>377</v>
      </c>
      <c r="V230" t="s">
        <v>243</v>
      </c>
      <c r="W230" t="s">
        <v>244</v>
      </c>
      <c r="X230" t="s">
        <v>3838</v>
      </c>
      <c r="Y230" t="s">
        <v>191</v>
      </c>
      <c r="Z230" t="s">
        <v>335</v>
      </c>
      <c r="AA230" t="s">
        <v>336</v>
      </c>
      <c r="AB230" t="s">
        <v>2575</v>
      </c>
      <c r="AC230" t="s">
        <v>2576</v>
      </c>
      <c r="AD230" t="s">
        <v>2577</v>
      </c>
      <c r="AE230" s="7">
        <v>16000</v>
      </c>
      <c r="AF230" s="7">
        <v>1</v>
      </c>
      <c r="AG230" s="7">
        <v>16000</v>
      </c>
      <c r="AH230" s="7">
        <v>0</v>
      </c>
      <c r="AI230" s="7">
        <v>16000</v>
      </c>
      <c r="AJ230" t="s">
        <v>2576</v>
      </c>
    </row>
    <row r="231" spans="14:36" x14ac:dyDescent="0.3">
      <c r="N231" s="8">
        <v>2026</v>
      </c>
      <c r="O231" s="8">
        <v>7</v>
      </c>
      <c r="P231" s="9">
        <v>46212</v>
      </c>
      <c r="Q231" t="s">
        <v>238</v>
      </c>
      <c r="R231" t="s">
        <v>374</v>
      </c>
      <c r="S231" t="s">
        <v>375</v>
      </c>
      <c r="T231" t="s">
        <v>376</v>
      </c>
      <c r="U231" t="s">
        <v>377</v>
      </c>
      <c r="V231" t="s">
        <v>243</v>
      </c>
      <c r="W231" t="s">
        <v>244</v>
      </c>
      <c r="X231" t="s">
        <v>3839</v>
      </c>
      <c r="Y231" t="s">
        <v>191</v>
      </c>
      <c r="Z231" t="s">
        <v>335</v>
      </c>
      <c r="AA231" t="s">
        <v>336</v>
      </c>
      <c r="AB231" t="s">
        <v>2566</v>
      </c>
      <c r="AC231" t="s">
        <v>2567</v>
      </c>
      <c r="AD231" t="s">
        <v>2568</v>
      </c>
      <c r="AE231" s="7">
        <v>15000</v>
      </c>
      <c r="AF231" s="7">
        <v>2</v>
      </c>
      <c r="AG231" s="7">
        <v>30000</v>
      </c>
      <c r="AH231" s="7">
        <v>0</v>
      </c>
      <c r="AI231" s="7">
        <v>30000</v>
      </c>
      <c r="AJ231" t="s">
        <v>2567</v>
      </c>
    </row>
    <row r="232" spans="14:36" x14ac:dyDescent="0.3">
      <c r="N232" s="8">
        <v>2026</v>
      </c>
      <c r="O232" s="8">
        <v>7</v>
      </c>
      <c r="P232" s="9">
        <v>46212</v>
      </c>
      <c r="Q232" t="s">
        <v>238</v>
      </c>
      <c r="R232" t="s">
        <v>374</v>
      </c>
      <c r="S232" t="s">
        <v>375</v>
      </c>
      <c r="T232" t="s">
        <v>376</v>
      </c>
      <c r="U232" t="s">
        <v>377</v>
      </c>
      <c r="V232" t="s">
        <v>243</v>
      </c>
      <c r="W232" t="s">
        <v>244</v>
      </c>
      <c r="X232" t="s">
        <v>3839</v>
      </c>
      <c r="Y232" t="s">
        <v>191</v>
      </c>
      <c r="Z232" t="s">
        <v>335</v>
      </c>
      <c r="AA232" t="s">
        <v>336</v>
      </c>
      <c r="AB232" t="s">
        <v>3534</v>
      </c>
      <c r="AC232" t="s">
        <v>3532</v>
      </c>
      <c r="AD232" t="s">
        <v>3533</v>
      </c>
      <c r="AE232" s="7">
        <v>18000</v>
      </c>
      <c r="AF232" s="7">
        <v>1</v>
      </c>
      <c r="AG232" s="7">
        <v>18000</v>
      </c>
      <c r="AH232" s="7">
        <v>0</v>
      </c>
      <c r="AI232" s="7">
        <v>18000</v>
      </c>
      <c r="AJ232" t="s">
        <v>3532</v>
      </c>
    </row>
    <row r="233" spans="14:36" x14ac:dyDescent="0.3">
      <c r="N233" s="8">
        <v>2026</v>
      </c>
      <c r="O233" s="8">
        <v>7</v>
      </c>
      <c r="P233" s="9">
        <v>46212</v>
      </c>
      <c r="Q233" t="s">
        <v>238</v>
      </c>
      <c r="R233" t="s">
        <v>374</v>
      </c>
      <c r="S233" t="s">
        <v>375</v>
      </c>
      <c r="T233" t="s">
        <v>3840</v>
      </c>
      <c r="U233" t="s">
        <v>390</v>
      </c>
      <c r="V233" t="s">
        <v>246</v>
      </c>
      <c r="W233" t="s">
        <v>244</v>
      </c>
      <c r="X233" t="s">
        <v>3841</v>
      </c>
      <c r="Y233" t="s">
        <v>191</v>
      </c>
      <c r="Z233" t="s">
        <v>335</v>
      </c>
      <c r="AA233" t="s">
        <v>337</v>
      </c>
      <c r="AB233" t="s">
        <v>2578</v>
      </c>
      <c r="AC233" t="s">
        <v>2579</v>
      </c>
      <c r="AD233" t="s">
        <v>2580</v>
      </c>
      <c r="AE233" s="7">
        <v>18000</v>
      </c>
      <c r="AF233" s="7">
        <v>2</v>
      </c>
      <c r="AG233" s="7">
        <v>36000</v>
      </c>
      <c r="AH233" s="7">
        <v>0</v>
      </c>
      <c r="AI233" s="7">
        <v>36000</v>
      </c>
      <c r="AJ233" t="s">
        <v>2579</v>
      </c>
    </row>
    <row r="234" spans="14:36" x14ac:dyDescent="0.3">
      <c r="N234" s="8">
        <v>2026</v>
      </c>
      <c r="O234" s="8">
        <v>7</v>
      </c>
      <c r="P234" s="9">
        <v>46212</v>
      </c>
      <c r="Q234" t="s">
        <v>238</v>
      </c>
      <c r="R234" t="s">
        <v>374</v>
      </c>
      <c r="S234" t="s">
        <v>375</v>
      </c>
      <c r="T234" t="s">
        <v>3842</v>
      </c>
      <c r="U234" t="s">
        <v>3843</v>
      </c>
      <c r="V234" t="s">
        <v>246</v>
      </c>
      <c r="W234" t="s">
        <v>244</v>
      </c>
      <c r="X234" t="s">
        <v>3844</v>
      </c>
      <c r="Y234" t="s">
        <v>168</v>
      </c>
      <c r="Z234" t="s">
        <v>169</v>
      </c>
      <c r="AA234" t="s">
        <v>170</v>
      </c>
      <c r="AB234" t="s">
        <v>8</v>
      </c>
      <c r="AC234" t="s">
        <v>6</v>
      </c>
      <c r="AD234" t="s">
        <v>7</v>
      </c>
      <c r="AE234" s="7">
        <v>435000</v>
      </c>
      <c r="AF234" s="7">
        <v>1</v>
      </c>
      <c r="AG234" s="7">
        <v>435000</v>
      </c>
      <c r="AH234" s="7">
        <v>0</v>
      </c>
      <c r="AI234" s="7">
        <v>435000</v>
      </c>
      <c r="AJ234" t="s">
        <v>6</v>
      </c>
    </row>
    <row r="235" spans="14:36" x14ac:dyDescent="0.3">
      <c r="N235" s="8">
        <v>2026</v>
      </c>
      <c r="O235" s="8">
        <v>7</v>
      </c>
      <c r="P235" s="9">
        <v>46212</v>
      </c>
      <c r="Q235" t="s">
        <v>238</v>
      </c>
      <c r="R235" t="s">
        <v>396</v>
      </c>
      <c r="S235" t="s">
        <v>397</v>
      </c>
      <c r="T235" t="s">
        <v>2605</v>
      </c>
      <c r="U235" t="s">
        <v>715</v>
      </c>
      <c r="V235" t="s">
        <v>246</v>
      </c>
      <c r="W235" t="s">
        <v>244</v>
      </c>
      <c r="X235" t="s">
        <v>3845</v>
      </c>
      <c r="Y235" t="s">
        <v>191</v>
      </c>
      <c r="Z235" t="s">
        <v>335</v>
      </c>
      <c r="AA235" t="s">
        <v>336</v>
      </c>
      <c r="AB235" t="s">
        <v>3534</v>
      </c>
      <c r="AC235" t="s">
        <v>3532</v>
      </c>
      <c r="AD235" t="s">
        <v>3533</v>
      </c>
      <c r="AE235" s="7">
        <v>18000</v>
      </c>
      <c r="AF235" s="7">
        <v>1</v>
      </c>
      <c r="AG235" s="7">
        <v>18000</v>
      </c>
      <c r="AH235" s="7">
        <v>0</v>
      </c>
      <c r="AI235" s="7">
        <v>18000</v>
      </c>
      <c r="AJ235" t="s">
        <v>3532</v>
      </c>
    </row>
    <row r="236" spans="14:36" x14ac:dyDescent="0.3">
      <c r="N236" s="8">
        <v>2026</v>
      </c>
      <c r="O236" s="8">
        <v>7</v>
      </c>
      <c r="P236" s="9">
        <v>46212</v>
      </c>
      <c r="Q236" t="s">
        <v>238</v>
      </c>
      <c r="R236" t="s">
        <v>396</v>
      </c>
      <c r="S236" t="s">
        <v>397</v>
      </c>
      <c r="T236" t="s">
        <v>2605</v>
      </c>
      <c r="U236" t="s">
        <v>715</v>
      </c>
      <c r="V236" t="s">
        <v>246</v>
      </c>
      <c r="W236" t="s">
        <v>244</v>
      </c>
      <c r="X236" t="s">
        <v>3845</v>
      </c>
      <c r="Y236" t="s">
        <v>191</v>
      </c>
      <c r="Z236" t="s">
        <v>335</v>
      </c>
      <c r="AA236" t="s">
        <v>336</v>
      </c>
      <c r="AB236" t="s">
        <v>2572</v>
      </c>
      <c r="AC236" t="s">
        <v>2573</v>
      </c>
      <c r="AD236" t="s">
        <v>2574</v>
      </c>
      <c r="AE236" s="7">
        <v>16000</v>
      </c>
      <c r="AF236" s="7">
        <v>1</v>
      </c>
      <c r="AG236" s="7">
        <v>16000</v>
      </c>
      <c r="AH236" s="7">
        <v>0</v>
      </c>
      <c r="AI236" s="7">
        <v>16000</v>
      </c>
      <c r="AJ236" t="s">
        <v>2573</v>
      </c>
    </row>
    <row r="237" spans="14:36" x14ac:dyDescent="0.3">
      <c r="N237" s="8">
        <v>2026</v>
      </c>
      <c r="O237" s="8">
        <v>7</v>
      </c>
      <c r="P237" s="9">
        <v>46212</v>
      </c>
      <c r="Q237" t="s">
        <v>238</v>
      </c>
      <c r="R237" t="s">
        <v>396</v>
      </c>
      <c r="S237" t="s">
        <v>397</v>
      </c>
      <c r="T237" t="s">
        <v>2605</v>
      </c>
      <c r="U237" t="s">
        <v>715</v>
      </c>
      <c r="V237" t="s">
        <v>246</v>
      </c>
      <c r="W237" t="s">
        <v>244</v>
      </c>
      <c r="X237" t="s">
        <v>3845</v>
      </c>
      <c r="Y237" t="s">
        <v>191</v>
      </c>
      <c r="Z237" t="s">
        <v>335</v>
      </c>
      <c r="AA237" t="s">
        <v>336</v>
      </c>
      <c r="AB237" t="s">
        <v>2582</v>
      </c>
      <c r="AC237" t="s">
        <v>2583</v>
      </c>
      <c r="AD237" t="s">
        <v>2584</v>
      </c>
      <c r="AE237" s="7">
        <v>18000</v>
      </c>
      <c r="AF237" s="7">
        <v>1</v>
      </c>
      <c r="AG237" s="7">
        <v>18000</v>
      </c>
      <c r="AH237" s="7">
        <v>0</v>
      </c>
      <c r="AI237" s="7">
        <v>18000</v>
      </c>
      <c r="AJ237" t="s">
        <v>2583</v>
      </c>
    </row>
    <row r="238" spans="14:36" x14ac:dyDescent="0.3">
      <c r="N238" s="8">
        <v>2026</v>
      </c>
      <c r="O238" s="8">
        <v>7</v>
      </c>
      <c r="P238" s="9">
        <v>46212</v>
      </c>
      <c r="Q238" t="s">
        <v>238</v>
      </c>
      <c r="R238" t="s">
        <v>396</v>
      </c>
      <c r="S238" t="s">
        <v>397</v>
      </c>
      <c r="T238" t="s">
        <v>3846</v>
      </c>
      <c r="U238" t="s">
        <v>3847</v>
      </c>
      <c r="V238" t="s">
        <v>249</v>
      </c>
      <c r="W238" t="s">
        <v>244</v>
      </c>
      <c r="X238" t="s">
        <v>3848</v>
      </c>
      <c r="Y238" t="s">
        <v>191</v>
      </c>
      <c r="Z238" t="s">
        <v>335</v>
      </c>
      <c r="AA238" t="s">
        <v>337</v>
      </c>
      <c r="AB238" t="s">
        <v>719</v>
      </c>
      <c r="AC238" t="s">
        <v>720</v>
      </c>
      <c r="AD238" t="s">
        <v>721</v>
      </c>
      <c r="AE238" s="7">
        <v>104000</v>
      </c>
      <c r="AF238" s="7">
        <v>1</v>
      </c>
      <c r="AG238" s="7">
        <v>104000</v>
      </c>
      <c r="AH238" s="7">
        <v>0</v>
      </c>
      <c r="AI238" s="7">
        <v>104000</v>
      </c>
      <c r="AJ238" t="s">
        <v>720</v>
      </c>
    </row>
    <row r="239" spans="14:36" x14ac:dyDescent="0.3">
      <c r="N239" s="8">
        <v>2026</v>
      </c>
      <c r="O239" s="8">
        <v>7</v>
      </c>
      <c r="P239" s="9">
        <v>46212</v>
      </c>
      <c r="Q239" t="s">
        <v>238</v>
      </c>
      <c r="R239" t="s">
        <v>425</v>
      </c>
      <c r="S239" t="s">
        <v>426</v>
      </c>
      <c r="T239" t="s">
        <v>3849</v>
      </c>
      <c r="U239" t="s">
        <v>496</v>
      </c>
      <c r="V239" t="s">
        <v>246</v>
      </c>
      <c r="W239" t="s">
        <v>244</v>
      </c>
      <c r="X239" t="s">
        <v>3850</v>
      </c>
      <c r="Y239" t="s">
        <v>194</v>
      </c>
      <c r="Z239" t="s">
        <v>200</v>
      </c>
      <c r="AA239" t="s">
        <v>201</v>
      </c>
      <c r="AB239" t="s">
        <v>86</v>
      </c>
      <c r="AC239" t="s">
        <v>84</v>
      </c>
      <c r="AD239" t="s">
        <v>85</v>
      </c>
      <c r="AE239" s="7">
        <v>49000</v>
      </c>
      <c r="AF239" s="7">
        <v>1</v>
      </c>
      <c r="AG239" s="7">
        <v>49000</v>
      </c>
      <c r="AH239" s="7">
        <v>0</v>
      </c>
      <c r="AI239" s="7">
        <v>49000</v>
      </c>
      <c r="AJ239" t="s">
        <v>84</v>
      </c>
    </row>
    <row r="240" spans="14:36" x14ac:dyDescent="0.3">
      <c r="N240" s="8">
        <v>2026</v>
      </c>
      <c r="O240" s="8">
        <v>7</v>
      </c>
      <c r="P240" s="9">
        <v>46211</v>
      </c>
      <c r="Q240" t="s">
        <v>238</v>
      </c>
      <c r="R240" t="s">
        <v>239</v>
      </c>
      <c r="S240" t="s">
        <v>240</v>
      </c>
      <c r="T240" t="s">
        <v>2545</v>
      </c>
      <c r="U240" t="s">
        <v>1411</v>
      </c>
      <c r="V240" t="s">
        <v>246</v>
      </c>
      <c r="W240" t="s">
        <v>244</v>
      </c>
      <c r="X240" t="s">
        <v>2546</v>
      </c>
      <c r="Y240" t="s">
        <v>168</v>
      </c>
      <c r="Z240" t="s">
        <v>179</v>
      </c>
      <c r="AA240" t="s">
        <v>180</v>
      </c>
      <c r="AB240" t="s">
        <v>149</v>
      </c>
      <c r="AC240" t="s">
        <v>147</v>
      </c>
      <c r="AD240" t="s">
        <v>148</v>
      </c>
      <c r="AE240" s="7">
        <v>150000</v>
      </c>
      <c r="AF240" s="7">
        <v>1</v>
      </c>
      <c r="AG240" s="7">
        <v>150000</v>
      </c>
      <c r="AH240" s="7">
        <v>15000</v>
      </c>
      <c r="AI240" s="7">
        <v>135000</v>
      </c>
      <c r="AJ240" t="s">
        <v>147</v>
      </c>
    </row>
    <row r="241" spans="14:36" x14ac:dyDescent="0.3">
      <c r="N241" s="8">
        <v>2026</v>
      </c>
      <c r="O241" s="8">
        <v>7</v>
      </c>
      <c r="P241" s="9">
        <v>46211</v>
      </c>
      <c r="Q241" t="s">
        <v>238</v>
      </c>
      <c r="R241" t="s">
        <v>279</v>
      </c>
      <c r="S241" t="s">
        <v>280</v>
      </c>
      <c r="T241" t="s">
        <v>281</v>
      </c>
      <c r="U241" t="s">
        <v>282</v>
      </c>
      <c r="V241" t="s">
        <v>243</v>
      </c>
      <c r="W241" t="s">
        <v>244</v>
      </c>
      <c r="X241" t="s">
        <v>2547</v>
      </c>
      <c r="Y241" t="s">
        <v>194</v>
      </c>
      <c r="Z241" t="s">
        <v>200</v>
      </c>
      <c r="AA241" t="s">
        <v>201</v>
      </c>
      <c r="AB241" t="s">
        <v>89</v>
      </c>
      <c r="AC241" t="s">
        <v>87</v>
      </c>
      <c r="AD241" t="s">
        <v>88</v>
      </c>
      <c r="AE241" s="7">
        <v>46000</v>
      </c>
      <c r="AF241" s="7">
        <v>1</v>
      </c>
      <c r="AG241" s="7">
        <v>46000</v>
      </c>
      <c r="AH241" s="7">
        <v>0</v>
      </c>
      <c r="AI241" s="7">
        <v>46000</v>
      </c>
      <c r="AJ241" t="s">
        <v>87</v>
      </c>
    </row>
    <row r="242" spans="14:36" x14ac:dyDescent="0.3">
      <c r="N242" s="8">
        <v>2026</v>
      </c>
      <c r="O242" s="8">
        <v>7</v>
      </c>
      <c r="P242" s="9">
        <v>46211</v>
      </c>
      <c r="Q242" t="s">
        <v>238</v>
      </c>
      <c r="R242" t="s">
        <v>279</v>
      </c>
      <c r="S242" t="s">
        <v>280</v>
      </c>
      <c r="T242" t="s">
        <v>789</v>
      </c>
      <c r="U242" t="s">
        <v>317</v>
      </c>
      <c r="V242" t="s">
        <v>246</v>
      </c>
      <c r="W242" t="s">
        <v>244</v>
      </c>
      <c r="X242" t="s">
        <v>2548</v>
      </c>
      <c r="Y242" t="s">
        <v>194</v>
      </c>
      <c r="Z242" t="s">
        <v>200</v>
      </c>
      <c r="AA242" t="s">
        <v>201</v>
      </c>
      <c r="AB242" t="s">
        <v>83</v>
      </c>
      <c r="AC242" t="s">
        <v>81</v>
      </c>
      <c r="AD242" t="s">
        <v>82</v>
      </c>
      <c r="AE242" s="7">
        <v>46000</v>
      </c>
      <c r="AF242" s="7">
        <v>1</v>
      </c>
      <c r="AG242" s="7">
        <v>46000</v>
      </c>
      <c r="AH242" s="7">
        <v>0</v>
      </c>
      <c r="AI242" s="7">
        <v>46000</v>
      </c>
      <c r="AJ242" t="s">
        <v>81</v>
      </c>
    </row>
    <row r="243" spans="14:36" x14ac:dyDescent="0.3">
      <c r="N243" s="8">
        <v>2026</v>
      </c>
      <c r="O243" s="8">
        <v>7</v>
      </c>
      <c r="P243" s="9">
        <v>46211</v>
      </c>
      <c r="Q243" t="s">
        <v>238</v>
      </c>
      <c r="R243" t="s">
        <v>279</v>
      </c>
      <c r="S243" t="s">
        <v>280</v>
      </c>
      <c r="T243" t="s">
        <v>1214</v>
      </c>
      <c r="U243" t="s">
        <v>1215</v>
      </c>
      <c r="V243" t="s">
        <v>246</v>
      </c>
      <c r="W243" t="s">
        <v>244</v>
      </c>
      <c r="X243" t="s">
        <v>2550</v>
      </c>
      <c r="Y243" t="s">
        <v>191</v>
      </c>
      <c r="Z243" t="s">
        <v>335</v>
      </c>
      <c r="AA243" t="s">
        <v>336</v>
      </c>
      <c r="AB243" t="s">
        <v>2551</v>
      </c>
      <c r="AC243" t="s">
        <v>2552</v>
      </c>
      <c r="AD243" t="s">
        <v>2553</v>
      </c>
      <c r="AE243" s="7">
        <v>23000</v>
      </c>
      <c r="AF243" s="7">
        <v>1</v>
      </c>
      <c r="AG243" s="7">
        <v>23000</v>
      </c>
      <c r="AH243" s="7">
        <v>0</v>
      </c>
      <c r="AI243" s="7">
        <v>23000</v>
      </c>
      <c r="AJ243" t="s">
        <v>2552</v>
      </c>
    </row>
    <row r="244" spans="14:36" x14ac:dyDescent="0.3">
      <c r="N244" s="8">
        <v>2026</v>
      </c>
      <c r="O244" s="8">
        <v>7</v>
      </c>
      <c r="P244" s="9">
        <v>46211</v>
      </c>
      <c r="Q244" t="s">
        <v>238</v>
      </c>
      <c r="R244" t="s">
        <v>279</v>
      </c>
      <c r="S244" t="s">
        <v>280</v>
      </c>
      <c r="T244" t="s">
        <v>1821</v>
      </c>
      <c r="U244" t="s">
        <v>1822</v>
      </c>
      <c r="V244" t="s">
        <v>246</v>
      </c>
      <c r="W244" t="s">
        <v>244</v>
      </c>
      <c r="X244" t="s">
        <v>2555</v>
      </c>
      <c r="Y244" t="s">
        <v>191</v>
      </c>
      <c r="Z244" t="s">
        <v>192</v>
      </c>
      <c r="AA244" t="s">
        <v>193</v>
      </c>
      <c r="AB244" t="s">
        <v>104</v>
      </c>
      <c r="AC244" t="s">
        <v>102</v>
      </c>
      <c r="AD244" t="s">
        <v>103</v>
      </c>
      <c r="AE244" s="7">
        <v>235000</v>
      </c>
      <c r="AF244" s="7">
        <v>1</v>
      </c>
      <c r="AG244" s="7">
        <v>235000</v>
      </c>
      <c r="AH244" s="7">
        <v>0</v>
      </c>
      <c r="AI244" s="7">
        <v>235000</v>
      </c>
      <c r="AJ244" t="s">
        <v>102</v>
      </c>
    </row>
    <row r="245" spans="14:36" x14ac:dyDescent="0.3">
      <c r="N245" s="8">
        <v>2026</v>
      </c>
      <c r="O245" s="8">
        <v>7</v>
      </c>
      <c r="P245" s="9">
        <v>46211</v>
      </c>
      <c r="Q245" t="s">
        <v>238</v>
      </c>
      <c r="R245" t="s">
        <v>303</v>
      </c>
      <c r="S245" t="s">
        <v>304</v>
      </c>
      <c r="T245" t="s">
        <v>2549</v>
      </c>
      <c r="U245" t="s">
        <v>284</v>
      </c>
      <c r="V245" t="s">
        <v>246</v>
      </c>
      <c r="W245" t="s">
        <v>244</v>
      </c>
      <c r="X245" t="s">
        <v>2556</v>
      </c>
      <c r="Y245" t="s">
        <v>191</v>
      </c>
      <c r="Z245" t="s">
        <v>335</v>
      </c>
      <c r="AA245" t="s">
        <v>337</v>
      </c>
      <c r="AB245" t="s">
        <v>2557</v>
      </c>
      <c r="AC245" t="s">
        <v>2558</v>
      </c>
      <c r="AD245" t="s">
        <v>2559</v>
      </c>
      <c r="AE245" s="7">
        <v>24000</v>
      </c>
      <c r="AF245" s="7">
        <v>1</v>
      </c>
      <c r="AG245" s="7">
        <v>24000</v>
      </c>
      <c r="AH245" s="7">
        <v>0</v>
      </c>
      <c r="AI245" s="7">
        <v>24000</v>
      </c>
      <c r="AJ245" t="s">
        <v>2558</v>
      </c>
    </row>
    <row r="246" spans="14:36" x14ac:dyDescent="0.3">
      <c r="N246" s="8">
        <v>2026</v>
      </c>
      <c r="O246" s="8">
        <v>7</v>
      </c>
      <c r="P246" s="9">
        <v>46211</v>
      </c>
      <c r="Q246" t="s">
        <v>238</v>
      </c>
      <c r="R246" t="s">
        <v>303</v>
      </c>
      <c r="S246" t="s">
        <v>304</v>
      </c>
      <c r="T246" t="s">
        <v>2560</v>
      </c>
      <c r="U246" t="s">
        <v>717</v>
      </c>
      <c r="V246" t="s">
        <v>246</v>
      </c>
      <c r="W246" t="s">
        <v>244</v>
      </c>
      <c r="X246" t="s">
        <v>2561</v>
      </c>
      <c r="Y246" t="s">
        <v>168</v>
      </c>
      <c r="Z246" t="s">
        <v>171</v>
      </c>
      <c r="AA246" t="s">
        <v>172</v>
      </c>
      <c r="AB246" t="s">
        <v>11</v>
      </c>
      <c r="AC246" t="s">
        <v>9</v>
      </c>
      <c r="AD246" t="s">
        <v>10</v>
      </c>
      <c r="AE246" s="7">
        <v>129000</v>
      </c>
      <c r="AF246" s="7">
        <v>1</v>
      </c>
      <c r="AG246" s="7">
        <v>129000</v>
      </c>
      <c r="AH246" s="7">
        <v>0</v>
      </c>
      <c r="AI246" s="7">
        <v>129000</v>
      </c>
      <c r="AJ246" t="s">
        <v>9</v>
      </c>
    </row>
    <row r="247" spans="14:36" x14ac:dyDescent="0.3">
      <c r="N247" s="8">
        <v>2026</v>
      </c>
      <c r="O247" s="8">
        <v>7</v>
      </c>
      <c r="P247" s="9">
        <v>46211</v>
      </c>
      <c r="Q247" t="s">
        <v>238</v>
      </c>
      <c r="R247" t="s">
        <v>303</v>
      </c>
      <c r="S247" t="s">
        <v>304</v>
      </c>
      <c r="T247" t="s">
        <v>2562</v>
      </c>
      <c r="U247" t="s">
        <v>3642</v>
      </c>
      <c r="V247" t="s">
        <v>246</v>
      </c>
      <c r="W247" t="s">
        <v>244</v>
      </c>
      <c r="X247" t="s">
        <v>2563</v>
      </c>
      <c r="Y247" t="s">
        <v>168</v>
      </c>
      <c r="Z247" t="s">
        <v>171</v>
      </c>
      <c r="AA247" t="s">
        <v>175</v>
      </c>
      <c r="AB247" t="s">
        <v>44</v>
      </c>
      <c r="AC247" t="s">
        <v>42</v>
      </c>
      <c r="AD247" t="s">
        <v>43</v>
      </c>
      <c r="AE247" s="7">
        <v>294000</v>
      </c>
      <c r="AF247" s="7">
        <v>1</v>
      </c>
      <c r="AG247" s="7">
        <v>294000</v>
      </c>
      <c r="AH247" s="7">
        <v>294000</v>
      </c>
      <c r="AI247" s="7">
        <v>0</v>
      </c>
      <c r="AJ247" t="s">
        <v>42</v>
      </c>
    </row>
    <row r="248" spans="14:36" x14ac:dyDescent="0.3">
      <c r="N248" s="8">
        <v>2026</v>
      </c>
      <c r="O248" s="8">
        <v>7</v>
      </c>
      <c r="P248" s="9">
        <v>46211</v>
      </c>
      <c r="Q248" t="s">
        <v>238</v>
      </c>
      <c r="R248" t="s">
        <v>303</v>
      </c>
      <c r="S248" t="s">
        <v>304</v>
      </c>
      <c r="T248" t="s">
        <v>925</v>
      </c>
      <c r="U248" t="s">
        <v>926</v>
      </c>
      <c r="V248" t="s">
        <v>246</v>
      </c>
      <c r="W248" t="s">
        <v>244</v>
      </c>
      <c r="X248" t="s">
        <v>2564</v>
      </c>
      <c r="Y248" t="s">
        <v>168</v>
      </c>
      <c r="Z248" t="s">
        <v>171</v>
      </c>
      <c r="AA248" t="s">
        <v>175</v>
      </c>
      <c r="AB248" t="s">
        <v>38</v>
      </c>
      <c r="AC248" t="s">
        <v>36</v>
      </c>
      <c r="AD248" t="s">
        <v>37</v>
      </c>
      <c r="AE248" s="7">
        <v>290000</v>
      </c>
      <c r="AF248" s="7">
        <v>1</v>
      </c>
      <c r="AG248" s="7">
        <v>290000</v>
      </c>
      <c r="AH248" s="7">
        <v>0</v>
      </c>
      <c r="AI248" s="7">
        <v>290000</v>
      </c>
      <c r="AJ248" t="s">
        <v>36</v>
      </c>
    </row>
    <row r="249" spans="14:36" x14ac:dyDescent="0.3">
      <c r="N249" s="8">
        <v>2026</v>
      </c>
      <c r="O249" s="8">
        <v>7</v>
      </c>
      <c r="P249" s="9">
        <v>46211</v>
      </c>
      <c r="Q249" t="s">
        <v>238</v>
      </c>
      <c r="R249" t="s">
        <v>303</v>
      </c>
      <c r="S249" t="s">
        <v>304</v>
      </c>
      <c r="T249" t="s">
        <v>1906</v>
      </c>
      <c r="U249" t="s">
        <v>1907</v>
      </c>
      <c r="V249" t="s">
        <v>246</v>
      </c>
      <c r="W249" t="s">
        <v>244</v>
      </c>
      <c r="X249" t="s">
        <v>2565</v>
      </c>
      <c r="Y249" t="s">
        <v>191</v>
      </c>
      <c r="Z249" t="s">
        <v>335</v>
      </c>
      <c r="AA249" t="s">
        <v>336</v>
      </c>
      <c r="AB249" t="s">
        <v>2566</v>
      </c>
      <c r="AC249" t="s">
        <v>2567</v>
      </c>
      <c r="AD249" t="s">
        <v>2568</v>
      </c>
      <c r="AE249" s="7">
        <v>15000</v>
      </c>
      <c r="AF249" s="7">
        <v>1</v>
      </c>
      <c r="AG249" s="7">
        <v>15000</v>
      </c>
      <c r="AH249" s="7">
        <v>0</v>
      </c>
      <c r="AI249" s="7">
        <v>15000</v>
      </c>
      <c r="AJ249" t="s">
        <v>2567</v>
      </c>
    </row>
    <row r="250" spans="14:36" x14ac:dyDescent="0.3">
      <c r="N250" s="8">
        <v>2026</v>
      </c>
      <c r="O250" s="8">
        <v>7</v>
      </c>
      <c r="P250" s="9">
        <v>46211</v>
      </c>
      <c r="Q250" t="s">
        <v>238</v>
      </c>
      <c r="R250" t="s">
        <v>303</v>
      </c>
      <c r="S250" t="s">
        <v>304</v>
      </c>
      <c r="T250" t="s">
        <v>1906</v>
      </c>
      <c r="U250" t="s">
        <v>1907</v>
      </c>
      <c r="V250" t="s">
        <v>246</v>
      </c>
      <c r="W250" t="s">
        <v>244</v>
      </c>
      <c r="X250" t="s">
        <v>2565</v>
      </c>
      <c r="Y250" t="s">
        <v>191</v>
      </c>
      <c r="Z250" t="s">
        <v>335</v>
      </c>
      <c r="AA250" t="s">
        <v>336</v>
      </c>
      <c r="AB250" t="s">
        <v>2569</v>
      </c>
      <c r="AC250" t="s">
        <v>2570</v>
      </c>
      <c r="AD250" t="s">
        <v>2571</v>
      </c>
      <c r="AE250" s="7">
        <v>23000</v>
      </c>
      <c r="AF250" s="7">
        <v>1</v>
      </c>
      <c r="AG250" s="7">
        <v>23000</v>
      </c>
      <c r="AH250" s="7">
        <v>0</v>
      </c>
      <c r="AI250" s="7">
        <v>23000</v>
      </c>
      <c r="AJ250" t="s">
        <v>2570</v>
      </c>
    </row>
    <row r="251" spans="14:36" x14ac:dyDescent="0.3">
      <c r="N251" s="8">
        <v>2026</v>
      </c>
      <c r="O251" s="8">
        <v>7</v>
      </c>
      <c r="P251" s="9">
        <v>46211</v>
      </c>
      <c r="Q251" t="s">
        <v>238</v>
      </c>
      <c r="R251" t="s">
        <v>303</v>
      </c>
      <c r="S251" t="s">
        <v>304</v>
      </c>
      <c r="T251" t="s">
        <v>1906</v>
      </c>
      <c r="U251" t="s">
        <v>1907</v>
      </c>
      <c r="V251" t="s">
        <v>246</v>
      </c>
      <c r="W251" t="s">
        <v>244</v>
      </c>
      <c r="X251" t="s">
        <v>2565</v>
      </c>
      <c r="Y251" t="s">
        <v>191</v>
      </c>
      <c r="Z251" t="s">
        <v>335</v>
      </c>
      <c r="AA251" t="s">
        <v>336</v>
      </c>
      <c r="AB251" t="s">
        <v>2572</v>
      </c>
      <c r="AC251" t="s">
        <v>2573</v>
      </c>
      <c r="AD251" t="s">
        <v>2574</v>
      </c>
      <c r="AE251" s="7">
        <v>16000</v>
      </c>
      <c r="AF251" s="7">
        <v>1</v>
      </c>
      <c r="AG251" s="7">
        <v>16000</v>
      </c>
      <c r="AH251" s="7">
        <v>0</v>
      </c>
      <c r="AI251" s="7">
        <v>16000</v>
      </c>
      <c r="AJ251" t="s">
        <v>2573</v>
      </c>
    </row>
    <row r="252" spans="14:36" x14ac:dyDescent="0.3">
      <c r="N252" s="8">
        <v>2026</v>
      </c>
      <c r="O252" s="8">
        <v>7</v>
      </c>
      <c r="P252" s="9">
        <v>46211</v>
      </c>
      <c r="Q252" t="s">
        <v>238</v>
      </c>
      <c r="R252" t="s">
        <v>303</v>
      </c>
      <c r="S252" t="s">
        <v>304</v>
      </c>
      <c r="T252" t="s">
        <v>1906</v>
      </c>
      <c r="U252" t="s">
        <v>1907</v>
      </c>
      <c r="V252" t="s">
        <v>246</v>
      </c>
      <c r="W252" t="s">
        <v>244</v>
      </c>
      <c r="X252" t="s">
        <v>2565</v>
      </c>
      <c r="Y252" t="s">
        <v>191</v>
      </c>
      <c r="Z252" t="s">
        <v>335</v>
      </c>
      <c r="AA252" t="s">
        <v>336</v>
      </c>
      <c r="AB252" t="s">
        <v>2575</v>
      </c>
      <c r="AC252" t="s">
        <v>2576</v>
      </c>
      <c r="AD252" t="s">
        <v>2577</v>
      </c>
      <c r="AE252" s="7">
        <v>16000</v>
      </c>
      <c r="AF252" s="7">
        <v>1</v>
      </c>
      <c r="AG252" s="7">
        <v>16000</v>
      </c>
      <c r="AH252" s="7">
        <v>0</v>
      </c>
      <c r="AI252" s="7">
        <v>16000</v>
      </c>
      <c r="AJ252" t="s">
        <v>2576</v>
      </c>
    </row>
    <row r="253" spans="14:36" x14ac:dyDescent="0.3">
      <c r="N253" s="8">
        <v>2026</v>
      </c>
      <c r="O253" s="8">
        <v>7</v>
      </c>
      <c r="P253" s="9">
        <v>46211</v>
      </c>
      <c r="Q253" t="s">
        <v>238</v>
      </c>
      <c r="R253" t="s">
        <v>303</v>
      </c>
      <c r="S253" t="s">
        <v>304</v>
      </c>
      <c r="T253" t="s">
        <v>1906</v>
      </c>
      <c r="U253" t="s">
        <v>1907</v>
      </c>
      <c r="V253" t="s">
        <v>246</v>
      </c>
      <c r="W253" t="s">
        <v>244</v>
      </c>
      <c r="X253" t="s">
        <v>2565</v>
      </c>
      <c r="Y253" t="s">
        <v>191</v>
      </c>
      <c r="Z253" t="s">
        <v>335</v>
      </c>
      <c r="AA253" t="s">
        <v>337</v>
      </c>
      <c r="AB253" t="s">
        <v>2578</v>
      </c>
      <c r="AC253" t="s">
        <v>2579</v>
      </c>
      <c r="AD253" t="s">
        <v>2580</v>
      </c>
      <c r="AE253" s="7">
        <v>18000</v>
      </c>
      <c r="AF253" s="7">
        <v>1</v>
      </c>
      <c r="AG253" s="7">
        <v>18000</v>
      </c>
      <c r="AH253" s="7">
        <v>0</v>
      </c>
      <c r="AI253" s="7">
        <v>18000</v>
      </c>
      <c r="AJ253" t="s">
        <v>2579</v>
      </c>
    </row>
    <row r="254" spans="14:36" x14ac:dyDescent="0.3">
      <c r="N254" s="8">
        <v>2026</v>
      </c>
      <c r="O254" s="8">
        <v>7</v>
      </c>
      <c r="P254" s="9">
        <v>46211</v>
      </c>
      <c r="Q254" t="s">
        <v>238</v>
      </c>
      <c r="R254" t="s">
        <v>303</v>
      </c>
      <c r="S254" t="s">
        <v>304</v>
      </c>
      <c r="T254" t="s">
        <v>1906</v>
      </c>
      <c r="U254" t="s">
        <v>1907</v>
      </c>
      <c r="V254" t="s">
        <v>246</v>
      </c>
      <c r="W254" t="s">
        <v>244</v>
      </c>
      <c r="X254" t="s">
        <v>2565</v>
      </c>
      <c r="Y254" t="s">
        <v>191</v>
      </c>
      <c r="Z254" t="s">
        <v>335</v>
      </c>
      <c r="AA254" t="s">
        <v>337</v>
      </c>
      <c r="AB254" t="s">
        <v>2557</v>
      </c>
      <c r="AC254" t="s">
        <v>2558</v>
      </c>
      <c r="AD254" t="s">
        <v>2559</v>
      </c>
      <c r="AE254" s="7">
        <v>24000</v>
      </c>
      <c r="AF254" s="7">
        <v>1</v>
      </c>
      <c r="AG254" s="7">
        <v>24000</v>
      </c>
      <c r="AH254" s="7">
        <v>0</v>
      </c>
      <c r="AI254" s="7">
        <v>24000</v>
      </c>
      <c r="AJ254" t="s">
        <v>2558</v>
      </c>
    </row>
    <row r="255" spans="14:36" x14ac:dyDescent="0.3">
      <c r="N255" s="8">
        <v>2026</v>
      </c>
      <c r="O255" s="8">
        <v>7</v>
      </c>
      <c r="P255" s="9">
        <v>46211</v>
      </c>
      <c r="Q255" t="s">
        <v>238</v>
      </c>
      <c r="R255" t="s">
        <v>351</v>
      </c>
      <c r="S255" t="s">
        <v>352</v>
      </c>
      <c r="T255" t="s">
        <v>664</v>
      </c>
      <c r="U255" t="s">
        <v>3851</v>
      </c>
      <c r="V255" t="s">
        <v>246</v>
      </c>
      <c r="W255" t="s">
        <v>244</v>
      </c>
      <c r="X255" t="s">
        <v>2581</v>
      </c>
      <c r="Y255" t="s">
        <v>191</v>
      </c>
      <c r="Z255" t="s">
        <v>335</v>
      </c>
      <c r="AA255" t="s">
        <v>336</v>
      </c>
      <c r="AB255" t="s">
        <v>2572</v>
      </c>
      <c r="AC255" t="s">
        <v>2573</v>
      </c>
      <c r="AD255" t="s">
        <v>2574</v>
      </c>
      <c r="AE255" s="7">
        <v>16000</v>
      </c>
      <c r="AF255" s="7">
        <v>1</v>
      </c>
      <c r="AG255" s="7">
        <v>16000</v>
      </c>
      <c r="AH255" s="7">
        <v>0</v>
      </c>
      <c r="AI255" s="7">
        <v>16000</v>
      </c>
      <c r="AJ255" t="s">
        <v>2573</v>
      </c>
    </row>
    <row r="256" spans="14:36" x14ac:dyDescent="0.3">
      <c r="N256" s="8">
        <v>2026</v>
      </c>
      <c r="O256" s="8">
        <v>7</v>
      </c>
      <c r="P256" s="9">
        <v>46211</v>
      </c>
      <c r="Q256" t="s">
        <v>238</v>
      </c>
      <c r="R256" t="s">
        <v>351</v>
      </c>
      <c r="S256" t="s">
        <v>352</v>
      </c>
      <c r="T256" t="s">
        <v>664</v>
      </c>
      <c r="U256" t="s">
        <v>3851</v>
      </c>
      <c r="V256" t="s">
        <v>246</v>
      </c>
      <c r="W256" t="s">
        <v>244</v>
      </c>
      <c r="X256" t="s">
        <v>2581</v>
      </c>
      <c r="Y256" t="s">
        <v>191</v>
      </c>
      <c r="Z256" t="s">
        <v>335</v>
      </c>
      <c r="AA256" t="s">
        <v>336</v>
      </c>
      <c r="AB256" t="s">
        <v>2582</v>
      </c>
      <c r="AC256" t="s">
        <v>2583</v>
      </c>
      <c r="AD256" t="s">
        <v>2584</v>
      </c>
      <c r="AE256" s="7">
        <v>18000</v>
      </c>
      <c r="AF256" s="7">
        <v>1</v>
      </c>
      <c r="AG256" s="7">
        <v>18000</v>
      </c>
      <c r="AH256" s="7">
        <v>0</v>
      </c>
      <c r="AI256" s="7">
        <v>18000</v>
      </c>
      <c r="AJ256" t="s">
        <v>2583</v>
      </c>
    </row>
    <row r="257" spans="14:36" x14ac:dyDescent="0.3">
      <c r="N257" s="8">
        <v>2026</v>
      </c>
      <c r="O257" s="8">
        <v>7</v>
      </c>
      <c r="P257" s="9">
        <v>46211</v>
      </c>
      <c r="Q257" t="s">
        <v>238</v>
      </c>
      <c r="R257" t="s">
        <v>351</v>
      </c>
      <c r="S257" t="s">
        <v>352</v>
      </c>
      <c r="T257" t="s">
        <v>2585</v>
      </c>
      <c r="U257" t="s">
        <v>353</v>
      </c>
      <c r="V257" t="s">
        <v>249</v>
      </c>
      <c r="W257" t="s">
        <v>244</v>
      </c>
      <c r="X257" t="s">
        <v>2586</v>
      </c>
      <c r="Y257" t="s">
        <v>191</v>
      </c>
      <c r="Z257" t="s">
        <v>335</v>
      </c>
      <c r="AA257" t="s">
        <v>336</v>
      </c>
      <c r="AB257" t="s">
        <v>2587</v>
      </c>
      <c r="AC257" t="s">
        <v>2588</v>
      </c>
      <c r="AD257" t="s">
        <v>2589</v>
      </c>
      <c r="AE257" s="7">
        <v>22000</v>
      </c>
      <c r="AF257" s="7">
        <v>3</v>
      </c>
      <c r="AG257" s="7">
        <v>66000</v>
      </c>
      <c r="AH257" s="7">
        <v>0</v>
      </c>
      <c r="AI257" s="7">
        <v>66000</v>
      </c>
      <c r="AJ257" t="s">
        <v>2588</v>
      </c>
    </row>
    <row r="258" spans="14:36" x14ac:dyDescent="0.3">
      <c r="N258" s="8">
        <v>2026</v>
      </c>
      <c r="O258" s="8">
        <v>7</v>
      </c>
      <c r="P258" s="9">
        <v>46211</v>
      </c>
      <c r="Q258" t="s">
        <v>238</v>
      </c>
      <c r="R258" t="s">
        <v>351</v>
      </c>
      <c r="S258" t="s">
        <v>352</v>
      </c>
      <c r="T258" t="s">
        <v>2510</v>
      </c>
      <c r="U258" t="s">
        <v>3852</v>
      </c>
      <c r="V258" t="s">
        <v>246</v>
      </c>
      <c r="W258" t="s">
        <v>244</v>
      </c>
      <c r="X258" t="s">
        <v>2590</v>
      </c>
      <c r="Y258" t="s">
        <v>191</v>
      </c>
      <c r="Z258" t="s">
        <v>192</v>
      </c>
      <c r="AA258" t="s">
        <v>193</v>
      </c>
      <c r="AB258" t="s">
        <v>110</v>
      </c>
      <c r="AC258" t="s">
        <v>108</v>
      </c>
      <c r="AD258" t="s">
        <v>109</v>
      </c>
      <c r="AE258" s="7">
        <v>235000</v>
      </c>
      <c r="AF258" s="7">
        <v>1</v>
      </c>
      <c r="AG258" s="7">
        <v>235000</v>
      </c>
      <c r="AH258" s="7">
        <v>0</v>
      </c>
      <c r="AI258" s="7">
        <v>235000</v>
      </c>
      <c r="AJ258" t="s">
        <v>108</v>
      </c>
    </row>
    <row r="259" spans="14:36" x14ac:dyDescent="0.3">
      <c r="N259" s="8">
        <v>2026</v>
      </c>
      <c r="O259" s="8">
        <v>7</v>
      </c>
      <c r="P259" s="9">
        <v>46211</v>
      </c>
      <c r="Q259" t="s">
        <v>238</v>
      </c>
      <c r="R259" t="s">
        <v>351</v>
      </c>
      <c r="S259" t="s">
        <v>352</v>
      </c>
      <c r="T259" t="s">
        <v>2510</v>
      </c>
      <c r="U259" t="s">
        <v>3852</v>
      </c>
      <c r="V259" t="s">
        <v>246</v>
      </c>
      <c r="W259" t="s">
        <v>244</v>
      </c>
      <c r="X259" t="s">
        <v>2590</v>
      </c>
      <c r="Y259" t="s">
        <v>191</v>
      </c>
      <c r="Z259" t="s">
        <v>192</v>
      </c>
      <c r="AA259" t="s">
        <v>193</v>
      </c>
      <c r="AB259" t="s">
        <v>107</v>
      </c>
      <c r="AC259" t="s">
        <v>105</v>
      </c>
      <c r="AD259" t="s">
        <v>106</v>
      </c>
      <c r="AE259" s="7">
        <v>235000</v>
      </c>
      <c r="AF259" s="7">
        <v>1</v>
      </c>
      <c r="AG259" s="7">
        <v>235000</v>
      </c>
      <c r="AH259" s="7">
        <v>0</v>
      </c>
      <c r="AI259" s="7">
        <v>235000</v>
      </c>
      <c r="AJ259" t="s">
        <v>105</v>
      </c>
    </row>
    <row r="260" spans="14:36" x14ac:dyDescent="0.3">
      <c r="N260" s="8">
        <v>2026</v>
      </c>
      <c r="O260" s="8">
        <v>7</v>
      </c>
      <c r="P260" s="9">
        <v>46211</v>
      </c>
      <c r="Q260" t="s">
        <v>238</v>
      </c>
      <c r="R260" t="s">
        <v>351</v>
      </c>
      <c r="S260" t="s">
        <v>352</v>
      </c>
      <c r="T260" t="s">
        <v>2591</v>
      </c>
      <c r="U260" t="s">
        <v>308</v>
      </c>
      <c r="V260" t="s">
        <v>246</v>
      </c>
      <c r="W260" t="s">
        <v>244</v>
      </c>
      <c r="X260" t="s">
        <v>2592</v>
      </c>
      <c r="Y260" t="s">
        <v>191</v>
      </c>
      <c r="Z260" t="s">
        <v>192</v>
      </c>
      <c r="AA260" t="s">
        <v>193</v>
      </c>
      <c r="AB260" t="s">
        <v>110</v>
      </c>
      <c r="AC260" t="s">
        <v>108</v>
      </c>
      <c r="AD260" t="s">
        <v>109</v>
      </c>
      <c r="AE260" s="7">
        <v>235000</v>
      </c>
      <c r="AF260" s="7">
        <v>1</v>
      </c>
      <c r="AG260" s="7">
        <v>235000</v>
      </c>
      <c r="AH260" s="7">
        <v>0</v>
      </c>
      <c r="AI260" s="7">
        <v>235000</v>
      </c>
      <c r="AJ260" t="s">
        <v>108</v>
      </c>
    </row>
    <row r="261" spans="14:36" x14ac:dyDescent="0.3">
      <c r="N261" s="8">
        <v>2026</v>
      </c>
      <c r="O261" s="8">
        <v>7</v>
      </c>
      <c r="P261" s="9">
        <v>46211</v>
      </c>
      <c r="Q261" t="s">
        <v>238</v>
      </c>
      <c r="R261" t="s">
        <v>351</v>
      </c>
      <c r="S261" t="s">
        <v>352</v>
      </c>
      <c r="T261" t="s">
        <v>2591</v>
      </c>
      <c r="U261" t="s">
        <v>308</v>
      </c>
      <c r="V261" t="s">
        <v>246</v>
      </c>
      <c r="W261" t="s">
        <v>244</v>
      </c>
      <c r="X261" t="s">
        <v>2592</v>
      </c>
      <c r="Y261" t="s">
        <v>191</v>
      </c>
      <c r="Z261" t="s">
        <v>192</v>
      </c>
      <c r="AA261" t="s">
        <v>193</v>
      </c>
      <c r="AB261" t="s">
        <v>107</v>
      </c>
      <c r="AC261" t="s">
        <v>105</v>
      </c>
      <c r="AD261" t="s">
        <v>106</v>
      </c>
      <c r="AE261" s="7">
        <v>235000</v>
      </c>
      <c r="AF261" s="7">
        <v>1</v>
      </c>
      <c r="AG261" s="7">
        <v>235000</v>
      </c>
      <c r="AH261" s="7">
        <v>0</v>
      </c>
      <c r="AI261" s="7">
        <v>235000</v>
      </c>
      <c r="AJ261" t="s">
        <v>105</v>
      </c>
    </row>
    <row r="262" spans="14:36" x14ac:dyDescent="0.3">
      <c r="N262" s="8">
        <v>2026</v>
      </c>
      <c r="O262" s="8">
        <v>7</v>
      </c>
      <c r="P262" s="9">
        <v>46211</v>
      </c>
      <c r="Q262" t="s">
        <v>238</v>
      </c>
      <c r="R262" t="s">
        <v>351</v>
      </c>
      <c r="S262" t="s">
        <v>352</v>
      </c>
      <c r="T262" t="s">
        <v>588</v>
      </c>
      <c r="U262" t="s">
        <v>589</v>
      </c>
      <c r="V262" t="s">
        <v>246</v>
      </c>
      <c r="W262" t="s">
        <v>244</v>
      </c>
      <c r="X262" t="s">
        <v>2593</v>
      </c>
      <c r="Y262" t="s">
        <v>191</v>
      </c>
      <c r="Z262" t="s">
        <v>335</v>
      </c>
      <c r="AA262" t="s">
        <v>336</v>
      </c>
      <c r="AB262" t="s">
        <v>2587</v>
      </c>
      <c r="AC262" t="s">
        <v>2588</v>
      </c>
      <c r="AD262" t="s">
        <v>2589</v>
      </c>
      <c r="AE262" s="7">
        <v>22000</v>
      </c>
      <c r="AF262" s="7">
        <v>1</v>
      </c>
      <c r="AG262" s="7">
        <v>22000</v>
      </c>
      <c r="AH262" s="7">
        <v>0</v>
      </c>
      <c r="AI262" s="7">
        <v>22000</v>
      </c>
      <c r="AJ262" t="s">
        <v>2588</v>
      </c>
    </row>
    <row r="263" spans="14:36" x14ac:dyDescent="0.3">
      <c r="N263" s="8">
        <v>2026</v>
      </c>
      <c r="O263" s="8">
        <v>7</v>
      </c>
      <c r="P263" s="9">
        <v>46211</v>
      </c>
      <c r="Q263" t="s">
        <v>238</v>
      </c>
      <c r="R263" t="s">
        <v>351</v>
      </c>
      <c r="S263" t="s">
        <v>352</v>
      </c>
      <c r="T263" t="s">
        <v>588</v>
      </c>
      <c r="U263" t="s">
        <v>589</v>
      </c>
      <c r="V263" t="s">
        <v>246</v>
      </c>
      <c r="W263" t="s">
        <v>244</v>
      </c>
      <c r="X263" t="s">
        <v>2593</v>
      </c>
      <c r="Y263" t="s">
        <v>191</v>
      </c>
      <c r="Z263" t="s">
        <v>335</v>
      </c>
      <c r="AA263" t="s">
        <v>336</v>
      </c>
      <c r="AB263" t="s">
        <v>2572</v>
      </c>
      <c r="AC263" t="s">
        <v>2573</v>
      </c>
      <c r="AD263" t="s">
        <v>2574</v>
      </c>
      <c r="AE263" s="7">
        <v>16000</v>
      </c>
      <c r="AF263" s="7">
        <v>1</v>
      </c>
      <c r="AG263" s="7">
        <v>16000</v>
      </c>
      <c r="AH263" s="7">
        <v>0</v>
      </c>
      <c r="AI263" s="7">
        <v>16000</v>
      </c>
      <c r="AJ263" t="s">
        <v>2573</v>
      </c>
    </row>
    <row r="264" spans="14:36" x14ac:dyDescent="0.3">
      <c r="N264" s="8">
        <v>2026</v>
      </c>
      <c r="O264" s="8">
        <v>7</v>
      </c>
      <c r="P264" s="9">
        <v>46211</v>
      </c>
      <c r="Q264" t="s">
        <v>238</v>
      </c>
      <c r="R264" t="s">
        <v>351</v>
      </c>
      <c r="S264" t="s">
        <v>352</v>
      </c>
      <c r="T264" t="s">
        <v>588</v>
      </c>
      <c r="U264" t="s">
        <v>589</v>
      </c>
      <c r="V264" t="s">
        <v>246</v>
      </c>
      <c r="W264" t="s">
        <v>244</v>
      </c>
      <c r="X264" t="s">
        <v>2593</v>
      </c>
      <c r="Y264" t="s">
        <v>191</v>
      </c>
      <c r="Z264" t="s">
        <v>335</v>
      </c>
      <c r="AA264" t="s">
        <v>336</v>
      </c>
      <c r="AB264" t="s">
        <v>2575</v>
      </c>
      <c r="AC264" t="s">
        <v>2576</v>
      </c>
      <c r="AD264" t="s">
        <v>2577</v>
      </c>
      <c r="AE264" s="7">
        <v>16000</v>
      </c>
      <c r="AF264" s="7">
        <v>1</v>
      </c>
      <c r="AG264" s="7">
        <v>16000</v>
      </c>
      <c r="AH264" s="7">
        <v>0</v>
      </c>
      <c r="AI264" s="7">
        <v>16000</v>
      </c>
      <c r="AJ264" t="s">
        <v>2576</v>
      </c>
    </row>
    <row r="265" spans="14:36" x14ac:dyDescent="0.3">
      <c r="N265" s="8">
        <v>2026</v>
      </c>
      <c r="O265" s="8">
        <v>7</v>
      </c>
      <c r="P265" s="9">
        <v>46211</v>
      </c>
      <c r="Q265" t="s">
        <v>238</v>
      </c>
      <c r="R265" t="s">
        <v>351</v>
      </c>
      <c r="S265" t="s">
        <v>352</v>
      </c>
      <c r="T265" t="s">
        <v>588</v>
      </c>
      <c r="U265" t="s">
        <v>589</v>
      </c>
      <c r="V265" t="s">
        <v>246</v>
      </c>
      <c r="W265" t="s">
        <v>244</v>
      </c>
      <c r="X265" t="s">
        <v>2593</v>
      </c>
      <c r="Y265" t="s">
        <v>191</v>
      </c>
      <c r="Z265" t="s">
        <v>335</v>
      </c>
      <c r="AA265" t="s">
        <v>336</v>
      </c>
      <c r="AB265" t="s">
        <v>2582</v>
      </c>
      <c r="AC265" t="s">
        <v>2583</v>
      </c>
      <c r="AD265" t="s">
        <v>2584</v>
      </c>
      <c r="AE265" s="7">
        <v>18000</v>
      </c>
      <c r="AF265" s="7">
        <v>1</v>
      </c>
      <c r="AG265" s="7">
        <v>18000</v>
      </c>
      <c r="AH265" s="7">
        <v>0</v>
      </c>
      <c r="AI265" s="7">
        <v>18000</v>
      </c>
      <c r="AJ265" t="s">
        <v>2583</v>
      </c>
    </row>
    <row r="266" spans="14:36" x14ac:dyDescent="0.3">
      <c r="N266" s="8">
        <v>2026</v>
      </c>
      <c r="O266" s="8">
        <v>7</v>
      </c>
      <c r="P266" s="9">
        <v>46211</v>
      </c>
      <c r="Q266" t="s">
        <v>238</v>
      </c>
      <c r="R266" t="s">
        <v>374</v>
      </c>
      <c r="S266" t="s">
        <v>375</v>
      </c>
      <c r="T266" t="s">
        <v>2594</v>
      </c>
      <c r="U266" t="s">
        <v>3546</v>
      </c>
      <c r="V266" t="s">
        <v>246</v>
      </c>
      <c r="W266" t="s">
        <v>244</v>
      </c>
      <c r="X266" t="s">
        <v>2595</v>
      </c>
      <c r="Y266" t="s">
        <v>194</v>
      </c>
      <c r="Z266" t="s">
        <v>200</v>
      </c>
      <c r="AA266" t="s">
        <v>201</v>
      </c>
      <c r="AB266" t="s">
        <v>77</v>
      </c>
      <c r="AC266" t="s">
        <v>75</v>
      </c>
      <c r="AD266" t="s">
        <v>76</v>
      </c>
      <c r="AE266" s="7">
        <v>52000</v>
      </c>
      <c r="AF266" s="7">
        <v>1</v>
      </c>
      <c r="AG266" s="7">
        <v>52000</v>
      </c>
      <c r="AH266" s="7">
        <v>0</v>
      </c>
      <c r="AI266" s="7">
        <v>52000</v>
      </c>
      <c r="AJ266" t="s">
        <v>75</v>
      </c>
    </row>
    <row r="267" spans="14:36" x14ac:dyDescent="0.3">
      <c r="N267" s="8">
        <v>2026</v>
      </c>
      <c r="O267" s="8">
        <v>7</v>
      </c>
      <c r="P267" s="9">
        <v>46211</v>
      </c>
      <c r="Q267" t="s">
        <v>238</v>
      </c>
      <c r="R267" t="s">
        <v>396</v>
      </c>
      <c r="S267" t="s">
        <v>397</v>
      </c>
      <c r="T267" t="s">
        <v>2596</v>
      </c>
      <c r="U267" t="s">
        <v>3853</v>
      </c>
      <c r="V267" t="s">
        <v>246</v>
      </c>
      <c r="W267" t="s">
        <v>244</v>
      </c>
      <c r="X267" t="s">
        <v>2597</v>
      </c>
      <c r="Y267" t="s">
        <v>168</v>
      </c>
      <c r="Z267" t="s">
        <v>169</v>
      </c>
      <c r="AA267" t="s">
        <v>170</v>
      </c>
      <c r="AB267" t="s">
        <v>131</v>
      </c>
      <c r="AC267" t="s">
        <v>129</v>
      </c>
      <c r="AD267" t="s">
        <v>130</v>
      </c>
      <c r="AE267" s="7">
        <v>535000</v>
      </c>
      <c r="AF267" s="7">
        <v>1</v>
      </c>
      <c r="AG267" s="7">
        <v>535000</v>
      </c>
      <c r="AH267" s="7">
        <v>0</v>
      </c>
      <c r="AI267" s="7">
        <v>535000</v>
      </c>
      <c r="AJ267" t="s">
        <v>129</v>
      </c>
    </row>
    <row r="268" spans="14:36" x14ac:dyDescent="0.3">
      <c r="N268" s="8">
        <v>2026</v>
      </c>
      <c r="O268" s="8">
        <v>7</v>
      </c>
      <c r="P268" s="9">
        <v>46211</v>
      </c>
      <c r="Q268" t="s">
        <v>238</v>
      </c>
      <c r="R268" t="s">
        <v>396</v>
      </c>
      <c r="S268" t="s">
        <v>397</v>
      </c>
      <c r="T268" t="s">
        <v>2598</v>
      </c>
      <c r="U268" t="s">
        <v>2599</v>
      </c>
      <c r="V268" t="s">
        <v>246</v>
      </c>
      <c r="W268" t="s">
        <v>244</v>
      </c>
      <c r="X268" t="s">
        <v>2600</v>
      </c>
      <c r="Y268" t="s">
        <v>168</v>
      </c>
      <c r="Z268" t="s">
        <v>179</v>
      </c>
      <c r="AA268" t="s">
        <v>180</v>
      </c>
      <c r="AB268" t="s">
        <v>143</v>
      </c>
      <c r="AC268" t="s">
        <v>141</v>
      </c>
      <c r="AD268" t="s">
        <v>142</v>
      </c>
      <c r="AE268" s="7">
        <v>150000</v>
      </c>
      <c r="AF268" s="7">
        <v>1</v>
      </c>
      <c r="AG268" s="7">
        <v>150000</v>
      </c>
      <c r="AH268" s="7">
        <v>15000</v>
      </c>
      <c r="AI268" s="7">
        <v>135000</v>
      </c>
      <c r="AJ268" t="s">
        <v>141</v>
      </c>
    </row>
    <row r="269" spans="14:36" x14ac:dyDescent="0.3">
      <c r="N269" s="8">
        <v>2026</v>
      </c>
      <c r="O269" s="8">
        <v>7</v>
      </c>
      <c r="P269" s="9">
        <v>46211</v>
      </c>
      <c r="Q269" t="s">
        <v>238</v>
      </c>
      <c r="R269" t="s">
        <v>396</v>
      </c>
      <c r="S269" t="s">
        <v>397</v>
      </c>
      <c r="T269" t="s">
        <v>1426</v>
      </c>
      <c r="U269" t="s">
        <v>3854</v>
      </c>
      <c r="V269" t="s">
        <v>246</v>
      </c>
      <c r="W269" t="s">
        <v>244</v>
      </c>
      <c r="X269" t="s">
        <v>2601</v>
      </c>
      <c r="Y269" t="s">
        <v>168</v>
      </c>
      <c r="Z269" t="s">
        <v>171</v>
      </c>
      <c r="AA269" t="s">
        <v>175</v>
      </c>
      <c r="AB269" t="s">
        <v>140</v>
      </c>
      <c r="AC269" t="s">
        <v>138</v>
      </c>
      <c r="AD269" t="s">
        <v>139</v>
      </c>
      <c r="AE269" s="7">
        <v>125000</v>
      </c>
      <c r="AF269" s="7">
        <v>1</v>
      </c>
      <c r="AG269" s="7">
        <v>125000</v>
      </c>
      <c r="AH269" s="7">
        <v>12500</v>
      </c>
      <c r="AI269" s="7">
        <v>112500</v>
      </c>
      <c r="AJ269" t="s">
        <v>138</v>
      </c>
    </row>
    <row r="270" spans="14:36" x14ac:dyDescent="0.3">
      <c r="N270" s="8">
        <v>2026</v>
      </c>
      <c r="O270" s="8">
        <v>7</v>
      </c>
      <c r="P270" s="9">
        <v>46211</v>
      </c>
      <c r="Q270" t="s">
        <v>238</v>
      </c>
      <c r="R270" t="s">
        <v>425</v>
      </c>
      <c r="S270" t="s">
        <v>426</v>
      </c>
      <c r="T270" t="s">
        <v>2602</v>
      </c>
      <c r="U270" t="s">
        <v>3615</v>
      </c>
      <c r="V270" t="s">
        <v>246</v>
      </c>
      <c r="W270" t="s">
        <v>244</v>
      </c>
      <c r="X270" t="s">
        <v>2603</v>
      </c>
      <c r="Y270" t="s">
        <v>191</v>
      </c>
      <c r="Z270" t="s">
        <v>192</v>
      </c>
      <c r="AA270" t="s">
        <v>193</v>
      </c>
      <c r="AB270" t="s">
        <v>116</v>
      </c>
      <c r="AC270" t="s">
        <v>114</v>
      </c>
      <c r="AD270" t="s">
        <v>115</v>
      </c>
      <c r="AE270" s="7">
        <v>235000</v>
      </c>
      <c r="AF270" s="7">
        <v>1</v>
      </c>
      <c r="AG270" s="7">
        <v>235000</v>
      </c>
      <c r="AH270" s="7">
        <v>0</v>
      </c>
      <c r="AI270" s="7">
        <v>235000</v>
      </c>
      <c r="AJ270" t="s">
        <v>114</v>
      </c>
    </row>
    <row r="271" spans="14:36" x14ac:dyDescent="0.3">
      <c r="N271" s="8">
        <v>2026</v>
      </c>
      <c r="O271" s="8">
        <v>7</v>
      </c>
      <c r="P271" s="9">
        <v>46210</v>
      </c>
      <c r="Q271" t="s">
        <v>238</v>
      </c>
      <c r="R271" t="s">
        <v>279</v>
      </c>
      <c r="S271" t="s">
        <v>280</v>
      </c>
      <c r="T271" t="s">
        <v>281</v>
      </c>
      <c r="U271" t="s">
        <v>282</v>
      </c>
      <c r="V271" t="s">
        <v>243</v>
      </c>
      <c r="W271" t="s">
        <v>244</v>
      </c>
      <c r="X271" t="s">
        <v>2604</v>
      </c>
      <c r="Y271" t="s">
        <v>191</v>
      </c>
      <c r="Z271" t="s">
        <v>335</v>
      </c>
      <c r="AA271" t="s">
        <v>336</v>
      </c>
      <c r="AB271" t="s">
        <v>2551</v>
      </c>
      <c r="AC271" t="s">
        <v>2552</v>
      </c>
      <c r="AD271" t="s">
        <v>2553</v>
      </c>
      <c r="AE271" s="7">
        <v>23000</v>
      </c>
      <c r="AF271" s="7">
        <v>1</v>
      </c>
      <c r="AG271" s="7">
        <v>23000</v>
      </c>
      <c r="AH271" s="7">
        <v>0</v>
      </c>
      <c r="AI271" s="7">
        <v>23000</v>
      </c>
      <c r="AJ271" t="s">
        <v>2552</v>
      </c>
    </row>
    <row r="272" spans="14:36" x14ac:dyDescent="0.3">
      <c r="N272" s="8">
        <v>2026</v>
      </c>
      <c r="O272" s="8">
        <v>7</v>
      </c>
      <c r="P272" s="9">
        <v>46210</v>
      </c>
      <c r="Q272" t="s">
        <v>238</v>
      </c>
      <c r="R272" t="s">
        <v>279</v>
      </c>
      <c r="S272" t="s">
        <v>280</v>
      </c>
      <c r="T272" t="s">
        <v>962</v>
      </c>
      <c r="U272" t="s">
        <v>963</v>
      </c>
      <c r="V272" t="s">
        <v>246</v>
      </c>
      <c r="W272" t="s">
        <v>244</v>
      </c>
      <c r="X272" t="s">
        <v>2607</v>
      </c>
      <c r="Y272" t="s">
        <v>183</v>
      </c>
      <c r="Z272" t="s">
        <v>186</v>
      </c>
      <c r="AA272" t="s">
        <v>188</v>
      </c>
      <c r="AB272" t="s">
        <v>95</v>
      </c>
      <c r="AC272" t="s">
        <v>93</v>
      </c>
      <c r="AD272" t="s">
        <v>94</v>
      </c>
      <c r="AE272" s="7">
        <v>239000</v>
      </c>
      <c r="AF272" s="7">
        <v>1</v>
      </c>
      <c r="AG272" s="7">
        <v>239000</v>
      </c>
      <c r="AH272" s="7">
        <v>0</v>
      </c>
      <c r="AI272" s="7">
        <v>239000</v>
      </c>
      <c r="AJ272" t="s">
        <v>93</v>
      </c>
    </row>
    <row r="273" spans="14:36" x14ac:dyDescent="0.3">
      <c r="N273" s="8">
        <v>2026</v>
      </c>
      <c r="O273" s="8">
        <v>7</v>
      </c>
      <c r="P273" s="9">
        <v>46210</v>
      </c>
      <c r="Q273" t="s">
        <v>238</v>
      </c>
      <c r="R273" t="s">
        <v>279</v>
      </c>
      <c r="S273" t="s">
        <v>280</v>
      </c>
      <c r="T273" t="s">
        <v>1626</v>
      </c>
      <c r="U273" t="s">
        <v>1627</v>
      </c>
      <c r="V273" t="s">
        <v>246</v>
      </c>
      <c r="W273" t="s">
        <v>244</v>
      </c>
      <c r="X273" t="s">
        <v>2608</v>
      </c>
      <c r="Y273" t="s">
        <v>191</v>
      </c>
      <c r="Z273" t="s">
        <v>335</v>
      </c>
      <c r="AA273" t="s">
        <v>336</v>
      </c>
      <c r="AB273" t="s">
        <v>2575</v>
      </c>
      <c r="AC273" t="s">
        <v>2576</v>
      </c>
      <c r="AD273" t="s">
        <v>2577</v>
      </c>
      <c r="AE273" s="7">
        <v>16000</v>
      </c>
      <c r="AF273" s="7">
        <v>4</v>
      </c>
      <c r="AG273" s="7">
        <v>64000</v>
      </c>
      <c r="AH273" s="7">
        <v>0</v>
      </c>
      <c r="AI273" s="7">
        <v>64000</v>
      </c>
      <c r="AJ273" t="s">
        <v>2576</v>
      </c>
    </row>
    <row r="274" spans="14:36" x14ac:dyDescent="0.3">
      <c r="N274" s="8">
        <v>2026</v>
      </c>
      <c r="O274" s="8">
        <v>7</v>
      </c>
      <c r="P274" s="9">
        <v>46210</v>
      </c>
      <c r="Q274" t="s">
        <v>238</v>
      </c>
      <c r="R274" t="s">
        <v>303</v>
      </c>
      <c r="S274" t="s">
        <v>304</v>
      </c>
      <c r="T274" t="s">
        <v>1599</v>
      </c>
      <c r="U274" t="s">
        <v>368</v>
      </c>
      <c r="V274" t="s">
        <v>246</v>
      </c>
      <c r="W274" t="s">
        <v>244</v>
      </c>
      <c r="X274" t="s">
        <v>2610</v>
      </c>
      <c r="Y274" t="s">
        <v>191</v>
      </c>
      <c r="Z274" t="s">
        <v>192</v>
      </c>
      <c r="AA274" t="s">
        <v>193</v>
      </c>
      <c r="AB274" t="s">
        <v>116</v>
      </c>
      <c r="AC274" t="s">
        <v>114</v>
      </c>
      <c r="AD274" t="s">
        <v>115</v>
      </c>
      <c r="AE274" s="7">
        <v>235000</v>
      </c>
      <c r="AF274" s="7">
        <v>1</v>
      </c>
      <c r="AG274" s="7">
        <v>235000</v>
      </c>
      <c r="AH274" s="7">
        <v>0</v>
      </c>
      <c r="AI274" s="7">
        <v>235000</v>
      </c>
      <c r="AJ274" t="s">
        <v>114</v>
      </c>
    </row>
    <row r="275" spans="14:36" x14ac:dyDescent="0.3">
      <c r="N275" s="8">
        <v>2026</v>
      </c>
      <c r="O275" s="8">
        <v>7</v>
      </c>
      <c r="P275" s="9">
        <v>46210</v>
      </c>
      <c r="Q275" t="s">
        <v>238</v>
      </c>
      <c r="R275" t="s">
        <v>303</v>
      </c>
      <c r="S275" t="s">
        <v>304</v>
      </c>
      <c r="T275" t="s">
        <v>647</v>
      </c>
      <c r="U275" t="s">
        <v>648</v>
      </c>
      <c r="V275" t="s">
        <v>246</v>
      </c>
      <c r="W275" t="s">
        <v>244</v>
      </c>
      <c r="X275" t="s">
        <v>2611</v>
      </c>
      <c r="Y275" t="s">
        <v>191</v>
      </c>
      <c r="Z275" t="s">
        <v>335</v>
      </c>
      <c r="AA275" t="s">
        <v>336</v>
      </c>
      <c r="AB275" t="s">
        <v>1146</v>
      </c>
      <c r="AC275" t="s">
        <v>1147</v>
      </c>
      <c r="AD275" t="s">
        <v>1148</v>
      </c>
      <c r="AE275" s="7">
        <v>99000</v>
      </c>
      <c r="AF275" s="7">
        <v>1</v>
      </c>
      <c r="AG275" s="7">
        <v>99000</v>
      </c>
      <c r="AH275" s="7">
        <v>0</v>
      </c>
      <c r="AI275" s="7">
        <v>99000</v>
      </c>
      <c r="AJ275" t="s">
        <v>1147</v>
      </c>
    </row>
    <row r="276" spans="14:36" x14ac:dyDescent="0.3">
      <c r="N276" s="8">
        <v>2026</v>
      </c>
      <c r="O276" s="8">
        <v>7</v>
      </c>
      <c r="P276" s="9">
        <v>46210</v>
      </c>
      <c r="Q276" t="s">
        <v>238</v>
      </c>
      <c r="R276" t="s">
        <v>303</v>
      </c>
      <c r="S276" t="s">
        <v>304</v>
      </c>
      <c r="T276" t="s">
        <v>647</v>
      </c>
      <c r="U276" t="s">
        <v>648</v>
      </c>
      <c r="V276" t="s">
        <v>246</v>
      </c>
      <c r="W276" t="s">
        <v>244</v>
      </c>
      <c r="X276" t="s">
        <v>2611</v>
      </c>
      <c r="Y276" t="s">
        <v>191</v>
      </c>
      <c r="Z276" t="s">
        <v>335</v>
      </c>
      <c r="AA276" t="s">
        <v>336</v>
      </c>
      <c r="AB276" t="s">
        <v>2551</v>
      </c>
      <c r="AC276" t="s">
        <v>2552</v>
      </c>
      <c r="AD276" t="s">
        <v>2553</v>
      </c>
      <c r="AE276" s="7">
        <v>23000</v>
      </c>
      <c r="AF276" s="7">
        <v>1</v>
      </c>
      <c r="AG276" s="7">
        <v>23000</v>
      </c>
      <c r="AH276" s="7">
        <v>0</v>
      </c>
      <c r="AI276" s="7">
        <v>23000</v>
      </c>
      <c r="AJ276" t="s">
        <v>2552</v>
      </c>
    </row>
    <row r="277" spans="14:36" x14ac:dyDescent="0.3">
      <c r="N277" s="8">
        <v>2026</v>
      </c>
      <c r="O277" s="8">
        <v>7</v>
      </c>
      <c r="P277" s="9">
        <v>46210</v>
      </c>
      <c r="Q277" t="s">
        <v>238</v>
      </c>
      <c r="R277" t="s">
        <v>303</v>
      </c>
      <c r="S277" t="s">
        <v>304</v>
      </c>
      <c r="T277" t="s">
        <v>647</v>
      </c>
      <c r="U277" t="s">
        <v>648</v>
      </c>
      <c r="V277" t="s">
        <v>246</v>
      </c>
      <c r="W277" t="s">
        <v>244</v>
      </c>
      <c r="X277" t="s">
        <v>2611</v>
      </c>
      <c r="Y277" t="s">
        <v>191</v>
      </c>
      <c r="Z277" t="s">
        <v>335</v>
      </c>
      <c r="AA277" t="s">
        <v>336</v>
      </c>
      <c r="AB277" t="s">
        <v>2612</v>
      </c>
      <c r="AC277" t="s">
        <v>2613</v>
      </c>
      <c r="AD277" t="s">
        <v>2614</v>
      </c>
      <c r="AE277" s="7">
        <v>18000</v>
      </c>
      <c r="AF277" s="7">
        <v>1</v>
      </c>
      <c r="AG277" s="7">
        <v>18000</v>
      </c>
      <c r="AH277" s="7">
        <v>0</v>
      </c>
      <c r="AI277" s="7">
        <v>18000</v>
      </c>
      <c r="AJ277" t="s">
        <v>2613</v>
      </c>
    </row>
    <row r="278" spans="14:36" x14ac:dyDescent="0.3">
      <c r="N278" s="8">
        <v>2026</v>
      </c>
      <c r="O278" s="8">
        <v>7</v>
      </c>
      <c r="P278" s="9">
        <v>46210</v>
      </c>
      <c r="Q278" t="s">
        <v>238</v>
      </c>
      <c r="R278" t="s">
        <v>303</v>
      </c>
      <c r="S278" t="s">
        <v>304</v>
      </c>
      <c r="T278" t="s">
        <v>2421</v>
      </c>
      <c r="U278" t="s">
        <v>2422</v>
      </c>
      <c r="V278" t="s">
        <v>246</v>
      </c>
      <c r="W278" t="s">
        <v>244</v>
      </c>
      <c r="X278" t="s">
        <v>2615</v>
      </c>
      <c r="Y278" t="s">
        <v>191</v>
      </c>
      <c r="Z278" t="s">
        <v>335</v>
      </c>
      <c r="AA278" t="s">
        <v>336</v>
      </c>
      <c r="AB278" t="s">
        <v>2587</v>
      </c>
      <c r="AC278" t="s">
        <v>2588</v>
      </c>
      <c r="AD278" t="s">
        <v>2589</v>
      </c>
      <c r="AE278" s="7">
        <v>22000</v>
      </c>
      <c r="AF278" s="7">
        <v>2</v>
      </c>
      <c r="AG278" s="7">
        <v>44000</v>
      </c>
      <c r="AH278" s="7">
        <v>0</v>
      </c>
      <c r="AI278" s="7">
        <v>44000</v>
      </c>
      <c r="AJ278" t="s">
        <v>2588</v>
      </c>
    </row>
    <row r="279" spans="14:36" x14ac:dyDescent="0.3">
      <c r="N279" s="8">
        <v>2026</v>
      </c>
      <c r="O279" s="8">
        <v>7</v>
      </c>
      <c r="P279" s="9">
        <v>46210</v>
      </c>
      <c r="Q279" t="s">
        <v>238</v>
      </c>
      <c r="R279" t="s">
        <v>303</v>
      </c>
      <c r="S279" t="s">
        <v>304</v>
      </c>
      <c r="T279" t="s">
        <v>570</v>
      </c>
      <c r="U279" t="s">
        <v>571</v>
      </c>
      <c r="V279" t="s">
        <v>246</v>
      </c>
      <c r="W279" t="s">
        <v>244</v>
      </c>
      <c r="X279" t="s">
        <v>2616</v>
      </c>
      <c r="Y279" t="s">
        <v>191</v>
      </c>
      <c r="Z279" t="s">
        <v>335</v>
      </c>
      <c r="AA279" t="s">
        <v>336</v>
      </c>
      <c r="AB279" t="s">
        <v>1146</v>
      </c>
      <c r="AC279" t="s">
        <v>1147</v>
      </c>
      <c r="AD279" t="s">
        <v>1148</v>
      </c>
      <c r="AE279" s="7">
        <v>99000</v>
      </c>
      <c r="AF279" s="7">
        <v>1</v>
      </c>
      <c r="AG279" s="7">
        <v>99000</v>
      </c>
      <c r="AH279" s="7">
        <v>0</v>
      </c>
      <c r="AI279" s="7">
        <v>99000</v>
      </c>
      <c r="AJ279" t="s">
        <v>1147</v>
      </c>
    </row>
    <row r="280" spans="14:36" x14ac:dyDescent="0.3">
      <c r="N280" s="8">
        <v>2026</v>
      </c>
      <c r="O280" s="8">
        <v>7</v>
      </c>
      <c r="P280" s="9">
        <v>46210</v>
      </c>
      <c r="Q280" t="s">
        <v>238</v>
      </c>
      <c r="R280" t="s">
        <v>351</v>
      </c>
      <c r="S280" t="s">
        <v>352</v>
      </c>
      <c r="T280" t="s">
        <v>2122</v>
      </c>
      <c r="U280" t="s">
        <v>2123</v>
      </c>
      <c r="V280" t="s">
        <v>246</v>
      </c>
      <c r="W280" t="s">
        <v>244</v>
      </c>
      <c r="X280" t="s">
        <v>2617</v>
      </c>
      <c r="Y280" t="s">
        <v>191</v>
      </c>
      <c r="Z280" t="s">
        <v>335</v>
      </c>
      <c r="AA280" t="s">
        <v>336</v>
      </c>
      <c r="AB280" t="s">
        <v>2572</v>
      </c>
      <c r="AC280" t="s">
        <v>2573</v>
      </c>
      <c r="AD280" t="s">
        <v>2574</v>
      </c>
      <c r="AE280" s="7">
        <v>16000</v>
      </c>
      <c r="AF280" s="7">
        <v>1</v>
      </c>
      <c r="AG280" s="7">
        <v>16000</v>
      </c>
      <c r="AH280" s="7">
        <v>0</v>
      </c>
      <c r="AI280" s="7">
        <v>16000</v>
      </c>
      <c r="AJ280" t="s">
        <v>2573</v>
      </c>
    </row>
    <row r="281" spans="14:36" x14ac:dyDescent="0.3">
      <c r="N281" s="8">
        <v>2026</v>
      </c>
      <c r="O281" s="8">
        <v>7</v>
      </c>
      <c r="P281" s="9">
        <v>46210</v>
      </c>
      <c r="Q281" t="s">
        <v>238</v>
      </c>
      <c r="R281" t="s">
        <v>351</v>
      </c>
      <c r="S281" t="s">
        <v>352</v>
      </c>
      <c r="T281" t="s">
        <v>2122</v>
      </c>
      <c r="U281" t="s">
        <v>2123</v>
      </c>
      <c r="V281" t="s">
        <v>246</v>
      </c>
      <c r="W281" t="s">
        <v>244</v>
      </c>
      <c r="X281" t="s">
        <v>2617</v>
      </c>
      <c r="Y281" t="s">
        <v>191</v>
      </c>
      <c r="Z281" t="s">
        <v>335</v>
      </c>
      <c r="AA281" t="s">
        <v>337</v>
      </c>
      <c r="AB281" t="s">
        <v>2557</v>
      </c>
      <c r="AC281" t="s">
        <v>2558</v>
      </c>
      <c r="AD281" t="s">
        <v>2559</v>
      </c>
      <c r="AE281" s="7">
        <v>24000</v>
      </c>
      <c r="AF281" s="7">
        <v>1</v>
      </c>
      <c r="AG281" s="7">
        <v>24000</v>
      </c>
      <c r="AH281" s="7">
        <v>0</v>
      </c>
      <c r="AI281" s="7">
        <v>24000</v>
      </c>
      <c r="AJ281" t="s">
        <v>2558</v>
      </c>
    </row>
    <row r="282" spans="14:36" x14ac:dyDescent="0.3">
      <c r="N282" s="8">
        <v>2026</v>
      </c>
      <c r="O282" s="8">
        <v>7</v>
      </c>
      <c r="P282" s="9">
        <v>46210</v>
      </c>
      <c r="Q282" t="s">
        <v>238</v>
      </c>
      <c r="R282" t="s">
        <v>351</v>
      </c>
      <c r="S282" t="s">
        <v>352</v>
      </c>
      <c r="T282" t="s">
        <v>2213</v>
      </c>
      <c r="U282" t="s">
        <v>2214</v>
      </c>
      <c r="V282" t="s">
        <v>246</v>
      </c>
      <c r="W282" t="s">
        <v>244</v>
      </c>
      <c r="X282" t="s">
        <v>2618</v>
      </c>
      <c r="Y282" t="s">
        <v>191</v>
      </c>
      <c r="Z282" t="s">
        <v>335</v>
      </c>
      <c r="AA282" t="s">
        <v>337</v>
      </c>
      <c r="AB282" t="s">
        <v>348</v>
      </c>
      <c r="AC282" t="s">
        <v>349</v>
      </c>
      <c r="AD282" t="s">
        <v>350</v>
      </c>
      <c r="AE282" s="7">
        <v>76000</v>
      </c>
      <c r="AF282" s="7">
        <v>5</v>
      </c>
      <c r="AG282" s="7">
        <v>380000</v>
      </c>
      <c r="AH282" s="7">
        <v>0</v>
      </c>
      <c r="AI282" s="7">
        <v>380000</v>
      </c>
      <c r="AJ282" t="s">
        <v>349</v>
      </c>
    </row>
    <row r="283" spans="14:36" x14ac:dyDescent="0.3">
      <c r="N283" s="8">
        <v>2026</v>
      </c>
      <c r="O283" s="8">
        <v>7</v>
      </c>
      <c r="P283" s="9">
        <v>46210</v>
      </c>
      <c r="Q283" t="s">
        <v>238</v>
      </c>
      <c r="R283" t="s">
        <v>374</v>
      </c>
      <c r="S283" t="s">
        <v>375</v>
      </c>
      <c r="T283" t="s">
        <v>933</v>
      </c>
      <c r="U283" t="s">
        <v>276</v>
      </c>
      <c r="V283" t="s">
        <v>246</v>
      </c>
      <c r="W283" t="s">
        <v>244</v>
      </c>
      <c r="X283" t="s">
        <v>2619</v>
      </c>
      <c r="Y283" t="s">
        <v>168</v>
      </c>
      <c r="Z283" t="s">
        <v>171</v>
      </c>
      <c r="AA283" t="s">
        <v>173</v>
      </c>
      <c r="AB283" t="s">
        <v>26</v>
      </c>
      <c r="AC283" t="s">
        <v>24</v>
      </c>
      <c r="AD283" t="s">
        <v>25</v>
      </c>
      <c r="AE283" s="7">
        <v>555000</v>
      </c>
      <c r="AF283" s="7">
        <v>1</v>
      </c>
      <c r="AG283" s="7">
        <v>555000</v>
      </c>
      <c r="AH283" s="7">
        <v>0</v>
      </c>
      <c r="AI283" s="7">
        <v>555000</v>
      </c>
      <c r="AJ283" t="s">
        <v>24</v>
      </c>
    </row>
    <row r="284" spans="14:36" x14ac:dyDescent="0.3">
      <c r="N284" s="8">
        <v>2026</v>
      </c>
      <c r="O284" s="8">
        <v>7</v>
      </c>
      <c r="P284" s="9">
        <v>46210</v>
      </c>
      <c r="Q284" t="s">
        <v>238</v>
      </c>
      <c r="R284" t="s">
        <v>374</v>
      </c>
      <c r="S284" t="s">
        <v>375</v>
      </c>
      <c r="T284" t="s">
        <v>709</v>
      </c>
      <c r="U284" t="s">
        <v>312</v>
      </c>
      <c r="V284" t="s">
        <v>246</v>
      </c>
      <c r="W284" t="s">
        <v>244</v>
      </c>
      <c r="X284" t="s">
        <v>2620</v>
      </c>
      <c r="Y284" t="s">
        <v>191</v>
      </c>
      <c r="Z284" t="s">
        <v>335</v>
      </c>
      <c r="AA284" t="s">
        <v>336</v>
      </c>
      <c r="AB284" t="s">
        <v>1284</v>
      </c>
      <c r="AC284" t="s">
        <v>1285</v>
      </c>
      <c r="AD284" t="s">
        <v>1286</v>
      </c>
      <c r="AE284" s="7">
        <v>99000</v>
      </c>
      <c r="AF284" s="7">
        <v>1</v>
      </c>
      <c r="AG284" s="7">
        <v>99000</v>
      </c>
      <c r="AH284" s="7">
        <v>0</v>
      </c>
      <c r="AI284" s="7">
        <v>99000</v>
      </c>
      <c r="AJ284" t="s">
        <v>1285</v>
      </c>
    </row>
    <row r="285" spans="14:36" x14ac:dyDescent="0.3">
      <c r="N285" s="8">
        <v>2026</v>
      </c>
      <c r="O285" s="8">
        <v>7</v>
      </c>
      <c r="P285" s="9">
        <v>46210</v>
      </c>
      <c r="Q285" t="s">
        <v>238</v>
      </c>
      <c r="R285" t="s">
        <v>374</v>
      </c>
      <c r="S285" t="s">
        <v>375</v>
      </c>
      <c r="T285" t="s">
        <v>769</v>
      </c>
      <c r="U285" t="s">
        <v>3855</v>
      </c>
      <c r="V285" t="s">
        <v>246</v>
      </c>
      <c r="W285" t="s">
        <v>244</v>
      </c>
      <c r="X285" t="s">
        <v>2621</v>
      </c>
      <c r="Y285" t="s">
        <v>168</v>
      </c>
      <c r="Z285" t="s">
        <v>171</v>
      </c>
      <c r="AA285" t="s">
        <v>173</v>
      </c>
      <c r="AB285" t="s">
        <v>20</v>
      </c>
      <c r="AC285" t="s">
        <v>18</v>
      </c>
      <c r="AD285" t="s">
        <v>19</v>
      </c>
      <c r="AE285" s="7">
        <v>455000</v>
      </c>
      <c r="AF285" s="7">
        <v>1</v>
      </c>
      <c r="AG285" s="7">
        <v>455000</v>
      </c>
      <c r="AH285" s="7">
        <v>0</v>
      </c>
      <c r="AI285" s="7">
        <v>455000</v>
      </c>
      <c r="AJ285" t="s">
        <v>18</v>
      </c>
    </row>
    <row r="286" spans="14:36" x14ac:dyDescent="0.3">
      <c r="N286" s="8">
        <v>2026</v>
      </c>
      <c r="O286" s="8">
        <v>7</v>
      </c>
      <c r="P286" s="9">
        <v>46210</v>
      </c>
      <c r="Q286" t="s">
        <v>238</v>
      </c>
      <c r="R286" t="s">
        <v>396</v>
      </c>
      <c r="S286" t="s">
        <v>397</v>
      </c>
      <c r="T286" t="s">
        <v>398</v>
      </c>
      <c r="U286" t="s">
        <v>399</v>
      </c>
      <c r="V286" t="s">
        <v>243</v>
      </c>
      <c r="W286" t="s">
        <v>244</v>
      </c>
      <c r="X286" t="s">
        <v>2622</v>
      </c>
      <c r="Y286" t="s">
        <v>191</v>
      </c>
      <c r="Z286" t="s">
        <v>335</v>
      </c>
      <c r="AA286" t="s">
        <v>336</v>
      </c>
      <c r="AB286" t="s">
        <v>1146</v>
      </c>
      <c r="AC286" t="s">
        <v>1147</v>
      </c>
      <c r="AD286" t="s">
        <v>1148</v>
      </c>
      <c r="AE286" s="7">
        <v>99000</v>
      </c>
      <c r="AF286" s="7">
        <v>2</v>
      </c>
      <c r="AG286" s="7">
        <v>198000</v>
      </c>
      <c r="AH286" s="7">
        <v>0</v>
      </c>
      <c r="AI286" s="7">
        <v>198000</v>
      </c>
      <c r="AJ286" t="s">
        <v>1147</v>
      </c>
    </row>
    <row r="287" spans="14:36" x14ac:dyDescent="0.3">
      <c r="N287" s="8">
        <v>2026</v>
      </c>
      <c r="O287" s="8">
        <v>7</v>
      </c>
      <c r="P287" s="9">
        <v>46210</v>
      </c>
      <c r="Q287" t="s">
        <v>238</v>
      </c>
      <c r="R287" t="s">
        <v>396</v>
      </c>
      <c r="S287" t="s">
        <v>397</v>
      </c>
      <c r="T287" t="s">
        <v>2605</v>
      </c>
      <c r="U287" t="s">
        <v>715</v>
      </c>
      <c r="V287" t="s">
        <v>246</v>
      </c>
      <c r="W287" t="s">
        <v>244</v>
      </c>
      <c r="X287" t="s">
        <v>2623</v>
      </c>
      <c r="Y287" t="s">
        <v>168</v>
      </c>
      <c r="Z287" t="s">
        <v>169</v>
      </c>
      <c r="AA287" t="s">
        <v>170</v>
      </c>
      <c r="AB287" t="s">
        <v>8</v>
      </c>
      <c r="AC287" t="s">
        <v>6</v>
      </c>
      <c r="AD287" t="s">
        <v>7</v>
      </c>
      <c r="AE287" s="7">
        <v>435000</v>
      </c>
      <c r="AF287" s="7">
        <v>1</v>
      </c>
      <c r="AG287" s="7">
        <v>435000</v>
      </c>
      <c r="AH287" s="7">
        <v>0</v>
      </c>
      <c r="AI287" s="7">
        <v>435000</v>
      </c>
      <c r="AJ287" t="s">
        <v>6</v>
      </c>
    </row>
    <row r="288" spans="14:36" x14ac:dyDescent="0.3">
      <c r="N288" s="8">
        <v>2026</v>
      </c>
      <c r="O288" s="8">
        <v>7</v>
      </c>
      <c r="P288" s="9">
        <v>46210</v>
      </c>
      <c r="Q288" t="s">
        <v>238</v>
      </c>
      <c r="R288" t="s">
        <v>396</v>
      </c>
      <c r="S288" t="s">
        <v>397</v>
      </c>
      <c r="T288" t="s">
        <v>2605</v>
      </c>
      <c r="U288" t="s">
        <v>715</v>
      </c>
      <c r="V288" t="s">
        <v>246</v>
      </c>
      <c r="W288" t="s">
        <v>244</v>
      </c>
      <c r="X288" t="s">
        <v>2623</v>
      </c>
      <c r="Y288" t="s">
        <v>168</v>
      </c>
      <c r="Z288" t="s">
        <v>171</v>
      </c>
      <c r="AA288" t="s">
        <v>172</v>
      </c>
      <c r="AB288" t="s">
        <v>134</v>
      </c>
      <c r="AC288" t="s">
        <v>132</v>
      </c>
      <c r="AD288" t="s">
        <v>133</v>
      </c>
      <c r="AE288" s="7">
        <v>395000</v>
      </c>
      <c r="AF288" s="7">
        <v>1</v>
      </c>
      <c r="AG288" s="7">
        <v>395000</v>
      </c>
      <c r="AH288" s="7">
        <v>50000</v>
      </c>
      <c r="AI288" s="7">
        <v>345000</v>
      </c>
      <c r="AJ288" t="s">
        <v>132</v>
      </c>
    </row>
    <row r="289" spans="14:36" x14ac:dyDescent="0.3">
      <c r="N289" s="8">
        <v>2026</v>
      </c>
      <c r="O289" s="8">
        <v>7</v>
      </c>
      <c r="P289" s="9">
        <v>46210</v>
      </c>
      <c r="Q289" t="s">
        <v>238</v>
      </c>
      <c r="R289" t="s">
        <v>396</v>
      </c>
      <c r="S289" t="s">
        <v>397</v>
      </c>
      <c r="T289" t="s">
        <v>1188</v>
      </c>
      <c r="U289" t="s">
        <v>3856</v>
      </c>
      <c r="V289" t="s">
        <v>246</v>
      </c>
      <c r="W289" t="s">
        <v>244</v>
      </c>
      <c r="X289" t="s">
        <v>2624</v>
      </c>
      <c r="Y289" t="s">
        <v>191</v>
      </c>
      <c r="Z289" t="s">
        <v>335</v>
      </c>
      <c r="AA289" t="s">
        <v>337</v>
      </c>
      <c r="AB289" t="s">
        <v>348</v>
      </c>
      <c r="AC289" t="s">
        <v>349</v>
      </c>
      <c r="AD289" t="s">
        <v>350</v>
      </c>
      <c r="AE289" s="7">
        <v>76000</v>
      </c>
      <c r="AF289" s="7">
        <v>1</v>
      </c>
      <c r="AG289" s="7">
        <v>76000</v>
      </c>
      <c r="AH289" s="7">
        <v>0</v>
      </c>
      <c r="AI289" s="7">
        <v>76000</v>
      </c>
      <c r="AJ289" t="s">
        <v>349</v>
      </c>
    </row>
    <row r="290" spans="14:36" x14ac:dyDescent="0.3">
      <c r="N290" s="8">
        <v>2026</v>
      </c>
      <c r="O290" s="8">
        <v>7</v>
      </c>
      <c r="P290" s="9">
        <v>46210</v>
      </c>
      <c r="Q290" t="s">
        <v>238</v>
      </c>
      <c r="R290" t="s">
        <v>396</v>
      </c>
      <c r="S290" t="s">
        <v>397</v>
      </c>
      <c r="T290" t="s">
        <v>2625</v>
      </c>
      <c r="U290" t="s">
        <v>2626</v>
      </c>
      <c r="V290" t="s">
        <v>246</v>
      </c>
      <c r="W290" t="s">
        <v>244</v>
      </c>
      <c r="X290" t="s">
        <v>2627</v>
      </c>
      <c r="Y290" t="s">
        <v>168</v>
      </c>
      <c r="Z290" t="s">
        <v>171</v>
      </c>
      <c r="AA290" t="s">
        <v>175</v>
      </c>
      <c r="AB290" t="s">
        <v>140</v>
      </c>
      <c r="AC290" t="s">
        <v>138</v>
      </c>
      <c r="AD290" t="s">
        <v>139</v>
      </c>
      <c r="AE290" s="7">
        <v>125000</v>
      </c>
      <c r="AF290" s="7">
        <v>1</v>
      </c>
      <c r="AG290" s="7">
        <v>125000</v>
      </c>
      <c r="AH290" s="7">
        <v>12500</v>
      </c>
      <c r="AI290" s="7">
        <v>112500</v>
      </c>
      <c r="AJ290" t="s">
        <v>138</v>
      </c>
    </row>
    <row r="291" spans="14:36" x14ac:dyDescent="0.3">
      <c r="N291" s="8">
        <v>2026</v>
      </c>
      <c r="O291" s="8">
        <v>7</v>
      </c>
      <c r="P291" s="9">
        <v>46210</v>
      </c>
      <c r="Q291" t="s">
        <v>238</v>
      </c>
      <c r="R291" t="s">
        <v>396</v>
      </c>
      <c r="S291" t="s">
        <v>397</v>
      </c>
      <c r="T291" t="s">
        <v>2628</v>
      </c>
      <c r="U291" t="s">
        <v>464</v>
      </c>
      <c r="V291" t="s">
        <v>246</v>
      </c>
      <c r="W291" t="s">
        <v>244</v>
      </c>
      <c r="X291" t="s">
        <v>2629</v>
      </c>
      <c r="Y291" t="s">
        <v>191</v>
      </c>
      <c r="Z291" t="s">
        <v>335</v>
      </c>
      <c r="AA291" t="s">
        <v>336</v>
      </c>
      <c r="AB291" t="s">
        <v>1518</v>
      </c>
      <c r="AC291" t="s">
        <v>1519</v>
      </c>
      <c r="AD291" t="s">
        <v>1520</v>
      </c>
      <c r="AE291" s="7">
        <v>99000</v>
      </c>
      <c r="AF291" s="7">
        <v>1</v>
      </c>
      <c r="AG291" s="7">
        <v>99000</v>
      </c>
      <c r="AH291" s="7">
        <v>0</v>
      </c>
      <c r="AI291" s="7">
        <v>99000</v>
      </c>
      <c r="AJ291" t="s">
        <v>1519</v>
      </c>
    </row>
    <row r="292" spans="14:36" x14ac:dyDescent="0.3">
      <c r="N292" s="8">
        <v>2026</v>
      </c>
      <c r="O292" s="8">
        <v>7</v>
      </c>
      <c r="P292" s="9">
        <v>46210</v>
      </c>
      <c r="Q292" t="s">
        <v>238</v>
      </c>
      <c r="R292" t="s">
        <v>396</v>
      </c>
      <c r="S292" t="s">
        <v>397</v>
      </c>
      <c r="T292" t="s">
        <v>1579</v>
      </c>
      <c r="U292" t="s">
        <v>3857</v>
      </c>
      <c r="V292" t="s">
        <v>246</v>
      </c>
      <c r="W292" t="s">
        <v>244</v>
      </c>
      <c r="X292" t="s">
        <v>2630</v>
      </c>
      <c r="Y292" t="s">
        <v>191</v>
      </c>
      <c r="Z292" t="s">
        <v>192</v>
      </c>
      <c r="AA292" t="s">
        <v>193</v>
      </c>
      <c r="AB292" t="s">
        <v>110</v>
      </c>
      <c r="AC292" t="s">
        <v>108</v>
      </c>
      <c r="AD292" t="s">
        <v>109</v>
      </c>
      <c r="AE292" s="7">
        <v>235000</v>
      </c>
      <c r="AF292" s="7">
        <v>1</v>
      </c>
      <c r="AG292" s="7">
        <v>235000</v>
      </c>
      <c r="AH292" s="7">
        <v>0</v>
      </c>
      <c r="AI292" s="7">
        <v>235000</v>
      </c>
      <c r="AJ292" t="s">
        <v>108</v>
      </c>
    </row>
    <row r="293" spans="14:36" x14ac:dyDescent="0.3">
      <c r="N293" s="8">
        <v>2026</v>
      </c>
      <c r="O293" s="8">
        <v>7</v>
      </c>
      <c r="P293" s="9">
        <v>46210</v>
      </c>
      <c r="Q293" t="s">
        <v>238</v>
      </c>
      <c r="R293" t="s">
        <v>396</v>
      </c>
      <c r="S293" t="s">
        <v>397</v>
      </c>
      <c r="T293" t="s">
        <v>414</v>
      </c>
      <c r="U293" t="s">
        <v>308</v>
      </c>
      <c r="V293" t="s">
        <v>246</v>
      </c>
      <c r="W293" t="s">
        <v>244</v>
      </c>
      <c r="X293" t="s">
        <v>2631</v>
      </c>
      <c r="Y293" t="s">
        <v>191</v>
      </c>
      <c r="Z293" t="s">
        <v>335</v>
      </c>
      <c r="AA293" t="s">
        <v>337</v>
      </c>
      <c r="AB293" t="s">
        <v>2578</v>
      </c>
      <c r="AC293" t="s">
        <v>2579</v>
      </c>
      <c r="AD293" t="s">
        <v>2580</v>
      </c>
      <c r="AE293" s="7">
        <v>18000</v>
      </c>
      <c r="AF293" s="7">
        <v>2</v>
      </c>
      <c r="AG293" s="7">
        <v>36000</v>
      </c>
      <c r="AH293" s="7">
        <v>0</v>
      </c>
      <c r="AI293" s="7">
        <v>36000</v>
      </c>
      <c r="AJ293" t="s">
        <v>2579</v>
      </c>
    </row>
    <row r="294" spans="14:36" x14ac:dyDescent="0.3">
      <c r="N294" s="8">
        <v>2026</v>
      </c>
      <c r="O294" s="8">
        <v>7</v>
      </c>
      <c r="P294" s="9">
        <v>46210</v>
      </c>
      <c r="Q294" t="s">
        <v>238</v>
      </c>
      <c r="R294" t="s">
        <v>415</v>
      </c>
      <c r="S294" t="s">
        <v>416</v>
      </c>
      <c r="T294" t="s">
        <v>2097</v>
      </c>
      <c r="U294" t="s">
        <v>1009</v>
      </c>
      <c r="V294" t="s">
        <v>246</v>
      </c>
      <c r="W294" t="s">
        <v>244</v>
      </c>
      <c r="X294" t="s">
        <v>2632</v>
      </c>
      <c r="Y294" t="s">
        <v>168</v>
      </c>
      <c r="Z294" t="s">
        <v>171</v>
      </c>
      <c r="AA294" t="s">
        <v>175</v>
      </c>
      <c r="AB294" t="s">
        <v>137</v>
      </c>
      <c r="AC294" t="s">
        <v>135</v>
      </c>
      <c r="AD294" t="s">
        <v>136</v>
      </c>
      <c r="AE294" s="7">
        <v>100000</v>
      </c>
      <c r="AF294" s="7">
        <v>1</v>
      </c>
      <c r="AG294" s="7">
        <v>100000</v>
      </c>
      <c r="AH294" s="7">
        <v>10000</v>
      </c>
      <c r="AI294" s="7">
        <v>90000</v>
      </c>
      <c r="AJ294" t="s">
        <v>135</v>
      </c>
    </row>
    <row r="295" spans="14:36" x14ac:dyDescent="0.3">
      <c r="N295" s="8">
        <v>2026</v>
      </c>
      <c r="O295" s="8">
        <v>7</v>
      </c>
      <c r="P295" s="9">
        <v>46210</v>
      </c>
      <c r="Q295" t="s">
        <v>238</v>
      </c>
      <c r="R295" t="s">
        <v>415</v>
      </c>
      <c r="S295" t="s">
        <v>416</v>
      </c>
      <c r="T295" t="s">
        <v>1105</v>
      </c>
      <c r="U295" t="s">
        <v>3666</v>
      </c>
      <c r="V295" t="s">
        <v>246</v>
      </c>
      <c r="W295" t="s">
        <v>244</v>
      </c>
      <c r="X295" t="s">
        <v>2633</v>
      </c>
      <c r="Y295" t="s">
        <v>191</v>
      </c>
      <c r="Z295" t="s">
        <v>335</v>
      </c>
      <c r="AA295" t="s">
        <v>337</v>
      </c>
      <c r="AB295" t="s">
        <v>348</v>
      </c>
      <c r="AC295" t="s">
        <v>349</v>
      </c>
      <c r="AD295" t="s">
        <v>350</v>
      </c>
      <c r="AE295" s="7">
        <v>76000</v>
      </c>
      <c r="AF295" s="7">
        <v>2</v>
      </c>
      <c r="AG295" s="7">
        <v>152000</v>
      </c>
      <c r="AH295" s="7">
        <v>0</v>
      </c>
      <c r="AI295" s="7">
        <v>152000</v>
      </c>
      <c r="AJ295" t="s">
        <v>349</v>
      </c>
    </row>
    <row r="296" spans="14:36" x14ac:dyDescent="0.3">
      <c r="N296" s="8">
        <v>2026</v>
      </c>
      <c r="O296" s="8">
        <v>7</v>
      </c>
      <c r="P296" s="9">
        <v>46209</v>
      </c>
      <c r="Q296" t="s">
        <v>238</v>
      </c>
      <c r="R296" t="s">
        <v>279</v>
      </c>
      <c r="S296" t="s">
        <v>280</v>
      </c>
      <c r="T296" t="s">
        <v>2635</v>
      </c>
      <c r="U296" t="s">
        <v>3858</v>
      </c>
      <c r="V296" t="s">
        <v>246</v>
      </c>
      <c r="W296" t="s">
        <v>244</v>
      </c>
      <c r="X296" t="s">
        <v>2636</v>
      </c>
      <c r="Y296" t="s">
        <v>191</v>
      </c>
      <c r="Z296" t="s">
        <v>335</v>
      </c>
      <c r="AA296" t="s">
        <v>337</v>
      </c>
      <c r="AB296" t="s">
        <v>656</v>
      </c>
      <c r="AC296" t="s">
        <v>657</v>
      </c>
      <c r="AD296" t="s">
        <v>658</v>
      </c>
      <c r="AE296" s="7">
        <v>35000</v>
      </c>
      <c r="AF296" s="7">
        <v>1</v>
      </c>
      <c r="AG296" s="7">
        <v>35000</v>
      </c>
      <c r="AH296" s="7">
        <v>0</v>
      </c>
      <c r="AI296" s="7">
        <v>35000</v>
      </c>
      <c r="AJ296" t="s">
        <v>657</v>
      </c>
    </row>
    <row r="297" spans="14:36" x14ac:dyDescent="0.3">
      <c r="N297" s="8">
        <v>2026</v>
      </c>
      <c r="O297" s="8">
        <v>7</v>
      </c>
      <c r="P297" s="9">
        <v>46209</v>
      </c>
      <c r="Q297" t="s">
        <v>238</v>
      </c>
      <c r="R297" t="s">
        <v>279</v>
      </c>
      <c r="S297" t="s">
        <v>280</v>
      </c>
      <c r="T297" t="s">
        <v>2637</v>
      </c>
      <c r="U297" t="s">
        <v>3859</v>
      </c>
      <c r="V297" t="s">
        <v>246</v>
      </c>
      <c r="W297" t="s">
        <v>244</v>
      </c>
      <c r="X297" t="s">
        <v>2638</v>
      </c>
      <c r="Y297" t="s">
        <v>168</v>
      </c>
      <c r="Z297" t="s">
        <v>171</v>
      </c>
      <c r="AA297" t="s">
        <v>172</v>
      </c>
      <c r="AB297" t="s">
        <v>11</v>
      </c>
      <c r="AC297" t="s">
        <v>9</v>
      </c>
      <c r="AD297" t="s">
        <v>10</v>
      </c>
      <c r="AE297" s="7">
        <v>129000</v>
      </c>
      <c r="AF297" s="7">
        <v>1</v>
      </c>
      <c r="AG297" s="7">
        <v>129000</v>
      </c>
      <c r="AH297" s="7">
        <v>0</v>
      </c>
      <c r="AI297" s="7">
        <v>129000</v>
      </c>
      <c r="AJ297" t="s">
        <v>9</v>
      </c>
    </row>
    <row r="298" spans="14:36" x14ac:dyDescent="0.3">
      <c r="N298" s="8">
        <v>2026</v>
      </c>
      <c r="O298" s="8">
        <v>7</v>
      </c>
      <c r="P298" s="9">
        <v>46209</v>
      </c>
      <c r="Q298" t="s">
        <v>238</v>
      </c>
      <c r="R298" t="s">
        <v>303</v>
      </c>
      <c r="S298" t="s">
        <v>304</v>
      </c>
      <c r="T298" t="s">
        <v>2369</v>
      </c>
      <c r="U298" t="s">
        <v>2115</v>
      </c>
      <c r="V298" t="s">
        <v>246</v>
      </c>
      <c r="W298" t="s">
        <v>244</v>
      </c>
      <c r="X298" t="s">
        <v>2639</v>
      </c>
      <c r="Y298" t="s">
        <v>191</v>
      </c>
      <c r="Z298" t="s">
        <v>335</v>
      </c>
      <c r="AA298" t="s">
        <v>336</v>
      </c>
      <c r="AB298" t="s">
        <v>2612</v>
      </c>
      <c r="AC298" t="s">
        <v>2613</v>
      </c>
      <c r="AD298" t="s">
        <v>2614</v>
      </c>
      <c r="AE298" s="7">
        <v>18000</v>
      </c>
      <c r="AF298" s="7">
        <v>1</v>
      </c>
      <c r="AG298" s="7">
        <v>18000</v>
      </c>
      <c r="AH298" s="7">
        <v>0</v>
      </c>
      <c r="AI298" s="7">
        <v>18000</v>
      </c>
      <c r="AJ298" t="s">
        <v>2613</v>
      </c>
    </row>
    <row r="299" spans="14:36" x14ac:dyDescent="0.3">
      <c r="N299" s="8">
        <v>2026</v>
      </c>
      <c r="O299" s="8">
        <v>7</v>
      </c>
      <c r="P299" s="9">
        <v>46209</v>
      </c>
      <c r="Q299" t="s">
        <v>238</v>
      </c>
      <c r="R299" t="s">
        <v>303</v>
      </c>
      <c r="S299" t="s">
        <v>304</v>
      </c>
      <c r="T299" t="s">
        <v>2369</v>
      </c>
      <c r="U299" t="s">
        <v>2115</v>
      </c>
      <c r="V299" t="s">
        <v>246</v>
      </c>
      <c r="W299" t="s">
        <v>244</v>
      </c>
      <c r="X299" t="s">
        <v>2639</v>
      </c>
      <c r="Y299" t="s">
        <v>191</v>
      </c>
      <c r="Z299" t="s">
        <v>335</v>
      </c>
      <c r="AA299" t="s">
        <v>336</v>
      </c>
      <c r="AB299" t="s">
        <v>2572</v>
      </c>
      <c r="AC299" t="s">
        <v>2573</v>
      </c>
      <c r="AD299" t="s">
        <v>2574</v>
      </c>
      <c r="AE299" s="7">
        <v>16000</v>
      </c>
      <c r="AF299" s="7">
        <v>2</v>
      </c>
      <c r="AG299" s="7">
        <v>32000</v>
      </c>
      <c r="AH299" s="7">
        <v>0</v>
      </c>
      <c r="AI299" s="7">
        <v>32000</v>
      </c>
      <c r="AJ299" t="s">
        <v>2573</v>
      </c>
    </row>
    <row r="300" spans="14:36" x14ac:dyDescent="0.3">
      <c r="N300" s="8">
        <v>2026</v>
      </c>
      <c r="O300" s="8">
        <v>7</v>
      </c>
      <c r="P300" s="9">
        <v>46209</v>
      </c>
      <c r="Q300" t="s">
        <v>238</v>
      </c>
      <c r="R300" t="s">
        <v>303</v>
      </c>
      <c r="S300" t="s">
        <v>304</v>
      </c>
      <c r="T300" t="s">
        <v>2369</v>
      </c>
      <c r="U300" t="s">
        <v>2115</v>
      </c>
      <c r="V300" t="s">
        <v>246</v>
      </c>
      <c r="W300" t="s">
        <v>244</v>
      </c>
      <c r="X300" t="s">
        <v>2639</v>
      </c>
      <c r="Y300" t="s">
        <v>191</v>
      </c>
      <c r="Z300" t="s">
        <v>335</v>
      </c>
      <c r="AA300" t="s">
        <v>336</v>
      </c>
      <c r="AB300" t="s">
        <v>2575</v>
      </c>
      <c r="AC300" t="s">
        <v>2576</v>
      </c>
      <c r="AD300" t="s">
        <v>2577</v>
      </c>
      <c r="AE300" s="7">
        <v>16000</v>
      </c>
      <c r="AF300" s="7">
        <v>1</v>
      </c>
      <c r="AG300" s="7">
        <v>16000</v>
      </c>
      <c r="AH300" s="7">
        <v>0</v>
      </c>
      <c r="AI300" s="7">
        <v>16000</v>
      </c>
      <c r="AJ300" t="s">
        <v>2576</v>
      </c>
    </row>
    <row r="301" spans="14:36" x14ac:dyDescent="0.3">
      <c r="N301" s="8">
        <v>2026</v>
      </c>
      <c r="O301" s="8">
        <v>7</v>
      </c>
      <c r="P301" s="9">
        <v>46209</v>
      </c>
      <c r="Q301" t="s">
        <v>238</v>
      </c>
      <c r="R301" t="s">
        <v>303</v>
      </c>
      <c r="S301" t="s">
        <v>304</v>
      </c>
      <c r="T301" t="s">
        <v>560</v>
      </c>
      <c r="U301" t="s">
        <v>3857</v>
      </c>
      <c r="V301" t="s">
        <v>246</v>
      </c>
      <c r="W301" t="s">
        <v>244</v>
      </c>
      <c r="X301" t="s">
        <v>2640</v>
      </c>
      <c r="Y301" t="s">
        <v>191</v>
      </c>
      <c r="Z301" t="s">
        <v>335</v>
      </c>
      <c r="AA301" t="s">
        <v>337</v>
      </c>
      <c r="AB301" t="s">
        <v>348</v>
      </c>
      <c r="AC301" t="s">
        <v>349</v>
      </c>
      <c r="AD301" t="s">
        <v>350</v>
      </c>
      <c r="AE301" s="7">
        <v>76000</v>
      </c>
      <c r="AF301" s="7">
        <v>4</v>
      </c>
      <c r="AG301" s="7">
        <v>304000</v>
      </c>
      <c r="AH301" s="7">
        <v>0</v>
      </c>
      <c r="AI301" s="7">
        <v>304000</v>
      </c>
      <c r="AJ301" t="s">
        <v>349</v>
      </c>
    </row>
    <row r="302" spans="14:36" x14ac:dyDescent="0.3">
      <c r="N302" s="8">
        <v>2026</v>
      </c>
      <c r="O302" s="8">
        <v>7</v>
      </c>
      <c r="P302" s="9">
        <v>46209</v>
      </c>
      <c r="Q302" t="s">
        <v>238</v>
      </c>
      <c r="R302" t="s">
        <v>303</v>
      </c>
      <c r="S302" t="s">
        <v>304</v>
      </c>
      <c r="T302" t="s">
        <v>2641</v>
      </c>
      <c r="U302" t="s">
        <v>2642</v>
      </c>
      <c r="V302" t="s">
        <v>246</v>
      </c>
      <c r="W302" t="s">
        <v>244</v>
      </c>
      <c r="X302" t="s">
        <v>2643</v>
      </c>
      <c r="Y302" t="s">
        <v>168</v>
      </c>
      <c r="Z302" t="s">
        <v>171</v>
      </c>
      <c r="AA302" t="s">
        <v>173</v>
      </c>
      <c r="AB302" t="s">
        <v>29</v>
      </c>
      <c r="AC302" t="s">
        <v>27</v>
      </c>
      <c r="AD302" t="s">
        <v>28</v>
      </c>
      <c r="AE302" s="7">
        <v>575000</v>
      </c>
      <c r="AF302" s="7">
        <v>1</v>
      </c>
      <c r="AG302" s="7">
        <v>575000</v>
      </c>
      <c r="AH302" s="7">
        <v>0</v>
      </c>
      <c r="AI302" s="7">
        <v>575000</v>
      </c>
      <c r="AJ302" t="s">
        <v>27</v>
      </c>
    </row>
    <row r="303" spans="14:36" x14ac:dyDescent="0.3">
      <c r="N303" s="8">
        <v>2026</v>
      </c>
      <c r="O303" s="8">
        <v>7</v>
      </c>
      <c r="P303" s="9">
        <v>46209</v>
      </c>
      <c r="Q303" t="s">
        <v>238</v>
      </c>
      <c r="R303" t="s">
        <v>303</v>
      </c>
      <c r="S303" t="s">
        <v>304</v>
      </c>
      <c r="T303" t="s">
        <v>2644</v>
      </c>
      <c r="U303" t="s">
        <v>3860</v>
      </c>
      <c r="V303" t="s">
        <v>246</v>
      </c>
      <c r="W303" t="s">
        <v>244</v>
      </c>
      <c r="X303" t="s">
        <v>2645</v>
      </c>
      <c r="Y303" t="s">
        <v>168</v>
      </c>
      <c r="Z303" t="s">
        <v>171</v>
      </c>
      <c r="AA303" t="s">
        <v>175</v>
      </c>
      <c r="AB303" t="s">
        <v>137</v>
      </c>
      <c r="AC303" t="s">
        <v>135</v>
      </c>
      <c r="AD303" t="s">
        <v>136</v>
      </c>
      <c r="AE303" s="7">
        <v>100000</v>
      </c>
      <c r="AF303" s="7">
        <v>1</v>
      </c>
      <c r="AG303" s="7">
        <v>100000</v>
      </c>
      <c r="AH303" s="7">
        <v>10000</v>
      </c>
      <c r="AI303" s="7">
        <v>90000</v>
      </c>
      <c r="AJ303" t="s">
        <v>135</v>
      </c>
    </row>
    <row r="304" spans="14:36" x14ac:dyDescent="0.3">
      <c r="N304" s="8">
        <v>2026</v>
      </c>
      <c r="O304" s="8">
        <v>7</v>
      </c>
      <c r="P304" s="9">
        <v>46209</v>
      </c>
      <c r="Q304" t="s">
        <v>238</v>
      </c>
      <c r="R304" t="s">
        <v>351</v>
      </c>
      <c r="S304" t="s">
        <v>352</v>
      </c>
      <c r="T304" t="s">
        <v>356</v>
      </c>
      <c r="U304" t="s">
        <v>357</v>
      </c>
      <c r="V304" t="s">
        <v>243</v>
      </c>
      <c r="W304" t="s">
        <v>244</v>
      </c>
      <c r="X304" t="s">
        <v>2646</v>
      </c>
      <c r="Y304" t="s">
        <v>194</v>
      </c>
      <c r="Z304" t="s">
        <v>200</v>
      </c>
      <c r="AA304" t="s">
        <v>201</v>
      </c>
      <c r="AB304" t="s">
        <v>89</v>
      </c>
      <c r="AC304" t="s">
        <v>87</v>
      </c>
      <c r="AD304" t="s">
        <v>88</v>
      </c>
      <c r="AE304" s="7">
        <v>46000</v>
      </c>
      <c r="AF304" s="7">
        <v>1</v>
      </c>
      <c r="AG304" s="7">
        <v>46000</v>
      </c>
      <c r="AH304" s="7">
        <v>0</v>
      </c>
      <c r="AI304" s="7">
        <v>46000</v>
      </c>
      <c r="AJ304" t="s">
        <v>87</v>
      </c>
    </row>
    <row r="305" spans="14:36" x14ac:dyDescent="0.3">
      <c r="N305" s="8">
        <v>2026</v>
      </c>
      <c r="O305" s="8">
        <v>7</v>
      </c>
      <c r="P305" s="9">
        <v>46209</v>
      </c>
      <c r="Q305" t="s">
        <v>238</v>
      </c>
      <c r="R305" t="s">
        <v>374</v>
      </c>
      <c r="S305" t="s">
        <v>375</v>
      </c>
      <c r="T305" t="s">
        <v>376</v>
      </c>
      <c r="U305" t="s">
        <v>377</v>
      </c>
      <c r="V305" t="s">
        <v>243</v>
      </c>
      <c r="W305" t="s">
        <v>244</v>
      </c>
      <c r="X305" t="s">
        <v>2647</v>
      </c>
      <c r="Y305" t="s">
        <v>191</v>
      </c>
      <c r="Z305" t="s">
        <v>192</v>
      </c>
      <c r="AA305" t="s">
        <v>193</v>
      </c>
      <c r="AB305" t="s">
        <v>113</v>
      </c>
      <c r="AC305" t="s">
        <v>111</v>
      </c>
      <c r="AD305" t="s">
        <v>112</v>
      </c>
      <c r="AE305" s="7">
        <v>235000</v>
      </c>
      <c r="AF305" s="7">
        <v>1</v>
      </c>
      <c r="AG305" s="7">
        <v>235000</v>
      </c>
      <c r="AH305" s="7">
        <v>0</v>
      </c>
      <c r="AI305" s="7">
        <v>235000</v>
      </c>
      <c r="AJ305" t="s">
        <v>111</v>
      </c>
    </row>
    <row r="306" spans="14:36" x14ac:dyDescent="0.3">
      <c r="N306" s="8">
        <v>2026</v>
      </c>
      <c r="O306" s="8">
        <v>7</v>
      </c>
      <c r="P306" s="9">
        <v>46209</v>
      </c>
      <c r="Q306" t="s">
        <v>238</v>
      </c>
      <c r="R306" t="s">
        <v>374</v>
      </c>
      <c r="S306" t="s">
        <v>375</v>
      </c>
      <c r="T306" t="s">
        <v>376</v>
      </c>
      <c r="U306" t="s">
        <v>377</v>
      </c>
      <c r="V306" t="s">
        <v>243</v>
      </c>
      <c r="W306" t="s">
        <v>244</v>
      </c>
      <c r="X306" t="s">
        <v>2647</v>
      </c>
      <c r="Y306" t="s">
        <v>191</v>
      </c>
      <c r="Z306" t="s">
        <v>192</v>
      </c>
      <c r="AA306" t="s">
        <v>193</v>
      </c>
      <c r="AB306" t="s">
        <v>116</v>
      </c>
      <c r="AC306" t="s">
        <v>114</v>
      </c>
      <c r="AD306" t="s">
        <v>115</v>
      </c>
      <c r="AE306" s="7">
        <v>235000</v>
      </c>
      <c r="AF306" s="7">
        <v>1</v>
      </c>
      <c r="AG306" s="7">
        <v>235000</v>
      </c>
      <c r="AH306" s="7">
        <v>0</v>
      </c>
      <c r="AI306" s="7">
        <v>235000</v>
      </c>
      <c r="AJ306" t="s">
        <v>114</v>
      </c>
    </row>
    <row r="307" spans="14:36" x14ac:dyDescent="0.3">
      <c r="N307" s="8">
        <v>2026</v>
      </c>
      <c r="O307" s="8">
        <v>7</v>
      </c>
      <c r="P307" s="9">
        <v>46209</v>
      </c>
      <c r="Q307" t="s">
        <v>238</v>
      </c>
      <c r="R307" t="s">
        <v>396</v>
      </c>
      <c r="S307" t="s">
        <v>397</v>
      </c>
      <c r="T307" t="s">
        <v>674</v>
      </c>
      <c r="U307" t="s">
        <v>355</v>
      </c>
      <c r="V307" t="s">
        <v>246</v>
      </c>
      <c r="W307" t="s">
        <v>244</v>
      </c>
      <c r="X307" t="s">
        <v>2648</v>
      </c>
      <c r="Y307" t="s">
        <v>168</v>
      </c>
      <c r="Z307" t="s">
        <v>171</v>
      </c>
      <c r="AA307" t="s">
        <v>173</v>
      </c>
      <c r="AB307" t="s">
        <v>26</v>
      </c>
      <c r="AC307" t="s">
        <v>24</v>
      </c>
      <c r="AD307" t="s">
        <v>25</v>
      </c>
      <c r="AE307" s="7">
        <v>555000</v>
      </c>
      <c r="AF307" s="7">
        <v>1</v>
      </c>
      <c r="AG307" s="7">
        <v>555000</v>
      </c>
      <c r="AH307" s="7">
        <v>0</v>
      </c>
      <c r="AI307" s="7">
        <v>555000</v>
      </c>
      <c r="AJ307" t="s">
        <v>24</v>
      </c>
    </row>
    <row r="308" spans="14:36" x14ac:dyDescent="0.3">
      <c r="N308" s="8">
        <v>2026</v>
      </c>
      <c r="O308" s="8">
        <v>7</v>
      </c>
      <c r="P308" s="9">
        <v>46209</v>
      </c>
      <c r="Q308" t="s">
        <v>238</v>
      </c>
      <c r="R308" t="s">
        <v>396</v>
      </c>
      <c r="S308" t="s">
        <v>397</v>
      </c>
      <c r="T308" t="s">
        <v>817</v>
      </c>
      <c r="U308" t="s">
        <v>3615</v>
      </c>
      <c r="V308" t="s">
        <v>246</v>
      </c>
      <c r="W308" t="s">
        <v>244</v>
      </c>
      <c r="X308" t="s">
        <v>2649</v>
      </c>
      <c r="Y308" t="s">
        <v>168</v>
      </c>
      <c r="Z308" t="s">
        <v>171</v>
      </c>
      <c r="AA308" t="s">
        <v>175</v>
      </c>
      <c r="AB308" t="s">
        <v>35</v>
      </c>
      <c r="AC308" t="s">
        <v>33</v>
      </c>
      <c r="AD308" t="s">
        <v>34</v>
      </c>
      <c r="AE308" s="7">
        <v>255000</v>
      </c>
      <c r="AF308" s="7">
        <v>1</v>
      </c>
      <c r="AG308" s="7">
        <v>255000</v>
      </c>
      <c r="AH308" s="7">
        <v>0</v>
      </c>
      <c r="AI308" s="7">
        <v>255000</v>
      </c>
      <c r="AJ308" t="s">
        <v>33</v>
      </c>
    </row>
    <row r="309" spans="14:36" x14ac:dyDescent="0.3">
      <c r="N309" s="8">
        <v>2026</v>
      </c>
      <c r="O309" s="8">
        <v>7</v>
      </c>
      <c r="P309" s="9">
        <v>46209</v>
      </c>
      <c r="Q309" t="s">
        <v>238</v>
      </c>
      <c r="R309" t="s">
        <v>396</v>
      </c>
      <c r="S309" t="s">
        <v>397</v>
      </c>
      <c r="T309" t="s">
        <v>2650</v>
      </c>
      <c r="U309" t="s">
        <v>3861</v>
      </c>
      <c r="V309" t="s">
        <v>246</v>
      </c>
      <c r="W309" t="s">
        <v>244</v>
      </c>
      <c r="X309" t="s">
        <v>2651</v>
      </c>
      <c r="Y309" t="s">
        <v>168</v>
      </c>
      <c r="Z309" t="s">
        <v>171</v>
      </c>
      <c r="AA309" t="s">
        <v>175</v>
      </c>
      <c r="AB309" t="s">
        <v>38</v>
      </c>
      <c r="AC309" t="s">
        <v>36</v>
      </c>
      <c r="AD309" t="s">
        <v>37</v>
      </c>
      <c r="AE309" s="7">
        <v>290000</v>
      </c>
      <c r="AF309" s="7">
        <v>1</v>
      </c>
      <c r="AG309" s="7">
        <v>290000</v>
      </c>
      <c r="AH309" s="7">
        <v>0</v>
      </c>
      <c r="AI309" s="7">
        <v>290000</v>
      </c>
      <c r="AJ309" t="s">
        <v>36</v>
      </c>
    </row>
    <row r="310" spans="14:36" x14ac:dyDescent="0.3">
      <c r="N310" s="8">
        <v>2026</v>
      </c>
      <c r="O310" s="8">
        <v>7</v>
      </c>
      <c r="P310" s="9">
        <v>46209</v>
      </c>
      <c r="Q310" t="s">
        <v>238</v>
      </c>
      <c r="R310" t="s">
        <v>396</v>
      </c>
      <c r="S310" t="s">
        <v>397</v>
      </c>
      <c r="T310" t="s">
        <v>1581</v>
      </c>
      <c r="U310" t="s">
        <v>1095</v>
      </c>
      <c r="V310" t="s">
        <v>246</v>
      </c>
      <c r="W310" t="s">
        <v>244</v>
      </c>
      <c r="X310" t="s">
        <v>2652</v>
      </c>
      <c r="Y310" t="s">
        <v>183</v>
      </c>
      <c r="Z310" t="s">
        <v>184</v>
      </c>
      <c r="AA310" t="s">
        <v>185</v>
      </c>
      <c r="AB310" t="s">
        <v>47</v>
      </c>
      <c r="AC310" t="s">
        <v>45</v>
      </c>
      <c r="AD310" t="s">
        <v>46</v>
      </c>
      <c r="AE310" s="7">
        <v>52000</v>
      </c>
      <c r="AF310" s="7">
        <v>1</v>
      </c>
      <c r="AG310" s="7">
        <v>52000</v>
      </c>
      <c r="AH310" s="7">
        <v>0</v>
      </c>
      <c r="AI310" s="7">
        <v>52000</v>
      </c>
      <c r="AJ310" t="s">
        <v>45</v>
      </c>
    </row>
    <row r="311" spans="14:36" x14ac:dyDescent="0.3">
      <c r="N311" s="8">
        <v>2026</v>
      </c>
      <c r="O311" s="8">
        <v>7</v>
      </c>
      <c r="P311" s="9">
        <v>46209</v>
      </c>
      <c r="Q311" t="s">
        <v>238</v>
      </c>
      <c r="R311" t="s">
        <v>415</v>
      </c>
      <c r="S311" t="s">
        <v>416</v>
      </c>
      <c r="T311" t="s">
        <v>417</v>
      </c>
      <c r="U311" t="s">
        <v>418</v>
      </c>
      <c r="V311" t="s">
        <v>243</v>
      </c>
      <c r="W311" t="s">
        <v>244</v>
      </c>
      <c r="X311" t="s">
        <v>2653</v>
      </c>
      <c r="Y311" t="s">
        <v>168</v>
      </c>
      <c r="Z311" t="s">
        <v>171</v>
      </c>
      <c r="AA311" t="s">
        <v>172</v>
      </c>
      <c r="AB311" t="s">
        <v>14</v>
      </c>
      <c r="AC311" t="s">
        <v>12</v>
      </c>
      <c r="AD311" t="s">
        <v>13</v>
      </c>
      <c r="AE311" s="7">
        <v>135000</v>
      </c>
      <c r="AF311" s="7">
        <v>1</v>
      </c>
      <c r="AG311" s="7">
        <v>135000</v>
      </c>
      <c r="AH311" s="7">
        <v>0</v>
      </c>
      <c r="AI311" s="7">
        <v>135000</v>
      </c>
      <c r="AJ311" t="s">
        <v>12</v>
      </c>
    </row>
    <row r="312" spans="14:36" x14ac:dyDescent="0.3">
      <c r="N312" s="8">
        <v>2026</v>
      </c>
      <c r="O312" s="8">
        <v>7</v>
      </c>
      <c r="P312" s="9">
        <v>46209</v>
      </c>
      <c r="Q312" t="s">
        <v>238</v>
      </c>
      <c r="R312" t="s">
        <v>415</v>
      </c>
      <c r="S312" t="s">
        <v>416</v>
      </c>
      <c r="T312" t="s">
        <v>649</v>
      </c>
      <c r="U312" t="s">
        <v>331</v>
      </c>
      <c r="V312" t="s">
        <v>246</v>
      </c>
      <c r="W312" t="s">
        <v>244</v>
      </c>
      <c r="X312" t="s">
        <v>2654</v>
      </c>
      <c r="Y312" t="s">
        <v>191</v>
      </c>
      <c r="Z312" t="s">
        <v>335</v>
      </c>
      <c r="AA312" t="s">
        <v>336</v>
      </c>
      <c r="AB312" t="s">
        <v>1284</v>
      </c>
      <c r="AC312" t="s">
        <v>1285</v>
      </c>
      <c r="AD312" t="s">
        <v>1286</v>
      </c>
      <c r="AE312" s="7">
        <v>99000</v>
      </c>
      <c r="AF312" s="7">
        <v>1</v>
      </c>
      <c r="AG312" s="7">
        <v>99000</v>
      </c>
      <c r="AH312" s="7">
        <v>0</v>
      </c>
      <c r="AI312" s="7">
        <v>99000</v>
      </c>
      <c r="AJ312" t="s">
        <v>1285</v>
      </c>
    </row>
    <row r="313" spans="14:36" x14ac:dyDescent="0.3">
      <c r="N313" s="8">
        <v>2026</v>
      </c>
      <c r="O313" s="8">
        <v>7</v>
      </c>
      <c r="P313" s="9">
        <v>46209</v>
      </c>
      <c r="Q313" t="s">
        <v>238</v>
      </c>
      <c r="R313" t="s">
        <v>425</v>
      </c>
      <c r="S313" t="s">
        <v>426</v>
      </c>
      <c r="T313" t="s">
        <v>779</v>
      </c>
      <c r="U313" t="s">
        <v>3862</v>
      </c>
      <c r="V313" t="s">
        <v>246</v>
      </c>
      <c r="W313" t="s">
        <v>244</v>
      </c>
      <c r="X313" t="s">
        <v>2655</v>
      </c>
      <c r="Y313" t="s">
        <v>168</v>
      </c>
      <c r="Z313" t="s">
        <v>179</v>
      </c>
      <c r="AA313" t="s">
        <v>180</v>
      </c>
      <c r="AB313" t="s">
        <v>146</v>
      </c>
      <c r="AC313" t="s">
        <v>144</v>
      </c>
      <c r="AD313" t="s">
        <v>145</v>
      </c>
      <c r="AE313" s="7">
        <v>150000</v>
      </c>
      <c r="AF313" s="7">
        <v>1</v>
      </c>
      <c r="AG313" s="7">
        <v>150000</v>
      </c>
      <c r="AH313" s="7">
        <v>15000</v>
      </c>
      <c r="AI313" s="7">
        <v>135000</v>
      </c>
      <c r="AJ313" t="s">
        <v>144</v>
      </c>
    </row>
    <row r="314" spans="14:36" x14ac:dyDescent="0.3">
      <c r="N314" s="8">
        <v>2026</v>
      </c>
      <c r="O314" s="8">
        <v>7</v>
      </c>
      <c r="P314" s="9">
        <v>46209</v>
      </c>
      <c r="Q314" t="s">
        <v>238</v>
      </c>
      <c r="R314" t="s">
        <v>425</v>
      </c>
      <c r="S314" t="s">
        <v>426</v>
      </c>
      <c r="T314" t="s">
        <v>2656</v>
      </c>
      <c r="U314" t="s">
        <v>3863</v>
      </c>
      <c r="V314" t="s">
        <v>246</v>
      </c>
      <c r="W314" t="s">
        <v>244</v>
      </c>
      <c r="X314" t="s">
        <v>2657</v>
      </c>
      <c r="Y314" t="s">
        <v>194</v>
      </c>
      <c r="Z314" t="s">
        <v>195</v>
      </c>
      <c r="AA314" t="s">
        <v>196</v>
      </c>
      <c r="AB314" t="s">
        <v>65</v>
      </c>
      <c r="AC314" t="s">
        <v>63</v>
      </c>
      <c r="AD314" t="s">
        <v>64</v>
      </c>
      <c r="AE314" s="7">
        <v>390000</v>
      </c>
      <c r="AF314" s="7">
        <v>1</v>
      </c>
      <c r="AG314" s="7">
        <v>390000</v>
      </c>
      <c r="AH314" s="7">
        <v>0</v>
      </c>
      <c r="AI314" s="7">
        <v>390000</v>
      </c>
      <c r="AJ314" t="s">
        <v>63</v>
      </c>
    </row>
    <row r="315" spans="14:36" x14ac:dyDescent="0.3">
      <c r="N315" s="8">
        <v>2026</v>
      </c>
      <c r="O315" s="8">
        <v>7</v>
      </c>
      <c r="P315" s="9">
        <v>46208</v>
      </c>
      <c r="Q315" t="s">
        <v>238</v>
      </c>
      <c r="R315" t="s">
        <v>239</v>
      </c>
      <c r="S315" t="s">
        <v>240</v>
      </c>
      <c r="T315" t="s">
        <v>241</v>
      </c>
      <c r="U315" t="s">
        <v>3655</v>
      </c>
      <c r="V315" t="s">
        <v>243</v>
      </c>
      <c r="W315" t="s">
        <v>244</v>
      </c>
      <c r="X315" t="s">
        <v>2658</v>
      </c>
      <c r="Y315" t="s">
        <v>191</v>
      </c>
      <c r="Z315" t="s">
        <v>335</v>
      </c>
      <c r="AA315" t="s">
        <v>336</v>
      </c>
      <c r="AB315" t="s">
        <v>1518</v>
      </c>
      <c r="AC315" t="s">
        <v>1519</v>
      </c>
      <c r="AD315" t="s">
        <v>1520</v>
      </c>
      <c r="AE315" s="7">
        <v>99000</v>
      </c>
      <c r="AF315" s="7">
        <v>1</v>
      </c>
      <c r="AG315" s="7">
        <v>99000</v>
      </c>
      <c r="AH315" s="7">
        <v>0</v>
      </c>
      <c r="AI315" s="7">
        <v>99000</v>
      </c>
      <c r="AJ315" t="s">
        <v>1519</v>
      </c>
    </row>
    <row r="316" spans="14:36" x14ac:dyDescent="0.3">
      <c r="N316" s="8">
        <v>2026</v>
      </c>
      <c r="O316" s="8">
        <v>7</v>
      </c>
      <c r="P316" s="9">
        <v>46208</v>
      </c>
      <c r="Q316" t="s">
        <v>238</v>
      </c>
      <c r="R316" t="s">
        <v>239</v>
      </c>
      <c r="S316" t="s">
        <v>240</v>
      </c>
      <c r="T316" t="s">
        <v>241</v>
      </c>
      <c r="U316" t="s">
        <v>3655</v>
      </c>
      <c r="V316" t="s">
        <v>243</v>
      </c>
      <c r="W316" t="s">
        <v>244</v>
      </c>
      <c r="X316" t="s">
        <v>2659</v>
      </c>
      <c r="Y316" t="s">
        <v>191</v>
      </c>
      <c r="Z316" t="s">
        <v>335</v>
      </c>
      <c r="AA316" t="s">
        <v>337</v>
      </c>
      <c r="AB316" t="s">
        <v>719</v>
      </c>
      <c r="AC316" t="s">
        <v>720</v>
      </c>
      <c r="AD316" t="s">
        <v>721</v>
      </c>
      <c r="AE316" s="7">
        <v>104000</v>
      </c>
      <c r="AF316" s="7">
        <v>1</v>
      </c>
      <c r="AG316" s="7">
        <v>104000</v>
      </c>
      <c r="AH316" s="7">
        <v>0</v>
      </c>
      <c r="AI316" s="7">
        <v>104000</v>
      </c>
      <c r="AJ316" t="s">
        <v>720</v>
      </c>
    </row>
    <row r="317" spans="14:36" x14ac:dyDescent="0.3">
      <c r="N317" s="8">
        <v>2026</v>
      </c>
      <c r="O317" s="8">
        <v>7</v>
      </c>
      <c r="P317" s="9">
        <v>46208</v>
      </c>
      <c r="Q317" t="s">
        <v>238</v>
      </c>
      <c r="R317" t="s">
        <v>239</v>
      </c>
      <c r="S317" t="s">
        <v>240</v>
      </c>
      <c r="T317" t="s">
        <v>2660</v>
      </c>
      <c r="U317" t="s">
        <v>2661</v>
      </c>
      <c r="V317" t="s">
        <v>246</v>
      </c>
      <c r="W317" t="s">
        <v>244</v>
      </c>
      <c r="X317" t="s">
        <v>2662</v>
      </c>
      <c r="Y317" t="s">
        <v>194</v>
      </c>
      <c r="Z317" t="s">
        <v>200</v>
      </c>
      <c r="AA317" t="s">
        <v>201</v>
      </c>
      <c r="AB317" t="s">
        <v>83</v>
      </c>
      <c r="AC317" t="s">
        <v>81</v>
      </c>
      <c r="AD317" t="s">
        <v>82</v>
      </c>
      <c r="AE317" s="7">
        <v>46000</v>
      </c>
      <c r="AF317" s="7">
        <v>1</v>
      </c>
      <c r="AG317" s="7">
        <v>46000</v>
      </c>
      <c r="AH317" s="7">
        <v>0</v>
      </c>
      <c r="AI317" s="7">
        <v>46000</v>
      </c>
      <c r="AJ317" t="s">
        <v>81</v>
      </c>
    </row>
    <row r="318" spans="14:36" x14ac:dyDescent="0.3">
      <c r="N318" s="8">
        <v>2026</v>
      </c>
      <c r="O318" s="8">
        <v>7</v>
      </c>
      <c r="P318" s="9">
        <v>46208</v>
      </c>
      <c r="Q318" t="s">
        <v>238</v>
      </c>
      <c r="R318" t="s">
        <v>239</v>
      </c>
      <c r="S318" t="s">
        <v>240</v>
      </c>
      <c r="T318" t="s">
        <v>2664</v>
      </c>
      <c r="U318" t="s">
        <v>317</v>
      </c>
      <c r="V318" t="s">
        <v>246</v>
      </c>
      <c r="W318" t="s">
        <v>244</v>
      </c>
      <c r="X318" t="s">
        <v>2665</v>
      </c>
      <c r="Y318" t="s">
        <v>168</v>
      </c>
      <c r="Z318" t="s">
        <v>171</v>
      </c>
      <c r="AA318" t="s">
        <v>173</v>
      </c>
      <c r="AB318" t="s">
        <v>26</v>
      </c>
      <c r="AC318" t="s">
        <v>24</v>
      </c>
      <c r="AD318" t="s">
        <v>25</v>
      </c>
      <c r="AE318" s="7">
        <v>555000</v>
      </c>
      <c r="AF318" s="7">
        <v>1</v>
      </c>
      <c r="AG318" s="7">
        <v>555000</v>
      </c>
      <c r="AH318" s="7">
        <v>0</v>
      </c>
      <c r="AI318" s="7">
        <v>555000</v>
      </c>
      <c r="AJ318" t="s">
        <v>24</v>
      </c>
    </row>
    <row r="319" spans="14:36" x14ac:dyDescent="0.3">
      <c r="N319" s="8">
        <v>2026</v>
      </c>
      <c r="O319" s="8">
        <v>7</v>
      </c>
      <c r="P319" s="9">
        <v>46208</v>
      </c>
      <c r="Q319" t="s">
        <v>238</v>
      </c>
      <c r="R319" t="s">
        <v>239</v>
      </c>
      <c r="S319" t="s">
        <v>240</v>
      </c>
      <c r="T319" t="s">
        <v>2664</v>
      </c>
      <c r="U319" t="s">
        <v>317</v>
      </c>
      <c r="V319" t="s">
        <v>246</v>
      </c>
      <c r="W319" t="s">
        <v>244</v>
      </c>
      <c r="X319" t="s">
        <v>2665</v>
      </c>
      <c r="Y319" t="s">
        <v>191</v>
      </c>
      <c r="Z319" t="s">
        <v>335</v>
      </c>
      <c r="AA319" t="s">
        <v>337</v>
      </c>
      <c r="AB319" t="s">
        <v>864</v>
      </c>
      <c r="AC319" t="s">
        <v>865</v>
      </c>
      <c r="AD319" t="s">
        <v>866</v>
      </c>
      <c r="AE319" s="7">
        <v>139000</v>
      </c>
      <c r="AF319" s="7">
        <v>1</v>
      </c>
      <c r="AG319" s="7">
        <v>139000</v>
      </c>
      <c r="AH319" s="7">
        <v>0</v>
      </c>
      <c r="AI319" s="7">
        <v>139000</v>
      </c>
      <c r="AJ319" t="s">
        <v>865</v>
      </c>
    </row>
    <row r="320" spans="14:36" x14ac:dyDescent="0.3">
      <c r="N320" s="8">
        <v>2026</v>
      </c>
      <c r="O320" s="8">
        <v>7</v>
      </c>
      <c r="P320" s="9">
        <v>46208</v>
      </c>
      <c r="Q320" t="s">
        <v>238</v>
      </c>
      <c r="R320" t="s">
        <v>239</v>
      </c>
      <c r="S320" t="s">
        <v>240</v>
      </c>
      <c r="T320" t="s">
        <v>2664</v>
      </c>
      <c r="U320" t="s">
        <v>317</v>
      </c>
      <c r="V320" t="s">
        <v>246</v>
      </c>
      <c r="W320" t="s">
        <v>244</v>
      </c>
      <c r="X320" t="s">
        <v>2665</v>
      </c>
      <c r="Y320" t="s">
        <v>191</v>
      </c>
      <c r="Z320" t="s">
        <v>335</v>
      </c>
      <c r="AA320" t="s">
        <v>337</v>
      </c>
      <c r="AB320" t="s">
        <v>656</v>
      </c>
      <c r="AC320" t="s">
        <v>657</v>
      </c>
      <c r="AD320" t="s">
        <v>658</v>
      </c>
      <c r="AE320" s="7">
        <v>35000</v>
      </c>
      <c r="AF320" s="7">
        <v>2</v>
      </c>
      <c r="AG320" s="7">
        <v>70000</v>
      </c>
      <c r="AH320" s="7">
        <v>0</v>
      </c>
      <c r="AI320" s="7">
        <v>70000</v>
      </c>
      <c r="AJ320" t="s">
        <v>657</v>
      </c>
    </row>
    <row r="321" spans="14:36" x14ac:dyDescent="0.3">
      <c r="N321" s="8">
        <v>2026</v>
      </c>
      <c r="O321" s="8">
        <v>7</v>
      </c>
      <c r="P321" s="9">
        <v>46208</v>
      </c>
      <c r="Q321" t="s">
        <v>238</v>
      </c>
      <c r="R321" t="s">
        <v>279</v>
      </c>
      <c r="S321" t="s">
        <v>280</v>
      </c>
      <c r="T321" t="s">
        <v>2667</v>
      </c>
      <c r="U321" t="s">
        <v>2668</v>
      </c>
      <c r="V321" t="s">
        <v>246</v>
      </c>
      <c r="W321" t="s">
        <v>244</v>
      </c>
      <c r="X321" t="s">
        <v>2669</v>
      </c>
      <c r="Y321" t="s">
        <v>191</v>
      </c>
      <c r="Z321" t="s">
        <v>335</v>
      </c>
      <c r="AA321" t="s">
        <v>336</v>
      </c>
      <c r="AB321" t="s">
        <v>1146</v>
      </c>
      <c r="AC321" t="s">
        <v>1147</v>
      </c>
      <c r="AD321" t="s">
        <v>1148</v>
      </c>
      <c r="AE321" s="7">
        <v>99000</v>
      </c>
      <c r="AF321" s="7">
        <v>1</v>
      </c>
      <c r="AG321" s="7">
        <v>99000</v>
      </c>
      <c r="AH321" s="7">
        <v>0</v>
      </c>
      <c r="AI321" s="7">
        <v>99000</v>
      </c>
      <c r="AJ321" t="s">
        <v>1147</v>
      </c>
    </row>
    <row r="322" spans="14:36" x14ac:dyDescent="0.3">
      <c r="N322" s="8">
        <v>2026</v>
      </c>
      <c r="O322" s="8">
        <v>7</v>
      </c>
      <c r="P322" s="9">
        <v>46208</v>
      </c>
      <c r="Q322" t="s">
        <v>238</v>
      </c>
      <c r="R322" t="s">
        <v>279</v>
      </c>
      <c r="S322" t="s">
        <v>280</v>
      </c>
      <c r="T322" t="s">
        <v>2198</v>
      </c>
      <c r="U322" t="s">
        <v>2199</v>
      </c>
      <c r="V322" t="s">
        <v>246</v>
      </c>
      <c r="W322" t="s">
        <v>244</v>
      </c>
      <c r="X322" t="s">
        <v>2670</v>
      </c>
      <c r="Y322" t="s">
        <v>194</v>
      </c>
      <c r="Z322" t="s">
        <v>200</v>
      </c>
      <c r="AA322" t="s">
        <v>201</v>
      </c>
      <c r="AB322" t="s">
        <v>86</v>
      </c>
      <c r="AC322" t="s">
        <v>84</v>
      </c>
      <c r="AD322" t="s">
        <v>85</v>
      </c>
      <c r="AE322" s="7">
        <v>49000</v>
      </c>
      <c r="AF322" s="7">
        <v>1</v>
      </c>
      <c r="AG322" s="7">
        <v>49000</v>
      </c>
      <c r="AH322" s="7">
        <v>0</v>
      </c>
      <c r="AI322" s="7">
        <v>49000</v>
      </c>
      <c r="AJ322" t="s">
        <v>84</v>
      </c>
    </row>
    <row r="323" spans="14:36" x14ac:dyDescent="0.3">
      <c r="N323" s="8">
        <v>2026</v>
      </c>
      <c r="O323" s="8">
        <v>7</v>
      </c>
      <c r="P323" s="9">
        <v>46208</v>
      </c>
      <c r="Q323" t="s">
        <v>238</v>
      </c>
      <c r="R323" t="s">
        <v>303</v>
      </c>
      <c r="S323" t="s">
        <v>304</v>
      </c>
      <c r="T323" t="s">
        <v>2671</v>
      </c>
      <c r="U323" t="s">
        <v>3864</v>
      </c>
      <c r="V323" t="s">
        <v>246</v>
      </c>
      <c r="W323" t="s">
        <v>244</v>
      </c>
      <c r="X323" t="s">
        <v>2672</v>
      </c>
      <c r="Y323" t="s">
        <v>191</v>
      </c>
      <c r="Z323" t="s">
        <v>192</v>
      </c>
      <c r="AA323" t="s">
        <v>193</v>
      </c>
      <c r="AB323" t="s">
        <v>107</v>
      </c>
      <c r="AC323" t="s">
        <v>105</v>
      </c>
      <c r="AD323" t="s">
        <v>106</v>
      </c>
      <c r="AE323" s="7">
        <v>235000</v>
      </c>
      <c r="AF323" s="7">
        <v>1</v>
      </c>
      <c r="AG323" s="7">
        <v>235000</v>
      </c>
      <c r="AH323" s="7">
        <v>0</v>
      </c>
      <c r="AI323" s="7">
        <v>235000</v>
      </c>
      <c r="AJ323" t="s">
        <v>105</v>
      </c>
    </row>
    <row r="324" spans="14:36" x14ac:dyDescent="0.3">
      <c r="N324" s="8">
        <v>2026</v>
      </c>
      <c r="O324" s="8">
        <v>7</v>
      </c>
      <c r="P324" s="9">
        <v>46208</v>
      </c>
      <c r="Q324" t="s">
        <v>238</v>
      </c>
      <c r="R324" t="s">
        <v>303</v>
      </c>
      <c r="S324" t="s">
        <v>304</v>
      </c>
      <c r="T324" t="s">
        <v>2673</v>
      </c>
      <c r="U324" t="s">
        <v>380</v>
      </c>
      <c r="V324" t="s">
        <v>246</v>
      </c>
      <c r="W324" t="s">
        <v>244</v>
      </c>
      <c r="X324" t="s">
        <v>2674</v>
      </c>
      <c r="Y324" t="s">
        <v>194</v>
      </c>
      <c r="Z324" t="s">
        <v>200</v>
      </c>
      <c r="AA324" t="s">
        <v>201</v>
      </c>
      <c r="AB324" t="s">
        <v>77</v>
      </c>
      <c r="AC324" t="s">
        <v>75</v>
      </c>
      <c r="AD324" t="s">
        <v>76</v>
      </c>
      <c r="AE324" s="7">
        <v>52000</v>
      </c>
      <c r="AF324" s="7">
        <v>1</v>
      </c>
      <c r="AG324" s="7">
        <v>52000</v>
      </c>
      <c r="AH324" s="7">
        <v>0</v>
      </c>
      <c r="AI324" s="7">
        <v>52000</v>
      </c>
      <c r="AJ324" t="s">
        <v>75</v>
      </c>
    </row>
    <row r="325" spans="14:36" x14ac:dyDescent="0.3">
      <c r="N325" s="8">
        <v>2026</v>
      </c>
      <c r="O325" s="8">
        <v>7</v>
      </c>
      <c r="P325" s="9">
        <v>46208</v>
      </c>
      <c r="Q325" t="s">
        <v>238</v>
      </c>
      <c r="R325" t="s">
        <v>374</v>
      </c>
      <c r="S325" t="s">
        <v>375</v>
      </c>
      <c r="T325" t="s">
        <v>376</v>
      </c>
      <c r="U325" t="s">
        <v>377</v>
      </c>
      <c r="V325" t="s">
        <v>243</v>
      </c>
      <c r="W325" t="s">
        <v>244</v>
      </c>
      <c r="X325" t="s">
        <v>2675</v>
      </c>
      <c r="Y325" t="s">
        <v>194</v>
      </c>
      <c r="Z325" t="s">
        <v>200</v>
      </c>
      <c r="AA325" t="s">
        <v>201</v>
      </c>
      <c r="AB325" t="s">
        <v>83</v>
      </c>
      <c r="AC325" t="s">
        <v>81</v>
      </c>
      <c r="AD325" t="s">
        <v>82</v>
      </c>
      <c r="AE325" s="7">
        <v>46000</v>
      </c>
      <c r="AF325" s="7">
        <v>1</v>
      </c>
      <c r="AG325" s="7">
        <v>46000</v>
      </c>
      <c r="AH325" s="7">
        <v>0</v>
      </c>
      <c r="AI325" s="7">
        <v>46000</v>
      </c>
      <c r="AJ325" t="s">
        <v>81</v>
      </c>
    </row>
    <row r="326" spans="14:36" x14ac:dyDescent="0.3">
      <c r="N326" s="8">
        <v>2026</v>
      </c>
      <c r="O326" s="8">
        <v>7</v>
      </c>
      <c r="P326" s="9">
        <v>46208</v>
      </c>
      <c r="Q326" t="s">
        <v>238</v>
      </c>
      <c r="R326" t="s">
        <v>374</v>
      </c>
      <c r="S326" t="s">
        <v>375</v>
      </c>
      <c r="T326" t="s">
        <v>376</v>
      </c>
      <c r="U326" t="s">
        <v>377</v>
      </c>
      <c r="V326" t="s">
        <v>243</v>
      </c>
      <c r="W326" t="s">
        <v>244</v>
      </c>
      <c r="X326" t="s">
        <v>2676</v>
      </c>
      <c r="Y326" t="s">
        <v>194</v>
      </c>
      <c r="Z326" t="s">
        <v>200</v>
      </c>
      <c r="AA326" t="s">
        <v>201</v>
      </c>
      <c r="AB326" t="s">
        <v>89</v>
      </c>
      <c r="AC326" t="s">
        <v>87</v>
      </c>
      <c r="AD326" t="s">
        <v>88</v>
      </c>
      <c r="AE326" s="7">
        <v>46000</v>
      </c>
      <c r="AF326" s="7">
        <v>2</v>
      </c>
      <c r="AG326" s="7">
        <v>92000</v>
      </c>
      <c r="AH326" s="7">
        <v>0</v>
      </c>
      <c r="AI326" s="7">
        <v>92000</v>
      </c>
      <c r="AJ326" t="s">
        <v>87</v>
      </c>
    </row>
    <row r="327" spans="14:36" x14ac:dyDescent="0.3">
      <c r="N327" s="8">
        <v>2026</v>
      </c>
      <c r="O327" s="8">
        <v>7</v>
      </c>
      <c r="P327" s="9">
        <v>46208</v>
      </c>
      <c r="Q327" t="s">
        <v>238</v>
      </c>
      <c r="R327" t="s">
        <v>396</v>
      </c>
      <c r="S327" t="s">
        <v>397</v>
      </c>
      <c r="T327" t="s">
        <v>404</v>
      </c>
      <c r="U327" t="s">
        <v>405</v>
      </c>
      <c r="V327" t="s">
        <v>246</v>
      </c>
      <c r="W327" t="s">
        <v>244</v>
      </c>
      <c r="X327" t="s">
        <v>2678</v>
      </c>
      <c r="Y327" t="s">
        <v>191</v>
      </c>
      <c r="Z327" t="s">
        <v>335</v>
      </c>
      <c r="AA327" t="s">
        <v>336</v>
      </c>
      <c r="AB327" t="s">
        <v>1284</v>
      </c>
      <c r="AC327" t="s">
        <v>1285</v>
      </c>
      <c r="AD327" t="s">
        <v>1286</v>
      </c>
      <c r="AE327" s="7">
        <v>99000</v>
      </c>
      <c r="AF327" s="7">
        <v>1</v>
      </c>
      <c r="AG327" s="7">
        <v>99000</v>
      </c>
      <c r="AH327" s="7">
        <v>0</v>
      </c>
      <c r="AI327" s="7">
        <v>99000</v>
      </c>
      <c r="AJ327" t="s">
        <v>1285</v>
      </c>
    </row>
    <row r="328" spans="14:36" x14ac:dyDescent="0.3">
      <c r="N328" s="8">
        <v>2026</v>
      </c>
      <c r="O328" s="8">
        <v>7</v>
      </c>
      <c r="P328" s="9">
        <v>46208</v>
      </c>
      <c r="Q328" t="s">
        <v>238</v>
      </c>
      <c r="R328" t="s">
        <v>396</v>
      </c>
      <c r="S328" t="s">
        <v>397</v>
      </c>
      <c r="T328" t="s">
        <v>499</v>
      </c>
      <c r="U328" t="s">
        <v>500</v>
      </c>
      <c r="V328" t="s">
        <v>246</v>
      </c>
      <c r="W328" t="s">
        <v>244</v>
      </c>
      <c r="X328" t="s">
        <v>2679</v>
      </c>
      <c r="Y328" t="s">
        <v>191</v>
      </c>
      <c r="Z328" t="s">
        <v>335</v>
      </c>
      <c r="AA328" t="s">
        <v>337</v>
      </c>
      <c r="AB328" t="s">
        <v>348</v>
      </c>
      <c r="AC328" t="s">
        <v>349</v>
      </c>
      <c r="AD328" t="s">
        <v>350</v>
      </c>
      <c r="AE328" s="7">
        <v>76000</v>
      </c>
      <c r="AF328" s="7">
        <v>1</v>
      </c>
      <c r="AG328" s="7">
        <v>76000</v>
      </c>
      <c r="AH328" s="7">
        <v>0</v>
      </c>
      <c r="AI328" s="7">
        <v>76000</v>
      </c>
      <c r="AJ328" t="s">
        <v>349</v>
      </c>
    </row>
    <row r="329" spans="14:36" x14ac:dyDescent="0.3">
      <c r="N329" s="8">
        <v>2026</v>
      </c>
      <c r="O329" s="8">
        <v>7</v>
      </c>
      <c r="P329" s="9">
        <v>46208</v>
      </c>
      <c r="Q329" t="s">
        <v>238</v>
      </c>
      <c r="R329" t="s">
        <v>396</v>
      </c>
      <c r="S329" t="s">
        <v>397</v>
      </c>
      <c r="T329" t="s">
        <v>2680</v>
      </c>
      <c r="U329" t="s">
        <v>3865</v>
      </c>
      <c r="V329" t="s">
        <v>246</v>
      </c>
      <c r="W329" t="s">
        <v>244</v>
      </c>
      <c r="X329" t="s">
        <v>2681</v>
      </c>
      <c r="Y329" t="s">
        <v>191</v>
      </c>
      <c r="Z329" t="s">
        <v>335</v>
      </c>
      <c r="AA329" t="s">
        <v>336</v>
      </c>
      <c r="AB329" t="s">
        <v>1284</v>
      </c>
      <c r="AC329" t="s">
        <v>1285</v>
      </c>
      <c r="AD329" t="s">
        <v>1286</v>
      </c>
      <c r="AE329" s="7">
        <v>99000</v>
      </c>
      <c r="AF329" s="7">
        <v>1</v>
      </c>
      <c r="AG329" s="7">
        <v>99000</v>
      </c>
      <c r="AH329" s="7">
        <v>0</v>
      </c>
      <c r="AI329" s="7">
        <v>99000</v>
      </c>
      <c r="AJ329" t="s">
        <v>1285</v>
      </c>
    </row>
    <row r="330" spans="14:36" x14ac:dyDescent="0.3">
      <c r="N330" s="8">
        <v>2026</v>
      </c>
      <c r="O330" s="8">
        <v>7</v>
      </c>
      <c r="P330" s="9">
        <v>46208</v>
      </c>
      <c r="Q330" t="s">
        <v>238</v>
      </c>
      <c r="R330" t="s">
        <v>415</v>
      </c>
      <c r="S330" t="s">
        <v>416</v>
      </c>
      <c r="T330" t="s">
        <v>2682</v>
      </c>
      <c r="U330" t="s">
        <v>3866</v>
      </c>
      <c r="V330" t="s">
        <v>246</v>
      </c>
      <c r="W330" t="s">
        <v>244</v>
      </c>
      <c r="X330" t="s">
        <v>2683</v>
      </c>
      <c r="Y330" t="s">
        <v>191</v>
      </c>
      <c r="Z330" t="s">
        <v>335</v>
      </c>
      <c r="AA330" t="s">
        <v>336</v>
      </c>
      <c r="AB330" t="s">
        <v>1284</v>
      </c>
      <c r="AC330" t="s">
        <v>1285</v>
      </c>
      <c r="AD330" t="s">
        <v>1286</v>
      </c>
      <c r="AE330" s="7">
        <v>99000</v>
      </c>
      <c r="AF330" s="7">
        <v>1</v>
      </c>
      <c r="AG330" s="7">
        <v>99000</v>
      </c>
      <c r="AH330" s="7">
        <v>0</v>
      </c>
      <c r="AI330" s="7">
        <v>99000</v>
      </c>
      <c r="AJ330" t="s">
        <v>1285</v>
      </c>
    </row>
    <row r="331" spans="14:36" x14ac:dyDescent="0.3">
      <c r="N331" s="8">
        <v>2026</v>
      </c>
      <c r="O331" s="8">
        <v>7</v>
      </c>
      <c r="P331" s="9">
        <v>46208</v>
      </c>
      <c r="Q331" t="s">
        <v>238</v>
      </c>
      <c r="R331" t="s">
        <v>425</v>
      </c>
      <c r="S331" t="s">
        <v>426</v>
      </c>
      <c r="T331" t="s">
        <v>433</v>
      </c>
      <c r="U331" t="s">
        <v>3666</v>
      </c>
      <c r="V331" t="s">
        <v>246</v>
      </c>
      <c r="W331" t="s">
        <v>244</v>
      </c>
      <c r="X331" t="s">
        <v>2685</v>
      </c>
      <c r="Y331" t="s">
        <v>191</v>
      </c>
      <c r="Z331" t="s">
        <v>192</v>
      </c>
      <c r="AA331" t="s">
        <v>193</v>
      </c>
      <c r="AB331" t="s">
        <v>110</v>
      </c>
      <c r="AC331" t="s">
        <v>108</v>
      </c>
      <c r="AD331" t="s">
        <v>109</v>
      </c>
      <c r="AE331" s="7">
        <v>235000</v>
      </c>
      <c r="AF331" s="7">
        <v>1</v>
      </c>
      <c r="AG331" s="7">
        <v>235000</v>
      </c>
      <c r="AH331" s="7">
        <v>0</v>
      </c>
      <c r="AI331" s="7">
        <v>235000</v>
      </c>
      <c r="AJ331" t="s">
        <v>108</v>
      </c>
    </row>
    <row r="332" spans="14:36" x14ac:dyDescent="0.3">
      <c r="N332" s="8">
        <v>2026</v>
      </c>
      <c r="O332" s="8">
        <v>7</v>
      </c>
      <c r="P332" s="9">
        <v>46207</v>
      </c>
      <c r="Q332" t="s">
        <v>238</v>
      </c>
      <c r="R332" t="s">
        <v>279</v>
      </c>
      <c r="S332" t="s">
        <v>280</v>
      </c>
      <c r="T332" t="s">
        <v>2074</v>
      </c>
      <c r="U332" t="s">
        <v>2075</v>
      </c>
      <c r="V332" t="s">
        <v>246</v>
      </c>
      <c r="W332" t="s">
        <v>244</v>
      </c>
      <c r="X332" t="s">
        <v>2687</v>
      </c>
      <c r="Y332" t="s">
        <v>191</v>
      </c>
      <c r="Z332" t="s">
        <v>335</v>
      </c>
      <c r="AA332" t="s">
        <v>336</v>
      </c>
      <c r="AB332" t="s">
        <v>1284</v>
      </c>
      <c r="AC332" t="s">
        <v>1285</v>
      </c>
      <c r="AD332" t="s">
        <v>1286</v>
      </c>
      <c r="AE332" s="7">
        <v>99000</v>
      </c>
      <c r="AF332" s="7">
        <v>1</v>
      </c>
      <c r="AG332" s="7">
        <v>99000</v>
      </c>
      <c r="AH332" s="7">
        <v>0</v>
      </c>
      <c r="AI332" s="7">
        <v>99000</v>
      </c>
      <c r="AJ332" t="s">
        <v>1285</v>
      </c>
    </row>
    <row r="333" spans="14:36" x14ac:dyDescent="0.3">
      <c r="N333" s="8">
        <v>2026</v>
      </c>
      <c r="O333" s="8">
        <v>7</v>
      </c>
      <c r="P333" s="9">
        <v>46207</v>
      </c>
      <c r="Q333" t="s">
        <v>238</v>
      </c>
      <c r="R333" t="s">
        <v>279</v>
      </c>
      <c r="S333" t="s">
        <v>280</v>
      </c>
      <c r="T333" t="s">
        <v>2345</v>
      </c>
      <c r="U333" t="s">
        <v>3866</v>
      </c>
      <c r="V333" t="s">
        <v>246</v>
      </c>
      <c r="W333" t="s">
        <v>244</v>
      </c>
      <c r="X333" t="s">
        <v>2688</v>
      </c>
      <c r="Y333" t="s">
        <v>168</v>
      </c>
      <c r="Z333" t="s">
        <v>171</v>
      </c>
      <c r="AA333" t="s">
        <v>175</v>
      </c>
      <c r="AB333" t="s">
        <v>44</v>
      </c>
      <c r="AC333" t="s">
        <v>42</v>
      </c>
      <c r="AD333" t="s">
        <v>43</v>
      </c>
      <c r="AE333" s="7">
        <v>294000</v>
      </c>
      <c r="AF333" s="7">
        <v>1</v>
      </c>
      <c r="AG333" s="7">
        <v>294000</v>
      </c>
      <c r="AH333" s="7">
        <v>0</v>
      </c>
      <c r="AI333" s="7">
        <v>294000</v>
      </c>
      <c r="AJ333" t="s">
        <v>42</v>
      </c>
    </row>
    <row r="334" spans="14:36" x14ac:dyDescent="0.3">
      <c r="N334" s="8">
        <v>2026</v>
      </c>
      <c r="O334" s="8">
        <v>7</v>
      </c>
      <c r="P334" s="9">
        <v>46207</v>
      </c>
      <c r="Q334" t="s">
        <v>238</v>
      </c>
      <c r="R334" t="s">
        <v>303</v>
      </c>
      <c r="S334" t="s">
        <v>304</v>
      </c>
      <c r="T334" t="s">
        <v>741</v>
      </c>
      <c r="U334" t="s">
        <v>3867</v>
      </c>
      <c r="V334" t="s">
        <v>246</v>
      </c>
      <c r="W334" t="s">
        <v>244</v>
      </c>
      <c r="X334" t="s">
        <v>2690</v>
      </c>
      <c r="Y334" t="s">
        <v>191</v>
      </c>
      <c r="Z334" t="s">
        <v>192</v>
      </c>
      <c r="AA334" t="s">
        <v>193</v>
      </c>
      <c r="AB334" t="s">
        <v>116</v>
      </c>
      <c r="AC334" t="s">
        <v>114</v>
      </c>
      <c r="AD334" t="s">
        <v>115</v>
      </c>
      <c r="AE334" s="7">
        <v>235000</v>
      </c>
      <c r="AF334" s="7">
        <v>1</v>
      </c>
      <c r="AG334" s="7">
        <v>235000</v>
      </c>
      <c r="AH334" s="7">
        <v>0</v>
      </c>
      <c r="AI334" s="7">
        <v>235000</v>
      </c>
      <c r="AJ334" t="s">
        <v>114</v>
      </c>
    </row>
    <row r="335" spans="14:36" x14ac:dyDescent="0.3">
      <c r="N335" s="8">
        <v>2026</v>
      </c>
      <c r="O335" s="8">
        <v>7</v>
      </c>
      <c r="P335" s="9">
        <v>46207</v>
      </c>
      <c r="Q335" t="s">
        <v>238</v>
      </c>
      <c r="R335" t="s">
        <v>303</v>
      </c>
      <c r="S335" t="s">
        <v>304</v>
      </c>
      <c r="T335" t="s">
        <v>1552</v>
      </c>
      <c r="U335" t="s">
        <v>297</v>
      </c>
      <c r="V335" t="s">
        <v>246</v>
      </c>
      <c r="W335" t="s">
        <v>244</v>
      </c>
      <c r="X335" t="s">
        <v>2691</v>
      </c>
      <c r="Y335" t="s">
        <v>191</v>
      </c>
      <c r="Z335" t="s">
        <v>335</v>
      </c>
      <c r="AA335" t="s">
        <v>336</v>
      </c>
      <c r="AB335" t="s">
        <v>1146</v>
      </c>
      <c r="AC335" t="s">
        <v>1147</v>
      </c>
      <c r="AD335" t="s">
        <v>1148</v>
      </c>
      <c r="AE335" s="7">
        <v>99000</v>
      </c>
      <c r="AF335" s="7">
        <v>1</v>
      </c>
      <c r="AG335" s="7">
        <v>99000</v>
      </c>
      <c r="AH335" s="7">
        <v>0</v>
      </c>
      <c r="AI335" s="7">
        <v>99000</v>
      </c>
      <c r="AJ335" t="s">
        <v>1147</v>
      </c>
    </row>
    <row r="336" spans="14:36" x14ac:dyDescent="0.3">
      <c r="N336" s="8">
        <v>2026</v>
      </c>
      <c r="O336" s="8">
        <v>7</v>
      </c>
      <c r="P336" s="9">
        <v>46207</v>
      </c>
      <c r="Q336" t="s">
        <v>238</v>
      </c>
      <c r="R336" t="s">
        <v>303</v>
      </c>
      <c r="S336" t="s">
        <v>304</v>
      </c>
      <c r="T336" t="s">
        <v>1268</v>
      </c>
      <c r="U336" t="s">
        <v>1269</v>
      </c>
      <c r="V336" t="s">
        <v>246</v>
      </c>
      <c r="W336" t="s">
        <v>244</v>
      </c>
      <c r="X336" t="s">
        <v>2692</v>
      </c>
      <c r="Y336" t="s">
        <v>191</v>
      </c>
      <c r="Z336" t="s">
        <v>335</v>
      </c>
      <c r="AA336" t="s">
        <v>336</v>
      </c>
      <c r="AB336" t="s">
        <v>1284</v>
      </c>
      <c r="AC336" t="s">
        <v>1285</v>
      </c>
      <c r="AD336" t="s">
        <v>1286</v>
      </c>
      <c r="AE336" s="7">
        <v>99000</v>
      </c>
      <c r="AF336" s="7">
        <v>1</v>
      </c>
      <c r="AG336" s="7">
        <v>99000</v>
      </c>
      <c r="AH336" s="7">
        <v>0</v>
      </c>
      <c r="AI336" s="7">
        <v>99000</v>
      </c>
      <c r="AJ336" t="s">
        <v>1285</v>
      </c>
    </row>
    <row r="337" spans="14:36" x14ac:dyDescent="0.3">
      <c r="N337" s="8">
        <v>2026</v>
      </c>
      <c r="O337" s="8">
        <v>7</v>
      </c>
      <c r="P337" s="9">
        <v>46207</v>
      </c>
      <c r="Q337" t="s">
        <v>238</v>
      </c>
      <c r="R337" t="s">
        <v>303</v>
      </c>
      <c r="S337" t="s">
        <v>304</v>
      </c>
      <c r="T337" t="s">
        <v>2693</v>
      </c>
      <c r="U337" t="s">
        <v>437</v>
      </c>
      <c r="V337" t="s">
        <v>246</v>
      </c>
      <c r="W337" t="s">
        <v>244</v>
      </c>
      <c r="X337" t="s">
        <v>2694</v>
      </c>
      <c r="Y337" t="s">
        <v>191</v>
      </c>
      <c r="Z337" t="s">
        <v>335</v>
      </c>
      <c r="AA337" t="s">
        <v>337</v>
      </c>
      <c r="AB337" t="s">
        <v>719</v>
      </c>
      <c r="AC337" t="s">
        <v>720</v>
      </c>
      <c r="AD337" t="s">
        <v>721</v>
      </c>
      <c r="AE337" s="7">
        <v>104000</v>
      </c>
      <c r="AF337" s="7">
        <v>1</v>
      </c>
      <c r="AG337" s="7">
        <v>104000</v>
      </c>
      <c r="AH337" s="7">
        <v>0</v>
      </c>
      <c r="AI337" s="7">
        <v>104000</v>
      </c>
      <c r="AJ337" t="s">
        <v>720</v>
      </c>
    </row>
    <row r="338" spans="14:36" x14ac:dyDescent="0.3">
      <c r="N338" s="8">
        <v>2026</v>
      </c>
      <c r="O338" s="8">
        <v>7</v>
      </c>
      <c r="P338" s="9">
        <v>46207</v>
      </c>
      <c r="Q338" t="s">
        <v>238</v>
      </c>
      <c r="R338" t="s">
        <v>303</v>
      </c>
      <c r="S338" t="s">
        <v>304</v>
      </c>
      <c r="T338" t="s">
        <v>1559</v>
      </c>
      <c r="U338" t="s">
        <v>3868</v>
      </c>
      <c r="V338" t="s">
        <v>246</v>
      </c>
      <c r="W338" t="s">
        <v>244</v>
      </c>
      <c r="X338" t="s">
        <v>2695</v>
      </c>
      <c r="Y338" t="s">
        <v>168</v>
      </c>
      <c r="Z338" t="s">
        <v>171</v>
      </c>
      <c r="AA338" t="s">
        <v>172</v>
      </c>
      <c r="AB338" t="s">
        <v>11</v>
      </c>
      <c r="AC338" t="s">
        <v>9</v>
      </c>
      <c r="AD338" t="s">
        <v>10</v>
      </c>
      <c r="AE338" s="7">
        <v>129000</v>
      </c>
      <c r="AF338" s="7">
        <v>1</v>
      </c>
      <c r="AG338" s="7">
        <v>129000</v>
      </c>
      <c r="AH338" s="7">
        <v>0</v>
      </c>
      <c r="AI338" s="7">
        <v>129000</v>
      </c>
      <c r="AJ338" t="s">
        <v>9</v>
      </c>
    </row>
    <row r="339" spans="14:36" x14ac:dyDescent="0.3">
      <c r="N339" s="8">
        <v>2026</v>
      </c>
      <c r="O339" s="8">
        <v>7</v>
      </c>
      <c r="P339" s="9">
        <v>46207</v>
      </c>
      <c r="Q339" t="s">
        <v>238</v>
      </c>
      <c r="R339" t="s">
        <v>303</v>
      </c>
      <c r="S339" t="s">
        <v>304</v>
      </c>
      <c r="T339" t="s">
        <v>1559</v>
      </c>
      <c r="U339" t="s">
        <v>3868</v>
      </c>
      <c r="V339" t="s">
        <v>246</v>
      </c>
      <c r="W339" t="s">
        <v>244</v>
      </c>
      <c r="X339" t="s">
        <v>2695</v>
      </c>
      <c r="Y339" t="s">
        <v>168</v>
      </c>
      <c r="Z339" t="s">
        <v>171</v>
      </c>
      <c r="AA339" t="s">
        <v>172</v>
      </c>
      <c r="AB339" t="s">
        <v>14</v>
      </c>
      <c r="AC339" t="s">
        <v>12</v>
      </c>
      <c r="AD339" t="s">
        <v>13</v>
      </c>
      <c r="AE339" s="7">
        <v>135000</v>
      </c>
      <c r="AF339" s="7">
        <v>1</v>
      </c>
      <c r="AG339" s="7">
        <v>135000</v>
      </c>
      <c r="AH339" s="7">
        <v>0</v>
      </c>
      <c r="AI339" s="7">
        <v>135000</v>
      </c>
      <c r="AJ339" t="s">
        <v>12</v>
      </c>
    </row>
    <row r="340" spans="14:36" x14ac:dyDescent="0.3">
      <c r="N340" s="8">
        <v>2026</v>
      </c>
      <c r="O340" s="8">
        <v>7</v>
      </c>
      <c r="P340" s="9">
        <v>46207</v>
      </c>
      <c r="Q340" t="s">
        <v>238</v>
      </c>
      <c r="R340" t="s">
        <v>374</v>
      </c>
      <c r="S340" t="s">
        <v>375</v>
      </c>
      <c r="T340" t="s">
        <v>2696</v>
      </c>
      <c r="U340" t="s">
        <v>384</v>
      </c>
      <c r="V340" t="s">
        <v>249</v>
      </c>
      <c r="W340" t="s">
        <v>244</v>
      </c>
      <c r="X340" t="s">
        <v>2697</v>
      </c>
      <c r="Y340" t="s">
        <v>191</v>
      </c>
      <c r="Z340" t="s">
        <v>335</v>
      </c>
      <c r="AA340" t="s">
        <v>336</v>
      </c>
      <c r="AB340" t="s">
        <v>1146</v>
      </c>
      <c r="AC340" t="s">
        <v>1147</v>
      </c>
      <c r="AD340" t="s">
        <v>1148</v>
      </c>
      <c r="AE340" s="7">
        <v>99000</v>
      </c>
      <c r="AF340" s="7">
        <v>3</v>
      </c>
      <c r="AG340" s="7">
        <v>297000</v>
      </c>
      <c r="AH340" s="7">
        <v>0</v>
      </c>
      <c r="AI340" s="7">
        <v>297000</v>
      </c>
      <c r="AJ340" t="s">
        <v>1147</v>
      </c>
    </row>
    <row r="341" spans="14:36" x14ac:dyDescent="0.3">
      <c r="N341" s="8">
        <v>2026</v>
      </c>
      <c r="O341" s="8">
        <v>7</v>
      </c>
      <c r="P341" s="9">
        <v>46207</v>
      </c>
      <c r="Q341" t="s">
        <v>238</v>
      </c>
      <c r="R341" t="s">
        <v>374</v>
      </c>
      <c r="S341" t="s">
        <v>375</v>
      </c>
      <c r="T341" t="s">
        <v>1179</v>
      </c>
      <c r="U341" t="s">
        <v>1180</v>
      </c>
      <c r="V341" t="s">
        <v>246</v>
      </c>
      <c r="W341" t="s">
        <v>244</v>
      </c>
      <c r="X341" t="s">
        <v>2698</v>
      </c>
      <c r="Y341" t="s">
        <v>191</v>
      </c>
      <c r="Z341" t="s">
        <v>335</v>
      </c>
      <c r="AA341" t="s">
        <v>336</v>
      </c>
      <c r="AB341" t="s">
        <v>1146</v>
      </c>
      <c r="AC341" t="s">
        <v>1147</v>
      </c>
      <c r="AD341" t="s">
        <v>1148</v>
      </c>
      <c r="AE341" s="7">
        <v>99000</v>
      </c>
      <c r="AF341" s="7">
        <v>1</v>
      </c>
      <c r="AG341" s="7">
        <v>99000</v>
      </c>
      <c r="AH341" s="7">
        <v>0</v>
      </c>
      <c r="AI341" s="7">
        <v>99000</v>
      </c>
      <c r="AJ341" t="s">
        <v>1147</v>
      </c>
    </row>
    <row r="342" spans="14:36" x14ac:dyDescent="0.3">
      <c r="N342" s="8">
        <v>2026</v>
      </c>
      <c r="O342" s="8">
        <v>7</v>
      </c>
      <c r="P342" s="9">
        <v>46207</v>
      </c>
      <c r="Q342" t="s">
        <v>238</v>
      </c>
      <c r="R342" t="s">
        <v>396</v>
      </c>
      <c r="S342" t="s">
        <v>397</v>
      </c>
      <c r="T342" t="s">
        <v>1363</v>
      </c>
      <c r="U342" t="s">
        <v>3869</v>
      </c>
      <c r="V342" t="s">
        <v>246</v>
      </c>
      <c r="W342" t="s">
        <v>244</v>
      </c>
      <c r="X342" t="s">
        <v>2699</v>
      </c>
      <c r="Y342" t="s">
        <v>191</v>
      </c>
      <c r="Z342" t="s">
        <v>335</v>
      </c>
      <c r="AA342" t="s">
        <v>337</v>
      </c>
      <c r="AB342" t="s">
        <v>348</v>
      </c>
      <c r="AC342" t="s">
        <v>349</v>
      </c>
      <c r="AD342" t="s">
        <v>350</v>
      </c>
      <c r="AE342" s="7">
        <v>76000</v>
      </c>
      <c r="AF342" s="7">
        <v>3</v>
      </c>
      <c r="AG342" s="7">
        <v>228000</v>
      </c>
      <c r="AH342" s="7">
        <v>0</v>
      </c>
      <c r="AI342" s="7">
        <v>228000</v>
      </c>
      <c r="AJ342" t="s">
        <v>349</v>
      </c>
    </row>
    <row r="343" spans="14:36" x14ac:dyDescent="0.3">
      <c r="N343" s="8">
        <v>2026</v>
      </c>
      <c r="O343" s="8">
        <v>7</v>
      </c>
      <c r="P343" s="9">
        <v>46207</v>
      </c>
      <c r="Q343" t="s">
        <v>238</v>
      </c>
      <c r="R343" t="s">
        <v>415</v>
      </c>
      <c r="S343" t="s">
        <v>416</v>
      </c>
      <c r="T343" t="s">
        <v>417</v>
      </c>
      <c r="U343" t="s">
        <v>418</v>
      </c>
      <c r="V343" t="s">
        <v>243</v>
      </c>
      <c r="W343" t="s">
        <v>244</v>
      </c>
      <c r="X343" t="s">
        <v>2700</v>
      </c>
      <c r="Y343" t="s">
        <v>183</v>
      </c>
      <c r="Z343" t="s">
        <v>189</v>
      </c>
      <c r="AA343" t="s">
        <v>190</v>
      </c>
      <c r="AB343" t="s">
        <v>92</v>
      </c>
      <c r="AC343" t="s">
        <v>90</v>
      </c>
      <c r="AD343" t="s">
        <v>91</v>
      </c>
      <c r="AE343" s="7">
        <v>52000</v>
      </c>
      <c r="AF343" s="7">
        <v>1</v>
      </c>
      <c r="AG343" s="7">
        <v>52000</v>
      </c>
      <c r="AH343" s="7">
        <v>0</v>
      </c>
      <c r="AI343" s="7">
        <v>52000</v>
      </c>
      <c r="AJ343" t="s">
        <v>90</v>
      </c>
    </row>
    <row r="344" spans="14:36" x14ac:dyDescent="0.3">
      <c r="N344" s="8">
        <v>2026</v>
      </c>
      <c r="O344" s="8">
        <v>7</v>
      </c>
      <c r="P344" s="9">
        <v>46207</v>
      </c>
      <c r="Q344" t="s">
        <v>238</v>
      </c>
      <c r="R344" t="s">
        <v>425</v>
      </c>
      <c r="S344" t="s">
        <v>426</v>
      </c>
      <c r="T344" t="s">
        <v>2701</v>
      </c>
      <c r="U344" t="s">
        <v>2702</v>
      </c>
      <c r="V344" t="s">
        <v>246</v>
      </c>
      <c r="W344" t="s">
        <v>244</v>
      </c>
      <c r="X344" t="s">
        <v>2703</v>
      </c>
      <c r="Y344" t="s">
        <v>191</v>
      </c>
      <c r="Z344" t="s">
        <v>192</v>
      </c>
      <c r="AA344" t="s">
        <v>193</v>
      </c>
      <c r="AB344" t="s">
        <v>107</v>
      </c>
      <c r="AC344" t="s">
        <v>105</v>
      </c>
      <c r="AD344" t="s">
        <v>106</v>
      </c>
      <c r="AE344" s="7">
        <v>235000</v>
      </c>
      <c r="AF344" s="7">
        <v>1</v>
      </c>
      <c r="AG344" s="7">
        <v>235000</v>
      </c>
      <c r="AH344" s="7">
        <v>0</v>
      </c>
      <c r="AI344" s="7">
        <v>235000</v>
      </c>
      <c r="AJ344" t="s">
        <v>105</v>
      </c>
    </row>
    <row r="345" spans="14:36" x14ac:dyDescent="0.3">
      <c r="N345" s="8">
        <v>2026</v>
      </c>
      <c r="O345" s="8">
        <v>7</v>
      </c>
      <c r="P345" s="9">
        <v>46206</v>
      </c>
      <c r="Q345" t="s">
        <v>238</v>
      </c>
      <c r="R345" t="s">
        <v>239</v>
      </c>
      <c r="S345" t="s">
        <v>240</v>
      </c>
      <c r="T345" t="s">
        <v>2412</v>
      </c>
      <c r="U345" t="s">
        <v>508</v>
      </c>
      <c r="V345" t="s">
        <v>246</v>
      </c>
      <c r="W345" t="s">
        <v>244</v>
      </c>
      <c r="X345" t="s">
        <v>2704</v>
      </c>
      <c r="Y345" t="s">
        <v>191</v>
      </c>
      <c r="Z345" t="s">
        <v>192</v>
      </c>
      <c r="AA345" t="s">
        <v>193</v>
      </c>
      <c r="AB345" t="s">
        <v>110</v>
      </c>
      <c r="AC345" t="s">
        <v>108</v>
      </c>
      <c r="AD345" t="s">
        <v>109</v>
      </c>
      <c r="AE345" s="7">
        <v>235000</v>
      </c>
      <c r="AF345" s="7">
        <v>1</v>
      </c>
      <c r="AG345" s="7">
        <v>235000</v>
      </c>
      <c r="AH345" s="7">
        <v>0</v>
      </c>
      <c r="AI345" s="7">
        <v>235000</v>
      </c>
      <c r="AJ345" t="s">
        <v>108</v>
      </c>
    </row>
    <row r="346" spans="14:36" x14ac:dyDescent="0.3">
      <c r="N346" s="8">
        <v>2026</v>
      </c>
      <c r="O346" s="8">
        <v>7</v>
      </c>
      <c r="P346" s="9">
        <v>46206</v>
      </c>
      <c r="Q346" t="s">
        <v>238</v>
      </c>
      <c r="R346" t="s">
        <v>239</v>
      </c>
      <c r="S346" t="s">
        <v>240</v>
      </c>
      <c r="T346" t="s">
        <v>836</v>
      </c>
      <c r="U346" t="s">
        <v>3870</v>
      </c>
      <c r="V346" t="s">
        <v>246</v>
      </c>
      <c r="W346" t="s">
        <v>244</v>
      </c>
      <c r="X346" t="s">
        <v>2705</v>
      </c>
      <c r="Y346" t="s">
        <v>168</v>
      </c>
      <c r="Z346" t="s">
        <v>171</v>
      </c>
      <c r="AA346" t="s">
        <v>175</v>
      </c>
      <c r="AB346" t="s">
        <v>44</v>
      </c>
      <c r="AC346" t="s">
        <v>42</v>
      </c>
      <c r="AD346" t="s">
        <v>43</v>
      </c>
      <c r="AE346" s="7">
        <v>294000</v>
      </c>
      <c r="AF346" s="7">
        <v>1</v>
      </c>
      <c r="AG346" s="7">
        <v>294000</v>
      </c>
      <c r="AH346" s="7">
        <v>0</v>
      </c>
      <c r="AI346" s="7">
        <v>294000</v>
      </c>
      <c r="AJ346" t="s">
        <v>42</v>
      </c>
    </row>
    <row r="347" spans="14:36" x14ac:dyDescent="0.3">
      <c r="N347" s="8">
        <v>2026</v>
      </c>
      <c r="O347" s="8">
        <v>7</v>
      </c>
      <c r="P347" s="9">
        <v>46206</v>
      </c>
      <c r="Q347" t="s">
        <v>238</v>
      </c>
      <c r="R347" t="s">
        <v>239</v>
      </c>
      <c r="S347" t="s">
        <v>240</v>
      </c>
      <c r="T347" t="s">
        <v>1345</v>
      </c>
      <c r="U347" t="s">
        <v>319</v>
      </c>
      <c r="V347" t="s">
        <v>246</v>
      </c>
      <c r="W347" t="s">
        <v>244</v>
      </c>
      <c r="X347" t="s">
        <v>2706</v>
      </c>
      <c r="Y347" t="s">
        <v>194</v>
      </c>
      <c r="Z347" t="s">
        <v>200</v>
      </c>
      <c r="AA347" t="s">
        <v>201</v>
      </c>
      <c r="AB347" t="s">
        <v>80</v>
      </c>
      <c r="AC347" t="s">
        <v>78</v>
      </c>
      <c r="AD347" t="s">
        <v>79</v>
      </c>
      <c r="AE347" s="7">
        <v>14000</v>
      </c>
      <c r="AF347" s="7">
        <v>2</v>
      </c>
      <c r="AG347" s="7">
        <v>28000</v>
      </c>
      <c r="AH347" s="7">
        <v>0</v>
      </c>
      <c r="AI347" s="7">
        <v>28000</v>
      </c>
      <c r="AJ347" t="s">
        <v>78</v>
      </c>
    </row>
    <row r="348" spans="14:36" x14ac:dyDescent="0.3">
      <c r="N348" s="8">
        <v>2026</v>
      </c>
      <c r="O348" s="8">
        <v>7</v>
      </c>
      <c r="P348" s="9">
        <v>46206</v>
      </c>
      <c r="Q348" t="s">
        <v>238</v>
      </c>
      <c r="R348" t="s">
        <v>239</v>
      </c>
      <c r="S348" t="s">
        <v>240</v>
      </c>
      <c r="T348" t="s">
        <v>2499</v>
      </c>
      <c r="U348" t="s">
        <v>716</v>
      </c>
      <c r="V348" t="s">
        <v>246</v>
      </c>
      <c r="W348" t="s">
        <v>244</v>
      </c>
      <c r="X348" t="s">
        <v>2707</v>
      </c>
      <c r="Y348" t="s">
        <v>191</v>
      </c>
      <c r="Z348" t="s">
        <v>192</v>
      </c>
      <c r="AA348" t="s">
        <v>193</v>
      </c>
      <c r="AB348" t="s">
        <v>113</v>
      </c>
      <c r="AC348" t="s">
        <v>111</v>
      </c>
      <c r="AD348" t="s">
        <v>112</v>
      </c>
      <c r="AE348" s="7">
        <v>235000</v>
      </c>
      <c r="AF348" s="7">
        <v>1</v>
      </c>
      <c r="AG348" s="7">
        <v>235000</v>
      </c>
      <c r="AH348" s="7">
        <v>0</v>
      </c>
      <c r="AI348" s="7">
        <v>235000</v>
      </c>
      <c r="AJ348" t="s">
        <v>111</v>
      </c>
    </row>
    <row r="349" spans="14:36" x14ac:dyDescent="0.3">
      <c r="N349" s="8">
        <v>2026</v>
      </c>
      <c r="O349" s="8">
        <v>7</v>
      </c>
      <c r="P349" s="9">
        <v>46206</v>
      </c>
      <c r="Q349" t="s">
        <v>238</v>
      </c>
      <c r="R349" t="s">
        <v>279</v>
      </c>
      <c r="S349" t="s">
        <v>280</v>
      </c>
      <c r="T349" t="s">
        <v>2709</v>
      </c>
      <c r="U349" t="s">
        <v>1608</v>
      </c>
      <c r="V349" t="s">
        <v>246</v>
      </c>
      <c r="W349" t="s">
        <v>244</v>
      </c>
      <c r="X349" t="s">
        <v>2710</v>
      </c>
      <c r="Y349" t="s">
        <v>168</v>
      </c>
      <c r="Z349" t="s">
        <v>171</v>
      </c>
      <c r="AA349" t="s">
        <v>175</v>
      </c>
      <c r="AB349" t="s">
        <v>137</v>
      </c>
      <c r="AC349" t="s">
        <v>135</v>
      </c>
      <c r="AD349" t="s">
        <v>136</v>
      </c>
      <c r="AE349" s="7">
        <v>100000</v>
      </c>
      <c r="AF349" s="7">
        <v>1</v>
      </c>
      <c r="AG349" s="7">
        <v>100000</v>
      </c>
      <c r="AH349" s="7">
        <v>10000</v>
      </c>
      <c r="AI349" s="7">
        <v>90000</v>
      </c>
      <c r="AJ349" t="s">
        <v>135</v>
      </c>
    </row>
    <row r="350" spans="14:36" x14ac:dyDescent="0.3">
      <c r="N350" s="8">
        <v>2026</v>
      </c>
      <c r="O350" s="8">
        <v>7</v>
      </c>
      <c r="P350" s="9">
        <v>46206</v>
      </c>
      <c r="Q350" t="s">
        <v>238</v>
      </c>
      <c r="R350" t="s">
        <v>303</v>
      </c>
      <c r="S350" t="s">
        <v>304</v>
      </c>
      <c r="T350" t="s">
        <v>2712</v>
      </c>
      <c r="U350" t="s">
        <v>3866</v>
      </c>
      <c r="V350" t="s">
        <v>246</v>
      </c>
      <c r="W350" t="s">
        <v>244</v>
      </c>
      <c r="X350" t="s">
        <v>2713</v>
      </c>
      <c r="Y350" t="s">
        <v>191</v>
      </c>
      <c r="Z350" t="s">
        <v>192</v>
      </c>
      <c r="AA350" t="s">
        <v>193</v>
      </c>
      <c r="AB350" t="s">
        <v>107</v>
      </c>
      <c r="AC350" t="s">
        <v>105</v>
      </c>
      <c r="AD350" t="s">
        <v>106</v>
      </c>
      <c r="AE350" s="7">
        <v>235000</v>
      </c>
      <c r="AF350" s="7">
        <v>1</v>
      </c>
      <c r="AG350" s="7">
        <v>235000</v>
      </c>
      <c r="AH350" s="7">
        <v>0</v>
      </c>
      <c r="AI350" s="7">
        <v>235000</v>
      </c>
      <c r="AJ350" t="s">
        <v>105</v>
      </c>
    </row>
    <row r="351" spans="14:36" x14ac:dyDescent="0.3">
      <c r="N351" s="8">
        <v>2026</v>
      </c>
      <c r="O351" s="8">
        <v>7</v>
      </c>
      <c r="P351" s="9">
        <v>46206</v>
      </c>
      <c r="Q351" t="s">
        <v>238</v>
      </c>
      <c r="R351" t="s">
        <v>303</v>
      </c>
      <c r="S351" t="s">
        <v>304</v>
      </c>
      <c r="T351" t="s">
        <v>1219</v>
      </c>
      <c r="U351" t="s">
        <v>298</v>
      </c>
      <c r="V351" t="s">
        <v>246</v>
      </c>
      <c r="W351" t="s">
        <v>244</v>
      </c>
      <c r="X351" t="s">
        <v>2714</v>
      </c>
      <c r="Y351" t="s">
        <v>191</v>
      </c>
      <c r="Z351" t="s">
        <v>192</v>
      </c>
      <c r="AA351" t="s">
        <v>193</v>
      </c>
      <c r="AB351" t="s">
        <v>107</v>
      </c>
      <c r="AC351" t="s">
        <v>105</v>
      </c>
      <c r="AD351" t="s">
        <v>106</v>
      </c>
      <c r="AE351" s="7">
        <v>235000</v>
      </c>
      <c r="AF351" s="7">
        <v>1</v>
      </c>
      <c r="AG351" s="7">
        <v>235000</v>
      </c>
      <c r="AH351" s="7">
        <v>0</v>
      </c>
      <c r="AI351" s="7">
        <v>235000</v>
      </c>
      <c r="AJ351" t="s">
        <v>105</v>
      </c>
    </row>
    <row r="352" spans="14:36" x14ac:dyDescent="0.3">
      <c r="N352" s="8">
        <v>2026</v>
      </c>
      <c r="O352" s="8">
        <v>7</v>
      </c>
      <c r="P352" s="9">
        <v>46206</v>
      </c>
      <c r="Q352" t="s">
        <v>238</v>
      </c>
      <c r="R352" t="s">
        <v>303</v>
      </c>
      <c r="S352" t="s">
        <v>304</v>
      </c>
      <c r="T352" t="s">
        <v>2715</v>
      </c>
      <c r="U352" t="s">
        <v>3871</v>
      </c>
      <c r="V352" t="s">
        <v>246</v>
      </c>
      <c r="W352" t="s">
        <v>244</v>
      </c>
      <c r="X352" t="s">
        <v>2716</v>
      </c>
      <c r="Y352" t="s">
        <v>168</v>
      </c>
      <c r="Z352" t="s">
        <v>171</v>
      </c>
      <c r="AA352" t="s">
        <v>175</v>
      </c>
      <c r="AB352" t="s">
        <v>137</v>
      </c>
      <c r="AC352" t="s">
        <v>135</v>
      </c>
      <c r="AD352" t="s">
        <v>136</v>
      </c>
      <c r="AE352" s="7">
        <v>100000</v>
      </c>
      <c r="AF352" s="7">
        <v>2</v>
      </c>
      <c r="AG352" s="7">
        <v>200000</v>
      </c>
      <c r="AH352" s="7">
        <v>20000</v>
      </c>
      <c r="AI352" s="7">
        <v>180000</v>
      </c>
      <c r="AJ352" t="s">
        <v>135</v>
      </c>
    </row>
    <row r="353" spans="14:36" x14ac:dyDescent="0.3">
      <c r="N353" s="8">
        <v>2026</v>
      </c>
      <c r="O353" s="8">
        <v>7</v>
      </c>
      <c r="P353" s="9">
        <v>46206</v>
      </c>
      <c r="Q353" t="s">
        <v>238</v>
      </c>
      <c r="R353" t="s">
        <v>303</v>
      </c>
      <c r="S353" t="s">
        <v>304</v>
      </c>
      <c r="T353" t="s">
        <v>2715</v>
      </c>
      <c r="U353" t="s">
        <v>3871</v>
      </c>
      <c r="V353" t="s">
        <v>246</v>
      </c>
      <c r="W353" t="s">
        <v>244</v>
      </c>
      <c r="X353" t="s">
        <v>2716</v>
      </c>
      <c r="Y353" t="s">
        <v>168</v>
      </c>
      <c r="Z353" t="s">
        <v>171</v>
      </c>
      <c r="AA353" t="s">
        <v>175</v>
      </c>
      <c r="AB353" t="s">
        <v>140</v>
      </c>
      <c r="AC353" t="s">
        <v>138</v>
      </c>
      <c r="AD353" t="s">
        <v>139</v>
      </c>
      <c r="AE353" s="7">
        <v>125000</v>
      </c>
      <c r="AF353" s="7">
        <v>3</v>
      </c>
      <c r="AG353" s="7">
        <v>375000</v>
      </c>
      <c r="AH353" s="7">
        <v>37500</v>
      </c>
      <c r="AI353" s="7">
        <v>337500</v>
      </c>
      <c r="AJ353" t="s">
        <v>138</v>
      </c>
    </row>
    <row r="354" spans="14:36" x14ac:dyDescent="0.3">
      <c r="N354" s="8">
        <v>2026</v>
      </c>
      <c r="O354" s="8">
        <v>7</v>
      </c>
      <c r="P354" s="9">
        <v>46206</v>
      </c>
      <c r="Q354" t="s">
        <v>238</v>
      </c>
      <c r="R354" t="s">
        <v>303</v>
      </c>
      <c r="S354" t="s">
        <v>304</v>
      </c>
      <c r="T354" t="s">
        <v>2717</v>
      </c>
      <c r="U354" t="s">
        <v>364</v>
      </c>
      <c r="V354" t="s">
        <v>246</v>
      </c>
      <c r="W354" t="s">
        <v>244</v>
      </c>
      <c r="X354" t="s">
        <v>2718</v>
      </c>
      <c r="Y354" t="s">
        <v>191</v>
      </c>
      <c r="Z354" t="s">
        <v>335</v>
      </c>
      <c r="AA354" t="s">
        <v>336</v>
      </c>
      <c r="AB354" t="s">
        <v>1284</v>
      </c>
      <c r="AC354" t="s">
        <v>1285</v>
      </c>
      <c r="AD354" t="s">
        <v>1286</v>
      </c>
      <c r="AE354" s="7">
        <v>99000</v>
      </c>
      <c r="AF354" s="7">
        <v>2</v>
      </c>
      <c r="AG354" s="7">
        <v>198000</v>
      </c>
      <c r="AH354" s="7">
        <v>0</v>
      </c>
      <c r="AI354" s="7">
        <v>198000</v>
      </c>
      <c r="AJ354" t="s">
        <v>1285</v>
      </c>
    </row>
    <row r="355" spans="14:36" x14ac:dyDescent="0.3">
      <c r="N355" s="8">
        <v>2026</v>
      </c>
      <c r="O355" s="8">
        <v>7</v>
      </c>
      <c r="P355" s="9">
        <v>46206</v>
      </c>
      <c r="Q355" t="s">
        <v>238</v>
      </c>
      <c r="R355" t="s">
        <v>374</v>
      </c>
      <c r="S355" t="s">
        <v>375</v>
      </c>
      <c r="T355" t="s">
        <v>376</v>
      </c>
      <c r="U355" t="s">
        <v>377</v>
      </c>
      <c r="V355" t="s">
        <v>243</v>
      </c>
      <c r="W355" t="s">
        <v>244</v>
      </c>
      <c r="X355" t="s">
        <v>2719</v>
      </c>
      <c r="Y355" t="s">
        <v>183</v>
      </c>
      <c r="Z355" t="s">
        <v>189</v>
      </c>
      <c r="AA355" t="s">
        <v>190</v>
      </c>
      <c r="AB355" t="s">
        <v>92</v>
      </c>
      <c r="AC355" t="s">
        <v>90</v>
      </c>
      <c r="AD355" t="s">
        <v>91</v>
      </c>
      <c r="AE355" s="7">
        <v>52000</v>
      </c>
      <c r="AF355" s="7">
        <v>1</v>
      </c>
      <c r="AG355" s="7">
        <v>52000</v>
      </c>
      <c r="AH355" s="7">
        <v>0</v>
      </c>
      <c r="AI355" s="7">
        <v>52000</v>
      </c>
      <c r="AJ355" t="s">
        <v>90</v>
      </c>
    </row>
    <row r="356" spans="14:36" x14ac:dyDescent="0.3">
      <c r="N356" s="8">
        <v>2026</v>
      </c>
      <c r="O356" s="8">
        <v>7</v>
      </c>
      <c r="P356" s="9">
        <v>46206</v>
      </c>
      <c r="Q356" t="s">
        <v>238</v>
      </c>
      <c r="R356" t="s">
        <v>374</v>
      </c>
      <c r="S356" t="s">
        <v>375</v>
      </c>
      <c r="T356" t="s">
        <v>376</v>
      </c>
      <c r="U356" t="s">
        <v>377</v>
      </c>
      <c r="V356" t="s">
        <v>243</v>
      </c>
      <c r="W356" t="s">
        <v>244</v>
      </c>
      <c r="X356" t="s">
        <v>2720</v>
      </c>
      <c r="Y356" t="s">
        <v>194</v>
      </c>
      <c r="Z356" t="s">
        <v>200</v>
      </c>
      <c r="AA356" t="s">
        <v>201</v>
      </c>
      <c r="AB356" t="s">
        <v>77</v>
      </c>
      <c r="AC356" t="s">
        <v>75</v>
      </c>
      <c r="AD356" t="s">
        <v>76</v>
      </c>
      <c r="AE356" s="7">
        <v>52000</v>
      </c>
      <c r="AF356" s="7">
        <v>1</v>
      </c>
      <c r="AG356" s="7">
        <v>52000</v>
      </c>
      <c r="AH356" s="7">
        <v>0</v>
      </c>
      <c r="AI356" s="7">
        <v>52000</v>
      </c>
      <c r="AJ356" t="s">
        <v>75</v>
      </c>
    </row>
    <row r="357" spans="14:36" x14ac:dyDescent="0.3">
      <c r="N357" s="8">
        <v>2026</v>
      </c>
      <c r="O357" s="8">
        <v>7</v>
      </c>
      <c r="P357" s="9">
        <v>46206</v>
      </c>
      <c r="Q357" t="s">
        <v>238</v>
      </c>
      <c r="R357" t="s">
        <v>396</v>
      </c>
      <c r="S357" t="s">
        <v>397</v>
      </c>
      <c r="T357" t="s">
        <v>2721</v>
      </c>
      <c r="U357" t="s">
        <v>3661</v>
      </c>
      <c r="V357" t="s">
        <v>246</v>
      </c>
      <c r="W357" t="s">
        <v>244</v>
      </c>
      <c r="X357" t="s">
        <v>2722</v>
      </c>
      <c r="Y357" t="s">
        <v>191</v>
      </c>
      <c r="Z357" t="s">
        <v>335</v>
      </c>
      <c r="AA357" t="s">
        <v>336</v>
      </c>
      <c r="AB357" t="s">
        <v>1284</v>
      </c>
      <c r="AC357" t="s">
        <v>1285</v>
      </c>
      <c r="AD357" t="s">
        <v>1286</v>
      </c>
      <c r="AE357" s="7">
        <v>99000</v>
      </c>
      <c r="AF357" s="7">
        <v>1</v>
      </c>
      <c r="AG357" s="7">
        <v>99000</v>
      </c>
      <c r="AH357" s="7">
        <v>0</v>
      </c>
      <c r="AI357" s="7">
        <v>99000</v>
      </c>
      <c r="AJ357" t="s">
        <v>1285</v>
      </c>
    </row>
    <row r="358" spans="14:36" x14ac:dyDescent="0.3">
      <c r="N358" s="8">
        <v>2026</v>
      </c>
      <c r="O358" s="8">
        <v>7</v>
      </c>
      <c r="P358" s="9">
        <v>46206</v>
      </c>
      <c r="Q358" t="s">
        <v>238</v>
      </c>
      <c r="R358" t="s">
        <v>425</v>
      </c>
      <c r="S358" t="s">
        <v>426</v>
      </c>
      <c r="T358" t="s">
        <v>2723</v>
      </c>
      <c r="U358" t="s">
        <v>2724</v>
      </c>
      <c r="V358" t="s">
        <v>246</v>
      </c>
      <c r="W358" t="s">
        <v>244</v>
      </c>
      <c r="X358" t="s">
        <v>2725</v>
      </c>
      <c r="Y358" t="s">
        <v>183</v>
      </c>
      <c r="Z358" t="s">
        <v>189</v>
      </c>
      <c r="AA358" t="s">
        <v>190</v>
      </c>
      <c r="AB358" t="s">
        <v>92</v>
      </c>
      <c r="AC358" t="s">
        <v>90</v>
      </c>
      <c r="AD358" t="s">
        <v>91</v>
      </c>
      <c r="AE358" s="7">
        <v>52000</v>
      </c>
      <c r="AF358" s="7">
        <v>2</v>
      </c>
      <c r="AG358" s="7">
        <v>104000</v>
      </c>
      <c r="AH358" s="7">
        <v>0</v>
      </c>
      <c r="AI358" s="7">
        <v>104000</v>
      </c>
      <c r="AJ358" t="s">
        <v>90</v>
      </c>
    </row>
    <row r="359" spans="14:36" x14ac:dyDescent="0.3">
      <c r="N359" s="8">
        <v>2026</v>
      </c>
      <c r="O359" s="8">
        <v>7</v>
      </c>
      <c r="P359" s="9">
        <v>46206</v>
      </c>
      <c r="Q359" t="s">
        <v>238</v>
      </c>
      <c r="R359" t="s">
        <v>425</v>
      </c>
      <c r="S359" t="s">
        <v>426</v>
      </c>
      <c r="T359" t="s">
        <v>2711</v>
      </c>
      <c r="U359" t="s">
        <v>3872</v>
      </c>
      <c r="V359" t="s">
        <v>249</v>
      </c>
      <c r="W359" t="s">
        <v>244</v>
      </c>
      <c r="X359" t="s">
        <v>2726</v>
      </c>
      <c r="Y359" t="s">
        <v>168</v>
      </c>
      <c r="Z359" t="s">
        <v>171</v>
      </c>
      <c r="AA359" t="s">
        <v>175</v>
      </c>
      <c r="AB359" t="s">
        <v>41</v>
      </c>
      <c r="AC359" t="s">
        <v>39</v>
      </c>
      <c r="AD359" t="s">
        <v>40</v>
      </c>
      <c r="AE359" s="7">
        <v>295000</v>
      </c>
      <c r="AF359" s="7">
        <v>1</v>
      </c>
      <c r="AG359" s="7">
        <v>295000</v>
      </c>
      <c r="AH359" s="7">
        <v>0</v>
      </c>
      <c r="AI359" s="7">
        <v>295000</v>
      </c>
      <c r="AJ359" t="s">
        <v>39</v>
      </c>
    </row>
    <row r="360" spans="14:36" x14ac:dyDescent="0.3">
      <c r="N360" s="8">
        <v>2026</v>
      </c>
      <c r="O360" s="8">
        <v>7</v>
      </c>
      <c r="P360" s="9">
        <v>46205</v>
      </c>
      <c r="Q360" t="s">
        <v>238</v>
      </c>
      <c r="R360" t="s">
        <v>239</v>
      </c>
      <c r="S360" t="s">
        <v>240</v>
      </c>
      <c r="T360" t="s">
        <v>691</v>
      </c>
      <c r="U360" t="s">
        <v>692</v>
      </c>
      <c r="V360" t="s">
        <v>246</v>
      </c>
      <c r="W360" t="s">
        <v>244</v>
      </c>
      <c r="X360" t="s">
        <v>2727</v>
      </c>
      <c r="Y360" t="s">
        <v>168</v>
      </c>
      <c r="Z360" t="s">
        <v>171</v>
      </c>
      <c r="AA360" t="s">
        <v>172</v>
      </c>
      <c r="AB360" t="s">
        <v>14</v>
      </c>
      <c r="AC360" t="s">
        <v>12</v>
      </c>
      <c r="AD360" t="s">
        <v>13</v>
      </c>
      <c r="AE360" s="7">
        <v>135000</v>
      </c>
      <c r="AF360" s="7">
        <v>1</v>
      </c>
      <c r="AG360" s="7">
        <v>135000</v>
      </c>
      <c r="AH360" s="7">
        <v>0</v>
      </c>
      <c r="AI360" s="7">
        <v>135000</v>
      </c>
      <c r="AJ360" t="s">
        <v>12</v>
      </c>
    </row>
    <row r="361" spans="14:36" x14ac:dyDescent="0.3">
      <c r="N361" s="8">
        <v>2026</v>
      </c>
      <c r="O361" s="8">
        <v>7</v>
      </c>
      <c r="P361" s="9">
        <v>46205</v>
      </c>
      <c r="Q361" t="s">
        <v>238</v>
      </c>
      <c r="R361" t="s">
        <v>239</v>
      </c>
      <c r="S361" t="s">
        <v>240</v>
      </c>
      <c r="T361" t="s">
        <v>2728</v>
      </c>
      <c r="U361" t="s">
        <v>3873</v>
      </c>
      <c r="V361" t="s">
        <v>249</v>
      </c>
      <c r="W361" t="s">
        <v>244</v>
      </c>
      <c r="X361" t="s">
        <v>2729</v>
      </c>
      <c r="Y361" t="s">
        <v>183</v>
      </c>
      <c r="Z361" t="s">
        <v>189</v>
      </c>
      <c r="AA361" t="s">
        <v>190</v>
      </c>
      <c r="AB361" t="s">
        <v>92</v>
      </c>
      <c r="AC361" t="s">
        <v>90</v>
      </c>
      <c r="AD361" t="s">
        <v>91</v>
      </c>
      <c r="AE361" s="7">
        <v>52000</v>
      </c>
      <c r="AF361" s="7">
        <v>1</v>
      </c>
      <c r="AG361" s="7">
        <v>52000</v>
      </c>
      <c r="AH361" s="7">
        <v>0</v>
      </c>
      <c r="AI361" s="7">
        <v>52000</v>
      </c>
      <c r="AJ361" t="s">
        <v>90</v>
      </c>
    </row>
    <row r="362" spans="14:36" x14ac:dyDescent="0.3">
      <c r="N362" s="8">
        <v>2026</v>
      </c>
      <c r="O362" s="8">
        <v>7</v>
      </c>
      <c r="P362" s="9">
        <v>46205</v>
      </c>
      <c r="Q362" t="s">
        <v>238</v>
      </c>
      <c r="R362" t="s">
        <v>239</v>
      </c>
      <c r="S362" t="s">
        <v>240</v>
      </c>
      <c r="T362" t="s">
        <v>277</v>
      </c>
      <c r="U362" t="s">
        <v>278</v>
      </c>
      <c r="V362" t="s">
        <v>246</v>
      </c>
      <c r="W362" t="s">
        <v>244</v>
      </c>
      <c r="X362" t="s">
        <v>2730</v>
      </c>
      <c r="Y362" t="s">
        <v>191</v>
      </c>
      <c r="Z362" t="s">
        <v>335</v>
      </c>
      <c r="AA362" t="s">
        <v>336</v>
      </c>
      <c r="AB362" t="s">
        <v>1518</v>
      </c>
      <c r="AC362" t="s">
        <v>1519</v>
      </c>
      <c r="AD362" t="s">
        <v>1520</v>
      </c>
      <c r="AE362" s="7">
        <v>99000</v>
      </c>
      <c r="AF362" s="7">
        <v>1</v>
      </c>
      <c r="AG362" s="7">
        <v>99000</v>
      </c>
      <c r="AH362" s="7">
        <v>0</v>
      </c>
      <c r="AI362" s="7">
        <v>99000</v>
      </c>
      <c r="AJ362" t="s">
        <v>1519</v>
      </c>
    </row>
    <row r="363" spans="14:36" x14ac:dyDescent="0.3">
      <c r="N363" s="8">
        <v>2026</v>
      </c>
      <c r="O363" s="8">
        <v>7</v>
      </c>
      <c r="P363" s="9">
        <v>46205</v>
      </c>
      <c r="Q363" t="s">
        <v>238</v>
      </c>
      <c r="R363" t="s">
        <v>239</v>
      </c>
      <c r="S363" t="s">
        <v>240</v>
      </c>
      <c r="T363" t="s">
        <v>733</v>
      </c>
      <c r="U363" t="s">
        <v>734</v>
      </c>
      <c r="V363" t="s">
        <v>246</v>
      </c>
      <c r="W363" t="s">
        <v>244</v>
      </c>
      <c r="X363" t="s">
        <v>2731</v>
      </c>
      <c r="Y363" t="s">
        <v>191</v>
      </c>
      <c r="Z363" t="s">
        <v>335</v>
      </c>
      <c r="AA363" t="s">
        <v>337</v>
      </c>
      <c r="AB363" t="s">
        <v>348</v>
      </c>
      <c r="AC363" t="s">
        <v>349</v>
      </c>
      <c r="AD363" t="s">
        <v>350</v>
      </c>
      <c r="AE363" s="7">
        <v>76000</v>
      </c>
      <c r="AF363" s="7">
        <v>1</v>
      </c>
      <c r="AG363" s="7">
        <v>76000</v>
      </c>
      <c r="AH363" s="7">
        <v>0</v>
      </c>
      <c r="AI363" s="7">
        <v>76000</v>
      </c>
      <c r="AJ363" t="s">
        <v>349</v>
      </c>
    </row>
    <row r="364" spans="14:36" x14ac:dyDescent="0.3">
      <c r="N364" s="8">
        <v>2026</v>
      </c>
      <c r="O364" s="8">
        <v>7</v>
      </c>
      <c r="P364" s="9">
        <v>46205</v>
      </c>
      <c r="Q364" t="s">
        <v>238</v>
      </c>
      <c r="R364" t="s">
        <v>279</v>
      </c>
      <c r="S364" t="s">
        <v>280</v>
      </c>
      <c r="T364" t="s">
        <v>281</v>
      </c>
      <c r="U364" t="s">
        <v>282</v>
      </c>
      <c r="V364" t="s">
        <v>243</v>
      </c>
      <c r="W364" t="s">
        <v>244</v>
      </c>
      <c r="X364" t="s">
        <v>2732</v>
      </c>
      <c r="Y364" t="s">
        <v>191</v>
      </c>
      <c r="Z364" t="s">
        <v>192</v>
      </c>
      <c r="AA364" t="s">
        <v>193</v>
      </c>
      <c r="AB364" t="s">
        <v>116</v>
      </c>
      <c r="AC364" t="s">
        <v>114</v>
      </c>
      <c r="AD364" t="s">
        <v>115</v>
      </c>
      <c r="AE364" s="7">
        <v>235000</v>
      </c>
      <c r="AF364" s="7">
        <v>1</v>
      </c>
      <c r="AG364" s="7">
        <v>235000</v>
      </c>
      <c r="AH364" s="7">
        <v>0</v>
      </c>
      <c r="AI364" s="7">
        <v>235000</v>
      </c>
      <c r="AJ364" t="s">
        <v>114</v>
      </c>
    </row>
    <row r="365" spans="14:36" x14ac:dyDescent="0.3">
      <c r="N365" s="8">
        <v>2026</v>
      </c>
      <c r="O365" s="8">
        <v>7</v>
      </c>
      <c r="P365" s="9">
        <v>46205</v>
      </c>
      <c r="Q365" t="s">
        <v>238</v>
      </c>
      <c r="R365" t="s">
        <v>279</v>
      </c>
      <c r="S365" t="s">
        <v>280</v>
      </c>
      <c r="T365" t="s">
        <v>281</v>
      </c>
      <c r="U365" t="s">
        <v>282</v>
      </c>
      <c r="V365" t="s">
        <v>243</v>
      </c>
      <c r="W365" t="s">
        <v>244</v>
      </c>
      <c r="X365" t="s">
        <v>2733</v>
      </c>
      <c r="Y365" t="s">
        <v>168</v>
      </c>
      <c r="Z365" t="s">
        <v>171</v>
      </c>
      <c r="AA365" t="s">
        <v>175</v>
      </c>
      <c r="AB365" t="s">
        <v>35</v>
      </c>
      <c r="AC365" t="s">
        <v>33</v>
      </c>
      <c r="AD365" t="s">
        <v>34</v>
      </c>
      <c r="AE365" s="7">
        <v>255000</v>
      </c>
      <c r="AF365" s="7">
        <v>1</v>
      </c>
      <c r="AG365" s="7">
        <v>255000</v>
      </c>
      <c r="AH365" s="7">
        <v>0</v>
      </c>
      <c r="AI365" s="7">
        <v>255000</v>
      </c>
      <c r="AJ365" t="s">
        <v>33</v>
      </c>
    </row>
    <row r="366" spans="14:36" x14ac:dyDescent="0.3">
      <c r="N366" s="8">
        <v>2026</v>
      </c>
      <c r="O366" s="8">
        <v>7</v>
      </c>
      <c r="P366" s="9">
        <v>46205</v>
      </c>
      <c r="Q366" t="s">
        <v>238</v>
      </c>
      <c r="R366" t="s">
        <v>279</v>
      </c>
      <c r="S366" t="s">
        <v>280</v>
      </c>
      <c r="T366" t="s">
        <v>281</v>
      </c>
      <c r="U366" t="s">
        <v>282</v>
      </c>
      <c r="V366" t="s">
        <v>243</v>
      </c>
      <c r="W366" t="s">
        <v>244</v>
      </c>
      <c r="X366" t="s">
        <v>2734</v>
      </c>
      <c r="Y366" t="s">
        <v>191</v>
      </c>
      <c r="Z366" t="s">
        <v>192</v>
      </c>
      <c r="AA366" t="s">
        <v>193</v>
      </c>
      <c r="AB366" t="s">
        <v>119</v>
      </c>
      <c r="AC366" t="s">
        <v>117</v>
      </c>
      <c r="AD366" t="s">
        <v>118</v>
      </c>
      <c r="AE366" s="7">
        <v>235000</v>
      </c>
      <c r="AF366" s="7">
        <v>1</v>
      </c>
      <c r="AG366" s="7">
        <v>235000</v>
      </c>
      <c r="AH366" s="7">
        <v>0</v>
      </c>
      <c r="AI366" s="7">
        <v>235000</v>
      </c>
      <c r="AJ366" t="s">
        <v>117</v>
      </c>
    </row>
    <row r="367" spans="14:36" x14ac:dyDescent="0.3">
      <c r="N367" s="8">
        <v>2026</v>
      </c>
      <c r="O367" s="8">
        <v>7</v>
      </c>
      <c r="P367" s="9">
        <v>46205</v>
      </c>
      <c r="Q367" t="s">
        <v>238</v>
      </c>
      <c r="R367" t="s">
        <v>279</v>
      </c>
      <c r="S367" t="s">
        <v>280</v>
      </c>
      <c r="T367" t="s">
        <v>2735</v>
      </c>
      <c r="U367" t="s">
        <v>3874</v>
      </c>
      <c r="V367" t="s">
        <v>246</v>
      </c>
      <c r="W367" t="s">
        <v>244</v>
      </c>
      <c r="X367" t="s">
        <v>2736</v>
      </c>
      <c r="Y367" t="s">
        <v>191</v>
      </c>
      <c r="Z367" t="s">
        <v>335</v>
      </c>
      <c r="AA367" t="s">
        <v>336</v>
      </c>
      <c r="AB367" t="s">
        <v>1284</v>
      </c>
      <c r="AC367" t="s">
        <v>1285</v>
      </c>
      <c r="AD367" t="s">
        <v>1286</v>
      </c>
      <c r="AE367" s="7">
        <v>99000</v>
      </c>
      <c r="AF367" s="7">
        <v>1</v>
      </c>
      <c r="AG367" s="7">
        <v>99000</v>
      </c>
      <c r="AH367" s="7">
        <v>0</v>
      </c>
      <c r="AI367" s="7">
        <v>99000</v>
      </c>
      <c r="AJ367" t="s">
        <v>1285</v>
      </c>
    </row>
    <row r="368" spans="14:36" x14ac:dyDescent="0.3">
      <c r="N368" s="8">
        <v>2026</v>
      </c>
      <c r="O368" s="8">
        <v>7</v>
      </c>
      <c r="P368" s="9">
        <v>46205</v>
      </c>
      <c r="Q368" t="s">
        <v>238</v>
      </c>
      <c r="R368" t="s">
        <v>279</v>
      </c>
      <c r="S368" t="s">
        <v>280</v>
      </c>
      <c r="T368" t="s">
        <v>1537</v>
      </c>
      <c r="U368" t="s">
        <v>1538</v>
      </c>
      <c r="V368" t="s">
        <v>246</v>
      </c>
      <c r="W368" t="s">
        <v>244</v>
      </c>
      <c r="X368" t="s">
        <v>2737</v>
      </c>
      <c r="Y368" t="s">
        <v>194</v>
      </c>
      <c r="Z368" t="s">
        <v>200</v>
      </c>
      <c r="AA368" t="s">
        <v>201</v>
      </c>
      <c r="AB368" t="s">
        <v>86</v>
      </c>
      <c r="AC368" t="s">
        <v>84</v>
      </c>
      <c r="AD368" t="s">
        <v>85</v>
      </c>
      <c r="AE368" s="7">
        <v>49000</v>
      </c>
      <c r="AF368" s="7">
        <v>1</v>
      </c>
      <c r="AG368" s="7">
        <v>49000</v>
      </c>
      <c r="AH368" s="7">
        <v>0</v>
      </c>
      <c r="AI368" s="7">
        <v>49000</v>
      </c>
      <c r="AJ368" t="s">
        <v>84</v>
      </c>
    </row>
    <row r="369" spans="14:36" x14ac:dyDescent="0.3">
      <c r="N369" s="8">
        <v>2026</v>
      </c>
      <c r="O369" s="8">
        <v>7</v>
      </c>
      <c r="P369" s="9">
        <v>46205</v>
      </c>
      <c r="Q369" t="s">
        <v>238</v>
      </c>
      <c r="R369" t="s">
        <v>279</v>
      </c>
      <c r="S369" t="s">
        <v>280</v>
      </c>
      <c r="T369" t="s">
        <v>545</v>
      </c>
      <c r="U369" t="s">
        <v>546</v>
      </c>
      <c r="V369" t="s">
        <v>246</v>
      </c>
      <c r="W369" t="s">
        <v>244</v>
      </c>
      <c r="X369" t="s">
        <v>2738</v>
      </c>
      <c r="Y369" t="s">
        <v>194</v>
      </c>
      <c r="Z369" t="s">
        <v>200</v>
      </c>
      <c r="AA369" t="s">
        <v>201</v>
      </c>
      <c r="AB369" t="s">
        <v>86</v>
      </c>
      <c r="AC369" t="s">
        <v>84</v>
      </c>
      <c r="AD369" t="s">
        <v>85</v>
      </c>
      <c r="AE369" s="7">
        <v>49000</v>
      </c>
      <c r="AF369" s="7">
        <v>1</v>
      </c>
      <c r="AG369" s="7">
        <v>49000</v>
      </c>
      <c r="AH369" s="7">
        <v>0</v>
      </c>
      <c r="AI369" s="7">
        <v>49000</v>
      </c>
      <c r="AJ369" t="s">
        <v>84</v>
      </c>
    </row>
    <row r="370" spans="14:36" x14ac:dyDescent="0.3">
      <c r="N370" s="8">
        <v>2026</v>
      </c>
      <c r="O370" s="8">
        <v>7</v>
      </c>
      <c r="P370" s="9">
        <v>46205</v>
      </c>
      <c r="Q370" t="s">
        <v>238</v>
      </c>
      <c r="R370" t="s">
        <v>303</v>
      </c>
      <c r="S370" t="s">
        <v>304</v>
      </c>
      <c r="T370" t="s">
        <v>647</v>
      </c>
      <c r="U370" t="s">
        <v>648</v>
      </c>
      <c r="V370" t="s">
        <v>246</v>
      </c>
      <c r="W370" t="s">
        <v>244</v>
      </c>
      <c r="X370" t="s">
        <v>2739</v>
      </c>
      <c r="Y370" t="s">
        <v>191</v>
      </c>
      <c r="Z370" t="s">
        <v>335</v>
      </c>
      <c r="AA370" t="s">
        <v>337</v>
      </c>
      <c r="AB370" t="s">
        <v>541</v>
      </c>
      <c r="AC370" t="s">
        <v>542</v>
      </c>
      <c r="AD370" t="s">
        <v>543</v>
      </c>
      <c r="AE370" s="7">
        <v>69000</v>
      </c>
      <c r="AF370" s="7">
        <v>1</v>
      </c>
      <c r="AG370" s="7">
        <v>69000</v>
      </c>
      <c r="AH370" s="7">
        <v>0</v>
      </c>
      <c r="AI370" s="7">
        <v>69000</v>
      </c>
      <c r="AJ370" t="s">
        <v>542</v>
      </c>
    </row>
    <row r="371" spans="14:36" x14ac:dyDescent="0.3">
      <c r="N371" s="8">
        <v>2026</v>
      </c>
      <c r="O371" s="8">
        <v>7</v>
      </c>
      <c r="P371" s="9">
        <v>46205</v>
      </c>
      <c r="Q371" t="s">
        <v>238</v>
      </c>
      <c r="R371" t="s">
        <v>303</v>
      </c>
      <c r="S371" t="s">
        <v>304</v>
      </c>
      <c r="T371" t="s">
        <v>1455</v>
      </c>
      <c r="U371" t="s">
        <v>3865</v>
      </c>
      <c r="V371" t="s">
        <v>246</v>
      </c>
      <c r="W371" t="s">
        <v>244</v>
      </c>
      <c r="X371" t="s">
        <v>2740</v>
      </c>
      <c r="Y371" t="s">
        <v>183</v>
      </c>
      <c r="Z371" t="s">
        <v>186</v>
      </c>
      <c r="AA371" t="s">
        <v>188</v>
      </c>
      <c r="AB371" t="s">
        <v>95</v>
      </c>
      <c r="AC371" t="s">
        <v>93</v>
      </c>
      <c r="AD371" t="s">
        <v>94</v>
      </c>
      <c r="AE371" s="7">
        <v>239000</v>
      </c>
      <c r="AF371" s="7">
        <v>1</v>
      </c>
      <c r="AG371" s="7">
        <v>239000</v>
      </c>
      <c r="AH371" s="7">
        <v>0</v>
      </c>
      <c r="AI371" s="7">
        <v>239000</v>
      </c>
      <c r="AJ371" t="s">
        <v>93</v>
      </c>
    </row>
    <row r="372" spans="14:36" x14ac:dyDescent="0.3">
      <c r="N372" s="8">
        <v>2026</v>
      </c>
      <c r="O372" s="8">
        <v>7</v>
      </c>
      <c r="P372" s="9">
        <v>46205</v>
      </c>
      <c r="Q372" t="s">
        <v>238</v>
      </c>
      <c r="R372" t="s">
        <v>303</v>
      </c>
      <c r="S372" t="s">
        <v>304</v>
      </c>
      <c r="T372" t="s">
        <v>1455</v>
      </c>
      <c r="U372" t="s">
        <v>3865</v>
      </c>
      <c r="V372" t="s">
        <v>246</v>
      </c>
      <c r="W372" t="s">
        <v>244</v>
      </c>
      <c r="X372" t="s">
        <v>2740</v>
      </c>
      <c r="Y372" t="s">
        <v>191</v>
      </c>
      <c r="Z372" t="s">
        <v>192</v>
      </c>
      <c r="AA372" t="s">
        <v>193</v>
      </c>
      <c r="AB372" t="s">
        <v>113</v>
      </c>
      <c r="AC372" t="s">
        <v>111</v>
      </c>
      <c r="AD372" t="s">
        <v>112</v>
      </c>
      <c r="AE372" s="7">
        <v>235000</v>
      </c>
      <c r="AF372" s="7">
        <v>1</v>
      </c>
      <c r="AG372" s="7">
        <v>235000</v>
      </c>
      <c r="AH372" s="7">
        <v>0</v>
      </c>
      <c r="AI372" s="7">
        <v>235000</v>
      </c>
      <c r="AJ372" t="s">
        <v>111</v>
      </c>
    </row>
    <row r="373" spans="14:36" x14ac:dyDescent="0.3">
      <c r="N373" s="8">
        <v>2026</v>
      </c>
      <c r="O373" s="8">
        <v>7</v>
      </c>
      <c r="P373" s="9">
        <v>46205</v>
      </c>
      <c r="Q373" t="s">
        <v>238</v>
      </c>
      <c r="R373" t="s">
        <v>303</v>
      </c>
      <c r="S373" t="s">
        <v>304</v>
      </c>
      <c r="T373" t="s">
        <v>2741</v>
      </c>
      <c r="U373" t="s">
        <v>612</v>
      </c>
      <c r="V373" t="s">
        <v>246</v>
      </c>
      <c r="W373" t="s">
        <v>244</v>
      </c>
      <c r="X373" t="s">
        <v>2742</v>
      </c>
      <c r="Y373" t="s">
        <v>168</v>
      </c>
      <c r="Z373" t="s">
        <v>169</v>
      </c>
      <c r="AA373" t="s">
        <v>170</v>
      </c>
      <c r="AB373" t="s">
        <v>8</v>
      </c>
      <c r="AC373" t="s">
        <v>6</v>
      </c>
      <c r="AD373" t="s">
        <v>7</v>
      </c>
      <c r="AE373" s="7">
        <v>435000</v>
      </c>
      <c r="AF373" s="7">
        <v>1</v>
      </c>
      <c r="AG373" s="7">
        <v>435000</v>
      </c>
      <c r="AH373" s="7">
        <v>0</v>
      </c>
      <c r="AI373" s="7">
        <v>435000</v>
      </c>
      <c r="AJ373" t="s">
        <v>6</v>
      </c>
    </row>
    <row r="374" spans="14:36" x14ac:dyDescent="0.3">
      <c r="N374" s="8">
        <v>2026</v>
      </c>
      <c r="O374" s="8">
        <v>7</v>
      </c>
      <c r="P374" s="9">
        <v>46205</v>
      </c>
      <c r="Q374" t="s">
        <v>238</v>
      </c>
      <c r="R374" t="s">
        <v>303</v>
      </c>
      <c r="S374" t="s">
        <v>304</v>
      </c>
      <c r="T374" t="s">
        <v>2743</v>
      </c>
      <c r="U374" t="s">
        <v>3875</v>
      </c>
      <c r="V374" t="s">
        <v>249</v>
      </c>
      <c r="W374" t="s">
        <v>244</v>
      </c>
      <c r="X374" t="s">
        <v>2744</v>
      </c>
      <c r="Y374" t="s">
        <v>191</v>
      </c>
      <c r="Z374" t="s">
        <v>192</v>
      </c>
      <c r="AA374" t="s">
        <v>193</v>
      </c>
      <c r="AB374" t="s">
        <v>113</v>
      </c>
      <c r="AC374" t="s">
        <v>111</v>
      </c>
      <c r="AD374" t="s">
        <v>112</v>
      </c>
      <c r="AE374" s="7">
        <v>235000</v>
      </c>
      <c r="AF374" s="7">
        <v>1</v>
      </c>
      <c r="AG374" s="7">
        <v>235000</v>
      </c>
      <c r="AH374" s="7">
        <v>0</v>
      </c>
      <c r="AI374" s="7">
        <v>235000</v>
      </c>
      <c r="AJ374" t="s">
        <v>111</v>
      </c>
    </row>
    <row r="375" spans="14:36" x14ac:dyDescent="0.3">
      <c r="N375" s="8">
        <v>2026</v>
      </c>
      <c r="O375" s="8">
        <v>7</v>
      </c>
      <c r="P375" s="9">
        <v>46205</v>
      </c>
      <c r="Q375" t="s">
        <v>238</v>
      </c>
      <c r="R375" t="s">
        <v>351</v>
      </c>
      <c r="S375" t="s">
        <v>352</v>
      </c>
      <c r="T375" t="s">
        <v>2745</v>
      </c>
      <c r="U375" t="s">
        <v>2746</v>
      </c>
      <c r="V375" t="s">
        <v>246</v>
      </c>
      <c r="W375" t="s">
        <v>244</v>
      </c>
      <c r="X375" t="s">
        <v>2747</v>
      </c>
      <c r="Y375" t="s">
        <v>191</v>
      </c>
      <c r="Z375" t="s">
        <v>335</v>
      </c>
      <c r="AA375" t="s">
        <v>337</v>
      </c>
      <c r="AB375" t="s">
        <v>541</v>
      </c>
      <c r="AC375" t="s">
        <v>542</v>
      </c>
      <c r="AD375" t="s">
        <v>543</v>
      </c>
      <c r="AE375" s="7">
        <v>69000</v>
      </c>
      <c r="AF375" s="7">
        <v>1</v>
      </c>
      <c r="AG375" s="7">
        <v>69000</v>
      </c>
      <c r="AH375" s="7">
        <v>0</v>
      </c>
      <c r="AI375" s="7">
        <v>69000</v>
      </c>
      <c r="AJ375" t="s">
        <v>542</v>
      </c>
    </row>
    <row r="376" spans="14:36" x14ac:dyDescent="0.3">
      <c r="N376" s="8">
        <v>2026</v>
      </c>
      <c r="O376" s="8">
        <v>7</v>
      </c>
      <c r="P376" s="9">
        <v>46205</v>
      </c>
      <c r="Q376" t="s">
        <v>238</v>
      </c>
      <c r="R376" t="s">
        <v>351</v>
      </c>
      <c r="S376" t="s">
        <v>352</v>
      </c>
      <c r="T376" t="s">
        <v>1374</v>
      </c>
      <c r="U376" t="s">
        <v>311</v>
      </c>
      <c r="V376" t="s">
        <v>246</v>
      </c>
      <c r="W376" t="s">
        <v>244</v>
      </c>
      <c r="X376" t="s">
        <v>2748</v>
      </c>
      <c r="Y376" t="s">
        <v>168</v>
      </c>
      <c r="Z376" t="s">
        <v>171</v>
      </c>
      <c r="AA376" t="s">
        <v>175</v>
      </c>
      <c r="AB376" t="s">
        <v>44</v>
      </c>
      <c r="AC376" t="s">
        <v>42</v>
      </c>
      <c r="AD376" t="s">
        <v>43</v>
      </c>
      <c r="AE376" s="7">
        <v>294000</v>
      </c>
      <c r="AF376" s="7">
        <v>1</v>
      </c>
      <c r="AG376" s="7">
        <v>294000</v>
      </c>
      <c r="AH376" s="7">
        <v>0</v>
      </c>
      <c r="AI376" s="7">
        <v>294000</v>
      </c>
      <c r="AJ376" t="s">
        <v>42</v>
      </c>
    </row>
    <row r="377" spans="14:36" x14ac:dyDescent="0.3">
      <c r="N377" s="8">
        <v>2026</v>
      </c>
      <c r="O377" s="8">
        <v>7</v>
      </c>
      <c r="P377" s="9">
        <v>46205</v>
      </c>
      <c r="Q377" t="s">
        <v>238</v>
      </c>
      <c r="R377" t="s">
        <v>374</v>
      </c>
      <c r="S377" t="s">
        <v>375</v>
      </c>
      <c r="T377" t="s">
        <v>2749</v>
      </c>
      <c r="U377" t="s">
        <v>3876</v>
      </c>
      <c r="V377" t="s">
        <v>246</v>
      </c>
      <c r="W377" t="s">
        <v>244</v>
      </c>
      <c r="X377" t="s">
        <v>2750</v>
      </c>
      <c r="Y377" t="s">
        <v>194</v>
      </c>
      <c r="Z377" t="s">
        <v>200</v>
      </c>
      <c r="AA377" t="s">
        <v>201</v>
      </c>
      <c r="AB377" t="s">
        <v>80</v>
      </c>
      <c r="AC377" t="s">
        <v>78</v>
      </c>
      <c r="AD377" t="s">
        <v>79</v>
      </c>
      <c r="AE377" s="7">
        <v>14000</v>
      </c>
      <c r="AF377" s="7">
        <v>1</v>
      </c>
      <c r="AG377" s="7">
        <v>14000</v>
      </c>
      <c r="AH377" s="7">
        <v>0</v>
      </c>
      <c r="AI377" s="7">
        <v>14000</v>
      </c>
      <c r="AJ377" t="s">
        <v>78</v>
      </c>
    </row>
    <row r="378" spans="14:36" x14ac:dyDescent="0.3">
      <c r="N378" s="8">
        <v>2026</v>
      </c>
      <c r="O378" s="8">
        <v>7</v>
      </c>
      <c r="P378" s="9">
        <v>46205</v>
      </c>
      <c r="Q378" t="s">
        <v>238</v>
      </c>
      <c r="R378" t="s">
        <v>396</v>
      </c>
      <c r="S378" t="s">
        <v>397</v>
      </c>
      <c r="T378" t="s">
        <v>1144</v>
      </c>
      <c r="U378" t="s">
        <v>3877</v>
      </c>
      <c r="V378" t="s">
        <v>246</v>
      </c>
      <c r="W378" t="s">
        <v>244</v>
      </c>
      <c r="X378" t="s">
        <v>2751</v>
      </c>
      <c r="Y378" t="s">
        <v>168</v>
      </c>
      <c r="Z378" t="s">
        <v>171</v>
      </c>
      <c r="AA378" t="s">
        <v>175</v>
      </c>
      <c r="AB378" t="s">
        <v>44</v>
      </c>
      <c r="AC378" t="s">
        <v>42</v>
      </c>
      <c r="AD378" t="s">
        <v>43</v>
      </c>
      <c r="AE378" s="7">
        <v>294000</v>
      </c>
      <c r="AF378" s="7">
        <v>1</v>
      </c>
      <c r="AG378" s="7">
        <v>294000</v>
      </c>
      <c r="AH378" s="7">
        <v>0</v>
      </c>
      <c r="AI378" s="7">
        <v>294000</v>
      </c>
      <c r="AJ378" t="s">
        <v>42</v>
      </c>
    </row>
    <row r="379" spans="14:36" x14ac:dyDescent="0.3">
      <c r="N379" s="8">
        <v>2026</v>
      </c>
      <c r="O379" s="8">
        <v>7</v>
      </c>
      <c r="P379" s="9">
        <v>46205</v>
      </c>
      <c r="Q379" t="s">
        <v>238</v>
      </c>
      <c r="R379" t="s">
        <v>415</v>
      </c>
      <c r="S379" t="s">
        <v>416</v>
      </c>
      <c r="T379" t="s">
        <v>2752</v>
      </c>
      <c r="U379" t="s">
        <v>3878</v>
      </c>
      <c r="V379" t="s">
        <v>246</v>
      </c>
      <c r="W379" t="s">
        <v>244</v>
      </c>
      <c r="X379" t="s">
        <v>2753</v>
      </c>
      <c r="Y379" t="s">
        <v>194</v>
      </c>
      <c r="Z379" t="s">
        <v>200</v>
      </c>
      <c r="AA379" t="s">
        <v>201</v>
      </c>
      <c r="AB379" t="s">
        <v>86</v>
      </c>
      <c r="AC379" t="s">
        <v>84</v>
      </c>
      <c r="AD379" t="s">
        <v>85</v>
      </c>
      <c r="AE379" s="7">
        <v>49000</v>
      </c>
      <c r="AF379" s="7">
        <v>1</v>
      </c>
      <c r="AG379" s="7">
        <v>49000</v>
      </c>
      <c r="AH379" s="7">
        <v>0</v>
      </c>
      <c r="AI379" s="7">
        <v>49000</v>
      </c>
      <c r="AJ379" t="s">
        <v>84</v>
      </c>
    </row>
    <row r="380" spans="14:36" x14ac:dyDescent="0.3">
      <c r="N380" s="8">
        <v>2026</v>
      </c>
      <c r="O380" s="8">
        <v>7</v>
      </c>
      <c r="P380" s="9">
        <v>46205</v>
      </c>
      <c r="Q380" t="s">
        <v>238</v>
      </c>
      <c r="R380" t="s">
        <v>415</v>
      </c>
      <c r="S380" t="s">
        <v>416</v>
      </c>
      <c r="T380" t="s">
        <v>2754</v>
      </c>
      <c r="U380" t="s">
        <v>1159</v>
      </c>
      <c r="V380" t="s">
        <v>249</v>
      </c>
      <c r="W380" t="s">
        <v>244</v>
      </c>
      <c r="X380" t="s">
        <v>2755</v>
      </c>
      <c r="Y380" t="s">
        <v>194</v>
      </c>
      <c r="Z380" t="s">
        <v>200</v>
      </c>
      <c r="AA380" t="s">
        <v>201</v>
      </c>
      <c r="AB380" t="s">
        <v>89</v>
      </c>
      <c r="AC380" t="s">
        <v>87</v>
      </c>
      <c r="AD380" t="s">
        <v>88</v>
      </c>
      <c r="AE380" s="7">
        <v>46000</v>
      </c>
      <c r="AF380" s="7">
        <v>1</v>
      </c>
      <c r="AG380" s="7">
        <v>46000</v>
      </c>
      <c r="AH380" s="7">
        <v>0</v>
      </c>
      <c r="AI380" s="7">
        <v>46000</v>
      </c>
      <c r="AJ380" t="s">
        <v>87</v>
      </c>
    </row>
    <row r="381" spans="14:36" x14ac:dyDescent="0.3">
      <c r="N381" s="8">
        <v>2026</v>
      </c>
      <c r="O381" s="8">
        <v>7</v>
      </c>
      <c r="P381" s="9">
        <v>46205</v>
      </c>
      <c r="Q381" t="s">
        <v>238</v>
      </c>
      <c r="R381" t="s">
        <v>425</v>
      </c>
      <c r="S381" t="s">
        <v>426</v>
      </c>
      <c r="T381" t="s">
        <v>2756</v>
      </c>
      <c r="U381" t="s">
        <v>3685</v>
      </c>
      <c r="V381" t="s">
        <v>246</v>
      </c>
      <c r="W381" t="s">
        <v>244</v>
      </c>
      <c r="X381" t="s">
        <v>2757</v>
      </c>
      <c r="Y381" t="s">
        <v>183</v>
      </c>
      <c r="Z381" t="s">
        <v>189</v>
      </c>
      <c r="AA381" t="s">
        <v>190</v>
      </c>
      <c r="AB381" t="s">
        <v>92</v>
      </c>
      <c r="AC381" t="s">
        <v>90</v>
      </c>
      <c r="AD381" t="s">
        <v>91</v>
      </c>
      <c r="AE381" s="7">
        <v>52000</v>
      </c>
      <c r="AF381" s="7">
        <v>2</v>
      </c>
      <c r="AG381" s="7">
        <v>104000</v>
      </c>
      <c r="AH381" s="7">
        <v>0</v>
      </c>
      <c r="AI381" s="7">
        <v>104000</v>
      </c>
      <c r="AJ381" t="s">
        <v>90</v>
      </c>
    </row>
    <row r="382" spans="14:36" x14ac:dyDescent="0.3">
      <c r="N382" s="8">
        <v>2026</v>
      </c>
      <c r="O382" s="8">
        <v>7</v>
      </c>
      <c r="P382" s="9">
        <v>46205</v>
      </c>
      <c r="Q382" t="s">
        <v>238</v>
      </c>
      <c r="R382" t="s">
        <v>425</v>
      </c>
      <c r="S382" t="s">
        <v>426</v>
      </c>
      <c r="T382" t="s">
        <v>2758</v>
      </c>
      <c r="U382" t="s">
        <v>3879</v>
      </c>
      <c r="V382" t="s">
        <v>246</v>
      </c>
      <c r="W382" t="s">
        <v>244</v>
      </c>
      <c r="X382" t="s">
        <v>2759</v>
      </c>
      <c r="Y382" t="s">
        <v>191</v>
      </c>
      <c r="Z382" t="s">
        <v>335</v>
      </c>
      <c r="AA382" t="s">
        <v>337</v>
      </c>
      <c r="AB382" t="s">
        <v>348</v>
      </c>
      <c r="AC382" t="s">
        <v>349</v>
      </c>
      <c r="AD382" t="s">
        <v>350</v>
      </c>
      <c r="AE382" s="7">
        <v>76000</v>
      </c>
      <c r="AF382" s="7">
        <v>1</v>
      </c>
      <c r="AG382" s="7">
        <v>76000</v>
      </c>
      <c r="AH382" s="7">
        <v>0</v>
      </c>
      <c r="AI382" s="7">
        <v>76000</v>
      </c>
      <c r="AJ382" t="s">
        <v>349</v>
      </c>
    </row>
    <row r="383" spans="14:36" x14ac:dyDescent="0.3">
      <c r="N383" s="8">
        <v>2026</v>
      </c>
      <c r="O383" s="8">
        <v>7</v>
      </c>
      <c r="P383" s="9">
        <v>46204</v>
      </c>
      <c r="Q383" t="s">
        <v>238</v>
      </c>
      <c r="R383" t="s">
        <v>239</v>
      </c>
      <c r="S383" t="s">
        <v>240</v>
      </c>
      <c r="T383" t="s">
        <v>2760</v>
      </c>
      <c r="U383" t="s">
        <v>2761</v>
      </c>
      <c r="V383" t="s">
        <v>246</v>
      </c>
      <c r="W383" t="s">
        <v>244</v>
      </c>
      <c r="X383" t="s">
        <v>2762</v>
      </c>
      <c r="Y383" t="s">
        <v>194</v>
      </c>
      <c r="Z383" t="s">
        <v>200</v>
      </c>
      <c r="AA383" t="s">
        <v>201</v>
      </c>
      <c r="AB383" t="s">
        <v>80</v>
      </c>
      <c r="AC383" t="s">
        <v>78</v>
      </c>
      <c r="AD383" t="s">
        <v>79</v>
      </c>
      <c r="AE383" s="7">
        <v>14000</v>
      </c>
      <c r="AF383" s="7">
        <v>1</v>
      </c>
      <c r="AG383" s="7">
        <v>14000</v>
      </c>
      <c r="AH383" s="7">
        <v>0</v>
      </c>
      <c r="AI383" s="7">
        <v>14000</v>
      </c>
      <c r="AJ383" t="s">
        <v>78</v>
      </c>
    </row>
    <row r="384" spans="14:36" x14ac:dyDescent="0.3">
      <c r="N384" s="8">
        <v>2026</v>
      </c>
      <c r="O384" s="8">
        <v>7</v>
      </c>
      <c r="P384" s="9">
        <v>46204</v>
      </c>
      <c r="Q384" t="s">
        <v>238</v>
      </c>
      <c r="R384" t="s">
        <v>239</v>
      </c>
      <c r="S384" t="s">
        <v>240</v>
      </c>
      <c r="T384" t="s">
        <v>2634</v>
      </c>
      <c r="U384" t="s">
        <v>3867</v>
      </c>
      <c r="V384" t="s">
        <v>246</v>
      </c>
      <c r="W384" t="s">
        <v>244</v>
      </c>
      <c r="X384" t="s">
        <v>2763</v>
      </c>
      <c r="Y384" t="s">
        <v>168</v>
      </c>
      <c r="Z384" t="s">
        <v>171</v>
      </c>
      <c r="AA384" t="s">
        <v>175</v>
      </c>
      <c r="AB384" t="s">
        <v>140</v>
      </c>
      <c r="AC384" t="s">
        <v>138</v>
      </c>
      <c r="AD384" t="s">
        <v>139</v>
      </c>
      <c r="AE384" s="7">
        <v>125000</v>
      </c>
      <c r="AF384" s="7">
        <v>1</v>
      </c>
      <c r="AG384" s="7">
        <v>125000</v>
      </c>
      <c r="AH384" s="7">
        <v>12500</v>
      </c>
      <c r="AI384" s="7">
        <v>112500</v>
      </c>
      <c r="AJ384" t="s">
        <v>138</v>
      </c>
    </row>
    <row r="385" spans="14:36" x14ac:dyDescent="0.3">
      <c r="N385" s="8">
        <v>2026</v>
      </c>
      <c r="O385" s="8">
        <v>7</v>
      </c>
      <c r="P385" s="9">
        <v>46204</v>
      </c>
      <c r="Q385" t="s">
        <v>238</v>
      </c>
      <c r="R385" t="s">
        <v>279</v>
      </c>
      <c r="S385" t="s">
        <v>280</v>
      </c>
      <c r="T385" t="s">
        <v>2764</v>
      </c>
      <c r="U385" t="s">
        <v>660</v>
      </c>
      <c r="V385" t="s">
        <v>246</v>
      </c>
      <c r="W385" t="s">
        <v>244</v>
      </c>
      <c r="X385" t="s">
        <v>2765</v>
      </c>
      <c r="Y385" t="s">
        <v>191</v>
      </c>
      <c r="Z385" t="s">
        <v>335</v>
      </c>
      <c r="AA385" t="s">
        <v>336</v>
      </c>
      <c r="AB385" t="s">
        <v>1146</v>
      </c>
      <c r="AC385" t="s">
        <v>1147</v>
      </c>
      <c r="AD385" t="s">
        <v>1148</v>
      </c>
      <c r="AE385" s="7">
        <v>99000</v>
      </c>
      <c r="AF385" s="7">
        <v>1</v>
      </c>
      <c r="AG385" s="7">
        <v>99000</v>
      </c>
      <c r="AH385" s="7">
        <v>0</v>
      </c>
      <c r="AI385" s="7">
        <v>99000</v>
      </c>
      <c r="AJ385" t="s">
        <v>1147</v>
      </c>
    </row>
    <row r="386" spans="14:36" x14ac:dyDescent="0.3">
      <c r="N386" s="8">
        <v>2026</v>
      </c>
      <c r="O386" s="8">
        <v>7</v>
      </c>
      <c r="P386" s="9">
        <v>46204</v>
      </c>
      <c r="Q386" t="s">
        <v>238</v>
      </c>
      <c r="R386" t="s">
        <v>303</v>
      </c>
      <c r="S386" t="s">
        <v>304</v>
      </c>
      <c r="T386" t="s">
        <v>1547</v>
      </c>
      <c r="U386" t="s">
        <v>1548</v>
      </c>
      <c r="V386" t="s">
        <v>246</v>
      </c>
      <c r="W386" t="s">
        <v>244</v>
      </c>
      <c r="X386" t="s">
        <v>2766</v>
      </c>
      <c r="Y386" t="s">
        <v>168</v>
      </c>
      <c r="Z386" t="s">
        <v>171</v>
      </c>
      <c r="AA386" t="s">
        <v>173</v>
      </c>
      <c r="AB386" t="s">
        <v>29</v>
      </c>
      <c r="AC386" t="s">
        <v>27</v>
      </c>
      <c r="AD386" t="s">
        <v>28</v>
      </c>
      <c r="AE386" s="7">
        <v>575000</v>
      </c>
      <c r="AF386" s="7">
        <v>1</v>
      </c>
      <c r="AG386" s="7">
        <v>575000</v>
      </c>
      <c r="AH386" s="7">
        <v>0</v>
      </c>
      <c r="AI386" s="7">
        <v>575000</v>
      </c>
      <c r="AJ386" t="s">
        <v>27</v>
      </c>
    </row>
    <row r="387" spans="14:36" x14ac:dyDescent="0.3">
      <c r="N387" s="8">
        <v>2026</v>
      </c>
      <c r="O387" s="8">
        <v>7</v>
      </c>
      <c r="P387" s="9">
        <v>46204</v>
      </c>
      <c r="Q387" t="s">
        <v>238</v>
      </c>
      <c r="R387" t="s">
        <v>303</v>
      </c>
      <c r="S387" t="s">
        <v>304</v>
      </c>
      <c r="T387" t="s">
        <v>1547</v>
      </c>
      <c r="U387" t="s">
        <v>1548</v>
      </c>
      <c r="V387" t="s">
        <v>246</v>
      </c>
      <c r="W387" t="s">
        <v>244</v>
      </c>
      <c r="X387" t="s">
        <v>2766</v>
      </c>
      <c r="Y387" t="s">
        <v>168</v>
      </c>
      <c r="Z387" t="s">
        <v>171</v>
      </c>
      <c r="AA387" t="s">
        <v>173</v>
      </c>
      <c r="AB387" t="s">
        <v>26</v>
      </c>
      <c r="AC387" t="s">
        <v>24</v>
      </c>
      <c r="AD387" t="s">
        <v>25</v>
      </c>
      <c r="AE387" s="7">
        <v>555000</v>
      </c>
      <c r="AF387" s="7">
        <v>1</v>
      </c>
      <c r="AG387" s="7">
        <v>555000</v>
      </c>
      <c r="AH387" s="7">
        <v>0</v>
      </c>
      <c r="AI387" s="7">
        <v>555000</v>
      </c>
      <c r="AJ387" t="s">
        <v>24</v>
      </c>
    </row>
    <row r="388" spans="14:36" x14ac:dyDescent="0.3">
      <c r="N388" s="8">
        <v>2026</v>
      </c>
      <c r="O388" s="8">
        <v>7</v>
      </c>
      <c r="P388" s="9">
        <v>46204</v>
      </c>
      <c r="Q388" t="s">
        <v>238</v>
      </c>
      <c r="R388" t="s">
        <v>303</v>
      </c>
      <c r="S388" t="s">
        <v>304</v>
      </c>
      <c r="T388" t="s">
        <v>2767</v>
      </c>
      <c r="U388" t="s">
        <v>2768</v>
      </c>
      <c r="V388" t="s">
        <v>246</v>
      </c>
      <c r="W388" t="s">
        <v>244</v>
      </c>
      <c r="X388" t="s">
        <v>2769</v>
      </c>
      <c r="Y388" t="s">
        <v>168</v>
      </c>
      <c r="Z388" t="s">
        <v>181</v>
      </c>
      <c r="AA388" t="s">
        <v>182</v>
      </c>
      <c r="AB388" t="s">
        <v>50</v>
      </c>
      <c r="AC388" t="s">
        <v>48</v>
      </c>
      <c r="AD388" t="s">
        <v>49</v>
      </c>
      <c r="AE388" s="7">
        <v>49000</v>
      </c>
      <c r="AF388" s="7">
        <v>1</v>
      </c>
      <c r="AG388" s="7">
        <v>49000</v>
      </c>
      <c r="AH388" s="7">
        <v>0</v>
      </c>
      <c r="AI388" s="7">
        <v>49000</v>
      </c>
      <c r="AJ388" t="s">
        <v>48</v>
      </c>
    </row>
    <row r="389" spans="14:36" x14ac:dyDescent="0.3">
      <c r="N389" s="8">
        <v>2026</v>
      </c>
      <c r="O389" s="8">
        <v>7</v>
      </c>
      <c r="P389" s="9">
        <v>46204</v>
      </c>
      <c r="Q389" t="s">
        <v>238</v>
      </c>
      <c r="R389" t="s">
        <v>303</v>
      </c>
      <c r="S389" t="s">
        <v>304</v>
      </c>
      <c r="T389" t="s">
        <v>2401</v>
      </c>
      <c r="U389" t="s">
        <v>3666</v>
      </c>
      <c r="V389" t="s">
        <v>246</v>
      </c>
      <c r="W389" t="s">
        <v>244</v>
      </c>
      <c r="X389" t="s">
        <v>2770</v>
      </c>
      <c r="Y389" t="s">
        <v>191</v>
      </c>
      <c r="Z389" t="s">
        <v>335</v>
      </c>
      <c r="AA389" t="s">
        <v>337</v>
      </c>
      <c r="AB389" t="s">
        <v>348</v>
      </c>
      <c r="AC389" t="s">
        <v>349</v>
      </c>
      <c r="AD389" t="s">
        <v>350</v>
      </c>
      <c r="AE389" s="7">
        <v>76000</v>
      </c>
      <c r="AF389" s="7">
        <v>1</v>
      </c>
      <c r="AG389" s="7">
        <v>76000</v>
      </c>
      <c r="AH389" s="7">
        <v>0</v>
      </c>
      <c r="AI389" s="7">
        <v>76000</v>
      </c>
      <c r="AJ389" t="s">
        <v>349</v>
      </c>
    </row>
    <row r="390" spans="14:36" x14ac:dyDescent="0.3">
      <c r="N390" s="8">
        <v>2026</v>
      </c>
      <c r="O390" s="8">
        <v>7</v>
      </c>
      <c r="P390" s="9">
        <v>46204</v>
      </c>
      <c r="Q390" t="s">
        <v>238</v>
      </c>
      <c r="R390" t="s">
        <v>303</v>
      </c>
      <c r="S390" t="s">
        <v>304</v>
      </c>
      <c r="T390" t="s">
        <v>1939</v>
      </c>
      <c r="U390" t="s">
        <v>3880</v>
      </c>
      <c r="V390" t="s">
        <v>246</v>
      </c>
      <c r="W390" t="s">
        <v>244</v>
      </c>
      <c r="X390" t="s">
        <v>2771</v>
      </c>
      <c r="Y390" t="s">
        <v>183</v>
      </c>
      <c r="Z390" t="s">
        <v>184</v>
      </c>
      <c r="AA390" t="s">
        <v>185</v>
      </c>
      <c r="AB390" t="s">
        <v>47</v>
      </c>
      <c r="AC390" t="s">
        <v>45</v>
      </c>
      <c r="AD390" t="s">
        <v>46</v>
      </c>
      <c r="AE390" s="7">
        <v>52000</v>
      </c>
      <c r="AF390" s="7">
        <v>1</v>
      </c>
      <c r="AG390" s="7">
        <v>52000</v>
      </c>
      <c r="AH390" s="7">
        <v>0</v>
      </c>
      <c r="AI390" s="7">
        <v>52000</v>
      </c>
      <c r="AJ390" t="s">
        <v>45</v>
      </c>
    </row>
    <row r="391" spans="14:36" x14ac:dyDescent="0.3">
      <c r="N391" s="8">
        <v>2026</v>
      </c>
      <c r="O391" s="8">
        <v>7</v>
      </c>
      <c r="P391" s="9">
        <v>46204</v>
      </c>
      <c r="Q391" t="s">
        <v>238</v>
      </c>
      <c r="R391" t="s">
        <v>374</v>
      </c>
      <c r="S391" t="s">
        <v>375</v>
      </c>
      <c r="T391" t="s">
        <v>2772</v>
      </c>
      <c r="U391" t="s">
        <v>2773</v>
      </c>
      <c r="V391" t="s">
        <v>246</v>
      </c>
      <c r="W391" t="s">
        <v>244</v>
      </c>
      <c r="X391" t="s">
        <v>2774</v>
      </c>
      <c r="Y391" t="s">
        <v>191</v>
      </c>
      <c r="Z391" t="s">
        <v>335</v>
      </c>
      <c r="AA391" t="s">
        <v>336</v>
      </c>
      <c r="AB391" t="s">
        <v>1146</v>
      </c>
      <c r="AC391" t="s">
        <v>1147</v>
      </c>
      <c r="AD391" t="s">
        <v>1148</v>
      </c>
      <c r="AE391" s="7">
        <v>99000</v>
      </c>
      <c r="AF391" s="7">
        <v>1</v>
      </c>
      <c r="AG391" s="7">
        <v>99000</v>
      </c>
      <c r="AH391" s="7">
        <v>0</v>
      </c>
      <c r="AI391" s="7">
        <v>99000</v>
      </c>
      <c r="AJ391" t="s">
        <v>1147</v>
      </c>
    </row>
    <row r="392" spans="14:36" x14ac:dyDescent="0.3">
      <c r="N392" s="8">
        <v>2026</v>
      </c>
      <c r="O392" s="8">
        <v>7</v>
      </c>
      <c r="P392" s="9">
        <v>46204</v>
      </c>
      <c r="Q392" t="s">
        <v>238</v>
      </c>
      <c r="R392" t="s">
        <v>374</v>
      </c>
      <c r="S392" t="s">
        <v>375</v>
      </c>
      <c r="T392" t="s">
        <v>2287</v>
      </c>
      <c r="U392" t="s">
        <v>1508</v>
      </c>
      <c r="V392" t="s">
        <v>246</v>
      </c>
      <c r="W392" t="s">
        <v>244</v>
      </c>
      <c r="X392" t="s">
        <v>2775</v>
      </c>
      <c r="Y392" t="s">
        <v>168</v>
      </c>
      <c r="Z392" t="s">
        <v>171</v>
      </c>
      <c r="AA392" t="s">
        <v>175</v>
      </c>
      <c r="AB392" t="s">
        <v>137</v>
      </c>
      <c r="AC392" t="s">
        <v>135</v>
      </c>
      <c r="AD392" t="s">
        <v>136</v>
      </c>
      <c r="AE392" s="7">
        <v>100000</v>
      </c>
      <c r="AF392" s="7">
        <v>1</v>
      </c>
      <c r="AG392" s="7">
        <v>100000</v>
      </c>
      <c r="AH392" s="7">
        <v>10000</v>
      </c>
      <c r="AI392" s="7">
        <v>90000</v>
      </c>
      <c r="AJ392" t="s">
        <v>135</v>
      </c>
    </row>
    <row r="393" spans="14:36" x14ac:dyDescent="0.3">
      <c r="N393" s="8">
        <v>2026</v>
      </c>
      <c r="O393" s="8">
        <v>7</v>
      </c>
      <c r="P393" s="9">
        <v>46204</v>
      </c>
      <c r="Q393" t="s">
        <v>238</v>
      </c>
      <c r="R393" t="s">
        <v>396</v>
      </c>
      <c r="S393" t="s">
        <v>397</v>
      </c>
      <c r="T393" t="s">
        <v>814</v>
      </c>
      <c r="U393" t="s">
        <v>714</v>
      </c>
      <c r="V393" t="s">
        <v>246</v>
      </c>
      <c r="W393" t="s">
        <v>244</v>
      </c>
      <c r="X393" t="s">
        <v>2776</v>
      </c>
      <c r="Y393" t="s">
        <v>168</v>
      </c>
      <c r="Z393" t="s">
        <v>171</v>
      </c>
      <c r="AA393" t="s">
        <v>172</v>
      </c>
      <c r="AB393" t="s">
        <v>134</v>
      </c>
      <c r="AC393" t="s">
        <v>132</v>
      </c>
      <c r="AD393" t="s">
        <v>133</v>
      </c>
      <c r="AE393" s="7">
        <v>395000</v>
      </c>
      <c r="AF393" s="7">
        <v>1</v>
      </c>
      <c r="AG393" s="7">
        <v>395000</v>
      </c>
      <c r="AH393" s="7">
        <v>50000</v>
      </c>
      <c r="AI393" s="7">
        <v>345000</v>
      </c>
      <c r="AJ393" t="s">
        <v>132</v>
      </c>
    </row>
    <row r="394" spans="14:36" x14ac:dyDescent="0.3">
      <c r="N394" s="8">
        <v>2026</v>
      </c>
      <c r="O394" s="8">
        <v>7</v>
      </c>
      <c r="P394" s="9">
        <v>46204</v>
      </c>
      <c r="Q394" t="s">
        <v>238</v>
      </c>
      <c r="R394" t="s">
        <v>396</v>
      </c>
      <c r="S394" t="s">
        <v>397</v>
      </c>
      <c r="T394" t="s">
        <v>2093</v>
      </c>
      <c r="U394" t="s">
        <v>1618</v>
      </c>
      <c r="V394" t="s">
        <v>246</v>
      </c>
      <c r="W394" t="s">
        <v>244</v>
      </c>
      <c r="X394" t="s">
        <v>2777</v>
      </c>
      <c r="Y394" t="s">
        <v>191</v>
      </c>
      <c r="Z394" t="s">
        <v>335</v>
      </c>
      <c r="AA394" t="s">
        <v>337</v>
      </c>
      <c r="AB394" t="s">
        <v>656</v>
      </c>
      <c r="AC394" t="s">
        <v>657</v>
      </c>
      <c r="AD394" t="s">
        <v>658</v>
      </c>
      <c r="AE394" s="7">
        <v>35000</v>
      </c>
      <c r="AF394" s="7">
        <v>1</v>
      </c>
      <c r="AG394" s="7">
        <v>35000</v>
      </c>
      <c r="AH394" s="7">
        <v>0</v>
      </c>
      <c r="AI394" s="7">
        <v>35000</v>
      </c>
      <c r="AJ394" t="s">
        <v>657</v>
      </c>
    </row>
    <row r="395" spans="14:36" x14ac:dyDescent="0.3">
      <c r="N395" s="8">
        <v>2026</v>
      </c>
      <c r="O395" s="8">
        <v>7</v>
      </c>
      <c r="P395" s="9">
        <v>46204</v>
      </c>
      <c r="Q395" t="s">
        <v>238</v>
      </c>
      <c r="R395" t="s">
        <v>396</v>
      </c>
      <c r="S395" t="s">
        <v>397</v>
      </c>
      <c r="T395" t="s">
        <v>2778</v>
      </c>
      <c r="U395" t="s">
        <v>419</v>
      </c>
      <c r="V395" t="s">
        <v>246</v>
      </c>
      <c r="W395" t="s">
        <v>244</v>
      </c>
      <c r="X395" t="s">
        <v>2779</v>
      </c>
      <c r="Y395" t="s">
        <v>168</v>
      </c>
      <c r="Z395" t="s">
        <v>171</v>
      </c>
      <c r="AA395" t="s">
        <v>175</v>
      </c>
      <c r="AB395" t="s">
        <v>137</v>
      </c>
      <c r="AC395" t="s">
        <v>135</v>
      </c>
      <c r="AD395" t="s">
        <v>136</v>
      </c>
      <c r="AE395" s="7">
        <v>100000</v>
      </c>
      <c r="AF395" s="7">
        <v>1</v>
      </c>
      <c r="AG395" s="7">
        <v>100000</v>
      </c>
      <c r="AH395" s="7">
        <v>10000</v>
      </c>
      <c r="AI395" s="7">
        <v>90000</v>
      </c>
      <c r="AJ395" t="s">
        <v>135</v>
      </c>
    </row>
    <row r="396" spans="14:36" x14ac:dyDescent="0.3">
      <c r="N396" s="8">
        <v>2026</v>
      </c>
      <c r="O396" s="8">
        <v>7</v>
      </c>
      <c r="P396" s="9">
        <v>46204</v>
      </c>
      <c r="Q396" t="s">
        <v>238</v>
      </c>
      <c r="R396" t="s">
        <v>415</v>
      </c>
      <c r="S396" t="s">
        <v>416</v>
      </c>
      <c r="T396" t="s">
        <v>2780</v>
      </c>
      <c r="U396" t="s">
        <v>3881</v>
      </c>
      <c r="V396" t="s">
        <v>246</v>
      </c>
      <c r="W396" t="s">
        <v>244</v>
      </c>
      <c r="X396" t="s">
        <v>2781</v>
      </c>
      <c r="Y396" t="s">
        <v>191</v>
      </c>
      <c r="Z396" t="s">
        <v>192</v>
      </c>
      <c r="AA396" t="s">
        <v>193</v>
      </c>
      <c r="AB396" t="s">
        <v>107</v>
      </c>
      <c r="AC396" t="s">
        <v>105</v>
      </c>
      <c r="AD396" t="s">
        <v>106</v>
      </c>
      <c r="AE396" s="7">
        <v>235000</v>
      </c>
      <c r="AF396" s="7">
        <v>1</v>
      </c>
      <c r="AG396" s="7">
        <v>235000</v>
      </c>
      <c r="AH396" s="7">
        <v>0</v>
      </c>
      <c r="AI396" s="7">
        <v>235000</v>
      </c>
      <c r="AJ396" t="s">
        <v>105</v>
      </c>
    </row>
    <row r="397" spans="14:36" x14ac:dyDescent="0.3">
      <c r="N397" s="8">
        <v>2026</v>
      </c>
      <c r="O397" s="8">
        <v>7</v>
      </c>
      <c r="P397" s="9">
        <v>46204</v>
      </c>
      <c r="Q397" t="s">
        <v>238</v>
      </c>
      <c r="R397" t="s">
        <v>415</v>
      </c>
      <c r="S397" t="s">
        <v>416</v>
      </c>
      <c r="T397" t="s">
        <v>2782</v>
      </c>
      <c r="U397" t="s">
        <v>3546</v>
      </c>
      <c r="V397" t="s">
        <v>246</v>
      </c>
      <c r="W397" t="s">
        <v>244</v>
      </c>
      <c r="X397" t="s">
        <v>2783</v>
      </c>
      <c r="Y397" t="s">
        <v>191</v>
      </c>
      <c r="Z397" t="s">
        <v>335</v>
      </c>
      <c r="AA397" t="s">
        <v>336</v>
      </c>
      <c r="AB397" t="s">
        <v>1146</v>
      </c>
      <c r="AC397" t="s">
        <v>1147</v>
      </c>
      <c r="AD397" t="s">
        <v>1148</v>
      </c>
      <c r="AE397" s="7">
        <v>99000</v>
      </c>
      <c r="AF397" s="7">
        <v>1</v>
      </c>
      <c r="AG397" s="7">
        <v>99000</v>
      </c>
      <c r="AH397" s="7">
        <v>0</v>
      </c>
      <c r="AI397" s="7">
        <v>99000</v>
      </c>
      <c r="AJ397" t="s">
        <v>1147</v>
      </c>
    </row>
    <row r="398" spans="14:36" x14ac:dyDescent="0.3">
      <c r="N398" s="8">
        <v>2026</v>
      </c>
      <c r="O398" s="8">
        <v>7</v>
      </c>
      <c r="P398" s="9">
        <v>46204</v>
      </c>
      <c r="Q398" t="s">
        <v>238</v>
      </c>
      <c r="R398" t="s">
        <v>415</v>
      </c>
      <c r="S398" t="s">
        <v>416</v>
      </c>
      <c r="T398" t="s">
        <v>2782</v>
      </c>
      <c r="U398" t="s">
        <v>3546</v>
      </c>
      <c r="V398" t="s">
        <v>246</v>
      </c>
      <c r="W398" t="s">
        <v>244</v>
      </c>
      <c r="X398" t="s">
        <v>2783</v>
      </c>
      <c r="Y398" t="s">
        <v>191</v>
      </c>
      <c r="Z398" t="s">
        <v>335</v>
      </c>
      <c r="AA398" t="s">
        <v>337</v>
      </c>
      <c r="AB398" t="s">
        <v>719</v>
      </c>
      <c r="AC398" t="s">
        <v>720</v>
      </c>
      <c r="AD398" t="s">
        <v>721</v>
      </c>
      <c r="AE398" s="7">
        <v>104000</v>
      </c>
      <c r="AF398" s="7">
        <v>1</v>
      </c>
      <c r="AG398" s="7">
        <v>104000</v>
      </c>
      <c r="AH398" s="7">
        <v>0</v>
      </c>
      <c r="AI398" s="7">
        <v>104000</v>
      </c>
      <c r="AJ398" t="s">
        <v>720</v>
      </c>
    </row>
    <row r="399" spans="14:36" x14ac:dyDescent="0.3">
      <c r="N399" s="8">
        <v>2026</v>
      </c>
      <c r="O399" s="8">
        <v>7</v>
      </c>
      <c r="P399" s="9">
        <v>46204</v>
      </c>
      <c r="Q399" t="s">
        <v>238</v>
      </c>
      <c r="R399" t="s">
        <v>425</v>
      </c>
      <c r="S399" t="s">
        <v>426</v>
      </c>
      <c r="T399" t="s">
        <v>2784</v>
      </c>
      <c r="U399" t="s">
        <v>2785</v>
      </c>
      <c r="V399" t="s">
        <v>246</v>
      </c>
      <c r="W399" t="s">
        <v>244</v>
      </c>
      <c r="X399" t="s">
        <v>2786</v>
      </c>
      <c r="Y399" t="s">
        <v>191</v>
      </c>
      <c r="Z399" t="s">
        <v>335</v>
      </c>
      <c r="AA399" t="s">
        <v>336</v>
      </c>
      <c r="AB399" t="s">
        <v>1146</v>
      </c>
      <c r="AC399" t="s">
        <v>1147</v>
      </c>
      <c r="AD399" t="s">
        <v>1148</v>
      </c>
      <c r="AE399" s="7">
        <v>99000</v>
      </c>
      <c r="AF399" s="7">
        <v>1</v>
      </c>
      <c r="AG399" s="7">
        <v>99000</v>
      </c>
      <c r="AH399" s="7">
        <v>0</v>
      </c>
      <c r="AI399" s="7">
        <v>99000</v>
      </c>
      <c r="AJ399" t="s">
        <v>1147</v>
      </c>
    </row>
    <row r="400" spans="14:36" x14ac:dyDescent="0.3">
      <c r="N400" s="8">
        <v>2026</v>
      </c>
      <c r="O400" s="8">
        <v>7</v>
      </c>
      <c r="P400" s="9">
        <v>46204</v>
      </c>
      <c r="Q400" t="s">
        <v>238</v>
      </c>
      <c r="R400" t="s">
        <v>425</v>
      </c>
      <c r="S400" t="s">
        <v>426</v>
      </c>
      <c r="T400" t="s">
        <v>372</v>
      </c>
      <c r="U400" t="s">
        <v>3882</v>
      </c>
      <c r="V400" t="s">
        <v>246</v>
      </c>
      <c r="W400" t="s">
        <v>244</v>
      </c>
      <c r="X400" t="s">
        <v>2787</v>
      </c>
      <c r="Y400" t="s">
        <v>191</v>
      </c>
      <c r="Z400" t="s">
        <v>335</v>
      </c>
      <c r="AA400" t="s">
        <v>336</v>
      </c>
      <c r="AB400" t="s">
        <v>1146</v>
      </c>
      <c r="AC400" t="s">
        <v>1147</v>
      </c>
      <c r="AD400" t="s">
        <v>1148</v>
      </c>
      <c r="AE400" s="7">
        <v>99000</v>
      </c>
      <c r="AF400" s="7">
        <v>1</v>
      </c>
      <c r="AG400" s="7">
        <v>99000</v>
      </c>
      <c r="AH400" s="7">
        <v>0</v>
      </c>
      <c r="AI400" s="7">
        <v>99000</v>
      </c>
      <c r="AJ400" t="s">
        <v>1147</v>
      </c>
    </row>
    <row r="401" spans="14:36" x14ac:dyDescent="0.3">
      <c r="N401" s="8">
        <v>2026</v>
      </c>
      <c r="O401" s="8">
        <v>6</v>
      </c>
      <c r="P401" s="9">
        <v>46203</v>
      </c>
      <c r="Q401" t="s">
        <v>238</v>
      </c>
      <c r="R401" t="s">
        <v>239</v>
      </c>
      <c r="S401" t="s">
        <v>240</v>
      </c>
      <c r="T401" t="s">
        <v>1367</v>
      </c>
      <c r="U401" t="s">
        <v>3883</v>
      </c>
      <c r="V401" t="s">
        <v>246</v>
      </c>
      <c r="W401" t="s">
        <v>244</v>
      </c>
      <c r="X401" t="s">
        <v>2788</v>
      </c>
      <c r="Y401" t="s">
        <v>194</v>
      </c>
      <c r="Z401" t="s">
        <v>200</v>
      </c>
      <c r="AA401" t="s">
        <v>201</v>
      </c>
      <c r="AB401" t="s">
        <v>83</v>
      </c>
      <c r="AC401" t="s">
        <v>81</v>
      </c>
      <c r="AD401" t="s">
        <v>82</v>
      </c>
      <c r="AE401" s="7">
        <v>46000</v>
      </c>
      <c r="AF401" s="7">
        <v>1</v>
      </c>
      <c r="AG401" s="7">
        <v>46000</v>
      </c>
      <c r="AH401" s="7">
        <v>0</v>
      </c>
      <c r="AI401" s="7">
        <v>46000</v>
      </c>
      <c r="AJ401" t="s">
        <v>81</v>
      </c>
    </row>
    <row r="402" spans="14:36" x14ac:dyDescent="0.3">
      <c r="N402" s="8">
        <v>2026</v>
      </c>
      <c r="O402" s="8">
        <v>6</v>
      </c>
      <c r="P402" s="9">
        <v>46203</v>
      </c>
      <c r="Q402" t="s">
        <v>238</v>
      </c>
      <c r="R402" t="s">
        <v>239</v>
      </c>
      <c r="S402" t="s">
        <v>240</v>
      </c>
      <c r="T402" t="s">
        <v>274</v>
      </c>
      <c r="U402" t="s">
        <v>275</v>
      </c>
      <c r="V402" t="s">
        <v>246</v>
      </c>
      <c r="W402" t="s">
        <v>244</v>
      </c>
      <c r="X402" t="s">
        <v>2789</v>
      </c>
      <c r="Y402" t="s">
        <v>194</v>
      </c>
      <c r="Z402" t="s">
        <v>200</v>
      </c>
      <c r="AA402" t="s">
        <v>201</v>
      </c>
      <c r="AB402" t="s">
        <v>86</v>
      </c>
      <c r="AC402" t="s">
        <v>84</v>
      </c>
      <c r="AD402" t="s">
        <v>85</v>
      </c>
      <c r="AE402" s="7">
        <v>49000</v>
      </c>
      <c r="AF402" s="7">
        <v>2</v>
      </c>
      <c r="AG402" s="7">
        <v>98000</v>
      </c>
      <c r="AH402" s="7">
        <v>0</v>
      </c>
      <c r="AI402" s="7">
        <v>98000</v>
      </c>
      <c r="AJ402" t="s">
        <v>84</v>
      </c>
    </row>
    <row r="403" spans="14:36" x14ac:dyDescent="0.3">
      <c r="N403" s="8">
        <v>2026</v>
      </c>
      <c r="O403" s="8">
        <v>6</v>
      </c>
      <c r="P403" s="9">
        <v>46203</v>
      </c>
      <c r="Q403" t="s">
        <v>238</v>
      </c>
      <c r="R403" t="s">
        <v>279</v>
      </c>
      <c r="S403" t="s">
        <v>280</v>
      </c>
      <c r="T403" t="s">
        <v>281</v>
      </c>
      <c r="U403" t="s">
        <v>282</v>
      </c>
      <c r="V403" t="s">
        <v>243</v>
      </c>
      <c r="W403" t="s">
        <v>244</v>
      </c>
      <c r="X403" t="s">
        <v>2790</v>
      </c>
      <c r="Y403" t="s">
        <v>168</v>
      </c>
      <c r="Z403" t="s">
        <v>179</v>
      </c>
      <c r="AA403" t="s">
        <v>180</v>
      </c>
      <c r="AB403" t="s">
        <v>146</v>
      </c>
      <c r="AC403" t="s">
        <v>144</v>
      </c>
      <c r="AD403" t="s">
        <v>145</v>
      </c>
      <c r="AE403" s="7">
        <v>150000</v>
      </c>
      <c r="AF403" s="7">
        <v>1</v>
      </c>
      <c r="AG403" s="7">
        <v>150000</v>
      </c>
      <c r="AH403" s="7">
        <v>15000</v>
      </c>
      <c r="AI403" s="7">
        <v>135000</v>
      </c>
      <c r="AJ403" t="s">
        <v>144</v>
      </c>
    </row>
    <row r="404" spans="14:36" x14ac:dyDescent="0.3">
      <c r="N404" s="8">
        <v>2026</v>
      </c>
      <c r="O404" s="8">
        <v>6</v>
      </c>
      <c r="P404" s="9">
        <v>46203</v>
      </c>
      <c r="Q404" t="s">
        <v>238</v>
      </c>
      <c r="R404" t="s">
        <v>303</v>
      </c>
      <c r="S404" t="s">
        <v>304</v>
      </c>
      <c r="T404" t="s">
        <v>2274</v>
      </c>
      <c r="U404" t="s">
        <v>3884</v>
      </c>
      <c r="V404" t="s">
        <v>246</v>
      </c>
      <c r="W404" t="s">
        <v>244</v>
      </c>
      <c r="X404" t="s">
        <v>2792</v>
      </c>
      <c r="Y404" t="s">
        <v>191</v>
      </c>
      <c r="Z404" t="s">
        <v>335</v>
      </c>
      <c r="AA404" t="s">
        <v>336</v>
      </c>
      <c r="AB404" t="s">
        <v>1146</v>
      </c>
      <c r="AC404" t="s">
        <v>1147</v>
      </c>
      <c r="AD404" t="s">
        <v>1148</v>
      </c>
      <c r="AE404" s="7">
        <v>99000</v>
      </c>
      <c r="AF404" s="7">
        <v>1</v>
      </c>
      <c r="AG404" s="7">
        <v>99000</v>
      </c>
      <c r="AH404" s="7">
        <v>0</v>
      </c>
      <c r="AI404" s="7">
        <v>99000</v>
      </c>
      <c r="AJ404" t="s">
        <v>1147</v>
      </c>
    </row>
    <row r="405" spans="14:36" x14ac:dyDescent="0.3">
      <c r="N405" s="8">
        <v>2026</v>
      </c>
      <c r="O405" s="8">
        <v>6</v>
      </c>
      <c r="P405" s="9">
        <v>46203</v>
      </c>
      <c r="Q405" t="s">
        <v>238</v>
      </c>
      <c r="R405" t="s">
        <v>303</v>
      </c>
      <c r="S405" t="s">
        <v>304</v>
      </c>
      <c r="T405" t="s">
        <v>2274</v>
      </c>
      <c r="U405" t="s">
        <v>3884</v>
      </c>
      <c r="V405" t="s">
        <v>246</v>
      </c>
      <c r="W405" t="s">
        <v>244</v>
      </c>
      <c r="X405" t="s">
        <v>2792</v>
      </c>
      <c r="Y405" t="s">
        <v>191</v>
      </c>
      <c r="Z405" t="s">
        <v>335</v>
      </c>
      <c r="AA405" t="s">
        <v>337</v>
      </c>
      <c r="AB405" t="s">
        <v>656</v>
      </c>
      <c r="AC405" t="s">
        <v>657</v>
      </c>
      <c r="AD405" t="s">
        <v>658</v>
      </c>
      <c r="AE405" s="7">
        <v>35000</v>
      </c>
      <c r="AF405" s="7">
        <v>2</v>
      </c>
      <c r="AG405" s="7">
        <v>70000</v>
      </c>
      <c r="AH405" s="7">
        <v>0</v>
      </c>
      <c r="AI405" s="7">
        <v>70000</v>
      </c>
      <c r="AJ405" t="s">
        <v>657</v>
      </c>
    </row>
    <row r="406" spans="14:36" x14ac:dyDescent="0.3">
      <c r="N406" s="8">
        <v>2026</v>
      </c>
      <c r="O406" s="8">
        <v>6</v>
      </c>
      <c r="P406" s="9">
        <v>46203</v>
      </c>
      <c r="Q406" t="s">
        <v>238</v>
      </c>
      <c r="R406" t="s">
        <v>303</v>
      </c>
      <c r="S406" t="s">
        <v>304</v>
      </c>
      <c r="T406" t="s">
        <v>852</v>
      </c>
      <c r="U406" t="s">
        <v>321</v>
      </c>
      <c r="V406" t="s">
        <v>246</v>
      </c>
      <c r="W406" t="s">
        <v>244</v>
      </c>
      <c r="X406" t="s">
        <v>2793</v>
      </c>
      <c r="Y406" t="s">
        <v>168</v>
      </c>
      <c r="Z406" t="s">
        <v>171</v>
      </c>
      <c r="AA406" t="s">
        <v>175</v>
      </c>
      <c r="AB406" t="s">
        <v>35</v>
      </c>
      <c r="AC406" t="s">
        <v>33</v>
      </c>
      <c r="AD406" t="s">
        <v>34</v>
      </c>
      <c r="AE406" s="7">
        <v>255000</v>
      </c>
      <c r="AF406" s="7">
        <v>1</v>
      </c>
      <c r="AG406" s="7">
        <v>255000</v>
      </c>
      <c r="AH406" s="7">
        <v>5000</v>
      </c>
      <c r="AI406" s="7">
        <v>250000</v>
      </c>
      <c r="AJ406" t="s">
        <v>33</v>
      </c>
    </row>
    <row r="407" spans="14:36" x14ac:dyDescent="0.3">
      <c r="N407" s="8">
        <v>2026</v>
      </c>
      <c r="O407" s="8">
        <v>6</v>
      </c>
      <c r="P407" s="9">
        <v>46203</v>
      </c>
      <c r="Q407" t="s">
        <v>238</v>
      </c>
      <c r="R407" t="s">
        <v>303</v>
      </c>
      <c r="S407" t="s">
        <v>304</v>
      </c>
      <c r="T407" t="s">
        <v>2717</v>
      </c>
      <c r="U407" t="s">
        <v>3885</v>
      </c>
      <c r="V407" t="s">
        <v>246</v>
      </c>
      <c r="W407" t="s">
        <v>244</v>
      </c>
      <c r="X407" t="s">
        <v>2794</v>
      </c>
      <c r="Y407" t="s">
        <v>191</v>
      </c>
      <c r="Z407" t="s">
        <v>335</v>
      </c>
      <c r="AA407" t="s">
        <v>336</v>
      </c>
      <c r="AB407" t="s">
        <v>1284</v>
      </c>
      <c r="AC407" t="s">
        <v>1285</v>
      </c>
      <c r="AD407" t="s">
        <v>1286</v>
      </c>
      <c r="AE407" s="7">
        <v>99000</v>
      </c>
      <c r="AF407" s="7">
        <v>2</v>
      </c>
      <c r="AG407" s="7">
        <v>198000</v>
      </c>
      <c r="AH407" s="7">
        <v>0</v>
      </c>
      <c r="AI407" s="7">
        <v>198000</v>
      </c>
      <c r="AJ407" t="s">
        <v>1285</v>
      </c>
    </row>
    <row r="408" spans="14:36" x14ac:dyDescent="0.3">
      <c r="N408" s="8">
        <v>2026</v>
      </c>
      <c r="O408" s="8">
        <v>6</v>
      </c>
      <c r="P408" s="9">
        <v>46203</v>
      </c>
      <c r="Q408" t="s">
        <v>238</v>
      </c>
      <c r="R408" t="s">
        <v>351</v>
      </c>
      <c r="S408" t="s">
        <v>352</v>
      </c>
      <c r="T408" t="s">
        <v>592</v>
      </c>
      <c r="U408" t="s">
        <v>593</v>
      </c>
      <c r="V408" t="s">
        <v>246</v>
      </c>
      <c r="W408" t="s">
        <v>244</v>
      </c>
      <c r="X408" t="s">
        <v>2795</v>
      </c>
      <c r="Y408" t="s">
        <v>191</v>
      </c>
      <c r="Z408" t="s">
        <v>192</v>
      </c>
      <c r="AA408" t="s">
        <v>193</v>
      </c>
      <c r="AB408" t="s">
        <v>107</v>
      </c>
      <c r="AC408" t="s">
        <v>105</v>
      </c>
      <c r="AD408" t="s">
        <v>106</v>
      </c>
      <c r="AE408" s="7">
        <v>235000</v>
      </c>
      <c r="AF408" s="7">
        <v>1</v>
      </c>
      <c r="AG408" s="7">
        <v>235000</v>
      </c>
      <c r="AH408" s="7">
        <v>0</v>
      </c>
      <c r="AI408" s="7">
        <v>235000</v>
      </c>
      <c r="AJ408" t="s">
        <v>105</v>
      </c>
    </row>
    <row r="409" spans="14:36" x14ac:dyDescent="0.3">
      <c r="N409" s="8">
        <v>2026</v>
      </c>
      <c r="O409" s="8">
        <v>6</v>
      </c>
      <c r="P409" s="9">
        <v>46203</v>
      </c>
      <c r="Q409" t="s">
        <v>238</v>
      </c>
      <c r="R409" t="s">
        <v>351</v>
      </c>
      <c r="S409" t="s">
        <v>352</v>
      </c>
      <c r="T409" t="s">
        <v>2796</v>
      </c>
      <c r="U409" t="s">
        <v>2797</v>
      </c>
      <c r="V409" t="s">
        <v>249</v>
      </c>
      <c r="W409" t="s">
        <v>244</v>
      </c>
      <c r="X409" t="s">
        <v>2798</v>
      </c>
      <c r="Y409" t="s">
        <v>194</v>
      </c>
      <c r="Z409" t="s">
        <v>200</v>
      </c>
      <c r="AA409" t="s">
        <v>201</v>
      </c>
      <c r="AB409" t="s">
        <v>77</v>
      </c>
      <c r="AC409" t="s">
        <v>75</v>
      </c>
      <c r="AD409" t="s">
        <v>76</v>
      </c>
      <c r="AE409" s="7">
        <v>52000</v>
      </c>
      <c r="AF409" s="7">
        <v>1</v>
      </c>
      <c r="AG409" s="7">
        <v>52000</v>
      </c>
      <c r="AH409" s="7">
        <v>0</v>
      </c>
      <c r="AI409" s="7">
        <v>52000</v>
      </c>
      <c r="AJ409" t="s">
        <v>75</v>
      </c>
    </row>
    <row r="410" spans="14:36" x14ac:dyDescent="0.3">
      <c r="N410" s="8">
        <v>2026</v>
      </c>
      <c r="O410" s="8">
        <v>6</v>
      </c>
      <c r="P410" s="9">
        <v>46203</v>
      </c>
      <c r="Q410" t="s">
        <v>238</v>
      </c>
      <c r="R410" t="s">
        <v>374</v>
      </c>
      <c r="S410" t="s">
        <v>375</v>
      </c>
      <c r="T410" t="s">
        <v>378</v>
      </c>
      <c r="U410" t="s">
        <v>379</v>
      </c>
      <c r="V410" t="s">
        <v>246</v>
      </c>
      <c r="W410" t="s">
        <v>244</v>
      </c>
      <c r="X410" t="s">
        <v>2799</v>
      </c>
      <c r="Y410" t="s">
        <v>168</v>
      </c>
      <c r="Z410" t="s">
        <v>171</v>
      </c>
      <c r="AA410" t="s">
        <v>173</v>
      </c>
      <c r="AB410" t="s">
        <v>26</v>
      </c>
      <c r="AC410" t="s">
        <v>24</v>
      </c>
      <c r="AD410" t="s">
        <v>25</v>
      </c>
      <c r="AE410" s="7">
        <v>555000</v>
      </c>
      <c r="AF410" s="7">
        <v>1</v>
      </c>
      <c r="AG410" s="7">
        <v>555000</v>
      </c>
      <c r="AH410" s="7">
        <v>44400</v>
      </c>
      <c r="AI410" s="7">
        <v>510600</v>
      </c>
      <c r="AJ410" t="s">
        <v>24</v>
      </c>
    </row>
    <row r="411" spans="14:36" x14ac:dyDescent="0.3">
      <c r="N411" s="8">
        <v>2026</v>
      </c>
      <c r="O411" s="8">
        <v>6</v>
      </c>
      <c r="P411" s="9">
        <v>46203</v>
      </c>
      <c r="Q411" t="s">
        <v>238</v>
      </c>
      <c r="R411" t="s">
        <v>374</v>
      </c>
      <c r="S411" t="s">
        <v>375</v>
      </c>
      <c r="T411" t="s">
        <v>1096</v>
      </c>
      <c r="U411" t="s">
        <v>3886</v>
      </c>
      <c r="V411" t="s">
        <v>246</v>
      </c>
      <c r="W411" t="s">
        <v>244</v>
      </c>
      <c r="X411" t="s">
        <v>2800</v>
      </c>
      <c r="Y411" t="s">
        <v>191</v>
      </c>
      <c r="Z411" t="s">
        <v>335</v>
      </c>
      <c r="AA411" t="s">
        <v>336</v>
      </c>
      <c r="AB411" t="s">
        <v>1146</v>
      </c>
      <c r="AC411" t="s">
        <v>1147</v>
      </c>
      <c r="AD411" t="s">
        <v>1148</v>
      </c>
      <c r="AE411" s="7">
        <v>99000</v>
      </c>
      <c r="AF411" s="7">
        <v>1</v>
      </c>
      <c r="AG411" s="7">
        <v>99000</v>
      </c>
      <c r="AH411" s="7">
        <v>0</v>
      </c>
      <c r="AI411" s="7">
        <v>99000</v>
      </c>
      <c r="AJ411" t="s">
        <v>1147</v>
      </c>
    </row>
    <row r="412" spans="14:36" x14ac:dyDescent="0.3">
      <c r="N412" s="8">
        <v>2026</v>
      </c>
      <c r="O412" s="8">
        <v>6</v>
      </c>
      <c r="P412" s="9">
        <v>46203</v>
      </c>
      <c r="Q412" t="s">
        <v>238</v>
      </c>
      <c r="R412" t="s">
        <v>396</v>
      </c>
      <c r="S412" t="s">
        <v>397</v>
      </c>
      <c r="T412" t="s">
        <v>1192</v>
      </c>
      <c r="U412" t="s">
        <v>3622</v>
      </c>
      <c r="V412" t="s">
        <v>246</v>
      </c>
      <c r="W412" t="s">
        <v>244</v>
      </c>
      <c r="X412" t="s">
        <v>2803</v>
      </c>
      <c r="Y412" t="s">
        <v>168</v>
      </c>
      <c r="Z412" t="s">
        <v>179</v>
      </c>
      <c r="AA412" t="s">
        <v>180</v>
      </c>
      <c r="AB412" t="s">
        <v>149</v>
      </c>
      <c r="AC412" t="s">
        <v>147</v>
      </c>
      <c r="AD412" t="s">
        <v>148</v>
      </c>
      <c r="AE412" s="7">
        <v>150000</v>
      </c>
      <c r="AF412" s="7">
        <v>1</v>
      </c>
      <c r="AG412" s="7">
        <v>150000</v>
      </c>
      <c r="AH412" s="7">
        <v>15000</v>
      </c>
      <c r="AI412" s="7">
        <v>135000</v>
      </c>
      <c r="AJ412" t="s">
        <v>147</v>
      </c>
    </row>
    <row r="413" spans="14:36" x14ac:dyDescent="0.3">
      <c r="N413" s="8">
        <v>2026</v>
      </c>
      <c r="O413" s="8">
        <v>6</v>
      </c>
      <c r="P413" s="9">
        <v>46203</v>
      </c>
      <c r="Q413" t="s">
        <v>238</v>
      </c>
      <c r="R413" t="s">
        <v>425</v>
      </c>
      <c r="S413" t="s">
        <v>426</v>
      </c>
      <c r="T413" t="s">
        <v>1924</v>
      </c>
      <c r="U413" t="s">
        <v>460</v>
      </c>
      <c r="V413" t="s">
        <v>246</v>
      </c>
      <c r="W413" t="s">
        <v>244</v>
      </c>
      <c r="X413" t="s">
        <v>2804</v>
      </c>
      <c r="Y413" t="s">
        <v>183</v>
      </c>
      <c r="Z413" t="s">
        <v>186</v>
      </c>
      <c r="AA413" t="s">
        <v>188</v>
      </c>
      <c r="AB413" t="s">
        <v>95</v>
      </c>
      <c r="AC413" t="s">
        <v>93</v>
      </c>
      <c r="AD413" t="s">
        <v>94</v>
      </c>
      <c r="AE413" s="7">
        <v>239000</v>
      </c>
      <c r="AF413" s="7">
        <v>1</v>
      </c>
      <c r="AG413" s="7">
        <v>239000</v>
      </c>
      <c r="AH413" s="7">
        <v>0</v>
      </c>
      <c r="AI413" s="7">
        <v>239000</v>
      </c>
      <c r="AJ413" t="s">
        <v>93</v>
      </c>
    </row>
    <row r="414" spans="14:36" x14ac:dyDescent="0.3">
      <c r="N414" s="8">
        <v>2026</v>
      </c>
      <c r="O414" s="8">
        <v>6</v>
      </c>
      <c r="P414" s="9">
        <v>46202</v>
      </c>
      <c r="Q414" t="s">
        <v>238</v>
      </c>
      <c r="R414" t="s">
        <v>239</v>
      </c>
      <c r="S414" t="s">
        <v>240</v>
      </c>
      <c r="T414" t="s">
        <v>2805</v>
      </c>
      <c r="U414" t="s">
        <v>3887</v>
      </c>
      <c r="V414" t="s">
        <v>246</v>
      </c>
      <c r="W414" t="s">
        <v>244</v>
      </c>
      <c r="X414" t="s">
        <v>2806</v>
      </c>
      <c r="Y414" t="s">
        <v>168</v>
      </c>
      <c r="Z414" t="s">
        <v>171</v>
      </c>
      <c r="AA414" t="s">
        <v>175</v>
      </c>
      <c r="AB414" t="s">
        <v>44</v>
      </c>
      <c r="AC414" t="s">
        <v>42</v>
      </c>
      <c r="AD414" t="s">
        <v>43</v>
      </c>
      <c r="AE414" s="7">
        <v>294000</v>
      </c>
      <c r="AF414" s="7">
        <v>1</v>
      </c>
      <c r="AG414" s="7">
        <v>294000</v>
      </c>
      <c r="AH414" s="7">
        <v>117600</v>
      </c>
      <c r="AI414" s="7">
        <v>176400</v>
      </c>
      <c r="AJ414" t="s">
        <v>42</v>
      </c>
    </row>
    <row r="415" spans="14:36" x14ac:dyDescent="0.3">
      <c r="N415" s="8">
        <v>2026</v>
      </c>
      <c r="O415" s="8">
        <v>6</v>
      </c>
      <c r="P415" s="9">
        <v>46202</v>
      </c>
      <c r="Q415" t="s">
        <v>238</v>
      </c>
      <c r="R415" t="s">
        <v>279</v>
      </c>
      <c r="S415" t="s">
        <v>280</v>
      </c>
      <c r="T415" t="s">
        <v>1485</v>
      </c>
      <c r="U415" t="s">
        <v>300</v>
      </c>
      <c r="V415" t="s">
        <v>246</v>
      </c>
      <c r="W415" t="s">
        <v>244</v>
      </c>
      <c r="X415" t="s">
        <v>2807</v>
      </c>
      <c r="Y415" t="s">
        <v>168</v>
      </c>
      <c r="Z415" t="s">
        <v>171</v>
      </c>
      <c r="AA415" t="s">
        <v>175</v>
      </c>
      <c r="AB415" t="s">
        <v>38</v>
      </c>
      <c r="AC415" t="s">
        <v>36</v>
      </c>
      <c r="AD415" t="s">
        <v>37</v>
      </c>
      <c r="AE415" s="7">
        <v>290000</v>
      </c>
      <c r="AF415" s="7">
        <v>1</v>
      </c>
      <c r="AG415" s="7">
        <v>290000</v>
      </c>
      <c r="AH415" s="7">
        <v>23200</v>
      </c>
      <c r="AI415" s="7">
        <v>266800</v>
      </c>
      <c r="AJ415" t="s">
        <v>36</v>
      </c>
    </row>
    <row r="416" spans="14:36" x14ac:dyDescent="0.3">
      <c r="N416" s="8">
        <v>2026</v>
      </c>
      <c r="O416" s="8">
        <v>6</v>
      </c>
      <c r="P416" s="9">
        <v>46202</v>
      </c>
      <c r="Q416" t="s">
        <v>238</v>
      </c>
      <c r="R416" t="s">
        <v>303</v>
      </c>
      <c r="S416" t="s">
        <v>304</v>
      </c>
      <c r="T416" t="s">
        <v>914</v>
      </c>
      <c r="U416" t="s">
        <v>915</v>
      </c>
      <c r="V416" t="s">
        <v>246</v>
      </c>
      <c r="W416" t="s">
        <v>244</v>
      </c>
      <c r="X416" t="s">
        <v>2808</v>
      </c>
      <c r="Y416" t="s">
        <v>191</v>
      </c>
      <c r="Z416" t="s">
        <v>335</v>
      </c>
      <c r="AA416" t="s">
        <v>337</v>
      </c>
      <c r="AB416" t="s">
        <v>348</v>
      </c>
      <c r="AC416" t="s">
        <v>349</v>
      </c>
      <c r="AD416" t="s">
        <v>350</v>
      </c>
      <c r="AE416" s="7">
        <v>76000</v>
      </c>
      <c r="AF416" s="7">
        <v>3</v>
      </c>
      <c r="AG416" s="7">
        <v>228000</v>
      </c>
      <c r="AH416" s="7">
        <v>0</v>
      </c>
      <c r="AI416" s="7">
        <v>228000</v>
      </c>
      <c r="AJ416" t="s">
        <v>349</v>
      </c>
    </row>
    <row r="417" spans="14:36" x14ac:dyDescent="0.3">
      <c r="N417" s="8">
        <v>2026</v>
      </c>
      <c r="O417" s="8">
        <v>6</v>
      </c>
      <c r="P417" s="9">
        <v>46202</v>
      </c>
      <c r="Q417" t="s">
        <v>238</v>
      </c>
      <c r="R417" t="s">
        <v>303</v>
      </c>
      <c r="S417" t="s">
        <v>304</v>
      </c>
      <c r="T417" t="s">
        <v>2809</v>
      </c>
      <c r="U417" t="s">
        <v>2810</v>
      </c>
      <c r="V417" t="s">
        <v>246</v>
      </c>
      <c r="W417" t="s">
        <v>244</v>
      </c>
      <c r="X417" t="s">
        <v>2811</v>
      </c>
      <c r="Y417" t="s">
        <v>191</v>
      </c>
      <c r="Z417" t="s">
        <v>192</v>
      </c>
      <c r="AA417" t="s">
        <v>193</v>
      </c>
      <c r="AB417" t="s">
        <v>104</v>
      </c>
      <c r="AC417" t="s">
        <v>102</v>
      </c>
      <c r="AD417" t="s">
        <v>103</v>
      </c>
      <c r="AE417" s="7">
        <v>235000</v>
      </c>
      <c r="AF417" s="7">
        <v>1</v>
      </c>
      <c r="AG417" s="7">
        <v>235000</v>
      </c>
      <c r="AH417" s="7">
        <v>0</v>
      </c>
      <c r="AI417" s="7">
        <v>235000</v>
      </c>
      <c r="AJ417" t="s">
        <v>102</v>
      </c>
    </row>
    <row r="418" spans="14:36" x14ac:dyDescent="0.3">
      <c r="N418" s="8">
        <v>2026</v>
      </c>
      <c r="O418" s="8">
        <v>6</v>
      </c>
      <c r="P418" s="9">
        <v>46202</v>
      </c>
      <c r="Q418" t="s">
        <v>238</v>
      </c>
      <c r="R418" t="s">
        <v>303</v>
      </c>
      <c r="S418" t="s">
        <v>304</v>
      </c>
      <c r="T418" t="s">
        <v>1459</v>
      </c>
      <c r="U418" t="s">
        <v>492</v>
      </c>
      <c r="V418" t="s">
        <v>246</v>
      </c>
      <c r="W418" t="s">
        <v>244</v>
      </c>
      <c r="X418" t="s">
        <v>2812</v>
      </c>
      <c r="Y418" t="s">
        <v>168</v>
      </c>
      <c r="Z418" t="s">
        <v>171</v>
      </c>
      <c r="AA418" t="s">
        <v>173</v>
      </c>
      <c r="AB418" t="s">
        <v>29</v>
      </c>
      <c r="AC418" t="s">
        <v>27</v>
      </c>
      <c r="AD418" t="s">
        <v>28</v>
      </c>
      <c r="AE418" s="7">
        <v>575000</v>
      </c>
      <c r="AF418" s="7">
        <v>1</v>
      </c>
      <c r="AG418" s="7">
        <v>575000</v>
      </c>
      <c r="AH418" s="7">
        <v>46000</v>
      </c>
      <c r="AI418" s="7">
        <v>529000</v>
      </c>
      <c r="AJ418" t="s">
        <v>27</v>
      </c>
    </row>
    <row r="419" spans="14:36" x14ac:dyDescent="0.3">
      <c r="N419" s="8">
        <v>2026</v>
      </c>
      <c r="O419" s="8">
        <v>6</v>
      </c>
      <c r="P419" s="9">
        <v>46202</v>
      </c>
      <c r="Q419" t="s">
        <v>238</v>
      </c>
      <c r="R419" t="s">
        <v>303</v>
      </c>
      <c r="S419" t="s">
        <v>304</v>
      </c>
      <c r="T419" t="s">
        <v>346</v>
      </c>
      <c r="U419" t="s">
        <v>3888</v>
      </c>
      <c r="V419" t="s">
        <v>246</v>
      </c>
      <c r="W419" t="s">
        <v>244</v>
      </c>
      <c r="X419" t="s">
        <v>2813</v>
      </c>
      <c r="Y419" t="s">
        <v>191</v>
      </c>
      <c r="Z419" t="s">
        <v>335</v>
      </c>
      <c r="AA419" t="s">
        <v>337</v>
      </c>
      <c r="AB419" t="s">
        <v>656</v>
      </c>
      <c r="AC419" t="s">
        <v>657</v>
      </c>
      <c r="AD419" t="s">
        <v>658</v>
      </c>
      <c r="AE419" s="7">
        <v>35000</v>
      </c>
      <c r="AF419" s="7">
        <v>1</v>
      </c>
      <c r="AG419" s="7">
        <v>35000</v>
      </c>
      <c r="AH419" s="7">
        <v>0</v>
      </c>
      <c r="AI419" s="7">
        <v>35000</v>
      </c>
      <c r="AJ419" t="s">
        <v>657</v>
      </c>
    </row>
    <row r="420" spans="14:36" x14ac:dyDescent="0.3">
      <c r="N420" s="8">
        <v>2026</v>
      </c>
      <c r="O420" s="8">
        <v>6</v>
      </c>
      <c r="P420" s="9">
        <v>46202</v>
      </c>
      <c r="Q420" t="s">
        <v>238</v>
      </c>
      <c r="R420" t="s">
        <v>303</v>
      </c>
      <c r="S420" t="s">
        <v>304</v>
      </c>
      <c r="T420" t="s">
        <v>346</v>
      </c>
      <c r="U420" t="s">
        <v>3888</v>
      </c>
      <c r="V420" t="s">
        <v>246</v>
      </c>
      <c r="W420" t="s">
        <v>244</v>
      </c>
      <c r="X420" t="s">
        <v>2813</v>
      </c>
      <c r="Y420" t="s">
        <v>191</v>
      </c>
      <c r="Z420" t="s">
        <v>335</v>
      </c>
      <c r="AA420" t="s">
        <v>337</v>
      </c>
      <c r="AB420" t="s">
        <v>348</v>
      </c>
      <c r="AC420" t="s">
        <v>349</v>
      </c>
      <c r="AD420" t="s">
        <v>350</v>
      </c>
      <c r="AE420" s="7">
        <v>76000</v>
      </c>
      <c r="AF420" s="7">
        <v>1</v>
      </c>
      <c r="AG420" s="7">
        <v>76000</v>
      </c>
      <c r="AH420" s="7">
        <v>0</v>
      </c>
      <c r="AI420" s="7">
        <v>76000</v>
      </c>
      <c r="AJ420" t="s">
        <v>349</v>
      </c>
    </row>
    <row r="421" spans="14:36" x14ac:dyDescent="0.3">
      <c r="N421" s="8">
        <v>2026</v>
      </c>
      <c r="O421" s="8">
        <v>6</v>
      </c>
      <c r="P421" s="9">
        <v>46202</v>
      </c>
      <c r="Q421" t="s">
        <v>238</v>
      </c>
      <c r="R421" t="s">
        <v>351</v>
      </c>
      <c r="S421" t="s">
        <v>352</v>
      </c>
      <c r="T421" t="s">
        <v>356</v>
      </c>
      <c r="U421" t="s">
        <v>357</v>
      </c>
      <c r="V421" t="s">
        <v>243</v>
      </c>
      <c r="W421" t="s">
        <v>244</v>
      </c>
      <c r="X421" t="s">
        <v>2814</v>
      </c>
      <c r="Y421" t="s">
        <v>168</v>
      </c>
      <c r="Z421" t="s">
        <v>171</v>
      </c>
      <c r="AA421" t="s">
        <v>175</v>
      </c>
      <c r="AB421" t="s">
        <v>41</v>
      </c>
      <c r="AC421" t="s">
        <v>39</v>
      </c>
      <c r="AD421" t="s">
        <v>40</v>
      </c>
      <c r="AE421" s="7">
        <v>295000</v>
      </c>
      <c r="AF421" s="7">
        <v>1</v>
      </c>
      <c r="AG421" s="7">
        <v>295000</v>
      </c>
      <c r="AH421" s="7">
        <v>0</v>
      </c>
      <c r="AI421" s="7">
        <v>295000</v>
      </c>
      <c r="AJ421" t="s">
        <v>39</v>
      </c>
    </row>
    <row r="422" spans="14:36" x14ac:dyDescent="0.3">
      <c r="N422" s="8">
        <v>2026</v>
      </c>
      <c r="O422" s="8">
        <v>6</v>
      </c>
      <c r="P422" s="9">
        <v>46202</v>
      </c>
      <c r="Q422" t="s">
        <v>238</v>
      </c>
      <c r="R422" t="s">
        <v>351</v>
      </c>
      <c r="S422" t="s">
        <v>352</v>
      </c>
      <c r="T422" t="s">
        <v>2082</v>
      </c>
      <c r="U422" t="s">
        <v>804</v>
      </c>
      <c r="V422" t="s">
        <v>246</v>
      </c>
      <c r="W422" t="s">
        <v>244</v>
      </c>
      <c r="X422" t="s">
        <v>2815</v>
      </c>
      <c r="Y422" t="s">
        <v>168</v>
      </c>
      <c r="Z422" t="s">
        <v>171</v>
      </c>
      <c r="AA422" t="s">
        <v>175</v>
      </c>
      <c r="AB422" t="s">
        <v>38</v>
      </c>
      <c r="AC422" t="s">
        <v>36</v>
      </c>
      <c r="AD422" t="s">
        <v>37</v>
      </c>
      <c r="AE422" s="7">
        <v>290000</v>
      </c>
      <c r="AF422" s="7">
        <v>1</v>
      </c>
      <c r="AG422" s="7">
        <v>290000</v>
      </c>
      <c r="AH422" s="7">
        <v>23200</v>
      </c>
      <c r="AI422" s="7">
        <v>266800</v>
      </c>
      <c r="AJ422" t="s">
        <v>36</v>
      </c>
    </row>
    <row r="423" spans="14:36" x14ac:dyDescent="0.3">
      <c r="N423" s="8">
        <v>2026</v>
      </c>
      <c r="O423" s="8">
        <v>6</v>
      </c>
      <c r="P423" s="9">
        <v>46202</v>
      </c>
      <c r="Q423" t="s">
        <v>238</v>
      </c>
      <c r="R423" t="s">
        <v>351</v>
      </c>
      <c r="S423" t="s">
        <v>352</v>
      </c>
      <c r="T423" t="s">
        <v>2816</v>
      </c>
      <c r="U423" t="s">
        <v>1679</v>
      </c>
      <c r="V423" t="s">
        <v>246</v>
      </c>
      <c r="W423" t="s">
        <v>244</v>
      </c>
      <c r="X423" t="s">
        <v>2817</v>
      </c>
      <c r="Y423" t="s">
        <v>191</v>
      </c>
      <c r="Z423" t="s">
        <v>192</v>
      </c>
      <c r="AA423" t="s">
        <v>193</v>
      </c>
      <c r="AB423" t="s">
        <v>110</v>
      </c>
      <c r="AC423" t="s">
        <v>108</v>
      </c>
      <c r="AD423" t="s">
        <v>109</v>
      </c>
      <c r="AE423" s="7">
        <v>235000</v>
      </c>
      <c r="AF423" s="7">
        <v>1</v>
      </c>
      <c r="AG423" s="7">
        <v>235000</v>
      </c>
      <c r="AH423" s="7">
        <v>0</v>
      </c>
      <c r="AI423" s="7">
        <v>235000</v>
      </c>
      <c r="AJ423" t="s">
        <v>108</v>
      </c>
    </row>
    <row r="424" spans="14:36" x14ac:dyDescent="0.3">
      <c r="N424" s="8">
        <v>2026</v>
      </c>
      <c r="O424" s="8">
        <v>6</v>
      </c>
      <c r="P424" s="9">
        <v>46201</v>
      </c>
      <c r="Q424" t="s">
        <v>238</v>
      </c>
      <c r="R424" t="s">
        <v>239</v>
      </c>
      <c r="S424" t="s">
        <v>240</v>
      </c>
      <c r="T424" t="s">
        <v>241</v>
      </c>
      <c r="U424" t="s">
        <v>3655</v>
      </c>
      <c r="V424" t="s">
        <v>243</v>
      </c>
      <c r="W424" t="s">
        <v>244</v>
      </c>
      <c r="X424" t="s">
        <v>2818</v>
      </c>
      <c r="Y424" t="s">
        <v>191</v>
      </c>
      <c r="Z424" t="s">
        <v>335</v>
      </c>
      <c r="AA424" t="s">
        <v>337</v>
      </c>
      <c r="AB424" t="s">
        <v>719</v>
      </c>
      <c r="AC424" t="s">
        <v>720</v>
      </c>
      <c r="AD424" t="s">
        <v>721</v>
      </c>
      <c r="AE424" s="7">
        <v>104000</v>
      </c>
      <c r="AF424" s="7">
        <v>1</v>
      </c>
      <c r="AG424" s="7">
        <v>104000</v>
      </c>
      <c r="AH424" s="7">
        <v>31200</v>
      </c>
      <c r="AI424" s="7">
        <v>72800</v>
      </c>
      <c r="AJ424" t="s">
        <v>720</v>
      </c>
    </row>
    <row r="425" spans="14:36" x14ac:dyDescent="0.3">
      <c r="N425" s="8">
        <v>2026</v>
      </c>
      <c r="O425" s="8">
        <v>6</v>
      </c>
      <c r="P425" s="9">
        <v>46201</v>
      </c>
      <c r="Q425" t="s">
        <v>238</v>
      </c>
      <c r="R425" t="s">
        <v>239</v>
      </c>
      <c r="S425" t="s">
        <v>240</v>
      </c>
      <c r="T425" t="s">
        <v>2819</v>
      </c>
      <c r="U425" t="s">
        <v>2820</v>
      </c>
      <c r="V425" t="s">
        <v>246</v>
      </c>
      <c r="W425" t="s">
        <v>244</v>
      </c>
      <c r="X425" t="s">
        <v>2821</v>
      </c>
      <c r="Y425" t="s">
        <v>168</v>
      </c>
      <c r="Z425" t="s">
        <v>171</v>
      </c>
      <c r="AA425" t="s">
        <v>172</v>
      </c>
      <c r="AB425" t="s">
        <v>11</v>
      </c>
      <c r="AC425" t="s">
        <v>9</v>
      </c>
      <c r="AD425" t="s">
        <v>10</v>
      </c>
      <c r="AE425" s="7">
        <v>129000</v>
      </c>
      <c r="AF425" s="7">
        <v>1</v>
      </c>
      <c r="AG425" s="7">
        <v>129000</v>
      </c>
      <c r="AH425" s="7">
        <v>20000</v>
      </c>
      <c r="AI425" s="7">
        <v>109000</v>
      </c>
      <c r="AJ425" t="s">
        <v>9</v>
      </c>
    </row>
    <row r="426" spans="14:36" x14ac:dyDescent="0.3">
      <c r="N426" s="8">
        <v>2026</v>
      </c>
      <c r="O426" s="8">
        <v>6</v>
      </c>
      <c r="P426" s="9">
        <v>46201</v>
      </c>
      <c r="Q426" t="s">
        <v>238</v>
      </c>
      <c r="R426" t="s">
        <v>279</v>
      </c>
      <c r="S426" t="s">
        <v>280</v>
      </c>
      <c r="T426" t="s">
        <v>2823</v>
      </c>
      <c r="U426" t="s">
        <v>3889</v>
      </c>
      <c r="V426" t="s">
        <v>246</v>
      </c>
      <c r="W426" t="s">
        <v>244</v>
      </c>
      <c r="X426" t="s">
        <v>2824</v>
      </c>
      <c r="Y426" t="s">
        <v>191</v>
      </c>
      <c r="Z426" t="s">
        <v>335</v>
      </c>
      <c r="AA426" t="s">
        <v>336</v>
      </c>
      <c r="AB426" t="s">
        <v>1518</v>
      </c>
      <c r="AC426" t="s">
        <v>1519</v>
      </c>
      <c r="AD426" t="s">
        <v>1520</v>
      </c>
      <c r="AE426" s="7">
        <v>99000</v>
      </c>
      <c r="AF426" s="7">
        <v>1</v>
      </c>
      <c r="AG426" s="7">
        <v>99000</v>
      </c>
      <c r="AH426" s="7">
        <v>0</v>
      </c>
      <c r="AI426" s="7">
        <v>99000</v>
      </c>
      <c r="AJ426" t="s">
        <v>1519</v>
      </c>
    </row>
    <row r="427" spans="14:36" x14ac:dyDescent="0.3">
      <c r="N427" s="8">
        <v>2026</v>
      </c>
      <c r="O427" s="8">
        <v>6</v>
      </c>
      <c r="P427" s="9">
        <v>46201</v>
      </c>
      <c r="Q427" t="s">
        <v>238</v>
      </c>
      <c r="R427" t="s">
        <v>279</v>
      </c>
      <c r="S427" t="s">
        <v>280</v>
      </c>
      <c r="T427" t="s">
        <v>2823</v>
      </c>
      <c r="U427" t="s">
        <v>3889</v>
      </c>
      <c r="V427" t="s">
        <v>246</v>
      </c>
      <c r="W427" t="s">
        <v>244</v>
      </c>
      <c r="X427" t="s">
        <v>2824</v>
      </c>
      <c r="Y427" t="s">
        <v>191</v>
      </c>
      <c r="Z427" t="s">
        <v>335</v>
      </c>
      <c r="AA427" t="s">
        <v>336</v>
      </c>
      <c r="AB427" t="s">
        <v>1146</v>
      </c>
      <c r="AC427" t="s">
        <v>1147</v>
      </c>
      <c r="AD427" t="s">
        <v>1148</v>
      </c>
      <c r="AE427" s="7">
        <v>99000</v>
      </c>
      <c r="AF427" s="7">
        <v>2</v>
      </c>
      <c r="AG427" s="7">
        <v>198000</v>
      </c>
      <c r="AH427" s="7">
        <v>0</v>
      </c>
      <c r="AI427" s="7">
        <v>198000</v>
      </c>
      <c r="AJ427" t="s">
        <v>1147</v>
      </c>
    </row>
    <row r="428" spans="14:36" x14ac:dyDescent="0.3">
      <c r="N428" s="8">
        <v>2026</v>
      </c>
      <c r="O428" s="8">
        <v>6</v>
      </c>
      <c r="P428" s="9">
        <v>46201</v>
      </c>
      <c r="Q428" t="s">
        <v>238</v>
      </c>
      <c r="R428" t="s">
        <v>279</v>
      </c>
      <c r="S428" t="s">
        <v>280</v>
      </c>
      <c r="T428" t="s">
        <v>2825</v>
      </c>
      <c r="U428" t="s">
        <v>450</v>
      </c>
      <c r="V428" t="s">
        <v>246</v>
      </c>
      <c r="W428" t="s">
        <v>244</v>
      </c>
      <c r="X428" t="s">
        <v>2826</v>
      </c>
      <c r="Y428" t="s">
        <v>168</v>
      </c>
      <c r="Z428" t="s">
        <v>171</v>
      </c>
      <c r="AA428" t="s">
        <v>173</v>
      </c>
      <c r="AB428" t="s">
        <v>17</v>
      </c>
      <c r="AC428" t="s">
        <v>15</v>
      </c>
      <c r="AD428" t="s">
        <v>16</v>
      </c>
      <c r="AE428" s="7">
        <v>435000</v>
      </c>
      <c r="AF428" s="7">
        <v>1</v>
      </c>
      <c r="AG428" s="7">
        <v>435000</v>
      </c>
      <c r="AH428" s="7">
        <v>0</v>
      </c>
      <c r="AI428" s="7">
        <v>435000</v>
      </c>
      <c r="AJ428" t="s">
        <v>15</v>
      </c>
    </row>
    <row r="429" spans="14:36" x14ac:dyDescent="0.3">
      <c r="N429" s="8">
        <v>2026</v>
      </c>
      <c r="O429" s="8">
        <v>6</v>
      </c>
      <c r="P429" s="9">
        <v>46201</v>
      </c>
      <c r="Q429" t="s">
        <v>238</v>
      </c>
      <c r="R429" t="s">
        <v>279</v>
      </c>
      <c r="S429" t="s">
        <v>280</v>
      </c>
      <c r="T429" t="s">
        <v>2825</v>
      </c>
      <c r="U429" t="s">
        <v>450</v>
      </c>
      <c r="V429" t="s">
        <v>246</v>
      </c>
      <c r="W429" t="s">
        <v>244</v>
      </c>
      <c r="X429" t="s">
        <v>2826</v>
      </c>
      <c r="Y429" t="s">
        <v>168</v>
      </c>
      <c r="Z429" t="s">
        <v>171</v>
      </c>
      <c r="AA429" t="s">
        <v>175</v>
      </c>
      <c r="AB429" t="s">
        <v>41</v>
      </c>
      <c r="AC429" t="s">
        <v>39</v>
      </c>
      <c r="AD429" t="s">
        <v>40</v>
      </c>
      <c r="AE429" s="7">
        <v>295000</v>
      </c>
      <c r="AF429" s="7">
        <v>1</v>
      </c>
      <c r="AG429" s="7">
        <v>295000</v>
      </c>
      <c r="AH429" s="7">
        <v>0</v>
      </c>
      <c r="AI429" s="7">
        <v>295000</v>
      </c>
      <c r="AJ429" t="s">
        <v>39</v>
      </c>
    </row>
    <row r="430" spans="14:36" x14ac:dyDescent="0.3">
      <c r="N430" s="8">
        <v>2026</v>
      </c>
      <c r="O430" s="8">
        <v>6</v>
      </c>
      <c r="P430" s="9">
        <v>46201</v>
      </c>
      <c r="Q430" t="s">
        <v>238</v>
      </c>
      <c r="R430" t="s">
        <v>303</v>
      </c>
      <c r="S430" t="s">
        <v>304</v>
      </c>
      <c r="T430" t="s">
        <v>2300</v>
      </c>
      <c r="U430" t="s">
        <v>3890</v>
      </c>
      <c r="V430" t="s">
        <v>246</v>
      </c>
      <c r="W430" t="s">
        <v>244</v>
      </c>
      <c r="X430" t="s">
        <v>2827</v>
      </c>
      <c r="Y430" t="s">
        <v>191</v>
      </c>
      <c r="Z430" t="s">
        <v>335</v>
      </c>
      <c r="AA430" t="s">
        <v>336</v>
      </c>
      <c r="AB430" t="s">
        <v>1146</v>
      </c>
      <c r="AC430" t="s">
        <v>1147</v>
      </c>
      <c r="AD430" t="s">
        <v>1148</v>
      </c>
      <c r="AE430" s="7">
        <v>99000</v>
      </c>
      <c r="AF430" s="7">
        <v>1</v>
      </c>
      <c r="AG430" s="7">
        <v>99000</v>
      </c>
      <c r="AH430" s="7">
        <v>0</v>
      </c>
      <c r="AI430" s="7">
        <v>99000</v>
      </c>
      <c r="AJ430" t="s">
        <v>1147</v>
      </c>
    </row>
    <row r="431" spans="14:36" x14ac:dyDescent="0.3">
      <c r="N431" s="8">
        <v>2026</v>
      </c>
      <c r="O431" s="8">
        <v>6</v>
      </c>
      <c r="P431" s="9">
        <v>46201</v>
      </c>
      <c r="Q431" t="s">
        <v>238</v>
      </c>
      <c r="R431" t="s">
        <v>303</v>
      </c>
      <c r="S431" t="s">
        <v>304</v>
      </c>
      <c r="T431" t="s">
        <v>981</v>
      </c>
      <c r="U431" t="s">
        <v>982</v>
      </c>
      <c r="V431" t="s">
        <v>246</v>
      </c>
      <c r="W431" t="s">
        <v>244</v>
      </c>
      <c r="X431" t="s">
        <v>2828</v>
      </c>
      <c r="Y431" t="s">
        <v>191</v>
      </c>
      <c r="Z431" t="s">
        <v>335</v>
      </c>
      <c r="AA431" t="s">
        <v>337</v>
      </c>
      <c r="AB431" t="s">
        <v>719</v>
      </c>
      <c r="AC431" t="s">
        <v>720</v>
      </c>
      <c r="AD431" t="s">
        <v>721</v>
      </c>
      <c r="AE431" s="7">
        <v>104000</v>
      </c>
      <c r="AF431" s="7">
        <v>1</v>
      </c>
      <c r="AG431" s="7">
        <v>104000</v>
      </c>
      <c r="AH431" s="7">
        <v>31200</v>
      </c>
      <c r="AI431" s="7">
        <v>72800</v>
      </c>
      <c r="AJ431" t="s">
        <v>720</v>
      </c>
    </row>
    <row r="432" spans="14:36" x14ac:dyDescent="0.3">
      <c r="N432" s="8">
        <v>2026</v>
      </c>
      <c r="O432" s="8">
        <v>6</v>
      </c>
      <c r="P432" s="9">
        <v>46201</v>
      </c>
      <c r="Q432" t="s">
        <v>238</v>
      </c>
      <c r="R432" t="s">
        <v>303</v>
      </c>
      <c r="S432" t="s">
        <v>304</v>
      </c>
      <c r="T432" t="s">
        <v>2275</v>
      </c>
      <c r="U432" t="s">
        <v>2276</v>
      </c>
      <c r="V432" t="s">
        <v>246</v>
      </c>
      <c r="W432" t="s">
        <v>244</v>
      </c>
      <c r="X432" t="s">
        <v>2829</v>
      </c>
      <c r="Y432" t="s">
        <v>168</v>
      </c>
      <c r="Z432" t="s">
        <v>171</v>
      </c>
      <c r="AA432" t="s">
        <v>173</v>
      </c>
      <c r="AB432" t="s">
        <v>29</v>
      </c>
      <c r="AC432" t="s">
        <v>27</v>
      </c>
      <c r="AD432" t="s">
        <v>28</v>
      </c>
      <c r="AE432" s="7">
        <v>575000</v>
      </c>
      <c r="AF432" s="7">
        <v>1</v>
      </c>
      <c r="AG432" s="7">
        <v>575000</v>
      </c>
      <c r="AH432" s="7">
        <v>46000</v>
      </c>
      <c r="AI432" s="7">
        <v>529000</v>
      </c>
      <c r="AJ432" t="s">
        <v>27</v>
      </c>
    </row>
    <row r="433" spans="14:36" x14ac:dyDescent="0.3">
      <c r="N433" s="8">
        <v>2026</v>
      </c>
      <c r="O433" s="8">
        <v>6</v>
      </c>
      <c r="P433" s="9">
        <v>46201</v>
      </c>
      <c r="Q433" t="s">
        <v>238</v>
      </c>
      <c r="R433" t="s">
        <v>303</v>
      </c>
      <c r="S433" t="s">
        <v>304</v>
      </c>
      <c r="T433" t="s">
        <v>2830</v>
      </c>
      <c r="U433" t="s">
        <v>2831</v>
      </c>
      <c r="V433" t="s">
        <v>246</v>
      </c>
      <c r="W433" t="s">
        <v>244</v>
      </c>
      <c r="X433" t="s">
        <v>2832</v>
      </c>
      <c r="Y433" t="s">
        <v>168</v>
      </c>
      <c r="Z433" t="s">
        <v>171</v>
      </c>
      <c r="AA433" t="s">
        <v>172</v>
      </c>
      <c r="AB433" t="s">
        <v>134</v>
      </c>
      <c r="AC433" t="s">
        <v>132</v>
      </c>
      <c r="AD433" t="s">
        <v>133</v>
      </c>
      <c r="AE433" s="7">
        <v>395000</v>
      </c>
      <c r="AF433" s="7">
        <v>1</v>
      </c>
      <c r="AG433" s="7">
        <v>395000</v>
      </c>
      <c r="AH433" s="7">
        <v>31600</v>
      </c>
      <c r="AI433" s="7">
        <v>363400</v>
      </c>
      <c r="AJ433" t="s">
        <v>132</v>
      </c>
    </row>
    <row r="434" spans="14:36" x14ac:dyDescent="0.3">
      <c r="N434" s="8">
        <v>2026</v>
      </c>
      <c r="O434" s="8">
        <v>6</v>
      </c>
      <c r="P434" s="9">
        <v>46201</v>
      </c>
      <c r="Q434" t="s">
        <v>238</v>
      </c>
      <c r="R434" t="s">
        <v>303</v>
      </c>
      <c r="S434" t="s">
        <v>304</v>
      </c>
      <c r="T434" t="s">
        <v>1169</v>
      </c>
      <c r="U434" t="s">
        <v>1090</v>
      </c>
      <c r="V434" t="s">
        <v>246</v>
      </c>
      <c r="W434" t="s">
        <v>244</v>
      </c>
      <c r="X434" t="s">
        <v>2833</v>
      </c>
      <c r="Y434" t="s">
        <v>183</v>
      </c>
      <c r="Z434" t="s">
        <v>186</v>
      </c>
      <c r="AA434" t="s">
        <v>188</v>
      </c>
      <c r="AB434" t="s">
        <v>155</v>
      </c>
      <c r="AC434" t="s">
        <v>153</v>
      </c>
      <c r="AD434" t="s">
        <v>154</v>
      </c>
      <c r="AE434" s="7">
        <v>320000</v>
      </c>
      <c r="AF434" s="7">
        <v>1</v>
      </c>
      <c r="AG434" s="7">
        <v>320000</v>
      </c>
      <c r="AH434" s="7">
        <v>96000</v>
      </c>
      <c r="AI434" s="7">
        <v>224000</v>
      </c>
      <c r="AJ434" t="s">
        <v>153</v>
      </c>
    </row>
    <row r="435" spans="14:36" x14ac:dyDescent="0.3">
      <c r="N435" s="8">
        <v>2026</v>
      </c>
      <c r="O435" s="8">
        <v>6</v>
      </c>
      <c r="P435" s="9">
        <v>46201</v>
      </c>
      <c r="Q435" t="s">
        <v>238</v>
      </c>
      <c r="R435" t="s">
        <v>303</v>
      </c>
      <c r="S435" t="s">
        <v>304</v>
      </c>
      <c r="T435" t="s">
        <v>2834</v>
      </c>
      <c r="U435" t="s">
        <v>2835</v>
      </c>
      <c r="V435" t="s">
        <v>246</v>
      </c>
      <c r="W435" t="s">
        <v>244</v>
      </c>
      <c r="X435" t="s">
        <v>2836</v>
      </c>
      <c r="Y435" t="s">
        <v>191</v>
      </c>
      <c r="Z435" t="s">
        <v>192</v>
      </c>
      <c r="AA435" t="s">
        <v>193</v>
      </c>
      <c r="AB435" t="s">
        <v>107</v>
      </c>
      <c r="AC435" t="s">
        <v>105</v>
      </c>
      <c r="AD435" t="s">
        <v>106</v>
      </c>
      <c r="AE435" s="7">
        <v>235000</v>
      </c>
      <c r="AF435" s="7">
        <v>1</v>
      </c>
      <c r="AG435" s="7">
        <v>235000</v>
      </c>
      <c r="AH435" s="7">
        <v>0</v>
      </c>
      <c r="AI435" s="7">
        <v>235000</v>
      </c>
      <c r="AJ435" t="s">
        <v>105</v>
      </c>
    </row>
    <row r="436" spans="14:36" x14ac:dyDescent="0.3">
      <c r="N436" s="8">
        <v>2026</v>
      </c>
      <c r="O436" s="8">
        <v>6</v>
      </c>
      <c r="P436" s="9">
        <v>46201</v>
      </c>
      <c r="Q436" t="s">
        <v>238</v>
      </c>
      <c r="R436" t="s">
        <v>374</v>
      </c>
      <c r="S436" t="s">
        <v>375</v>
      </c>
      <c r="T436" t="s">
        <v>376</v>
      </c>
      <c r="U436" t="s">
        <v>377</v>
      </c>
      <c r="V436" t="s">
        <v>243</v>
      </c>
      <c r="W436" t="s">
        <v>244</v>
      </c>
      <c r="X436" t="s">
        <v>2838</v>
      </c>
      <c r="Y436" t="s">
        <v>168</v>
      </c>
      <c r="Z436" t="s">
        <v>171</v>
      </c>
      <c r="AA436" t="s">
        <v>172</v>
      </c>
      <c r="AB436" t="s">
        <v>11</v>
      </c>
      <c r="AC436" t="s">
        <v>9</v>
      </c>
      <c r="AD436" t="s">
        <v>10</v>
      </c>
      <c r="AE436" s="7">
        <v>129000</v>
      </c>
      <c r="AF436" s="7">
        <v>2</v>
      </c>
      <c r="AG436" s="7">
        <v>258000</v>
      </c>
      <c r="AH436" s="7">
        <v>40000</v>
      </c>
      <c r="AI436" s="7">
        <v>218000</v>
      </c>
      <c r="AJ436" t="s">
        <v>9</v>
      </c>
    </row>
    <row r="437" spans="14:36" x14ac:dyDescent="0.3">
      <c r="N437" s="8">
        <v>2026</v>
      </c>
      <c r="O437" s="8">
        <v>6</v>
      </c>
      <c r="P437" s="9">
        <v>46201</v>
      </c>
      <c r="Q437" t="s">
        <v>238</v>
      </c>
      <c r="R437" t="s">
        <v>374</v>
      </c>
      <c r="S437" t="s">
        <v>375</v>
      </c>
      <c r="T437" t="s">
        <v>2839</v>
      </c>
      <c r="U437" t="s">
        <v>2840</v>
      </c>
      <c r="V437" t="s">
        <v>246</v>
      </c>
      <c r="W437" t="s">
        <v>244</v>
      </c>
      <c r="X437" t="s">
        <v>2841</v>
      </c>
      <c r="Y437" t="s">
        <v>191</v>
      </c>
      <c r="Z437" t="s">
        <v>192</v>
      </c>
      <c r="AA437" t="s">
        <v>193</v>
      </c>
      <c r="AB437" t="s">
        <v>107</v>
      </c>
      <c r="AC437" t="s">
        <v>105</v>
      </c>
      <c r="AD437" t="s">
        <v>106</v>
      </c>
      <c r="AE437" s="7">
        <v>235000</v>
      </c>
      <c r="AF437" s="7">
        <v>1</v>
      </c>
      <c r="AG437" s="7">
        <v>235000</v>
      </c>
      <c r="AH437" s="7">
        <v>0</v>
      </c>
      <c r="AI437" s="7">
        <v>235000</v>
      </c>
      <c r="AJ437" t="s">
        <v>105</v>
      </c>
    </row>
    <row r="438" spans="14:36" x14ac:dyDescent="0.3">
      <c r="N438" s="8">
        <v>2026</v>
      </c>
      <c r="O438" s="8">
        <v>6</v>
      </c>
      <c r="P438" s="9">
        <v>46201</v>
      </c>
      <c r="Q438" t="s">
        <v>238</v>
      </c>
      <c r="R438" t="s">
        <v>374</v>
      </c>
      <c r="S438" t="s">
        <v>375</v>
      </c>
      <c r="T438" t="s">
        <v>2158</v>
      </c>
      <c r="U438" t="s">
        <v>2159</v>
      </c>
      <c r="V438" t="s">
        <v>246</v>
      </c>
      <c r="W438" t="s">
        <v>244</v>
      </c>
      <c r="X438" t="s">
        <v>2842</v>
      </c>
      <c r="Y438" t="s">
        <v>191</v>
      </c>
      <c r="Z438" t="s">
        <v>335</v>
      </c>
      <c r="AA438" t="s">
        <v>336</v>
      </c>
      <c r="AB438" t="s">
        <v>1146</v>
      </c>
      <c r="AC438" t="s">
        <v>1147</v>
      </c>
      <c r="AD438" t="s">
        <v>1148</v>
      </c>
      <c r="AE438" s="7">
        <v>99000</v>
      </c>
      <c r="AF438" s="7">
        <v>1</v>
      </c>
      <c r="AG438" s="7">
        <v>99000</v>
      </c>
      <c r="AH438" s="7">
        <v>0</v>
      </c>
      <c r="AI438" s="7">
        <v>99000</v>
      </c>
      <c r="AJ438" t="s">
        <v>1147</v>
      </c>
    </row>
    <row r="439" spans="14:36" x14ac:dyDescent="0.3">
      <c r="N439" s="8">
        <v>2026</v>
      </c>
      <c r="O439" s="8">
        <v>6</v>
      </c>
      <c r="P439" s="9">
        <v>46201</v>
      </c>
      <c r="Q439" t="s">
        <v>238</v>
      </c>
      <c r="R439" t="s">
        <v>374</v>
      </c>
      <c r="S439" t="s">
        <v>375</v>
      </c>
      <c r="T439" t="s">
        <v>1042</v>
      </c>
      <c r="U439" t="s">
        <v>1043</v>
      </c>
      <c r="V439" t="s">
        <v>246</v>
      </c>
      <c r="W439" t="s">
        <v>244</v>
      </c>
      <c r="X439" t="s">
        <v>2843</v>
      </c>
      <c r="Y439" t="s">
        <v>194</v>
      </c>
      <c r="Z439" t="s">
        <v>200</v>
      </c>
      <c r="AA439" t="s">
        <v>201</v>
      </c>
      <c r="AB439" t="s">
        <v>80</v>
      </c>
      <c r="AC439" t="s">
        <v>78</v>
      </c>
      <c r="AD439" t="s">
        <v>79</v>
      </c>
      <c r="AE439" s="7">
        <v>14000</v>
      </c>
      <c r="AF439" s="7">
        <v>2</v>
      </c>
      <c r="AG439" s="7">
        <v>28000</v>
      </c>
      <c r="AH439" s="7">
        <v>0</v>
      </c>
      <c r="AI439" s="7">
        <v>28000</v>
      </c>
      <c r="AJ439" t="s">
        <v>78</v>
      </c>
    </row>
    <row r="440" spans="14:36" x14ac:dyDescent="0.3">
      <c r="N440" s="8">
        <v>2026</v>
      </c>
      <c r="O440" s="8">
        <v>6</v>
      </c>
      <c r="P440" s="9">
        <v>46201</v>
      </c>
      <c r="Q440" t="s">
        <v>238</v>
      </c>
      <c r="R440" t="s">
        <v>374</v>
      </c>
      <c r="S440" t="s">
        <v>375</v>
      </c>
      <c r="T440" t="s">
        <v>1042</v>
      </c>
      <c r="U440" t="s">
        <v>1043</v>
      </c>
      <c r="V440" t="s">
        <v>246</v>
      </c>
      <c r="W440" t="s">
        <v>244</v>
      </c>
      <c r="X440" t="s">
        <v>2843</v>
      </c>
      <c r="Y440" t="s">
        <v>194</v>
      </c>
      <c r="Z440" t="s">
        <v>200</v>
      </c>
      <c r="AA440" t="s">
        <v>201</v>
      </c>
      <c r="AB440" t="s">
        <v>86</v>
      </c>
      <c r="AC440" t="s">
        <v>84</v>
      </c>
      <c r="AD440" t="s">
        <v>85</v>
      </c>
      <c r="AE440" s="7">
        <v>49000</v>
      </c>
      <c r="AF440" s="7">
        <v>1</v>
      </c>
      <c r="AG440" s="7">
        <v>49000</v>
      </c>
      <c r="AH440" s="7">
        <v>0</v>
      </c>
      <c r="AI440" s="7">
        <v>49000</v>
      </c>
      <c r="AJ440" t="s">
        <v>84</v>
      </c>
    </row>
    <row r="441" spans="14:36" x14ac:dyDescent="0.3">
      <c r="N441" s="8">
        <v>2026</v>
      </c>
      <c r="O441" s="8">
        <v>6</v>
      </c>
      <c r="P441" s="9">
        <v>46201</v>
      </c>
      <c r="Q441" t="s">
        <v>238</v>
      </c>
      <c r="R441" t="s">
        <v>374</v>
      </c>
      <c r="S441" t="s">
        <v>375</v>
      </c>
      <c r="T441" t="s">
        <v>1467</v>
      </c>
      <c r="U441" t="s">
        <v>1468</v>
      </c>
      <c r="V441" t="s">
        <v>246</v>
      </c>
      <c r="W441" t="s">
        <v>244</v>
      </c>
      <c r="X441" t="s">
        <v>2844</v>
      </c>
      <c r="Y441" t="s">
        <v>168</v>
      </c>
      <c r="Z441" t="s">
        <v>171</v>
      </c>
      <c r="AA441" t="s">
        <v>175</v>
      </c>
      <c r="AB441" t="s">
        <v>38</v>
      </c>
      <c r="AC441" t="s">
        <v>36</v>
      </c>
      <c r="AD441" t="s">
        <v>37</v>
      </c>
      <c r="AE441" s="7">
        <v>290000</v>
      </c>
      <c r="AF441" s="7">
        <v>1</v>
      </c>
      <c r="AG441" s="7">
        <v>290000</v>
      </c>
      <c r="AH441" s="7">
        <v>23200</v>
      </c>
      <c r="AI441" s="7">
        <v>266800</v>
      </c>
      <c r="AJ441" t="s">
        <v>36</v>
      </c>
    </row>
    <row r="442" spans="14:36" x14ac:dyDescent="0.3">
      <c r="N442" s="8">
        <v>2026</v>
      </c>
      <c r="O442" s="8">
        <v>6</v>
      </c>
      <c r="P442" s="9">
        <v>46201</v>
      </c>
      <c r="Q442" t="s">
        <v>238</v>
      </c>
      <c r="R442" t="s">
        <v>374</v>
      </c>
      <c r="S442" t="s">
        <v>375</v>
      </c>
      <c r="T442" t="s">
        <v>1044</v>
      </c>
      <c r="U442" t="s">
        <v>1045</v>
      </c>
      <c r="V442" t="s">
        <v>246</v>
      </c>
      <c r="W442" t="s">
        <v>244</v>
      </c>
      <c r="X442" t="s">
        <v>2845</v>
      </c>
      <c r="Y442" t="s">
        <v>168</v>
      </c>
      <c r="Z442" t="s">
        <v>171</v>
      </c>
      <c r="AA442" t="s">
        <v>173</v>
      </c>
      <c r="AB442" t="s">
        <v>29</v>
      </c>
      <c r="AC442" t="s">
        <v>27</v>
      </c>
      <c r="AD442" t="s">
        <v>28</v>
      </c>
      <c r="AE442" s="7">
        <v>575000</v>
      </c>
      <c r="AF442" s="7">
        <v>1</v>
      </c>
      <c r="AG442" s="7">
        <v>575000</v>
      </c>
      <c r="AH442" s="7">
        <v>76000</v>
      </c>
      <c r="AI442" s="7">
        <v>499000</v>
      </c>
      <c r="AJ442" t="s">
        <v>27</v>
      </c>
    </row>
    <row r="443" spans="14:36" x14ac:dyDescent="0.3">
      <c r="N443" s="8">
        <v>2026</v>
      </c>
      <c r="O443" s="8">
        <v>6</v>
      </c>
      <c r="P443" s="9">
        <v>46201</v>
      </c>
      <c r="Q443" t="s">
        <v>238</v>
      </c>
      <c r="R443" t="s">
        <v>374</v>
      </c>
      <c r="S443" t="s">
        <v>375</v>
      </c>
      <c r="T443" t="s">
        <v>1044</v>
      </c>
      <c r="U443" t="s">
        <v>1045</v>
      </c>
      <c r="V443" t="s">
        <v>246</v>
      </c>
      <c r="W443" t="s">
        <v>244</v>
      </c>
      <c r="X443" t="s">
        <v>2845</v>
      </c>
      <c r="Y443" t="s">
        <v>168</v>
      </c>
      <c r="Z443" t="s">
        <v>171</v>
      </c>
      <c r="AA443" t="s">
        <v>173</v>
      </c>
      <c r="AB443" t="s">
        <v>26</v>
      </c>
      <c r="AC443" t="s">
        <v>24</v>
      </c>
      <c r="AD443" t="s">
        <v>25</v>
      </c>
      <c r="AE443" s="7">
        <v>555000</v>
      </c>
      <c r="AF443" s="7">
        <v>1</v>
      </c>
      <c r="AG443" s="7">
        <v>555000</v>
      </c>
      <c r="AH443" s="7">
        <v>55000</v>
      </c>
      <c r="AI443" s="7">
        <v>500000</v>
      </c>
      <c r="AJ443" t="s">
        <v>24</v>
      </c>
    </row>
    <row r="444" spans="14:36" x14ac:dyDescent="0.3">
      <c r="N444" s="8">
        <v>2026</v>
      </c>
      <c r="O444" s="8">
        <v>6</v>
      </c>
      <c r="P444" s="9">
        <v>46201</v>
      </c>
      <c r="Q444" t="s">
        <v>238</v>
      </c>
      <c r="R444" t="s">
        <v>374</v>
      </c>
      <c r="S444" t="s">
        <v>375</v>
      </c>
      <c r="T444" t="s">
        <v>1044</v>
      </c>
      <c r="U444" t="s">
        <v>1045</v>
      </c>
      <c r="V444" t="s">
        <v>246</v>
      </c>
      <c r="W444" t="s">
        <v>244</v>
      </c>
      <c r="X444" t="s">
        <v>2845</v>
      </c>
      <c r="Y444" t="s">
        <v>194</v>
      </c>
      <c r="Z444" t="s">
        <v>200</v>
      </c>
      <c r="AA444" t="s">
        <v>201</v>
      </c>
      <c r="AB444" t="s">
        <v>89</v>
      </c>
      <c r="AC444" t="s">
        <v>87</v>
      </c>
      <c r="AD444" t="s">
        <v>88</v>
      </c>
      <c r="AE444" s="7">
        <v>46000</v>
      </c>
      <c r="AF444" s="7">
        <v>2</v>
      </c>
      <c r="AG444" s="7">
        <v>92000</v>
      </c>
      <c r="AH444" s="7">
        <v>0</v>
      </c>
      <c r="AI444" s="7">
        <v>92000</v>
      </c>
      <c r="AJ444" t="s">
        <v>87</v>
      </c>
    </row>
    <row r="445" spans="14:36" x14ac:dyDescent="0.3">
      <c r="N445" s="8">
        <v>2026</v>
      </c>
      <c r="O445" s="8">
        <v>6</v>
      </c>
      <c r="P445" s="9">
        <v>46201</v>
      </c>
      <c r="Q445" t="s">
        <v>238</v>
      </c>
      <c r="R445" t="s">
        <v>396</v>
      </c>
      <c r="S445" t="s">
        <v>397</v>
      </c>
      <c r="T445" t="s">
        <v>1191</v>
      </c>
      <c r="U445" t="s">
        <v>3891</v>
      </c>
      <c r="V445" t="s">
        <v>246</v>
      </c>
      <c r="W445" t="s">
        <v>244</v>
      </c>
      <c r="X445" t="s">
        <v>2846</v>
      </c>
      <c r="Y445" t="s">
        <v>168</v>
      </c>
      <c r="Z445" t="s">
        <v>171</v>
      </c>
      <c r="AA445" t="s">
        <v>175</v>
      </c>
      <c r="AB445" t="s">
        <v>44</v>
      </c>
      <c r="AC445" t="s">
        <v>42</v>
      </c>
      <c r="AD445" t="s">
        <v>43</v>
      </c>
      <c r="AE445" s="7">
        <v>294000</v>
      </c>
      <c r="AF445" s="7">
        <v>1</v>
      </c>
      <c r="AG445" s="7">
        <v>294000</v>
      </c>
      <c r="AH445" s="7">
        <v>117600</v>
      </c>
      <c r="AI445" s="7">
        <v>176400</v>
      </c>
      <c r="AJ445" t="s">
        <v>42</v>
      </c>
    </row>
    <row r="446" spans="14:36" x14ac:dyDescent="0.3">
      <c r="N446" s="8">
        <v>2026</v>
      </c>
      <c r="O446" s="8">
        <v>6</v>
      </c>
      <c r="P446" s="9">
        <v>46201</v>
      </c>
      <c r="Q446" t="s">
        <v>238</v>
      </c>
      <c r="R446" t="s">
        <v>396</v>
      </c>
      <c r="S446" t="s">
        <v>397</v>
      </c>
      <c r="T446" t="s">
        <v>877</v>
      </c>
      <c r="U446" t="s">
        <v>333</v>
      </c>
      <c r="V446" t="s">
        <v>246</v>
      </c>
      <c r="W446" t="s">
        <v>244</v>
      </c>
      <c r="X446" t="s">
        <v>2848</v>
      </c>
      <c r="Y446" t="s">
        <v>191</v>
      </c>
      <c r="Z446" t="s">
        <v>335</v>
      </c>
      <c r="AA446" t="s">
        <v>337</v>
      </c>
      <c r="AB446" t="s">
        <v>719</v>
      </c>
      <c r="AC446" t="s">
        <v>720</v>
      </c>
      <c r="AD446" t="s">
        <v>721</v>
      </c>
      <c r="AE446" s="7">
        <v>104000</v>
      </c>
      <c r="AF446" s="7">
        <v>1</v>
      </c>
      <c r="AG446" s="7">
        <v>104000</v>
      </c>
      <c r="AH446" s="7">
        <v>31200</v>
      </c>
      <c r="AI446" s="7">
        <v>72800</v>
      </c>
      <c r="AJ446" t="s">
        <v>720</v>
      </c>
    </row>
    <row r="447" spans="14:36" x14ac:dyDescent="0.3">
      <c r="N447" s="8">
        <v>2026</v>
      </c>
      <c r="O447" s="8">
        <v>6</v>
      </c>
      <c r="P447" s="9">
        <v>46201</v>
      </c>
      <c r="Q447" t="s">
        <v>238</v>
      </c>
      <c r="R447" t="s">
        <v>415</v>
      </c>
      <c r="S447" t="s">
        <v>416</v>
      </c>
      <c r="T447" t="s">
        <v>2017</v>
      </c>
      <c r="U447" t="s">
        <v>3892</v>
      </c>
      <c r="V447" t="s">
        <v>246</v>
      </c>
      <c r="W447" t="s">
        <v>244</v>
      </c>
      <c r="X447" t="s">
        <v>2849</v>
      </c>
      <c r="Y447" t="s">
        <v>191</v>
      </c>
      <c r="Z447" t="s">
        <v>335</v>
      </c>
      <c r="AA447" t="s">
        <v>336</v>
      </c>
      <c r="AB447" t="s">
        <v>1518</v>
      </c>
      <c r="AC447" t="s">
        <v>1519</v>
      </c>
      <c r="AD447" t="s">
        <v>1520</v>
      </c>
      <c r="AE447" s="7">
        <v>99000</v>
      </c>
      <c r="AF447" s="7">
        <v>1</v>
      </c>
      <c r="AG447" s="7">
        <v>99000</v>
      </c>
      <c r="AH447" s="7">
        <v>0</v>
      </c>
      <c r="AI447" s="7">
        <v>99000</v>
      </c>
      <c r="AJ447" t="s">
        <v>1519</v>
      </c>
    </row>
    <row r="448" spans="14:36" x14ac:dyDescent="0.3">
      <c r="N448" s="8">
        <v>2026</v>
      </c>
      <c r="O448" s="8">
        <v>6</v>
      </c>
      <c r="P448" s="9">
        <v>46201</v>
      </c>
      <c r="Q448" t="s">
        <v>238</v>
      </c>
      <c r="R448" t="s">
        <v>425</v>
      </c>
      <c r="S448" t="s">
        <v>426</v>
      </c>
      <c r="T448" t="s">
        <v>428</v>
      </c>
      <c r="U448" t="s">
        <v>429</v>
      </c>
      <c r="V448" t="s">
        <v>246</v>
      </c>
      <c r="W448" t="s">
        <v>244</v>
      </c>
      <c r="X448" t="s">
        <v>2850</v>
      </c>
      <c r="Y448" t="s">
        <v>191</v>
      </c>
      <c r="Z448" t="s">
        <v>335</v>
      </c>
      <c r="AA448" t="s">
        <v>337</v>
      </c>
      <c r="AB448" t="s">
        <v>719</v>
      </c>
      <c r="AC448" t="s">
        <v>720</v>
      </c>
      <c r="AD448" t="s">
        <v>721</v>
      </c>
      <c r="AE448" s="7">
        <v>104000</v>
      </c>
      <c r="AF448" s="7">
        <v>1</v>
      </c>
      <c r="AG448" s="7">
        <v>104000</v>
      </c>
      <c r="AH448" s="7">
        <v>31200</v>
      </c>
      <c r="AI448" s="7">
        <v>72800</v>
      </c>
      <c r="AJ448" t="s">
        <v>720</v>
      </c>
    </row>
    <row r="449" spans="14:36" x14ac:dyDescent="0.3">
      <c r="N449" s="8">
        <v>2026</v>
      </c>
      <c r="O449" s="8">
        <v>6</v>
      </c>
      <c r="P449" s="9">
        <v>46201</v>
      </c>
      <c r="Q449" t="s">
        <v>238</v>
      </c>
      <c r="R449" t="s">
        <v>425</v>
      </c>
      <c r="S449" t="s">
        <v>426</v>
      </c>
      <c r="T449" t="s">
        <v>2851</v>
      </c>
      <c r="U449" t="s">
        <v>3586</v>
      </c>
      <c r="V449" t="s">
        <v>249</v>
      </c>
      <c r="W449" t="s">
        <v>244</v>
      </c>
      <c r="X449" t="s">
        <v>2852</v>
      </c>
      <c r="Y449" t="s">
        <v>191</v>
      </c>
      <c r="Z449" t="s">
        <v>192</v>
      </c>
      <c r="AA449" t="s">
        <v>193</v>
      </c>
      <c r="AB449" t="s">
        <v>113</v>
      </c>
      <c r="AC449" t="s">
        <v>111</v>
      </c>
      <c r="AD449" t="s">
        <v>112</v>
      </c>
      <c r="AE449" s="7">
        <v>235000</v>
      </c>
      <c r="AF449" s="7">
        <v>1</v>
      </c>
      <c r="AG449" s="7">
        <v>235000</v>
      </c>
      <c r="AH449" s="7">
        <v>0</v>
      </c>
      <c r="AI449" s="7">
        <v>235000</v>
      </c>
      <c r="AJ449" t="s">
        <v>111</v>
      </c>
    </row>
    <row r="450" spans="14:36" x14ac:dyDescent="0.3">
      <c r="N450" s="8">
        <v>2026</v>
      </c>
      <c r="O450" s="8">
        <v>6</v>
      </c>
      <c r="P450" s="9">
        <v>46201</v>
      </c>
      <c r="Q450" t="s">
        <v>238</v>
      </c>
      <c r="R450" t="s">
        <v>425</v>
      </c>
      <c r="S450" t="s">
        <v>426</v>
      </c>
      <c r="T450" t="s">
        <v>2853</v>
      </c>
      <c r="U450" t="s">
        <v>450</v>
      </c>
      <c r="V450" t="s">
        <v>246</v>
      </c>
      <c r="W450" t="s">
        <v>244</v>
      </c>
      <c r="X450" t="s">
        <v>2854</v>
      </c>
      <c r="Y450" t="s">
        <v>168</v>
      </c>
      <c r="Z450" t="s">
        <v>181</v>
      </c>
      <c r="AA450" t="s">
        <v>182</v>
      </c>
      <c r="AB450" t="s">
        <v>50</v>
      </c>
      <c r="AC450" t="s">
        <v>48</v>
      </c>
      <c r="AD450" t="s">
        <v>49</v>
      </c>
      <c r="AE450" s="7">
        <v>49000</v>
      </c>
      <c r="AF450" s="7">
        <v>1</v>
      </c>
      <c r="AG450" s="7">
        <v>49000</v>
      </c>
      <c r="AH450" s="7">
        <v>0</v>
      </c>
      <c r="AI450" s="7">
        <v>49000</v>
      </c>
      <c r="AJ450" t="s">
        <v>48</v>
      </c>
    </row>
    <row r="451" spans="14:36" x14ac:dyDescent="0.3">
      <c r="N451" s="8">
        <v>2026</v>
      </c>
      <c r="O451" s="8">
        <v>6</v>
      </c>
      <c r="P451" s="9">
        <v>46201</v>
      </c>
      <c r="Q451" t="s">
        <v>238</v>
      </c>
      <c r="R451" t="s">
        <v>425</v>
      </c>
      <c r="S451" t="s">
        <v>426</v>
      </c>
      <c r="T451" t="s">
        <v>2855</v>
      </c>
      <c r="U451" t="s">
        <v>3893</v>
      </c>
      <c r="V451" t="s">
        <v>246</v>
      </c>
      <c r="W451" t="s">
        <v>244</v>
      </c>
      <c r="X451" t="s">
        <v>2856</v>
      </c>
      <c r="Y451" t="s">
        <v>168</v>
      </c>
      <c r="Z451" t="s">
        <v>181</v>
      </c>
      <c r="AA451" t="s">
        <v>182</v>
      </c>
      <c r="AB451" t="s">
        <v>50</v>
      </c>
      <c r="AC451" t="s">
        <v>48</v>
      </c>
      <c r="AD451" t="s">
        <v>49</v>
      </c>
      <c r="AE451" s="7">
        <v>49000</v>
      </c>
      <c r="AF451" s="7">
        <v>1</v>
      </c>
      <c r="AG451" s="7">
        <v>49000</v>
      </c>
      <c r="AH451" s="7">
        <v>0</v>
      </c>
      <c r="AI451" s="7">
        <v>49000</v>
      </c>
      <c r="AJ451" t="s">
        <v>48</v>
      </c>
    </row>
    <row r="452" spans="14:36" x14ac:dyDescent="0.3">
      <c r="N452" s="8">
        <v>2026</v>
      </c>
      <c r="O452" s="8">
        <v>6</v>
      </c>
      <c r="P452" s="9">
        <v>46201</v>
      </c>
      <c r="Q452" t="s">
        <v>238</v>
      </c>
      <c r="R452" t="s">
        <v>425</v>
      </c>
      <c r="S452" t="s">
        <v>426</v>
      </c>
      <c r="T452" t="s">
        <v>884</v>
      </c>
      <c r="U452" t="s">
        <v>259</v>
      </c>
      <c r="V452" t="s">
        <v>246</v>
      </c>
      <c r="W452" t="s">
        <v>244</v>
      </c>
      <c r="X452" t="s">
        <v>2857</v>
      </c>
      <c r="Y452" t="s">
        <v>191</v>
      </c>
      <c r="Z452" t="s">
        <v>335</v>
      </c>
      <c r="AA452" t="s">
        <v>337</v>
      </c>
      <c r="AB452" t="s">
        <v>864</v>
      </c>
      <c r="AC452" t="s">
        <v>865</v>
      </c>
      <c r="AD452" t="s">
        <v>866</v>
      </c>
      <c r="AE452" s="7">
        <v>139000</v>
      </c>
      <c r="AF452" s="7">
        <v>1</v>
      </c>
      <c r="AG452" s="7">
        <v>139000</v>
      </c>
      <c r="AH452" s="7">
        <v>41700</v>
      </c>
      <c r="AI452" s="7">
        <v>97300</v>
      </c>
      <c r="AJ452" t="s">
        <v>865</v>
      </c>
    </row>
    <row r="453" spans="14:36" x14ac:dyDescent="0.3">
      <c r="N453" s="8">
        <v>2026</v>
      </c>
      <c r="O453" s="8">
        <v>6</v>
      </c>
      <c r="P453" s="9">
        <v>46201</v>
      </c>
      <c r="Q453" t="s">
        <v>238</v>
      </c>
      <c r="R453" t="s">
        <v>425</v>
      </c>
      <c r="S453" t="s">
        <v>426</v>
      </c>
      <c r="T453" t="s">
        <v>2859</v>
      </c>
      <c r="U453" t="s">
        <v>3894</v>
      </c>
      <c r="V453" t="s">
        <v>249</v>
      </c>
      <c r="W453" t="s">
        <v>244</v>
      </c>
      <c r="X453" t="s">
        <v>2860</v>
      </c>
      <c r="Y453" t="s">
        <v>168</v>
      </c>
      <c r="Z453" t="s">
        <v>169</v>
      </c>
      <c r="AA453" t="s">
        <v>170</v>
      </c>
      <c r="AB453" t="s">
        <v>8</v>
      </c>
      <c r="AC453" t="s">
        <v>6</v>
      </c>
      <c r="AD453" t="s">
        <v>7</v>
      </c>
      <c r="AE453" s="7">
        <v>435000</v>
      </c>
      <c r="AF453" s="7">
        <v>1</v>
      </c>
      <c r="AG453" s="7">
        <v>435000</v>
      </c>
      <c r="AH453" s="7">
        <v>0</v>
      </c>
      <c r="AI453" s="7">
        <v>435000</v>
      </c>
      <c r="AJ453" t="s">
        <v>6</v>
      </c>
    </row>
    <row r="454" spans="14:36" x14ac:dyDescent="0.3">
      <c r="N454" s="8">
        <v>2026</v>
      </c>
      <c r="O454" s="8">
        <v>6</v>
      </c>
      <c r="P454" s="9">
        <v>46200</v>
      </c>
      <c r="Q454" t="s">
        <v>238</v>
      </c>
      <c r="R454" t="s">
        <v>239</v>
      </c>
      <c r="S454" t="s">
        <v>240</v>
      </c>
      <c r="T454" t="s">
        <v>2862</v>
      </c>
      <c r="U454" t="s">
        <v>2863</v>
      </c>
      <c r="V454" t="s">
        <v>246</v>
      </c>
      <c r="W454" t="s">
        <v>244</v>
      </c>
      <c r="X454" t="s">
        <v>2864</v>
      </c>
      <c r="Y454" t="s">
        <v>191</v>
      </c>
      <c r="Z454" t="s">
        <v>335</v>
      </c>
      <c r="AA454" t="s">
        <v>336</v>
      </c>
      <c r="AB454" t="s">
        <v>1146</v>
      </c>
      <c r="AC454" t="s">
        <v>1147</v>
      </c>
      <c r="AD454" t="s">
        <v>1148</v>
      </c>
      <c r="AE454" s="7">
        <v>99000</v>
      </c>
      <c r="AF454" s="7">
        <v>1</v>
      </c>
      <c r="AG454" s="7">
        <v>99000</v>
      </c>
      <c r="AH454" s="7">
        <v>0</v>
      </c>
      <c r="AI454" s="7">
        <v>99000</v>
      </c>
      <c r="AJ454" t="s">
        <v>1147</v>
      </c>
    </row>
    <row r="455" spans="14:36" x14ac:dyDescent="0.3">
      <c r="N455" s="8">
        <v>2026</v>
      </c>
      <c r="O455" s="8">
        <v>6</v>
      </c>
      <c r="P455" s="9">
        <v>46200</v>
      </c>
      <c r="Q455" t="s">
        <v>238</v>
      </c>
      <c r="R455" t="s">
        <v>239</v>
      </c>
      <c r="S455" t="s">
        <v>240</v>
      </c>
      <c r="T455" t="s">
        <v>951</v>
      </c>
      <c r="U455" t="s">
        <v>952</v>
      </c>
      <c r="V455" t="s">
        <v>246</v>
      </c>
      <c r="W455" t="s">
        <v>244</v>
      </c>
      <c r="X455" t="s">
        <v>2865</v>
      </c>
      <c r="Y455" t="s">
        <v>191</v>
      </c>
      <c r="Z455" t="s">
        <v>335</v>
      </c>
      <c r="AA455" t="s">
        <v>336</v>
      </c>
      <c r="AB455" t="s">
        <v>1518</v>
      </c>
      <c r="AC455" t="s">
        <v>1519</v>
      </c>
      <c r="AD455" t="s">
        <v>1520</v>
      </c>
      <c r="AE455" s="7">
        <v>99000</v>
      </c>
      <c r="AF455" s="7">
        <v>1</v>
      </c>
      <c r="AG455" s="7">
        <v>99000</v>
      </c>
      <c r="AH455" s="7">
        <v>0</v>
      </c>
      <c r="AI455" s="7">
        <v>99000</v>
      </c>
      <c r="AJ455" t="s">
        <v>1519</v>
      </c>
    </row>
    <row r="456" spans="14:36" x14ac:dyDescent="0.3">
      <c r="N456" s="8">
        <v>2026</v>
      </c>
      <c r="O456" s="8">
        <v>6</v>
      </c>
      <c r="P456" s="9">
        <v>46200</v>
      </c>
      <c r="Q456" t="s">
        <v>238</v>
      </c>
      <c r="R456" t="s">
        <v>239</v>
      </c>
      <c r="S456" t="s">
        <v>240</v>
      </c>
      <c r="T456" t="s">
        <v>951</v>
      </c>
      <c r="U456" t="s">
        <v>952</v>
      </c>
      <c r="V456" t="s">
        <v>246</v>
      </c>
      <c r="W456" t="s">
        <v>244</v>
      </c>
      <c r="X456" t="s">
        <v>2865</v>
      </c>
      <c r="Y456" t="s">
        <v>191</v>
      </c>
      <c r="Z456" t="s">
        <v>335</v>
      </c>
      <c r="AA456" t="s">
        <v>336</v>
      </c>
      <c r="AB456" t="s">
        <v>1146</v>
      </c>
      <c r="AC456" t="s">
        <v>1147</v>
      </c>
      <c r="AD456" t="s">
        <v>1148</v>
      </c>
      <c r="AE456" s="7">
        <v>99000</v>
      </c>
      <c r="AF456" s="7">
        <v>1</v>
      </c>
      <c r="AG456" s="7">
        <v>99000</v>
      </c>
      <c r="AH456" s="7">
        <v>0</v>
      </c>
      <c r="AI456" s="7">
        <v>99000</v>
      </c>
      <c r="AJ456" t="s">
        <v>1147</v>
      </c>
    </row>
    <row r="457" spans="14:36" x14ac:dyDescent="0.3">
      <c r="N457" s="8">
        <v>2026</v>
      </c>
      <c r="O457" s="8">
        <v>6</v>
      </c>
      <c r="P457" s="9">
        <v>46200</v>
      </c>
      <c r="Q457" t="s">
        <v>238</v>
      </c>
      <c r="R457" t="s">
        <v>279</v>
      </c>
      <c r="S457" t="s">
        <v>280</v>
      </c>
      <c r="T457" t="s">
        <v>281</v>
      </c>
      <c r="U457" t="s">
        <v>282</v>
      </c>
      <c r="V457" t="s">
        <v>243</v>
      </c>
      <c r="W457" t="s">
        <v>244</v>
      </c>
      <c r="X457" t="s">
        <v>2866</v>
      </c>
      <c r="Y457" t="s">
        <v>194</v>
      </c>
      <c r="Z457" t="s">
        <v>200</v>
      </c>
      <c r="AA457" t="s">
        <v>201</v>
      </c>
      <c r="AB457" t="s">
        <v>89</v>
      </c>
      <c r="AC457" t="s">
        <v>87</v>
      </c>
      <c r="AD457" t="s">
        <v>88</v>
      </c>
      <c r="AE457" s="7">
        <v>46000</v>
      </c>
      <c r="AF457" s="7">
        <v>1</v>
      </c>
      <c r="AG457" s="7">
        <v>46000</v>
      </c>
      <c r="AH457" s="7">
        <v>0</v>
      </c>
      <c r="AI457" s="7">
        <v>46000</v>
      </c>
      <c r="AJ457" t="s">
        <v>87</v>
      </c>
    </row>
    <row r="458" spans="14:36" x14ac:dyDescent="0.3">
      <c r="N458" s="8">
        <v>2026</v>
      </c>
      <c r="O458" s="8">
        <v>6</v>
      </c>
      <c r="P458" s="9">
        <v>46200</v>
      </c>
      <c r="Q458" t="s">
        <v>238</v>
      </c>
      <c r="R458" t="s">
        <v>279</v>
      </c>
      <c r="S458" t="s">
        <v>280</v>
      </c>
      <c r="T458" t="s">
        <v>2867</v>
      </c>
      <c r="U458" t="s">
        <v>3895</v>
      </c>
      <c r="V458" t="s">
        <v>246</v>
      </c>
      <c r="W458" t="s">
        <v>244</v>
      </c>
      <c r="X458" t="s">
        <v>2868</v>
      </c>
      <c r="Y458" t="s">
        <v>168</v>
      </c>
      <c r="Z458" t="s">
        <v>171</v>
      </c>
      <c r="AA458" t="s">
        <v>173</v>
      </c>
      <c r="AB458" t="s">
        <v>17</v>
      </c>
      <c r="AC458" t="s">
        <v>15</v>
      </c>
      <c r="AD458" t="s">
        <v>16</v>
      </c>
      <c r="AE458" s="7">
        <v>435000</v>
      </c>
      <c r="AF458" s="7">
        <v>1</v>
      </c>
      <c r="AG458" s="7">
        <v>435000</v>
      </c>
      <c r="AH458" s="7">
        <v>0</v>
      </c>
      <c r="AI458" s="7">
        <v>435000</v>
      </c>
      <c r="AJ458" t="s">
        <v>15</v>
      </c>
    </row>
    <row r="459" spans="14:36" x14ac:dyDescent="0.3">
      <c r="N459" s="8">
        <v>2026</v>
      </c>
      <c r="O459" s="8">
        <v>6</v>
      </c>
      <c r="P459" s="9">
        <v>46200</v>
      </c>
      <c r="Q459" t="s">
        <v>238</v>
      </c>
      <c r="R459" t="s">
        <v>279</v>
      </c>
      <c r="S459" t="s">
        <v>280</v>
      </c>
      <c r="T459" t="s">
        <v>2867</v>
      </c>
      <c r="U459" t="s">
        <v>3895</v>
      </c>
      <c r="V459" t="s">
        <v>246</v>
      </c>
      <c r="W459" t="s">
        <v>244</v>
      </c>
      <c r="X459" t="s">
        <v>2868</v>
      </c>
      <c r="Y459" t="s">
        <v>168</v>
      </c>
      <c r="Z459" t="s">
        <v>171</v>
      </c>
      <c r="AA459" t="s">
        <v>175</v>
      </c>
      <c r="AB459" t="s">
        <v>41</v>
      </c>
      <c r="AC459" t="s">
        <v>39</v>
      </c>
      <c r="AD459" t="s">
        <v>40</v>
      </c>
      <c r="AE459" s="7">
        <v>295000</v>
      </c>
      <c r="AF459" s="7">
        <v>1</v>
      </c>
      <c r="AG459" s="7">
        <v>295000</v>
      </c>
      <c r="AH459" s="7">
        <v>0</v>
      </c>
      <c r="AI459" s="7">
        <v>295000</v>
      </c>
      <c r="AJ459" t="s">
        <v>39</v>
      </c>
    </row>
    <row r="460" spans="14:36" x14ac:dyDescent="0.3">
      <c r="N460" s="8">
        <v>2026</v>
      </c>
      <c r="O460" s="8">
        <v>6</v>
      </c>
      <c r="P460" s="9">
        <v>46200</v>
      </c>
      <c r="Q460" t="s">
        <v>238</v>
      </c>
      <c r="R460" t="s">
        <v>279</v>
      </c>
      <c r="S460" t="s">
        <v>280</v>
      </c>
      <c r="T460" t="s">
        <v>1954</v>
      </c>
      <c r="U460" t="s">
        <v>1955</v>
      </c>
      <c r="V460" t="s">
        <v>246</v>
      </c>
      <c r="W460" t="s">
        <v>244</v>
      </c>
      <c r="X460" t="s">
        <v>2871</v>
      </c>
      <c r="Y460" t="s">
        <v>191</v>
      </c>
      <c r="Z460" t="s">
        <v>335</v>
      </c>
      <c r="AA460" t="s">
        <v>336</v>
      </c>
      <c r="AB460" t="s">
        <v>1284</v>
      </c>
      <c r="AC460" t="s">
        <v>1285</v>
      </c>
      <c r="AD460" t="s">
        <v>1286</v>
      </c>
      <c r="AE460" s="7">
        <v>99000</v>
      </c>
      <c r="AF460" s="7">
        <v>1</v>
      </c>
      <c r="AG460" s="7">
        <v>99000</v>
      </c>
      <c r="AH460" s="7">
        <v>0</v>
      </c>
      <c r="AI460" s="7">
        <v>99000</v>
      </c>
      <c r="AJ460" t="s">
        <v>1285</v>
      </c>
    </row>
    <row r="461" spans="14:36" x14ac:dyDescent="0.3">
      <c r="N461" s="8">
        <v>2026</v>
      </c>
      <c r="O461" s="8">
        <v>6</v>
      </c>
      <c r="P461" s="9">
        <v>46200</v>
      </c>
      <c r="Q461" t="s">
        <v>238</v>
      </c>
      <c r="R461" t="s">
        <v>279</v>
      </c>
      <c r="S461" t="s">
        <v>280</v>
      </c>
      <c r="T461" t="s">
        <v>2872</v>
      </c>
      <c r="U461" t="s">
        <v>2873</v>
      </c>
      <c r="V461" t="s">
        <v>246</v>
      </c>
      <c r="W461" t="s">
        <v>244</v>
      </c>
      <c r="X461" t="s">
        <v>2874</v>
      </c>
      <c r="Y461" t="s">
        <v>191</v>
      </c>
      <c r="Z461" t="s">
        <v>335</v>
      </c>
      <c r="AA461" t="s">
        <v>337</v>
      </c>
      <c r="AB461" t="s">
        <v>541</v>
      </c>
      <c r="AC461" t="s">
        <v>542</v>
      </c>
      <c r="AD461" t="s">
        <v>543</v>
      </c>
      <c r="AE461" s="7">
        <v>69000</v>
      </c>
      <c r="AF461" s="7">
        <v>2</v>
      </c>
      <c r="AG461" s="7">
        <v>138000</v>
      </c>
      <c r="AH461" s="7">
        <v>0</v>
      </c>
      <c r="AI461" s="7">
        <v>138000</v>
      </c>
      <c r="AJ461" t="s">
        <v>542</v>
      </c>
    </row>
    <row r="462" spans="14:36" x14ac:dyDescent="0.3">
      <c r="N462" s="8">
        <v>2026</v>
      </c>
      <c r="O462" s="8">
        <v>6</v>
      </c>
      <c r="P462" s="9">
        <v>46200</v>
      </c>
      <c r="Q462" t="s">
        <v>238</v>
      </c>
      <c r="R462" t="s">
        <v>279</v>
      </c>
      <c r="S462" t="s">
        <v>280</v>
      </c>
      <c r="T462" t="s">
        <v>2872</v>
      </c>
      <c r="U462" t="s">
        <v>2873</v>
      </c>
      <c r="V462" t="s">
        <v>246</v>
      </c>
      <c r="W462" t="s">
        <v>244</v>
      </c>
      <c r="X462" t="s">
        <v>2874</v>
      </c>
      <c r="Y462" t="s">
        <v>191</v>
      </c>
      <c r="Z462" t="s">
        <v>335</v>
      </c>
      <c r="AA462" t="s">
        <v>337</v>
      </c>
      <c r="AB462" t="s">
        <v>656</v>
      </c>
      <c r="AC462" t="s">
        <v>657</v>
      </c>
      <c r="AD462" t="s">
        <v>658</v>
      </c>
      <c r="AE462" s="7">
        <v>35000</v>
      </c>
      <c r="AF462" s="7">
        <v>1</v>
      </c>
      <c r="AG462" s="7">
        <v>35000</v>
      </c>
      <c r="AH462" s="7">
        <v>0</v>
      </c>
      <c r="AI462" s="7">
        <v>35000</v>
      </c>
      <c r="AJ462" t="s">
        <v>657</v>
      </c>
    </row>
    <row r="463" spans="14:36" x14ac:dyDescent="0.3">
      <c r="N463" s="8">
        <v>2026</v>
      </c>
      <c r="O463" s="8">
        <v>6</v>
      </c>
      <c r="P463" s="9">
        <v>46200</v>
      </c>
      <c r="Q463" t="s">
        <v>238</v>
      </c>
      <c r="R463" t="s">
        <v>279</v>
      </c>
      <c r="S463" t="s">
        <v>280</v>
      </c>
      <c r="T463" t="s">
        <v>2825</v>
      </c>
      <c r="U463" t="s">
        <v>450</v>
      </c>
      <c r="V463" t="s">
        <v>246</v>
      </c>
      <c r="W463" t="s">
        <v>244</v>
      </c>
      <c r="X463" t="s">
        <v>2875</v>
      </c>
      <c r="Y463" t="s">
        <v>168</v>
      </c>
      <c r="Z463" t="s">
        <v>169</v>
      </c>
      <c r="AA463" t="s">
        <v>170</v>
      </c>
      <c r="AB463" t="s">
        <v>8</v>
      </c>
      <c r="AC463" t="s">
        <v>6</v>
      </c>
      <c r="AD463" t="s">
        <v>7</v>
      </c>
      <c r="AE463" s="7">
        <v>435000</v>
      </c>
      <c r="AF463" s="7">
        <v>1</v>
      </c>
      <c r="AG463" s="7">
        <v>435000</v>
      </c>
      <c r="AH463" s="7">
        <v>0</v>
      </c>
      <c r="AI463" s="7">
        <v>435000</v>
      </c>
      <c r="AJ463" t="s">
        <v>6</v>
      </c>
    </row>
    <row r="464" spans="14:36" x14ac:dyDescent="0.3">
      <c r="N464" s="8">
        <v>2026</v>
      </c>
      <c r="O464" s="8">
        <v>6</v>
      </c>
      <c r="P464" s="9">
        <v>46200</v>
      </c>
      <c r="Q464" t="s">
        <v>238</v>
      </c>
      <c r="R464" t="s">
        <v>279</v>
      </c>
      <c r="S464" t="s">
        <v>280</v>
      </c>
      <c r="T464" t="s">
        <v>2825</v>
      </c>
      <c r="U464" t="s">
        <v>450</v>
      </c>
      <c r="V464" t="s">
        <v>246</v>
      </c>
      <c r="W464" t="s">
        <v>244</v>
      </c>
      <c r="X464" t="s">
        <v>2875</v>
      </c>
      <c r="Y464" t="s">
        <v>168</v>
      </c>
      <c r="Z464" t="s">
        <v>171</v>
      </c>
      <c r="AA464" t="s">
        <v>175</v>
      </c>
      <c r="AB464" t="s">
        <v>41</v>
      </c>
      <c r="AC464" t="s">
        <v>39</v>
      </c>
      <c r="AD464" t="s">
        <v>40</v>
      </c>
      <c r="AE464" s="7">
        <v>295000</v>
      </c>
      <c r="AF464" s="7">
        <v>1</v>
      </c>
      <c r="AG464" s="7">
        <v>295000</v>
      </c>
      <c r="AH464" s="7">
        <v>0</v>
      </c>
      <c r="AI464" s="7">
        <v>295000</v>
      </c>
      <c r="AJ464" t="s">
        <v>39</v>
      </c>
    </row>
    <row r="465" spans="14:36" x14ac:dyDescent="0.3">
      <c r="N465" s="8">
        <v>2026</v>
      </c>
      <c r="O465" s="8">
        <v>6</v>
      </c>
      <c r="P465" s="9">
        <v>46200</v>
      </c>
      <c r="Q465" t="s">
        <v>238</v>
      </c>
      <c r="R465" t="s">
        <v>303</v>
      </c>
      <c r="S465" t="s">
        <v>304</v>
      </c>
      <c r="T465" t="s">
        <v>305</v>
      </c>
      <c r="U465" t="s">
        <v>306</v>
      </c>
      <c r="V465" t="s">
        <v>243</v>
      </c>
      <c r="W465" t="s">
        <v>244</v>
      </c>
      <c r="X465" t="s">
        <v>2876</v>
      </c>
      <c r="Y465" t="s">
        <v>191</v>
      </c>
      <c r="Z465" t="s">
        <v>192</v>
      </c>
      <c r="AA465" t="s">
        <v>193</v>
      </c>
      <c r="AB465" t="s">
        <v>119</v>
      </c>
      <c r="AC465" t="s">
        <v>117</v>
      </c>
      <c r="AD465" t="s">
        <v>118</v>
      </c>
      <c r="AE465" s="7">
        <v>235000</v>
      </c>
      <c r="AF465" s="7">
        <v>1</v>
      </c>
      <c r="AG465" s="7">
        <v>235000</v>
      </c>
      <c r="AH465" s="7">
        <v>0</v>
      </c>
      <c r="AI465" s="7">
        <v>235000</v>
      </c>
      <c r="AJ465" t="s">
        <v>117</v>
      </c>
    </row>
    <row r="466" spans="14:36" x14ac:dyDescent="0.3">
      <c r="N466" s="8">
        <v>2026</v>
      </c>
      <c r="O466" s="8">
        <v>6</v>
      </c>
      <c r="P466" s="9">
        <v>46200</v>
      </c>
      <c r="Q466" t="s">
        <v>238</v>
      </c>
      <c r="R466" t="s">
        <v>303</v>
      </c>
      <c r="S466" t="s">
        <v>304</v>
      </c>
      <c r="T466" t="s">
        <v>2877</v>
      </c>
      <c r="U466" t="s">
        <v>1961</v>
      </c>
      <c r="V466" t="s">
        <v>246</v>
      </c>
      <c r="W466" t="s">
        <v>244</v>
      </c>
      <c r="X466" t="s">
        <v>2878</v>
      </c>
      <c r="Y466" t="s">
        <v>168</v>
      </c>
      <c r="Z466" t="s">
        <v>171</v>
      </c>
      <c r="AA466" t="s">
        <v>172</v>
      </c>
      <c r="AB466" t="s">
        <v>11</v>
      </c>
      <c r="AC466" t="s">
        <v>9</v>
      </c>
      <c r="AD466" t="s">
        <v>10</v>
      </c>
      <c r="AE466" s="7">
        <v>129000</v>
      </c>
      <c r="AF466" s="7">
        <v>1</v>
      </c>
      <c r="AG466" s="7">
        <v>129000</v>
      </c>
      <c r="AH466" s="7">
        <v>20000</v>
      </c>
      <c r="AI466" s="7">
        <v>109000</v>
      </c>
      <c r="AJ466" t="s">
        <v>9</v>
      </c>
    </row>
    <row r="467" spans="14:36" x14ac:dyDescent="0.3">
      <c r="N467" s="8">
        <v>2026</v>
      </c>
      <c r="O467" s="8">
        <v>6</v>
      </c>
      <c r="P467" s="9">
        <v>46200</v>
      </c>
      <c r="Q467" t="s">
        <v>238</v>
      </c>
      <c r="R467" t="s">
        <v>303</v>
      </c>
      <c r="S467" t="s">
        <v>304</v>
      </c>
      <c r="T467" t="s">
        <v>922</v>
      </c>
      <c r="U467" t="s">
        <v>267</v>
      </c>
      <c r="V467" t="s">
        <v>246</v>
      </c>
      <c r="W467" t="s">
        <v>244</v>
      </c>
      <c r="X467" t="s">
        <v>2879</v>
      </c>
      <c r="Y467" t="s">
        <v>191</v>
      </c>
      <c r="Z467" t="s">
        <v>192</v>
      </c>
      <c r="AA467" t="s">
        <v>193</v>
      </c>
      <c r="AB467" t="s">
        <v>116</v>
      </c>
      <c r="AC467" t="s">
        <v>114</v>
      </c>
      <c r="AD467" t="s">
        <v>115</v>
      </c>
      <c r="AE467" s="7">
        <v>235000</v>
      </c>
      <c r="AF467" s="7">
        <v>1</v>
      </c>
      <c r="AG467" s="7">
        <v>235000</v>
      </c>
      <c r="AH467" s="7">
        <v>0</v>
      </c>
      <c r="AI467" s="7">
        <v>235000</v>
      </c>
      <c r="AJ467" t="s">
        <v>114</v>
      </c>
    </row>
    <row r="468" spans="14:36" x14ac:dyDescent="0.3">
      <c r="N468" s="8">
        <v>2026</v>
      </c>
      <c r="O468" s="8">
        <v>6</v>
      </c>
      <c r="P468" s="9">
        <v>46200</v>
      </c>
      <c r="Q468" t="s">
        <v>238</v>
      </c>
      <c r="R468" t="s">
        <v>303</v>
      </c>
      <c r="S468" t="s">
        <v>304</v>
      </c>
      <c r="T468" t="s">
        <v>2880</v>
      </c>
      <c r="U468" t="s">
        <v>2881</v>
      </c>
      <c r="V468" t="s">
        <v>246</v>
      </c>
      <c r="W468" t="s">
        <v>244</v>
      </c>
      <c r="X468" t="s">
        <v>2882</v>
      </c>
      <c r="Y468" t="s">
        <v>191</v>
      </c>
      <c r="Z468" t="s">
        <v>335</v>
      </c>
      <c r="AA468" t="s">
        <v>336</v>
      </c>
      <c r="AB468" t="s">
        <v>1146</v>
      </c>
      <c r="AC468" t="s">
        <v>1147</v>
      </c>
      <c r="AD468" t="s">
        <v>1148</v>
      </c>
      <c r="AE468" s="7">
        <v>99000</v>
      </c>
      <c r="AF468" s="7">
        <v>1</v>
      </c>
      <c r="AG468" s="7">
        <v>99000</v>
      </c>
      <c r="AH468" s="7">
        <v>0</v>
      </c>
      <c r="AI468" s="7">
        <v>99000</v>
      </c>
      <c r="AJ468" t="s">
        <v>1147</v>
      </c>
    </row>
    <row r="469" spans="14:36" x14ac:dyDescent="0.3">
      <c r="N469" s="8">
        <v>2026</v>
      </c>
      <c r="O469" s="8">
        <v>6</v>
      </c>
      <c r="P469" s="9">
        <v>46200</v>
      </c>
      <c r="Q469" t="s">
        <v>238</v>
      </c>
      <c r="R469" t="s">
        <v>303</v>
      </c>
      <c r="S469" t="s">
        <v>304</v>
      </c>
      <c r="T469" t="s">
        <v>2883</v>
      </c>
      <c r="U469" t="s">
        <v>3896</v>
      </c>
      <c r="V469" t="s">
        <v>246</v>
      </c>
      <c r="W469" t="s">
        <v>244</v>
      </c>
      <c r="X469" t="s">
        <v>2884</v>
      </c>
      <c r="Y469" t="s">
        <v>191</v>
      </c>
      <c r="Z469" t="s">
        <v>192</v>
      </c>
      <c r="AA469" t="s">
        <v>193</v>
      </c>
      <c r="AB469" t="s">
        <v>107</v>
      </c>
      <c r="AC469" t="s">
        <v>105</v>
      </c>
      <c r="AD469" t="s">
        <v>106</v>
      </c>
      <c r="AE469" s="7">
        <v>235000</v>
      </c>
      <c r="AF469" s="7">
        <v>1</v>
      </c>
      <c r="AG469" s="7">
        <v>235000</v>
      </c>
      <c r="AH469" s="7">
        <v>0</v>
      </c>
      <c r="AI469" s="7">
        <v>235000</v>
      </c>
      <c r="AJ469" t="s">
        <v>105</v>
      </c>
    </row>
    <row r="470" spans="14:36" x14ac:dyDescent="0.3">
      <c r="N470" s="8">
        <v>2026</v>
      </c>
      <c r="O470" s="8">
        <v>6</v>
      </c>
      <c r="P470" s="9">
        <v>46200</v>
      </c>
      <c r="Q470" t="s">
        <v>238</v>
      </c>
      <c r="R470" t="s">
        <v>351</v>
      </c>
      <c r="S470" t="s">
        <v>352</v>
      </c>
      <c r="T470" t="s">
        <v>356</v>
      </c>
      <c r="U470" t="s">
        <v>357</v>
      </c>
      <c r="V470" t="s">
        <v>243</v>
      </c>
      <c r="W470" t="s">
        <v>244</v>
      </c>
      <c r="X470" t="s">
        <v>2885</v>
      </c>
      <c r="Y470" t="s">
        <v>168</v>
      </c>
      <c r="Z470" t="s">
        <v>171</v>
      </c>
      <c r="AA470" t="s">
        <v>175</v>
      </c>
      <c r="AB470" t="s">
        <v>140</v>
      </c>
      <c r="AC470" t="s">
        <v>138</v>
      </c>
      <c r="AD470" t="s">
        <v>139</v>
      </c>
      <c r="AE470" s="7">
        <v>125000</v>
      </c>
      <c r="AF470" s="7">
        <v>1</v>
      </c>
      <c r="AG470" s="7">
        <v>125000</v>
      </c>
      <c r="AH470" s="7">
        <v>12500</v>
      </c>
      <c r="AI470" s="7">
        <v>112500</v>
      </c>
      <c r="AJ470" t="s">
        <v>138</v>
      </c>
    </row>
    <row r="471" spans="14:36" x14ac:dyDescent="0.3">
      <c r="N471" s="8">
        <v>2026</v>
      </c>
      <c r="O471" s="8">
        <v>6</v>
      </c>
      <c r="P471" s="9">
        <v>46200</v>
      </c>
      <c r="Q471" t="s">
        <v>238</v>
      </c>
      <c r="R471" t="s">
        <v>351</v>
      </c>
      <c r="S471" t="s">
        <v>352</v>
      </c>
      <c r="T471" t="s">
        <v>356</v>
      </c>
      <c r="U471" t="s">
        <v>357</v>
      </c>
      <c r="V471" t="s">
        <v>243</v>
      </c>
      <c r="W471" t="s">
        <v>244</v>
      </c>
      <c r="X471" t="s">
        <v>2886</v>
      </c>
      <c r="Y471" t="s">
        <v>168</v>
      </c>
      <c r="Z471" t="s">
        <v>171</v>
      </c>
      <c r="AA471" t="s">
        <v>175</v>
      </c>
      <c r="AB471" t="s">
        <v>38</v>
      </c>
      <c r="AC471" t="s">
        <v>36</v>
      </c>
      <c r="AD471" t="s">
        <v>37</v>
      </c>
      <c r="AE471" s="7">
        <v>290000</v>
      </c>
      <c r="AF471" s="7">
        <v>1</v>
      </c>
      <c r="AG471" s="7">
        <v>290000</v>
      </c>
      <c r="AH471" s="7">
        <v>23200</v>
      </c>
      <c r="AI471" s="7">
        <v>266800</v>
      </c>
      <c r="AJ471" t="s">
        <v>36</v>
      </c>
    </row>
    <row r="472" spans="14:36" x14ac:dyDescent="0.3">
      <c r="N472" s="8">
        <v>2026</v>
      </c>
      <c r="O472" s="8">
        <v>6</v>
      </c>
      <c r="P472" s="9">
        <v>46200</v>
      </c>
      <c r="Q472" t="s">
        <v>238</v>
      </c>
      <c r="R472" t="s">
        <v>351</v>
      </c>
      <c r="S472" t="s">
        <v>352</v>
      </c>
      <c r="T472" t="s">
        <v>2887</v>
      </c>
      <c r="U472" t="s">
        <v>3897</v>
      </c>
      <c r="V472" t="s">
        <v>246</v>
      </c>
      <c r="W472" t="s">
        <v>244</v>
      </c>
      <c r="X472" t="s">
        <v>2888</v>
      </c>
      <c r="Y472" t="s">
        <v>168</v>
      </c>
      <c r="Z472" t="s">
        <v>171</v>
      </c>
      <c r="AA472" t="s">
        <v>175</v>
      </c>
      <c r="AB472" t="s">
        <v>44</v>
      </c>
      <c r="AC472" t="s">
        <v>42</v>
      </c>
      <c r="AD472" t="s">
        <v>43</v>
      </c>
      <c r="AE472" s="7">
        <v>294000</v>
      </c>
      <c r="AF472" s="7">
        <v>1</v>
      </c>
      <c r="AG472" s="7">
        <v>294000</v>
      </c>
      <c r="AH472" s="7">
        <v>117600</v>
      </c>
      <c r="AI472" s="7">
        <v>176400</v>
      </c>
      <c r="AJ472" t="s">
        <v>42</v>
      </c>
    </row>
    <row r="473" spans="14:36" x14ac:dyDescent="0.3">
      <c r="N473" s="8">
        <v>2026</v>
      </c>
      <c r="O473" s="8">
        <v>6</v>
      </c>
      <c r="P473" s="9">
        <v>46200</v>
      </c>
      <c r="Q473" t="s">
        <v>238</v>
      </c>
      <c r="R473" t="s">
        <v>351</v>
      </c>
      <c r="S473" t="s">
        <v>352</v>
      </c>
      <c r="T473" t="s">
        <v>482</v>
      </c>
      <c r="U473" t="s">
        <v>483</v>
      </c>
      <c r="V473" t="s">
        <v>246</v>
      </c>
      <c r="W473" t="s">
        <v>244</v>
      </c>
      <c r="X473" t="s">
        <v>2889</v>
      </c>
      <c r="Y473" t="s">
        <v>191</v>
      </c>
      <c r="Z473" t="s">
        <v>192</v>
      </c>
      <c r="AA473" t="s">
        <v>193</v>
      </c>
      <c r="AB473" t="s">
        <v>119</v>
      </c>
      <c r="AC473" t="s">
        <v>117</v>
      </c>
      <c r="AD473" t="s">
        <v>118</v>
      </c>
      <c r="AE473" s="7">
        <v>235000</v>
      </c>
      <c r="AF473" s="7">
        <v>1</v>
      </c>
      <c r="AG473" s="7">
        <v>235000</v>
      </c>
      <c r="AH473" s="7">
        <v>0</v>
      </c>
      <c r="AI473" s="7">
        <v>235000</v>
      </c>
      <c r="AJ473" t="s">
        <v>117</v>
      </c>
    </row>
    <row r="474" spans="14:36" x14ac:dyDescent="0.3">
      <c r="N474" s="8">
        <v>2026</v>
      </c>
      <c r="O474" s="8">
        <v>6</v>
      </c>
      <c r="P474" s="9">
        <v>46200</v>
      </c>
      <c r="Q474" t="s">
        <v>238</v>
      </c>
      <c r="R474" t="s">
        <v>374</v>
      </c>
      <c r="S474" t="s">
        <v>375</v>
      </c>
      <c r="T474" t="s">
        <v>376</v>
      </c>
      <c r="U474" t="s">
        <v>377</v>
      </c>
      <c r="V474" t="s">
        <v>243</v>
      </c>
      <c r="W474" t="s">
        <v>244</v>
      </c>
      <c r="X474" t="s">
        <v>2890</v>
      </c>
      <c r="Y474" t="s">
        <v>168</v>
      </c>
      <c r="Z474" t="s">
        <v>169</v>
      </c>
      <c r="AA474" t="s">
        <v>170</v>
      </c>
      <c r="AB474" t="s">
        <v>131</v>
      </c>
      <c r="AC474" t="s">
        <v>129</v>
      </c>
      <c r="AD474" t="s">
        <v>130</v>
      </c>
      <c r="AE474" s="7">
        <v>535000</v>
      </c>
      <c r="AF474" s="7">
        <v>1</v>
      </c>
      <c r="AG474" s="7">
        <v>535000</v>
      </c>
      <c r="AH474" s="7">
        <v>0</v>
      </c>
      <c r="AI474" s="7">
        <v>535000</v>
      </c>
      <c r="AJ474" t="s">
        <v>129</v>
      </c>
    </row>
    <row r="475" spans="14:36" x14ac:dyDescent="0.3">
      <c r="N475" s="8">
        <v>2026</v>
      </c>
      <c r="O475" s="8">
        <v>6</v>
      </c>
      <c r="P475" s="9">
        <v>46200</v>
      </c>
      <c r="Q475" t="s">
        <v>238</v>
      </c>
      <c r="R475" t="s">
        <v>374</v>
      </c>
      <c r="S475" t="s">
        <v>375</v>
      </c>
      <c r="T475" t="s">
        <v>2312</v>
      </c>
      <c r="U475" t="s">
        <v>2313</v>
      </c>
      <c r="V475" t="s">
        <v>246</v>
      </c>
      <c r="W475" t="s">
        <v>244</v>
      </c>
      <c r="X475" t="s">
        <v>2891</v>
      </c>
      <c r="Y475" t="s">
        <v>194</v>
      </c>
      <c r="Z475" t="s">
        <v>195</v>
      </c>
      <c r="AA475" t="s">
        <v>196</v>
      </c>
      <c r="AB475" t="s">
        <v>68</v>
      </c>
      <c r="AC475" t="s">
        <v>66</v>
      </c>
      <c r="AD475" t="s">
        <v>67</v>
      </c>
      <c r="AE475" s="7">
        <v>360000</v>
      </c>
      <c r="AF475" s="7">
        <v>1</v>
      </c>
      <c r="AG475" s="7">
        <v>360000</v>
      </c>
      <c r="AH475" s="7">
        <v>0</v>
      </c>
      <c r="AI475" s="7">
        <v>360000</v>
      </c>
      <c r="AJ475" t="s">
        <v>66</v>
      </c>
    </row>
    <row r="476" spans="14:36" x14ac:dyDescent="0.3">
      <c r="N476" s="8">
        <v>2026</v>
      </c>
      <c r="O476" s="8">
        <v>6</v>
      </c>
      <c r="P476" s="9">
        <v>46200</v>
      </c>
      <c r="Q476" t="s">
        <v>238</v>
      </c>
      <c r="R476" t="s">
        <v>396</v>
      </c>
      <c r="S476" t="s">
        <v>397</v>
      </c>
      <c r="T476" t="s">
        <v>400</v>
      </c>
      <c r="U476" t="s">
        <v>3898</v>
      </c>
      <c r="V476" t="s">
        <v>246</v>
      </c>
      <c r="W476" t="s">
        <v>244</v>
      </c>
      <c r="X476" t="s">
        <v>2892</v>
      </c>
      <c r="Y476" t="s">
        <v>191</v>
      </c>
      <c r="Z476" t="s">
        <v>335</v>
      </c>
      <c r="AA476" t="s">
        <v>337</v>
      </c>
      <c r="AB476" t="s">
        <v>348</v>
      </c>
      <c r="AC476" t="s">
        <v>349</v>
      </c>
      <c r="AD476" t="s">
        <v>350</v>
      </c>
      <c r="AE476" s="7">
        <v>76000</v>
      </c>
      <c r="AF476" s="7">
        <v>1</v>
      </c>
      <c r="AG476" s="7">
        <v>76000</v>
      </c>
      <c r="AH476" s="7">
        <v>0</v>
      </c>
      <c r="AI476" s="7">
        <v>76000</v>
      </c>
      <c r="AJ476" t="s">
        <v>349</v>
      </c>
    </row>
    <row r="477" spans="14:36" x14ac:dyDescent="0.3">
      <c r="N477" s="8">
        <v>2026</v>
      </c>
      <c r="O477" s="8">
        <v>6</v>
      </c>
      <c r="P477" s="9">
        <v>46200</v>
      </c>
      <c r="Q477" t="s">
        <v>238</v>
      </c>
      <c r="R477" t="s">
        <v>415</v>
      </c>
      <c r="S477" t="s">
        <v>416</v>
      </c>
      <c r="T477" t="s">
        <v>2893</v>
      </c>
      <c r="U477" t="s">
        <v>385</v>
      </c>
      <c r="V477" t="s">
        <v>246</v>
      </c>
      <c r="W477" t="s">
        <v>244</v>
      </c>
      <c r="X477" t="s">
        <v>2894</v>
      </c>
      <c r="Y477" t="s">
        <v>191</v>
      </c>
      <c r="Z477" t="s">
        <v>335</v>
      </c>
      <c r="AA477" t="s">
        <v>336</v>
      </c>
      <c r="AB477" t="s">
        <v>1284</v>
      </c>
      <c r="AC477" t="s">
        <v>1285</v>
      </c>
      <c r="AD477" t="s">
        <v>1286</v>
      </c>
      <c r="AE477" s="7">
        <v>99000</v>
      </c>
      <c r="AF477" s="7">
        <v>1</v>
      </c>
      <c r="AG477" s="7">
        <v>99000</v>
      </c>
      <c r="AH477" s="7">
        <v>0</v>
      </c>
      <c r="AI477" s="7">
        <v>99000</v>
      </c>
      <c r="AJ477" t="s">
        <v>1285</v>
      </c>
    </row>
    <row r="478" spans="14:36" x14ac:dyDescent="0.3">
      <c r="N478" s="8">
        <v>2026</v>
      </c>
      <c r="O478" s="8">
        <v>6</v>
      </c>
      <c r="P478" s="9">
        <v>46200</v>
      </c>
      <c r="Q478" t="s">
        <v>238</v>
      </c>
      <c r="R478" t="s">
        <v>415</v>
      </c>
      <c r="S478" t="s">
        <v>416</v>
      </c>
      <c r="T478" t="s">
        <v>2893</v>
      </c>
      <c r="U478" t="s">
        <v>385</v>
      </c>
      <c r="V478" t="s">
        <v>246</v>
      </c>
      <c r="W478" t="s">
        <v>244</v>
      </c>
      <c r="X478" t="s">
        <v>2894</v>
      </c>
      <c r="Y478" t="s">
        <v>191</v>
      </c>
      <c r="Z478" t="s">
        <v>335</v>
      </c>
      <c r="AA478" t="s">
        <v>336</v>
      </c>
      <c r="AB478" t="s">
        <v>1146</v>
      </c>
      <c r="AC478" t="s">
        <v>1147</v>
      </c>
      <c r="AD478" t="s">
        <v>1148</v>
      </c>
      <c r="AE478" s="7">
        <v>99000</v>
      </c>
      <c r="AF478" s="7">
        <v>1</v>
      </c>
      <c r="AG478" s="7">
        <v>99000</v>
      </c>
      <c r="AH478" s="7">
        <v>0</v>
      </c>
      <c r="AI478" s="7">
        <v>99000</v>
      </c>
      <c r="AJ478" t="s">
        <v>1147</v>
      </c>
    </row>
    <row r="479" spans="14:36" x14ac:dyDescent="0.3">
      <c r="N479" s="8">
        <v>2026</v>
      </c>
      <c r="O479" s="8">
        <v>6</v>
      </c>
      <c r="P479" s="9">
        <v>46200</v>
      </c>
      <c r="Q479" t="s">
        <v>238</v>
      </c>
      <c r="R479" t="s">
        <v>415</v>
      </c>
      <c r="S479" t="s">
        <v>416</v>
      </c>
      <c r="T479" t="s">
        <v>1674</v>
      </c>
      <c r="U479" t="s">
        <v>856</v>
      </c>
      <c r="V479" t="s">
        <v>246</v>
      </c>
      <c r="W479" t="s">
        <v>244</v>
      </c>
      <c r="X479" t="s">
        <v>2895</v>
      </c>
      <c r="Y479" t="s">
        <v>191</v>
      </c>
      <c r="Z479" t="s">
        <v>335</v>
      </c>
      <c r="AA479" t="s">
        <v>337</v>
      </c>
      <c r="AB479" t="s">
        <v>348</v>
      </c>
      <c r="AC479" t="s">
        <v>349</v>
      </c>
      <c r="AD479" t="s">
        <v>350</v>
      </c>
      <c r="AE479" s="7">
        <v>76000</v>
      </c>
      <c r="AF479" s="7">
        <v>1</v>
      </c>
      <c r="AG479" s="7">
        <v>76000</v>
      </c>
      <c r="AH479" s="7">
        <v>0</v>
      </c>
      <c r="AI479" s="7">
        <v>76000</v>
      </c>
      <c r="AJ479" t="s">
        <v>349</v>
      </c>
    </row>
    <row r="480" spans="14:36" x14ac:dyDescent="0.3">
      <c r="N480" s="8">
        <v>2026</v>
      </c>
      <c r="O480" s="8">
        <v>6</v>
      </c>
      <c r="P480" s="9">
        <v>46200</v>
      </c>
      <c r="Q480" t="s">
        <v>238</v>
      </c>
      <c r="R480" t="s">
        <v>415</v>
      </c>
      <c r="S480" t="s">
        <v>416</v>
      </c>
      <c r="T480" t="s">
        <v>1243</v>
      </c>
      <c r="U480" t="s">
        <v>1244</v>
      </c>
      <c r="V480" t="s">
        <v>246</v>
      </c>
      <c r="W480" t="s">
        <v>244</v>
      </c>
      <c r="X480" t="s">
        <v>2896</v>
      </c>
      <c r="Y480" t="s">
        <v>194</v>
      </c>
      <c r="Z480" t="s">
        <v>200</v>
      </c>
      <c r="AA480" t="s">
        <v>201</v>
      </c>
      <c r="AB480" t="s">
        <v>80</v>
      </c>
      <c r="AC480" t="s">
        <v>78</v>
      </c>
      <c r="AD480" t="s">
        <v>79</v>
      </c>
      <c r="AE480" s="7">
        <v>14000</v>
      </c>
      <c r="AF480" s="7">
        <v>1</v>
      </c>
      <c r="AG480" s="7">
        <v>14000</v>
      </c>
      <c r="AH480" s="7">
        <v>0</v>
      </c>
      <c r="AI480" s="7">
        <v>14000</v>
      </c>
      <c r="AJ480" t="s">
        <v>78</v>
      </c>
    </row>
    <row r="481" spans="14:36" x14ac:dyDescent="0.3">
      <c r="N481" s="8">
        <v>2026</v>
      </c>
      <c r="O481" s="8">
        <v>6</v>
      </c>
      <c r="P481" s="9">
        <v>46199</v>
      </c>
      <c r="Q481" t="s">
        <v>238</v>
      </c>
      <c r="R481" t="s">
        <v>279</v>
      </c>
      <c r="S481" t="s">
        <v>280</v>
      </c>
      <c r="T481" t="s">
        <v>2897</v>
      </c>
      <c r="U481" t="s">
        <v>615</v>
      </c>
      <c r="V481" t="s">
        <v>246</v>
      </c>
      <c r="W481" t="s">
        <v>244</v>
      </c>
      <c r="X481" t="s">
        <v>2898</v>
      </c>
      <c r="Y481" t="s">
        <v>168</v>
      </c>
      <c r="Z481" t="s">
        <v>181</v>
      </c>
      <c r="AA481" t="s">
        <v>182</v>
      </c>
      <c r="AB481" t="s">
        <v>50</v>
      </c>
      <c r="AC481" t="s">
        <v>48</v>
      </c>
      <c r="AD481" t="s">
        <v>49</v>
      </c>
      <c r="AE481" s="7">
        <v>49000</v>
      </c>
      <c r="AF481" s="7">
        <v>1</v>
      </c>
      <c r="AG481" s="7">
        <v>49000</v>
      </c>
      <c r="AH481" s="7">
        <v>0</v>
      </c>
      <c r="AI481" s="7">
        <v>49000</v>
      </c>
      <c r="AJ481" t="s">
        <v>48</v>
      </c>
    </row>
    <row r="482" spans="14:36" x14ac:dyDescent="0.3">
      <c r="N482" s="8">
        <v>2026</v>
      </c>
      <c r="O482" s="8">
        <v>6</v>
      </c>
      <c r="P482" s="9">
        <v>46199</v>
      </c>
      <c r="Q482" t="s">
        <v>238</v>
      </c>
      <c r="R482" t="s">
        <v>303</v>
      </c>
      <c r="S482" t="s">
        <v>304</v>
      </c>
      <c r="T482" t="s">
        <v>1270</v>
      </c>
      <c r="U482" t="s">
        <v>1271</v>
      </c>
      <c r="V482" t="s">
        <v>246</v>
      </c>
      <c r="W482" t="s">
        <v>244</v>
      </c>
      <c r="X482" t="s">
        <v>2899</v>
      </c>
      <c r="Y482" t="s">
        <v>168</v>
      </c>
      <c r="Z482" t="s">
        <v>171</v>
      </c>
      <c r="AA482" t="s">
        <v>175</v>
      </c>
      <c r="AB482" t="s">
        <v>38</v>
      </c>
      <c r="AC482" t="s">
        <v>36</v>
      </c>
      <c r="AD482" t="s">
        <v>37</v>
      </c>
      <c r="AE482" s="7">
        <v>290000</v>
      </c>
      <c r="AF482" s="7">
        <v>1</v>
      </c>
      <c r="AG482" s="7">
        <v>290000</v>
      </c>
      <c r="AH482" s="7">
        <v>23200</v>
      </c>
      <c r="AI482" s="7">
        <v>266800</v>
      </c>
      <c r="AJ482" t="s">
        <v>36</v>
      </c>
    </row>
    <row r="483" spans="14:36" x14ac:dyDescent="0.3">
      <c r="N483" s="8">
        <v>2026</v>
      </c>
      <c r="O483" s="8">
        <v>6</v>
      </c>
      <c r="P483" s="9">
        <v>46199</v>
      </c>
      <c r="Q483" t="s">
        <v>238</v>
      </c>
      <c r="R483" t="s">
        <v>351</v>
      </c>
      <c r="S483" t="s">
        <v>352</v>
      </c>
      <c r="T483" t="s">
        <v>1372</v>
      </c>
      <c r="U483" t="s">
        <v>1373</v>
      </c>
      <c r="V483" t="s">
        <v>246</v>
      </c>
      <c r="W483" t="s">
        <v>244</v>
      </c>
      <c r="X483" t="s">
        <v>2900</v>
      </c>
      <c r="Y483" t="s">
        <v>183</v>
      </c>
      <c r="Z483" t="s">
        <v>189</v>
      </c>
      <c r="AA483" t="s">
        <v>190</v>
      </c>
      <c r="AB483" t="s">
        <v>92</v>
      </c>
      <c r="AC483" t="s">
        <v>90</v>
      </c>
      <c r="AD483" t="s">
        <v>91</v>
      </c>
      <c r="AE483" s="7">
        <v>52000</v>
      </c>
      <c r="AF483" s="7">
        <v>1</v>
      </c>
      <c r="AG483" s="7">
        <v>52000</v>
      </c>
      <c r="AH483" s="7">
        <v>0</v>
      </c>
      <c r="AI483" s="7">
        <v>52000</v>
      </c>
      <c r="AJ483" t="s">
        <v>90</v>
      </c>
    </row>
    <row r="484" spans="14:36" x14ac:dyDescent="0.3">
      <c r="N484" s="8">
        <v>2026</v>
      </c>
      <c r="O484" s="8">
        <v>6</v>
      </c>
      <c r="P484" s="9">
        <v>46199</v>
      </c>
      <c r="Q484" t="s">
        <v>238</v>
      </c>
      <c r="R484" t="s">
        <v>351</v>
      </c>
      <c r="S484" t="s">
        <v>352</v>
      </c>
      <c r="T484" t="s">
        <v>2447</v>
      </c>
      <c r="U484" t="s">
        <v>3887</v>
      </c>
      <c r="V484" t="s">
        <v>246</v>
      </c>
      <c r="W484" t="s">
        <v>244</v>
      </c>
      <c r="X484" t="s">
        <v>2901</v>
      </c>
      <c r="Y484" t="s">
        <v>191</v>
      </c>
      <c r="Z484" t="s">
        <v>335</v>
      </c>
      <c r="AA484" t="s">
        <v>336</v>
      </c>
      <c r="AB484" t="s">
        <v>1146</v>
      </c>
      <c r="AC484" t="s">
        <v>1147</v>
      </c>
      <c r="AD484" t="s">
        <v>1148</v>
      </c>
      <c r="AE484" s="7">
        <v>99000</v>
      </c>
      <c r="AF484" s="7">
        <v>1</v>
      </c>
      <c r="AG484" s="7">
        <v>99000</v>
      </c>
      <c r="AH484" s="7">
        <v>0</v>
      </c>
      <c r="AI484" s="7">
        <v>99000</v>
      </c>
      <c r="AJ484" t="s">
        <v>1147</v>
      </c>
    </row>
    <row r="485" spans="14:36" x14ac:dyDescent="0.3">
      <c r="N485" s="8">
        <v>2026</v>
      </c>
      <c r="O485" s="8">
        <v>6</v>
      </c>
      <c r="P485" s="9">
        <v>46199</v>
      </c>
      <c r="Q485" t="s">
        <v>238</v>
      </c>
      <c r="R485" t="s">
        <v>351</v>
      </c>
      <c r="S485" t="s">
        <v>352</v>
      </c>
      <c r="T485" t="s">
        <v>2447</v>
      </c>
      <c r="U485" t="s">
        <v>3887</v>
      </c>
      <c r="V485" t="s">
        <v>246</v>
      </c>
      <c r="W485" t="s">
        <v>244</v>
      </c>
      <c r="X485" t="s">
        <v>2901</v>
      </c>
      <c r="Y485" t="s">
        <v>191</v>
      </c>
      <c r="Z485" t="s">
        <v>335</v>
      </c>
      <c r="AA485" t="s">
        <v>337</v>
      </c>
      <c r="AB485" t="s">
        <v>541</v>
      </c>
      <c r="AC485" t="s">
        <v>542</v>
      </c>
      <c r="AD485" t="s">
        <v>543</v>
      </c>
      <c r="AE485" s="7">
        <v>69000</v>
      </c>
      <c r="AF485" s="7">
        <v>1</v>
      </c>
      <c r="AG485" s="7">
        <v>69000</v>
      </c>
      <c r="AH485" s="7">
        <v>0</v>
      </c>
      <c r="AI485" s="7">
        <v>69000</v>
      </c>
      <c r="AJ485" t="s">
        <v>542</v>
      </c>
    </row>
    <row r="486" spans="14:36" x14ac:dyDescent="0.3">
      <c r="N486" s="8">
        <v>2026</v>
      </c>
      <c r="O486" s="8">
        <v>6</v>
      </c>
      <c r="P486" s="9">
        <v>46199</v>
      </c>
      <c r="Q486" t="s">
        <v>238</v>
      </c>
      <c r="R486" t="s">
        <v>374</v>
      </c>
      <c r="S486" t="s">
        <v>375</v>
      </c>
      <c r="T486" t="s">
        <v>382</v>
      </c>
      <c r="U486" t="s">
        <v>383</v>
      </c>
      <c r="V486" t="s">
        <v>243</v>
      </c>
      <c r="W486" t="s">
        <v>244</v>
      </c>
      <c r="X486" t="s">
        <v>2902</v>
      </c>
      <c r="Y486" t="s">
        <v>191</v>
      </c>
      <c r="Z486" t="s">
        <v>335</v>
      </c>
      <c r="AA486" t="s">
        <v>336</v>
      </c>
      <c r="AB486" t="s">
        <v>1284</v>
      </c>
      <c r="AC486" t="s">
        <v>1285</v>
      </c>
      <c r="AD486" t="s">
        <v>1286</v>
      </c>
      <c r="AE486" s="7">
        <v>99000</v>
      </c>
      <c r="AF486" s="7">
        <v>1</v>
      </c>
      <c r="AG486" s="7">
        <v>99000</v>
      </c>
      <c r="AH486" s="7">
        <v>0</v>
      </c>
      <c r="AI486" s="7">
        <v>99000</v>
      </c>
      <c r="AJ486" t="s">
        <v>1285</v>
      </c>
    </row>
    <row r="487" spans="14:36" x14ac:dyDescent="0.3">
      <c r="N487" s="8">
        <v>2026</v>
      </c>
      <c r="O487" s="8">
        <v>6</v>
      </c>
      <c r="P487" s="9">
        <v>46199</v>
      </c>
      <c r="Q487" t="s">
        <v>238</v>
      </c>
      <c r="R487" t="s">
        <v>374</v>
      </c>
      <c r="S487" t="s">
        <v>375</v>
      </c>
      <c r="T487" t="s">
        <v>2903</v>
      </c>
      <c r="U487" t="s">
        <v>362</v>
      </c>
      <c r="V487" t="s">
        <v>246</v>
      </c>
      <c r="W487" t="s">
        <v>244</v>
      </c>
      <c r="X487" t="s">
        <v>2904</v>
      </c>
      <c r="Y487" t="s">
        <v>191</v>
      </c>
      <c r="Z487" t="s">
        <v>335</v>
      </c>
      <c r="AA487" t="s">
        <v>336</v>
      </c>
      <c r="AB487" t="s">
        <v>1146</v>
      </c>
      <c r="AC487" t="s">
        <v>1147</v>
      </c>
      <c r="AD487" t="s">
        <v>1148</v>
      </c>
      <c r="AE487" s="7">
        <v>99000</v>
      </c>
      <c r="AF487" s="7">
        <v>1</v>
      </c>
      <c r="AG487" s="7">
        <v>99000</v>
      </c>
      <c r="AH487" s="7">
        <v>0</v>
      </c>
      <c r="AI487" s="7">
        <v>99000</v>
      </c>
      <c r="AJ487" t="s">
        <v>1147</v>
      </c>
    </row>
    <row r="488" spans="14:36" x14ac:dyDescent="0.3">
      <c r="N488" s="8">
        <v>2026</v>
      </c>
      <c r="O488" s="8">
        <v>6</v>
      </c>
      <c r="P488" s="9">
        <v>46199</v>
      </c>
      <c r="Q488" t="s">
        <v>238</v>
      </c>
      <c r="R488" t="s">
        <v>415</v>
      </c>
      <c r="S488" t="s">
        <v>416</v>
      </c>
      <c r="T488" t="s">
        <v>2752</v>
      </c>
      <c r="U488" t="s">
        <v>313</v>
      </c>
      <c r="V488" t="s">
        <v>249</v>
      </c>
      <c r="W488" t="s">
        <v>244</v>
      </c>
      <c r="X488" t="s">
        <v>2905</v>
      </c>
      <c r="Y488" t="s">
        <v>194</v>
      </c>
      <c r="Z488" t="s">
        <v>200</v>
      </c>
      <c r="AA488" t="s">
        <v>201</v>
      </c>
      <c r="AB488" t="s">
        <v>86</v>
      </c>
      <c r="AC488" t="s">
        <v>84</v>
      </c>
      <c r="AD488" t="s">
        <v>85</v>
      </c>
      <c r="AE488" s="7">
        <v>49000</v>
      </c>
      <c r="AF488" s="7">
        <v>1</v>
      </c>
      <c r="AG488" s="7">
        <v>49000</v>
      </c>
      <c r="AH488" s="7">
        <v>0</v>
      </c>
      <c r="AI488" s="7">
        <v>49000</v>
      </c>
      <c r="AJ488" t="s">
        <v>84</v>
      </c>
    </row>
    <row r="489" spans="14:36" x14ac:dyDescent="0.3">
      <c r="N489" s="8">
        <v>2026</v>
      </c>
      <c r="O489" s="8">
        <v>6</v>
      </c>
      <c r="P489" s="9">
        <v>46199</v>
      </c>
      <c r="Q489" t="s">
        <v>238</v>
      </c>
      <c r="R489" t="s">
        <v>415</v>
      </c>
      <c r="S489" t="s">
        <v>416</v>
      </c>
      <c r="T489" t="s">
        <v>1427</v>
      </c>
      <c r="U489" t="s">
        <v>502</v>
      </c>
      <c r="V489" t="s">
        <v>246</v>
      </c>
      <c r="W489" t="s">
        <v>244</v>
      </c>
      <c r="X489" t="s">
        <v>2906</v>
      </c>
      <c r="Y489" t="s">
        <v>191</v>
      </c>
      <c r="Z489" t="s">
        <v>335</v>
      </c>
      <c r="AA489" t="s">
        <v>336</v>
      </c>
      <c r="AB489" t="s">
        <v>1518</v>
      </c>
      <c r="AC489" t="s">
        <v>1519</v>
      </c>
      <c r="AD489" t="s">
        <v>1520</v>
      </c>
      <c r="AE489" s="7">
        <v>99000</v>
      </c>
      <c r="AF489" s="7">
        <v>1</v>
      </c>
      <c r="AG489" s="7">
        <v>99000</v>
      </c>
      <c r="AH489" s="7">
        <v>0</v>
      </c>
      <c r="AI489" s="7">
        <v>99000</v>
      </c>
      <c r="AJ489" t="s">
        <v>1519</v>
      </c>
    </row>
    <row r="490" spans="14:36" x14ac:dyDescent="0.3">
      <c r="N490" s="8">
        <v>2026</v>
      </c>
      <c r="O490" s="8">
        <v>6</v>
      </c>
      <c r="P490" s="9">
        <v>46199</v>
      </c>
      <c r="Q490" t="s">
        <v>238</v>
      </c>
      <c r="R490" t="s">
        <v>415</v>
      </c>
      <c r="S490" t="s">
        <v>416</v>
      </c>
      <c r="T490" t="s">
        <v>2554</v>
      </c>
      <c r="U490" t="s">
        <v>384</v>
      </c>
      <c r="V490" t="s">
        <v>246</v>
      </c>
      <c r="W490" t="s">
        <v>244</v>
      </c>
      <c r="X490" t="s">
        <v>2907</v>
      </c>
      <c r="Y490" t="s">
        <v>191</v>
      </c>
      <c r="Z490" t="s">
        <v>335</v>
      </c>
      <c r="AA490" t="s">
        <v>336</v>
      </c>
      <c r="AB490" t="s">
        <v>1518</v>
      </c>
      <c r="AC490" t="s">
        <v>1519</v>
      </c>
      <c r="AD490" t="s">
        <v>1520</v>
      </c>
      <c r="AE490" s="7">
        <v>99000</v>
      </c>
      <c r="AF490" s="7">
        <v>1</v>
      </c>
      <c r="AG490" s="7">
        <v>99000</v>
      </c>
      <c r="AH490" s="7">
        <v>0</v>
      </c>
      <c r="AI490" s="7">
        <v>99000</v>
      </c>
      <c r="AJ490" t="s">
        <v>1519</v>
      </c>
    </row>
    <row r="491" spans="14:36" x14ac:dyDescent="0.3">
      <c r="N491" s="8">
        <v>2026</v>
      </c>
      <c r="O491" s="8">
        <v>6</v>
      </c>
      <c r="P491" s="9">
        <v>46199</v>
      </c>
      <c r="Q491" t="s">
        <v>238</v>
      </c>
      <c r="R491" t="s">
        <v>425</v>
      </c>
      <c r="S491" t="s">
        <v>426</v>
      </c>
      <c r="T491" t="s">
        <v>2908</v>
      </c>
      <c r="U491" t="s">
        <v>3561</v>
      </c>
      <c r="V491" t="s">
        <v>249</v>
      </c>
      <c r="W491" t="s">
        <v>244</v>
      </c>
      <c r="X491" t="s">
        <v>2909</v>
      </c>
      <c r="Y491" t="s">
        <v>191</v>
      </c>
      <c r="Z491" t="s">
        <v>192</v>
      </c>
      <c r="AA491" t="s">
        <v>193</v>
      </c>
      <c r="AB491" t="s">
        <v>113</v>
      </c>
      <c r="AC491" t="s">
        <v>111</v>
      </c>
      <c r="AD491" t="s">
        <v>112</v>
      </c>
      <c r="AE491" s="7">
        <v>235000</v>
      </c>
      <c r="AF491" s="7">
        <v>1</v>
      </c>
      <c r="AG491" s="7">
        <v>235000</v>
      </c>
      <c r="AH491" s="7">
        <v>0</v>
      </c>
      <c r="AI491" s="7">
        <v>235000</v>
      </c>
      <c r="AJ491" t="s">
        <v>111</v>
      </c>
    </row>
    <row r="492" spans="14:36" x14ac:dyDescent="0.3">
      <c r="N492" s="8">
        <v>2026</v>
      </c>
      <c r="O492" s="8">
        <v>6</v>
      </c>
      <c r="P492" s="9">
        <v>46199</v>
      </c>
      <c r="Q492" t="s">
        <v>238</v>
      </c>
      <c r="R492" t="s">
        <v>425</v>
      </c>
      <c r="S492" t="s">
        <v>426</v>
      </c>
      <c r="T492" t="s">
        <v>2359</v>
      </c>
      <c r="U492" t="s">
        <v>1072</v>
      </c>
      <c r="V492" t="s">
        <v>246</v>
      </c>
      <c r="W492" t="s">
        <v>244</v>
      </c>
      <c r="X492" t="s">
        <v>2910</v>
      </c>
      <c r="Y492" t="s">
        <v>191</v>
      </c>
      <c r="Z492" t="s">
        <v>335</v>
      </c>
      <c r="AA492" t="s">
        <v>336</v>
      </c>
      <c r="AB492" t="s">
        <v>1284</v>
      </c>
      <c r="AC492" t="s">
        <v>1285</v>
      </c>
      <c r="AD492" t="s">
        <v>1286</v>
      </c>
      <c r="AE492" s="7">
        <v>99000</v>
      </c>
      <c r="AF492" s="7">
        <v>1</v>
      </c>
      <c r="AG492" s="7">
        <v>99000</v>
      </c>
      <c r="AH492" s="7">
        <v>0</v>
      </c>
      <c r="AI492" s="7">
        <v>99000</v>
      </c>
      <c r="AJ492" t="s">
        <v>1285</v>
      </c>
    </row>
    <row r="493" spans="14:36" x14ac:dyDescent="0.3">
      <c r="N493" s="8">
        <v>2026</v>
      </c>
      <c r="O493" s="8">
        <v>6</v>
      </c>
      <c r="P493" s="9">
        <v>46198</v>
      </c>
      <c r="Q493" t="s">
        <v>238</v>
      </c>
      <c r="R493" t="s">
        <v>239</v>
      </c>
      <c r="S493" t="s">
        <v>240</v>
      </c>
      <c r="T493" t="s">
        <v>528</v>
      </c>
      <c r="U493" t="s">
        <v>529</v>
      </c>
      <c r="V493" t="s">
        <v>246</v>
      </c>
      <c r="W493" t="s">
        <v>244</v>
      </c>
      <c r="X493" t="s">
        <v>2911</v>
      </c>
      <c r="Y493" t="s">
        <v>183</v>
      </c>
      <c r="Z493" t="s">
        <v>189</v>
      </c>
      <c r="AA493" t="s">
        <v>190</v>
      </c>
      <c r="AB493" t="s">
        <v>92</v>
      </c>
      <c r="AC493" t="s">
        <v>90</v>
      </c>
      <c r="AD493" t="s">
        <v>91</v>
      </c>
      <c r="AE493" s="7">
        <v>52000</v>
      </c>
      <c r="AF493" s="7">
        <v>1</v>
      </c>
      <c r="AG493" s="7">
        <v>52000</v>
      </c>
      <c r="AH493" s="7">
        <v>0</v>
      </c>
      <c r="AI493" s="7">
        <v>52000</v>
      </c>
      <c r="AJ493" t="s">
        <v>90</v>
      </c>
    </row>
    <row r="494" spans="14:36" x14ac:dyDescent="0.3">
      <c r="N494" s="8">
        <v>2026</v>
      </c>
      <c r="O494" s="8">
        <v>6</v>
      </c>
      <c r="P494" s="9">
        <v>46198</v>
      </c>
      <c r="Q494" t="s">
        <v>238</v>
      </c>
      <c r="R494" t="s">
        <v>279</v>
      </c>
      <c r="S494" t="s">
        <v>280</v>
      </c>
      <c r="T494" t="s">
        <v>2451</v>
      </c>
      <c r="U494" t="s">
        <v>2452</v>
      </c>
      <c r="V494" t="s">
        <v>246</v>
      </c>
      <c r="W494" t="s">
        <v>244</v>
      </c>
      <c r="X494" t="s">
        <v>2912</v>
      </c>
      <c r="Y494" t="s">
        <v>168</v>
      </c>
      <c r="Z494" t="s">
        <v>171</v>
      </c>
      <c r="AA494" t="s">
        <v>175</v>
      </c>
      <c r="AB494" t="s">
        <v>44</v>
      </c>
      <c r="AC494" t="s">
        <v>42</v>
      </c>
      <c r="AD494" t="s">
        <v>43</v>
      </c>
      <c r="AE494" s="7">
        <v>294000</v>
      </c>
      <c r="AF494" s="7">
        <v>1</v>
      </c>
      <c r="AG494" s="7">
        <v>294000</v>
      </c>
      <c r="AH494" s="7">
        <v>117600</v>
      </c>
      <c r="AI494" s="7">
        <v>176400</v>
      </c>
      <c r="AJ494" t="s">
        <v>42</v>
      </c>
    </row>
    <row r="495" spans="14:36" x14ac:dyDescent="0.3">
      <c r="N495" s="8">
        <v>2026</v>
      </c>
      <c r="O495" s="8">
        <v>6</v>
      </c>
      <c r="P495" s="9">
        <v>46198</v>
      </c>
      <c r="Q495" t="s">
        <v>238</v>
      </c>
      <c r="R495" t="s">
        <v>279</v>
      </c>
      <c r="S495" t="s">
        <v>280</v>
      </c>
      <c r="T495" t="s">
        <v>2913</v>
      </c>
      <c r="U495" t="s">
        <v>3899</v>
      </c>
      <c r="V495" t="s">
        <v>246</v>
      </c>
      <c r="W495" t="s">
        <v>244</v>
      </c>
      <c r="X495" t="s">
        <v>2914</v>
      </c>
      <c r="Y495" t="s">
        <v>168</v>
      </c>
      <c r="Z495" t="s">
        <v>171</v>
      </c>
      <c r="AA495" t="s">
        <v>172</v>
      </c>
      <c r="AB495" t="s">
        <v>11</v>
      </c>
      <c r="AC495" t="s">
        <v>9</v>
      </c>
      <c r="AD495" t="s">
        <v>10</v>
      </c>
      <c r="AE495" s="7">
        <v>129000</v>
      </c>
      <c r="AF495" s="7">
        <v>1</v>
      </c>
      <c r="AG495" s="7">
        <v>129000</v>
      </c>
      <c r="AH495" s="7">
        <v>20000</v>
      </c>
      <c r="AI495" s="7">
        <v>109000</v>
      </c>
      <c r="AJ495" t="s">
        <v>9</v>
      </c>
    </row>
    <row r="496" spans="14:36" x14ac:dyDescent="0.3">
      <c r="N496" s="8">
        <v>2026</v>
      </c>
      <c r="O496" s="8">
        <v>6</v>
      </c>
      <c r="P496" s="9">
        <v>46198</v>
      </c>
      <c r="Q496" t="s">
        <v>238</v>
      </c>
      <c r="R496" t="s">
        <v>279</v>
      </c>
      <c r="S496" t="s">
        <v>280</v>
      </c>
      <c r="T496" t="s">
        <v>1624</v>
      </c>
      <c r="U496" t="s">
        <v>3900</v>
      </c>
      <c r="V496" t="s">
        <v>246</v>
      </c>
      <c r="W496" t="s">
        <v>244</v>
      </c>
      <c r="X496" t="s">
        <v>2915</v>
      </c>
      <c r="Y496" t="s">
        <v>191</v>
      </c>
      <c r="Z496" t="s">
        <v>335</v>
      </c>
      <c r="AA496" t="s">
        <v>336</v>
      </c>
      <c r="AB496" t="s">
        <v>1518</v>
      </c>
      <c r="AC496" t="s">
        <v>1519</v>
      </c>
      <c r="AD496" t="s">
        <v>1520</v>
      </c>
      <c r="AE496" s="7">
        <v>99000</v>
      </c>
      <c r="AF496" s="7">
        <v>1</v>
      </c>
      <c r="AG496" s="7">
        <v>99000</v>
      </c>
      <c r="AH496" s="7">
        <v>0</v>
      </c>
      <c r="AI496" s="7">
        <v>99000</v>
      </c>
      <c r="AJ496" t="s">
        <v>1519</v>
      </c>
    </row>
    <row r="497" spans="14:36" x14ac:dyDescent="0.3">
      <c r="N497" s="8">
        <v>2026</v>
      </c>
      <c r="O497" s="8">
        <v>6</v>
      </c>
      <c r="P497" s="9">
        <v>46198</v>
      </c>
      <c r="Q497" t="s">
        <v>238</v>
      </c>
      <c r="R497" t="s">
        <v>279</v>
      </c>
      <c r="S497" t="s">
        <v>280</v>
      </c>
      <c r="T497" t="s">
        <v>1624</v>
      </c>
      <c r="U497" t="s">
        <v>3900</v>
      </c>
      <c r="V497" t="s">
        <v>246</v>
      </c>
      <c r="W497" t="s">
        <v>244</v>
      </c>
      <c r="X497" t="s">
        <v>2915</v>
      </c>
      <c r="Y497" t="s">
        <v>191</v>
      </c>
      <c r="Z497" t="s">
        <v>335</v>
      </c>
      <c r="AA497" t="s">
        <v>336</v>
      </c>
      <c r="AB497" t="s">
        <v>1146</v>
      </c>
      <c r="AC497" t="s">
        <v>1147</v>
      </c>
      <c r="AD497" t="s">
        <v>1148</v>
      </c>
      <c r="AE497" s="7">
        <v>99000</v>
      </c>
      <c r="AF497" s="7">
        <v>1</v>
      </c>
      <c r="AG497" s="7">
        <v>99000</v>
      </c>
      <c r="AH497" s="7">
        <v>0</v>
      </c>
      <c r="AI497" s="7">
        <v>99000</v>
      </c>
      <c r="AJ497" t="s">
        <v>1147</v>
      </c>
    </row>
    <row r="498" spans="14:36" x14ac:dyDescent="0.3">
      <c r="N498" s="8">
        <v>2026</v>
      </c>
      <c r="O498" s="8">
        <v>6</v>
      </c>
      <c r="P498" s="9">
        <v>46198</v>
      </c>
      <c r="Q498" t="s">
        <v>238</v>
      </c>
      <c r="R498" t="s">
        <v>303</v>
      </c>
      <c r="S498" t="s">
        <v>304</v>
      </c>
      <c r="T498" t="s">
        <v>305</v>
      </c>
      <c r="U498" t="s">
        <v>306</v>
      </c>
      <c r="V498" t="s">
        <v>243</v>
      </c>
      <c r="W498" t="s">
        <v>244</v>
      </c>
      <c r="X498" t="s">
        <v>2916</v>
      </c>
      <c r="Y498" t="s">
        <v>194</v>
      </c>
      <c r="Z498" t="s">
        <v>200</v>
      </c>
      <c r="AA498" t="s">
        <v>201</v>
      </c>
      <c r="AB498" t="s">
        <v>83</v>
      </c>
      <c r="AC498" t="s">
        <v>81</v>
      </c>
      <c r="AD498" t="s">
        <v>82</v>
      </c>
      <c r="AE498" s="7">
        <v>46000</v>
      </c>
      <c r="AF498" s="7">
        <v>1</v>
      </c>
      <c r="AG498" s="7">
        <v>46000</v>
      </c>
      <c r="AH498" s="7">
        <v>0</v>
      </c>
      <c r="AI498" s="7">
        <v>46000</v>
      </c>
      <c r="AJ498" t="s">
        <v>81</v>
      </c>
    </row>
    <row r="499" spans="14:36" x14ac:dyDescent="0.3">
      <c r="N499" s="8">
        <v>2026</v>
      </c>
      <c r="O499" s="8">
        <v>6</v>
      </c>
      <c r="P499" s="9">
        <v>46198</v>
      </c>
      <c r="Q499" t="s">
        <v>238</v>
      </c>
      <c r="R499" t="s">
        <v>303</v>
      </c>
      <c r="S499" t="s">
        <v>304</v>
      </c>
      <c r="T499" t="s">
        <v>305</v>
      </c>
      <c r="U499" t="s">
        <v>306</v>
      </c>
      <c r="V499" t="s">
        <v>243</v>
      </c>
      <c r="W499" t="s">
        <v>244</v>
      </c>
      <c r="X499" t="s">
        <v>2916</v>
      </c>
      <c r="Y499" t="s">
        <v>194</v>
      </c>
      <c r="Z499" t="s">
        <v>200</v>
      </c>
      <c r="AA499" t="s">
        <v>201</v>
      </c>
      <c r="AB499" t="s">
        <v>89</v>
      </c>
      <c r="AC499" t="s">
        <v>87</v>
      </c>
      <c r="AD499" t="s">
        <v>88</v>
      </c>
      <c r="AE499" s="7">
        <v>46000</v>
      </c>
      <c r="AF499" s="7">
        <v>1</v>
      </c>
      <c r="AG499" s="7">
        <v>46000</v>
      </c>
      <c r="AH499" s="7">
        <v>0</v>
      </c>
      <c r="AI499" s="7">
        <v>46000</v>
      </c>
      <c r="AJ499" t="s">
        <v>87</v>
      </c>
    </row>
    <row r="500" spans="14:36" x14ac:dyDescent="0.3">
      <c r="N500" s="8">
        <v>2026</v>
      </c>
      <c r="O500" s="8">
        <v>6</v>
      </c>
      <c r="P500" s="9">
        <v>46198</v>
      </c>
      <c r="Q500" t="s">
        <v>238</v>
      </c>
      <c r="R500" t="s">
        <v>303</v>
      </c>
      <c r="S500" t="s">
        <v>304</v>
      </c>
      <c r="T500" t="s">
        <v>325</v>
      </c>
      <c r="U500" t="s">
        <v>326</v>
      </c>
      <c r="V500" t="s">
        <v>246</v>
      </c>
      <c r="W500" t="s">
        <v>244</v>
      </c>
      <c r="X500" t="s">
        <v>2917</v>
      </c>
      <c r="Y500" t="s">
        <v>194</v>
      </c>
      <c r="Z500" t="s">
        <v>200</v>
      </c>
      <c r="AA500" t="s">
        <v>201</v>
      </c>
      <c r="AB500" t="s">
        <v>89</v>
      </c>
      <c r="AC500" t="s">
        <v>87</v>
      </c>
      <c r="AD500" t="s">
        <v>88</v>
      </c>
      <c r="AE500" s="7">
        <v>46000</v>
      </c>
      <c r="AF500" s="7">
        <v>1</v>
      </c>
      <c r="AG500" s="7">
        <v>46000</v>
      </c>
      <c r="AH500" s="7">
        <v>0</v>
      </c>
      <c r="AI500" s="7">
        <v>46000</v>
      </c>
      <c r="AJ500" t="s">
        <v>87</v>
      </c>
    </row>
    <row r="501" spans="14:36" x14ac:dyDescent="0.3">
      <c r="N501" s="8">
        <v>2026</v>
      </c>
      <c r="O501" s="8">
        <v>6</v>
      </c>
      <c r="P501" s="9">
        <v>46198</v>
      </c>
      <c r="Q501" t="s">
        <v>238</v>
      </c>
      <c r="R501" t="s">
        <v>351</v>
      </c>
      <c r="S501" t="s">
        <v>352</v>
      </c>
      <c r="T501" t="s">
        <v>2919</v>
      </c>
      <c r="U501" t="s">
        <v>3901</v>
      </c>
      <c r="V501" t="s">
        <v>249</v>
      </c>
      <c r="W501" t="s">
        <v>244</v>
      </c>
      <c r="X501" t="s">
        <v>2920</v>
      </c>
      <c r="Y501" t="s">
        <v>191</v>
      </c>
      <c r="Z501" t="s">
        <v>192</v>
      </c>
      <c r="AA501" t="s">
        <v>193</v>
      </c>
      <c r="AB501" t="s">
        <v>113</v>
      </c>
      <c r="AC501" t="s">
        <v>111</v>
      </c>
      <c r="AD501" t="s">
        <v>112</v>
      </c>
      <c r="AE501" s="7">
        <v>235000</v>
      </c>
      <c r="AF501" s="7">
        <v>1</v>
      </c>
      <c r="AG501" s="7">
        <v>235000</v>
      </c>
      <c r="AH501" s="7">
        <v>0</v>
      </c>
      <c r="AI501" s="7">
        <v>235000</v>
      </c>
      <c r="AJ501" t="s">
        <v>111</v>
      </c>
    </row>
    <row r="502" spans="14:36" x14ac:dyDescent="0.3">
      <c r="N502" s="8">
        <v>2026</v>
      </c>
      <c r="O502" s="8">
        <v>6</v>
      </c>
      <c r="P502" s="9">
        <v>46198</v>
      </c>
      <c r="Q502" t="s">
        <v>238</v>
      </c>
      <c r="R502" t="s">
        <v>374</v>
      </c>
      <c r="S502" t="s">
        <v>375</v>
      </c>
      <c r="T502" t="s">
        <v>1499</v>
      </c>
      <c r="U502" t="s">
        <v>3868</v>
      </c>
      <c r="V502" t="s">
        <v>246</v>
      </c>
      <c r="W502" t="s">
        <v>244</v>
      </c>
      <c r="X502" t="s">
        <v>2921</v>
      </c>
      <c r="Y502" t="s">
        <v>183</v>
      </c>
      <c r="Z502" t="s">
        <v>189</v>
      </c>
      <c r="AA502" t="s">
        <v>190</v>
      </c>
      <c r="AB502" t="s">
        <v>92</v>
      </c>
      <c r="AC502" t="s">
        <v>90</v>
      </c>
      <c r="AD502" t="s">
        <v>91</v>
      </c>
      <c r="AE502" s="7">
        <v>52000</v>
      </c>
      <c r="AF502" s="7">
        <v>1</v>
      </c>
      <c r="AG502" s="7">
        <v>52000</v>
      </c>
      <c r="AH502" s="7">
        <v>0</v>
      </c>
      <c r="AI502" s="7">
        <v>52000</v>
      </c>
      <c r="AJ502" t="s">
        <v>90</v>
      </c>
    </row>
    <row r="503" spans="14:36" x14ac:dyDescent="0.3">
      <c r="N503" s="8">
        <v>2026</v>
      </c>
      <c r="O503" s="8">
        <v>6</v>
      </c>
      <c r="P503" s="9">
        <v>46198</v>
      </c>
      <c r="Q503" t="s">
        <v>238</v>
      </c>
      <c r="R503" t="s">
        <v>374</v>
      </c>
      <c r="S503" t="s">
        <v>375</v>
      </c>
      <c r="T503" t="s">
        <v>870</v>
      </c>
      <c r="U503" t="s">
        <v>871</v>
      </c>
      <c r="V503" t="s">
        <v>246</v>
      </c>
      <c r="W503" t="s">
        <v>244</v>
      </c>
      <c r="X503" t="s">
        <v>2922</v>
      </c>
      <c r="Y503" t="s">
        <v>191</v>
      </c>
      <c r="Z503" t="s">
        <v>335</v>
      </c>
      <c r="AA503" t="s">
        <v>337</v>
      </c>
      <c r="AB503" t="s">
        <v>719</v>
      </c>
      <c r="AC503" t="s">
        <v>720</v>
      </c>
      <c r="AD503" t="s">
        <v>721</v>
      </c>
      <c r="AE503" s="7">
        <v>104000</v>
      </c>
      <c r="AF503" s="7">
        <v>1</v>
      </c>
      <c r="AG503" s="7">
        <v>104000</v>
      </c>
      <c r="AH503" s="7">
        <v>31200</v>
      </c>
      <c r="AI503" s="7">
        <v>72800</v>
      </c>
      <c r="AJ503" t="s">
        <v>720</v>
      </c>
    </row>
    <row r="504" spans="14:36" x14ac:dyDescent="0.3">
      <c r="N504" s="8">
        <v>2026</v>
      </c>
      <c r="O504" s="8">
        <v>6</v>
      </c>
      <c r="P504" s="9">
        <v>46198</v>
      </c>
      <c r="Q504" t="s">
        <v>238</v>
      </c>
      <c r="R504" t="s">
        <v>374</v>
      </c>
      <c r="S504" t="s">
        <v>375</v>
      </c>
      <c r="T504" t="s">
        <v>2358</v>
      </c>
      <c r="U504" t="s">
        <v>3902</v>
      </c>
      <c r="V504" t="s">
        <v>246</v>
      </c>
      <c r="W504" t="s">
        <v>244</v>
      </c>
      <c r="X504" t="s">
        <v>2923</v>
      </c>
      <c r="Y504" t="s">
        <v>168</v>
      </c>
      <c r="Z504" t="s">
        <v>171</v>
      </c>
      <c r="AA504" t="s">
        <v>172</v>
      </c>
      <c r="AB504" t="s">
        <v>14</v>
      </c>
      <c r="AC504" t="s">
        <v>12</v>
      </c>
      <c r="AD504" t="s">
        <v>13</v>
      </c>
      <c r="AE504" s="7">
        <v>135000</v>
      </c>
      <c r="AF504" s="7">
        <v>1</v>
      </c>
      <c r="AG504" s="7">
        <v>135000</v>
      </c>
      <c r="AH504" s="7">
        <v>26000</v>
      </c>
      <c r="AI504" s="7">
        <v>109000</v>
      </c>
      <c r="AJ504" t="s">
        <v>12</v>
      </c>
    </row>
    <row r="505" spans="14:36" x14ac:dyDescent="0.3">
      <c r="N505" s="8">
        <v>2026</v>
      </c>
      <c r="O505" s="8">
        <v>6</v>
      </c>
      <c r="P505" s="9">
        <v>46198</v>
      </c>
      <c r="Q505" t="s">
        <v>238</v>
      </c>
      <c r="R505" t="s">
        <v>374</v>
      </c>
      <c r="S505" t="s">
        <v>375</v>
      </c>
      <c r="T505" t="s">
        <v>2317</v>
      </c>
      <c r="U505" t="s">
        <v>3889</v>
      </c>
      <c r="V505" t="s">
        <v>246</v>
      </c>
      <c r="W505" t="s">
        <v>244</v>
      </c>
      <c r="X505" t="s">
        <v>2924</v>
      </c>
      <c r="Y505" t="s">
        <v>191</v>
      </c>
      <c r="Z505" t="s">
        <v>335</v>
      </c>
      <c r="AA505" t="s">
        <v>336</v>
      </c>
      <c r="AB505" t="s">
        <v>1518</v>
      </c>
      <c r="AC505" t="s">
        <v>1519</v>
      </c>
      <c r="AD505" t="s">
        <v>1520</v>
      </c>
      <c r="AE505" s="7">
        <v>99000</v>
      </c>
      <c r="AF505" s="7">
        <v>1</v>
      </c>
      <c r="AG505" s="7">
        <v>99000</v>
      </c>
      <c r="AH505" s="7">
        <v>0</v>
      </c>
      <c r="AI505" s="7">
        <v>99000</v>
      </c>
      <c r="AJ505" t="s">
        <v>1519</v>
      </c>
    </row>
    <row r="506" spans="14:36" x14ac:dyDescent="0.3">
      <c r="N506" s="8">
        <v>2026</v>
      </c>
      <c r="O506" s="8">
        <v>6</v>
      </c>
      <c r="P506" s="9">
        <v>46198</v>
      </c>
      <c r="Q506" t="s">
        <v>238</v>
      </c>
      <c r="R506" t="s">
        <v>374</v>
      </c>
      <c r="S506" t="s">
        <v>375</v>
      </c>
      <c r="T506" t="s">
        <v>2317</v>
      </c>
      <c r="U506" t="s">
        <v>3889</v>
      </c>
      <c r="V506" t="s">
        <v>246</v>
      </c>
      <c r="W506" t="s">
        <v>244</v>
      </c>
      <c r="X506" t="s">
        <v>2924</v>
      </c>
      <c r="Y506" t="s">
        <v>191</v>
      </c>
      <c r="Z506" t="s">
        <v>335</v>
      </c>
      <c r="AA506" t="s">
        <v>336</v>
      </c>
      <c r="AB506" t="s">
        <v>2925</v>
      </c>
      <c r="AC506" t="s">
        <v>2926</v>
      </c>
      <c r="AD506" t="s">
        <v>2927</v>
      </c>
      <c r="AE506" s="7">
        <v>45000</v>
      </c>
      <c r="AF506" s="7">
        <v>2</v>
      </c>
      <c r="AG506" s="7">
        <v>90000</v>
      </c>
      <c r="AH506" s="7">
        <v>0</v>
      </c>
      <c r="AI506" s="7">
        <v>90000</v>
      </c>
      <c r="AJ506" t="s">
        <v>2926</v>
      </c>
    </row>
    <row r="507" spans="14:36" x14ac:dyDescent="0.3">
      <c r="N507" s="8">
        <v>2026</v>
      </c>
      <c r="O507" s="8">
        <v>6</v>
      </c>
      <c r="P507" s="9">
        <v>46198</v>
      </c>
      <c r="Q507" t="s">
        <v>238</v>
      </c>
      <c r="R507" t="s">
        <v>396</v>
      </c>
      <c r="S507" t="s">
        <v>397</v>
      </c>
      <c r="T507" t="s">
        <v>2802</v>
      </c>
      <c r="U507" t="s">
        <v>3903</v>
      </c>
      <c r="V507" t="s">
        <v>246</v>
      </c>
      <c r="W507" t="s">
        <v>244</v>
      </c>
      <c r="X507" t="s">
        <v>2928</v>
      </c>
      <c r="Y507" t="s">
        <v>191</v>
      </c>
      <c r="Z507" t="s">
        <v>335</v>
      </c>
      <c r="AA507" t="s">
        <v>336</v>
      </c>
      <c r="AB507" t="s">
        <v>1146</v>
      </c>
      <c r="AC507" t="s">
        <v>1147</v>
      </c>
      <c r="AD507" t="s">
        <v>1148</v>
      </c>
      <c r="AE507" s="7">
        <v>99000</v>
      </c>
      <c r="AF507" s="7">
        <v>1</v>
      </c>
      <c r="AG507" s="7">
        <v>99000</v>
      </c>
      <c r="AH507" s="7">
        <v>0</v>
      </c>
      <c r="AI507" s="7">
        <v>99000</v>
      </c>
      <c r="AJ507" t="s">
        <v>1147</v>
      </c>
    </row>
    <row r="508" spans="14:36" x14ac:dyDescent="0.3">
      <c r="N508" s="8">
        <v>2026</v>
      </c>
      <c r="O508" s="8">
        <v>6</v>
      </c>
      <c r="P508" s="9">
        <v>46198</v>
      </c>
      <c r="Q508" t="s">
        <v>238</v>
      </c>
      <c r="R508" t="s">
        <v>396</v>
      </c>
      <c r="S508" t="s">
        <v>397</v>
      </c>
      <c r="T508" t="s">
        <v>2929</v>
      </c>
      <c r="U508" t="s">
        <v>3904</v>
      </c>
      <c r="V508" t="s">
        <v>246</v>
      </c>
      <c r="W508" t="s">
        <v>244</v>
      </c>
      <c r="X508" t="s">
        <v>2930</v>
      </c>
      <c r="Y508" t="s">
        <v>168</v>
      </c>
      <c r="Z508" t="s">
        <v>169</v>
      </c>
      <c r="AA508" t="s">
        <v>170</v>
      </c>
      <c r="AB508" t="s">
        <v>5</v>
      </c>
      <c r="AC508" t="s">
        <v>3</v>
      </c>
      <c r="AD508" t="s">
        <v>4</v>
      </c>
      <c r="AE508" s="7">
        <v>435000</v>
      </c>
      <c r="AF508" s="7">
        <v>1</v>
      </c>
      <c r="AG508" s="7">
        <v>435000</v>
      </c>
      <c r="AH508" s="7">
        <v>0</v>
      </c>
      <c r="AI508" s="7">
        <v>435000</v>
      </c>
      <c r="AJ508" t="s">
        <v>3</v>
      </c>
    </row>
    <row r="509" spans="14:36" x14ac:dyDescent="0.3">
      <c r="N509" s="8">
        <v>2026</v>
      </c>
      <c r="O509" s="8">
        <v>6</v>
      </c>
      <c r="P509" s="9">
        <v>46198</v>
      </c>
      <c r="Q509" t="s">
        <v>238</v>
      </c>
      <c r="R509" t="s">
        <v>415</v>
      </c>
      <c r="S509" t="s">
        <v>416</v>
      </c>
      <c r="T509" t="s">
        <v>1645</v>
      </c>
      <c r="U509" t="s">
        <v>1646</v>
      </c>
      <c r="V509" t="s">
        <v>246</v>
      </c>
      <c r="W509" t="s">
        <v>244</v>
      </c>
      <c r="X509" t="s">
        <v>2931</v>
      </c>
      <c r="Y509" t="s">
        <v>194</v>
      </c>
      <c r="Z509" t="s">
        <v>200</v>
      </c>
      <c r="AA509" t="s">
        <v>201</v>
      </c>
      <c r="AB509" t="s">
        <v>77</v>
      </c>
      <c r="AC509" t="s">
        <v>75</v>
      </c>
      <c r="AD509" t="s">
        <v>76</v>
      </c>
      <c r="AE509" s="7">
        <v>52000</v>
      </c>
      <c r="AF509" s="7">
        <v>1</v>
      </c>
      <c r="AG509" s="7">
        <v>52000</v>
      </c>
      <c r="AH509" s="7">
        <v>0</v>
      </c>
      <c r="AI509" s="7">
        <v>52000</v>
      </c>
      <c r="AJ509" t="s">
        <v>75</v>
      </c>
    </row>
    <row r="510" spans="14:36" x14ac:dyDescent="0.3">
      <c r="N510" s="8">
        <v>2026</v>
      </c>
      <c r="O510" s="8">
        <v>6</v>
      </c>
      <c r="P510" s="9">
        <v>46198</v>
      </c>
      <c r="Q510" t="s">
        <v>238</v>
      </c>
      <c r="R510" t="s">
        <v>415</v>
      </c>
      <c r="S510" t="s">
        <v>416</v>
      </c>
      <c r="T510" t="s">
        <v>424</v>
      </c>
      <c r="U510" t="s">
        <v>3905</v>
      </c>
      <c r="V510" t="s">
        <v>246</v>
      </c>
      <c r="W510" t="s">
        <v>244</v>
      </c>
      <c r="X510" t="s">
        <v>2932</v>
      </c>
      <c r="Y510" t="s">
        <v>183</v>
      </c>
      <c r="Z510" t="s">
        <v>189</v>
      </c>
      <c r="AA510" t="s">
        <v>190</v>
      </c>
      <c r="AB510" t="s">
        <v>92</v>
      </c>
      <c r="AC510" t="s">
        <v>90</v>
      </c>
      <c r="AD510" t="s">
        <v>91</v>
      </c>
      <c r="AE510" s="7">
        <v>52000</v>
      </c>
      <c r="AF510" s="7">
        <v>2</v>
      </c>
      <c r="AG510" s="7">
        <v>104000</v>
      </c>
      <c r="AH510" s="7">
        <v>0</v>
      </c>
      <c r="AI510" s="7">
        <v>104000</v>
      </c>
      <c r="AJ510" t="s">
        <v>90</v>
      </c>
    </row>
    <row r="511" spans="14:36" x14ac:dyDescent="0.3">
      <c r="N511" s="8">
        <v>2026</v>
      </c>
      <c r="O511" s="8">
        <v>6</v>
      </c>
      <c r="P511" s="9">
        <v>46198</v>
      </c>
      <c r="Q511" t="s">
        <v>238</v>
      </c>
      <c r="R511" t="s">
        <v>425</v>
      </c>
      <c r="S511" t="s">
        <v>426</v>
      </c>
      <c r="T511" t="s">
        <v>2933</v>
      </c>
      <c r="U511" t="s">
        <v>3867</v>
      </c>
      <c r="V511" t="s">
        <v>249</v>
      </c>
      <c r="W511" t="s">
        <v>244</v>
      </c>
      <c r="X511" t="s">
        <v>2934</v>
      </c>
      <c r="Y511" t="s">
        <v>183</v>
      </c>
      <c r="Z511" t="s">
        <v>189</v>
      </c>
      <c r="AA511" t="s">
        <v>190</v>
      </c>
      <c r="AB511" t="s">
        <v>92</v>
      </c>
      <c r="AC511" t="s">
        <v>90</v>
      </c>
      <c r="AD511" t="s">
        <v>91</v>
      </c>
      <c r="AE511" s="7">
        <v>52000</v>
      </c>
      <c r="AF511" s="7">
        <v>1</v>
      </c>
      <c r="AG511" s="7">
        <v>52000</v>
      </c>
      <c r="AH511" s="7">
        <v>0</v>
      </c>
      <c r="AI511" s="7">
        <v>52000</v>
      </c>
      <c r="AJ511" t="s">
        <v>90</v>
      </c>
    </row>
    <row r="512" spans="14:36" x14ac:dyDescent="0.3">
      <c r="N512" s="8">
        <v>2026</v>
      </c>
      <c r="O512" s="8">
        <v>6</v>
      </c>
      <c r="P512" s="9">
        <v>46198</v>
      </c>
      <c r="Q512" t="s">
        <v>238</v>
      </c>
      <c r="R512" t="s">
        <v>425</v>
      </c>
      <c r="S512" t="s">
        <v>426</v>
      </c>
      <c r="T512" t="s">
        <v>1150</v>
      </c>
      <c r="U512" t="s">
        <v>1151</v>
      </c>
      <c r="V512" t="s">
        <v>246</v>
      </c>
      <c r="W512" t="s">
        <v>244</v>
      </c>
      <c r="X512" t="s">
        <v>2935</v>
      </c>
      <c r="Y512" t="s">
        <v>191</v>
      </c>
      <c r="Z512" t="s">
        <v>335</v>
      </c>
      <c r="AA512" t="s">
        <v>336</v>
      </c>
      <c r="AB512" t="s">
        <v>1284</v>
      </c>
      <c r="AC512" t="s">
        <v>1285</v>
      </c>
      <c r="AD512" t="s">
        <v>1286</v>
      </c>
      <c r="AE512" s="7">
        <v>99000</v>
      </c>
      <c r="AF512" s="7">
        <v>1</v>
      </c>
      <c r="AG512" s="7">
        <v>99000</v>
      </c>
      <c r="AH512" s="7">
        <v>0</v>
      </c>
      <c r="AI512" s="7">
        <v>99000</v>
      </c>
      <c r="AJ512" t="s">
        <v>1285</v>
      </c>
    </row>
    <row r="513" spans="14:36" x14ac:dyDescent="0.3">
      <c r="N513" s="8">
        <v>2026</v>
      </c>
      <c r="O513" s="8">
        <v>6</v>
      </c>
      <c r="P513" s="9">
        <v>46197</v>
      </c>
      <c r="Q513" t="s">
        <v>238</v>
      </c>
      <c r="R513" t="s">
        <v>239</v>
      </c>
      <c r="S513" t="s">
        <v>240</v>
      </c>
      <c r="T513" t="s">
        <v>241</v>
      </c>
      <c r="U513" t="s">
        <v>3655</v>
      </c>
      <c r="V513" t="s">
        <v>243</v>
      </c>
      <c r="W513" t="s">
        <v>244</v>
      </c>
      <c r="X513" t="s">
        <v>2936</v>
      </c>
      <c r="Y513" t="s">
        <v>191</v>
      </c>
      <c r="Z513" t="s">
        <v>335</v>
      </c>
      <c r="AA513" t="s">
        <v>337</v>
      </c>
      <c r="AB513" t="s">
        <v>656</v>
      </c>
      <c r="AC513" t="s">
        <v>657</v>
      </c>
      <c r="AD513" t="s">
        <v>658</v>
      </c>
      <c r="AE513" s="7">
        <v>35000</v>
      </c>
      <c r="AF513" s="7">
        <v>1</v>
      </c>
      <c r="AG513" s="7">
        <v>35000</v>
      </c>
      <c r="AH513" s="7">
        <v>0</v>
      </c>
      <c r="AI513" s="7">
        <v>35000</v>
      </c>
      <c r="AJ513" t="s">
        <v>657</v>
      </c>
    </row>
    <row r="514" spans="14:36" x14ac:dyDescent="0.3">
      <c r="N514" s="8">
        <v>2026</v>
      </c>
      <c r="O514" s="8">
        <v>6</v>
      </c>
      <c r="P514" s="9">
        <v>46197</v>
      </c>
      <c r="Q514" t="s">
        <v>238</v>
      </c>
      <c r="R514" t="s">
        <v>239</v>
      </c>
      <c r="S514" t="s">
        <v>240</v>
      </c>
      <c r="T514" t="s">
        <v>241</v>
      </c>
      <c r="U514" t="s">
        <v>3655</v>
      </c>
      <c r="V514" t="s">
        <v>243</v>
      </c>
      <c r="W514" t="s">
        <v>244</v>
      </c>
      <c r="X514" t="s">
        <v>2936</v>
      </c>
      <c r="Y514" t="s">
        <v>191</v>
      </c>
      <c r="Z514" t="s">
        <v>335</v>
      </c>
      <c r="AA514" t="s">
        <v>337</v>
      </c>
      <c r="AB514" t="s">
        <v>348</v>
      </c>
      <c r="AC514" t="s">
        <v>349</v>
      </c>
      <c r="AD514" t="s">
        <v>350</v>
      </c>
      <c r="AE514" s="7">
        <v>76000</v>
      </c>
      <c r="AF514" s="7">
        <v>1</v>
      </c>
      <c r="AG514" s="7">
        <v>76000</v>
      </c>
      <c r="AH514" s="7">
        <v>0</v>
      </c>
      <c r="AI514" s="7">
        <v>76000</v>
      </c>
      <c r="AJ514" t="s">
        <v>349</v>
      </c>
    </row>
    <row r="515" spans="14:36" x14ac:dyDescent="0.3">
      <c r="N515" s="8">
        <v>2026</v>
      </c>
      <c r="O515" s="8">
        <v>6</v>
      </c>
      <c r="P515" s="9">
        <v>46197</v>
      </c>
      <c r="Q515" t="s">
        <v>238</v>
      </c>
      <c r="R515" t="s">
        <v>239</v>
      </c>
      <c r="S515" t="s">
        <v>240</v>
      </c>
      <c r="T515" t="s">
        <v>1121</v>
      </c>
      <c r="U515" t="s">
        <v>3906</v>
      </c>
      <c r="V515" t="s">
        <v>246</v>
      </c>
      <c r="W515" t="s">
        <v>244</v>
      </c>
      <c r="X515" t="s">
        <v>2937</v>
      </c>
      <c r="Y515" t="s">
        <v>191</v>
      </c>
      <c r="Z515" t="s">
        <v>335</v>
      </c>
      <c r="AA515" t="s">
        <v>337</v>
      </c>
      <c r="AB515" t="s">
        <v>864</v>
      </c>
      <c r="AC515" t="s">
        <v>865</v>
      </c>
      <c r="AD515" t="s">
        <v>866</v>
      </c>
      <c r="AE515" s="7">
        <v>139000</v>
      </c>
      <c r="AF515" s="7">
        <v>1</v>
      </c>
      <c r="AG515" s="7">
        <v>139000</v>
      </c>
      <c r="AH515" s="7">
        <v>41700</v>
      </c>
      <c r="AI515" s="7">
        <v>97300</v>
      </c>
      <c r="AJ515" t="s">
        <v>865</v>
      </c>
    </row>
    <row r="516" spans="14:36" x14ac:dyDescent="0.3">
      <c r="N516" s="8">
        <v>2026</v>
      </c>
      <c r="O516" s="8">
        <v>6</v>
      </c>
      <c r="P516" s="9">
        <v>46197</v>
      </c>
      <c r="Q516" t="s">
        <v>238</v>
      </c>
      <c r="R516" t="s">
        <v>239</v>
      </c>
      <c r="S516" t="s">
        <v>240</v>
      </c>
      <c r="T516" t="s">
        <v>1252</v>
      </c>
      <c r="U516" t="s">
        <v>1253</v>
      </c>
      <c r="V516" t="s">
        <v>246</v>
      </c>
      <c r="W516" t="s">
        <v>244</v>
      </c>
      <c r="X516" t="s">
        <v>2938</v>
      </c>
      <c r="Y516" t="s">
        <v>191</v>
      </c>
      <c r="Z516" t="s">
        <v>335</v>
      </c>
      <c r="AA516" t="s">
        <v>336</v>
      </c>
      <c r="AB516" t="s">
        <v>1284</v>
      </c>
      <c r="AC516" t="s">
        <v>1285</v>
      </c>
      <c r="AD516" t="s">
        <v>1286</v>
      </c>
      <c r="AE516" s="7">
        <v>99000</v>
      </c>
      <c r="AF516" s="7">
        <v>1</v>
      </c>
      <c r="AG516" s="7">
        <v>99000</v>
      </c>
      <c r="AH516" s="7">
        <v>0</v>
      </c>
      <c r="AI516" s="7">
        <v>99000</v>
      </c>
      <c r="AJ516" t="s">
        <v>1285</v>
      </c>
    </row>
    <row r="517" spans="14:36" x14ac:dyDescent="0.3">
      <c r="N517" s="8">
        <v>2026</v>
      </c>
      <c r="O517" s="8">
        <v>6</v>
      </c>
      <c r="P517" s="9">
        <v>46197</v>
      </c>
      <c r="Q517" t="s">
        <v>238</v>
      </c>
      <c r="R517" t="s">
        <v>239</v>
      </c>
      <c r="S517" t="s">
        <v>240</v>
      </c>
      <c r="T517" t="s">
        <v>837</v>
      </c>
      <c r="U517" t="s">
        <v>838</v>
      </c>
      <c r="V517" t="s">
        <v>246</v>
      </c>
      <c r="W517" t="s">
        <v>244</v>
      </c>
      <c r="X517" t="s">
        <v>2939</v>
      </c>
      <c r="Y517" t="s">
        <v>191</v>
      </c>
      <c r="Z517" t="s">
        <v>335</v>
      </c>
      <c r="AA517" t="s">
        <v>336</v>
      </c>
      <c r="AB517" t="s">
        <v>1284</v>
      </c>
      <c r="AC517" t="s">
        <v>1285</v>
      </c>
      <c r="AD517" t="s">
        <v>1286</v>
      </c>
      <c r="AE517" s="7">
        <v>99000</v>
      </c>
      <c r="AF517" s="7">
        <v>1</v>
      </c>
      <c r="AG517" s="7">
        <v>99000</v>
      </c>
      <c r="AH517" s="7">
        <v>0</v>
      </c>
      <c r="AI517" s="7">
        <v>99000</v>
      </c>
      <c r="AJ517" t="s">
        <v>1285</v>
      </c>
    </row>
    <row r="518" spans="14:36" x14ac:dyDescent="0.3">
      <c r="N518" s="8">
        <v>2026</v>
      </c>
      <c r="O518" s="8">
        <v>6</v>
      </c>
      <c r="P518" s="9">
        <v>46197</v>
      </c>
      <c r="Q518" t="s">
        <v>238</v>
      </c>
      <c r="R518" t="s">
        <v>239</v>
      </c>
      <c r="S518" t="s">
        <v>240</v>
      </c>
      <c r="T518" t="s">
        <v>837</v>
      </c>
      <c r="U518" t="s">
        <v>838</v>
      </c>
      <c r="V518" t="s">
        <v>246</v>
      </c>
      <c r="W518" t="s">
        <v>244</v>
      </c>
      <c r="X518" t="s">
        <v>2939</v>
      </c>
      <c r="Y518" t="s">
        <v>191</v>
      </c>
      <c r="Z518" t="s">
        <v>335</v>
      </c>
      <c r="AA518" t="s">
        <v>336</v>
      </c>
      <c r="AB518" t="s">
        <v>1146</v>
      </c>
      <c r="AC518" t="s">
        <v>1147</v>
      </c>
      <c r="AD518" t="s">
        <v>1148</v>
      </c>
      <c r="AE518" s="7">
        <v>99000</v>
      </c>
      <c r="AF518" s="7">
        <v>1</v>
      </c>
      <c r="AG518" s="7">
        <v>99000</v>
      </c>
      <c r="AH518" s="7">
        <v>0</v>
      </c>
      <c r="AI518" s="7">
        <v>99000</v>
      </c>
      <c r="AJ518" t="s">
        <v>1147</v>
      </c>
    </row>
    <row r="519" spans="14:36" x14ac:dyDescent="0.3">
      <c r="N519" s="8">
        <v>2026</v>
      </c>
      <c r="O519" s="8">
        <v>6</v>
      </c>
      <c r="P519" s="9">
        <v>46197</v>
      </c>
      <c r="Q519" t="s">
        <v>238</v>
      </c>
      <c r="R519" t="s">
        <v>279</v>
      </c>
      <c r="S519" t="s">
        <v>280</v>
      </c>
      <c r="T519" t="s">
        <v>2940</v>
      </c>
      <c r="U519" t="s">
        <v>2941</v>
      </c>
      <c r="V519" t="s">
        <v>246</v>
      </c>
      <c r="W519" t="s">
        <v>244</v>
      </c>
      <c r="X519" t="s">
        <v>2942</v>
      </c>
      <c r="Y519" t="s">
        <v>191</v>
      </c>
      <c r="Z519" t="s">
        <v>192</v>
      </c>
      <c r="AA519" t="s">
        <v>193</v>
      </c>
      <c r="AB519" t="s">
        <v>107</v>
      </c>
      <c r="AC519" t="s">
        <v>105</v>
      </c>
      <c r="AD519" t="s">
        <v>106</v>
      </c>
      <c r="AE519" s="7">
        <v>235000</v>
      </c>
      <c r="AF519" s="7">
        <v>1</v>
      </c>
      <c r="AG519" s="7">
        <v>235000</v>
      </c>
      <c r="AH519" s="7">
        <v>0</v>
      </c>
      <c r="AI519" s="7">
        <v>235000</v>
      </c>
      <c r="AJ519" t="s">
        <v>105</v>
      </c>
    </row>
    <row r="520" spans="14:36" x14ac:dyDescent="0.3">
      <c r="N520" s="8">
        <v>2026</v>
      </c>
      <c r="O520" s="8">
        <v>6</v>
      </c>
      <c r="P520" s="9">
        <v>46197</v>
      </c>
      <c r="Q520" t="s">
        <v>238</v>
      </c>
      <c r="R520" t="s">
        <v>279</v>
      </c>
      <c r="S520" t="s">
        <v>280</v>
      </c>
      <c r="T520" t="s">
        <v>1689</v>
      </c>
      <c r="U520" t="s">
        <v>1690</v>
      </c>
      <c r="V520" t="s">
        <v>246</v>
      </c>
      <c r="W520" t="s">
        <v>244</v>
      </c>
      <c r="X520" t="s">
        <v>2943</v>
      </c>
      <c r="Y520" t="s">
        <v>191</v>
      </c>
      <c r="Z520" t="s">
        <v>335</v>
      </c>
      <c r="AA520" t="s">
        <v>337</v>
      </c>
      <c r="AB520" t="s">
        <v>348</v>
      </c>
      <c r="AC520" t="s">
        <v>349</v>
      </c>
      <c r="AD520" t="s">
        <v>350</v>
      </c>
      <c r="AE520" s="7">
        <v>76000</v>
      </c>
      <c r="AF520" s="7">
        <v>2</v>
      </c>
      <c r="AG520" s="7">
        <v>152000</v>
      </c>
      <c r="AH520" s="7">
        <v>0</v>
      </c>
      <c r="AI520" s="7">
        <v>152000</v>
      </c>
      <c r="AJ520" t="s">
        <v>349</v>
      </c>
    </row>
    <row r="521" spans="14:36" x14ac:dyDescent="0.3">
      <c r="N521" s="8">
        <v>2026</v>
      </c>
      <c r="O521" s="8">
        <v>6</v>
      </c>
      <c r="P521" s="9">
        <v>46197</v>
      </c>
      <c r="Q521" t="s">
        <v>238</v>
      </c>
      <c r="R521" t="s">
        <v>279</v>
      </c>
      <c r="S521" t="s">
        <v>280</v>
      </c>
      <c r="T521" t="s">
        <v>2944</v>
      </c>
      <c r="U521" t="s">
        <v>3907</v>
      </c>
      <c r="V521" t="s">
        <v>246</v>
      </c>
      <c r="W521" t="s">
        <v>244</v>
      </c>
      <c r="X521" t="s">
        <v>2945</v>
      </c>
      <c r="Y521" t="s">
        <v>191</v>
      </c>
      <c r="Z521" t="s">
        <v>192</v>
      </c>
      <c r="AA521" t="s">
        <v>193</v>
      </c>
      <c r="AB521" t="s">
        <v>116</v>
      </c>
      <c r="AC521" t="s">
        <v>114</v>
      </c>
      <c r="AD521" t="s">
        <v>115</v>
      </c>
      <c r="AE521" s="7">
        <v>235000</v>
      </c>
      <c r="AF521" s="7">
        <v>1</v>
      </c>
      <c r="AG521" s="7">
        <v>235000</v>
      </c>
      <c r="AH521" s="7">
        <v>0</v>
      </c>
      <c r="AI521" s="7">
        <v>235000</v>
      </c>
      <c r="AJ521" t="s">
        <v>114</v>
      </c>
    </row>
    <row r="522" spans="14:36" x14ac:dyDescent="0.3">
      <c r="N522" s="8">
        <v>2026</v>
      </c>
      <c r="O522" s="8">
        <v>6</v>
      </c>
      <c r="P522" s="9">
        <v>46197</v>
      </c>
      <c r="Q522" t="s">
        <v>238</v>
      </c>
      <c r="R522" t="s">
        <v>303</v>
      </c>
      <c r="S522" t="s">
        <v>304</v>
      </c>
      <c r="T522" t="s">
        <v>2946</v>
      </c>
      <c r="U522" t="s">
        <v>3886</v>
      </c>
      <c r="V522" t="s">
        <v>246</v>
      </c>
      <c r="W522" t="s">
        <v>244</v>
      </c>
      <c r="X522" t="s">
        <v>2947</v>
      </c>
      <c r="Y522" t="s">
        <v>168</v>
      </c>
      <c r="Z522" t="s">
        <v>171</v>
      </c>
      <c r="AA522" t="s">
        <v>173</v>
      </c>
      <c r="AB522" t="s">
        <v>29</v>
      </c>
      <c r="AC522" t="s">
        <v>27</v>
      </c>
      <c r="AD522" t="s">
        <v>28</v>
      </c>
      <c r="AE522" s="7">
        <v>575000</v>
      </c>
      <c r="AF522" s="7">
        <v>1</v>
      </c>
      <c r="AG522" s="7">
        <v>575000</v>
      </c>
      <c r="AH522" s="7">
        <v>46000</v>
      </c>
      <c r="AI522" s="7">
        <v>529000</v>
      </c>
      <c r="AJ522" t="s">
        <v>27</v>
      </c>
    </row>
    <row r="523" spans="14:36" x14ac:dyDescent="0.3">
      <c r="N523" s="8">
        <v>2026</v>
      </c>
      <c r="O523" s="8">
        <v>6</v>
      </c>
      <c r="P523" s="9">
        <v>46197</v>
      </c>
      <c r="Q523" t="s">
        <v>238</v>
      </c>
      <c r="R523" t="s">
        <v>351</v>
      </c>
      <c r="S523" t="s">
        <v>352</v>
      </c>
      <c r="T523" t="s">
        <v>2822</v>
      </c>
      <c r="U523" t="s">
        <v>936</v>
      </c>
      <c r="V523" t="s">
        <v>246</v>
      </c>
      <c r="W523" t="s">
        <v>244</v>
      </c>
      <c r="X523" t="s">
        <v>2948</v>
      </c>
      <c r="Y523" t="s">
        <v>191</v>
      </c>
      <c r="Z523" t="s">
        <v>335</v>
      </c>
      <c r="AA523" t="s">
        <v>336</v>
      </c>
      <c r="AB523" t="s">
        <v>1146</v>
      </c>
      <c r="AC523" t="s">
        <v>1147</v>
      </c>
      <c r="AD523" t="s">
        <v>1148</v>
      </c>
      <c r="AE523" s="7">
        <v>99000</v>
      </c>
      <c r="AF523" s="7">
        <v>1</v>
      </c>
      <c r="AG523" s="7">
        <v>99000</v>
      </c>
      <c r="AH523" s="7">
        <v>0</v>
      </c>
      <c r="AI523" s="7">
        <v>99000</v>
      </c>
      <c r="AJ523" t="s">
        <v>1147</v>
      </c>
    </row>
    <row r="524" spans="14:36" x14ac:dyDescent="0.3">
      <c r="N524" s="8">
        <v>2026</v>
      </c>
      <c r="O524" s="8">
        <v>6</v>
      </c>
      <c r="P524" s="9">
        <v>46197</v>
      </c>
      <c r="Q524" t="s">
        <v>238</v>
      </c>
      <c r="R524" t="s">
        <v>351</v>
      </c>
      <c r="S524" t="s">
        <v>352</v>
      </c>
      <c r="T524" t="s">
        <v>665</v>
      </c>
      <c r="U524" t="s">
        <v>666</v>
      </c>
      <c r="V524" t="s">
        <v>246</v>
      </c>
      <c r="W524" t="s">
        <v>244</v>
      </c>
      <c r="X524" t="s">
        <v>2949</v>
      </c>
      <c r="Y524" t="s">
        <v>191</v>
      </c>
      <c r="Z524" t="s">
        <v>335</v>
      </c>
      <c r="AA524" t="s">
        <v>336</v>
      </c>
      <c r="AB524" t="s">
        <v>1146</v>
      </c>
      <c r="AC524" t="s">
        <v>1147</v>
      </c>
      <c r="AD524" t="s">
        <v>1148</v>
      </c>
      <c r="AE524" s="7">
        <v>99000</v>
      </c>
      <c r="AF524" s="7">
        <v>1</v>
      </c>
      <c r="AG524" s="7">
        <v>99000</v>
      </c>
      <c r="AH524" s="7">
        <v>0</v>
      </c>
      <c r="AI524" s="7">
        <v>99000</v>
      </c>
      <c r="AJ524" t="s">
        <v>1147</v>
      </c>
    </row>
    <row r="525" spans="14:36" x14ac:dyDescent="0.3">
      <c r="N525" s="8">
        <v>2026</v>
      </c>
      <c r="O525" s="8">
        <v>6</v>
      </c>
      <c r="P525" s="9">
        <v>46197</v>
      </c>
      <c r="Q525" t="s">
        <v>238</v>
      </c>
      <c r="R525" t="s">
        <v>374</v>
      </c>
      <c r="S525" t="s">
        <v>375</v>
      </c>
      <c r="T525" t="s">
        <v>2950</v>
      </c>
      <c r="U525" t="s">
        <v>301</v>
      </c>
      <c r="V525" t="s">
        <v>246</v>
      </c>
      <c r="W525" t="s">
        <v>244</v>
      </c>
      <c r="X525" t="s">
        <v>2951</v>
      </c>
      <c r="Y525" t="s">
        <v>168</v>
      </c>
      <c r="Z525" t="s">
        <v>171</v>
      </c>
      <c r="AA525" t="s">
        <v>175</v>
      </c>
      <c r="AB525" t="s">
        <v>140</v>
      </c>
      <c r="AC525" t="s">
        <v>138</v>
      </c>
      <c r="AD525" t="s">
        <v>139</v>
      </c>
      <c r="AE525" s="7">
        <v>125000</v>
      </c>
      <c r="AF525" s="7">
        <v>1</v>
      </c>
      <c r="AG525" s="7">
        <v>125000</v>
      </c>
      <c r="AH525" s="7">
        <v>12500</v>
      </c>
      <c r="AI525" s="7">
        <v>112500</v>
      </c>
      <c r="AJ525" t="s">
        <v>138</v>
      </c>
    </row>
    <row r="526" spans="14:36" x14ac:dyDescent="0.3">
      <c r="N526" s="8">
        <v>2026</v>
      </c>
      <c r="O526" s="8">
        <v>6</v>
      </c>
      <c r="P526" s="9">
        <v>46197</v>
      </c>
      <c r="Q526" t="s">
        <v>238</v>
      </c>
      <c r="R526" t="s">
        <v>374</v>
      </c>
      <c r="S526" t="s">
        <v>375</v>
      </c>
      <c r="T526" t="s">
        <v>2952</v>
      </c>
      <c r="U526" t="s">
        <v>3887</v>
      </c>
      <c r="V526" t="s">
        <v>249</v>
      </c>
      <c r="W526" t="s">
        <v>244</v>
      </c>
      <c r="X526" t="s">
        <v>2953</v>
      </c>
      <c r="Y526" t="s">
        <v>168</v>
      </c>
      <c r="Z526" t="s">
        <v>171</v>
      </c>
      <c r="AA526" t="s">
        <v>175</v>
      </c>
      <c r="AB526" t="s">
        <v>44</v>
      </c>
      <c r="AC526" t="s">
        <v>42</v>
      </c>
      <c r="AD526" t="s">
        <v>43</v>
      </c>
      <c r="AE526" s="7">
        <v>294000</v>
      </c>
      <c r="AF526" s="7">
        <v>1</v>
      </c>
      <c r="AG526" s="7">
        <v>294000</v>
      </c>
      <c r="AH526" s="7">
        <v>117600</v>
      </c>
      <c r="AI526" s="7">
        <v>176400</v>
      </c>
      <c r="AJ526" t="s">
        <v>42</v>
      </c>
    </row>
    <row r="527" spans="14:36" x14ac:dyDescent="0.3">
      <c r="N527" s="8">
        <v>2026</v>
      </c>
      <c r="O527" s="8">
        <v>6</v>
      </c>
      <c r="P527" s="9">
        <v>46197</v>
      </c>
      <c r="Q527" t="s">
        <v>238</v>
      </c>
      <c r="R527" t="s">
        <v>374</v>
      </c>
      <c r="S527" t="s">
        <v>375</v>
      </c>
      <c r="T527" t="s">
        <v>1432</v>
      </c>
      <c r="U527" t="s">
        <v>1433</v>
      </c>
      <c r="V527" t="s">
        <v>246</v>
      </c>
      <c r="W527" t="s">
        <v>244</v>
      </c>
      <c r="X527" t="s">
        <v>2954</v>
      </c>
      <c r="Y527" t="s">
        <v>168</v>
      </c>
      <c r="Z527" t="s">
        <v>171</v>
      </c>
      <c r="AA527" t="s">
        <v>175</v>
      </c>
      <c r="AB527" t="s">
        <v>137</v>
      </c>
      <c r="AC527" t="s">
        <v>135</v>
      </c>
      <c r="AD527" t="s">
        <v>136</v>
      </c>
      <c r="AE527" s="7">
        <v>100000</v>
      </c>
      <c r="AF527" s="7">
        <v>1</v>
      </c>
      <c r="AG527" s="7">
        <v>100000</v>
      </c>
      <c r="AH527" s="7">
        <v>10000</v>
      </c>
      <c r="AI527" s="7">
        <v>90000</v>
      </c>
      <c r="AJ527" t="s">
        <v>135</v>
      </c>
    </row>
    <row r="528" spans="14:36" x14ac:dyDescent="0.3">
      <c r="N528" s="8">
        <v>2026</v>
      </c>
      <c r="O528" s="8">
        <v>6</v>
      </c>
      <c r="P528" s="9">
        <v>46197</v>
      </c>
      <c r="Q528" t="s">
        <v>238</v>
      </c>
      <c r="R528" t="s">
        <v>396</v>
      </c>
      <c r="S528" t="s">
        <v>397</v>
      </c>
      <c r="T528" t="s">
        <v>398</v>
      </c>
      <c r="U528" t="s">
        <v>399</v>
      </c>
      <c r="V528" t="s">
        <v>243</v>
      </c>
      <c r="W528" t="s">
        <v>244</v>
      </c>
      <c r="X528" t="s">
        <v>2955</v>
      </c>
      <c r="Y528" t="s">
        <v>191</v>
      </c>
      <c r="Z528" t="s">
        <v>192</v>
      </c>
      <c r="AA528" t="s">
        <v>193</v>
      </c>
      <c r="AB528" t="s">
        <v>110</v>
      </c>
      <c r="AC528" t="s">
        <v>108</v>
      </c>
      <c r="AD528" t="s">
        <v>109</v>
      </c>
      <c r="AE528" s="7">
        <v>235000</v>
      </c>
      <c r="AF528" s="7">
        <v>1</v>
      </c>
      <c r="AG528" s="7">
        <v>235000</v>
      </c>
      <c r="AH528" s="7">
        <v>0</v>
      </c>
      <c r="AI528" s="7">
        <v>235000</v>
      </c>
      <c r="AJ528" t="s">
        <v>108</v>
      </c>
    </row>
    <row r="529" spans="14:36" x14ac:dyDescent="0.3">
      <c r="N529" s="8">
        <v>2026</v>
      </c>
      <c r="O529" s="8">
        <v>6</v>
      </c>
      <c r="P529" s="9">
        <v>46197</v>
      </c>
      <c r="Q529" t="s">
        <v>238</v>
      </c>
      <c r="R529" t="s">
        <v>396</v>
      </c>
      <c r="S529" t="s">
        <v>397</v>
      </c>
      <c r="T529" t="s">
        <v>398</v>
      </c>
      <c r="U529" t="s">
        <v>399</v>
      </c>
      <c r="V529" t="s">
        <v>243</v>
      </c>
      <c r="W529" t="s">
        <v>244</v>
      </c>
      <c r="X529" t="s">
        <v>2955</v>
      </c>
      <c r="Y529" t="s">
        <v>191</v>
      </c>
      <c r="Z529" t="s">
        <v>192</v>
      </c>
      <c r="AA529" t="s">
        <v>193</v>
      </c>
      <c r="AB529" t="s">
        <v>107</v>
      </c>
      <c r="AC529" t="s">
        <v>105</v>
      </c>
      <c r="AD529" t="s">
        <v>106</v>
      </c>
      <c r="AE529" s="7">
        <v>235000</v>
      </c>
      <c r="AF529" s="7">
        <v>1</v>
      </c>
      <c r="AG529" s="7">
        <v>235000</v>
      </c>
      <c r="AH529" s="7">
        <v>0</v>
      </c>
      <c r="AI529" s="7">
        <v>235000</v>
      </c>
      <c r="AJ529" t="s">
        <v>105</v>
      </c>
    </row>
    <row r="530" spans="14:36" x14ac:dyDescent="0.3">
      <c r="N530" s="8">
        <v>2026</v>
      </c>
      <c r="O530" s="8">
        <v>6</v>
      </c>
      <c r="P530" s="9">
        <v>46197</v>
      </c>
      <c r="Q530" t="s">
        <v>238</v>
      </c>
      <c r="R530" t="s">
        <v>415</v>
      </c>
      <c r="S530" t="s">
        <v>416</v>
      </c>
      <c r="T530" t="s">
        <v>2958</v>
      </c>
      <c r="U530" t="s">
        <v>422</v>
      </c>
      <c r="V530" t="s">
        <v>246</v>
      </c>
      <c r="W530" t="s">
        <v>244</v>
      </c>
      <c r="X530" t="s">
        <v>2959</v>
      </c>
      <c r="Y530" t="s">
        <v>191</v>
      </c>
      <c r="Z530" t="s">
        <v>335</v>
      </c>
      <c r="AA530" t="s">
        <v>336</v>
      </c>
      <c r="AB530" t="s">
        <v>1518</v>
      </c>
      <c r="AC530" t="s">
        <v>1519</v>
      </c>
      <c r="AD530" t="s">
        <v>1520</v>
      </c>
      <c r="AE530" s="7">
        <v>99000</v>
      </c>
      <c r="AF530" s="7">
        <v>1</v>
      </c>
      <c r="AG530" s="7">
        <v>99000</v>
      </c>
      <c r="AH530" s="7">
        <v>0</v>
      </c>
      <c r="AI530" s="7">
        <v>99000</v>
      </c>
      <c r="AJ530" t="s">
        <v>1519</v>
      </c>
    </row>
    <row r="531" spans="14:36" x14ac:dyDescent="0.3">
      <c r="N531" s="8">
        <v>2026</v>
      </c>
      <c r="O531" s="8">
        <v>6</v>
      </c>
      <c r="P531" s="9">
        <v>46197</v>
      </c>
      <c r="Q531" t="s">
        <v>238</v>
      </c>
      <c r="R531" t="s">
        <v>415</v>
      </c>
      <c r="S531" t="s">
        <v>416</v>
      </c>
      <c r="T531" t="s">
        <v>2780</v>
      </c>
      <c r="U531" t="s">
        <v>3908</v>
      </c>
      <c r="V531" t="s">
        <v>246</v>
      </c>
      <c r="W531" t="s">
        <v>244</v>
      </c>
      <c r="X531" t="s">
        <v>2960</v>
      </c>
      <c r="Y531" t="s">
        <v>194</v>
      </c>
      <c r="Z531" t="s">
        <v>200</v>
      </c>
      <c r="AA531" t="s">
        <v>201</v>
      </c>
      <c r="AB531" t="s">
        <v>77</v>
      </c>
      <c r="AC531" t="s">
        <v>75</v>
      </c>
      <c r="AD531" t="s">
        <v>76</v>
      </c>
      <c r="AE531" s="7">
        <v>52000</v>
      </c>
      <c r="AF531" s="7">
        <v>1</v>
      </c>
      <c r="AG531" s="7">
        <v>52000</v>
      </c>
      <c r="AH531" s="7">
        <v>0</v>
      </c>
      <c r="AI531" s="7">
        <v>52000</v>
      </c>
      <c r="AJ531" t="s">
        <v>75</v>
      </c>
    </row>
    <row r="532" spans="14:36" x14ac:dyDescent="0.3">
      <c r="N532" s="8">
        <v>2026</v>
      </c>
      <c r="O532" s="8">
        <v>6</v>
      </c>
      <c r="P532" s="9">
        <v>46197</v>
      </c>
      <c r="Q532" t="s">
        <v>238</v>
      </c>
      <c r="R532" t="s">
        <v>425</v>
      </c>
      <c r="S532" t="s">
        <v>426</v>
      </c>
      <c r="T532" t="s">
        <v>2961</v>
      </c>
      <c r="U532" t="s">
        <v>3888</v>
      </c>
      <c r="V532" t="s">
        <v>246</v>
      </c>
      <c r="W532" t="s">
        <v>244</v>
      </c>
      <c r="X532" t="s">
        <v>2962</v>
      </c>
      <c r="Y532" t="s">
        <v>191</v>
      </c>
      <c r="Z532" t="s">
        <v>335</v>
      </c>
      <c r="AA532" t="s">
        <v>336</v>
      </c>
      <c r="AB532" t="s">
        <v>1284</v>
      </c>
      <c r="AC532" t="s">
        <v>1285</v>
      </c>
      <c r="AD532" t="s">
        <v>1286</v>
      </c>
      <c r="AE532" s="7">
        <v>99000</v>
      </c>
      <c r="AF532" s="7">
        <v>1</v>
      </c>
      <c r="AG532" s="7">
        <v>99000</v>
      </c>
      <c r="AH532" s="7">
        <v>0</v>
      </c>
      <c r="AI532" s="7">
        <v>99000</v>
      </c>
      <c r="AJ532" t="s">
        <v>1285</v>
      </c>
    </row>
    <row r="533" spans="14:36" x14ac:dyDescent="0.3">
      <c r="N533" s="8">
        <v>2026</v>
      </c>
      <c r="O533" s="8">
        <v>6</v>
      </c>
      <c r="P533" s="9">
        <v>46196</v>
      </c>
      <c r="Q533" t="s">
        <v>238</v>
      </c>
      <c r="R533" t="s">
        <v>239</v>
      </c>
      <c r="S533" t="s">
        <v>240</v>
      </c>
      <c r="T533" t="s">
        <v>254</v>
      </c>
      <c r="U533" t="s">
        <v>255</v>
      </c>
      <c r="V533" t="s">
        <v>246</v>
      </c>
      <c r="W533" t="s">
        <v>244</v>
      </c>
      <c r="X533" t="s">
        <v>2963</v>
      </c>
      <c r="Y533" t="s">
        <v>191</v>
      </c>
      <c r="Z533" t="s">
        <v>335</v>
      </c>
      <c r="AA533" t="s">
        <v>336</v>
      </c>
      <c r="AB533" t="s">
        <v>1146</v>
      </c>
      <c r="AC533" t="s">
        <v>1147</v>
      </c>
      <c r="AD533" t="s">
        <v>1148</v>
      </c>
      <c r="AE533" s="7">
        <v>99000</v>
      </c>
      <c r="AF533" s="7">
        <v>1</v>
      </c>
      <c r="AG533" s="7">
        <v>99000</v>
      </c>
      <c r="AH533" s="7">
        <v>0</v>
      </c>
      <c r="AI533" s="7">
        <v>99000</v>
      </c>
      <c r="AJ533" t="s">
        <v>1147</v>
      </c>
    </row>
    <row r="534" spans="14:36" x14ac:dyDescent="0.3">
      <c r="N534" s="8">
        <v>2026</v>
      </c>
      <c r="O534" s="8">
        <v>6</v>
      </c>
      <c r="P534" s="9">
        <v>46196</v>
      </c>
      <c r="Q534" t="s">
        <v>238</v>
      </c>
      <c r="R534" t="s">
        <v>279</v>
      </c>
      <c r="S534" t="s">
        <v>280</v>
      </c>
      <c r="T534" t="s">
        <v>2964</v>
      </c>
      <c r="U534" t="s">
        <v>3586</v>
      </c>
      <c r="V534" t="s">
        <v>246</v>
      </c>
      <c r="W534" t="s">
        <v>244</v>
      </c>
      <c r="X534" t="s">
        <v>2965</v>
      </c>
      <c r="Y534" t="s">
        <v>191</v>
      </c>
      <c r="Z534" t="s">
        <v>335</v>
      </c>
      <c r="AA534" t="s">
        <v>336</v>
      </c>
      <c r="AB534" t="s">
        <v>1284</v>
      </c>
      <c r="AC534" t="s">
        <v>1285</v>
      </c>
      <c r="AD534" t="s">
        <v>1286</v>
      </c>
      <c r="AE534" s="7">
        <v>99000</v>
      </c>
      <c r="AF534" s="7">
        <v>1</v>
      </c>
      <c r="AG534" s="7">
        <v>99000</v>
      </c>
      <c r="AH534" s="7">
        <v>0</v>
      </c>
      <c r="AI534" s="7">
        <v>99000</v>
      </c>
      <c r="AJ534" t="s">
        <v>1285</v>
      </c>
    </row>
    <row r="535" spans="14:36" x14ac:dyDescent="0.3">
      <c r="N535" s="8">
        <v>2026</v>
      </c>
      <c r="O535" s="8">
        <v>6</v>
      </c>
      <c r="P535" s="9">
        <v>46196</v>
      </c>
      <c r="Q535" t="s">
        <v>238</v>
      </c>
      <c r="R535" t="s">
        <v>279</v>
      </c>
      <c r="S535" t="s">
        <v>280</v>
      </c>
      <c r="T535" t="s">
        <v>2966</v>
      </c>
      <c r="U535" t="s">
        <v>3909</v>
      </c>
      <c r="V535" t="s">
        <v>246</v>
      </c>
      <c r="W535" t="s">
        <v>244</v>
      </c>
      <c r="X535" t="s">
        <v>2967</v>
      </c>
      <c r="Y535" t="s">
        <v>191</v>
      </c>
      <c r="Z535" t="s">
        <v>335</v>
      </c>
      <c r="AA535" t="s">
        <v>336</v>
      </c>
      <c r="AB535" t="s">
        <v>1146</v>
      </c>
      <c r="AC535" t="s">
        <v>1147</v>
      </c>
      <c r="AD535" t="s">
        <v>1148</v>
      </c>
      <c r="AE535" s="7">
        <v>99000</v>
      </c>
      <c r="AF535" s="7">
        <v>1</v>
      </c>
      <c r="AG535" s="7">
        <v>99000</v>
      </c>
      <c r="AH535" s="7">
        <v>0</v>
      </c>
      <c r="AI535" s="7">
        <v>99000</v>
      </c>
      <c r="AJ535" t="s">
        <v>1147</v>
      </c>
    </row>
    <row r="536" spans="14:36" x14ac:dyDescent="0.3">
      <c r="N536" s="8">
        <v>2026</v>
      </c>
      <c r="O536" s="8">
        <v>6</v>
      </c>
      <c r="P536" s="9">
        <v>46196</v>
      </c>
      <c r="Q536" t="s">
        <v>238</v>
      </c>
      <c r="R536" t="s">
        <v>303</v>
      </c>
      <c r="S536" t="s">
        <v>304</v>
      </c>
      <c r="T536" t="s">
        <v>2969</v>
      </c>
      <c r="U536" t="s">
        <v>2970</v>
      </c>
      <c r="V536" t="s">
        <v>246</v>
      </c>
      <c r="W536" t="s">
        <v>244</v>
      </c>
      <c r="X536" t="s">
        <v>2971</v>
      </c>
      <c r="Y536" t="s">
        <v>168</v>
      </c>
      <c r="Z536" t="s">
        <v>171</v>
      </c>
      <c r="AA536" t="s">
        <v>173</v>
      </c>
      <c r="AB536" t="s">
        <v>29</v>
      </c>
      <c r="AC536" t="s">
        <v>27</v>
      </c>
      <c r="AD536" t="s">
        <v>28</v>
      </c>
      <c r="AE536" s="7">
        <v>575000</v>
      </c>
      <c r="AF536" s="7">
        <v>1</v>
      </c>
      <c r="AG536" s="7">
        <v>575000</v>
      </c>
      <c r="AH536" s="7">
        <v>46000</v>
      </c>
      <c r="AI536" s="7">
        <v>529000</v>
      </c>
      <c r="AJ536" t="s">
        <v>27</v>
      </c>
    </row>
    <row r="537" spans="14:36" x14ac:dyDescent="0.3">
      <c r="N537" s="8">
        <v>2026</v>
      </c>
      <c r="O537" s="8">
        <v>6</v>
      </c>
      <c r="P537" s="9">
        <v>46196</v>
      </c>
      <c r="Q537" t="s">
        <v>238</v>
      </c>
      <c r="R537" t="s">
        <v>351</v>
      </c>
      <c r="S537" t="s">
        <v>352</v>
      </c>
      <c r="T537" t="s">
        <v>356</v>
      </c>
      <c r="U537" t="s">
        <v>357</v>
      </c>
      <c r="V537" t="s">
        <v>243</v>
      </c>
      <c r="W537" t="s">
        <v>244</v>
      </c>
      <c r="X537" t="s">
        <v>2972</v>
      </c>
      <c r="Y537" t="s">
        <v>194</v>
      </c>
      <c r="Z537" t="s">
        <v>200</v>
      </c>
      <c r="AA537" t="s">
        <v>201</v>
      </c>
      <c r="AB537" t="s">
        <v>89</v>
      </c>
      <c r="AC537" t="s">
        <v>87</v>
      </c>
      <c r="AD537" t="s">
        <v>88</v>
      </c>
      <c r="AE537" s="7">
        <v>46000</v>
      </c>
      <c r="AF537" s="7">
        <v>1</v>
      </c>
      <c r="AG537" s="7">
        <v>46000</v>
      </c>
      <c r="AH537" s="7">
        <v>0</v>
      </c>
      <c r="AI537" s="7">
        <v>46000</v>
      </c>
      <c r="AJ537" t="s">
        <v>87</v>
      </c>
    </row>
    <row r="538" spans="14:36" x14ac:dyDescent="0.3">
      <c r="N538" s="8">
        <v>2026</v>
      </c>
      <c r="O538" s="8">
        <v>6</v>
      </c>
      <c r="P538" s="9">
        <v>46196</v>
      </c>
      <c r="Q538" t="s">
        <v>238</v>
      </c>
      <c r="R538" t="s">
        <v>374</v>
      </c>
      <c r="S538" t="s">
        <v>375</v>
      </c>
      <c r="T538" t="s">
        <v>2973</v>
      </c>
      <c r="U538" t="s">
        <v>328</v>
      </c>
      <c r="V538" t="s">
        <v>246</v>
      </c>
      <c r="W538" t="s">
        <v>244</v>
      </c>
      <c r="X538" t="s">
        <v>2974</v>
      </c>
      <c r="Y538" t="s">
        <v>168</v>
      </c>
      <c r="Z538" t="s">
        <v>171</v>
      </c>
      <c r="AA538" t="s">
        <v>172</v>
      </c>
      <c r="AB538" t="s">
        <v>14</v>
      </c>
      <c r="AC538" t="s">
        <v>12</v>
      </c>
      <c r="AD538" t="s">
        <v>13</v>
      </c>
      <c r="AE538" s="7">
        <v>135000</v>
      </c>
      <c r="AF538" s="7">
        <v>1</v>
      </c>
      <c r="AG538" s="7">
        <v>135000</v>
      </c>
      <c r="AH538" s="7">
        <v>26000</v>
      </c>
      <c r="AI538" s="7">
        <v>109000</v>
      </c>
      <c r="AJ538" t="s">
        <v>12</v>
      </c>
    </row>
    <row r="539" spans="14:36" x14ac:dyDescent="0.3">
      <c r="N539" s="8">
        <v>2026</v>
      </c>
      <c r="O539" s="8">
        <v>6</v>
      </c>
      <c r="P539" s="9">
        <v>46196</v>
      </c>
      <c r="Q539" t="s">
        <v>238</v>
      </c>
      <c r="R539" t="s">
        <v>396</v>
      </c>
      <c r="S539" t="s">
        <v>397</v>
      </c>
      <c r="T539" t="s">
        <v>2975</v>
      </c>
      <c r="U539" t="s">
        <v>3910</v>
      </c>
      <c r="V539" t="s">
        <v>249</v>
      </c>
      <c r="W539" t="s">
        <v>244</v>
      </c>
      <c r="X539" t="s">
        <v>2976</v>
      </c>
      <c r="Y539" t="s">
        <v>191</v>
      </c>
      <c r="Z539" t="s">
        <v>335</v>
      </c>
      <c r="AA539" t="s">
        <v>336</v>
      </c>
      <c r="AB539" t="s">
        <v>1284</v>
      </c>
      <c r="AC539" t="s">
        <v>1285</v>
      </c>
      <c r="AD539" t="s">
        <v>1286</v>
      </c>
      <c r="AE539" s="7">
        <v>99000</v>
      </c>
      <c r="AF539" s="7">
        <v>1</v>
      </c>
      <c r="AG539" s="7">
        <v>99000</v>
      </c>
      <c r="AH539" s="7">
        <v>0</v>
      </c>
      <c r="AI539" s="7">
        <v>99000</v>
      </c>
      <c r="AJ539" t="s">
        <v>1285</v>
      </c>
    </row>
    <row r="540" spans="14:36" x14ac:dyDescent="0.3">
      <c r="N540" s="8">
        <v>2026</v>
      </c>
      <c r="O540" s="8">
        <v>6</v>
      </c>
      <c r="P540" s="9">
        <v>46196</v>
      </c>
      <c r="Q540" t="s">
        <v>238</v>
      </c>
      <c r="R540" t="s">
        <v>396</v>
      </c>
      <c r="S540" t="s">
        <v>397</v>
      </c>
      <c r="T540" t="s">
        <v>1322</v>
      </c>
      <c r="U540" t="s">
        <v>3911</v>
      </c>
      <c r="V540" t="s">
        <v>246</v>
      </c>
      <c r="W540" t="s">
        <v>244</v>
      </c>
      <c r="X540" t="s">
        <v>2977</v>
      </c>
      <c r="Y540" t="s">
        <v>191</v>
      </c>
      <c r="Z540" t="s">
        <v>335</v>
      </c>
      <c r="AA540" t="s">
        <v>336</v>
      </c>
      <c r="AB540" t="s">
        <v>1146</v>
      </c>
      <c r="AC540" t="s">
        <v>1147</v>
      </c>
      <c r="AD540" t="s">
        <v>1148</v>
      </c>
      <c r="AE540" s="7">
        <v>99000</v>
      </c>
      <c r="AF540" s="7">
        <v>1</v>
      </c>
      <c r="AG540" s="7">
        <v>99000</v>
      </c>
      <c r="AH540" s="7">
        <v>0</v>
      </c>
      <c r="AI540" s="7">
        <v>99000</v>
      </c>
      <c r="AJ540" t="s">
        <v>1147</v>
      </c>
    </row>
    <row r="541" spans="14:36" x14ac:dyDescent="0.3">
      <c r="N541" s="8">
        <v>2026</v>
      </c>
      <c r="O541" s="8">
        <v>6</v>
      </c>
      <c r="P541" s="9">
        <v>46196</v>
      </c>
      <c r="Q541" t="s">
        <v>238</v>
      </c>
      <c r="R541" t="s">
        <v>415</v>
      </c>
      <c r="S541" t="s">
        <v>416</v>
      </c>
      <c r="T541" t="s">
        <v>417</v>
      </c>
      <c r="U541" t="s">
        <v>418</v>
      </c>
      <c r="V541" t="s">
        <v>243</v>
      </c>
      <c r="W541" t="s">
        <v>244</v>
      </c>
      <c r="X541" t="s">
        <v>2978</v>
      </c>
      <c r="Y541" t="s">
        <v>168</v>
      </c>
      <c r="Z541" t="s">
        <v>179</v>
      </c>
      <c r="AA541" t="s">
        <v>180</v>
      </c>
      <c r="AB541" t="s">
        <v>143</v>
      </c>
      <c r="AC541" t="s">
        <v>141</v>
      </c>
      <c r="AD541" t="s">
        <v>142</v>
      </c>
      <c r="AE541" s="7">
        <v>150000</v>
      </c>
      <c r="AF541" s="7">
        <v>1</v>
      </c>
      <c r="AG541" s="7">
        <v>150000</v>
      </c>
      <c r="AH541" s="7">
        <v>15000</v>
      </c>
      <c r="AI541" s="7">
        <v>135000</v>
      </c>
      <c r="AJ541" t="s">
        <v>141</v>
      </c>
    </row>
    <row r="542" spans="14:36" x14ac:dyDescent="0.3">
      <c r="N542" s="8">
        <v>2026</v>
      </c>
      <c r="O542" s="8">
        <v>6</v>
      </c>
      <c r="P542" s="9">
        <v>46196</v>
      </c>
      <c r="Q542" t="s">
        <v>238</v>
      </c>
      <c r="R542" t="s">
        <v>425</v>
      </c>
      <c r="S542" t="s">
        <v>426</v>
      </c>
      <c r="T542" t="s">
        <v>1590</v>
      </c>
      <c r="U542" t="s">
        <v>601</v>
      </c>
      <c r="V542" t="s">
        <v>246</v>
      </c>
      <c r="W542" t="s">
        <v>244</v>
      </c>
      <c r="X542" t="s">
        <v>2979</v>
      </c>
      <c r="Y542" t="s">
        <v>194</v>
      </c>
      <c r="Z542" t="s">
        <v>195</v>
      </c>
      <c r="AA542" t="s">
        <v>196</v>
      </c>
      <c r="AB542" t="s">
        <v>71</v>
      </c>
      <c r="AC542" t="s">
        <v>69</v>
      </c>
      <c r="AD542" t="s">
        <v>70</v>
      </c>
      <c r="AE542" s="7">
        <v>275000</v>
      </c>
      <c r="AF542" s="7">
        <v>1</v>
      </c>
      <c r="AG542" s="7">
        <v>275000</v>
      </c>
      <c r="AH542" s="7">
        <v>0</v>
      </c>
      <c r="AI542" s="7">
        <v>275000</v>
      </c>
      <c r="AJ542" t="s">
        <v>69</v>
      </c>
    </row>
    <row r="543" spans="14:36" x14ac:dyDescent="0.3">
      <c r="N543" s="8">
        <v>2026</v>
      </c>
      <c r="O543" s="8">
        <v>6</v>
      </c>
      <c r="P543" s="9">
        <v>46195</v>
      </c>
      <c r="Q543" t="s">
        <v>238</v>
      </c>
      <c r="R543" t="s">
        <v>239</v>
      </c>
      <c r="S543" t="s">
        <v>240</v>
      </c>
      <c r="T543" t="s">
        <v>2980</v>
      </c>
      <c r="U543" t="s">
        <v>3885</v>
      </c>
      <c r="V543" t="s">
        <v>246</v>
      </c>
      <c r="W543" t="s">
        <v>244</v>
      </c>
      <c r="X543" t="s">
        <v>2981</v>
      </c>
      <c r="Y543" t="s">
        <v>168</v>
      </c>
      <c r="Z543" t="s">
        <v>171</v>
      </c>
      <c r="AA543" t="s">
        <v>175</v>
      </c>
      <c r="AB543" t="s">
        <v>140</v>
      </c>
      <c r="AC543" t="s">
        <v>138</v>
      </c>
      <c r="AD543" t="s">
        <v>139</v>
      </c>
      <c r="AE543" s="7">
        <v>125000</v>
      </c>
      <c r="AF543" s="7">
        <v>1</v>
      </c>
      <c r="AG543" s="7">
        <v>125000</v>
      </c>
      <c r="AH543" s="7">
        <v>12500</v>
      </c>
      <c r="AI543" s="7">
        <v>112500</v>
      </c>
      <c r="AJ543" t="s">
        <v>138</v>
      </c>
    </row>
    <row r="544" spans="14:36" x14ac:dyDescent="0.3">
      <c r="N544" s="8">
        <v>2026</v>
      </c>
      <c r="O544" s="8">
        <v>6</v>
      </c>
      <c r="P544" s="9">
        <v>46195</v>
      </c>
      <c r="Q544" t="s">
        <v>238</v>
      </c>
      <c r="R544" t="s">
        <v>239</v>
      </c>
      <c r="S544" t="s">
        <v>240</v>
      </c>
      <c r="T544" t="s">
        <v>2134</v>
      </c>
      <c r="U544" t="s">
        <v>468</v>
      </c>
      <c r="V544" t="s">
        <v>246</v>
      </c>
      <c r="W544" t="s">
        <v>244</v>
      </c>
      <c r="X544" t="s">
        <v>2982</v>
      </c>
      <c r="Y544" t="s">
        <v>168</v>
      </c>
      <c r="Z544" t="s">
        <v>171</v>
      </c>
      <c r="AA544" t="s">
        <v>173</v>
      </c>
      <c r="AB544" t="s">
        <v>29</v>
      </c>
      <c r="AC544" t="s">
        <v>27</v>
      </c>
      <c r="AD544" t="s">
        <v>28</v>
      </c>
      <c r="AE544" s="7">
        <v>575000</v>
      </c>
      <c r="AF544" s="7">
        <v>1</v>
      </c>
      <c r="AG544" s="7">
        <v>575000</v>
      </c>
      <c r="AH544" s="7">
        <v>46000</v>
      </c>
      <c r="AI544" s="7">
        <v>529000</v>
      </c>
      <c r="AJ544" t="s">
        <v>27</v>
      </c>
    </row>
    <row r="545" spans="14:36" x14ac:dyDescent="0.3">
      <c r="N545" s="8">
        <v>2026</v>
      </c>
      <c r="O545" s="8">
        <v>6</v>
      </c>
      <c r="P545" s="9">
        <v>46195</v>
      </c>
      <c r="Q545" t="s">
        <v>238</v>
      </c>
      <c r="R545" t="s">
        <v>239</v>
      </c>
      <c r="S545" t="s">
        <v>240</v>
      </c>
      <c r="T545" t="s">
        <v>527</v>
      </c>
      <c r="U545" t="s">
        <v>362</v>
      </c>
      <c r="V545" t="s">
        <v>246</v>
      </c>
      <c r="W545" t="s">
        <v>244</v>
      </c>
      <c r="X545" t="s">
        <v>2983</v>
      </c>
      <c r="Y545" t="s">
        <v>168</v>
      </c>
      <c r="Z545" t="s">
        <v>179</v>
      </c>
      <c r="AA545" t="s">
        <v>180</v>
      </c>
      <c r="AB545" t="s">
        <v>146</v>
      </c>
      <c r="AC545" t="s">
        <v>144</v>
      </c>
      <c r="AD545" t="s">
        <v>145</v>
      </c>
      <c r="AE545" s="7">
        <v>150000</v>
      </c>
      <c r="AF545" s="7">
        <v>1</v>
      </c>
      <c r="AG545" s="7">
        <v>150000</v>
      </c>
      <c r="AH545" s="7">
        <v>15000</v>
      </c>
      <c r="AI545" s="7">
        <v>135000</v>
      </c>
      <c r="AJ545" t="s">
        <v>144</v>
      </c>
    </row>
    <row r="546" spans="14:36" x14ac:dyDescent="0.3">
      <c r="N546" s="8">
        <v>2026</v>
      </c>
      <c r="O546" s="8">
        <v>6</v>
      </c>
      <c r="P546" s="9">
        <v>46195</v>
      </c>
      <c r="Q546" t="s">
        <v>238</v>
      </c>
      <c r="R546" t="s">
        <v>239</v>
      </c>
      <c r="S546" t="s">
        <v>240</v>
      </c>
      <c r="T546" t="s">
        <v>907</v>
      </c>
      <c r="U546" t="s">
        <v>427</v>
      </c>
      <c r="V546" t="s">
        <v>246</v>
      </c>
      <c r="W546" t="s">
        <v>244</v>
      </c>
      <c r="X546" t="s">
        <v>2984</v>
      </c>
      <c r="Y546" t="s">
        <v>191</v>
      </c>
      <c r="Z546" t="s">
        <v>192</v>
      </c>
      <c r="AA546" t="s">
        <v>193</v>
      </c>
      <c r="AB546" t="s">
        <v>107</v>
      </c>
      <c r="AC546" t="s">
        <v>105</v>
      </c>
      <c r="AD546" t="s">
        <v>106</v>
      </c>
      <c r="AE546" s="7">
        <v>235000</v>
      </c>
      <c r="AF546" s="7">
        <v>1</v>
      </c>
      <c r="AG546" s="7">
        <v>235000</v>
      </c>
      <c r="AH546" s="7">
        <v>0</v>
      </c>
      <c r="AI546" s="7">
        <v>235000</v>
      </c>
      <c r="AJ546" t="s">
        <v>105</v>
      </c>
    </row>
    <row r="547" spans="14:36" x14ac:dyDescent="0.3">
      <c r="N547" s="8">
        <v>2026</v>
      </c>
      <c r="O547" s="8">
        <v>6</v>
      </c>
      <c r="P547" s="9">
        <v>46195</v>
      </c>
      <c r="Q547" t="s">
        <v>238</v>
      </c>
      <c r="R547" t="s">
        <v>279</v>
      </c>
      <c r="S547" t="s">
        <v>280</v>
      </c>
      <c r="T547" t="s">
        <v>281</v>
      </c>
      <c r="U547" t="s">
        <v>282</v>
      </c>
      <c r="V547" t="s">
        <v>243</v>
      </c>
      <c r="W547" t="s">
        <v>244</v>
      </c>
      <c r="X547" t="s">
        <v>2985</v>
      </c>
      <c r="Y547" t="s">
        <v>168</v>
      </c>
      <c r="Z547" t="s">
        <v>171</v>
      </c>
      <c r="AA547" t="s">
        <v>172</v>
      </c>
      <c r="AB547" t="s">
        <v>14</v>
      </c>
      <c r="AC547" t="s">
        <v>12</v>
      </c>
      <c r="AD547" t="s">
        <v>13</v>
      </c>
      <c r="AE547" s="7">
        <v>135000</v>
      </c>
      <c r="AF547" s="7">
        <v>1</v>
      </c>
      <c r="AG547" s="7">
        <v>135000</v>
      </c>
      <c r="AH547" s="7">
        <v>26000</v>
      </c>
      <c r="AI547" s="7">
        <v>109000</v>
      </c>
      <c r="AJ547" t="s">
        <v>12</v>
      </c>
    </row>
    <row r="548" spans="14:36" x14ac:dyDescent="0.3">
      <c r="N548" s="8">
        <v>2026</v>
      </c>
      <c r="O548" s="8">
        <v>6</v>
      </c>
      <c r="P548" s="9">
        <v>46195</v>
      </c>
      <c r="Q548" t="s">
        <v>238</v>
      </c>
      <c r="R548" t="s">
        <v>279</v>
      </c>
      <c r="S548" t="s">
        <v>280</v>
      </c>
      <c r="T548" t="s">
        <v>735</v>
      </c>
      <c r="U548" t="s">
        <v>736</v>
      </c>
      <c r="V548" t="s">
        <v>246</v>
      </c>
      <c r="W548" t="s">
        <v>244</v>
      </c>
      <c r="X548" t="s">
        <v>2986</v>
      </c>
      <c r="Y548" t="s">
        <v>191</v>
      </c>
      <c r="Z548" t="s">
        <v>335</v>
      </c>
      <c r="AA548" t="s">
        <v>336</v>
      </c>
      <c r="AB548" t="s">
        <v>1146</v>
      </c>
      <c r="AC548" t="s">
        <v>1147</v>
      </c>
      <c r="AD548" t="s">
        <v>1148</v>
      </c>
      <c r="AE548" s="7">
        <v>99000</v>
      </c>
      <c r="AF548" s="7">
        <v>3</v>
      </c>
      <c r="AG548" s="7">
        <v>297000</v>
      </c>
      <c r="AH548" s="7">
        <v>0</v>
      </c>
      <c r="AI548" s="7">
        <v>297000</v>
      </c>
      <c r="AJ548" t="s">
        <v>1147</v>
      </c>
    </row>
    <row r="549" spans="14:36" x14ac:dyDescent="0.3">
      <c r="N549" s="8">
        <v>2026</v>
      </c>
      <c r="O549" s="8">
        <v>6</v>
      </c>
      <c r="P549" s="9">
        <v>46195</v>
      </c>
      <c r="Q549" t="s">
        <v>238</v>
      </c>
      <c r="R549" t="s">
        <v>279</v>
      </c>
      <c r="S549" t="s">
        <v>280</v>
      </c>
      <c r="T549" t="s">
        <v>2987</v>
      </c>
      <c r="U549" t="s">
        <v>3912</v>
      </c>
      <c r="V549" t="s">
        <v>249</v>
      </c>
      <c r="W549" t="s">
        <v>244</v>
      </c>
      <c r="X549" t="s">
        <v>2988</v>
      </c>
      <c r="Y549" t="s">
        <v>191</v>
      </c>
      <c r="Z549" t="s">
        <v>335</v>
      </c>
      <c r="AA549" t="s">
        <v>336</v>
      </c>
      <c r="AB549" t="s">
        <v>1518</v>
      </c>
      <c r="AC549" t="s">
        <v>1519</v>
      </c>
      <c r="AD549" t="s">
        <v>1520</v>
      </c>
      <c r="AE549" s="7">
        <v>99000</v>
      </c>
      <c r="AF549" s="7">
        <v>1</v>
      </c>
      <c r="AG549" s="7">
        <v>99000</v>
      </c>
      <c r="AH549" s="7">
        <v>0</v>
      </c>
      <c r="AI549" s="7">
        <v>99000</v>
      </c>
      <c r="AJ549" t="s">
        <v>1519</v>
      </c>
    </row>
    <row r="550" spans="14:36" x14ac:dyDescent="0.3">
      <c r="N550" s="8">
        <v>2026</v>
      </c>
      <c r="O550" s="8">
        <v>6</v>
      </c>
      <c r="P550" s="9">
        <v>46195</v>
      </c>
      <c r="Q550" t="s">
        <v>238</v>
      </c>
      <c r="R550" t="s">
        <v>279</v>
      </c>
      <c r="S550" t="s">
        <v>280</v>
      </c>
      <c r="T550" t="s">
        <v>2989</v>
      </c>
      <c r="U550" t="s">
        <v>3913</v>
      </c>
      <c r="V550" t="s">
        <v>246</v>
      </c>
      <c r="W550" t="s">
        <v>244</v>
      </c>
      <c r="X550" t="s">
        <v>2990</v>
      </c>
      <c r="Y550" t="s">
        <v>183</v>
      </c>
      <c r="Z550" t="s">
        <v>184</v>
      </c>
      <c r="AA550" t="s">
        <v>185</v>
      </c>
      <c r="AB550" t="s">
        <v>47</v>
      </c>
      <c r="AC550" t="s">
        <v>45</v>
      </c>
      <c r="AD550" t="s">
        <v>46</v>
      </c>
      <c r="AE550" s="7">
        <v>52000</v>
      </c>
      <c r="AF550" s="7">
        <v>1</v>
      </c>
      <c r="AG550" s="7">
        <v>52000</v>
      </c>
      <c r="AH550" s="7">
        <v>0</v>
      </c>
      <c r="AI550" s="7">
        <v>52000</v>
      </c>
      <c r="AJ550" t="s">
        <v>45</v>
      </c>
    </row>
    <row r="551" spans="14:36" x14ac:dyDescent="0.3">
      <c r="N551" s="8">
        <v>2026</v>
      </c>
      <c r="O551" s="8">
        <v>6</v>
      </c>
      <c r="P551" s="9">
        <v>46195</v>
      </c>
      <c r="Q551" t="s">
        <v>238</v>
      </c>
      <c r="R551" t="s">
        <v>303</v>
      </c>
      <c r="S551" t="s">
        <v>304</v>
      </c>
      <c r="T551" t="s">
        <v>305</v>
      </c>
      <c r="U551" t="s">
        <v>306</v>
      </c>
      <c r="V551" t="s">
        <v>243</v>
      </c>
      <c r="W551" t="s">
        <v>244</v>
      </c>
      <c r="X551" t="s">
        <v>2991</v>
      </c>
      <c r="Y551" t="s">
        <v>191</v>
      </c>
      <c r="Z551" t="s">
        <v>335</v>
      </c>
      <c r="AA551" t="s">
        <v>337</v>
      </c>
      <c r="AB551" t="s">
        <v>719</v>
      </c>
      <c r="AC551" t="s">
        <v>720</v>
      </c>
      <c r="AD551" t="s">
        <v>721</v>
      </c>
      <c r="AE551" s="7">
        <v>104000</v>
      </c>
      <c r="AF551" s="7">
        <v>1</v>
      </c>
      <c r="AG551" s="7">
        <v>104000</v>
      </c>
      <c r="AH551" s="7">
        <v>31200</v>
      </c>
      <c r="AI551" s="7">
        <v>72800</v>
      </c>
      <c r="AJ551" t="s">
        <v>720</v>
      </c>
    </row>
    <row r="552" spans="14:36" x14ac:dyDescent="0.3">
      <c r="N552" s="8">
        <v>2026</v>
      </c>
      <c r="O552" s="8">
        <v>6</v>
      </c>
      <c r="P552" s="9">
        <v>46195</v>
      </c>
      <c r="Q552" t="s">
        <v>238</v>
      </c>
      <c r="R552" t="s">
        <v>303</v>
      </c>
      <c r="S552" t="s">
        <v>304</v>
      </c>
      <c r="T552" t="s">
        <v>2992</v>
      </c>
      <c r="U552" t="s">
        <v>2993</v>
      </c>
      <c r="V552" t="s">
        <v>246</v>
      </c>
      <c r="W552" t="s">
        <v>244</v>
      </c>
      <c r="X552" t="s">
        <v>2994</v>
      </c>
      <c r="Y552" t="s">
        <v>191</v>
      </c>
      <c r="Z552" t="s">
        <v>335</v>
      </c>
      <c r="AA552" t="s">
        <v>336</v>
      </c>
      <c r="AB552" t="s">
        <v>1284</v>
      </c>
      <c r="AC552" t="s">
        <v>1285</v>
      </c>
      <c r="AD552" t="s">
        <v>1286</v>
      </c>
      <c r="AE552" s="7">
        <v>99000</v>
      </c>
      <c r="AF552" s="7">
        <v>1</v>
      </c>
      <c r="AG552" s="7">
        <v>99000</v>
      </c>
      <c r="AH552" s="7">
        <v>0</v>
      </c>
      <c r="AI552" s="7">
        <v>99000</v>
      </c>
      <c r="AJ552" t="s">
        <v>1285</v>
      </c>
    </row>
    <row r="553" spans="14:36" x14ac:dyDescent="0.3">
      <c r="N553" s="8">
        <v>2026</v>
      </c>
      <c r="O553" s="8">
        <v>6</v>
      </c>
      <c r="P553" s="9">
        <v>46195</v>
      </c>
      <c r="Q553" t="s">
        <v>238</v>
      </c>
      <c r="R553" t="s">
        <v>303</v>
      </c>
      <c r="S553" t="s">
        <v>304</v>
      </c>
      <c r="T553" t="s">
        <v>1167</v>
      </c>
      <c r="U553" t="s">
        <v>1168</v>
      </c>
      <c r="V553" t="s">
        <v>246</v>
      </c>
      <c r="W553" t="s">
        <v>244</v>
      </c>
      <c r="X553" t="s">
        <v>2995</v>
      </c>
      <c r="Y553" t="s">
        <v>191</v>
      </c>
      <c r="Z553" t="s">
        <v>335</v>
      </c>
      <c r="AA553" t="s">
        <v>336</v>
      </c>
      <c r="AB553" t="s">
        <v>1146</v>
      </c>
      <c r="AC553" t="s">
        <v>1147</v>
      </c>
      <c r="AD553" t="s">
        <v>1148</v>
      </c>
      <c r="AE553" s="7">
        <v>99000</v>
      </c>
      <c r="AF553" s="7">
        <v>1</v>
      </c>
      <c r="AG553" s="7">
        <v>99000</v>
      </c>
      <c r="AH553" s="7">
        <v>0</v>
      </c>
      <c r="AI553" s="7">
        <v>99000</v>
      </c>
      <c r="AJ553" t="s">
        <v>1147</v>
      </c>
    </row>
    <row r="554" spans="14:36" x14ac:dyDescent="0.3">
      <c r="N554" s="8">
        <v>2026</v>
      </c>
      <c r="O554" s="8">
        <v>6</v>
      </c>
      <c r="P554" s="9">
        <v>46195</v>
      </c>
      <c r="Q554" t="s">
        <v>238</v>
      </c>
      <c r="R554" t="s">
        <v>351</v>
      </c>
      <c r="S554" t="s">
        <v>352</v>
      </c>
      <c r="T554" t="s">
        <v>356</v>
      </c>
      <c r="U554" t="s">
        <v>357</v>
      </c>
      <c r="V554" t="s">
        <v>243</v>
      </c>
      <c r="W554" t="s">
        <v>244</v>
      </c>
      <c r="X554" t="s">
        <v>2996</v>
      </c>
      <c r="Y554" t="s">
        <v>194</v>
      </c>
      <c r="Z554" t="s">
        <v>200</v>
      </c>
      <c r="AA554" t="s">
        <v>201</v>
      </c>
      <c r="AB554" t="s">
        <v>83</v>
      </c>
      <c r="AC554" t="s">
        <v>81</v>
      </c>
      <c r="AD554" t="s">
        <v>82</v>
      </c>
      <c r="AE554" s="7">
        <v>46000</v>
      </c>
      <c r="AF554" s="7">
        <v>1</v>
      </c>
      <c r="AG554" s="7">
        <v>46000</v>
      </c>
      <c r="AH554" s="7">
        <v>0</v>
      </c>
      <c r="AI554" s="7">
        <v>46000</v>
      </c>
      <c r="AJ554" t="s">
        <v>81</v>
      </c>
    </row>
    <row r="555" spans="14:36" x14ac:dyDescent="0.3">
      <c r="N555" s="8">
        <v>2026</v>
      </c>
      <c r="O555" s="8">
        <v>6</v>
      </c>
      <c r="P555" s="9">
        <v>46195</v>
      </c>
      <c r="Q555" t="s">
        <v>238</v>
      </c>
      <c r="R555" t="s">
        <v>351</v>
      </c>
      <c r="S555" t="s">
        <v>352</v>
      </c>
      <c r="T555" t="s">
        <v>356</v>
      </c>
      <c r="U555" t="s">
        <v>357</v>
      </c>
      <c r="V555" t="s">
        <v>243</v>
      </c>
      <c r="W555" t="s">
        <v>244</v>
      </c>
      <c r="X555" t="s">
        <v>2997</v>
      </c>
      <c r="Y555" t="s">
        <v>191</v>
      </c>
      <c r="Z555" t="s">
        <v>335</v>
      </c>
      <c r="AA555" t="s">
        <v>336</v>
      </c>
      <c r="AB555" t="s">
        <v>1146</v>
      </c>
      <c r="AC555" t="s">
        <v>1147</v>
      </c>
      <c r="AD555" t="s">
        <v>1148</v>
      </c>
      <c r="AE555" s="7">
        <v>99000</v>
      </c>
      <c r="AF555" s="7">
        <v>1</v>
      </c>
      <c r="AG555" s="7">
        <v>99000</v>
      </c>
      <c r="AH555" s="7">
        <v>0</v>
      </c>
      <c r="AI555" s="7">
        <v>99000</v>
      </c>
      <c r="AJ555" t="s">
        <v>1147</v>
      </c>
    </row>
    <row r="556" spans="14:36" x14ac:dyDescent="0.3">
      <c r="N556" s="8">
        <v>2026</v>
      </c>
      <c r="O556" s="8">
        <v>6</v>
      </c>
      <c r="P556" s="9">
        <v>46195</v>
      </c>
      <c r="Q556" t="s">
        <v>238</v>
      </c>
      <c r="R556" t="s">
        <v>351</v>
      </c>
      <c r="S556" t="s">
        <v>352</v>
      </c>
      <c r="T556" t="s">
        <v>2403</v>
      </c>
      <c r="U556" t="s">
        <v>2404</v>
      </c>
      <c r="V556" t="s">
        <v>246</v>
      </c>
      <c r="W556" t="s">
        <v>244</v>
      </c>
      <c r="X556" t="s">
        <v>2998</v>
      </c>
      <c r="Y556" t="s">
        <v>191</v>
      </c>
      <c r="Z556" t="s">
        <v>335</v>
      </c>
      <c r="AA556" t="s">
        <v>337</v>
      </c>
      <c r="AB556" t="s">
        <v>348</v>
      </c>
      <c r="AC556" t="s">
        <v>349</v>
      </c>
      <c r="AD556" t="s">
        <v>350</v>
      </c>
      <c r="AE556" s="7">
        <v>76000</v>
      </c>
      <c r="AF556" s="7">
        <v>1</v>
      </c>
      <c r="AG556" s="7">
        <v>76000</v>
      </c>
      <c r="AH556" s="7">
        <v>0</v>
      </c>
      <c r="AI556" s="7">
        <v>76000</v>
      </c>
      <c r="AJ556" t="s">
        <v>349</v>
      </c>
    </row>
    <row r="557" spans="14:36" x14ac:dyDescent="0.3">
      <c r="N557" s="8">
        <v>2026</v>
      </c>
      <c r="O557" s="8">
        <v>6</v>
      </c>
      <c r="P557" s="9">
        <v>46195</v>
      </c>
      <c r="Q557" t="s">
        <v>238</v>
      </c>
      <c r="R557" t="s">
        <v>351</v>
      </c>
      <c r="S557" t="s">
        <v>352</v>
      </c>
      <c r="T557" t="s">
        <v>1814</v>
      </c>
      <c r="U557" t="s">
        <v>1262</v>
      </c>
      <c r="V557" t="s">
        <v>246</v>
      </c>
      <c r="W557" t="s">
        <v>244</v>
      </c>
      <c r="X557" t="s">
        <v>2999</v>
      </c>
      <c r="Y557" t="s">
        <v>191</v>
      </c>
      <c r="Z557" t="s">
        <v>335</v>
      </c>
      <c r="AA557" t="s">
        <v>336</v>
      </c>
      <c r="AB557" t="s">
        <v>1146</v>
      </c>
      <c r="AC557" t="s">
        <v>1147</v>
      </c>
      <c r="AD557" t="s">
        <v>1148</v>
      </c>
      <c r="AE557" s="7">
        <v>99000</v>
      </c>
      <c r="AF557" s="7">
        <v>1</v>
      </c>
      <c r="AG557" s="7">
        <v>99000</v>
      </c>
      <c r="AH557" s="7">
        <v>0</v>
      </c>
      <c r="AI557" s="7">
        <v>99000</v>
      </c>
      <c r="AJ557" t="s">
        <v>1147</v>
      </c>
    </row>
    <row r="558" spans="14:36" x14ac:dyDescent="0.3">
      <c r="N558" s="8">
        <v>2026</v>
      </c>
      <c r="O558" s="8">
        <v>6</v>
      </c>
      <c r="P558" s="9">
        <v>46195</v>
      </c>
      <c r="Q558" t="s">
        <v>238</v>
      </c>
      <c r="R558" t="s">
        <v>374</v>
      </c>
      <c r="S558" t="s">
        <v>375</v>
      </c>
      <c r="T558" t="s">
        <v>672</v>
      </c>
      <c r="U558" t="s">
        <v>507</v>
      </c>
      <c r="V558" t="s">
        <v>246</v>
      </c>
      <c r="W558" t="s">
        <v>244</v>
      </c>
      <c r="X558" t="s">
        <v>3000</v>
      </c>
      <c r="Y558" t="s">
        <v>191</v>
      </c>
      <c r="Z558" t="s">
        <v>335</v>
      </c>
      <c r="AA558" t="s">
        <v>336</v>
      </c>
      <c r="AB558" t="s">
        <v>1146</v>
      </c>
      <c r="AC558" t="s">
        <v>1147</v>
      </c>
      <c r="AD558" t="s">
        <v>1148</v>
      </c>
      <c r="AE558" s="7">
        <v>99000</v>
      </c>
      <c r="AF558" s="7">
        <v>1</v>
      </c>
      <c r="AG558" s="7">
        <v>99000</v>
      </c>
      <c r="AH558" s="7">
        <v>0</v>
      </c>
      <c r="AI558" s="7">
        <v>99000</v>
      </c>
      <c r="AJ558" t="s">
        <v>1147</v>
      </c>
    </row>
    <row r="559" spans="14:36" x14ac:dyDescent="0.3">
      <c r="N559" s="8">
        <v>2026</v>
      </c>
      <c r="O559" s="8">
        <v>6</v>
      </c>
      <c r="P559" s="9">
        <v>46195</v>
      </c>
      <c r="Q559" t="s">
        <v>238</v>
      </c>
      <c r="R559" t="s">
        <v>396</v>
      </c>
      <c r="S559" t="s">
        <v>397</v>
      </c>
      <c r="T559" t="s">
        <v>3001</v>
      </c>
      <c r="U559" t="s">
        <v>572</v>
      </c>
      <c r="V559" t="s">
        <v>246</v>
      </c>
      <c r="W559" t="s">
        <v>244</v>
      </c>
      <c r="X559" t="s">
        <v>3002</v>
      </c>
      <c r="Y559" t="s">
        <v>194</v>
      </c>
      <c r="Z559" t="s">
        <v>200</v>
      </c>
      <c r="AA559" t="s">
        <v>201</v>
      </c>
      <c r="AB559" t="s">
        <v>80</v>
      </c>
      <c r="AC559" t="s">
        <v>78</v>
      </c>
      <c r="AD559" t="s">
        <v>79</v>
      </c>
      <c r="AE559" s="7">
        <v>14000</v>
      </c>
      <c r="AF559" s="7">
        <v>3</v>
      </c>
      <c r="AG559" s="7">
        <v>42000</v>
      </c>
      <c r="AH559" s="7">
        <v>0</v>
      </c>
      <c r="AI559" s="7">
        <v>42000</v>
      </c>
      <c r="AJ559" t="s">
        <v>78</v>
      </c>
    </row>
    <row r="560" spans="14:36" x14ac:dyDescent="0.3">
      <c r="N560" s="8">
        <v>2026</v>
      </c>
      <c r="O560" s="8">
        <v>6</v>
      </c>
      <c r="P560" s="9">
        <v>46195</v>
      </c>
      <c r="Q560" t="s">
        <v>238</v>
      </c>
      <c r="R560" t="s">
        <v>425</v>
      </c>
      <c r="S560" t="s">
        <v>426</v>
      </c>
      <c r="T560" t="s">
        <v>2265</v>
      </c>
      <c r="U560" t="s">
        <v>3914</v>
      </c>
      <c r="V560" t="s">
        <v>246</v>
      </c>
      <c r="W560" t="s">
        <v>244</v>
      </c>
      <c r="X560" t="s">
        <v>3004</v>
      </c>
      <c r="Y560" t="s">
        <v>168</v>
      </c>
      <c r="Z560" t="s">
        <v>179</v>
      </c>
      <c r="AA560" t="s">
        <v>180</v>
      </c>
      <c r="AB560" t="s">
        <v>146</v>
      </c>
      <c r="AC560" t="s">
        <v>144</v>
      </c>
      <c r="AD560" t="s">
        <v>145</v>
      </c>
      <c r="AE560" s="7">
        <v>150000</v>
      </c>
      <c r="AF560" s="7">
        <v>1</v>
      </c>
      <c r="AG560" s="7">
        <v>150000</v>
      </c>
      <c r="AH560" s="7">
        <v>15000</v>
      </c>
      <c r="AI560" s="7">
        <v>135000</v>
      </c>
      <c r="AJ560" t="s">
        <v>144</v>
      </c>
    </row>
    <row r="561" spans="14:36" x14ac:dyDescent="0.3">
      <c r="N561" s="8">
        <v>2026</v>
      </c>
      <c r="O561" s="8">
        <v>6</v>
      </c>
      <c r="P561" s="9">
        <v>46195</v>
      </c>
      <c r="Q561" t="s">
        <v>238</v>
      </c>
      <c r="R561" t="s">
        <v>425</v>
      </c>
      <c r="S561" t="s">
        <v>426</v>
      </c>
      <c r="T561" t="s">
        <v>1680</v>
      </c>
      <c r="U561" t="s">
        <v>260</v>
      </c>
      <c r="V561" t="s">
        <v>246</v>
      </c>
      <c r="W561" t="s">
        <v>244</v>
      </c>
      <c r="X561" t="s">
        <v>3005</v>
      </c>
      <c r="Y561" t="s">
        <v>191</v>
      </c>
      <c r="Z561" t="s">
        <v>335</v>
      </c>
      <c r="AA561" t="s">
        <v>336</v>
      </c>
      <c r="AB561" t="s">
        <v>1284</v>
      </c>
      <c r="AC561" t="s">
        <v>1285</v>
      </c>
      <c r="AD561" t="s">
        <v>1286</v>
      </c>
      <c r="AE561" s="7">
        <v>99000</v>
      </c>
      <c r="AF561" s="7">
        <v>1</v>
      </c>
      <c r="AG561" s="7">
        <v>99000</v>
      </c>
      <c r="AH561" s="7">
        <v>0</v>
      </c>
      <c r="AI561" s="7">
        <v>99000</v>
      </c>
      <c r="AJ561" t="s">
        <v>1285</v>
      </c>
    </row>
    <row r="562" spans="14:36" x14ac:dyDescent="0.3">
      <c r="N562" s="8">
        <v>2026</v>
      </c>
      <c r="O562" s="8">
        <v>6</v>
      </c>
      <c r="P562" s="9">
        <v>46195</v>
      </c>
      <c r="Q562" t="s">
        <v>238</v>
      </c>
      <c r="R562" t="s">
        <v>425</v>
      </c>
      <c r="S562" t="s">
        <v>426</v>
      </c>
      <c r="T562" t="s">
        <v>1680</v>
      </c>
      <c r="U562" t="s">
        <v>260</v>
      </c>
      <c r="V562" t="s">
        <v>246</v>
      </c>
      <c r="W562" t="s">
        <v>244</v>
      </c>
      <c r="X562" t="s">
        <v>3005</v>
      </c>
      <c r="Y562" t="s">
        <v>191</v>
      </c>
      <c r="Z562" t="s">
        <v>335</v>
      </c>
      <c r="AA562" t="s">
        <v>336</v>
      </c>
      <c r="AB562" t="s">
        <v>1146</v>
      </c>
      <c r="AC562" t="s">
        <v>1147</v>
      </c>
      <c r="AD562" t="s">
        <v>1148</v>
      </c>
      <c r="AE562" s="7">
        <v>99000</v>
      </c>
      <c r="AF562" s="7">
        <v>1</v>
      </c>
      <c r="AG562" s="7">
        <v>99000</v>
      </c>
      <c r="AH562" s="7">
        <v>0</v>
      </c>
      <c r="AI562" s="7">
        <v>99000</v>
      </c>
      <c r="AJ562" t="s">
        <v>1147</v>
      </c>
    </row>
    <row r="563" spans="14:36" x14ac:dyDescent="0.3">
      <c r="N563" s="8">
        <v>2026</v>
      </c>
      <c r="O563" s="8">
        <v>6</v>
      </c>
      <c r="P563" s="9">
        <v>46194</v>
      </c>
      <c r="Q563" t="s">
        <v>238</v>
      </c>
      <c r="R563" t="s">
        <v>239</v>
      </c>
      <c r="S563" t="s">
        <v>240</v>
      </c>
      <c r="T563" t="s">
        <v>690</v>
      </c>
      <c r="U563" t="s">
        <v>3915</v>
      </c>
      <c r="V563" t="s">
        <v>246</v>
      </c>
      <c r="W563" t="s">
        <v>244</v>
      </c>
      <c r="X563" t="s">
        <v>3006</v>
      </c>
      <c r="Y563" t="s">
        <v>194</v>
      </c>
      <c r="Z563" t="s">
        <v>200</v>
      </c>
      <c r="AA563" t="s">
        <v>201</v>
      </c>
      <c r="AB563" t="s">
        <v>86</v>
      </c>
      <c r="AC563" t="s">
        <v>84</v>
      </c>
      <c r="AD563" t="s">
        <v>85</v>
      </c>
      <c r="AE563" s="7">
        <v>49000</v>
      </c>
      <c r="AF563" s="7">
        <v>1</v>
      </c>
      <c r="AG563" s="7">
        <v>49000</v>
      </c>
      <c r="AH563" s="7">
        <v>0</v>
      </c>
      <c r="AI563" s="7">
        <v>49000</v>
      </c>
      <c r="AJ563" t="s">
        <v>84</v>
      </c>
    </row>
    <row r="564" spans="14:36" x14ac:dyDescent="0.3">
      <c r="N564" s="8">
        <v>2026</v>
      </c>
      <c r="O564" s="8">
        <v>6</v>
      </c>
      <c r="P564" s="9">
        <v>46194</v>
      </c>
      <c r="Q564" t="s">
        <v>238</v>
      </c>
      <c r="R564" t="s">
        <v>239</v>
      </c>
      <c r="S564" t="s">
        <v>240</v>
      </c>
      <c r="T564" t="s">
        <v>690</v>
      </c>
      <c r="U564" t="s">
        <v>3915</v>
      </c>
      <c r="V564" t="s">
        <v>246</v>
      </c>
      <c r="W564" t="s">
        <v>244</v>
      </c>
      <c r="X564" t="s">
        <v>3006</v>
      </c>
      <c r="Y564" t="s">
        <v>194</v>
      </c>
      <c r="Z564" t="s">
        <v>200</v>
      </c>
      <c r="AA564" t="s">
        <v>201</v>
      </c>
      <c r="AB564" t="s">
        <v>83</v>
      </c>
      <c r="AC564" t="s">
        <v>81</v>
      </c>
      <c r="AD564" t="s">
        <v>82</v>
      </c>
      <c r="AE564" s="7">
        <v>46000</v>
      </c>
      <c r="AF564" s="7">
        <v>1</v>
      </c>
      <c r="AG564" s="7">
        <v>46000</v>
      </c>
      <c r="AH564" s="7">
        <v>0</v>
      </c>
      <c r="AI564" s="7">
        <v>46000</v>
      </c>
      <c r="AJ564" t="s">
        <v>81</v>
      </c>
    </row>
    <row r="565" spans="14:36" x14ac:dyDescent="0.3">
      <c r="N565" s="8">
        <v>2026</v>
      </c>
      <c r="O565" s="8">
        <v>6</v>
      </c>
      <c r="P565" s="9">
        <v>46194</v>
      </c>
      <c r="Q565" t="s">
        <v>238</v>
      </c>
      <c r="R565" t="s">
        <v>239</v>
      </c>
      <c r="S565" t="s">
        <v>240</v>
      </c>
      <c r="T565" t="s">
        <v>694</v>
      </c>
      <c r="U565" t="s">
        <v>423</v>
      </c>
      <c r="V565" t="s">
        <v>246</v>
      </c>
      <c r="W565" t="s">
        <v>244</v>
      </c>
      <c r="X565" t="s">
        <v>3007</v>
      </c>
      <c r="Y565" t="s">
        <v>194</v>
      </c>
      <c r="Z565" t="s">
        <v>200</v>
      </c>
      <c r="AA565" t="s">
        <v>201</v>
      </c>
      <c r="AB565" t="s">
        <v>86</v>
      </c>
      <c r="AC565" t="s">
        <v>84</v>
      </c>
      <c r="AD565" t="s">
        <v>85</v>
      </c>
      <c r="AE565" s="7">
        <v>49000</v>
      </c>
      <c r="AF565" s="7">
        <v>1</v>
      </c>
      <c r="AG565" s="7">
        <v>49000</v>
      </c>
      <c r="AH565" s="7">
        <v>0</v>
      </c>
      <c r="AI565" s="7">
        <v>49000</v>
      </c>
      <c r="AJ565" t="s">
        <v>84</v>
      </c>
    </row>
    <row r="566" spans="14:36" x14ac:dyDescent="0.3">
      <c r="N566" s="8">
        <v>2026</v>
      </c>
      <c r="O566" s="8">
        <v>6</v>
      </c>
      <c r="P566" s="9">
        <v>46194</v>
      </c>
      <c r="Q566" t="s">
        <v>238</v>
      </c>
      <c r="R566" t="s">
        <v>239</v>
      </c>
      <c r="S566" t="s">
        <v>240</v>
      </c>
      <c r="T566" t="s">
        <v>694</v>
      </c>
      <c r="U566" t="s">
        <v>423</v>
      </c>
      <c r="V566" t="s">
        <v>246</v>
      </c>
      <c r="W566" t="s">
        <v>244</v>
      </c>
      <c r="X566" t="s">
        <v>3007</v>
      </c>
      <c r="Y566" t="s">
        <v>194</v>
      </c>
      <c r="Z566" t="s">
        <v>200</v>
      </c>
      <c r="AA566" t="s">
        <v>201</v>
      </c>
      <c r="AB566" t="s">
        <v>83</v>
      </c>
      <c r="AC566" t="s">
        <v>81</v>
      </c>
      <c r="AD566" t="s">
        <v>82</v>
      </c>
      <c r="AE566" s="7">
        <v>46000</v>
      </c>
      <c r="AF566" s="7">
        <v>1</v>
      </c>
      <c r="AG566" s="7">
        <v>46000</v>
      </c>
      <c r="AH566" s="7">
        <v>0</v>
      </c>
      <c r="AI566" s="7">
        <v>46000</v>
      </c>
      <c r="AJ566" t="s">
        <v>81</v>
      </c>
    </row>
    <row r="567" spans="14:36" x14ac:dyDescent="0.3">
      <c r="N567" s="8">
        <v>2026</v>
      </c>
      <c r="O567" s="8">
        <v>6</v>
      </c>
      <c r="P567" s="9">
        <v>46194</v>
      </c>
      <c r="Q567" t="s">
        <v>238</v>
      </c>
      <c r="R567" t="s">
        <v>279</v>
      </c>
      <c r="S567" t="s">
        <v>280</v>
      </c>
      <c r="T567" t="s">
        <v>281</v>
      </c>
      <c r="U567" t="s">
        <v>282</v>
      </c>
      <c r="V567" t="s">
        <v>243</v>
      </c>
      <c r="W567" t="s">
        <v>244</v>
      </c>
      <c r="X567" t="s">
        <v>3008</v>
      </c>
      <c r="Y567" t="s">
        <v>168</v>
      </c>
      <c r="Z567" t="s">
        <v>179</v>
      </c>
      <c r="AA567" t="s">
        <v>180</v>
      </c>
      <c r="AB567" t="s">
        <v>149</v>
      </c>
      <c r="AC567" t="s">
        <v>147</v>
      </c>
      <c r="AD567" t="s">
        <v>148</v>
      </c>
      <c r="AE567" s="7">
        <v>150000</v>
      </c>
      <c r="AF567" s="7">
        <v>1</v>
      </c>
      <c r="AG567" s="7">
        <v>150000</v>
      </c>
      <c r="AH567" s="7">
        <v>15000</v>
      </c>
      <c r="AI567" s="7">
        <v>135000</v>
      </c>
      <c r="AJ567" t="s">
        <v>147</v>
      </c>
    </row>
    <row r="568" spans="14:36" x14ac:dyDescent="0.3">
      <c r="N568" s="8">
        <v>2026</v>
      </c>
      <c r="O568" s="8">
        <v>6</v>
      </c>
      <c r="P568" s="9">
        <v>46194</v>
      </c>
      <c r="Q568" t="s">
        <v>238</v>
      </c>
      <c r="R568" t="s">
        <v>279</v>
      </c>
      <c r="S568" t="s">
        <v>280</v>
      </c>
      <c r="T568" t="s">
        <v>2496</v>
      </c>
      <c r="U568" t="s">
        <v>2497</v>
      </c>
      <c r="V568" t="s">
        <v>246</v>
      </c>
      <c r="W568" t="s">
        <v>244</v>
      </c>
      <c r="X568" t="s">
        <v>3009</v>
      </c>
      <c r="Y568" t="s">
        <v>168</v>
      </c>
      <c r="Z568" t="s">
        <v>171</v>
      </c>
      <c r="AA568" t="s">
        <v>173</v>
      </c>
      <c r="AB568" t="s">
        <v>29</v>
      </c>
      <c r="AC568" t="s">
        <v>27</v>
      </c>
      <c r="AD568" t="s">
        <v>28</v>
      </c>
      <c r="AE568" s="7">
        <v>575000</v>
      </c>
      <c r="AF568" s="7">
        <v>1</v>
      </c>
      <c r="AG568" s="7">
        <v>575000</v>
      </c>
      <c r="AH568" s="7">
        <v>76000</v>
      </c>
      <c r="AI568" s="7">
        <v>499000</v>
      </c>
      <c r="AJ568" t="s">
        <v>27</v>
      </c>
    </row>
    <row r="569" spans="14:36" x14ac:dyDescent="0.3">
      <c r="N569" s="8">
        <v>2026</v>
      </c>
      <c r="O569" s="8">
        <v>6</v>
      </c>
      <c r="P569" s="9">
        <v>46194</v>
      </c>
      <c r="Q569" t="s">
        <v>238</v>
      </c>
      <c r="R569" t="s">
        <v>279</v>
      </c>
      <c r="S569" t="s">
        <v>280</v>
      </c>
      <c r="T569" t="s">
        <v>2496</v>
      </c>
      <c r="U569" t="s">
        <v>2497</v>
      </c>
      <c r="V569" t="s">
        <v>246</v>
      </c>
      <c r="W569" t="s">
        <v>244</v>
      </c>
      <c r="X569" t="s">
        <v>3009</v>
      </c>
      <c r="Y569" t="s">
        <v>168</v>
      </c>
      <c r="Z569" t="s">
        <v>171</v>
      </c>
      <c r="AA569" t="s">
        <v>173</v>
      </c>
      <c r="AB569" t="s">
        <v>26</v>
      </c>
      <c r="AC569" t="s">
        <v>24</v>
      </c>
      <c r="AD569" t="s">
        <v>25</v>
      </c>
      <c r="AE569" s="7">
        <v>555000</v>
      </c>
      <c r="AF569" s="7">
        <v>1</v>
      </c>
      <c r="AG569" s="7">
        <v>555000</v>
      </c>
      <c r="AH569" s="7">
        <v>55000</v>
      </c>
      <c r="AI569" s="7">
        <v>500000</v>
      </c>
      <c r="AJ569" t="s">
        <v>24</v>
      </c>
    </row>
    <row r="570" spans="14:36" x14ac:dyDescent="0.3">
      <c r="N570" s="8">
        <v>2026</v>
      </c>
      <c r="O570" s="8">
        <v>6</v>
      </c>
      <c r="P570" s="9">
        <v>46194</v>
      </c>
      <c r="Q570" t="s">
        <v>238</v>
      </c>
      <c r="R570" t="s">
        <v>279</v>
      </c>
      <c r="S570" t="s">
        <v>280</v>
      </c>
      <c r="T570" t="s">
        <v>2496</v>
      </c>
      <c r="U570" t="s">
        <v>2497</v>
      </c>
      <c r="V570" t="s">
        <v>246</v>
      </c>
      <c r="W570" t="s">
        <v>244</v>
      </c>
      <c r="X570" t="s">
        <v>3009</v>
      </c>
      <c r="Y570" t="s">
        <v>191</v>
      </c>
      <c r="Z570" t="s">
        <v>192</v>
      </c>
      <c r="AA570" t="s">
        <v>193</v>
      </c>
      <c r="AB570" t="s">
        <v>113</v>
      </c>
      <c r="AC570" t="s">
        <v>111</v>
      </c>
      <c r="AD570" t="s">
        <v>112</v>
      </c>
      <c r="AE570" s="7">
        <v>235000</v>
      </c>
      <c r="AF570" s="7">
        <v>1</v>
      </c>
      <c r="AG570" s="7">
        <v>235000</v>
      </c>
      <c r="AH570" s="7">
        <v>0</v>
      </c>
      <c r="AI570" s="7">
        <v>235000</v>
      </c>
      <c r="AJ570" t="s">
        <v>111</v>
      </c>
    </row>
    <row r="571" spans="14:36" x14ac:dyDescent="0.3">
      <c r="N571" s="8">
        <v>2026</v>
      </c>
      <c r="O571" s="8">
        <v>6</v>
      </c>
      <c r="P571" s="9">
        <v>46194</v>
      </c>
      <c r="Q571" t="s">
        <v>238</v>
      </c>
      <c r="R571" t="s">
        <v>303</v>
      </c>
      <c r="S571" t="s">
        <v>304</v>
      </c>
      <c r="T571" t="s">
        <v>3010</v>
      </c>
      <c r="U571" t="s">
        <v>3011</v>
      </c>
      <c r="V571" t="s">
        <v>246</v>
      </c>
      <c r="W571" t="s">
        <v>244</v>
      </c>
      <c r="X571" t="s">
        <v>3012</v>
      </c>
      <c r="Y571" t="s">
        <v>191</v>
      </c>
      <c r="Z571" t="s">
        <v>335</v>
      </c>
      <c r="AA571" t="s">
        <v>336</v>
      </c>
      <c r="AB571" t="s">
        <v>1146</v>
      </c>
      <c r="AC571" t="s">
        <v>1147</v>
      </c>
      <c r="AD571" t="s">
        <v>1148</v>
      </c>
      <c r="AE571" s="7">
        <v>99000</v>
      </c>
      <c r="AF571" s="7">
        <v>2</v>
      </c>
      <c r="AG571" s="7">
        <v>198000</v>
      </c>
      <c r="AH571" s="7">
        <v>0</v>
      </c>
      <c r="AI571" s="7">
        <v>198000</v>
      </c>
      <c r="AJ571" t="s">
        <v>1147</v>
      </c>
    </row>
    <row r="572" spans="14:36" x14ac:dyDescent="0.3">
      <c r="N572" s="8">
        <v>2026</v>
      </c>
      <c r="O572" s="8">
        <v>6</v>
      </c>
      <c r="P572" s="9">
        <v>46194</v>
      </c>
      <c r="Q572" t="s">
        <v>238</v>
      </c>
      <c r="R572" t="s">
        <v>303</v>
      </c>
      <c r="S572" t="s">
        <v>304</v>
      </c>
      <c r="T572" t="s">
        <v>1085</v>
      </c>
      <c r="U572" t="s">
        <v>1086</v>
      </c>
      <c r="V572" t="s">
        <v>246</v>
      </c>
      <c r="W572" t="s">
        <v>244</v>
      </c>
      <c r="X572" t="s">
        <v>3013</v>
      </c>
      <c r="Y572" t="s">
        <v>168</v>
      </c>
      <c r="Z572" t="s">
        <v>171</v>
      </c>
      <c r="AA572" t="s">
        <v>173</v>
      </c>
      <c r="AB572" t="s">
        <v>29</v>
      </c>
      <c r="AC572" t="s">
        <v>27</v>
      </c>
      <c r="AD572" t="s">
        <v>28</v>
      </c>
      <c r="AE572" s="7">
        <v>575000</v>
      </c>
      <c r="AF572" s="7">
        <v>1</v>
      </c>
      <c r="AG572" s="7">
        <v>575000</v>
      </c>
      <c r="AH572" s="7">
        <v>76000</v>
      </c>
      <c r="AI572" s="7">
        <v>499000</v>
      </c>
      <c r="AJ572" t="s">
        <v>27</v>
      </c>
    </row>
    <row r="573" spans="14:36" x14ac:dyDescent="0.3">
      <c r="N573" s="8">
        <v>2026</v>
      </c>
      <c r="O573" s="8">
        <v>6</v>
      </c>
      <c r="P573" s="9">
        <v>46194</v>
      </c>
      <c r="Q573" t="s">
        <v>238</v>
      </c>
      <c r="R573" t="s">
        <v>303</v>
      </c>
      <c r="S573" t="s">
        <v>304</v>
      </c>
      <c r="T573" t="s">
        <v>1085</v>
      </c>
      <c r="U573" t="s">
        <v>1086</v>
      </c>
      <c r="V573" t="s">
        <v>246</v>
      </c>
      <c r="W573" t="s">
        <v>244</v>
      </c>
      <c r="X573" t="s">
        <v>3013</v>
      </c>
      <c r="Y573" t="s">
        <v>168</v>
      </c>
      <c r="Z573" t="s">
        <v>171</v>
      </c>
      <c r="AA573" t="s">
        <v>173</v>
      </c>
      <c r="AB573" t="s">
        <v>26</v>
      </c>
      <c r="AC573" t="s">
        <v>24</v>
      </c>
      <c r="AD573" t="s">
        <v>25</v>
      </c>
      <c r="AE573" s="7">
        <v>555000</v>
      </c>
      <c r="AF573" s="7">
        <v>1</v>
      </c>
      <c r="AG573" s="7">
        <v>555000</v>
      </c>
      <c r="AH573" s="7">
        <v>55000</v>
      </c>
      <c r="AI573" s="7">
        <v>500000</v>
      </c>
      <c r="AJ573" t="s">
        <v>24</v>
      </c>
    </row>
    <row r="574" spans="14:36" x14ac:dyDescent="0.3">
      <c r="N574" s="8">
        <v>2026</v>
      </c>
      <c r="O574" s="8">
        <v>6</v>
      </c>
      <c r="P574" s="9">
        <v>46194</v>
      </c>
      <c r="Q574" t="s">
        <v>238</v>
      </c>
      <c r="R574" t="s">
        <v>303</v>
      </c>
      <c r="S574" t="s">
        <v>304</v>
      </c>
      <c r="T574" t="s">
        <v>3014</v>
      </c>
      <c r="U574" t="s">
        <v>3916</v>
      </c>
      <c r="V574" t="s">
        <v>249</v>
      </c>
      <c r="W574" t="s">
        <v>244</v>
      </c>
      <c r="X574" t="s">
        <v>3015</v>
      </c>
      <c r="Y574" t="s">
        <v>191</v>
      </c>
      <c r="Z574" t="s">
        <v>335</v>
      </c>
      <c r="AA574" t="s">
        <v>336</v>
      </c>
      <c r="AB574" t="s">
        <v>1518</v>
      </c>
      <c r="AC574" t="s">
        <v>1519</v>
      </c>
      <c r="AD574" t="s">
        <v>1520</v>
      </c>
      <c r="AE574" s="7">
        <v>99000</v>
      </c>
      <c r="AF574" s="7">
        <v>3</v>
      </c>
      <c r="AG574" s="7">
        <v>297000</v>
      </c>
      <c r="AH574" s="7">
        <v>0</v>
      </c>
      <c r="AI574" s="7">
        <v>297000</v>
      </c>
      <c r="AJ574" t="s">
        <v>1519</v>
      </c>
    </row>
    <row r="575" spans="14:36" x14ac:dyDescent="0.3">
      <c r="N575" s="8">
        <v>2026</v>
      </c>
      <c r="O575" s="8">
        <v>6</v>
      </c>
      <c r="P575" s="9">
        <v>46194</v>
      </c>
      <c r="Q575" t="s">
        <v>238</v>
      </c>
      <c r="R575" t="s">
        <v>351</v>
      </c>
      <c r="S575" t="s">
        <v>352</v>
      </c>
      <c r="T575" t="s">
        <v>801</v>
      </c>
      <c r="U575" t="s">
        <v>3917</v>
      </c>
      <c r="V575" t="s">
        <v>246</v>
      </c>
      <c r="W575" t="s">
        <v>244</v>
      </c>
      <c r="X575" t="s">
        <v>3016</v>
      </c>
      <c r="Y575" t="s">
        <v>183</v>
      </c>
      <c r="Z575" t="s">
        <v>186</v>
      </c>
      <c r="AA575" t="s">
        <v>188</v>
      </c>
      <c r="AB575" t="s">
        <v>155</v>
      </c>
      <c r="AC575" t="s">
        <v>153</v>
      </c>
      <c r="AD575" t="s">
        <v>154</v>
      </c>
      <c r="AE575" s="7">
        <v>320000</v>
      </c>
      <c r="AF575" s="7">
        <v>2</v>
      </c>
      <c r="AG575" s="7">
        <v>640000</v>
      </c>
      <c r="AH575" s="7">
        <v>192000</v>
      </c>
      <c r="AI575" s="7">
        <v>448000</v>
      </c>
      <c r="AJ575" t="s">
        <v>153</v>
      </c>
    </row>
    <row r="576" spans="14:36" x14ac:dyDescent="0.3">
      <c r="N576" s="8">
        <v>2026</v>
      </c>
      <c r="O576" s="8">
        <v>6</v>
      </c>
      <c r="P576" s="9">
        <v>46194</v>
      </c>
      <c r="Q576" t="s">
        <v>238</v>
      </c>
      <c r="R576" t="s">
        <v>374</v>
      </c>
      <c r="S576" t="s">
        <v>375</v>
      </c>
      <c r="T576" t="s">
        <v>376</v>
      </c>
      <c r="U576" t="s">
        <v>377</v>
      </c>
      <c r="V576" t="s">
        <v>243</v>
      </c>
      <c r="W576" t="s">
        <v>244</v>
      </c>
      <c r="X576" t="s">
        <v>3017</v>
      </c>
      <c r="Y576" t="s">
        <v>183</v>
      </c>
      <c r="Z576" t="s">
        <v>189</v>
      </c>
      <c r="AA576" t="s">
        <v>190</v>
      </c>
      <c r="AB576" t="s">
        <v>92</v>
      </c>
      <c r="AC576" t="s">
        <v>90</v>
      </c>
      <c r="AD576" t="s">
        <v>91</v>
      </c>
      <c r="AE576" s="7">
        <v>52000</v>
      </c>
      <c r="AF576" s="7">
        <v>1</v>
      </c>
      <c r="AG576" s="7">
        <v>52000</v>
      </c>
      <c r="AH576" s="7">
        <v>0</v>
      </c>
      <c r="AI576" s="7">
        <v>52000</v>
      </c>
      <c r="AJ576" t="s">
        <v>90</v>
      </c>
    </row>
    <row r="577" spans="14:36" x14ac:dyDescent="0.3">
      <c r="N577" s="8">
        <v>2026</v>
      </c>
      <c r="O577" s="8">
        <v>6</v>
      </c>
      <c r="P577" s="9">
        <v>46194</v>
      </c>
      <c r="Q577" t="s">
        <v>238</v>
      </c>
      <c r="R577" t="s">
        <v>374</v>
      </c>
      <c r="S577" t="s">
        <v>375</v>
      </c>
      <c r="T577" t="s">
        <v>376</v>
      </c>
      <c r="U577" t="s">
        <v>377</v>
      </c>
      <c r="V577" t="s">
        <v>243</v>
      </c>
      <c r="W577" t="s">
        <v>244</v>
      </c>
      <c r="X577" t="s">
        <v>3018</v>
      </c>
      <c r="Y577" t="s">
        <v>168</v>
      </c>
      <c r="Z577" t="s">
        <v>171</v>
      </c>
      <c r="AA577" t="s">
        <v>172</v>
      </c>
      <c r="AB577" t="s">
        <v>11</v>
      </c>
      <c r="AC577" t="s">
        <v>9</v>
      </c>
      <c r="AD577" t="s">
        <v>10</v>
      </c>
      <c r="AE577" s="7">
        <v>129000</v>
      </c>
      <c r="AF577" s="7">
        <v>2</v>
      </c>
      <c r="AG577" s="7">
        <v>258000</v>
      </c>
      <c r="AH577" s="7">
        <v>40000</v>
      </c>
      <c r="AI577" s="7">
        <v>218000</v>
      </c>
      <c r="AJ577" t="s">
        <v>9</v>
      </c>
    </row>
    <row r="578" spans="14:36" x14ac:dyDescent="0.3">
      <c r="N578" s="8">
        <v>2026</v>
      </c>
      <c r="O578" s="8">
        <v>6</v>
      </c>
      <c r="P578" s="9">
        <v>46194</v>
      </c>
      <c r="Q578" t="s">
        <v>238</v>
      </c>
      <c r="R578" t="s">
        <v>374</v>
      </c>
      <c r="S578" t="s">
        <v>375</v>
      </c>
      <c r="T578" t="s">
        <v>3019</v>
      </c>
      <c r="U578" t="s">
        <v>3020</v>
      </c>
      <c r="V578" t="s">
        <v>246</v>
      </c>
      <c r="W578" t="s">
        <v>244</v>
      </c>
      <c r="X578" t="s">
        <v>3021</v>
      </c>
      <c r="Y578" t="s">
        <v>191</v>
      </c>
      <c r="Z578" t="s">
        <v>335</v>
      </c>
      <c r="AA578" t="s">
        <v>336</v>
      </c>
      <c r="AB578" t="s">
        <v>2925</v>
      </c>
      <c r="AC578" t="s">
        <v>2926</v>
      </c>
      <c r="AD578" t="s">
        <v>2927</v>
      </c>
      <c r="AE578" s="7">
        <v>45000</v>
      </c>
      <c r="AF578" s="7">
        <v>1</v>
      </c>
      <c r="AG578" s="7">
        <v>45000</v>
      </c>
      <c r="AH578" s="7">
        <v>0</v>
      </c>
      <c r="AI578" s="7">
        <v>45000</v>
      </c>
      <c r="AJ578" t="s">
        <v>2926</v>
      </c>
    </row>
    <row r="579" spans="14:36" x14ac:dyDescent="0.3">
      <c r="N579" s="8">
        <v>2026</v>
      </c>
      <c r="O579" s="8">
        <v>6</v>
      </c>
      <c r="P579" s="9">
        <v>46194</v>
      </c>
      <c r="Q579" t="s">
        <v>238</v>
      </c>
      <c r="R579" t="s">
        <v>374</v>
      </c>
      <c r="S579" t="s">
        <v>375</v>
      </c>
      <c r="T579" t="s">
        <v>3022</v>
      </c>
      <c r="U579" t="s">
        <v>3918</v>
      </c>
      <c r="V579" t="s">
        <v>246</v>
      </c>
      <c r="W579" t="s">
        <v>244</v>
      </c>
      <c r="X579" t="s">
        <v>3023</v>
      </c>
      <c r="Y579" t="s">
        <v>168</v>
      </c>
      <c r="Z579" t="s">
        <v>171</v>
      </c>
      <c r="AA579" t="s">
        <v>175</v>
      </c>
      <c r="AB579" t="s">
        <v>38</v>
      </c>
      <c r="AC579" t="s">
        <v>36</v>
      </c>
      <c r="AD579" t="s">
        <v>37</v>
      </c>
      <c r="AE579" s="7">
        <v>290000</v>
      </c>
      <c r="AF579" s="7">
        <v>1</v>
      </c>
      <c r="AG579" s="7">
        <v>290000</v>
      </c>
      <c r="AH579" s="7">
        <v>23200</v>
      </c>
      <c r="AI579" s="7">
        <v>266800</v>
      </c>
      <c r="AJ579" t="s">
        <v>36</v>
      </c>
    </row>
    <row r="580" spans="14:36" x14ac:dyDescent="0.3">
      <c r="N580" s="8">
        <v>2026</v>
      </c>
      <c r="O580" s="8">
        <v>6</v>
      </c>
      <c r="P580" s="9">
        <v>46194</v>
      </c>
      <c r="Q580" t="s">
        <v>238</v>
      </c>
      <c r="R580" t="s">
        <v>396</v>
      </c>
      <c r="S580" t="s">
        <v>397</v>
      </c>
      <c r="T580" t="s">
        <v>3024</v>
      </c>
      <c r="U580" t="s">
        <v>3025</v>
      </c>
      <c r="V580" t="s">
        <v>246</v>
      </c>
      <c r="W580" t="s">
        <v>244</v>
      </c>
      <c r="X580" t="s">
        <v>3026</v>
      </c>
      <c r="Y580" t="s">
        <v>168</v>
      </c>
      <c r="Z580" t="s">
        <v>171</v>
      </c>
      <c r="AA580" t="s">
        <v>175</v>
      </c>
      <c r="AB580" t="s">
        <v>137</v>
      </c>
      <c r="AC580" t="s">
        <v>135</v>
      </c>
      <c r="AD580" t="s">
        <v>136</v>
      </c>
      <c r="AE580" s="7">
        <v>100000</v>
      </c>
      <c r="AF580" s="7">
        <v>2</v>
      </c>
      <c r="AG580" s="7">
        <v>200000</v>
      </c>
      <c r="AH580" s="7">
        <v>20000</v>
      </c>
      <c r="AI580" s="7">
        <v>180000</v>
      </c>
      <c r="AJ580" t="s">
        <v>135</v>
      </c>
    </row>
    <row r="581" spans="14:36" x14ac:dyDescent="0.3">
      <c r="N581" s="8">
        <v>2026</v>
      </c>
      <c r="O581" s="8">
        <v>6</v>
      </c>
      <c r="P581" s="9">
        <v>46194</v>
      </c>
      <c r="Q581" t="s">
        <v>238</v>
      </c>
      <c r="R581" t="s">
        <v>396</v>
      </c>
      <c r="S581" t="s">
        <v>397</v>
      </c>
      <c r="T581" t="s">
        <v>773</v>
      </c>
      <c r="U581" t="s">
        <v>3919</v>
      </c>
      <c r="V581" t="s">
        <v>246</v>
      </c>
      <c r="W581" t="s">
        <v>244</v>
      </c>
      <c r="X581" t="s">
        <v>3027</v>
      </c>
      <c r="Y581" t="s">
        <v>168</v>
      </c>
      <c r="Z581" t="s">
        <v>169</v>
      </c>
      <c r="AA581" t="s">
        <v>170</v>
      </c>
      <c r="AB581" t="s">
        <v>8</v>
      </c>
      <c r="AC581" t="s">
        <v>6</v>
      </c>
      <c r="AD581" t="s">
        <v>7</v>
      </c>
      <c r="AE581" s="7">
        <v>435000</v>
      </c>
      <c r="AF581" s="7">
        <v>1</v>
      </c>
      <c r="AG581" s="7">
        <v>435000</v>
      </c>
      <c r="AH581" s="7">
        <v>0</v>
      </c>
      <c r="AI581" s="7">
        <v>435000</v>
      </c>
      <c r="AJ581" t="s">
        <v>6</v>
      </c>
    </row>
    <row r="582" spans="14:36" x14ac:dyDescent="0.3">
      <c r="N582" s="8">
        <v>2026</v>
      </c>
      <c r="O582" s="8">
        <v>6</v>
      </c>
      <c r="P582" s="9">
        <v>46194</v>
      </c>
      <c r="Q582" t="s">
        <v>238</v>
      </c>
      <c r="R582" t="s">
        <v>415</v>
      </c>
      <c r="S582" t="s">
        <v>416</v>
      </c>
      <c r="T582" t="s">
        <v>1160</v>
      </c>
      <c r="U582" t="s">
        <v>1161</v>
      </c>
      <c r="V582" t="s">
        <v>246</v>
      </c>
      <c r="W582" t="s">
        <v>244</v>
      </c>
      <c r="X582" t="s">
        <v>3028</v>
      </c>
      <c r="Y582" t="s">
        <v>168</v>
      </c>
      <c r="Z582" t="s">
        <v>171</v>
      </c>
      <c r="AA582" t="s">
        <v>175</v>
      </c>
      <c r="AB582" t="s">
        <v>140</v>
      </c>
      <c r="AC582" t="s">
        <v>138</v>
      </c>
      <c r="AD582" t="s">
        <v>139</v>
      </c>
      <c r="AE582" s="7">
        <v>125000</v>
      </c>
      <c r="AF582" s="7">
        <v>1</v>
      </c>
      <c r="AG582" s="7">
        <v>125000</v>
      </c>
      <c r="AH582" s="7">
        <v>12500</v>
      </c>
      <c r="AI582" s="7">
        <v>112500</v>
      </c>
      <c r="AJ582" t="s">
        <v>138</v>
      </c>
    </row>
    <row r="583" spans="14:36" x14ac:dyDescent="0.3">
      <c r="N583" s="8">
        <v>2026</v>
      </c>
      <c r="O583" s="8">
        <v>6</v>
      </c>
      <c r="P583" s="9">
        <v>46194</v>
      </c>
      <c r="Q583" t="s">
        <v>238</v>
      </c>
      <c r="R583" t="s">
        <v>415</v>
      </c>
      <c r="S583" t="s">
        <v>416</v>
      </c>
      <c r="T583" t="s">
        <v>3003</v>
      </c>
      <c r="U583" t="s">
        <v>3920</v>
      </c>
      <c r="V583" t="s">
        <v>246</v>
      </c>
      <c r="W583" t="s">
        <v>244</v>
      </c>
      <c r="X583" t="s">
        <v>3029</v>
      </c>
      <c r="Y583" t="s">
        <v>168</v>
      </c>
      <c r="Z583" t="s">
        <v>181</v>
      </c>
      <c r="AA583" t="s">
        <v>182</v>
      </c>
      <c r="AB583" t="s">
        <v>50</v>
      </c>
      <c r="AC583" t="s">
        <v>48</v>
      </c>
      <c r="AD583" t="s">
        <v>49</v>
      </c>
      <c r="AE583" s="7">
        <v>49000</v>
      </c>
      <c r="AF583" s="7">
        <v>2</v>
      </c>
      <c r="AG583" s="7">
        <v>98000</v>
      </c>
      <c r="AH583" s="7">
        <v>0</v>
      </c>
      <c r="AI583" s="7">
        <v>98000</v>
      </c>
      <c r="AJ583" t="s">
        <v>48</v>
      </c>
    </row>
    <row r="584" spans="14:36" x14ac:dyDescent="0.3">
      <c r="N584" s="8">
        <v>2026</v>
      </c>
      <c r="O584" s="8">
        <v>6</v>
      </c>
      <c r="P584" s="9">
        <v>46194</v>
      </c>
      <c r="Q584" t="s">
        <v>238</v>
      </c>
      <c r="R584" t="s">
        <v>415</v>
      </c>
      <c r="S584" t="s">
        <v>416</v>
      </c>
      <c r="T584" t="s">
        <v>2508</v>
      </c>
      <c r="U584" t="s">
        <v>530</v>
      </c>
      <c r="V584" t="s">
        <v>246</v>
      </c>
      <c r="W584" t="s">
        <v>244</v>
      </c>
      <c r="X584" t="s">
        <v>3030</v>
      </c>
      <c r="Y584" t="s">
        <v>168</v>
      </c>
      <c r="Z584" t="s">
        <v>171</v>
      </c>
      <c r="AA584" t="s">
        <v>172</v>
      </c>
      <c r="AB584" t="s">
        <v>11</v>
      </c>
      <c r="AC584" t="s">
        <v>9</v>
      </c>
      <c r="AD584" t="s">
        <v>10</v>
      </c>
      <c r="AE584" s="7">
        <v>129000</v>
      </c>
      <c r="AF584" s="7">
        <v>2</v>
      </c>
      <c r="AG584" s="7">
        <v>258000</v>
      </c>
      <c r="AH584" s="7">
        <v>40000</v>
      </c>
      <c r="AI584" s="7">
        <v>218000</v>
      </c>
      <c r="AJ584" t="s">
        <v>9</v>
      </c>
    </row>
    <row r="585" spans="14:36" x14ac:dyDescent="0.3">
      <c r="N585" s="8">
        <v>2026</v>
      </c>
      <c r="O585" s="8">
        <v>6</v>
      </c>
      <c r="P585" s="9">
        <v>46194</v>
      </c>
      <c r="Q585" t="s">
        <v>238</v>
      </c>
      <c r="R585" t="s">
        <v>415</v>
      </c>
      <c r="S585" t="s">
        <v>416</v>
      </c>
      <c r="T585" t="s">
        <v>2322</v>
      </c>
      <c r="U585" t="s">
        <v>2323</v>
      </c>
      <c r="V585" t="s">
        <v>246</v>
      </c>
      <c r="W585" t="s">
        <v>244</v>
      </c>
      <c r="X585" t="s">
        <v>3031</v>
      </c>
      <c r="Y585" t="s">
        <v>183</v>
      </c>
      <c r="Z585" t="s">
        <v>189</v>
      </c>
      <c r="AA585" t="s">
        <v>190</v>
      </c>
      <c r="AB585" t="s">
        <v>92</v>
      </c>
      <c r="AC585" t="s">
        <v>90</v>
      </c>
      <c r="AD585" t="s">
        <v>91</v>
      </c>
      <c r="AE585" s="7">
        <v>52000</v>
      </c>
      <c r="AF585" s="7">
        <v>3</v>
      </c>
      <c r="AG585" s="7">
        <v>156000</v>
      </c>
      <c r="AH585" s="7">
        <v>0</v>
      </c>
      <c r="AI585" s="7">
        <v>156000</v>
      </c>
      <c r="AJ585" t="s">
        <v>90</v>
      </c>
    </row>
    <row r="586" spans="14:36" x14ac:dyDescent="0.3">
      <c r="N586" s="8">
        <v>2026</v>
      </c>
      <c r="O586" s="8">
        <v>6</v>
      </c>
      <c r="P586" s="9">
        <v>46194</v>
      </c>
      <c r="Q586" t="s">
        <v>238</v>
      </c>
      <c r="R586" t="s">
        <v>425</v>
      </c>
      <c r="S586" t="s">
        <v>426</v>
      </c>
      <c r="T586" t="s">
        <v>1199</v>
      </c>
      <c r="U586" t="s">
        <v>1200</v>
      </c>
      <c r="V586" t="s">
        <v>246</v>
      </c>
      <c r="W586" t="s">
        <v>244</v>
      </c>
      <c r="X586" t="s">
        <v>3032</v>
      </c>
      <c r="Y586" t="s">
        <v>191</v>
      </c>
      <c r="Z586" t="s">
        <v>192</v>
      </c>
      <c r="AA586" t="s">
        <v>193</v>
      </c>
      <c r="AB586" t="s">
        <v>104</v>
      </c>
      <c r="AC586" t="s">
        <v>102</v>
      </c>
      <c r="AD586" t="s">
        <v>103</v>
      </c>
      <c r="AE586" s="7">
        <v>235000</v>
      </c>
      <c r="AF586" s="7">
        <v>1</v>
      </c>
      <c r="AG586" s="7">
        <v>235000</v>
      </c>
      <c r="AH586" s="7">
        <v>0</v>
      </c>
      <c r="AI586" s="7">
        <v>235000</v>
      </c>
      <c r="AJ586" t="s">
        <v>102</v>
      </c>
    </row>
    <row r="587" spans="14:36" x14ac:dyDescent="0.3">
      <c r="N587" s="8">
        <v>2026</v>
      </c>
      <c r="O587" s="8">
        <v>6</v>
      </c>
      <c r="P587" s="9">
        <v>46194</v>
      </c>
      <c r="Q587" t="s">
        <v>238</v>
      </c>
      <c r="R587" t="s">
        <v>425</v>
      </c>
      <c r="S587" t="s">
        <v>426</v>
      </c>
      <c r="T587" t="s">
        <v>1060</v>
      </c>
      <c r="U587" t="s">
        <v>3889</v>
      </c>
      <c r="V587" t="s">
        <v>246</v>
      </c>
      <c r="W587" t="s">
        <v>244</v>
      </c>
      <c r="X587" t="s">
        <v>3033</v>
      </c>
      <c r="Y587" t="s">
        <v>191</v>
      </c>
      <c r="Z587" t="s">
        <v>335</v>
      </c>
      <c r="AA587" t="s">
        <v>337</v>
      </c>
      <c r="AB587" t="s">
        <v>864</v>
      </c>
      <c r="AC587" t="s">
        <v>865</v>
      </c>
      <c r="AD587" t="s">
        <v>866</v>
      </c>
      <c r="AE587" s="7">
        <v>139000</v>
      </c>
      <c r="AF587" s="7">
        <v>1</v>
      </c>
      <c r="AG587" s="7">
        <v>139000</v>
      </c>
      <c r="AH587" s="7">
        <v>41700</v>
      </c>
      <c r="AI587" s="7">
        <v>97300</v>
      </c>
      <c r="AJ587" t="s">
        <v>865</v>
      </c>
    </row>
    <row r="588" spans="14:36" x14ac:dyDescent="0.3">
      <c r="N588" s="8">
        <v>2026</v>
      </c>
      <c r="O588" s="8">
        <v>6</v>
      </c>
      <c r="P588" s="9">
        <v>46193</v>
      </c>
      <c r="Q588" t="s">
        <v>238</v>
      </c>
      <c r="R588" t="s">
        <v>239</v>
      </c>
      <c r="S588" t="s">
        <v>240</v>
      </c>
      <c r="T588" t="s">
        <v>2364</v>
      </c>
      <c r="U588" t="s">
        <v>3921</v>
      </c>
      <c r="V588" t="s">
        <v>246</v>
      </c>
      <c r="W588" t="s">
        <v>244</v>
      </c>
      <c r="X588" t="s">
        <v>3036</v>
      </c>
      <c r="Y588" t="s">
        <v>191</v>
      </c>
      <c r="Z588" t="s">
        <v>335</v>
      </c>
      <c r="AA588" t="s">
        <v>337</v>
      </c>
      <c r="AB588" t="s">
        <v>656</v>
      </c>
      <c r="AC588" t="s">
        <v>657</v>
      </c>
      <c r="AD588" t="s">
        <v>658</v>
      </c>
      <c r="AE588" s="7">
        <v>35000</v>
      </c>
      <c r="AF588" s="7">
        <v>1</v>
      </c>
      <c r="AG588" s="7">
        <v>35000</v>
      </c>
      <c r="AH588" s="7">
        <v>0</v>
      </c>
      <c r="AI588" s="7">
        <v>35000</v>
      </c>
      <c r="AJ588" t="s">
        <v>657</v>
      </c>
    </row>
    <row r="589" spans="14:36" x14ac:dyDescent="0.3">
      <c r="N589" s="8">
        <v>2026</v>
      </c>
      <c r="O589" s="8">
        <v>6</v>
      </c>
      <c r="P589" s="9">
        <v>46193</v>
      </c>
      <c r="Q589" t="s">
        <v>238</v>
      </c>
      <c r="R589" t="s">
        <v>279</v>
      </c>
      <c r="S589" t="s">
        <v>280</v>
      </c>
      <c r="T589" t="s">
        <v>1486</v>
      </c>
      <c r="U589" t="s">
        <v>1487</v>
      </c>
      <c r="V589" t="s">
        <v>246</v>
      </c>
      <c r="W589" t="s">
        <v>244</v>
      </c>
      <c r="X589" t="s">
        <v>3039</v>
      </c>
      <c r="Y589" t="s">
        <v>191</v>
      </c>
      <c r="Z589" t="s">
        <v>335</v>
      </c>
      <c r="AA589" t="s">
        <v>336</v>
      </c>
      <c r="AB589" t="s">
        <v>1284</v>
      </c>
      <c r="AC589" t="s">
        <v>1285</v>
      </c>
      <c r="AD589" t="s">
        <v>1286</v>
      </c>
      <c r="AE589" s="7">
        <v>99000</v>
      </c>
      <c r="AF589" s="7">
        <v>1</v>
      </c>
      <c r="AG589" s="7">
        <v>99000</v>
      </c>
      <c r="AH589" s="7">
        <v>0</v>
      </c>
      <c r="AI589" s="7">
        <v>99000</v>
      </c>
      <c r="AJ589" t="s">
        <v>1285</v>
      </c>
    </row>
    <row r="590" spans="14:36" x14ac:dyDescent="0.3">
      <c r="N590" s="8">
        <v>2026</v>
      </c>
      <c r="O590" s="8">
        <v>6</v>
      </c>
      <c r="P590" s="9">
        <v>46193</v>
      </c>
      <c r="Q590" t="s">
        <v>238</v>
      </c>
      <c r="R590" t="s">
        <v>279</v>
      </c>
      <c r="S590" t="s">
        <v>280</v>
      </c>
      <c r="T590" t="s">
        <v>1995</v>
      </c>
      <c r="U590" t="s">
        <v>3922</v>
      </c>
      <c r="V590" t="s">
        <v>246</v>
      </c>
      <c r="W590" t="s">
        <v>244</v>
      </c>
      <c r="X590" t="s">
        <v>3040</v>
      </c>
      <c r="Y590" t="s">
        <v>168</v>
      </c>
      <c r="Z590" t="s">
        <v>171</v>
      </c>
      <c r="AA590" t="s">
        <v>172</v>
      </c>
      <c r="AB590" t="s">
        <v>14</v>
      </c>
      <c r="AC590" t="s">
        <v>12</v>
      </c>
      <c r="AD590" t="s">
        <v>13</v>
      </c>
      <c r="AE590" s="7">
        <v>135000</v>
      </c>
      <c r="AF590" s="7">
        <v>1</v>
      </c>
      <c r="AG590" s="7">
        <v>135000</v>
      </c>
      <c r="AH590" s="7">
        <v>26000</v>
      </c>
      <c r="AI590" s="7">
        <v>109000</v>
      </c>
      <c r="AJ590" t="s">
        <v>12</v>
      </c>
    </row>
    <row r="591" spans="14:36" x14ac:dyDescent="0.3">
      <c r="N591" s="8">
        <v>2026</v>
      </c>
      <c r="O591" s="8">
        <v>6</v>
      </c>
      <c r="P591" s="9">
        <v>46193</v>
      </c>
      <c r="Q591" t="s">
        <v>238</v>
      </c>
      <c r="R591" t="s">
        <v>279</v>
      </c>
      <c r="S591" t="s">
        <v>280</v>
      </c>
      <c r="T591" t="s">
        <v>739</v>
      </c>
      <c r="U591" t="s">
        <v>740</v>
      </c>
      <c r="V591" t="s">
        <v>246</v>
      </c>
      <c r="W591" t="s">
        <v>244</v>
      </c>
      <c r="X591" t="s">
        <v>3041</v>
      </c>
      <c r="Y591" t="s">
        <v>168</v>
      </c>
      <c r="Z591" t="s">
        <v>171</v>
      </c>
      <c r="AA591" t="s">
        <v>175</v>
      </c>
      <c r="AB591" t="s">
        <v>137</v>
      </c>
      <c r="AC591" t="s">
        <v>135</v>
      </c>
      <c r="AD591" t="s">
        <v>136</v>
      </c>
      <c r="AE591" s="7">
        <v>100000</v>
      </c>
      <c r="AF591" s="7">
        <v>1</v>
      </c>
      <c r="AG591" s="7">
        <v>100000</v>
      </c>
      <c r="AH591" s="7">
        <v>10000</v>
      </c>
      <c r="AI591" s="7">
        <v>90000</v>
      </c>
      <c r="AJ591" t="s">
        <v>135</v>
      </c>
    </row>
    <row r="592" spans="14:36" x14ac:dyDescent="0.3">
      <c r="N592" s="8">
        <v>2026</v>
      </c>
      <c r="O592" s="8">
        <v>6</v>
      </c>
      <c r="P592" s="9">
        <v>46193</v>
      </c>
      <c r="Q592" t="s">
        <v>238</v>
      </c>
      <c r="R592" t="s">
        <v>303</v>
      </c>
      <c r="S592" t="s">
        <v>304</v>
      </c>
      <c r="T592" t="s">
        <v>1549</v>
      </c>
      <c r="U592" t="s">
        <v>895</v>
      </c>
      <c r="V592" t="s">
        <v>246</v>
      </c>
      <c r="W592" t="s">
        <v>244</v>
      </c>
      <c r="X592" t="s">
        <v>3042</v>
      </c>
      <c r="Y592" t="s">
        <v>191</v>
      </c>
      <c r="Z592" t="s">
        <v>335</v>
      </c>
      <c r="AA592" t="s">
        <v>336</v>
      </c>
      <c r="AB592" t="s">
        <v>1284</v>
      </c>
      <c r="AC592" t="s">
        <v>1285</v>
      </c>
      <c r="AD592" t="s">
        <v>1286</v>
      </c>
      <c r="AE592" s="7">
        <v>99000</v>
      </c>
      <c r="AF592" s="7">
        <v>1</v>
      </c>
      <c r="AG592" s="7">
        <v>99000</v>
      </c>
      <c r="AH592" s="7">
        <v>0</v>
      </c>
      <c r="AI592" s="7">
        <v>99000</v>
      </c>
      <c r="AJ592" t="s">
        <v>1285</v>
      </c>
    </row>
    <row r="593" spans="14:36" x14ac:dyDescent="0.3">
      <c r="N593" s="8">
        <v>2026</v>
      </c>
      <c r="O593" s="8">
        <v>6</v>
      </c>
      <c r="P593" s="9">
        <v>46193</v>
      </c>
      <c r="Q593" t="s">
        <v>238</v>
      </c>
      <c r="R593" t="s">
        <v>303</v>
      </c>
      <c r="S593" t="s">
        <v>304</v>
      </c>
      <c r="T593" t="s">
        <v>3043</v>
      </c>
      <c r="U593" t="s">
        <v>285</v>
      </c>
      <c r="V593" t="s">
        <v>249</v>
      </c>
      <c r="W593" t="s">
        <v>244</v>
      </c>
      <c r="X593" t="s">
        <v>3044</v>
      </c>
      <c r="Y593" t="s">
        <v>191</v>
      </c>
      <c r="Z593" t="s">
        <v>192</v>
      </c>
      <c r="AA593" t="s">
        <v>193</v>
      </c>
      <c r="AB593" t="s">
        <v>107</v>
      </c>
      <c r="AC593" t="s">
        <v>105</v>
      </c>
      <c r="AD593" t="s">
        <v>106</v>
      </c>
      <c r="AE593" s="7">
        <v>235000</v>
      </c>
      <c r="AF593" s="7">
        <v>3</v>
      </c>
      <c r="AG593" s="7">
        <v>705000</v>
      </c>
      <c r="AH593" s="7">
        <v>0</v>
      </c>
      <c r="AI593" s="7">
        <v>705000</v>
      </c>
      <c r="AJ593" t="s">
        <v>105</v>
      </c>
    </row>
    <row r="594" spans="14:36" x14ac:dyDescent="0.3">
      <c r="N594" s="8">
        <v>2026</v>
      </c>
      <c r="O594" s="8">
        <v>6</v>
      </c>
      <c r="P594" s="9">
        <v>46193</v>
      </c>
      <c r="Q594" t="s">
        <v>238</v>
      </c>
      <c r="R594" t="s">
        <v>303</v>
      </c>
      <c r="S594" t="s">
        <v>304</v>
      </c>
      <c r="T594" t="s">
        <v>3045</v>
      </c>
      <c r="U594" t="s">
        <v>1901</v>
      </c>
      <c r="V594" t="s">
        <v>246</v>
      </c>
      <c r="W594" t="s">
        <v>244</v>
      </c>
      <c r="X594" t="s">
        <v>3046</v>
      </c>
      <c r="Y594" t="s">
        <v>168</v>
      </c>
      <c r="Z594" t="s">
        <v>171</v>
      </c>
      <c r="AA594" t="s">
        <v>173</v>
      </c>
      <c r="AB594" t="s">
        <v>26</v>
      </c>
      <c r="AC594" t="s">
        <v>24</v>
      </c>
      <c r="AD594" t="s">
        <v>25</v>
      </c>
      <c r="AE594" s="7">
        <v>555000</v>
      </c>
      <c r="AF594" s="7">
        <v>1</v>
      </c>
      <c r="AG594" s="7">
        <v>555000</v>
      </c>
      <c r="AH594" s="7">
        <v>44400</v>
      </c>
      <c r="AI594" s="7">
        <v>510600</v>
      </c>
      <c r="AJ594" t="s">
        <v>24</v>
      </c>
    </row>
    <row r="595" spans="14:36" x14ac:dyDescent="0.3">
      <c r="N595" s="8">
        <v>2026</v>
      </c>
      <c r="O595" s="8">
        <v>6</v>
      </c>
      <c r="P595" s="9">
        <v>46193</v>
      </c>
      <c r="Q595" t="s">
        <v>238</v>
      </c>
      <c r="R595" t="s">
        <v>303</v>
      </c>
      <c r="S595" t="s">
        <v>304</v>
      </c>
      <c r="T595" t="s">
        <v>3045</v>
      </c>
      <c r="U595" t="s">
        <v>1901</v>
      </c>
      <c r="V595" t="s">
        <v>246</v>
      </c>
      <c r="W595" t="s">
        <v>244</v>
      </c>
      <c r="X595" t="s">
        <v>3046</v>
      </c>
      <c r="Y595" t="s">
        <v>168</v>
      </c>
      <c r="Z595" t="s">
        <v>171</v>
      </c>
      <c r="AA595" t="s">
        <v>175</v>
      </c>
      <c r="AB595" t="s">
        <v>38</v>
      </c>
      <c r="AC595" t="s">
        <v>36</v>
      </c>
      <c r="AD595" t="s">
        <v>37</v>
      </c>
      <c r="AE595" s="7">
        <v>290000</v>
      </c>
      <c r="AF595" s="7">
        <v>1</v>
      </c>
      <c r="AG595" s="7">
        <v>290000</v>
      </c>
      <c r="AH595" s="7">
        <v>23200</v>
      </c>
      <c r="AI595" s="7">
        <v>266800</v>
      </c>
      <c r="AJ595" t="s">
        <v>36</v>
      </c>
    </row>
    <row r="596" spans="14:36" x14ac:dyDescent="0.3">
      <c r="N596" s="8">
        <v>2026</v>
      </c>
      <c r="O596" s="8">
        <v>6</v>
      </c>
      <c r="P596" s="9">
        <v>46193</v>
      </c>
      <c r="Q596" t="s">
        <v>238</v>
      </c>
      <c r="R596" t="s">
        <v>351</v>
      </c>
      <c r="S596" t="s">
        <v>352</v>
      </c>
      <c r="T596" t="s">
        <v>2211</v>
      </c>
      <c r="U596" t="s">
        <v>2212</v>
      </c>
      <c r="V596" t="s">
        <v>246</v>
      </c>
      <c r="W596" t="s">
        <v>244</v>
      </c>
      <c r="X596" t="s">
        <v>3047</v>
      </c>
      <c r="Y596" t="s">
        <v>191</v>
      </c>
      <c r="Z596" t="s">
        <v>192</v>
      </c>
      <c r="AA596" t="s">
        <v>193</v>
      </c>
      <c r="AB596" t="s">
        <v>107</v>
      </c>
      <c r="AC596" t="s">
        <v>105</v>
      </c>
      <c r="AD596" t="s">
        <v>106</v>
      </c>
      <c r="AE596" s="7">
        <v>235000</v>
      </c>
      <c r="AF596" s="7">
        <v>1</v>
      </c>
      <c r="AG596" s="7">
        <v>235000</v>
      </c>
      <c r="AH596" s="7">
        <v>0</v>
      </c>
      <c r="AI596" s="7">
        <v>235000</v>
      </c>
      <c r="AJ596" t="s">
        <v>105</v>
      </c>
    </row>
    <row r="597" spans="14:36" x14ac:dyDescent="0.3">
      <c r="N597" s="8">
        <v>2026</v>
      </c>
      <c r="O597" s="8">
        <v>6</v>
      </c>
      <c r="P597" s="9">
        <v>46193</v>
      </c>
      <c r="Q597" t="s">
        <v>238</v>
      </c>
      <c r="R597" t="s">
        <v>374</v>
      </c>
      <c r="S597" t="s">
        <v>375</v>
      </c>
      <c r="T597" t="s">
        <v>376</v>
      </c>
      <c r="U597" t="s">
        <v>377</v>
      </c>
      <c r="V597" t="s">
        <v>243</v>
      </c>
      <c r="W597" t="s">
        <v>244</v>
      </c>
      <c r="X597" t="s">
        <v>3048</v>
      </c>
      <c r="Y597" t="s">
        <v>168</v>
      </c>
      <c r="Z597" t="s">
        <v>171</v>
      </c>
      <c r="AA597" t="s">
        <v>173</v>
      </c>
      <c r="AB597" t="s">
        <v>29</v>
      </c>
      <c r="AC597" t="s">
        <v>27</v>
      </c>
      <c r="AD597" t="s">
        <v>28</v>
      </c>
      <c r="AE597" s="7">
        <v>575000</v>
      </c>
      <c r="AF597" s="7">
        <v>1</v>
      </c>
      <c r="AG597" s="7">
        <v>575000</v>
      </c>
      <c r="AH597" s="7">
        <v>46000</v>
      </c>
      <c r="AI597" s="7">
        <v>529000</v>
      </c>
      <c r="AJ597" t="s">
        <v>27</v>
      </c>
    </row>
    <row r="598" spans="14:36" x14ac:dyDescent="0.3">
      <c r="N598" s="8">
        <v>2026</v>
      </c>
      <c r="O598" s="8">
        <v>6</v>
      </c>
      <c r="P598" s="9">
        <v>46193</v>
      </c>
      <c r="Q598" t="s">
        <v>238</v>
      </c>
      <c r="R598" t="s">
        <v>374</v>
      </c>
      <c r="S598" t="s">
        <v>375</v>
      </c>
      <c r="T598" t="s">
        <v>1815</v>
      </c>
      <c r="U598" t="s">
        <v>3923</v>
      </c>
      <c r="V598" t="s">
        <v>246</v>
      </c>
      <c r="W598" t="s">
        <v>244</v>
      </c>
      <c r="X598" t="s">
        <v>3049</v>
      </c>
      <c r="Y598" t="s">
        <v>168</v>
      </c>
      <c r="Z598" t="s">
        <v>171</v>
      </c>
      <c r="AA598" t="s">
        <v>175</v>
      </c>
      <c r="AB598" t="s">
        <v>44</v>
      </c>
      <c r="AC598" t="s">
        <v>42</v>
      </c>
      <c r="AD598" t="s">
        <v>43</v>
      </c>
      <c r="AE598" s="7">
        <v>294000</v>
      </c>
      <c r="AF598" s="7">
        <v>1</v>
      </c>
      <c r="AG598" s="7">
        <v>294000</v>
      </c>
      <c r="AH598" s="7">
        <v>117600</v>
      </c>
      <c r="AI598" s="7">
        <v>176400</v>
      </c>
      <c r="AJ598" t="s">
        <v>42</v>
      </c>
    </row>
    <row r="599" spans="14:36" x14ac:dyDescent="0.3">
      <c r="N599" s="8">
        <v>2026</v>
      </c>
      <c r="O599" s="8">
        <v>6</v>
      </c>
      <c r="P599" s="9">
        <v>46193</v>
      </c>
      <c r="Q599" t="s">
        <v>238</v>
      </c>
      <c r="R599" t="s">
        <v>374</v>
      </c>
      <c r="S599" t="s">
        <v>375</v>
      </c>
      <c r="T599" t="s">
        <v>382</v>
      </c>
      <c r="U599" t="s">
        <v>383</v>
      </c>
      <c r="V599" t="s">
        <v>243</v>
      </c>
      <c r="W599" t="s">
        <v>244</v>
      </c>
      <c r="X599" t="s">
        <v>3050</v>
      </c>
      <c r="Y599" t="s">
        <v>168</v>
      </c>
      <c r="Z599" t="s">
        <v>179</v>
      </c>
      <c r="AA599" t="s">
        <v>180</v>
      </c>
      <c r="AB599" t="s">
        <v>149</v>
      </c>
      <c r="AC599" t="s">
        <v>147</v>
      </c>
      <c r="AD599" t="s">
        <v>148</v>
      </c>
      <c r="AE599" s="7">
        <v>150000</v>
      </c>
      <c r="AF599" s="7">
        <v>1</v>
      </c>
      <c r="AG599" s="7">
        <v>150000</v>
      </c>
      <c r="AH599" s="7">
        <v>15000</v>
      </c>
      <c r="AI599" s="7">
        <v>135000</v>
      </c>
      <c r="AJ599" t="s">
        <v>147</v>
      </c>
    </row>
    <row r="600" spans="14:36" x14ac:dyDescent="0.3">
      <c r="N600" s="8">
        <v>2026</v>
      </c>
      <c r="O600" s="8">
        <v>6</v>
      </c>
      <c r="P600" s="9">
        <v>46193</v>
      </c>
      <c r="Q600" t="s">
        <v>238</v>
      </c>
      <c r="R600" t="s">
        <v>374</v>
      </c>
      <c r="S600" t="s">
        <v>375</v>
      </c>
      <c r="T600" t="s">
        <v>382</v>
      </c>
      <c r="U600" t="s">
        <v>383</v>
      </c>
      <c r="V600" t="s">
        <v>243</v>
      </c>
      <c r="W600" t="s">
        <v>244</v>
      </c>
      <c r="X600" t="s">
        <v>3051</v>
      </c>
      <c r="Y600" t="s">
        <v>191</v>
      </c>
      <c r="Z600" t="s">
        <v>335</v>
      </c>
      <c r="AA600" t="s">
        <v>336</v>
      </c>
      <c r="AB600" t="s">
        <v>1146</v>
      </c>
      <c r="AC600" t="s">
        <v>1147</v>
      </c>
      <c r="AD600" t="s">
        <v>1148</v>
      </c>
      <c r="AE600" s="7">
        <v>99000</v>
      </c>
      <c r="AF600" s="7">
        <v>1</v>
      </c>
      <c r="AG600" s="7">
        <v>99000</v>
      </c>
      <c r="AH600" s="7">
        <v>0</v>
      </c>
      <c r="AI600" s="7">
        <v>99000</v>
      </c>
      <c r="AJ600" t="s">
        <v>1147</v>
      </c>
    </row>
    <row r="601" spans="14:36" x14ac:dyDescent="0.3">
      <c r="N601" s="8">
        <v>2026</v>
      </c>
      <c r="O601" s="8">
        <v>6</v>
      </c>
      <c r="P601" s="9">
        <v>46193</v>
      </c>
      <c r="Q601" t="s">
        <v>238</v>
      </c>
      <c r="R601" t="s">
        <v>374</v>
      </c>
      <c r="S601" t="s">
        <v>375</v>
      </c>
      <c r="T601" t="s">
        <v>2407</v>
      </c>
      <c r="U601" t="s">
        <v>384</v>
      </c>
      <c r="V601" t="s">
        <v>246</v>
      </c>
      <c r="W601" t="s">
        <v>244</v>
      </c>
      <c r="X601" t="s">
        <v>3052</v>
      </c>
      <c r="Y601" t="s">
        <v>191</v>
      </c>
      <c r="Z601" t="s">
        <v>335</v>
      </c>
      <c r="AA601" t="s">
        <v>336</v>
      </c>
      <c r="AB601" t="s">
        <v>1518</v>
      </c>
      <c r="AC601" t="s">
        <v>1519</v>
      </c>
      <c r="AD601" t="s">
        <v>1520</v>
      </c>
      <c r="AE601" s="7">
        <v>99000</v>
      </c>
      <c r="AF601" s="7">
        <v>1</v>
      </c>
      <c r="AG601" s="7">
        <v>99000</v>
      </c>
      <c r="AH601" s="7">
        <v>0</v>
      </c>
      <c r="AI601" s="7">
        <v>99000</v>
      </c>
      <c r="AJ601" t="s">
        <v>1519</v>
      </c>
    </row>
    <row r="602" spans="14:36" x14ac:dyDescent="0.3">
      <c r="N602" s="8">
        <v>2026</v>
      </c>
      <c r="O602" s="8">
        <v>6</v>
      </c>
      <c r="P602" s="9">
        <v>46193</v>
      </c>
      <c r="Q602" t="s">
        <v>238</v>
      </c>
      <c r="R602" t="s">
        <v>374</v>
      </c>
      <c r="S602" t="s">
        <v>375</v>
      </c>
      <c r="T602" t="s">
        <v>3053</v>
      </c>
      <c r="U602" t="s">
        <v>288</v>
      </c>
      <c r="V602" t="s">
        <v>246</v>
      </c>
      <c r="W602" t="s">
        <v>244</v>
      </c>
      <c r="X602" t="s">
        <v>3054</v>
      </c>
      <c r="Y602" t="s">
        <v>183</v>
      </c>
      <c r="Z602" t="s">
        <v>189</v>
      </c>
      <c r="AA602" t="s">
        <v>190</v>
      </c>
      <c r="AB602" t="s">
        <v>92</v>
      </c>
      <c r="AC602" t="s">
        <v>90</v>
      </c>
      <c r="AD602" t="s">
        <v>91</v>
      </c>
      <c r="AE602" s="7">
        <v>52000</v>
      </c>
      <c r="AF602" s="7">
        <v>1</v>
      </c>
      <c r="AG602" s="7">
        <v>52000</v>
      </c>
      <c r="AH602" s="7">
        <v>0</v>
      </c>
      <c r="AI602" s="7">
        <v>52000</v>
      </c>
      <c r="AJ602" t="s">
        <v>90</v>
      </c>
    </row>
    <row r="603" spans="14:36" x14ac:dyDescent="0.3">
      <c r="N603" s="8">
        <v>2026</v>
      </c>
      <c r="O603" s="8">
        <v>6</v>
      </c>
      <c r="P603" s="9">
        <v>46193</v>
      </c>
      <c r="Q603" t="s">
        <v>238</v>
      </c>
      <c r="R603" t="s">
        <v>396</v>
      </c>
      <c r="S603" t="s">
        <v>397</v>
      </c>
      <c r="T603" t="s">
        <v>398</v>
      </c>
      <c r="U603" t="s">
        <v>399</v>
      </c>
      <c r="V603" t="s">
        <v>243</v>
      </c>
      <c r="W603" t="s">
        <v>244</v>
      </c>
      <c r="X603" t="s">
        <v>3055</v>
      </c>
      <c r="Y603" t="s">
        <v>194</v>
      </c>
      <c r="Z603" t="s">
        <v>200</v>
      </c>
      <c r="AA603" t="s">
        <v>201</v>
      </c>
      <c r="AB603" t="s">
        <v>80</v>
      </c>
      <c r="AC603" t="s">
        <v>78</v>
      </c>
      <c r="AD603" t="s">
        <v>79</v>
      </c>
      <c r="AE603" s="7">
        <v>14000</v>
      </c>
      <c r="AF603" s="7">
        <v>1</v>
      </c>
      <c r="AG603" s="7">
        <v>14000</v>
      </c>
      <c r="AH603" s="7">
        <v>0</v>
      </c>
      <c r="AI603" s="7">
        <v>14000</v>
      </c>
      <c r="AJ603" t="s">
        <v>78</v>
      </c>
    </row>
    <row r="604" spans="14:36" x14ac:dyDescent="0.3">
      <c r="N604" s="8">
        <v>2026</v>
      </c>
      <c r="O604" s="8">
        <v>6</v>
      </c>
      <c r="P604" s="9">
        <v>46193</v>
      </c>
      <c r="Q604" t="s">
        <v>238</v>
      </c>
      <c r="R604" t="s">
        <v>396</v>
      </c>
      <c r="S604" t="s">
        <v>397</v>
      </c>
      <c r="T604" t="s">
        <v>3056</v>
      </c>
      <c r="U604" t="s">
        <v>1491</v>
      </c>
      <c r="V604" t="s">
        <v>246</v>
      </c>
      <c r="W604" t="s">
        <v>244</v>
      </c>
      <c r="X604" t="s">
        <v>3057</v>
      </c>
      <c r="Y604" t="s">
        <v>168</v>
      </c>
      <c r="Z604" t="s">
        <v>171</v>
      </c>
      <c r="AA604" t="s">
        <v>175</v>
      </c>
      <c r="AB604" t="s">
        <v>44</v>
      </c>
      <c r="AC604" t="s">
        <v>42</v>
      </c>
      <c r="AD604" t="s">
        <v>43</v>
      </c>
      <c r="AE604" s="7">
        <v>294000</v>
      </c>
      <c r="AF604" s="7">
        <v>1</v>
      </c>
      <c r="AG604" s="7">
        <v>294000</v>
      </c>
      <c r="AH604" s="7">
        <v>117600</v>
      </c>
      <c r="AI604" s="7">
        <v>176400</v>
      </c>
      <c r="AJ604" t="s">
        <v>42</v>
      </c>
    </row>
    <row r="605" spans="14:36" x14ac:dyDescent="0.3">
      <c r="N605" s="8">
        <v>2026</v>
      </c>
      <c r="O605" s="8">
        <v>6</v>
      </c>
      <c r="P605" s="9">
        <v>46193</v>
      </c>
      <c r="Q605" t="s">
        <v>238</v>
      </c>
      <c r="R605" t="s">
        <v>425</v>
      </c>
      <c r="S605" t="s">
        <v>426</v>
      </c>
      <c r="T605" t="s">
        <v>1291</v>
      </c>
      <c r="U605" t="s">
        <v>3887</v>
      </c>
      <c r="V605" t="s">
        <v>246</v>
      </c>
      <c r="W605" t="s">
        <v>244</v>
      </c>
      <c r="X605" t="s">
        <v>3058</v>
      </c>
      <c r="Y605" t="s">
        <v>191</v>
      </c>
      <c r="Z605" t="s">
        <v>335</v>
      </c>
      <c r="AA605" t="s">
        <v>337</v>
      </c>
      <c r="AB605" t="s">
        <v>348</v>
      </c>
      <c r="AC605" t="s">
        <v>349</v>
      </c>
      <c r="AD605" t="s">
        <v>350</v>
      </c>
      <c r="AE605" s="7">
        <v>76000</v>
      </c>
      <c r="AF605" s="7">
        <v>1</v>
      </c>
      <c r="AG605" s="7">
        <v>76000</v>
      </c>
      <c r="AH605" s="7">
        <v>0</v>
      </c>
      <c r="AI605" s="7">
        <v>76000</v>
      </c>
      <c r="AJ605" t="s">
        <v>349</v>
      </c>
    </row>
    <row r="606" spans="14:36" x14ac:dyDescent="0.3">
      <c r="N606" s="8">
        <v>2026</v>
      </c>
      <c r="O606" s="8">
        <v>6</v>
      </c>
      <c r="P606" s="9">
        <v>46193</v>
      </c>
      <c r="Q606" t="s">
        <v>238</v>
      </c>
      <c r="R606" t="s">
        <v>425</v>
      </c>
      <c r="S606" t="s">
        <v>426</v>
      </c>
      <c r="T606" t="s">
        <v>1335</v>
      </c>
      <c r="U606" t="s">
        <v>259</v>
      </c>
      <c r="V606" t="s">
        <v>246</v>
      </c>
      <c r="W606" t="s">
        <v>244</v>
      </c>
      <c r="X606" t="s">
        <v>3060</v>
      </c>
      <c r="Y606" t="s">
        <v>168</v>
      </c>
      <c r="Z606" t="s">
        <v>169</v>
      </c>
      <c r="AA606" t="s">
        <v>170</v>
      </c>
      <c r="AB606" t="s">
        <v>8</v>
      </c>
      <c r="AC606" t="s">
        <v>6</v>
      </c>
      <c r="AD606" t="s">
        <v>7</v>
      </c>
      <c r="AE606" s="7">
        <v>435000</v>
      </c>
      <c r="AF606" s="7">
        <v>1</v>
      </c>
      <c r="AG606" s="7">
        <v>435000</v>
      </c>
      <c r="AH606" s="7">
        <v>0</v>
      </c>
      <c r="AI606" s="7">
        <v>435000</v>
      </c>
      <c r="AJ606" t="s">
        <v>6</v>
      </c>
    </row>
    <row r="607" spans="14:36" x14ac:dyDescent="0.3">
      <c r="N607" s="8">
        <v>2026</v>
      </c>
      <c r="O607" s="8">
        <v>6</v>
      </c>
      <c r="P607" s="9">
        <v>46192</v>
      </c>
      <c r="Q607" t="s">
        <v>238</v>
      </c>
      <c r="R607" t="s">
        <v>239</v>
      </c>
      <c r="S607" t="s">
        <v>240</v>
      </c>
      <c r="T607" t="s">
        <v>2861</v>
      </c>
      <c r="U607" t="s">
        <v>288</v>
      </c>
      <c r="V607" t="s">
        <v>246</v>
      </c>
      <c r="W607" t="s">
        <v>244</v>
      </c>
      <c r="X607" t="s">
        <v>3061</v>
      </c>
      <c r="Y607" t="s">
        <v>194</v>
      </c>
      <c r="Z607" t="s">
        <v>195</v>
      </c>
      <c r="AA607" t="s">
        <v>196</v>
      </c>
      <c r="AB607" t="s">
        <v>59</v>
      </c>
      <c r="AC607" t="s">
        <v>57</v>
      </c>
      <c r="AD607" t="s">
        <v>58</v>
      </c>
      <c r="AE607" s="7">
        <v>330000</v>
      </c>
      <c r="AF607" s="7">
        <v>1</v>
      </c>
      <c r="AG607" s="7">
        <v>330000</v>
      </c>
      <c r="AH607" s="7">
        <v>0</v>
      </c>
      <c r="AI607" s="7">
        <v>330000</v>
      </c>
      <c r="AJ607" t="s">
        <v>57</v>
      </c>
    </row>
    <row r="608" spans="14:36" x14ac:dyDescent="0.3">
      <c r="N608" s="8">
        <v>2026</v>
      </c>
      <c r="O608" s="8">
        <v>6</v>
      </c>
      <c r="P608" s="9">
        <v>46192</v>
      </c>
      <c r="Q608" t="s">
        <v>238</v>
      </c>
      <c r="R608" t="s">
        <v>239</v>
      </c>
      <c r="S608" t="s">
        <v>240</v>
      </c>
      <c r="T608" t="s">
        <v>1524</v>
      </c>
      <c r="U608" t="s">
        <v>1525</v>
      </c>
      <c r="V608" t="s">
        <v>246</v>
      </c>
      <c r="W608" t="s">
        <v>244</v>
      </c>
      <c r="X608" t="s">
        <v>3062</v>
      </c>
      <c r="Y608" t="s">
        <v>191</v>
      </c>
      <c r="Z608" t="s">
        <v>335</v>
      </c>
      <c r="AA608" t="s">
        <v>337</v>
      </c>
      <c r="AB608" t="s">
        <v>719</v>
      </c>
      <c r="AC608" t="s">
        <v>720</v>
      </c>
      <c r="AD608" t="s">
        <v>721</v>
      </c>
      <c r="AE608" s="7">
        <v>104000</v>
      </c>
      <c r="AF608" s="7">
        <v>1</v>
      </c>
      <c r="AG608" s="7">
        <v>104000</v>
      </c>
      <c r="AH608" s="7">
        <v>31200</v>
      </c>
      <c r="AI608" s="7">
        <v>72800</v>
      </c>
      <c r="AJ608" t="s">
        <v>720</v>
      </c>
    </row>
    <row r="609" spans="14:36" x14ac:dyDescent="0.3">
      <c r="N609" s="8">
        <v>2026</v>
      </c>
      <c r="O609" s="8">
        <v>6</v>
      </c>
      <c r="P609" s="9">
        <v>46192</v>
      </c>
      <c r="Q609" t="s">
        <v>238</v>
      </c>
      <c r="R609" t="s">
        <v>239</v>
      </c>
      <c r="S609" t="s">
        <v>240</v>
      </c>
      <c r="T609" t="s">
        <v>2137</v>
      </c>
      <c r="U609" t="s">
        <v>2138</v>
      </c>
      <c r="V609" t="s">
        <v>246</v>
      </c>
      <c r="W609" t="s">
        <v>244</v>
      </c>
      <c r="X609" t="s">
        <v>3063</v>
      </c>
      <c r="Y609" t="s">
        <v>191</v>
      </c>
      <c r="Z609" t="s">
        <v>335</v>
      </c>
      <c r="AA609" t="s">
        <v>336</v>
      </c>
      <c r="AB609" t="s">
        <v>1146</v>
      </c>
      <c r="AC609" t="s">
        <v>1147</v>
      </c>
      <c r="AD609" t="s">
        <v>1148</v>
      </c>
      <c r="AE609" s="7">
        <v>99000</v>
      </c>
      <c r="AF609" s="7">
        <v>1</v>
      </c>
      <c r="AG609" s="7">
        <v>99000</v>
      </c>
      <c r="AH609" s="7">
        <v>0</v>
      </c>
      <c r="AI609" s="7">
        <v>99000</v>
      </c>
      <c r="AJ609" t="s">
        <v>1147</v>
      </c>
    </row>
    <row r="610" spans="14:36" x14ac:dyDescent="0.3">
      <c r="N610" s="8">
        <v>2026</v>
      </c>
      <c r="O610" s="8">
        <v>6</v>
      </c>
      <c r="P610" s="9">
        <v>46192</v>
      </c>
      <c r="Q610" t="s">
        <v>238</v>
      </c>
      <c r="R610" t="s">
        <v>279</v>
      </c>
      <c r="S610" t="s">
        <v>280</v>
      </c>
      <c r="T610" t="s">
        <v>3037</v>
      </c>
      <c r="U610" t="s">
        <v>3038</v>
      </c>
      <c r="V610" t="s">
        <v>246</v>
      </c>
      <c r="W610" t="s">
        <v>244</v>
      </c>
      <c r="X610" t="s">
        <v>3064</v>
      </c>
      <c r="Y610" t="s">
        <v>191</v>
      </c>
      <c r="Z610" t="s">
        <v>335</v>
      </c>
      <c r="AA610" t="s">
        <v>337</v>
      </c>
      <c r="AB610" t="s">
        <v>656</v>
      </c>
      <c r="AC610" t="s">
        <v>657</v>
      </c>
      <c r="AD610" t="s">
        <v>658</v>
      </c>
      <c r="AE610" s="7">
        <v>35000</v>
      </c>
      <c r="AF610" s="7">
        <v>1</v>
      </c>
      <c r="AG610" s="7">
        <v>35000</v>
      </c>
      <c r="AH610" s="7">
        <v>0</v>
      </c>
      <c r="AI610" s="7">
        <v>35000</v>
      </c>
      <c r="AJ610" t="s">
        <v>657</v>
      </c>
    </row>
    <row r="611" spans="14:36" x14ac:dyDescent="0.3">
      <c r="N611" s="8">
        <v>2026</v>
      </c>
      <c r="O611" s="8">
        <v>6</v>
      </c>
      <c r="P611" s="9">
        <v>46192</v>
      </c>
      <c r="Q611" t="s">
        <v>238</v>
      </c>
      <c r="R611" t="s">
        <v>279</v>
      </c>
      <c r="S611" t="s">
        <v>280</v>
      </c>
      <c r="T611" t="s">
        <v>2471</v>
      </c>
      <c r="U611" t="s">
        <v>2472</v>
      </c>
      <c r="V611" t="s">
        <v>246</v>
      </c>
      <c r="W611" t="s">
        <v>244</v>
      </c>
      <c r="X611" t="s">
        <v>3065</v>
      </c>
      <c r="Y611" t="s">
        <v>191</v>
      </c>
      <c r="Z611" t="s">
        <v>335</v>
      </c>
      <c r="AA611" t="s">
        <v>337</v>
      </c>
      <c r="AB611" t="s">
        <v>719</v>
      </c>
      <c r="AC611" t="s">
        <v>720</v>
      </c>
      <c r="AD611" t="s">
        <v>721</v>
      </c>
      <c r="AE611" s="7">
        <v>104000</v>
      </c>
      <c r="AF611" s="7">
        <v>1</v>
      </c>
      <c r="AG611" s="7">
        <v>104000</v>
      </c>
      <c r="AH611" s="7">
        <v>31200</v>
      </c>
      <c r="AI611" s="7">
        <v>72800</v>
      </c>
      <c r="AJ611" t="s">
        <v>720</v>
      </c>
    </row>
    <row r="612" spans="14:36" x14ac:dyDescent="0.3">
      <c r="N612" s="8">
        <v>2026</v>
      </c>
      <c r="O612" s="8">
        <v>6</v>
      </c>
      <c r="P612" s="9">
        <v>46192</v>
      </c>
      <c r="Q612" t="s">
        <v>238</v>
      </c>
      <c r="R612" t="s">
        <v>279</v>
      </c>
      <c r="S612" t="s">
        <v>280</v>
      </c>
      <c r="T612" t="s">
        <v>3066</v>
      </c>
      <c r="U612" t="s">
        <v>3924</v>
      </c>
      <c r="V612" t="s">
        <v>249</v>
      </c>
      <c r="W612" t="s">
        <v>244</v>
      </c>
      <c r="X612" t="s">
        <v>3067</v>
      </c>
      <c r="Y612" t="s">
        <v>191</v>
      </c>
      <c r="Z612" t="s">
        <v>335</v>
      </c>
      <c r="AA612" t="s">
        <v>336</v>
      </c>
      <c r="AB612" t="s">
        <v>1518</v>
      </c>
      <c r="AC612" t="s">
        <v>1519</v>
      </c>
      <c r="AD612" t="s">
        <v>1520</v>
      </c>
      <c r="AE612" s="7">
        <v>99000</v>
      </c>
      <c r="AF612" s="7">
        <v>2</v>
      </c>
      <c r="AG612" s="7">
        <v>198000</v>
      </c>
      <c r="AH612" s="7">
        <v>0</v>
      </c>
      <c r="AI612" s="7">
        <v>198000</v>
      </c>
      <c r="AJ612" t="s">
        <v>1519</v>
      </c>
    </row>
    <row r="613" spans="14:36" x14ac:dyDescent="0.3">
      <c r="N613" s="8">
        <v>2026</v>
      </c>
      <c r="O613" s="8">
        <v>6</v>
      </c>
      <c r="P613" s="9">
        <v>46192</v>
      </c>
      <c r="Q613" t="s">
        <v>238</v>
      </c>
      <c r="R613" t="s">
        <v>279</v>
      </c>
      <c r="S613" t="s">
        <v>280</v>
      </c>
      <c r="T613" t="s">
        <v>3066</v>
      </c>
      <c r="U613" t="s">
        <v>3924</v>
      </c>
      <c r="V613" t="s">
        <v>249</v>
      </c>
      <c r="W613" t="s">
        <v>244</v>
      </c>
      <c r="X613" t="s">
        <v>3067</v>
      </c>
      <c r="Y613" t="s">
        <v>191</v>
      </c>
      <c r="Z613" t="s">
        <v>335</v>
      </c>
      <c r="AA613" t="s">
        <v>336</v>
      </c>
      <c r="AB613" t="s">
        <v>1284</v>
      </c>
      <c r="AC613" t="s">
        <v>1285</v>
      </c>
      <c r="AD613" t="s">
        <v>1286</v>
      </c>
      <c r="AE613" s="7">
        <v>99000</v>
      </c>
      <c r="AF613" s="7">
        <v>1</v>
      </c>
      <c r="AG613" s="7">
        <v>99000</v>
      </c>
      <c r="AH613" s="7">
        <v>0</v>
      </c>
      <c r="AI613" s="7">
        <v>99000</v>
      </c>
      <c r="AJ613" t="s">
        <v>1285</v>
      </c>
    </row>
    <row r="614" spans="14:36" x14ac:dyDescent="0.3">
      <c r="N614" s="8">
        <v>2026</v>
      </c>
      <c r="O614" s="8">
        <v>6</v>
      </c>
      <c r="P614" s="9">
        <v>46192</v>
      </c>
      <c r="Q614" t="s">
        <v>238</v>
      </c>
      <c r="R614" t="s">
        <v>303</v>
      </c>
      <c r="S614" t="s">
        <v>304</v>
      </c>
      <c r="T614" t="s">
        <v>3068</v>
      </c>
      <c r="U614" t="s">
        <v>1862</v>
      </c>
      <c r="V614" t="s">
        <v>246</v>
      </c>
      <c r="W614" t="s">
        <v>244</v>
      </c>
      <c r="X614" t="s">
        <v>3069</v>
      </c>
      <c r="Y614" t="s">
        <v>168</v>
      </c>
      <c r="Z614" t="s">
        <v>169</v>
      </c>
      <c r="AA614" t="s">
        <v>170</v>
      </c>
      <c r="AB614" t="s">
        <v>5</v>
      </c>
      <c r="AC614" t="s">
        <v>3</v>
      </c>
      <c r="AD614" t="s">
        <v>4</v>
      </c>
      <c r="AE614" s="7">
        <v>435000</v>
      </c>
      <c r="AF614" s="7">
        <v>1</v>
      </c>
      <c r="AG614" s="7">
        <v>435000</v>
      </c>
      <c r="AH614" s="7">
        <v>0</v>
      </c>
      <c r="AI614" s="7">
        <v>435000</v>
      </c>
      <c r="AJ614" t="s">
        <v>3</v>
      </c>
    </row>
    <row r="615" spans="14:36" x14ac:dyDescent="0.3">
      <c r="N615" s="8">
        <v>2026</v>
      </c>
      <c r="O615" s="8">
        <v>6</v>
      </c>
      <c r="P615" s="9">
        <v>46192</v>
      </c>
      <c r="Q615" t="s">
        <v>238</v>
      </c>
      <c r="R615" t="s">
        <v>303</v>
      </c>
      <c r="S615" t="s">
        <v>304</v>
      </c>
      <c r="T615" t="s">
        <v>743</v>
      </c>
      <c r="U615" t="s">
        <v>744</v>
      </c>
      <c r="V615" t="s">
        <v>246</v>
      </c>
      <c r="W615" t="s">
        <v>244</v>
      </c>
      <c r="X615" t="s">
        <v>3070</v>
      </c>
      <c r="Y615" t="s">
        <v>191</v>
      </c>
      <c r="Z615" t="s">
        <v>335</v>
      </c>
      <c r="AA615" t="s">
        <v>336</v>
      </c>
      <c r="AB615" t="s">
        <v>1146</v>
      </c>
      <c r="AC615" t="s">
        <v>1147</v>
      </c>
      <c r="AD615" t="s">
        <v>1148</v>
      </c>
      <c r="AE615" s="7">
        <v>99000</v>
      </c>
      <c r="AF615" s="7">
        <v>1</v>
      </c>
      <c r="AG615" s="7">
        <v>99000</v>
      </c>
      <c r="AH615" s="7">
        <v>0</v>
      </c>
      <c r="AI615" s="7">
        <v>99000</v>
      </c>
      <c r="AJ615" t="s">
        <v>1147</v>
      </c>
    </row>
    <row r="616" spans="14:36" x14ac:dyDescent="0.3">
      <c r="N616" s="8">
        <v>2026</v>
      </c>
      <c r="O616" s="8">
        <v>6</v>
      </c>
      <c r="P616" s="9">
        <v>46192</v>
      </c>
      <c r="Q616" t="s">
        <v>238</v>
      </c>
      <c r="R616" t="s">
        <v>303</v>
      </c>
      <c r="S616" t="s">
        <v>304</v>
      </c>
      <c r="T616" t="s">
        <v>342</v>
      </c>
      <c r="U616" t="s">
        <v>3543</v>
      </c>
      <c r="V616" t="s">
        <v>246</v>
      </c>
      <c r="W616" t="s">
        <v>244</v>
      </c>
      <c r="X616" t="s">
        <v>3071</v>
      </c>
      <c r="Y616" t="s">
        <v>168</v>
      </c>
      <c r="Z616" t="s">
        <v>181</v>
      </c>
      <c r="AA616" t="s">
        <v>182</v>
      </c>
      <c r="AB616" t="s">
        <v>50</v>
      </c>
      <c r="AC616" t="s">
        <v>48</v>
      </c>
      <c r="AD616" t="s">
        <v>49</v>
      </c>
      <c r="AE616" s="7">
        <v>49000</v>
      </c>
      <c r="AF616" s="7">
        <v>1</v>
      </c>
      <c r="AG616" s="7">
        <v>49000</v>
      </c>
      <c r="AH616" s="7">
        <v>0</v>
      </c>
      <c r="AI616" s="7">
        <v>49000</v>
      </c>
      <c r="AJ616" t="s">
        <v>48</v>
      </c>
    </row>
    <row r="617" spans="14:36" x14ac:dyDescent="0.3">
      <c r="N617" s="8">
        <v>2026</v>
      </c>
      <c r="O617" s="8">
        <v>6</v>
      </c>
      <c r="P617" s="9">
        <v>46192</v>
      </c>
      <c r="Q617" t="s">
        <v>238</v>
      </c>
      <c r="R617" t="s">
        <v>351</v>
      </c>
      <c r="S617" t="s">
        <v>352</v>
      </c>
      <c r="T617" t="s">
        <v>3072</v>
      </c>
      <c r="U617" t="s">
        <v>2210</v>
      </c>
      <c r="V617" t="s">
        <v>246</v>
      </c>
      <c r="W617" t="s">
        <v>244</v>
      </c>
      <c r="X617" t="s">
        <v>3073</v>
      </c>
      <c r="Y617" t="s">
        <v>191</v>
      </c>
      <c r="Z617" t="s">
        <v>335</v>
      </c>
      <c r="AA617" t="s">
        <v>336</v>
      </c>
      <c r="AB617" t="s">
        <v>1284</v>
      </c>
      <c r="AC617" t="s">
        <v>1285</v>
      </c>
      <c r="AD617" t="s">
        <v>1286</v>
      </c>
      <c r="AE617" s="7">
        <v>99000</v>
      </c>
      <c r="AF617" s="7">
        <v>1</v>
      </c>
      <c r="AG617" s="7">
        <v>99000</v>
      </c>
      <c r="AH617" s="7">
        <v>0</v>
      </c>
      <c r="AI617" s="7">
        <v>99000</v>
      </c>
      <c r="AJ617" t="s">
        <v>1285</v>
      </c>
    </row>
    <row r="618" spans="14:36" x14ac:dyDescent="0.3">
      <c r="N618" s="8">
        <v>2026</v>
      </c>
      <c r="O618" s="8">
        <v>6</v>
      </c>
      <c r="P618" s="9">
        <v>46192</v>
      </c>
      <c r="Q618" t="s">
        <v>238</v>
      </c>
      <c r="R618" t="s">
        <v>374</v>
      </c>
      <c r="S618" t="s">
        <v>375</v>
      </c>
      <c r="T618" t="s">
        <v>485</v>
      </c>
      <c r="U618" t="s">
        <v>486</v>
      </c>
      <c r="V618" t="s">
        <v>246</v>
      </c>
      <c r="W618" t="s">
        <v>244</v>
      </c>
      <c r="X618" t="s">
        <v>3074</v>
      </c>
      <c r="Y618" t="s">
        <v>191</v>
      </c>
      <c r="Z618" t="s">
        <v>335</v>
      </c>
      <c r="AA618" t="s">
        <v>337</v>
      </c>
      <c r="AB618" t="s">
        <v>864</v>
      </c>
      <c r="AC618" t="s">
        <v>865</v>
      </c>
      <c r="AD618" t="s">
        <v>866</v>
      </c>
      <c r="AE618" s="7">
        <v>139000</v>
      </c>
      <c r="AF618" s="7">
        <v>1</v>
      </c>
      <c r="AG618" s="7">
        <v>139000</v>
      </c>
      <c r="AH618" s="7">
        <v>41700</v>
      </c>
      <c r="AI618" s="7">
        <v>97300</v>
      </c>
      <c r="AJ618" t="s">
        <v>865</v>
      </c>
    </row>
    <row r="619" spans="14:36" x14ac:dyDescent="0.3">
      <c r="N619" s="8">
        <v>2026</v>
      </c>
      <c r="O619" s="8">
        <v>6</v>
      </c>
      <c r="P619" s="9">
        <v>46192</v>
      </c>
      <c r="Q619" t="s">
        <v>238</v>
      </c>
      <c r="R619" t="s">
        <v>374</v>
      </c>
      <c r="S619" t="s">
        <v>375</v>
      </c>
      <c r="T619" t="s">
        <v>3076</v>
      </c>
      <c r="U619" t="s">
        <v>270</v>
      </c>
      <c r="V619" t="s">
        <v>246</v>
      </c>
      <c r="W619" t="s">
        <v>244</v>
      </c>
      <c r="X619" t="s">
        <v>3077</v>
      </c>
      <c r="Y619" t="s">
        <v>191</v>
      </c>
      <c r="Z619" t="s">
        <v>335</v>
      </c>
      <c r="AA619" t="s">
        <v>336</v>
      </c>
      <c r="AB619" t="s">
        <v>1284</v>
      </c>
      <c r="AC619" t="s">
        <v>1285</v>
      </c>
      <c r="AD619" t="s">
        <v>1286</v>
      </c>
      <c r="AE619" s="7">
        <v>49500</v>
      </c>
      <c r="AF619" s="7">
        <v>1</v>
      </c>
      <c r="AG619" s="7">
        <v>49500</v>
      </c>
      <c r="AH619" s="7">
        <v>0</v>
      </c>
      <c r="AI619" s="7">
        <v>49500</v>
      </c>
      <c r="AJ619" t="s">
        <v>1285</v>
      </c>
    </row>
    <row r="620" spans="14:36" x14ac:dyDescent="0.3">
      <c r="N620" s="8">
        <v>2026</v>
      </c>
      <c r="O620" s="8">
        <v>6</v>
      </c>
      <c r="P620" s="9">
        <v>46192</v>
      </c>
      <c r="Q620" t="s">
        <v>238</v>
      </c>
      <c r="R620" t="s">
        <v>374</v>
      </c>
      <c r="S620" t="s">
        <v>375</v>
      </c>
      <c r="T620" t="s">
        <v>1096</v>
      </c>
      <c r="U620" t="s">
        <v>3886</v>
      </c>
      <c r="V620" t="s">
        <v>246</v>
      </c>
      <c r="W620" t="s">
        <v>244</v>
      </c>
      <c r="X620" t="s">
        <v>3078</v>
      </c>
      <c r="Y620" t="s">
        <v>191</v>
      </c>
      <c r="Z620" t="s">
        <v>335</v>
      </c>
      <c r="AA620" t="s">
        <v>336</v>
      </c>
      <c r="AB620" t="s">
        <v>1146</v>
      </c>
      <c r="AC620" t="s">
        <v>1147</v>
      </c>
      <c r="AD620" t="s">
        <v>1148</v>
      </c>
      <c r="AE620" s="7">
        <v>99000</v>
      </c>
      <c r="AF620" s="7">
        <v>1</v>
      </c>
      <c r="AG620" s="7">
        <v>99000</v>
      </c>
      <c r="AH620" s="7">
        <v>0</v>
      </c>
      <c r="AI620" s="7">
        <v>99000</v>
      </c>
      <c r="AJ620" t="s">
        <v>1147</v>
      </c>
    </row>
    <row r="621" spans="14:36" x14ac:dyDescent="0.3">
      <c r="N621" s="8">
        <v>2026</v>
      </c>
      <c r="O621" s="8">
        <v>6</v>
      </c>
      <c r="P621" s="9">
        <v>46192</v>
      </c>
      <c r="Q621" t="s">
        <v>238</v>
      </c>
      <c r="R621" t="s">
        <v>396</v>
      </c>
      <c r="S621" t="s">
        <v>397</v>
      </c>
      <c r="T621" t="s">
        <v>3079</v>
      </c>
      <c r="U621" t="s">
        <v>3925</v>
      </c>
      <c r="V621" t="s">
        <v>246</v>
      </c>
      <c r="W621" t="s">
        <v>244</v>
      </c>
      <c r="X621" t="s">
        <v>3080</v>
      </c>
      <c r="Y621" t="s">
        <v>194</v>
      </c>
      <c r="Z621" t="s">
        <v>200</v>
      </c>
      <c r="AA621" t="s">
        <v>201</v>
      </c>
      <c r="AB621" t="s">
        <v>77</v>
      </c>
      <c r="AC621" t="s">
        <v>75</v>
      </c>
      <c r="AD621" t="s">
        <v>76</v>
      </c>
      <c r="AE621" s="7">
        <v>52000</v>
      </c>
      <c r="AF621" s="7">
        <v>1</v>
      </c>
      <c r="AG621" s="7">
        <v>52000</v>
      </c>
      <c r="AH621" s="7">
        <v>0</v>
      </c>
      <c r="AI621" s="7">
        <v>52000</v>
      </c>
      <c r="AJ621" t="s">
        <v>75</v>
      </c>
    </row>
    <row r="622" spans="14:36" x14ac:dyDescent="0.3">
      <c r="N622" s="8">
        <v>2026</v>
      </c>
      <c r="O622" s="8">
        <v>6</v>
      </c>
      <c r="P622" s="9">
        <v>46192</v>
      </c>
      <c r="Q622" t="s">
        <v>238</v>
      </c>
      <c r="R622" t="s">
        <v>415</v>
      </c>
      <c r="S622" t="s">
        <v>416</v>
      </c>
      <c r="T622" t="s">
        <v>3081</v>
      </c>
      <c r="U622" t="s">
        <v>250</v>
      </c>
      <c r="V622" t="s">
        <v>249</v>
      </c>
      <c r="W622" t="s">
        <v>244</v>
      </c>
      <c r="X622" t="s">
        <v>3082</v>
      </c>
      <c r="Y622" t="s">
        <v>168</v>
      </c>
      <c r="Z622" t="s">
        <v>181</v>
      </c>
      <c r="AA622" t="s">
        <v>182</v>
      </c>
      <c r="AB622" t="s">
        <v>50</v>
      </c>
      <c r="AC622" t="s">
        <v>48</v>
      </c>
      <c r="AD622" t="s">
        <v>49</v>
      </c>
      <c r="AE622" s="7">
        <v>49000</v>
      </c>
      <c r="AF622" s="7">
        <v>1</v>
      </c>
      <c r="AG622" s="7">
        <v>49000</v>
      </c>
      <c r="AH622" s="7">
        <v>0</v>
      </c>
      <c r="AI622" s="7">
        <v>49000</v>
      </c>
      <c r="AJ622" t="s">
        <v>48</v>
      </c>
    </row>
    <row r="623" spans="14:36" x14ac:dyDescent="0.3">
      <c r="N623" s="8">
        <v>2026</v>
      </c>
      <c r="O623" s="8">
        <v>6</v>
      </c>
      <c r="P623" s="9">
        <v>46192</v>
      </c>
      <c r="Q623" t="s">
        <v>238</v>
      </c>
      <c r="R623" t="s">
        <v>425</v>
      </c>
      <c r="S623" t="s">
        <v>426</v>
      </c>
      <c r="T623" t="s">
        <v>3083</v>
      </c>
      <c r="U623" t="s">
        <v>3898</v>
      </c>
      <c r="V623" t="s">
        <v>246</v>
      </c>
      <c r="W623" t="s">
        <v>244</v>
      </c>
      <c r="X623" t="s">
        <v>3084</v>
      </c>
      <c r="Y623" t="s">
        <v>183</v>
      </c>
      <c r="Z623" t="s">
        <v>184</v>
      </c>
      <c r="AA623" t="s">
        <v>185</v>
      </c>
      <c r="AB623" t="s">
        <v>47</v>
      </c>
      <c r="AC623" t="s">
        <v>45</v>
      </c>
      <c r="AD623" t="s">
        <v>46</v>
      </c>
      <c r="AE623" s="7">
        <v>52000</v>
      </c>
      <c r="AF623" s="7">
        <v>1</v>
      </c>
      <c r="AG623" s="7">
        <v>52000</v>
      </c>
      <c r="AH623" s="7">
        <v>0</v>
      </c>
      <c r="AI623" s="7">
        <v>52000</v>
      </c>
      <c r="AJ623" t="s">
        <v>45</v>
      </c>
    </row>
    <row r="624" spans="14:36" x14ac:dyDescent="0.3">
      <c r="N624" s="8">
        <v>2026</v>
      </c>
      <c r="O624" s="8">
        <v>6</v>
      </c>
      <c r="P624" s="9">
        <v>46191</v>
      </c>
      <c r="Q624" t="s">
        <v>238</v>
      </c>
      <c r="R624" t="s">
        <v>239</v>
      </c>
      <c r="S624" t="s">
        <v>240</v>
      </c>
      <c r="T624" t="s">
        <v>1010</v>
      </c>
      <c r="U624" t="s">
        <v>3886</v>
      </c>
      <c r="V624" t="s">
        <v>246</v>
      </c>
      <c r="W624" t="s">
        <v>244</v>
      </c>
      <c r="X624" t="s">
        <v>3085</v>
      </c>
      <c r="Y624" t="s">
        <v>183</v>
      </c>
      <c r="Z624" t="s">
        <v>189</v>
      </c>
      <c r="AA624" t="s">
        <v>190</v>
      </c>
      <c r="AB624" t="s">
        <v>92</v>
      </c>
      <c r="AC624" t="s">
        <v>90</v>
      </c>
      <c r="AD624" t="s">
        <v>91</v>
      </c>
      <c r="AE624" s="7">
        <v>52000</v>
      </c>
      <c r="AF624" s="7">
        <v>1</v>
      </c>
      <c r="AG624" s="7">
        <v>52000</v>
      </c>
      <c r="AH624" s="7">
        <v>0</v>
      </c>
      <c r="AI624" s="7">
        <v>52000</v>
      </c>
      <c r="AJ624" t="s">
        <v>90</v>
      </c>
    </row>
    <row r="625" spans="14:36" x14ac:dyDescent="0.3">
      <c r="N625" s="8">
        <v>2026</v>
      </c>
      <c r="O625" s="8">
        <v>6</v>
      </c>
      <c r="P625" s="9">
        <v>46191</v>
      </c>
      <c r="Q625" t="s">
        <v>238</v>
      </c>
      <c r="R625" t="s">
        <v>239</v>
      </c>
      <c r="S625" t="s">
        <v>240</v>
      </c>
      <c r="T625" t="s">
        <v>269</v>
      </c>
      <c r="U625" t="s">
        <v>270</v>
      </c>
      <c r="V625" t="s">
        <v>246</v>
      </c>
      <c r="W625" t="s">
        <v>244</v>
      </c>
      <c r="X625" t="s">
        <v>3086</v>
      </c>
      <c r="Y625" t="s">
        <v>194</v>
      </c>
      <c r="Z625" t="s">
        <v>200</v>
      </c>
      <c r="AA625" t="s">
        <v>201</v>
      </c>
      <c r="AB625" t="s">
        <v>77</v>
      </c>
      <c r="AC625" t="s">
        <v>75</v>
      </c>
      <c r="AD625" t="s">
        <v>76</v>
      </c>
      <c r="AE625" s="7">
        <v>52000</v>
      </c>
      <c r="AF625" s="7">
        <v>3</v>
      </c>
      <c r="AG625" s="7">
        <v>156000</v>
      </c>
      <c r="AH625" s="7">
        <v>0</v>
      </c>
      <c r="AI625" s="7">
        <v>156000</v>
      </c>
      <c r="AJ625" t="s">
        <v>75</v>
      </c>
    </row>
    <row r="626" spans="14:36" x14ac:dyDescent="0.3">
      <c r="N626" s="8">
        <v>2026</v>
      </c>
      <c r="O626" s="8">
        <v>6</v>
      </c>
      <c r="P626" s="9">
        <v>46191</v>
      </c>
      <c r="Q626" t="s">
        <v>238</v>
      </c>
      <c r="R626" t="s">
        <v>239</v>
      </c>
      <c r="S626" t="s">
        <v>240</v>
      </c>
      <c r="T626" t="s">
        <v>732</v>
      </c>
      <c r="U626" t="s">
        <v>3887</v>
      </c>
      <c r="V626" t="s">
        <v>246</v>
      </c>
      <c r="W626" t="s">
        <v>244</v>
      </c>
      <c r="X626" t="s">
        <v>3087</v>
      </c>
      <c r="Y626" t="s">
        <v>191</v>
      </c>
      <c r="Z626" t="s">
        <v>192</v>
      </c>
      <c r="AA626" t="s">
        <v>193</v>
      </c>
      <c r="AB626" t="s">
        <v>107</v>
      </c>
      <c r="AC626" t="s">
        <v>105</v>
      </c>
      <c r="AD626" t="s">
        <v>106</v>
      </c>
      <c r="AE626" s="7">
        <v>235000</v>
      </c>
      <c r="AF626" s="7">
        <v>1</v>
      </c>
      <c r="AG626" s="7">
        <v>235000</v>
      </c>
      <c r="AH626" s="7">
        <v>0</v>
      </c>
      <c r="AI626" s="7">
        <v>235000</v>
      </c>
      <c r="AJ626" t="s">
        <v>105</v>
      </c>
    </row>
    <row r="627" spans="14:36" x14ac:dyDescent="0.3">
      <c r="N627" s="8">
        <v>2026</v>
      </c>
      <c r="O627" s="8">
        <v>6</v>
      </c>
      <c r="P627" s="9">
        <v>46191</v>
      </c>
      <c r="Q627" t="s">
        <v>238</v>
      </c>
      <c r="R627" t="s">
        <v>279</v>
      </c>
      <c r="S627" t="s">
        <v>280</v>
      </c>
      <c r="T627" t="s">
        <v>3089</v>
      </c>
      <c r="U627" t="s">
        <v>3892</v>
      </c>
      <c r="V627" t="s">
        <v>246</v>
      </c>
      <c r="W627" t="s">
        <v>244</v>
      </c>
      <c r="X627" t="s">
        <v>3090</v>
      </c>
      <c r="Y627" t="s">
        <v>168</v>
      </c>
      <c r="Z627" t="s">
        <v>171</v>
      </c>
      <c r="AA627" t="s">
        <v>172</v>
      </c>
      <c r="AB627" t="s">
        <v>14</v>
      </c>
      <c r="AC627" t="s">
        <v>12</v>
      </c>
      <c r="AD627" t="s">
        <v>13</v>
      </c>
      <c r="AE627" s="7">
        <v>135000</v>
      </c>
      <c r="AF627" s="7">
        <v>1</v>
      </c>
      <c r="AG627" s="7">
        <v>135000</v>
      </c>
      <c r="AH627" s="7">
        <v>26000</v>
      </c>
      <c r="AI627" s="7">
        <v>109000</v>
      </c>
      <c r="AJ627" t="s">
        <v>12</v>
      </c>
    </row>
    <row r="628" spans="14:36" x14ac:dyDescent="0.3">
      <c r="N628" s="8">
        <v>2026</v>
      </c>
      <c r="O628" s="8">
        <v>6</v>
      </c>
      <c r="P628" s="9">
        <v>46191</v>
      </c>
      <c r="Q628" t="s">
        <v>238</v>
      </c>
      <c r="R628" t="s">
        <v>279</v>
      </c>
      <c r="S628" t="s">
        <v>280</v>
      </c>
      <c r="T628" t="s">
        <v>2332</v>
      </c>
      <c r="U628" t="s">
        <v>3884</v>
      </c>
      <c r="V628" t="s">
        <v>246</v>
      </c>
      <c r="W628" t="s">
        <v>244</v>
      </c>
      <c r="X628" t="s">
        <v>3091</v>
      </c>
      <c r="Y628" t="s">
        <v>168</v>
      </c>
      <c r="Z628" t="s">
        <v>181</v>
      </c>
      <c r="AA628" t="s">
        <v>182</v>
      </c>
      <c r="AB628" t="s">
        <v>50</v>
      </c>
      <c r="AC628" t="s">
        <v>48</v>
      </c>
      <c r="AD628" t="s">
        <v>49</v>
      </c>
      <c r="AE628" s="7">
        <v>49000</v>
      </c>
      <c r="AF628" s="7">
        <v>1</v>
      </c>
      <c r="AG628" s="7">
        <v>49000</v>
      </c>
      <c r="AH628" s="7">
        <v>0</v>
      </c>
      <c r="AI628" s="7">
        <v>49000</v>
      </c>
      <c r="AJ628" t="s">
        <v>48</v>
      </c>
    </row>
    <row r="629" spans="14:36" x14ac:dyDescent="0.3">
      <c r="N629" s="8">
        <v>2026</v>
      </c>
      <c r="O629" s="8">
        <v>6</v>
      </c>
      <c r="P629" s="9">
        <v>46191</v>
      </c>
      <c r="Q629" t="s">
        <v>238</v>
      </c>
      <c r="R629" t="s">
        <v>303</v>
      </c>
      <c r="S629" t="s">
        <v>304</v>
      </c>
      <c r="T629" t="s">
        <v>2390</v>
      </c>
      <c r="U629" t="s">
        <v>1228</v>
      </c>
      <c r="V629" t="s">
        <v>246</v>
      </c>
      <c r="W629" t="s">
        <v>244</v>
      </c>
      <c r="X629" t="s">
        <v>3092</v>
      </c>
      <c r="Y629" t="s">
        <v>191</v>
      </c>
      <c r="Z629" t="s">
        <v>335</v>
      </c>
      <c r="AA629" t="s">
        <v>336</v>
      </c>
      <c r="AB629" t="s">
        <v>1146</v>
      </c>
      <c r="AC629" t="s">
        <v>1147</v>
      </c>
      <c r="AD629" t="s">
        <v>1148</v>
      </c>
      <c r="AE629" s="7">
        <v>99000</v>
      </c>
      <c r="AF629" s="7">
        <v>1</v>
      </c>
      <c r="AG629" s="7">
        <v>99000</v>
      </c>
      <c r="AH629" s="7">
        <v>0</v>
      </c>
      <c r="AI629" s="7">
        <v>99000</v>
      </c>
      <c r="AJ629" t="s">
        <v>1147</v>
      </c>
    </row>
    <row r="630" spans="14:36" x14ac:dyDescent="0.3">
      <c r="N630" s="8">
        <v>2026</v>
      </c>
      <c r="O630" s="8">
        <v>6</v>
      </c>
      <c r="P630" s="9">
        <v>46191</v>
      </c>
      <c r="Q630" t="s">
        <v>238</v>
      </c>
      <c r="R630" t="s">
        <v>303</v>
      </c>
      <c r="S630" t="s">
        <v>304</v>
      </c>
      <c r="T630" t="s">
        <v>3093</v>
      </c>
      <c r="U630" t="s">
        <v>3926</v>
      </c>
      <c r="V630" t="s">
        <v>246</v>
      </c>
      <c r="W630" t="s">
        <v>244</v>
      </c>
      <c r="X630" t="s">
        <v>3094</v>
      </c>
      <c r="Y630" t="s">
        <v>191</v>
      </c>
      <c r="Z630" t="s">
        <v>192</v>
      </c>
      <c r="AA630" t="s">
        <v>193</v>
      </c>
      <c r="AB630" t="s">
        <v>107</v>
      </c>
      <c r="AC630" t="s">
        <v>105</v>
      </c>
      <c r="AD630" t="s">
        <v>106</v>
      </c>
      <c r="AE630" s="7">
        <v>235000</v>
      </c>
      <c r="AF630" s="7">
        <v>1</v>
      </c>
      <c r="AG630" s="7">
        <v>235000</v>
      </c>
      <c r="AH630" s="7">
        <v>0</v>
      </c>
      <c r="AI630" s="7">
        <v>235000</v>
      </c>
      <c r="AJ630" t="s">
        <v>105</v>
      </c>
    </row>
    <row r="631" spans="14:36" x14ac:dyDescent="0.3">
      <c r="N631" s="8">
        <v>2026</v>
      </c>
      <c r="O631" s="8">
        <v>6</v>
      </c>
      <c r="P631" s="9">
        <v>46191</v>
      </c>
      <c r="Q631" t="s">
        <v>238</v>
      </c>
      <c r="R631" t="s">
        <v>303</v>
      </c>
      <c r="S631" t="s">
        <v>304</v>
      </c>
      <c r="T631" t="s">
        <v>3095</v>
      </c>
      <c r="U631" t="s">
        <v>3622</v>
      </c>
      <c r="V631" t="s">
        <v>246</v>
      </c>
      <c r="W631" t="s">
        <v>244</v>
      </c>
      <c r="X631" t="s">
        <v>3096</v>
      </c>
      <c r="Y631" t="s">
        <v>191</v>
      </c>
      <c r="Z631" t="s">
        <v>192</v>
      </c>
      <c r="AA631" t="s">
        <v>193</v>
      </c>
      <c r="AB631" t="s">
        <v>110</v>
      </c>
      <c r="AC631" t="s">
        <v>108</v>
      </c>
      <c r="AD631" t="s">
        <v>109</v>
      </c>
      <c r="AE631" s="7">
        <v>235000</v>
      </c>
      <c r="AF631" s="7">
        <v>1</v>
      </c>
      <c r="AG631" s="7">
        <v>235000</v>
      </c>
      <c r="AH631" s="7">
        <v>0</v>
      </c>
      <c r="AI631" s="7">
        <v>235000</v>
      </c>
      <c r="AJ631" t="s">
        <v>108</v>
      </c>
    </row>
    <row r="632" spans="14:36" x14ac:dyDescent="0.3">
      <c r="N632" s="8">
        <v>2026</v>
      </c>
      <c r="O632" s="8">
        <v>6</v>
      </c>
      <c r="P632" s="9">
        <v>46191</v>
      </c>
      <c r="Q632" t="s">
        <v>238</v>
      </c>
      <c r="R632" t="s">
        <v>351</v>
      </c>
      <c r="S632" t="s">
        <v>352</v>
      </c>
      <c r="T632" t="s">
        <v>1605</v>
      </c>
      <c r="U632" t="s">
        <v>3927</v>
      </c>
      <c r="V632" t="s">
        <v>246</v>
      </c>
      <c r="W632" t="s">
        <v>244</v>
      </c>
      <c r="X632" t="s">
        <v>3097</v>
      </c>
      <c r="Y632" t="s">
        <v>191</v>
      </c>
      <c r="Z632" t="s">
        <v>335</v>
      </c>
      <c r="AA632" t="s">
        <v>336</v>
      </c>
      <c r="AB632" t="s">
        <v>1146</v>
      </c>
      <c r="AC632" t="s">
        <v>1147</v>
      </c>
      <c r="AD632" t="s">
        <v>1148</v>
      </c>
      <c r="AE632" s="7">
        <v>99000</v>
      </c>
      <c r="AF632" s="7">
        <v>1</v>
      </c>
      <c r="AG632" s="7">
        <v>99000</v>
      </c>
      <c r="AH632" s="7">
        <v>0</v>
      </c>
      <c r="AI632" s="7">
        <v>99000</v>
      </c>
      <c r="AJ632" t="s">
        <v>1147</v>
      </c>
    </row>
    <row r="633" spans="14:36" x14ac:dyDescent="0.3">
      <c r="N633" s="8">
        <v>2026</v>
      </c>
      <c r="O633" s="8">
        <v>6</v>
      </c>
      <c r="P633" s="9">
        <v>46191</v>
      </c>
      <c r="Q633" t="s">
        <v>238</v>
      </c>
      <c r="R633" t="s">
        <v>351</v>
      </c>
      <c r="S633" t="s">
        <v>352</v>
      </c>
      <c r="T633" t="s">
        <v>1409</v>
      </c>
      <c r="U633" t="s">
        <v>1143</v>
      </c>
      <c r="V633" t="s">
        <v>246</v>
      </c>
      <c r="W633" t="s">
        <v>244</v>
      </c>
      <c r="X633" t="s">
        <v>3098</v>
      </c>
      <c r="Y633" t="s">
        <v>168</v>
      </c>
      <c r="Z633" t="s">
        <v>171</v>
      </c>
      <c r="AA633" t="s">
        <v>175</v>
      </c>
      <c r="AB633" t="s">
        <v>140</v>
      </c>
      <c r="AC633" t="s">
        <v>138</v>
      </c>
      <c r="AD633" t="s">
        <v>139</v>
      </c>
      <c r="AE633" s="7">
        <v>125000</v>
      </c>
      <c r="AF633" s="7">
        <v>1</v>
      </c>
      <c r="AG633" s="7">
        <v>125000</v>
      </c>
      <c r="AH633" s="7">
        <v>12500</v>
      </c>
      <c r="AI633" s="7">
        <v>112500</v>
      </c>
      <c r="AJ633" t="s">
        <v>138</v>
      </c>
    </row>
    <row r="634" spans="14:36" x14ac:dyDescent="0.3">
      <c r="N634" s="8">
        <v>2026</v>
      </c>
      <c r="O634" s="8">
        <v>6</v>
      </c>
      <c r="P634" s="9">
        <v>46191</v>
      </c>
      <c r="Q634" t="s">
        <v>238</v>
      </c>
      <c r="R634" t="s">
        <v>351</v>
      </c>
      <c r="S634" t="s">
        <v>352</v>
      </c>
      <c r="T634" t="s">
        <v>3099</v>
      </c>
      <c r="U634" t="s">
        <v>3928</v>
      </c>
      <c r="V634" t="s">
        <v>249</v>
      </c>
      <c r="W634" t="s">
        <v>244</v>
      </c>
      <c r="X634" t="s">
        <v>3100</v>
      </c>
      <c r="Y634" t="s">
        <v>191</v>
      </c>
      <c r="Z634" t="s">
        <v>335</v>
      </c>
      <c r="AA634" t="s">
        <v>336</v>
      </c>
      <c r="AB634" t="s">
        <v>1284</v>
      </c>
      <c r="AC634" t="s">
        <v>1285</v>
      </c>
      <c r="AD634" t="s">
        <v>1286</v>
      </c>
      <c r="AE634" s="7">
        <v>99000</v>
      </c>
      <c r="AF634" s="7">
        <v>1</v>
      </c>
      <c r="AG634" s="7">
        <v>99000</v>
      </c>
      <c r="AH634" s="7">
        <v>0</v>
      </c>
      <c r="AI634" s="7">
        <v>99000</v>
      </c>
      <c r="AJ634" t="s">
        <v>1285</v>
      </c>
    </row>
    <row r="635" spans="14:36" x14ac:dyDescent="0.3">
      <c r="N635" s="8">
        <v>2026</v>
      </c>
      <c r="O635" s="8">
        <v>6</v>
      </c>
      <c r="P635" s="9">
        <v>46191</v>
      </c>
      <c r="Q635" t="s">
        <v>238</v>
      </c>
      <c r="R635" t="s">
        <v>351</v>
      </c>
      <c r="S635" t="s">
        <v>352</v>
      </c>
      <c r="T635" t="s">
        <v>3101</v>
      </c>
      <c r="U635" t="s">
        <v>3102</v>
      </c>
      <c r="V635" t="s">
        <v>249</v>
      </c>
      <c r="W635" t="s">
        <v>244</v>
      </c>
      <c r="X635" t="s">
        <v>3103</v>
      </c>
      <c r="Y635" t="s">
        <v>191</v>
      </c>
      <c r="Z635" t="s">
        <v>335</v>
      </c>
      <c r="AA635" t="s">
        <v>336</v>
      </c>
      <c r="AB635" t="s">
        <v>1284</v>
      </c>
      <c r="AC635" t="s">
        <v>1285</v>
      </c>
      <c r="AD635" t="s">
        <v>1286</v>
      </c>
      <c r="AE635" s="7">
        <v>99000</v>
      </c>
      <c r="AF635" s="7">
        <v>1</v>
      </c>
      <c r="AG635" s="7">
        <v>99000</v>
      </c>
      <c r="AH635" s="7">
        <v>0</v>
      </c>
      <c r="AI635" s="7">
        <v>99000</v>
      </c>
      <c r="AJ635" t="s">
        <v>1285</v>
      </c>
    </row>
    <row r="636" spans="14:36" x14ac:dyDescent="0.3">
      <c r="N636" s="8">
        <v>2026</v>
      </c>
      <c r="O636" s="8">
        <v>6</v>
      </c>
      <c r="P636" s="9">
        <v>46191</v>
      </c>
      <c r="Q636" t="s">
        <v>238</v>
      </c>
      <c r="R636" t="s">
        <v>351</v>
      </c>
      <c r="S636" t="s">
        <v>352</v>
      </c>
      <c r="T636" t="s">
        <v>3101</v>
      </c>
      <c r="U636" t="s">
        <v>3102</v>
      </c>
      <c r="V636" t="s">
        <v>249</v>
      </c>
      <c r="W636" t="s">
        <v>244</v>
      </c>
      <c r="X636" t="s">
        <v>3103</v>
      </c>
      <c r="Y636" t="s">
        <v>191</v>
      </c>
      <c r="Z636" t="s">
        <v>335</v>
      </c>
      <c r="AA636" t="s">
        <v>336</v>
      </c>
      <c r="AB636" t="s">
        <v>1146</v>
      </c>
      <c r="AC636" t="s">
        <v>1147</v>
      </c>
      <c r="AD636" t="s">
        <v>1148</v>
      </c>
      <c r="AE636" s="7">
        <v>99000</v>
      </c>
      <c r="AF636" s="7">
        <v>1</v>
      </c>
      <c r="AG636" s="7">
        <v>99000</v>
      </c>
      <c r="AH636" s="7">
        <v>0</v>
      </c>
      <c r="AI636" s="7">
        <v>99000</v>
      </c>
      <c r="AJ636" t="s">
        <v>1147</v>
      </c>
    </row>
    <row r="637" spans="14:36" x14ac:dyDescent="0.3">
      <c r="N637" s="8">
        <v>2026</v>
      </c>
      <c r="O637" s="8">
        <v>6</v>
      </c>
      <c r="P637" s="9">
        <v>46191</v>
      </c>
      <c r="Q637" t="s">
        <v>238</v>
      </c>
      <c r="R637" t="s">
        <v>374</v>
      </c>
      <c r="S637" t="s">
        <v>375</v>
      </c>
      <c r="T637" t="s">
        <v>376</v>
      </c>
      <c r="U637" t="s">
        <v>377</v>
      </c>
      <c r="V637" t="s">
        <v>243</v>
      </c>
      <c r="W637" t="s">
        <v>244</v>
      </c>
      <c r="X637" t="s">
        <v>3104</v>
      </c>
      <c r="Y637" t="s">
        <v>168</v>
      </c>
      <c r="Z637" t="s">
        <v>171</v>
      </c>
      <c r="AA637" t="s">
        <v>172</v>
      </c>
      <c r="AB637" t="s">
        <v>11</v>
      </c>
      <c r="AC637" t="s">
        <v>9</v>
      </c>
      <c r="AD637" t="s">
        <v>10</v>
      </c>
      <c r="AE637" s="7">
        <v>129000</v>
      </c>
      <c r="AF637" s="7">
        <v>1</v>
      </c>
      <c r="AG637" s="7">
        <v>129000</v>
      </c>
      <c r="AH637" s="7">
        <v>20000</v>
      </c>
      <c r="AI637" s="7">
        <v>109000</v>
      </c>
      <c r="AJ637" t="s">
        <v>9</v>
      </c>
    </row>
    <row r="638" spans="14:36" x14ac:dyDescent="0.3">
      <c r="N638" s="8">
        <v>2026</v>
      </c>
      <c r="O638" s="8">
        <v>6</v>
      </c>
      <c r="P638" s="9">
        <v>46191</v>
      </c>
      <c r="Q638" t="s">
        <v>238</v>
      </c>
      <c r="R638" t="s">
        <v>374</v>
      </c>
      <c r="S638" t="s">
        <v>375</v>
      </c>
      <c r="T638" t="s">
        <v>709</v>
      </c>
      <c r="U638" t="s">
        <v>312</v>
      </c>
      <c r="V638" t="s">
        <v>246</v>
      </c>
      <c r="W638" t="s">
        <v>244</v>
      </c>
      <c r="X638" t="s">
        <v>3105</v>
      </c>
      <c r="Y638" t="s">
        <v>191</v>
      </c>
      <c r="Z638" t="s">
        <v>335</v>
      </c>
      <c r="AA638" t="s">
        <v>336</v>
      </c>
      <c r="AB638" t="s">
        <v>1518</v>
      </c>
      <c r="AC638" t="s">
        <v>1519</v>
      </c>
      <c r="AD638" t="s">
        <v>1520</v>
      </c>
      <c r="AE638" s="7">
        <v>99000</v>
      </c>
      <c r="AF638" s="7">
        <v>1</v>
      </c>
      <c r="AG638" s="7">
        <v>99000</v>
      </c>
      <c r="AH638" s="7">
        <v>0</v>
      </c>
      <c r="AI638" s="7">
        <v>99000</v>
      </c>
      <c r="AJ638" t="s">
        <v>1519</v>
      </c>
    </row>
    <row r="639" spans="14:36" x14ac:dyDescent="0.3">
      <c r="N639" s="8">
        <v>2026</v>
      </c>
      <c r="O639" s="8">
        <v>6</v>
      </c>
      <c r="P639" s="9">
        <v>46191</v>
      </c>
      <c r="Q639" t="s">
        <v>238</v>
      </c>
      <c r="R639" t="s">
        <v>374</v>
      </c>
      <c r="S639" t="s">
        <v>375</v>
      </c>
      <c r="T639" t="s">
        <v>709</v>
      </c>
      <c r="U639" t="s">
        <v>312</v>
      </c>
      <c r="V639" t="s">
        <v>246</v>
      </c>
      <c r="W639" t="s">
        <v>244</v>
      </c>
      <c r="X639" t="s">
        <v>3105</v>
      </c>
      <c r="Y639" t="s">
        <v>191</v>
      </c>
      <c r="Z639" t="s">
        <v>335</v>
      </c>
      <c r="AA639" t="s">
        <v>336</v>
      </c>
      <c r="AB639" t="s">
        <v>1284</v>
      </c>
      <c r="AC639" t="s">
        <v>1285</v>
      </c>
      <c r="AD639" t="s">
        <v>1286</v>
      </c>
      <c r="AE639" s="7">
        <v>99000</v>
      </c>
      <c r="AF639" s="7">
        <v>1</v>
      </c>
      <c r="AG639" s="7">
        <v>99000</v>
      </c>
      <c r="AH639" s="7">
        <v>0</v>
      </c>
      <c r="AI639" s="7">
        <v>99000</v>
      </c>
      <c r="AJ639" t="s">
        <v>1285</v>
      </c>
    </row>
    <row r="640" spans="14:36" x14ac:dyDescent="0.3">
      <c r="N640" s="8">
        <v>2026</v>
      </c>
      <c r="O640" s="8">
        <v>6</v>
      </c>
      <c r="P640" s="9">
        <v>46191</v>
      </c>
      <c r="Q640" t="s">
        <v>238</v>
      </c>
      <c r="R640" t="s">
        <v>374</v>
      </c>
      <c r="S640" t="s">
        <v>375</v>
      </c>
      <c r="T640" t="s">
        <v>709</v>
      </c>
      <c r="U640" t="s">
        <v>312</v>
      </c>
      <c r="V640" t="s">
        <v>246</v>
      </c>
      <c r="W640" t="s">
        <v>244</v>
      </c>
      <c r="X640" t="s">
        <v>3105</v>
      </c>
      <c r="Y640" t="s">
        <v>191</v>
      </c>
      <c r="Z640" t="s">
        <v>335</v>
      </c>
      <c r="AA640" t="s">
        <v>336</v>
      </c>
      <c r="AB640" t="s">
        <v>1146</v>
      </c>
      <c r="AC640" t="s">
        <v>1147</v>
      </c>
      <c r="AD640" t="s">
        <v>1148</v>
      </c>
      <c r="AE640" s="7">
        <v>99000</v>
      </c>
      <c r="AF640" s="7">
        <v>1</v>
      </c>
      <c r="AG640" s="7">
        <v>99000</v>
      </c>
      <c r="AH640" s="7">
        <v>0</v>
      </c>
      <c r="AI640" s="7">
        <v>99000</v>
      </c>
      <c r="AJ640" t="s">
        <v>1147</v>
      </c>
    </row>
    <row r="641" spans="14:36" x14ac:dyDescent="0.3">
      <c r="N641" s="8">
        <v>2026</v>
      </c>
      <c r="O641" s="8">
        <v>6</v>
      </c>
      <c r="P641" s="9">
        <v>46191</v>
      </c>
      <c r="Q641" t="s">
        <v>238</v>
      </c>
      <c r="R641" t="s">
        <v>374</v>
      </c>
      <c r="S641" t="s">
        <v>375</v>
      </c>
      <c r="T641" t="s">
        <v>3106</v>
      </c>
      <c r="U641" t="s">
        <v>3902</v>
      </c>
      <c r="V641" t="s">
        <v>246</v>
      </c>
      <c r="W641" t="s">
        <v>244</v>
      </c>
      <c r="X641" t="s">
        <v>3107</v>
      </c>
      <c r="Y641" t="s">
        <v>191</v>
      </c>
      <c r="Z641" t="s">
        <v>335</v>
      </c>
      <c r="AA641" t="s">
        <v>336</v>
      </c>
      <c r="AB641" t="s">
        <v>1518</v>
      </c>
      <c r="AC641" t="s">
        <v>1519</v>
      </c>
      <c r="AD641" t="s">
        <v>1520</v>
      </c>
      <c r="AE641" s="7">
        <v>99000</v>
      </c>
      <c r="AF641" s="7">
        <v>1</v>
      </c>
      <c r="AG641" s="7">
        <v>99000</v>
      </c>
      <c r="AH641" s="7">
        <v>0</v>
      </c>
      <c r="AI641" s="7">
        <v>99000</v>
      </c>
      <c r="AJ641" t="s">
        <v>1519</v>
      </c>
    </row>
    <row r="642" spans="14:36" x14ac:dyDescent="0.3">
      <c r="N642" s="8">
        <v>2026</v>
      </c>
      <c r="O642" s="8">
        <v>6</v>
      </c>
      <c r="P642" s="9">
        <v>46191</v>
      </c>
      <c r="Q642" t="s">
        <v>238</v>
      </c>
      <c r="R642" t="s">
        <v>374</v>
      </c>
      <c r="S642" t="s">
        <v>375</v>
      </c>
      <c r="T642" t="s">
        <v>3106</v>
      </c>
      <c r="U642" t="s">
        <v>3902</v>
      </c>
      <c r="V642" t="s">
        <v>246</v>
      </c>
      <c r="W642" t="s">
        <v>244</v>
      </c>
      <c r="X642" t="s">
        <v>3107</v>
      </c>
      <c r="Y642" t="s">
        <v>191</v>
      </c>
      <c r="Z642" t="s">
        <v>335</v>
      </c>
      <c r="AA642" t="s">
        <v>336</v>
      </c>
      <c r="AB642" t="s">
        <v>1146</v>
      </c>
      <c r="AC642" t="s">
        <v>1147</v>
      </c>
      <c r="AD642" t="s">
        <v>1148</v>
      </c>
      <c r="AE642" s="7">
        <v>99000</v>
      </c>
      <c r="AF642" s="7">
        <v>1</v>
      </c>
      <c r="AG642" s="7">
        <v>99000</v>
      </c>
      <c r="AH642" s="7">
        <v>0</v>
      </c>
      <c r="AI642" s="7">
        <v>99000</v>
      </c>
      <c r="AJ642" t="s">
        <v>1147</v>
      </c>
    </row>
    <row r="643" spans="14:36" x14ac:dyDescent="0.3">
      <c r="N643" s="8">
        <v>2026</v>
      </c>
      <c r="O643" s="8">
        <v>6</v>
      </c>
      <c r="P643" s="9">
        <v>46191</v>
      </c>
      <c r="Q643" t="s">
        <v>238</v>
      </c>
      <c r="R643" t="s">
        <v>415</v>
      </c>
      <c r="S643" t="s">
        <v>416</v>
      </c>
      <c r="T643" t="s">
        <v>3109</v>
      </c>
      <c r="U643" t="s">
        <v>3929</v>
      </c>
      <c r="V643" t="s">
        <v>249</v>
      </c>
      <c r="W643" t="s">
        <v>244</v>
      </c>
      <c r="X643" t="s">
        <v>3110</v>
      </c>
      <c r="Y643" t="s">
        <v>168</v>
      </c>
      <c r="Z643" t="s">
        <v>179</v>
      </c>
      <c r="AA643" t="s">
        <v>180</v>
      </c>
      <c r="AB643" t="s">
        <v>149</v>
      </c>
      <c r="AC643" t="s">
        <v>147</v>
      </c>
      <c r="AD643" t="s">
        <v>148</v>
      </c>
      <c r="AE643" s="7">
        <v>150000</v>
      </c>
      <c r="AF643" s="7">
        <v>1</v>
      </c>
      <c r="AG643" s="7">
        <v>150000</v>
      </c>
      <c r="AH643" s="7">
        <v>15000</v>
      </c>
      <c r="AI643" s="7">
        <v>135000</v>
      </c>
      <c r="AJ643" t="s">
        <v>147</v>
      </c>
    </row>
    <row r="644" spans="14:36" x14ac:dyDescent="0.3">
      <c r="N644" s="8">
        <v>2026</v>
      </c>
      <c r="O644" s="8">
        <v>6</v>
      </c>
      <c r="P644" s="9">
        <v>46191</v>
      </c>
      <c r="Q644" t="s">
        <v>238</v>
      </c>
      <c r="R644" t="s">
        <v>415</v>
      </c>
      <c r="S644" t="s">
        <v>416</v>
      </c>
      <c r="T644" t="s">
        <v>3111</v>
      </c>
      <c r="U644" t="s">
        <v>3112</v>
      </c>
      <c r="V644" t="s">
        <v>249</v>
      </c>
      <c r="W644" t="s">
        <v>244</v>
      </c>
      <c r="X644" t="s">
        <v>3113</v>
      </c>
      <c r="Y644" t="s">
        <v>168</v>
      </c>
      <c r="Z644" t="s">
        <v>179</v>
      </c>
      <c r="AA644" t="s">
        <v>180</v>
      </c>
      <c r="AB644" t="s">
        <v>143</v>
      </c>
      <c r="AC644" t="s">
        <v>141</v>
      </c>
      <c r="AD644" t="s">
        <v>142</v>
      </c>
      <c r="AE644" s="7">
        <v>150000</v>
      </c>
      <c r="AF644" s="7">
        <v>1</v>
      </c>
      <c r="AG644" s="7">
        <v>150000</v>
      </c>
      <c r="AH644" s="7">
        <v>15000</v>
      </c>
      <c r="AI644" s="7">
        <v>135000</v>
      </c>
      <c r="AJ644" t="s">
        <v>141</v>
      </c>
    </row>
    <row r="645" spans="14:36" x14ac:dyDescent="0.3">
      <c r="N645" s="8">
        <v>2026</v>
      </c>
      <c r="O645" s="8">
        <v>6</v>
      </c>
      <c r="P645" s="9">
        <v>46190</v>
      </c>
      <c r="Q645" t="s">
        <v>238</v>
      </c>
      <c r="R645" t="s">
        <v>239</v>
      </c>
      <c r="S645" t="s">
        <v>240</v>
      </c>
      <c r="T645" t="s">
        <v>1068</v>
      </c>
      <c r="U645" t="s">
        <v>3930</v>
      </c>
      <c r="V645" t="s">
        <v>246</v>
      </c>
      <c r="W645" t="s">
        <v>244</v>
      </c>
      <c r="X645" t="s">
        <v>3114</v>
      </c>
      <c r="Y645" t="s">
        <v>191</v>
      </c>
      <c r="Z645" t="s">
        <v>335</v>
      </c>
      <c r="AA645" t="s">
        <v>337</v>
      </c>
      <c r="AB645" t="s">
        <v>719</v>
      </c>
      <c r="AC645" t="s">
        <v>720</v>
      </c>
      <c r="AD645" t="s">
        <v>721</v>
      </c>
      <c r="AE645" s="7">
        <v>104000</v>
      </c>
      <c r="AF645" s="7">
        <v>1</v>
      </c>
      <c r="AG645" s="7">
        <v>104000</v>
      </c>
      <c r="AH645" s="7">
        <v>31200</v>
      </c>
      <c r="AI645" s="7">
        <v>72800</v>
      </c>
      <c r="AJ645" t="s">
        <v>720</v>
      </c>
    </row>
    <row r="646" spans="14:36" x14ac:dyDescent="0.3">
      <c r="N646" s="8">
        <v>2026</v>
      </c>
      <c r="O646" s="8">
        <v>6</v>
      </c>
      <c r="P646" s="9">
        <v>46190</v>
      </c>
      <c r="Q646" t="s">
        <v>238</v>
      </c>
      <c r="R646" t="s">
        <v>239</v>
      </c>
      <c r="S646" t="s">
        <v>240</v>
      </c>
      <c r="T646" t="s">
        <v>3115</v>
      </c>
      <c r="U646" t="s">
        <v>3931</v>
      </c>
      <c r="V646" t="s">
        <v>246</v>
      </c>
      <c r="W646" t="s">
        <v>244</v>
      </c>
      <c r="X646" t="s">
        <v>3116</v>
      </c>
      <c r="Y646" t="s">
        <v>194</v>
      </c>
      <c r="Z646" t="s">
        <v>200</v>
      </c>
      <c r="AA646" t="s">
        <v>201</v>
      </c>
      <c r="AB646" t="s">
        <v>89</v>
      </c>
      <c r="AC646" t="s">
        <v>87</v>
      </c>
      <c r="AD646" t="s">
        <v>88</v>
      </c>
      <c r="AE646" s="7">
        <v>46000</v>
      </c>
      <c r="AF646" s="7">
        <v>1</v>
      </c>
      <c r="AG646" s="7">
        <v>46000</v>
      </c>
      <c r="AH646" s="7">
        <v>0</v>
      </c>
      <c r="AI646" s="7">
        <v>46000</v>
      </c>
      <c r="AJ646" t="s">
        <v>87</v>
      </c>
    </row>
    <row r="647" spans="14:36" x14ac:dyDescent="0.3">
      <c r="N647" s="8">
        <v>2026</v>
      </c>
      <c r="O647" s="8">
        <v>6</v>
      </c>
      <c r="P647" s="9">
        <v>46190</v>
      </c>
      <c r="Q647" t="s">
        <v>238</v>
      </c>
      <c r="R647" t="s">
        <v>279</v>
      </c>
      <c r="S647" t="s">
        <v>280</v>
      </c>
      <c r="T647" t="s">
        <v>3088</v>
      </c>
      <c r="U647" t="s">
        <v>1955</v>
      </c>
      <c r="V647" t="s">
        <v>246</v>
      </c>
      <c r="W647" t="s">
        <v>244</v>
      </c>
      <c r="X647" t="s">
        <v>3117</v>
      </c>
      <c r="Y647" t="s">
        <v>191</v>
      </c>
      <c r="Z647" t="s">
        <v>192</v>
      </c>
      <c r="AA647" t="s">
        <v>193</v>
      </c>
      <c r="AB647" t="s">
        <v>104</v>
      </c>
      <c r="AC647" t="s">
        <v>102</v>
      </c>
      <c r="AD647" t="s">
        <v>103</v>
      </c>
      <c r="AE647" s="7">
        <v>235000</v>
      </c>
      <c r="AF647" s="7">
        <v>1</v>
      </c>
      <c r="AG647" s="7">
        <v>235000</v>
      </c>
      <c r="AH647" s="7">
        <v>0</v>
      </c>
      <c r="AI647" s="7">
        <v>235000</v>
      </c>
      <c r="AJ647" t="s">
        <v>102</v>
      </c>
    </row>
    <row r="648" spans="14:36" x14ac:dyDescent="0.3">
      <c r="N648" s="8">
        <v>2026</v>
      </c>
      <c r="O648" s="8">
        <v>6</v>
      </c>
      <c r="P648" s="9">
        <v>46190</v>
      </c>
      <c r="Q648" t="s">
        <v>238</v>
      </c>
      <c r="R648" t="s">
        <v>279</v>
      </c>
      <c r="S648" t="s">
        <v>280</v>
      </c>
      <c r="T648" t="s">
        <v>3088</v>
      </c>
      <c r="U648" t="s">
        <v>1955</v>
      </c>
      <c r="V648" t="s">
        <v>246</v>
      </c>
      <c r="W648" t="s">
        <v>244</v>
      </c>
      <c r="X648" t="s">
        <v>3117</v>
      </c>
      <c r="Y648" t="s">
        <v>191</v>
      </c>
      <c r="Z648" t="s">
        <v>192</v>
      </c>
      <c r="AA648" t="s">
        <v>193</v>
      </c>
      <c r="AB648" t="s">
        <v>107</v>
      </c>
      <c r="AC648" t="s">
        <v>105</v>
      </c>
      <c r="AD648" t="s">
        <v>106</v>
      </c>
      <c r="AE648" s="7">
        <v>235000</v>
      </c>
      <c r="AF648" s="7">
        <v>1</v>
      </c>
      <c r="AG648" s="7">
        <v>235000</v>
      </c>
      <c r="AH648" s="7">
        <v>0</v>
      </c>
      <c r="AI648" s="7">
        <v>235000</v>
      </c>
      <c r="AJ648" t="s">
        <v>105</v>
      </c>
    </row>
    <row r="649" spans="14:36" x14ac:dyDescent="0.3">
      <c r="N649" s="8">
        <v>2026</v>
      </c>
      <c r="O649" s="8">
        <v>6</v>
      </c>
      <c r="P649" s="9">
        <v>46190</v>
      </c>
      <c r="Q649" t="s">
        <v>238</v>
      </c>
      <c r="R649" t="s">
        <v>303</v>
      </c>
      <c r="S649" t="s">
        <v>304</v>
      </c>
      <c r="T649" t="s">
        <v>3118</v>
      </c>
      <c r="U649" t="s">
        <v>3119</v>
      </c>
      <c r="V649" t="s">
        <v>246</v>
      </c>
      <c r="W649" t="s">
        <v>244</v>
      </c>
      <c r="X649" t="s">
        <v>3120</v>
      </c>
      <c r="Y649" t="s">
        <v>194</v>
      </c>
      <c r="Z649" t="s">
        <v>200</v>
      </c>
      <c r="AA649" t="s">
        <v>201</v>
      </c>
      <c r="AB649" t="s">
        <v>80</v>
      </c>
      <c r="AC649" t="s">
        <v>78</v>
      </c>
      <c r="AD649" t="s">
        <v>79</v>
      </c>
      <c r="AE649" s="7">
        <v>14000</v>
      </c>
      <c r="AF649" s="7">
        <v>1</v>
      </c>
      <c r="AG649" s="7">
        <v>14000</v>
      </c>
      <c r="AH649" s="7">
        <v>0</v>
      </c>
      <c r="AI649" s="7">
        <v>14000</v>
      </c>
      <c r="AJ649" t="s">
        <v>78</v>
      </c>
    </row>
    <row r="650" spans="14:36" x14ac:dyDescent="0.3">
      <c r="N650" s="8">
        <v>2026</v>
      </c>
      <c r="O650" s="8">
        <v>6</v>
      </c>
      <c r="P650" s="9">
        <v>46190</v>
      </c>
      <c r="Q650" t="s">
        <v>238</v>
      </c>
      <c r="R650" t="s">
        <v>303</v>
      </c>
      <c r="S650" t="s">
        <v>304</v>
      </c>
      <c r="T650" t="s">
        <v>1078</v>
      </c>
      <c r="U650" t="s">
        <v>250</v>
      </c>
      <c r="V650" t="s">
        <v>246</v>
      </c>
      <c r="W650" t="s">
        <v>244</v>
      </c>
      <c r="X650" t="s">
        <v>3121</v>
      </c>
      <c r="Y650" t="s">
        <v>191</v>
      </c>
      <c r="Z650" t="s">
        <v>192</v>
      </c>
      <c r="AA650" t="s">
        <v>193</v>
      </c>
      <c r="AB650" t="s">
        <v>110</v>
      </c>
      <c r="AC650" t="s">
        <v>108</v>
      </c>
      <c r="AD650" t="s">
        <v>109</v>
      </c>
      <c r="AE650" s="7">
        <v>235000</v>
      </c>
      <c r="AF650" s="7">
        <v>1</v>
      </c>
      <c r="AG650" s="7">
        <v>235000</v>
      </c>
      <c r="AH650" s="7">
        <v>0</v>
      </c>
      <c r="AI650" s="7">
        <v>235000</v>
      </c>
      <c r="AJ650" t="s">
        <v>108</v>
      </c>
    </row>
    <row r="651" spans="14:36" x14ac:dyDescent="0.3">
      <c r="N651" s="8">
        <v>2026</v>
      </c>
      <c r="O651" s="8">
        <v>6</v>
      </c>
      <c r="P651" s="9">
        <v>46190</v>
      </c>
      <c r="Q651" t="s">
        <v>238</v>
      </c>
      <c r="R651" t="s">
        <v>303</v>
      </c>
      <c r="S651" t="s">
        <v>304</v>
      </c>
      <c r="T651" t="s">
        <v>3122</v>
      </c>
      <c r="U651" t="s">
        <v>3905</v>
      </c>
      <c r="V651" t="s">
        <v>246</v>
      </c>
      <c r="W651" t="s">
        <v>244</v>
      </c>
      <c r="X651" t="s">
        <v>3123</v>
      </c>
      <c r="Y651" t="s">
        <v>191</v>
      </c>
      <c r="Z651" t="s">
        <v>192</v>
      </c>
      <c r="AA651" t="s">
        <v>193</v>
      </c>
      <c r="AB651" t="s">
        <v>104</v>
      </c>
      <c r="AC651" t="s">
        <v>102</v>
      </c>
      <c r="AD651" t="s">
        <v>103</v>
      </c>
      <c r="AE651" s="7">
        <v>235000</v>
      </c>
      <c r="AF651" s="7">
        <v>1</v>
      </c>
      <c r="AG651" s="7">
        <v>235000</v>
      </c>
      <c r="AH651" s="7">
        <v>0</v>
      </c>
      <c r="AI651" s="7">
        <v>235000</v>
      </c>
      <c r="AJ651" t="s">
        <v>102</v>
      </c>
    </row>
    <row r="652" spans="14:36" x14ac:dyDescent="0.3">
      <c r="N652" s="8">
        <v>2026</v>
      </c>
      <c r="O652" s="8">
        <v>6</v>
      </c>
      <c r="P652" s="9">
        <v>46190</v>
      </c>
      <c r="Q652" t="s">
        <v>238</v>
      </c>
      <c r="R652" t="s">
        <v>303</v>
      </c>
      <c r="S652" t="s">
        <v>304</v>
      </c>
      <c r="T652" t="s">
        <v>2476</v>
      </c>
      <c r="U652" t="s">
        <v>3932</v>
      </c>
      <c r="V652" t="s">
        <v>246</v>
      </c>
      <c r="W652" t="s">
        <v>244</v>
      </c>
      <c r="X652" t="s">
        <v>3124</v>
      </c>
      <c r="Y652" t="s">
        <v>168</v>
      </c>
      <c r="Z652" t="s">
        <v>171</v>
      </c>
      <c r="AA652" t="s">
        <v>172</v>
      </c>
      <c r="AB652" t="s">
        <v>14</v>
      </c>
      <c r="AC652" t="s">
        <v>12</v>
      </c>
      <c r="AD652" t="s">
        <v>13</v>
      </c>
      <c r="AE652" s="7">
        <v>135000</v>
      </c>
      <c r="AF652" s="7">
        <v>1</v>
      </c>
      <c r="AG652" s="7">
        <v>135000</v>
      </c>
      <c r="AH652" s="7">
        <v>26000</v>
      </c>
      <c r="AI652" s="7">
        <v>109000</v>
      </c>
      <c r="AJ652" t="s">
        <v>12</v>
      </c>
    </row>
    <row r="653" spans="14:36" x14ac:dyDescent="0.3">
      <c r="N653" s="8">
        <v>2026</v>
      </c>
      <c r="O653" s="8">
        <v>6</v>
      </c>
      <c r="P653" s="9">
        <v>46190</v>
      </c>
      <c r="Q653" t="s">
        <v>238</v>
      </c>
      <c r="R653" t="s">
        <v>303</v>
      </c>
      <c r="S653" t="s">
        <v>304</v>
      </c>
      <c r="T653" t="s">
        <v>1702</v>
      </c>
      <c r="U653" t="s">
        <v>1703</v>
      </c>
      <c r="V653" t="s">
        <v>246</v>
      </c>
      <c r="W653" t="s">
        <v>244</v>
      </c>
      <c r="X653" t="s">
        <v>3125</v>
      </c>
      <c r="Y653" t="s">
        <v>168</v>
      </c>
      <c r="Z653" t="s">
        <v>171</v>
      </c>
      <c r="AA653" t="s">
        <v>172</v>
      </c>
      <c r="AB653" t="s">
        <v>11</v>
      </c>
      <c r="AC653" t="s">
        <v>9</v>
      </c>
      <c r="AD653" t="s">
        <v>10</v>
      </c>
      <c r="AE653" s="7">
        <v>129000</v>
      </c>
      <c r="AF653" s="7">
        <v>1</v>
      </c>
      <c r="AG653" s="7">
        <v>129000</v>
      </c>
      <c r="AH653" s="7">
        <v>20000</v>
      </c>
      <c r="AI653" s="7">
        <v>109000</v>
      </c>
      <c r="AJ653" t="s">
        <v>9</v>
      </c>
    </row>
    <row r="654" spans="14:36" x14ac:dyDescent="0.3">
      <c r="N654" s="8">
        <v>2026</v>
      </c>
      <c r="O654" s="8">
        <v>6</v>
      </c>
      <c r="P654" s="9">
        <v>46190</v>
      </c>
      <c r="Q654" t="s">
        <v>238</v>
      </c>
      <c r="R654" t="s">
        <v>351</v>
      </c>
      <c r="S654" t="s">
        <v>352</v>
      </c>
      <c r="T654" t="s">
        <v>356</v>
      </c>
      <c r="U654" t="s">
        <v>357</v>
      </c>
      <c r="V654" t="s">
        <v>243</v>
      </c>
      <c r="W654" t="s">
        <v>244</v>
      </c>
      <c r="X654" t="s">
        <v>3126</v>
      </c>
      <c r="Y654" t="s">
        <v>191</v>
      </c>
      <c r="Z654" t="s">
        <v>335</v>
      </c>
      <c r="AA654" t="s">
        <v>337</v>
      </c>
      <c r="AB654" t="s">
        <v>719</v>
      </c>
      <c r="AC654" t="s">
        <v>720</v>
      </c>
      <c r="AD654" t="s">
        <v>721</v>
      </c>
      <c r="AE654" s="7">
        <v>104000</v>
      </c>
      <c r="AF654" s="7">
        <v>1</v>
      </c>
      <c r="AG654" s="7">
        <v>104000</v>
      </c>
      <c r="AH654" s="7">
        <v>31200</v>
      </c>
      <c r="AI654" s="7">
        <v>72800</v>
      </c>
      <c r="AJ654" t="s">
        <v>720</v>
      </c>
    </row>
    <row r="655" spans="14:36" x14ac:dyDescent="0.3">
      <c r="N655" s="8">
        <v>2026</v>
      </c>
      <c r="O655" s="8">
        <v>6</v>
      </c>
      <c r="P655" s="9">
        <v>46190</v>
      </c>
      <c r="Q655" t="s">
        <v>238</v>
      </c>
      <c r="R655" t="s">
        <v>351</v>
      </c>
      <c r="S655" t="s">
        <v>352</v>
      </c>
      <c r="T655" t="s">
        <v>480</v>
      </c>
      <c r="U655" t="s">
        <v>370</v>
      </c>
      <c r="V655" t="s">
        <v>246</v>
      </c>
      <c r="W655" t="s">
        <v>244</v>
      </c>
      <c r="X655" t="s">
        <v>3127</v>
      </c>
      <c r="Y655" t="s">
        <v>191</v>
      </c>
      <c r="Z655" t="s">
        <v>335</v>
      </c>
      <c r="AA655" t="s">
        <v>336</v>
      </c>
      <c r="AB655" t="s">
        <v>1284</v>
      </c>
      <c r="AC655" t="s">
        <v>1285</v>
      </c>
      <c r="AD655" t="s">
        <v>1286</v>
      </c>
      <c r="AE655" s="7">
        <v>99000</v>
      </c>
      <c r="AF655" s="7">
        <v>2</v>
      </c>
      <c r="AG655" s="7">
        <v>198000</v>
      </c>
      <c r="AH655" s="7">
        <v>0</v>
      </c>
      <c r="AI655" s="7">
        <v>198000</v>
      </c>
      <c r="AJ655" t="s">
        <v>1285</v>
      </c>
    </row>
    <row r="656" spans="14:36" x14ac:dyDescent="0.3">
      <c r="N656" s="8">
        <v>2026</v>
      </c>
      <c r="O656" s="8">
        <v>6</v>
      </c>
      <c r="P656" s="9">
        <v>46190</v>
      </c>
      <c r="Q656" t="s">
        <v>238</v>
      </c>
      <c r="R656" t="s">
        <v>351</v>
      </c>
      <c r="S656" t="s">
        <v>352</v>
      </c>
      <c r="T656" t="s">
        <v>480</v>
      </c>
      <c r="U656" t="s">
        <v>370</v>
      </c>
      <c r="V656" t="s">
        <v>246</v>
      </c>
      <c r="W656" t="s">
        <v>244</v>
      </c>
      <c r="X656" t="s">
        <v>3127</v>
      </c>
      <c r="Y656" t="s">
        <v>191</v>
      </c>
      <c r="Z656" t="s">
        <v>335</v>
      </c>
      <c r="AA656" t="s">
        <v>336</v>
      </c>
      <c r="AB656" t="s">
        <v>1146</v>
      </c>
      <c r="AC656" t="s">
        <v>1147</v>
      </c>
      <c r="AD656" t="s">
        <v>1148</v>
      </c>
      <c r="AE656" s="7">
        <v>99000</v>
      </c>
      <c r="AF656" s="7">
        <v>1</v>
      </c>
      <c r="AG656" s="7">
        <v>99000</v>
      </c>
      <c r="AH656" s="7">
        <v>0</v>
      </c>
      <c r="AI656" s="7">
        <v>99000</v>
      </c>
      <c r="AJ656" t="s">
        <v>1147</v>
      </c>
    </row>
    <row r="657" spans="14:36" x14ac:dyDescent="0.3">
      <c r="N657" s="8">
        <v>2026</v>
      </c>
      <c r="O657" s="8">
        <v>6</v>
      </c>
      <c r="P657" s="9">
        <v>46190</v>
      </c>
      <c r="Q657" t="s">
        <v>238</v>
      </c>
      <c r="R657" t="s">
        <v>351</v>
      </c>
      <c r="S657" t="s">
        <v>352</v>
      </c>
      <c r="T657" t="s">
        <v>584</v>
      </c>
      <c r="U657" t="s">
        <v>3933</v>
      </c>
      <c r="V657" t="s">
        <v>246</v>
      </c>
      <c r="W657" t="s">
        <v>244</v>
      </c>
      <c r="X657" t="s">
        <v>3128</v>
      </c>
      <c r="Y657" t="s">
        <v>191</v>
      </c>
      <c r="Z657" t="s">
        <v>192</v>
      </c>
      <c r="AA657" t="s">
        <v>193</v>
      </c>
      <c r="AB657" t="s">
        <v>110</v>
      </c>
      <c r="AC657" t="s">
        <v>108</v>
      </c>
      <c r="AD657" t="s">
        <v>109</v>
      </c>
      <c r="AE657" s="7">
        <v>235000</v>
      </c>
      <c r="AF657" s="7">
        <v>1</v>
      </c>
      <c r="AG657" s="7">
        <v>235000</v>
      </c>
      <c r="AH657" s="7">
        <v>0</v>
      </c>
      <c r="AI657" s="7">
        <v>235000</v>
      </c>
      <c r="AJ657" t="s">
        <v>108</v>
      </c>
    </row>
    <row r="658" spans="14:36" x14ac:dyDescent="0.3">
      <c r="N658" s="8">
        <v>2026</v>
      </c>
      <c r="O658" s="8">
        <v>6</v>
      </c>
      <c r="P658" s="9">
        <v>46190</v>
      </c>
      <c r="Q658" t="s">
        <v>238</v>
      </c>
      <c r="R658" t="s">
        <v>374</v>
      </c>
      <c r="S658" t="s">
        <v>375</v>
      </c>
      <c r="T658" t="s">
        <v>2252</v>
      </c>
      <c r="U658" t="s">
        <v>2253</v>
      </c>
      <c r="V658" t="s">
        <v>246</v>
      </c>
      <c r="W658" t="s">
        <v>244</v>
      </c>
      <c r="X658" t="s">
        <v>3129</v>
      </c>
      <c r="Y658" t="s">
        <v>194</v>
      </c>
      <c r="Z658" t="s">
        <v>200</v>
      </c>
      <c r="AA658" t="s">
        <v>201</v>
      </c>
      <c r="AB658" t="s">
        <v>80</v>
      </c>
      <c r="AC658" t="s">
        <v>78</v>
      </c>
      <c r="AD658" t="s">
        <v>79</v>
      </c>
      <c r="AE658" s="7">
        <v>14000</v>
      </c>
      <c r="AF658" s="7">
        <v>1</v>
      </c>
      <c r="AG658" s="7">
        <v>14000</v>
      </c>
      <c r="AH658" s="7">
        <v>0</v>
      </c>
      <c r="AI658" s="7">
        <v>14000</v>
      </c>
      <c r="AJ658" t="s">
        <v>78</v>
      </c>
    </row>
    <row r="659" spans="14:36" x14ac:dyDescent="0.3">
      <c r="N659" s="8">
        <v>2026</v>
      </c>
      <c r="O659" s="8">
        <v>6</v>
      </c>
      <c r="P659" s="9">
        <v>46190</v>
      </c>
      <c r="Q659" t="s">
        <v>238</v>
      </c>
      <c r="R659" t="s">
        <v>374</v>
      </c>
      <c r="S659" t="s">
        <v>375</v>
      </c>
      <c r="T659" t="s">
        <v>2252</v>
      </c>
      <c r="U659" t="s">
        <v>2253</v>
      </c>
      <c r="V659" t="s">
        <v>246</v>
      </c>
      <c r="W659" t="s">
        <v>244</v>
      </c>
      <c r="X659" t="s">
        <v>3129</v>
      </c>
      <c r="Y659" t="s">
        <v>194</v>
      </c>
      <c r="Z659" t="s">
        <v>200</v>
      </c>
      <c r="AA659" t="s">
        <v>201</v>
      </c>
      <c r="AB659" t="s">
        <v>86</v>
      </c>
      <c r="AC659" t="s">
        <v>84</v>
      </c>
      <c r="AD659" t="s">
        <v>85</v>
      </c>
      <c r="AE659" s="7">
        <v>49000</v>
      </c>
      <c r="AF659" s="7">
        <v>1</v>
      </c>
      <c r="AG659" s="7">
        <v>49000</v>
      </c>
      <c r="AH659" s="7">
        <v>0</v>
      </c>
      <c r="AI659" s="7">
        <v>49000</v>
      </c>
      <c r="AJ659" t="s">
        <v>84</v>
      </c>
    </row>
    <row r="660" spans="14:36" x14ac:dyDescent="0.3">
      <c r="N660" s="8">
        <v>2026</v>
      </c>
      <c r="O660" s="8">
        <v>6</v>
      </c>
      <c r="P660" s="9">
        <v>46190</v>
      </c>
      <c r="Q660" t="s">
        <v>238</v>
      </c>
      <c r="R660" t="s">
        <v>396</v>
      </c>
      <c r="S660" t="s">
        <v>397</v>
      </c>
      <c r="T660" t="s">
        <v>3108</v>
      </c>
      <c r="U660" t="s">
        <v>353</v>
      </c>
      <c r="V660" t="s">
        <v>249</v>
      </c>
      <c r="W660" t="s">
        <v>244</v>
      </c>
      <c r="X660" t="s">
        <v>3132</v>
      </c>
      <c r="Y660" t="s">
        <v>168</v>
      </c>
      <c r="Z660" t="s">
        <v>171</v>
      </c>
      <c r="AA660" t="s">
        <v>175</v>
      </c>
      <c r="AB660" t="s">
        <v>137</v>
      </c>
      <c r="AC660" t="s">
        <v>135</v>
      </c>
      <c r="AD660" t="s">
        <v>136</v>
      </c>
      <c r="AE660" s="7">
        <v>100000</v>
      </c>
      <c r="AF660" s="7">
        <v>1</v>
      </c>
      <c r="AG660" s="7">
        <v>100000</v>
      </c>
      <c r="AH660" s="7">
        <v>10000</v>
      </c>
      <c r="AI660" s="7">
        <v>90000</v>
      </c>
      <c r="AJ660" t="s">
        <v>135</v>
      </c>
    </row>
    <row r="661" spans="14:36" x14ac:dyDescent="0.3">
      <c r="N661" s="8">
        <v>2026</v>
      </c>
      <c r="O661" s="8">
        <v>6</v>
      </c>
      <c r="P661" s="9">
        <v>46190</v>
      </c>
      <c r="Q661" t="s">
        <v>238</v>
      </c>
      <c r="R661" t="s">
        <v>415</v>
      </c>
      <c r="S661" t="s">
        <v>416</v>
      </c>
      <c r="T661" t="s">
        <v>417</v>
      </c>
      <c r="U661" t="s">
        <v>418</v>
      </c>
      <c r="V661" t="s">
        <v>243</v>
      </c>
      <c r="W661" t="s">
        <v>244</v>
      </c>
      <c r="X661" t="s">
        <v>3133</v>
      </c>
      <c r="Y661" t="s">
        <v>168</v>
      </c>
      <c r="Z661" t="s">
        <v>179</v>
      </c>
      <c r="AA661" t="s">
        <v>180</v>
      </c>
      <c r="AB661" t="s">
        <v>143</v>
      </c>
      <c r="AC661" t="s">
        <v>141</v>
      </c>
      <c r="AD661" t="s">
        <v>142</v>
      </c>
      <c r="AE661" s="7">
        <v>150000</v>
      </c>
      <c r="AF661" s="7">
        <v>1</v>
      </c>
      <c r="AG661" s="7">
        <v>150000</v>
      </c>
      <c r="AH661" s="7">
        <v>15000</v>
      </c>
      <c r="AI661" s="7">
        <v>135000</v>
      </c>
      <c r="AJ661" t="s">
        <v>141</v>
      </c>
    </row>
    <row r="662" spans="14:36" x14ac:dyDescent="0.3">
      <c r="N662" s="8">
        <v>2026</v>
      </c>
      <c r="O662" s="8">
        <v>6</v>
      </c>
      <c r="P662" s="9">
        <v>46189</v>
      </c>
      <c r="Q662" t="s">
        <v>238</v>
      </c>
      <c r="R662" t="s">
        <v>239</v>
      </c>
      <c r="S662" t="s">
        <v>240</v>
      </c>
      <c r="T662" t="s">
        <v>3134</v>
      </c>
      <c r="U662" t="s">
        <v>3934</v>
      </c>
      <c r="V662" t="s">
        <v>249</v>
      </c>
      <c r="W662" t="s">
        <v>244</v>
      </c>
      <c r="X662" t="s">
        <v>3135</v>
      </c>
      <c r="Y662" t="s">
        <v>168</v>
      </c>
      <c r="Z662" t="s">
        <v>171</v>
      </c>
      <c r="AA662" t="s">
        <v>175</v>
      </c>
      <c r="AB662" t="s">
        <v>137</v>
      </c>
      <c r="AC662" t="s">
        <v>135</v>
      </c>
      <c r="AD662" t="s">
        <v>136</v>
      </c>
      <c r="AE662" s="7">
        <v>100000</v>
      </c>
      <c r="AF662" s="7">
        <v>1</v>
      </c>
      <c r="AG662" s="7">
        <v>100000</v>
      </c>
      <c r="AH662" s="7">
        <v>10000</v>
      </c>
      <c r="AI662" s="7">
        <v>90000</v>
      </c>
      <c r="AJ662" t="s">
        <v>135</v>
      </c>
    </row>
    <row r="663" spans="14:36" x14ac:dyDescent="0.3">
      <c r="N663" s="8">
        <v>2026</v>
      </c>
      <c r="O663" s="8">
        <v>6</v>
      </c>
      <c r="P663" s="9">
        <v>46189</v>
      </c>
      <c r="Q663" t="s">
        <v>238</v>
      </c>
      <c r="R663" t="s">
        <v>279</v>
      </c>
      <c r="S663" t="s">
        <v>280</v>
      </c>
      <c r="T663" t="s">
        <v>281</v>
      </c>
      <c r="U663" t="s">
        <v>282</v>
      </c>
      <c r="V663" t="s">
        <v>243</v>
      </c>
      <c r="W663" t="s">
        <v>244</v>
      </c>
      <c r="X663" t="s">
        <v>3136</v>
      </c>
      <c r="Y663" t="s">
        <v>191</v>
      </c>
      <c r="Z663" t="s">
        <v>192</v>
      </c>
      <c r="AA663" t="s">
        <v>193</v>
      </c>
      <c r="AB663" t="s">
        <v>104</v>
      </c>
      <c r="AC663" t="s">
        <v>102</v>
      </c>
      <c r="AD663" t="s">
        <v>103</v>
      </c>
      <c r="AE663" s="7">
        <v>235000</v>
      </c>
      <c r="AF663" s="7">
        <v>1</v>
      </c>
      <c r="AG663" s="7">
        <v>235000</v>
      </c>
      <c r="AH663" s="7">
        <v>0</v>
      </c>
      <c r="AI663" s="7">
        <v>235000</v>
      </c>
      <c r="AJ663" t="s">
        <v>102</v>
      </c>
    </row>
    <row r="664" spans="14:36" x14ac:dyDescent="0.3">
      <c r="N664" s="8">
        <v>2026</v>
      </c>
      <c r="O664" s="8">
        <v>6</v>
      </c>
      <c r="P664" s="9">
        <v>46189</v>
      </c>
      <c r="Q664" t="s">
        <v>238</v>
      </c>
      <c r="R664" t="s">
        <v>279</v>
      </c>
      <c r="S664" t="s">
        <v>280</v>
      </c>
      <c r="T664" t="s">
        <v>281</v>
      </c>
      <c r="U664" t="s">
        <v>282</v>
      </c>
      <c r="V664" t="s">
        <v>243</v>
      </c>
      <c r="W664" t="s">
        <v>244</v>
      </c>
      <c r="X664" t="s">
        <v>3137</v>
      </c>
      <c r="Y664" t="s">
        <v>183</v>
      </c>
      <c r="Z664" t="s">
        <v>184</v>
      </c>
      <c r="AA664" t="s">
        <v>185</v>
      </c>
      <c r="AB664" t="s">
        <v>47</v>
      </c>
      <c r="AC664" t="s">
        <v>45</v>
      </c>
      <c r="AD664" t="s">
        <v>46</v>
      </c>
      <c r="AE664" s="7">
        <v>52000</v>
      </c>
      <c r="AF664" s="7">
        <v>1</v>
      </c>
      <c r="AG664" s="7">
        <v>52000</v>
      </c>
      <c r="AH664" s="7">
        <v>0</v>
      </c>
      <c r="AI664" s="7">
        <v>52000</v>
      </c>
      <c r="AJ664" t="s">
        <v>45</v>
      </c>
    </row>
    <row r="665" spans="14:36" x14ac:dyDescent="0.3">
      <c r="N665" s="8">
        <v>2026</v>
      </c>
      <c r="O665" s="8">
        <v>6</v>
      </c>
      <c r="P665" s="9">
        <v>46189</v>
      </c>
      <c r="Q665" t="s">
        <v>238</v>
      </c>
      <c r="R665" t="s">
        <v>279</v>
      </c>
      <c r="S665" t="s">
        <v>280</v>
      </c>
      <c r="T665" t="s">
        <v>2383</v>
      </c>
      <c r="U665" t="s">
        <v>3913</v>
      </c>
      <c r="V665" t="s">
        <v>246</v>
      </c>
      <c r="W665" t="s">
        <v>244</v>
      </c>
      <c r="X665" t="s">
        <v>3138</v>
      </c>
      <c r="Y665" t="s">
        <v>191</v>
      </c>
      <c r="Z665" t="s">
        <v>192</v>
      </c>
      <c r="AA665" t="s">
        <v>193</v>
      </c>
      <c r="AB665" t="s">
        <v>113</v>
      </c>
      <c r="AC665" t="s">
        <v>111</v>
      </c>
      <c r="AD665" t="s">
        <v>112</v>
      </c>
      <c r="AE665" s="7">
        <v>235000</v>
      </c>
      <c r="AF665" s="7">
        <v>1</v>
      </c>
      <c r="AG665" s="7">
        <v>235000</v>
      </c>
      <c r="AH665" s="7">
        <v>0</v>
      </c>
      <c r="AI665" s="7">
        <v>235000</v>
      </c>
      <c r="AJ665" t="s">
        <v>111</v>
      </c>
    </row>
    <row r="666" spans="14:36" x14ac:dyDescent="0.3">
      <c r="N666" s="8">
        <v>2026</v>
      </c>
      <c r="O666" s="8">
        <v>6</v>
      </c>
      <c r="P666" s="9">
        <v>46189</v>
      </c>
      <c r="Q666" t="s">
        <v>238</v>
      </c>
      <c r="R666" t="s">
        <v>303</v>
      </c>
      <c r="S666" t="s">
        <v>304</v>
      </c>
      <c r="T666" t="s">
        <v>1997</v>
      </c>
      <c r="U666" t="s">
        <v>1998</v>
      </c>
      <c r="V666" t="s">
        <v>246</v>
      </c>
      <c r="W666" t="s">
        <v>244</v>
      </c>
      <c r="X666" t="s">
        <v>3140</v>
      </c>
      <c r="Y666" t="s">
        <v>191</v>
      </c>
      <c r="Z666" t="s">
        <v>335</v>
      </c>
      <c r="AA666" t="s">
        <v>337</v>
      </c>
      <c r="AB666" t="s">
        <v>656</v>
      </c>
      <c r="AC666" t="s">
        <v>657</v>
      </c>
      <c r="AD666" t="s">
        <v>658</v>
      </c>
      <c r="AE666" s="7">
        <v>35000</v>
      </c>
      <c r="AF666" s="7">
        <v>1</v>
      </c>
      <c r="AG666" s="7">
        <v>35000</v>
      </c>
      <c r="AH666" s="7">
        <v>0</v>
      </c>
      <c r="AI666" s="7">
        <v>35000</v>
      </c>
      <c r="AJ666" t="s">
        <v>657</v>
      </c>
    </row>
    <row r="667" spans="14:36" x14ac:dyDescent="0.3">
      <c r="N667" s="8">
        <v>2026</v>
      </c>
      <c r="O667" s="8">
        <v>6</v>
      </c>
      <c r="P667" s="9">
        <v>46189</v>
      </c>
      <c r="Q667" t="s">
        <v>238</v>
      </c>
      <c r="R667" t="s">
        <v>303</v>
      </c>
      <c r="S667" t="s">
        <v>304</v>
      </c>
      <c r="T667" t="s">
        <v>1997</v>
      </c>
      <c r="U667" t="s">
        <v>1998</v>
      </c>
      <c r="V667" t="s">
        <v>246</v>
      </c>
      <c r="W667" t="s">
        <v>244</v>
      </c>
      <c r="X667" t="s">
        <v>3140</v>
      </c>
      <c r="Y667" t="s">
        <v>191</v>
      </c>
      <c r="Z667" t="s">
        <v>335</v>
      </c>
      <c r="AA667" t="s">
        <v>337</v>
      </c>
      <c r="AB667" t="s">
        <v>348</v>
      </c>
      <c r="AC667" t="s">
        <v>349</v>
      </c>
      <c r="AD667" t="s">
        <v>350</v>
      </c>
      <c r="AE667" s="7">
        <v>76000</v>
      </c>
      <c r="AF667" s="7">
        <v>3</v>
      </c>
      <c r="AG667" s="7">
        <v>228000</v>
      </c>
      <c r="AH667" s="7">
        <v>0</v>
      </c>
      <c r="AI667" s="7">
        <v>228000</v>
      </c>
      <c r="AJ667" t="s">
        <v>349</v>
      </c>
    </row>
    <row r="668" spans="14:36" x14ac:dyDescent="0.3">
      <c r="N668" s="8">
        <v>2026</v>
      </c>
      <c r="O668" s="8">
        <v>6</v>
      </c>
      <c r="P668" s="9">
        <v>46189</v>
      </c>
      <c r="Q668" t="s">
        <v>238</v>
      </c>
      <c r="R668" t="s">
        <v>303</v>
      </c>
      <c r="S668" t="s">
        <v>304</v>
      </c>
      <c r="T668" t="s">
        <v>2301</v>
      </c>
      <c r="U668" t="s">
        <v>2302</v>
      </c>
      <c r="V668" t="s">
        <v>246</v>
      </c>
      <c r="W668" t="s">
        <v>244</v>
      </c>
      <c r="X668" t="s">
        <v>3141</v>
      </c>
      <c r="Y668" t="s">
        <v>191</v>
      </c>
      <c r="Z668" t="s">
        <v>192</v>
      </c>
      <c r="AA668" t="s">
        <v>193</v>
      </c>
      <c r="AB668" t="s">
        <v>107</v>
      </c>
      <c r="AC668" t="s">
        <v>105</v>
      </c>
      <c r="AD668" t="s">
        <v>106</v>
      </c>
      <c r="AE668" s="7">
        <v>235000</v>
      </c>
      <c r="AF668" s="7">
        <v>1</v>
      </c>
      <c r="AG668" s="7">
        <v>235000</v>
      </c>
      <c r="AH668" s="7">
        <v>0</v>
      </c>
      <c r="AI668" s="7">
        <v>235000</v>
      </c>
      <c r="AJ668" t="s">
        <v>105</v>
      </c>
    </row>
    <row r="669" spans="14:36" x14ac:dyDescent="0.3">
      <c r="N669" s="8">
        <v>2026</v>
      </c>
      <c r="O669" s="8">
        <v>6</v>
      </c>
      <c r="P669" s="9">
        <v>46189</v>
      </c>
      <c r="Q669" t="s">
        <v>238</v>
      </c>
      <c r="R669" t="s">
        <v>303</v>
      </c>
      <c r="S669" t="s">
        <v>304</v>
      </c>
      <c r="T669" t="s">
        <v>1454</v>
      </c>
      <c r="U669" t="s">
        <v>3935</v>
      </c>
      <c r="V669" t="s">
        <v>246</v>
      </c>
      <c r="W669" t="s">
        <v>244</v>
      </c>
      <c r="X669" t="s">
        <v>3142</v>
      </c>
      <c r="Y669" t="s">
        <v>168</v>
      </c>
      <c r="Z669" t="s">
        <v>181</v>
      </c>
      <c r="AA669" t="s">
        <v>182</v>
      </c>
      <c r="AB669" t="s">
        <v>50</v>
      </c>
      <c r="AC669" t="s">
        <v>48</v>
      </c>
      <c r="AD669" t="s">
        <v>49</v>
      </c>
      <c r="AE669" s="7">
        <v>49000</v>
      </c>
      <c r="AF669" s="7">
        <v>1</v>
      </c>
      <c r="AG669" s="7">
        <v>49000</v>
      </c>
      <c r="AH669" s="7">
        <v>0</v>
      </c>
      <c r="AI669" s="7">
        <v>49000</v>
      </c>
      <c r="AJ669" t="s">
        <v>48</v>
      </c>
    </row>
    <row r="670" spans="14:36" x14ac:dyDescent="0.3">
      <c r="N670" s="8">
        <v>2026</v>
      </c>
      <c r="O670" s="8">
        <v>6</v>
      </c>
      <c r="P670" s="9">
        <v>46189</v>
      </c>
      <c r="Q670" t="s">
        <v>238</v>
      </c>
      <c r="R670" t="s">
        <v>303</v>
      </c>
      <c r="S670" t="s">
        <v>304</v>
      </c>
      <c r="T670" t="s">
        <v>927</v>
      </c>
      <c r="U670" t="s">
        <v>3936</v>
      </c>
      <c r="V670" t="s">
        <v>246</v>
      </c>
      <c r="W670" t="s">
        <v>244</v>
      </c>
      <c r="X670" t="s">
        <v>3143</v>
      </c>
      <c r="Y670" t="s">
        <v>168</v>
      </c>
      <c r="Z670" t="s">
        <v>181</v>
      </c>
      <c r="AA670" t="s">
        <v>182</v>
      </c>
      <c r="AB670" t="s">
        <v>50</v>
      </c>
      <c r="AC670" t="s">
        <v>48</v>
      </c>
      <c r="AD670" t="s">
        <v>49</v>
      </c>
      <c r="AE670" s="7">
        <v>49000</v>
      </c>
      <c r="AF670" s="7">
        <v>1</v>
      </c>
      <c r="AG670" s="7">
        <v>49000</v>
      </c>
      <c r="AH670" s="7">
        <v>0</v>
      </c>
      <c r="AI670" s="7">
        <v>49000</v>
      </c>
      <c r="AJ670" t="s">
        <v>48</v>
      </c>
    </row>
    <row r="671" spans="14:36" x14ac:dyDescent="0.3">
      <c r="N671" s="8">
        <v>2026</v>
      </c>
      <c r="O671" s="8">
        <v>6</v>
      </c>
      <c r="P671" s="9">
        <v>46189</v>
      </c>
      <c r="Q671" t="s">
        <v>238</v>
      </c>
      <c r="R671" t="s">
        <v>303</v>
      </c>
      <c r="S671" t="s">
        <v>304</v>
      </c>
      <c r="T671" t="s">
        <v>3144</v>
      </c>
      <c r="U671" t="s">
        <v>3145</v>
      </c>
      <c r="V671" t="s">
        <v>246</v>
      </c>
      <c r="W671" t="s">
        <v>244</v>
      </c>
      <c r="X671" t="s">
        <v>3146</v>
      </c>
      <c r="Y671" t="s">
        <v>191</v>
      </c>
      <c r="Z671" t="s">
        <v>192</v>
      </c>
      <c r="AA671" t="s">
        <v>193</v>
      </c>
      <c r="AB671" t="s">
        <v>110</v>
      </c>
      <c r="AC671" t="s">
        <v>108</v>
      </c>
      <c r="AD671" t="s">
        <v>109</v>
      </c>
      <c r="AE671" s="7">
        <v>235000</v>
      </c>
      <c r="AF671" s="7">
        <v>1</v>
      </c>
      <c r="AG671" s="7">
        <v>235000</v>
      </c>
      <c r="AH671" s="7">
        <v>0</v>
      </c>
      <c r="AI671" s="7">
        <v>235000</v>
      </c>
      <c r="AJ671" t="s">
        <v>108</v>
      </c>
    </row>
    <row r="672" spans="14:36" x14ac:dyDescent="0.3">
      <c r="N672" s="8">
        <v>2026</v>
      </c>
      <c r="O672" s="8">
        <v>6</v>
      </c>
      <c r="P672" s="9">
        <v>46189</v>
      </c>
      <c r="Q672" t="s">
        <v>238</v>
      </c>
      <c r="R672" t="s">
        <v>303</v>
      </c>
      <c r="S672" t="s">
        <v>304</v>
      </c>
      <c r="T672" t="s">
        <v>3147</v>
      </c>
      <c r="U672" t="s">
        <v>1414</v>
      </c>
      <c r="V672" t="s">
        <v>246</v>
      </c>
      <c r="W672" t="s">
        <v>244</v>
      </c>
      <c r="X672" t="s">
        <v>3148</v>
      </c>
      <c r="Y672" t="s">
        <v>168</v>
      </c>
      <c r="Z672" t="s">
        <v>181</v>
      </c>
      <c r="AA672" t="s">
        <v>182</v>
      </c>
      <c r="AB672" t="s">
        <v>50</v>
      </c>
      <c r="AC672" t="s">
        <v>48</v>
      </c>
      <c r="AD672" t="s">
        <v>49</v>
      </c>
      <c r="AE672" s="7">
        <v>49000</v>
      </c>
      <c r="AF672" s="7">
        <v>1</v>
      </c>
      <c r="AG672" s="7">
        <v>49000</v>
      </c>
      <c r="AH672" s="7">
        <v>0</v>
      </c>
      <c r="AI672" s="7">
        <v>49000</v>
      </c>
      <c r="AJ672" t="s">
        <v>48</v>
      </c>
    </row>
    <row r="673" spans="14:36" x14ac:dyDescent="0.3">
      <c r="N673" s="8">
        <v>2026</v>
      </c>
      <c r="O673" s="8">
        <v>6</v>
      </c>
      <c r="P673" s="9">
        <v>46189</v>
      </c>
      <c r="Q673" t="s">
        <v>238</v>
      </c>
      <c r="R673" t="s">
        <v>303</v>
      </c>
      <c r="S673" t="s">
        <v>304</v>
      </c>
      <c r="T673" t="s">
        <v>754</v>
      </c>
      <c r="U673" t="s">
        <v>755</v>
      </c>
      <c r="V673" t="s">
        <v>246</v>
      </c>
      <c r="W673" t="s">
        <v>244</v>
      </c>
      <c r="X673" t="s">
        <v>3149</v>
      </c>
      <c r="Y673" t="s">
        <v>191</v>
      </c>
      <c r="Z673" t="s">
        <v>192</v>
      </c>
      <c r="AA673" t="s">
        <v>193</v>
      </c>
      <c r="AB673" t="s">
        <v>107</v>
      </c>
      <c r="AC673" t="s">
        <v>105</v>
      </c>
      <c r="AD673" t="s">
        <v>106</v>
      </c>
      <c r="AE673" s="7">
        <v>235000</v>
      </c>
      <c r="AF673" s="7">
        <v>1</v>
      </c>
      <c r="AG673" s="7">
        <v>235000</v>
      </c>
      <c r="AH673" s="7">
        <v>0</v>
      </c>
      <c r="AI673" s="7">
        <v>235000</v>
      </c>
      <c r="AJ673" t="s">
        <v>105</v>
      </c>
    </row>
    <row r="674" spans="14:36" x14ac:dyDescent="0.3">
      <c r="N674" s="8">
        <v>2026</v>
      </c>
      <c r="O674" s="8">
        <v>6</v>
      </c>
      <c r="P674" s="9">
        <v>46189</v>
      </c>
      <c r="Q674" t="s">
        <v>238</v>
      </c>
      <c r="R674" t="s">
        <v>351</v>
      </c>
      <c r="S674" t="s">
        <v>352</v>
      </c>
      <c r="T674" t="s">
        <v>3150</v>
      </c>
      <c r="U674" t="s">
        <v>3151</v>
      </c>
      <c r="V674" t="s">
        <v>246</v>
      </c>
      <c r="W674" t="s">
        <v>244</v>
      </c>
      <c r="X674" t="s">
        <v>3152</v>
      </c>
      <c r="Y674" t="s">
        <v>194</v>
      </c>
      <c r="Z674" t="s">
        <v>200</v>
      </c>
      <c r="AA674" t="s">
        <v>201</v>
      </c>
      <c r="AB674" t="s">
        <v>80</v>
      </c>
      <c r="AC674" t="s">
        <v>78</v>
      </c>
      <c r="AD674" t="s">
        <v>79</v>
      </c>
      <c r="AE674" s="7">
        <v>14000</v>
      </c>
      <c r="AF674" s="7">
        <v>2</v>
      </c>
      <c r="AG674" s="7">
        <v>28000</v>
      </c>
      <c r="AH674" s="7">
        <v>0</v>
      </c>
      <c r="AI674" s="7">
        <v>28000</v>
      </c>
      <c r="AJ674" t="s">
        <v>78</v>
      </c>
    </row>
    <row r="675" spans="14:36" x14ac:dyDescent="0.3">
      <c r="N675" s="8">
        <v>2026</v>
      </c>
      <c r="O675" s="8">
        <v>6</v>
      </c>
      <c r="P675" s="9">
        <v>46189</v>
      </c>
      <c r="Q675" t="s">
        <v>238</v>
      </c>
      <c r="R675" t="s">
        <v>351</v>
      </c>
      <c r="S675" t="s">
        <v>352</v>
      </c>
      <c r="T675" t="s">
        <v>3153</v>
      </c>
      <c r="U675" t="s">
        <v>3937</v>
      </c>
      <c r="V675" t="s">
        <v>246</v>
      </c>
      <c r="W675" t="s">
        <v>244</v>
      </c>
      <c r="X675" t="s">
        <v>3154</v>
      </c>
      <c r="Y675" t="s">
        <v>191</v>
      </c>
      <c r="Z675" t="s">
        <v>192</v>
      </c>
      <c r="AA675" t="s">
        <v>193</v>
      </c>
      <c r="AB675" t="s">
        <v>119</v>
      </c>
      <c r="AC675" t="s">
        <v>117</v>
      </c>
      <c r="AD675" t="s">
        <v>118</v>
      </c>
      <c r="AE675" s="7">
        <v>235000</v>
      </c>
      <c r="AF675" s="7">
        <v>2</v>
      </c>
      <c r="AG675" s="7">
        <v>470000</v>
      </c>
      <c r="AH675" s="7">
        <v>0</v>
      </c>
      <c r="AI675" s="7">
        <v>470000</v>
      </c>
      <c r="AJ675" t="s">
        <v>117</v>
      </c>
    </row>
    <row r="676" spans="14:36" x14ac:dyDescent="0.3">
      <c r="N676" s="8">
        <v>2026</v>
      </c>
      <c r="O676" s="8">
        <v>6</v>
      </c>
      <c r="P676" s="9">
        <v>46189</v>
      </c>
      <c r="Q676" t="s">
        <v>238</v>
      </c>
      <c r="R676" t="s">
        <v>374</v>
      </c>
      <c r="S676" t="s">
        <v>375</v>
      </c>
      <c r="T676" t="s">
        <v>376</v>
      </c>
      <c r="U676" t="s">
        <v>377</v>
      </c>
      <c r="V676" t="s">
        <v>243</v>
      </c>
      <c r="W676" t="s">
        <v>244</v>
      </c>
      <c r="X676" t="s">
        <v>3155</v>
      </c>
      <c r="Y676" t="s">
        <v>183</v>
      </c>
      <c r="Z676" t="s">
        <v>189</v>
      </c>
      <c r="AA676" t="s">
        <v>190</v>
      </c>
      <c r="AB676" t="s">
        <v>92</v>
      </c>
      <c r="AC676" t="s">
        <v>90</v>
      </c>
      <c r="AD676" t="s">
        <v>91</v>
      </c>
      <c r="AE676" s="7">
        <v>52000</v>
      </c>
      <c r="AF676" s="7">
        <v>1</v>
      </c>
      <c r="AG676" s="7">
        <v>52000</v>
      </c>
      <c r="AH676" s="7">
        <v>0</v>
      </c>
      <c r="AI676" s="7">
        <v>52000</v>
      </c>
      <c r="AJ676" t="s">
        <v>90</v>
      </c>
    </row>
    <row r="677" spans="14:36" x14ac:dyDescent="0.3">
      <c r="N677" s="8">
        <v>2026</v>
      </c>
      <c r="O677" s="8">
        <v>6</v>
      </c>
      <c r="P677" s="9">
        <v>46189</v>
      </c>
      <c r="Q677" t="s">
        <v>238</v>
      </c>
      <c r="R677" t="s">
        <v>374</v>
      </c>
      <c r="S677" t="s">
        <v>375</v>
      </c>
      <c r="T677" t="s">
        <v>1713</v>
      </c>
      <c r="U677" t="s">
        <v>3938</v>
      </c>
      <c r="V677" t="s">
        <v>246</v>
      </c>
      <c r="W677" t="s">
        <v>244</v>
      </c>
      <c r="X677" t="s">
        <v>3156</v>
      </c>
      <c r="Y677" t="s">
        <v>191</v>
      </c>
      <c r="Z677" t="s">
        <v>335</v>
      </c>
      <c r="AA677" t="s">
        <v>336</v>
      </c>
      <c r="AB677" t="s">
        <v>1284</v>
      </c>
      <c r="AC677" t="s">
        <v>1285</v>
      </c>
      <c r="AD677" t="s">
        <v>1286</v>
      </c>
      <c r="AE677" s="7">
        <v>99000</v>
      </c>
      <c r="AF677" s="7">
        <v>1</v>
      </c>
      <c r="AG677" s="7">
        <v>99000</v>
      </c>
      <c r="AH677" s="7">
        <v>0</v>
      </c>
      <c r="AI677" s="7">
        <v>99000</v>
      </c>
      <c r="AJ677" t="s">
        <v>1285</v>
      </c>
    </row>
    <row r="678" spans="14:36" x14ac:dyDescent="0.3">
      <c r="N678" s="8">
        <v>2026</v>
      </c>
      <c r="O678" s="8">
        <v>6</v>
      </c>
      <c r="P678" s="9">
        <v>46189</v>
      </c>
      <c r="Q678" t="s">
        <v>238</v>
      </c>
      <c r="R678" t="s">
        <v>374</v>
      </c>
      <c r="S678" t="s">
        <v>375</v>
      </c>
      <c r="T678" t="s">
        <v>1179</v>
      </c>
      <c r="U678" t="s">
        <v>1180</v>
      </c>
      <c r="V678" t="s">
        <v>246</v>
      </c>
      <c r="W678" t="s">
        <v>244</v>
      </c>
      <c r="X678" t="s">
        <v>3157</v>
      </c>
      <c r="Y678" t="s">
        <v>191</v>
      </c>
      <c r="Z678" t="s">
        <v>335</v>
      </c>
      <c r="AA678" t="s">
        <v>336</v>
      </c>
      <c r="AB678" t="s">
        <v>1146</v>
      </c>
      <c r="AC678" t="s">
        <v>1147</v>
      </c>
      <c r="AD678" t="s">
        <v>1148</v>
      </c>
      <c r="AE678" s="7">
        <v>99000</v>
      </c>
      <c r="AF678" s="7">
        <v>1</v>
      </c>
      <c r="AG678" s="7">
        <v>99000</v>
      </c>
      <c r="AH678" s="7">
        <v>0</v>
      </c>
      <c r="AI678" s="7">
        <v>99000</v>
      </c>
      <c r="AJ678" t="s">
        <v>1147</v>
      </c>
    </row>
    <row r="679" spans="14:36" x14ac:dyDescent="0.3">
      <c r="N679" s="8">
        <v>2026</v>
      </c>
      <c r="O679" s="8">
        <v>6</v>
      </c>
      <c r="P679" s="9">
        <v>46189</v>
      </c>
      <c r="Q679" t="s">
        <v>238</v>
      </c>
      <c r="R679" t="s">
        <v>415</v>
      </c>
      <c r="S679" t="s">
        <v>416</v>
      </c>
      <c r="T679" t="s">
        <v>417</v>
      </c>
      <c r="U679" t="s">
        <v>418</v>
      </c>
      <c r="V679" t="s">
        <v>243</v>
      </c>
      <c r="W679" t="s">
        <v>244</v>
      </c>
      <c r="X679" t="s">
        <v>3158</v>
      </c>
      <c r="Y679" t="s">
        <v>168</v>
      </c>
      <c r="Z679" t="s">
        <v>171</v>
      </c>
      <c r="AA679" t="s">
        <v>175</v>
      </c>
      <c r="AB679" t="s">
        <v>140</v>
      </c>
      <c r="AC679" t="s">
        <v>138</v>
      </c>
      <c r="AD679" t="s">
        <v>139</v>
      </c>
      <c r="AE679" s="7">
        <v>125000</v>
      </c>
      <c r="AF679" s="7">
        <v>2</v>
      </c>
      <c r="AG679" s="7">
        <v>250000</v>
      </c>
      <c r="AH679" s="7">
        <v>25000</v>
      </c>
      <c r="AI679" s="7">
        <v>225000</v>
      </c>
      <c r="AJ679" t="s">
        <v>138</v>
      </c>
    </row>
    <row r="680" spans="14:36" x14ac:dyDescent="0.3">
      <c r="N680" s="8">
        <v>2026</v>
      </c>
      <c r="O680" s="8">
        <v>6</v>
      </c>
      <c r="P680" s="9">
        <v>46189</v>
      </c>
      <c r="Q680" t="s">
        <v>238</v>
      </c>
      <c r="R680" t="s">
        <v>415</v>
      </c>
      <c r="S680" t="s">
        <v>416</v>
      </c>
      <c r="T680" t="s">
        <v>3159</v>
      </c>
      <c r="U680" t="s">
        <v>3939</v>
      </c>
      <c r="V680" t="s">
        <v>246</v>
      </c>
      <c r="W680" t="s">
        <v>244</v>
      </c>
      <c r="X680" t="s">
        <v>3160</v>
      </c>
      <c r="Y680" t="s">
        <v>191</v>
      </c>
      <c r="Z680" t="s">
        <v>335</v>
      </c>
      <c r="AA680" t="s">
        <v>336</v>
      </c>
      <c r="AB680" t="s">
        <v>1518</v>
      </c>
      <c r="AC680" t="s">
        <v>1519</v>
      </c>
      <c r="AD680" t="s">
        <v>1520</v>
      </c>
      <c r="AE680" s="7">
        <v>99000</v>
      </c>
      <c r="AF680" s="7">
        <v>1</v>
      </c>
      <c r="AG680" s="7">
        <v>99000</v>
      </c>
      <c r="AH680" s="7">
        <v>0</v>
      </c>
      <c r="AI680" s="7">
        <v>99000</v>
      </c>
      <c r="AJ680" t="s">
        <v>1519</v>
      </c>
    </row>
    <row r="681" spans="14:36" x14ac:dyDescent="0.3">
      <c r="N681" s="8">
        <v>2026</v>
      </c>
      <c r="O681" s="8">
        <v>6</v>
      </c>
      <c r="P681" s="9">
        <v>46189</v>
      </c>
      <c r="Q681" t="s">
        <v>238</v>
      </c>
      <c r="R681" t="s">
        <v>425</v>
      </c>
      <c r="S681" t="s">
        <v>426</v>
      </c>
      <c r="T681" t="s">
        <v>627</v>
      </c>
      <c r="U681" t="s">
        <v>628</v>
      </c>
      <c r="V681" t="s">
        <v>246</v>
      </c>
      <c r="W681" t="s">
        <v>244</v>
      </c>
      <c r="X681" t="s">
        <v>3161</v>
      </c>
      <c r="Y681" t="s">
        <v>168</v>
      </c>
      <c r="Z681" t="s">
        <v>181</v>
      </c>
      <c r="AA681" t="s">
        <v>182</v>
      </c>
      <c r="AB681" t="s">
        <v>50</v>
      </c>
      <c r="AC681" t="s">
        <v>48</v>
      </c>
      <c r="AD681" t="s">
        <v>49</v>
      </c>
      <c r="AE681" s="7">
        <v>49000</v>
      </c>
      <c r="AF681" s="7">
        <v>1</v>
      </c>
      <c r="AG681" s="7">
        <v>49000</v>
      </c>
      <c r="AH681" s="7">
        <v>0</v>
      </c>
      <c r="AI681" s="7">
        <v>49000</v>
      </c>
      <c r="AJ681" t="s">
        <v>48</v>
      </c>
    </row>
    <row r="682" spans="14:36" x14ac:dyDescent="0.3">
      <c r="N682" s="8">
        <v>2026</v>
      </c>
      <c r="O682" s="8">
        <v>6</v>
      </c>
      <c r="P682" s="9">
        <v>46188</v>
      </c>
      <c r="Q682" t="s">
        <v>238</v>
      </c>
      <c r="R682" t="s">
        <v>279</v>
      </c>
      <c r="S682" t="s">
        <v>280</v>
      </c>
      <c r="T682" t="s">
        <v>2869</v>
      </c>
      <c r="U682" t="s">
        <v>2870</v>
      </c>
      <c r="V682" t="s">
        <v>246</v>
      </c>
      <c r="W682" t="s">
        <v>244</v>
      </c>
      <c r="X682" t="s">
        <v>3162</v>
      </c>
      <c r="Y682" t="s">
        <v>194</v>
      </c>
      <c r="Z682" t="s">
        <v>200</v>
      </c>
      <c r="AA682" t="s">
        <v>201</v>
      </c>
      <c r="AB682" t="s">
        <v>80</v>
      </c>
      <c r="AC682" t="s">
        <v>78</v>
      </c>
      <c r="AD682" t="s">
        <v>79</v>
      </c>
      <c r="AE682" s="7">
        <v>14000</v>
      </c>
      <c r="AF682" s="7">
        <v>1</v>
      </c>
      <c r="AG682" s="7">
        <v>14000</v>
      </c>
      <c r="AH682" s="7">
        <v>0</v>
      </c>
      <c r="AI682" s="7">
        <v>14000</v>
      </c>
      <c r="AJ682" t="s">
        <v>78</v>
      </c>
    </row>
    <row r="683" spans="14:36" x14ac:dyDescent="0.3">
      <c r="N683" s="8">
        <v>2026</v>
      </c>
      <c r="O683" s="8">
        <v>6</v>
      </c>
      <c r="P683" s="9">
        <v>46188</v>
      </c>
      <c r="Q683" t="s">
        <v>238</v>
      </c>
      <c r="R683" t="s">
        <v>279</v>
      </c>
      <c r="S683" t="s">
        <v>280</v>
      </c>
      <c r="T683" t="s">
        <v>3163</v>
      </c>
      <c r="U683" t="s">
        <v>3940</v>
      </c>
      <c r="V683" t="s">
        <v>246</v>
      </c>
      <c r="W683" t="s">
        <v>244</v>
      </c>
      <c r="X683" t="s">
        <v>3164</v>
      </c>
      <c r="Y683" t="s">
        <v>194</v>
      </c>
      <c r="Z683" t="s">
        <v>200</v>
      </c>
      <c r="AA683" t="s">
        <v>201</v>
      </c>
      <c r="AB683" t="s">
        <v>86</v>
      </c>
      <c r="AC683" t="s">
        <v>84</v>
      </c>
      <c r="AD683" t="s">
        <v>85</v>
      </c>
      <c r="AE683" s="7">
        <v>49000</v>
      </c>
      <c r="AF683" s="7">
        <v>1</v>
      </c>
      <c r="AG683" s="7">
        <v>49000</v>
      </c>
      <c r="AH683" s="7">
        <v>0</v>
      </c>
      <c r="AI683" s="7">
        <v>49000</v>
      </c>
      <c r="AJ683" t="s">
        <v>84</v>
      </c>
    </row>
    <row r="684" spans="14:36" x14ac:dyDescent="0.3">
      <c r="N684" s="8">
        <v>2026</v>
      </c>
      <c r="O684" s="8">
        <v>6</v>
      </c>
      <c r="P684" s="9">
        <v>46188</v>
      </c>
      <c r="Q684" t="s">
        <v>238</v>
      </c>
      <c r="R684" t="s">
        <v>303</v>
      </c>
      <c r="S684" t="s">
        <v>304</v>
      </c>
      <c r="T684" t="s">
        <v>2491</v>
      </c>
      <c r="U684" t="s">
        <v>2492</v>
      </c>
      <c r="V684" t="s">
        <v>246</v>
      </c>
      <c r="W684" t="s">
        <v>244</v>
      </c>
      <c r="X684" t="s">
        <v>3165</v>
      </c>
      <c r="Y684" t="s">
        <v>194</v>
      </c>
      <c r="Z684" t="s">
        <v>200</v>
      </c>
      <c r="AA684" t="s">
        <v>201</v>
      </c>
      <c r="AB684" t="s">
        <v>77</v>
      </c>
      <c r="AC684" t="s">
        <v>75</v>
      </c>
      <c r="AD684" t="s">
        <v>76</v>
      </c>
      <c r="AE684" s="7">
        <v>52000</v>
      </c>
      <c r="AF684" s="7">
        <v>1</v>
      </c>
      <c r="AG684" s="7">
        <v>52000</v>
      </c>
      <c r="AH684" s="7">
        <v>0</v>
      </c>
      <c r="AI684" s="7">
        <v>52000</v>
      </c>
      <c r="AJ684" t="s">
        <v>75</v>
      </c>
    </row>
    <row r="685" spans="14:36" x14ac:dyDescent="0.3">
      <c r="N685" s="8">
        <v>2026</v>
      </c>
      <c r="O685" s="8">
        <v>6</v>
      </c>
      <c r="P685" s="9">
        <v>46188</v>
      </c>
      <c r="Q685" t="s">
        <v>238</v>
      </c>
      <c r="R685" t="s">
        <v>303</v>
      </c>
      <c r="S685" t="s">
        <v>304</v>
      </c>
      <c r="T685" t="s">
        <v>1029</v>
      </c>
      <c r="U685" t="s">
        <v>1030</v>
      </c>
      <c r="V685" t="s">
        <v>246</v>
      </c>
      <c r="W685" t="s">
        <v>244</v>
      </c>
      <c r="X685" t="s">
        <v>3166</v>
      </c>
      <c r="Y685" t="s">
        <v>191</v>
      </c>
      <c r="Z685" t="s">
        <v>335</v>
      </c>
      <c r="AA685" t="s">
        <v>336</v>
      </c>
      <c r="AB685" t="s">
        <v>2925</v>
      </c>
      <c r="AC685" t="s">
        <v>2926</v>
      </c>
      <c r="AD685" t="s">
        <v>2927</v>
      </c>
      <c r="AE685" s="7">
        <v>45000</v>
      </c>
      <c r="AF685" s="7">
        <v>2</v>
      </c>
      <c r="AG685" s="7">
        <v>90000</v>
      </c>
      <c r="AH685" s="7">
        <v>0</v>
      </c>
      <c r="AI685" s="7">
        <v>90000</v>
      </c>
      <c r="AJ685" t="s">
        <v>2926</v>
      </c>
    </row>
    <row r="686" spans="14:36" x14ac:dyDescent="0.3">
      <c r="N686" s="8">
        <v>2026</v>
      </c>
      <c r="O686" s="8">
        <v>6</v>
      </c>
      <c r="P686" s="9">
        <v>46188</v>
      </c>
      <c r="Q686" t="s">
        <v>238</v>
      </c>
      <c r="R686" t="s">
        <v>303</v>
      </c>
      <c r="S686" t="s">
        <v>304</v>
      </c>
      <c r="T686" t="s">
        <v>3167</v>
      </c>
      <c r="U686" t="s">
        <v>307</v>
      </c>
      <c r="V686" t="s">
        <v>246</v>
      </c>
      <c r="W686" t="s">
        <v>244</v>
      </c>
      <c r="X686" t="s">
        <v>3168</v>
      </c>
      <c r="Y686" t="s">
        <v>194</v>
      </c>
      <c r="Z686" t="s">
        <v>200</v>
      </c>
      <c r="AA686" t="s">
        <v>201</v>
      </c>
      <c r="AB686" t="s">
        <v>80</v>
      </c>
      <c r="AC686" t="s">
        <v>78</v>
      </c>
      <c r="AD686" t="s">
        <v>79</v>
      </c>
      <c r="AE686" s="7">
        <v>14000</v>
      </c>
      <c r="AF686" s="7">
        <v>2</v>
      </c>
      <c r="AG686" s="7">
        <v>28000</v>
      </c>
      <c r="AH686" s="7">
        <v>0</v>
      </c>
      <c r="AI686" s="7">
        <v>28000</v>
      </c>
      <c r="AJ686" t="s">
        <v>78</v>
      </c>
    </row>
    <row r="687" spans="14:36" x14ac:dyDescent="0.3">
      <c r="N687" s="8">
        <v>2026</v>
      </c>
      <c r="O687" s="8">
        <v>6</v>
      </c>
      <c r="P687" s="9">
        <v>46188</v>
      </c>
      <c r="Q687" t="s">
        <v>238</v>
      </c>
      <c r="R687" t="s">
        <v>303</v>
      </c>
      <c r="S687" t="s">
        <v>304</v>
      </c>
      <c r="T687" t="s">
        <v>857</v>
      </c>
      <c r="U687" t="s">
        <v>858</v>
      </c>
      <c r="V687" t="s">
        <v>246</v>
      </c>
      <c r="W687" t="s">
        <v>244</v>
      </c>
      <c r="X687" t="s">
        <v>3169</v>
      </c>
      <c r="Y687" t="s">
        <v>194</v>
      </c>
      <c r="Z687" t="s">
        <v>200</v>
      </c>
      <c r="AA687" t="s">
        <v>201</v>
      </c>
      <c r="AB687" t="s">
        <v>89</v>
      </c>
      <c r="AC687" t="s">
        <v>87</v>
      </c>
      <c r="AD687" t="s">
        <v>88</v>
      </c>
      <c r="AE687" s="7">
        <v>46000</v>
      </c>
      <c r="AF687" s="7">
        <v>1</v>
      </c>
      <c r="AG687" s="7">
        <v>46000</v>
      </c>
      <c r="AH687" s="7">
        <v>0</v>
      </c>
      <c r="AI687" s="7">
        <v>46000</v>
      </c>
      <c r="AJ687" t="s">
        <v>87</v>
      </c>
    </row>
    <row r="688" spans="14:36" x14ac:dyDescent="0.3">
      <c r="N688" s="8">
        <v>2026</v>
      </c>
      <c r="O688" s="8">
        <v>6</v>
      </c>
      <c r="P688" s="9">
        <v>46188</v>
      </c>
      <c r="Q688" t="s">
        <v>238</v>
      </c>
      <c r="R688" t="s">
        <v>351</v>
      </c>
      <c r="S688" t="s">
        <v>352</v>
      </c>
      <c r="T688" t="s">
        <v>3170</v>
      </c>
      <c r="U688" t="s">
        <v>3929</v>
      </c>
      <c r="V688" t="s">
        <v>249</v>
      </c>
      <c r="W688" t="s">
        <v>244</v>
      </c>
      <c r="X688" t="s">
        <v>3171</v>
      </c>
      <c r="Y688" t="s">
        <v>168</v>
      </c>
      <c r="Z688" t="s">
        <v>169</v>
      </c>
      <c r="AA688" t="s">
        <v>170</v>
      </c>
      <c r="AB688" t="s">
        <v>8</v>
      </c>
      <c r="AC688" t="s">
        <v>6</v>
      </c>
      <c r="AD688" t="s">
        <v>7</v>
      </c>
      <c r="AE688" s="7">
        <v>435000</v>
      </c>
      <c r="AF688" s="7">
        <v>1</v>
      </c>
      <c r="AG688" s="7">
        <v>435000</v>
      </c>
      <c r="AH688" s="7">
        <v>0</v>
      </c>
      <c r="AI688" s="7">
        <v>435000</v>
      </c>
      <c r="AJ688" t="s">
        <v>6</v>
      </c>
    </row>
    <row r="689" spans="14:36" x14ac:dyDescent="0.3">
      <c r="N689" s="8">
        <v>2026</v>
      </c>
      <c r="O689" s="8">
        <v>6</v>
      </c>
      <c r="P689" s="9">
        <v>46188</v>
      </c>
      <c r="Q689" t="s">
        <v>238</v>
      </c>
      <c r="R689" t="s">
        <v>351</v>
      </c>
      <c r="S689" t="s">
        <v>352</v>
      </c>
      <c r="T689" t="s">
        <v>356</v>
      </c>
      <c r="U689" t="s">
        <v>357</v>
      </c>
      <c r="V689" t="s">
        <v>243</v>
      </c>
      <c r="W689" t="s">
        <v>244</v>
      </c>
      <c r="X689" t="s">
        <v>3172</v>
      </c>
      <c r="Y689" t="s">
        <v>194</v>
      </c>
      <c r="Z689" t="s">
        <v>200</v>
      </c>
      <c r="AA689" t="s">
        <v>201</v>
      </c>
      <c r="AB689" t="s">
        <v>89</v>
      </c>
      <c r="AC689" t="s">
        <v>87</v>
      </c>
      <c r="AD689" t="s">
        <v>88</v>
      </c>
      <c r="AE689" s="7">
        <v>46000</v>
      </c>
      <c r="AF689" s="7">
        <v>1</v>
      </c>
      <c r="AG689" s="7">
        <v>46000</v>
      </c>
      <c r="AH689" s="7">
        <v>0</v>
      </c>
      <c r="AI689" s="7">
        <v>46000</v>
      </c>
      <c r="AJ689" t="s">
        <v>87</v>
      </c>
    </row>
    <row r="690" spans="14:36" x14ac:dyDescent="0.3">
      <c r="N690" s="8">
        <v>2026</v>
      </c>
      <c r="O690" s="8">
        <v>6</v>
      </c>
      <c r="P690" s="9">
        <v>46188</v>
      </c>
      <c r="Q690" t="s">
        <v>238</v>
      </c>
      <c r="R690" t="s">
        <v>374</v>
      </c>
      <c r="S690" t="s">
        <v>375</v>
      </c>
      <c r="T690" t="s">
        <v>382</v>
      </c>
      <c r="U690" t="s">
        <v>383</v>
      </c>
      <c r="V690" t="s">
        <v>243</v>
      </c>
      <c r="W690" t="s">
        <v>244</v>
      </c>
      <c r="X690" t="s">
        <v>3173</v>
      </c>
      <c r="Y690" t="s">
        <v>194</v>
      </c>
      <c r="Z690" t="s">
        <v>200</v>
      </c>
      <c r="AA690" t="s">
        <v>201</v>
      </c>
      <c r="AB690" t="s">
        <v>83</v>
      </c>
      <c r="AC690" t="s">
        <v>81</v>
      </c>
      <c r="AD690" t="s">
        <v>82</v>
      </c>
      <c r="AE690" s="7">
        <v>46000</v>
      </c>
      <c r="AF690" s="7">
        <v>1</v>
      </c>
      <c r="AG690" s="7">
        <v>46000</v>
      </c>
      <c r="AH690" s="7">
        <v>0</v>
      </c>
      <c r="AI690" s="7">
        <v>46000</v>
      </c>
      <c r="AJ690" t="s">
        <v>81</v>
      </c>
    </row>
    <row r="691" spans="14:36" x14ac:dyDescent="0.3">
      <c r="N691" s="8">
        <v>2026</v>
      </c>
      <c r="O691" s="8">
        <v>6</v>
      </c>
      <c r="P691" s="9">
        <v>46188</v>
      </c>
      <c r="Q691" t="s">
        <v>238</v>
      </c>
      <c r="R691" t="s">
        <v>396</v>
      </c>
      <c r="S691" t="s">
        <v>397</v>
      </c>
      <c r="T691" t="s">
        <v>398</v>
      </c>
      <c r="U691" t="s">
        <v>399</v>
      </c>
      <c r="V691" t="s">
        <v>243</v>
      </c>
      <c r="W691" t="s">
        <v>244</v>
      </c>
      <c r="X691" t="s">
        <v>3174</v>
      </c>
      <c r="Y691" t="s">
        <v>191</v>
      </c>
      <c r="Z691" t="s">
        <v>192</v>
      </c>
      <c r="AA691" t="s">
        <v>193</v>
      </c>
      <c r="AB691" t="s">
        <v>113</v>
      </c>
      <c r="AC691" t="s">
        <v>111</v>
      </c>
      <c r="AD691" t="s">
        <v>112</v>
      </c>
      <c r="AE691" s="7">
        <v>235000</v>
      </c>
      <c r="AF691" s="7">
        <v>2</v>
      </c>
      <c r="AG691" s="7">
        <v>470000</v>
      </c>
      <c r="AH691" s="7">
        <v>0</v>
      </c>
      <c r="AI691" s="7">
        <v>470000</v>
      </c>
      <c r="AJ691" t="s">
        <v>111</v>
      </c>
    </row>
    <row r="692" spans="14:36" x14ac:dyDescent="0.3">
      <c r="N692" s="8">
        <v>2026</v>
      </c>
      <c r="O692" s="8">
        <v>6</v>
      </c>
      <c r="P692" s="9">
        <v>46188</v>
      </c>
      <c r="Q692" t="s">
        <v>238</v>
      </c>
      <c r="R692" t="s">
        <v>396</v>
      </c>
      <c r="S692" t="s">
        <v>397</v>
      </c>
      <c r="T692" t="s">
        <v>602</v>
      </c>
      <c r="U692" t="s">
        <v>603</v>
      </c>
      <c r="V692" t="s">
        <v>246</v>
      </c>
      <c r="W692" t="s">
        <v>244</v>
      </c>
      <c r="X692" t="s">
        <v>3175</v>
      </c>
      <c r="Y692" t="s">
        <v>191</v>
      </c>
      <c r="Z692" t="s">
        <v>335</v>
      </c>
      <c r="AA692" t="s">
        <v>337</v>
      </c>
      <c r="AB692" t="s">
        <v>656</v>
      </c>
      <c r="AC692" t="s">
        <v>657</v>
      </c>
      <c r="AD692" t="s">
        <v>658</v>
      </c>
      <c r="AE692" s="7">
        <v>35000</v>
      </c>
      <c r="AF692" s="7">
        <v>1</v>
      </c>
      <c r="AG692" s="7">
        <v>35000</v>
      </c>
      <c r="AH692" s="7">
        <v>0</v>
      </c>
      <c r="AI692" s="7">
        <v>35000</v>
      </c>
      <c r="AJ692" t="s">
        <v>657</v>
      </c>
    </row>
    <row r="693" spans="14:36" x14ac:dyDescent="0.3">
      <c r="N693" s="8">
        <v>2026</v>
      </c>
      <c r="O693" s="8">
        <v>6</v>
      </c>
      <c r="P693" s="9">
        <v>46188</v>
      </c>
      <c r="Q693" t="s">
        <v>238</v>
      </c>
      <c r="R693" t="s">
        <v>396</v>
      </c>
      <c r="S693" t="s">
        <v>397</v>
      </c>
      <c r="T693" t="s">
        <v>602</v>
      </c>
      <c r="U693" t="s">
        <v>603</v>
      </c>
      <c r="V693" t="s">
        <v>246</v>
      </c>
      <c r="W693" t="s">
        <v>244</v>
      </c>
      <c r="X693" t="s">
        <v>3175</v>
      </c>
      <c r="Y693" t="s">
        <v>191</v>
      </c>
      <c r="Z693" t="s">
        <v>335</v>
      </c>
      <c r="AA693" t="s">
        <v>337</v>
      </c>
      <c r="AB693" t="s">
        <v>348</v>
      </c>
      <c r="AC693" t="s">
        <v>349</v>
      </c>
      <c r="AD693" t="s">
        <v>350</v>
      </c>
      <c r="AE693" s="7">
        <v>76000</v>
      </c>
      <c r="AF693" s="7">
        <v>1</v>
      </c>
      <c r="AG693" s="7">
        <v>76000</v>
      </c>
      <c r="AH693" s="7">
        <v>0</v>
      </c>
      <c r="AI693" s="7">
        <v>76000</v>
      </c>
      <c r="AJ693" t="s">
        <v>349</v>
      </c>
    </row>
    <row r="694" spans="14:36" x14ac:dyDescent="0.3">
      <c r="N694" s="8">
        <v>2026</v>
      </c>
      <c r="O694" s="8">
        <v>6</v>
      </c>
      <c r="P694" s="9">
        <v>46188</v>
      </c>
      <c r="Q694" t="s">
        <v>238</v>
      </c>
      <c r="R694" t="s">
        <v>396</v>
      </c>
      <c r="S694" t="s">
        <v>397</v>
      </c>
      <c r="T694" t="s">
        <v>3176</v>
      </c>
      <c r="U694" t="s">
        <v>3543</v>
      </c>
      <c r="V694" t="s">
        <v>249</v>
      </c>
      <c r="W694" t="s">
        <v>244</v>
      </c>
      <c r="X694" t="s">
        <v>3177</v>
      </c>
      <c r="Y694" t="s">
        <v>191</v>
      </c>
      <c r="Z694" t="s">
        <v>335</v>
      </c>
      <c r="AA694" t="s">
        <v>336</v>
      </c>
      <c r="AB694" t="s">
        <v>1146</v>
      </c>
      <c r="AC694" t="s">
        <v>1147</v>
      </c>
      <c r="AD694" t="s">
        <v>1148</v>
      </c>
      <c r="AE694" s="7">
        <v>99000</v>
      </c>
      <c r="AF694" s="7">
        <v>1</v>
      </c>
      <c r="AG694" s="7">
        <v>99000</v>
      </c>
      <c r="AH694" s="7">
        <v>0</v>
      </c>
      <c r="AI694" s="7">
        <v>99000</v>
      </c>
      <c r="AJ694" t="s">
        <v>1147</v>
      </c>
    </row>
    <row r="695" spans="14:36" x14ac:dyDescent="0.3">
      <c r="N695" s="8">
        <v>2026</v>
      </c>
      <c r="O695" s="8">
        <v>6</v>
      </c>
      <c r="P695" s="9">
        <v>46188</v>
      </c>
      <c r="Q695" t="s">
        <v>238</v>
      </c>
      <c r="R695" t="s">
        <v>415</v>
      </c>
      <c r="S695" t="s">
        <v>416</v>
      </c>
      <c r="T695" t="s">
        <v>1075</v>
      </c>
      <c r="U695" t="s">
        <v>3941</v>
      </c>
      <c r="V695" t="s">
        <v>246</v>
      </c>
      <c r="W695" t="s">
        <v>244</v>
      </c>
      <c r="X695" t="s">
        <v>3178</v>
      </c>
      <c r="Y695" t="s">
        <v>191</v>
      </c>
      <c r="Z695" t="s">
        <v>335</v>
      </c>
      <c r="AA695" t="s">
        <v>337</v>
      </c>
      <c r="AB695" t="s">
        <v>719</v>
      </c>
      <c r="AC695" t="s">
        <v>720</v>
      </c>
      <c r="AD695" t="s">
        <v>721</v>
      </c>
      <c r="AE695" s="7">
        <v>104000</v>
      </c>
      <c r="AF695" s="7">
        <v>1</v>
      </c>
      <c r="AG695" s="7">
        <v>104000</v>
      </c>
      <c r="AH695" s="7">
        <v>31200</v>
      </c>
      <c r="AI695" s="7">
        <v>72800</v>
      </c>
      <c r="AJ695" t="s">
        <v>720</v>
      </c>
    </row>
    <row r="696" spans="14:36" x14ac:dyDescent="0.3">
      <c r="N696" s="8">
        <v>2026</v>
      </c>
      <c r="O696" s="8">
        <v>6</v>
      </c>
      <c r="P696" s="9">
        <v>46188</v>
      </c>
      <c r="Q696" t="s">
        <v>238</v>
      </c>
      <c r="R696" t="s">
        <v>425</v>
      </c>
      <c r="S696" t="s">
        <v>426</v>
      </c>
      <c r="T696" t="s">
        <v>431</v>
      </c>
      <c r="U696" t="s">
        <v>432</v>
      </c>
      <c r="V696" t="s">
        <v>243</v>
      </c>
      <c r="W696" t="s">
        <v>244</v>
      </c>
      <c r="X696" t="s">
        <v>3179</v>
      </c>
      <c r="Y696" t="s">
        <v>168</v>
      </c>
      <c r="Z696" t="s">
        <v>171</v>
      </c>
      <c r="AA696" t="s">
        <v>175</v>
      </c>
      <c r="AB696" t="s">
        <v>140</v>
      </c>
      <c r="AC696" t="s">
        <v>138</v>
      </c>
      <c r="AD696" t="s">
        <v>139</v>
      </c>
      <c r="AE696" s="7">
        <v>125000</v>
      </c>
      <c r="AF696" s="7">
        <v>1</v>
      </c>
      <c r="AG696" s="7">
        <v>125000</v>
      </c>
      <c r="AH696" s="7">
        <v>12500</v>
      </c>
      <c r="AI696" s="7">
        <v>112500</v>
      </c>
      <c r="AJ696" t="s">
        <v>138</v>
      </c>
    </row>
    <row r="697" spans="14:36" x14ac:dyDescent="0.3">
      <c r="N697" s="8">
        <v>2026</v>
      </c>
      <c r="O697" s="8">
        <v>6</v>
      </c>
      <c r="P697" s="9">
        <v>46187</v>
      </c>
      <c r="Q697" t="s">
        <v>238</v>
      </c>
      <c r="R697" t="s">
        <v>239</v>
      </c>
      <c r="S697" t="s">
        <v>240</v>
      </c>
      <c r="T697" t="s">
        <v>2663</v>
      </c>
      <c r="U697" t="s">
        <v>250</v>
      </c>
      <c r="V697" t="s">
        <v>246</v>
      </c>
      <c r="W697" t="s">
        <v>244</v>
      </c>
      <c r="X697" t="s">
        <v>3180</v>
      </c>
      <c r="Y697" t="s">
        <v>191</v>
      </c>
      <c r="Z697" t="s">
        <v>192</v>
      </c>
      <c r="AA697" t="s">
        <v>193</v>
      </c>
      <c r="AB697" t="s">
        <v>104</v>
      </c>
      <c r="AC697" t="s">
        <v>102</v>
      </c>
      <c r="AD697" t="s">
        <v>103</v>
      </c>
      <c r="AE697" s="7">
        <v>235000</v>
      </c>
      <c r="AF697" s="7">
        <v>1</v>
      </c>
      <c r="AG697" s="7">
        <v>235000</v>
      </c>
      <c r="AH697" s="7">
        <v>0</v>
      </c>
      <c r="AI697" s="7">
        <v>235000</v>
      </c>
      <c r="AJ697" t="s">
        <v>102</v>
      </c>
    </row>
    <row r="698" spans="14:36" x14ac:dyDescent="0.3">
      <c r="N698" s="8">
        <v>2026</v>
      </c>
      <c r="O698" s="8">
        <v>6</v>
      </c>
      <c r="P698" s="9">
        <v>46187</v>
      </c>
      <c r="Q698" t="s">
        <v>238</v>
      </c>
      <c r="R698" t="s">
        <v>239</v>
      </c>
      <c r="S698" t="s">
        <v>240</v>
      </c>
      <c r="T698" t="s">
        <v>2663</v>
      </c>
      <c r="U698" t="s">
        <v>250</v>
      </c>
      <c r="V698" t="s">
        <v>246</v>
      </c>
      <c r="W698" t="s">
        <v>244</v>
      </c>
      <c r="X698" t="s">
        <v>3180</v>
      </c>
      <c r="Y698" t="s">
        <v>191</v>
      </c>
      <c r="Z698" t="s">
        <v>192</v>
      </c>
      <c r="AA698" t="s">
        <v>193</v>
      </c>
      <c r="AB698" t="s">
        <v>110</v>
      </c>
      <c r="AC698" t="s">
        <v>108</v>
      </c>
      <c r="AD698" t="s">
        <v>109</v>
      </c>
      <c r="AE698" s="7">
        <v>235000</v>
      </c>
      <c r="AF698" s="7">
        <v>2</v>
      </c>
      <c r="AG698" s="7">
        <v>470000</v>
      </c>
      <c r="AH698" s="7">
        <v>0</v>
      </c>
      <c r="AI698" s="7">
        <v>470000</v>
      </c>
      <c r="AJ698" t="s">
        <v>108</v>
      </c>
    </row>
    <row r="699" spans="14:36" x14ac:dyDescent="0.3">
      <c r="N699" s="8">
        <v>2026</v>
      </c>
      <c r="O699" s="8">
        <v>6</v>
      </c>
      <c r="P699" s="9">
        <v>46187</v>
      </c>
      <c r="Q699" t="s">
        <v>238</v>
      </c>
      <c r="R699" t="s">
        <v>239</v>
      </c>
      <c r="S699" t="s">
        <v>240</v>
      </c>
      <c r="T699" t="s">
        <v>2268</v>
      </c>
      <c r="U699" t="s">
        <v>268</v>
      </c>
      <c r="V699" t="s">
        <v>246</v>
      </c>
      <c r="W699" t="s">
        <v>244</v>
      </c>
      <c r="X699" t="s">
        <v>3181</v>
      </c>
      <c r="Y699" t="s">
        <v>191</v>
      </c>
      <c r="Z699" t="s">
        <v>335</v>
      </c>
      <c r="AA699" t="s">
        <v>336</v>
      </c>
      <c r="AB699" t="s">
        <v>1146</v>
      </c>
      <c r="AC699" t="s">
        <v>1147</v>
      </c>
      <c r="AD699" t="s">
        <v>1148</v>
      </c>
      <c r="AE699" s="7">
        <v>99000</v>
      </c>
      <c r="AF699" s="7">
        <v>1</v>
      </c>
      <c r="AG699" s="7">
        <v>99000</v>
      </c>
      <c r="AH699" s="7">
        <v>0</v>
      </c>
      <c r="AI699" s="7">
        <v>99000</v>
      </c>
      <c r="AJ699" t="s">
        <v>1147</v>
      </c>
    </row>
    <row r="700" spans="14:36" x14ac:dyDescent="0.3">
      <c r="N700" s="8">
        <v>2026</v>
      </c>
      <c r="O700" s="8">
        <v>6</v>
      </c>
      <c r="P700" s="9">
        <v>46187</v>
      </c>
      <c r="Q700" t="s">
        <v>238</v>
      </c>
      <c r="R700" t="s">
        <v>239</v>
      </c>
      <c r="S700" t="s">
        <v>240</v>
      </c>
      <c r="T700" t="s">
        <v>943</v>
      </c>
      <c r="U700" t="s">
        <v>3942</v>
      </c>
      <c r="V700" t="s">
        <v>246</v>
      </c>
      <c r="W700" t="s">
        <v>244</v>
      </c>
      <c r="X700" t="s">
        <v>3182</v>
      </c>
      <c r="Y700" t="s">
        <v>183</v>
      </c>
      <c r="Z700" t="s">
        <v>189</v>
      </c>
      <c r="AA700" t="s">
        <v>190</v>
      </c>
      <c r="AB700" t="s">
        <v>92</v>
      </c>
      <c r="AC700" t="s">
        <v>90</v>
      </c>
      <c r="AD700" t="s">
        <v>91</v>
      </c>
      <c r="AE700" s="7">
        <v>52000</v>
      </c>
      <c r="AF700" s="7">
        <v>1</v>
      </c>
      <c r="AG700" s="7">
        <v>52000</v>
      </c>
      <c r="AH700" s="7">
        <v>0</v>
      </c>
      <c r="AI700" s="7">
        <v>52000</v>
      </c>
      <c r="AJ700" t="s">
        <v>90</v>
      </c>
    </row>
    <row r="701" spans="14:36" x14ac:dyDescent="0.3">
      <c r="N701" s="8">
        <v>2026</v>
      </c>
      <c r="O701" s="8">
        <v>6</v>
      </c>
      <c r="P701" s="9">
        <v>46187</v>
      </c>
      <c r="Q701" t="s">
        <v>238</v>
      </c>
      <c r="R701" t="s">
        <v>279</v>
      </c>
      <c r="S701" t="s">
        <v>280</v>
      </c>
      <c r="T701" t="s">
        <v>281</v>
      </c>
      <c r="U701" t="s">
        <v>282</v>
      </c>
      <c r="V701" t="s">
        <v>243</v>
      </c>
      <c r="W701" t="s">
        <v>244</v>
      </c>
      <c r="X701" t="s">
        <v>3183</v>
      </c>
      <c r="Y701" t="s">
        <v>191</v>
      </c>
      <c r="Z701" t="s">
        <v>335</v>
      </c>
      <c r="AA701" t="s">
        <v>336</v>
      </c>
      <c r="AB701" t="s">
        <v>1284</v>
      </c>
      <c r="AC701" t="s">
        <v>1285</v>
      </c>
      <c r="AD701" t="s">
        <v>1286</v>
      </c>
      <c r="AE701" s="7">
        <v>99000</v>
      </c>
      <c r="AF701" s="7">
        <v>1</v>
      </c>
      <c r="AG701" s="7">
        <v>99000</v>
      </c>
      <c r="AH701" s="7">
        <v>0</v>
      </c>
      <c r="AI701" s="7">
        <v>99000</v>
      </c>
      <c r="AJ701" t="s">
        <v>1285</v>
      </c>
    </row>
    <row r="702" spans="14:36" x14ac:dyDescent="0.3">
      <c r="N702" s="8">
        <v>2026</v>
      </c>
      <c r="O702" s="8">
        <v>6</v>
      </c>
      <c r="P702" s="9">
        <v>46187</v>
      </c>
      <c r="Q702" t="s">
        <v>238</v>
      </c>
      <c r="R702" t="s">
        <v>279</v>
      </c>
      <c r="S702" t="s">
        <v>280</v>
      </c>
      <c r="T702" t="s">
        <v>281</v>
      </c>
      <c r="U702" t="s">
        <v>282</v>
      </c>
      <c r="V702" t="s">
        <v>243</v>
      </c>
      <c r="W702" t="s">
        <v>244</v>
      </c>
      <c r="X702" t="s">
        <v>3184</v>
      </c>
      <c r="Y702" t="s">
        <v>191</v>
      </c>
      <c r="Z702" t="s">
        <v>335</v>
      </c>
      <c r="AA702" t="s">
        <v>336</v>
      </c>
      <c r="AB702" t="s">
        <v>1146</v>
      </c>
      <c r="AC702" t="s">
        <v>1147</v>
      </c>
      <c r="AD702" t="s">
        <v>1148</v>
      </c>
      <c r="AE702" s="7">
        <v>99000</v>
      </c>
      <c r="AF702" s="7">
        <v>1</v>
      </c>
      <c r="AG702" s="7">
        <v>99000</v>
      </c>
      <c r="AH702" s="7">
        <v>0</v>
      </c>
      <c r="AI702" s="7">
        <v>99000</v>
      </c>
      <c r="AJ702" t="s">
        <v>1147</v>
      </c>
    </row>
    <row r="703" spans="14:36" x14ac:dyDescent="0.3">
      <c r="N703" s="8">
        <v>2026</v>
      </c>
      <c r="O703" s="8">
        <v>6</v>
      </c>
      <c r="P703" s="9">
        <v>46187</v>
      </c>
      <c r="Q703" t="s">
        <v>238</v>
      </c>
      <c r="R703" t="s">
        <v>279</v>
      </c>
      <c r="S703" t="s">
        <v>280</v>
      </c>
      <c r="T703" t="s">
        <v>545</v>
      </c>
      <c r="U703" t="s">
        <v>546</v>
      </c>
      <c r="V703" t="s">
        <v>246</v>
      </c>
      <c r="W703" t="s">
        <v>244</v>
      </c>
      <c r="X703" t="s">
        <v>3185</v>
      </c>
      <c r="Y703" t="s">
        <v>194</v>
      </c>
      <c r="Z703" t="s">
        <v>200</v>
      </c>
      <c r="AA703" t="s">
        <v>201</v>
      </c>
      <c r="AB703" t="s">
        <v>86</v>
      </c>
      <c r="AC703" t="s">
        <v>84</v>
      </c>
      <c r="AD703" t="s">
        <v>85</v>
      </c>
      <c r="AE703" s="7">
        <v>49000</v>
      </c>
      <c r="AF703" s="7">
        <v>1</v>
      </c>
      <c r="AG703" s="7">
        <v>49000</v>
      </c>
      <c r="AH703" s="7">
        <v>0</v>
      </c>
      <c r="AI703" s="7">
        <v>49000</v>
      </c>
      <c r="AJ703" t="s">
        <v>84</v>
      </c>
    </row>
    <row r="704" spans="14:36" x14ac:dyDescent="0.3">
      <c r="N704" s="8">
        <v>2026</v>
      </c>
      <c r="O704" s="8">
        <v>6</v>
      </c>
      <c r="P704" s="9">
        <v>46187</v>
      </c>
      <c r="Q704" t="s">
        <v>238</v>
      </c>
      <c r="R704" t="s">
        <v>303</v>
      </c>
      <c r="S704" t="s">
        <v>304</v>
      </c>
      <c r="T704" t="s">
        <v>3186</v>
      </c>
      <c r="U704" t="s">
        <v>3921</v>
      </c>
      <c r="V704" t="s">
        <v>246</v>
      </c>
      <c r="W704" t="s">
        <v>244</v>
      </c>
      <c r="X704" t="s">
        <v>3187</v>
      </c>
      <c r="Y704" t="s">
        <v>191</v>
      </c>
      <c r="Z704" t="s">
        <v>335</v>
      </c>
      <c r="AA704" t="s">
        <v>336</v>
      </c>
      <c r="AB704" t="s">
        <v>1518</v>
      </c>
      <c r="AC704" t="s">
        <v>1519</v>
      </c>
      <c r="AD704" t="s">
        <v>1520</v>
      </c>
      <c r="AE704" s="7">
        <v>99000</v>
      </c>
      <c r="AF704" s="7">
        <v>1</v>
      </c>
      <c r="AG704" s="7">
        <v>99000</v>
      </c>
      <c r="AH704" s="7">
        <v>0</v>
      </c>
      <c r="AI704" s="7">
        <v>99000</v>
      </c>
      <c r="AJ704" t="s">
        <v>1519</v>
      </c>
    </row>
    <row r="705" spans="14:36" x14ac:dyDescent="0.3">
      <c r="N705" s="8">
        <v>2026</v>
      </c>
      <c r="O705" s="8">
        <v>6</v>
      </c>
      <c r="P705" s="9">
        <v>46187</v>
      </c>
      <c r="Q705" t="s">
        <v>238</v>
      </c>
      <c r="R705" t="s">
        <v>303</v>
      </c>
      <c r="S705" t="s">
        <v>304</v>
      </c>
      <c r="T705" t="s">
        <v>3186</v>
      </c>
      <c r="U705" t="s">
        <v>3921</v>
      </c>
      <c r="V705" t="s">
        <v>246</v>
      </c>
      <c r="W705" t="s">
        <v>244</v>
      </c>
      <c r="X705" t="s">
        <v>3187</v>
      </c>
      <c r="Y705" t="s">
        <v>191</v>
      </c>
      <c r="Z705" t="s">
        <v>335</v>
      </c>
      <c r="AA705" t="s">
        <v>336</v>
      </c>
      <c r="AB705" t="s">
        <v>1146</v>
      </c>
      <c r="AC705" t="s">
        <v>1147</v>
      </c>
      <c r="AD705" t="s">
        <v>1148</v>
      </c>
      <c r="AE705" s="7">
        <v>99000</v>
      </c>
      <c r="AF705" s="7">
        <v>1</v>
      </c>
      <c r="AG705" s="7">
        <v>99000</v>
      </c>
      <c r="AH705" s="7">
        <v>0</v>
      </c>
      <c r="AI705" s="7">
        <v>99000</v>
      </c>
      <c r="AJ705" t="s">
        <v>1147</v>
      </c>
    </row>
    <row r="706" spans="14:36" x14ac:dyDescent="0.3">
      <c r="N706" s="8">
        <v>2026</v>
      </c>
      <c r="O706" s="8">
        <v>6</v>
      </c>
      <c r="P706" s="9">
        <v>46187</v>
      </c>
      <c r="Q706" t="s">
        <v>238</v>
      </c>
      <c r="R706" t="s">
        <v>303</v>
      </c>
      <c r="S706" t="s">
        <v>304</v>
      </c>
      <c r="T706" t="s">
        <v>1076</v>
      </c>
      <c r="U706" t="s">
        <v>1077</v>
      </c>
      <c r="V706" t="s">
        <v>246</v>
      </c>
      <c r="W706" t="s">
        <v>244</v>
      </c>
      <c r="X706" t="s">
        <v>3188</v>
      </c>
      <c r="Y706" t="s">
        <v>191</v>
      </c>
      <c r="Z706" t="s">
        <v>192</v>
      </c>
      <c r="AA706" t="s">
        <v>193</v>
      </c>
      <c r="AB706" t="s">
        <v>110</v>
      </c>
      <c r="AC706" t="s">
        <v>108</v>
      </c>
      <c r="AD706" t="s">
        <v>109</v>
      </c>
      <c r="AE706" s="7">
        <v>235000</v>
      </c>
      <c r="AF706" s="7">
        <v>1</v>
      </c>
      <c r="AG706" s="7">
        <v>235000</v>
      </c>
      <c r="AH706" s="7">
        <v>0</v>
      </c>
      <c r="AI706" s="7">
        <v>235000</v>
      </c>
      <c r="AJ706" t="s">
        <v>108</v>
      </c>
    </row>
    <row r="707" spans="14:36" x14ac:dyDescent="0.3">
      <c r="N707" s="8">
        <v>2026</v>
      </c>
      <c r="O707" s="8">
        <v>6</v>
      </c>
      <c r="P707" s="9">
        <v>46187</v>
      </c>
      <c r="Q707" t="s">
        <v>238</v>
      </c>
      <c r="R707" t="s">
        <v>303</v>
      </c>
      <c r="S707" t="s">
        <v>304</v>
      </c>
      <c r="T707" t="s">
        <v>462</v>
      </c>
      <c r="U707" t="s">
        <v>354</v>
      </c>
      <c r="V707" t="s">
        <v>246</v>
      </c>
      <c r="W707" t="s">
        <v>244</v>
      </c>
      <c r="X707" t="s">
        <v>3189</v>
      </c>
      <c r="Y707" t="s">
        <v>191</v>
      </c>
      <c r="Z707" t="s">
        <v>335</v>
      </c>
      <c r="AA707" t="s">
        <v>337</v>
      </c>
      <c r="AB707" t="s">
        <v>719</v>
      </c>
      <c r="AC707" t="s">
        <v>720</v>
      </c>
      <c r="AD707" t="s">
        <v>721</v>
      </c>
      <c r="AE707" s="7">
        <v>104000</v>
      </c>
      <c r="AF707" s="7">
        <v>1</v>
      </c>
      <c r="AG707" s="7">
        <v>104000</v>
      </c>
      <c r="AH707" s="7">
        <v>31200</v>
      </c>
      <c r="AI707" s="7">
        <v>72800</v>
      </c>
      <c r="AJ707" t="s">
        <v>720</v>
      </c>
    </row>
    <row r="708" spans="14:36" x14ac:dyDescent="0.3">
      <c r="N708" s="8">
        <v>2026</v>
      </c>
      <c r="O708" s="8">
        <v>6</v>
      </c>
      <c r="P708" s="9">
        <v>46187</v>
      </c>
      <c r="Q708" t="s">
        <v>238</v>
      </c>
      <c r="R708" t="s">
        <v>303</v>
      </c>
      <c r="S708" t="s">
        <v>304</v>
      </c>
      <c r="T708" t="s">
        <v>3190</v>
      </c>
      <c r="U708" t="s">
        <v>3191</v>
      </c>
      <c r="V708" t="s">
        <v>246</v>
      </c>
      <c r="W708" t="s">
        <v>244</v>
      </c>
      <c r="X708" t="s">
        <v>3192</v>
      </c>
      <c r="Y708" t="s">
        <v>191</v>
      </c>
      <c r="Z708" t="s">
        <v>335</v>
      </c>
      <c r="AA708" t="s">
        <v>337</v>
      </c>
      <c r="AB708" t="s">
        <v>719</v>
      </c>
      <c r="AC708" t="s">
        <v>720</v>
      </c>
      <c r="AD708" t="s">
        <v>721</v>
      </c>
      <c r="AE708" s="7">
        <v>104000</v>
      </c>
      <c r="AF708" s="7">
        <v>1</v>
      </c>
      <c r="AG708" s="7">
        <v>104000</v>
      </c>
      <c r="AH708" s="7">
        <v>31200</v>
      </c>
      <c r="AI708" s="7">
        <v>72800</v>
      </c>
      <c r="AJ708" t="s">
        <v>720</v>
      </c>
    </row>
    <row r="709" spans="14:36" x14ac:dyDescent="0.3">
      <c r="N709" s="8">
        <v>2026</v>
      </c>
      <c r="O709" s="8">
        <v>6</v>
      </c>
      <c r="P709" s="9">
        <v>46187</v>
      </c>
      <c r="Q709" t="s">
        <v>238</v>
      </c>
      <c r="R709" t="s">
        <v>303</v>
      </c>
      <c r="S709" t="s">
        <v>304</v>
      </c>
      <c r="T709" t="s">
        <v>2238</v>
      </c>
      <c r="U709" t="s">
        <v>2239</v>
      </c>
      <c r="V709" t="s">
        <v>246</v>
      </c>
      <c r="W709" t="s">
        <v>244</v>
      </c>
      <c r="X709" t="s">
        <v>3193</v>
      </c>
      <c r="Y709" t="s">
        <v>168</v>
      </c>
      <c r="Z709" t="s">
        <v>181</v>
      </c>
      <c r="AA709" t="s">
        <v>182</v>
      </c>
      <c r="AB709" t="s">
        <v>50</v>
      </c>
      <c r="AC709" t="s">
        <v>48</v>
      </c>
      <c r="AD709" t="s">
        <v>49</v>
      </c>
      <c r="AE709" s="7">
        <v>49000</v>
      </c>
      <c r="AF709" s="7">
        <v>1</v>
      </c>
      <c r="AG709" s="7">
        <v>49000</v>
      </c>
      <c r="AH709" s="7">
        <v>0</v>
      </c>
      <c r="AI709" s="7">
        <v>49000</v>
      </c>
      <c r="AJ709" t="s">
        <v>48</v>
      </c>
    </row>
    <row r="710" spans="14:36" x14ac:dyDescent="0.3">
      <c r="N710" s="8">
        <v>2026</v>
      </c>
      <c r="O710" s="8">
        <v>6</v>
      </c>
      <c r="P710" s="9">
        <v>46187</v>
      </c>
      <c r="Q710" t="s">
        <v>238</v>
      </c>
      <c r="R710" t="s">
        <v>303</v>
      </c>
      <c r="S710" t="s">
        <v>304</v>
      </c>
      <c r="T710" t="s">
        <v>2493</v>
      </c>
      <c r="U710" t="s">
        <v>2494</v>
      </c>
      <c r="V710" t="s">
        <v>246</v>
      </c>
      <c r="W710" t="s">
        <v>244</v>
      </c>
      <c r="X710" t="s">
        <v>3194</v>
      </c>
      <c r="Y710" t="s">
        <v>191</v>
      </c>
      <c r="Z710" t="s">
        <v>192</v>
      </c>
      <c r="AA710" t="s">
        <v>193</v>
      </c>
      <c r="AB710" t="s">
        <v>110</v>
      </c>
      <c r="AC710" t="s">
        <v>108</v>
      </c>
      <c r="AD710" t="s">
        <v>109</v>
      </c>
      <c r="AE710" s="7">
        <v>235000</v>
      </c>
      <c r="AF710" s="7">
        <v>1</v>
      </c>
      <c r="AG710" s="7">
        <v>235000</v>
      </c>
      <c r="AH710" s="7">
        <v>0</v>
      </c>
      <c r="AI710" s="7">
        <v>235000</v>
      </c>
      <c r="AJ710" t="s">
        <v>108</v>
      </c>
    </row>
    <row r="711" spans="14:36" x14ac:dyDescent="0.3">
      <c r="N711" s="8">
        <v>2026</v>
      </c>
      <c r="O711" s="8">
        <v>6</v>
      </c>
      <c r="P711" s="9">
        <v>46187</v>
      </c>
      <c r="Q711" t="s">
        <v>238</v>
      </c>
      <c r="R711" t="s">
        <v>303</v>
      </c>
      <c r="S711" t="s">
        <v>304</v>
      </c>
      <c r="T711" t="s">
        <v>567</v>
      </c>
      <c r="U711" t="s">
        <v>568</v>
      </c>
      <c r="V711" t="s">
        <v>246</v>
      </c>
      <c r="W711" t="s">
        <v>244</v>
      </c>
      <c r="X711" t="s">
        <v>3195</v>
      </c>
      <c r="Y711" t="s">
        <v>191</v>
      </c>
      <c r="Z711" t="s">
        <v>335</v>
      </c>
      <c r="AA711" t="s">
        <v>336</v>
      </c>
      <c r="AB711" t="s">
        <v>1284</v>
      </c>
      <c r="AC711" t="s">
        <v>1285</v>
      </c>
      <c r="AD711" t="s">
        <v>1286</v>
      </c>
      <c r="AE711" s="7">
        <v>99000</v>
      </c>
      <c r="AF711" s="7">
        <v>1</v>
      </c>
      <c r="AG711" s="7">
        <v>99000</v>
      </c>
      <c r="AH711" s="7">
        <v>0</v>
      </c>
      <c r="AI711" s="7">
        <v>99000</v>
      </c>
      <c r="AJ711" t="s">
        <v>1285</v>
      </c>
    </row>
    <row r="712" spans="14:36" x14ac:dyDescent="0.3">
      <c r="N712" s="8">
        <v>2026</v>
      </c>
      <c r="O712" s="8">
        <v>6</v>
      </c>
      <c r="P712" s="9">
        <v>46187</v>
      </c>
      <c r="Q712" t="s">
        <v>238</v>
      </c>
      <c r="R712" t="s">
        <v>303</v>
      </c>
      <c r="S712" t="s">
        <v>304</v>
      </c>
      <c r="T712" t="s">
        <v>1460</v>
      </c>
      <c r="U712" t="s">
        <v>3943</v>
      </c>
      <c r="V712" t="s">
        <v>246</v>
      </c>
      <c r="W712" t="s">
        <v>244</v>
      </c>
      <c r="X712" t="s">
        <v>3196</v>
      </c>
      <c r="Y712" t="s">
        <v>194</v>
      </c>
      <c r="Z712" t="s">
        <v>200</v>
      </c>
      <c r="AA712" t="s">
        <v>201</v>
      </c>
      <c r="AB712" t="s">
        <v>77</v>
      </c>
      <c r="AC712" t="s">
        <v>75</v>
      </c>
      <c r="AD712" t="s">
        <v>76</v>
      </c>
      <c r="AE712" s="7">
        <v>52000</v>
      </c>
      <c r="AF712" s="7">
        <v>1</v>
      </c>
      <c r="AG712" s="7">
        <v>52000</v>
      </c>
      <c r="AH712" s="7">
        <v>0</v>
      </c>
      <c r="AI712" s="7">
        <v>52000</v>
      </c>
      <c r="AJ712" t="s">
        <v>75</v>
      </c>
    </row>
    <row r="713" spans="14:36" x14ac:dyDescent="0.3">
      <c r="N713" s="8">
        <v>2026</v>
      </c>
      <c r="O713" s="8">
        <v>6</v>
      </c>
      <c r="P713" s="9">
        <v>46187</v>
      </c>
      <c r="Q713" t="s">
        <v>238</v>
      </c>
      <c r="R713" t="s">
        <v>351</v>
      </c>
      <c r="S713" t="s">
        <v>352</v>
      </c>
      <c r="T713" t="s">
        <v>356</v>
      </c>
      <c r="U713" t="s">
        <v>357</v>
      </c>
      <c r="V713" t="s">
        <v>243</v>
      </c>
      <c r="W713" t="s">
        <v>244</v>
      </c>
      <c r="X713" t="s">
        <v>3197</v>
      </c>
      <c r="Y713" t="s">
        <v>183</v>
      </c>
      <c r="Z713" t="s">
        <v>189</v>
      </c>
      <c r="AA713" t="s">
        <v>190</v>
      </c>
      <c r="AB713" t="s">
        <v>92</v>
      </c>
      <c r="AC713" t="s">
        <v>90</v>
      </c>
      <c r="AD713" t="s">
        <v>91</v>
      </c>
      <c r="AE713" s="7">
        <v>52000</v>
      </c>
      <c r="AF713" s="7">
        <v>1</v>
      </c>
      <c r="AG713" s="7">
        <v>52000</v>
      </c>
      <c r="AH713" s="7">
        <v>0</v>
      </c>
      <c r="AI713" s="7">
        <v>52000</v>
      </c>
      <c r="AJ713" t="s">
        <v>90</v>
      </c>
    </row>
    <row r="714" spans="14:36" x14ac:dyDescent="0.3">
      <c r="N714" s="8">
        <v>2026</v>
      </c>
      <c r="O714" s="8">
        <v>6</v>
      </c>
      <c r="P714" s="9">
        <v>46187</v>
      </c>
      <c r="Q714" t="s">
        <v>238</v>
      </c>
      <c r="R714" t="s">
        <v>374</v>
      </c>
      <c r="S714" t="s">
        <v>375</v>
      </c>
      <c r="T714" t="s">
        <v>376</v>
      </c>
      <c r="U714" t="s">
        <v>377</v>
      </c>
      <c r="V714" t="s">
        <v>243</v>
      </c>
      <c r="W714" t="s">
        <v>244</v>
      </c>
      <c r="X714" t="s">
        <v>3198</v>
      </c>
      <c r="Y714" t="s">
        <v>194</v>
      </c>
      <c r="Z714" t="s">
        <v>200</v>
      </c>
      <c r="AA714" t="s">
        <v>201</v>
      </c>
      <c r="AB714" t="s">
        <v>80</v>
      </c>
      <c r="AC714" t="s">
        <v>78</v>
      </c>
      <c r="AD714" t="s">
        <v>79</v>
      </c>
      <c r="AE714" s="7">
        <v>14000</v>
      </c>
      <c r="AF714" s="7">
        <v>1</v>
      </c>
      <c r="AG714" s="7">
        <v>14000</v>
      </c>
      <c r="AH714" s="7">
        <v>0</v>
      </c>
      <c r="AI714" s="7">
        <v>14000</v>
      </c>
      <c r="AJ714" t="s">
        <v>78</v>
      </c>
    </row>
    <row r="715" spans="14:36" x14ac:dyDescent="0.3">
      <c r="N715" s="8">
        <v>2026</v>
      </c>
      <c r="O715" s="8">
        <v>6</v>
      </c>
      <c r="P715" s="9">
        <v>46187</v>
      </c>
      <c r="Q715" t="s">
        <v>238</v>
      </c>
      <c r="R715" t="s">
        <v>374</v>
      </c>
      <c r="S715" t="s">
        <v>375</v>
      </c>
      <c r="T715" t="s">
        <v>3199</v>
      </c>
      <c r="U715" t="s">
        <v>629</v>
      </c>
      <c r="V715" t="s">
        <v>249</v>
      </c>
      <c r="W715" t="s">
        <v>244</v>
      </c>
      <c r="X715" t="s">
        <v>3200</v>
      </c>
      <c r="Y715" t="s">
        <v>183</v>
      </c>
      <c r="Z715" t="s">
        <v>184</v>
      </c>
      <c r="AA715" t="s">
        <v>185</v>
      </c>
      <c r="AB715" t="s">
        <v>47</v>
      </c>
      <c r="AC715" t="s">
        <v>45</v>
      </c>
      <c r="AD715" t="s">
        <v>46</v>
      </c>
      <c r="AE715" s="7">
        <v>52000</v>
      </c>
      <c r="AF715" s="7">
        <v>1</v>
      </c>
      <c r="AG715" s="7">
        <v>52000</v>
      </c>
      <c r="AH715" s="7">
        <v>0</v>
      </c>
      <c r="AI715" s="7">
        <v>52000</v>
      </c>
      <c r="AJ715" t="s">
        <v>45</v>
      </c>
    </row>
    <row r="716" spans="14:36" x14ac:dyDescent="0.3">
      <c r="N716" s="8">
        <v>2026</v>
      </c>
      <c r="O716" s="8">
        <v>6</v>
      </c>
      <c r="P716" s="9">
        <v>46187</v>
      </c>
      <c r="Q716" t="s">
        <v>238</v>
      </c>
      <c r="R716" t="s">
        <v>396</v>
      </c>
      <c r="S716" t="s">
        <v>397</v>
      </c>
      <c r="T716" t="s">
        <v>3201</v>
      </c>
      <c r="U716" t="s">
        <v>616</v>
      </c>
      <c r="V716" t="s">
        <v>246</v>
      </c>
      <c r="W716" t="s">
        <v>244</v>
      </c>
      <c r="X716" t="s">
        <v>3202</v>
      </c>
      <c r="Y716" t="s">
        <v>194</v>
      </c>
      <c r="Z716" t="s">
        <v>200</v>
      </c>
      <c r="AA716" t="s">
        <v>201</v>
      </c>
      <c r="AB716" t="s">
        <v>80</v>
      </c>
      <c r="AC716" t="s">
        <v>78</v>
      </c>
      <c r="AD716" t="s">
        <v>79</v>
      </c>
      <c r="AE716" s="7">
        <v>14000</v>
      </c>
      <c r="AF716" s="7">
        <v>1</v>
      </c>
      <c r="AG716" s="7">
        <v>14000</v>
      </c>
      <c r="AH716" s="7">
        <v>0</v>
      </c>
      <c r="AI716" s="7">
        <v>14000</v>
      </c>
      <c r="AJ716" t="s">
        <v>78</v>
      </c>
    </row>
    <row r="717" spans="14:36" x14ac:dyDescent="0.3">
      <c r="N717" s="8">
        <v>2026</v>
      </c>
      <c r="O717" s="8">
        <v>6</v>
      </c>
      <c r="P717" s="9">
        <v>46187</v>
      </c>
      <c r="Q717" t="s">
        <v>238</v>
      </c>
      <c r="R717" t="s">
        <v>396</v>
      </c>
      <c r="S717" t="s">
        <v>397</v>
      </c>
      <c r="T717" t="s">
        <v>3203</v>
      </c>
      <c r="U717" t="s">
        <v>3204</v>
      </c>
      <c r="V717" t="s">
        <v>246</v>
      </c>
      <c r="W717" t="s">
        <v>244</v>
      </c>
      <c r="X717" t="s">
        <v>3205</v>
      </c>
      <c r="Y717" t="s">
        <v>183</v>
      </c>
      <c r="Z717" t="s">
        <v>186</v>
      </c>
      <c r="AA717" t="s">
        <v>187</v>
      </c>
      <c r="AB717" t="s">
        <v>152</v>
      </c>
      <c r="AC717" t="s">
        <v>150</v>
      </c>
      <c r="AD717" t="s">
        <v>1382</v>
      </c>
      <c r="AE717" s="7">
        <v>199000</v>
      </c>
      <c r="AF717" s="7">
        <v>2</v>
      </c>
      <c r="AG717" s="7">
        <v>398000</v>
      </c>
      <c r="AH717" s="7">
        <v>119400</v>
      </c>
      <c r="AI717" s="7">
        <v>278600</v>
      </c>
      <c r="AJ717" t="s">
        <v>150</v>
      </c>
    </row>
    <row r="718" spans="14:36" x14ac:dyDescent="0.3">
      <c r="N718" s="8">
        <v>2026</v>
      </c>
      <c r="O718" s="8">
        <v>6</v>
      </c>
      <c r="P718" s="9">
        <v>46187</v>
      </c>
      <c r="Q718" t="s">
        <v>238</v>
      </c>
      <c r="R718" t="s">
        <v>415</v>
      </c>
      <c r="S718" t="s">
        <v>416</v>
      </c>
      <c r="T718" t="s">
        <v>2440</v>
      </c>
      <c r="U718" t="s">
        <v>311</v>
      </c>
      <c r="V718" t="s">
        <v>246</v>
      </c>
      <c r="W718" t="s">
        <v>244</v>
      </c>
      <c r="X718" t="s">
        <v>3206</v>
      </c>
      <c r="Y718" t="s">
        <v>168</v>
      </c>
      <c r="Z718" t="s">
        <v>171</v>
      </c>
      <c r="AA718" t="s">
        <v>175</v>
      </c>
      <c r="AB718" t="s">
        <v>44</v>
      </c>
      <c r="AC718" t="s">
        <v>42</v>
      </c>
      <c r="AD718" t="s">
        <v>43</v>
      </c>
      <c r="AE718" s="7">
        <v>294000</v>
      </c>
      <c r="AF718" s="7">
        <v>1</v>
      </c>
      <c r="AG718" s="7">
        <v>294000</v>
      </c>
      <c r="AH718" s="7">
        <v>117600</v>
      </c>
      <c r="AI718" s="7">
        <v>176400</v>
      </c>
      <c r="AJ718" t="s">
        <v>42</v>
      </c>
    </row>
    <row r="719" spans="14:36" x14ac:dyDescent="0.3">
      <c r="N719" s="8">
        <v>2026</v>
      </c>
      <c r="O719" s="8">
        <v>6</v>
      </c>
      <c r="P719" s="9">
        <v>46187</v>
      </c>
      <c r="Q719" t="s">
        <v>238</v>
      </c>
      <c r="R719" t="s">
        <v>425</v>
      </c>
      <c r="S719" t="s">
        <v>426</v>
      </c>
      <c r="T719" t="s">
        <v>3209</v>
      </c>
      <c r="U719" t="s">
        <v>385</v>
      </c>
      <c r="V719" t="s">
        <v>249</v>
      </c>
      <c r="W719" t="s">
        <v>244</v>
      </c>
      <c r="X719" t="s">
        <v>3210</v>
      </c>
      <c r="Y719" t="s">
        <v>191</v>
      </c>
      <c r="Z719" t="s">
        <v>192</v>
      </c>
      <c r="AA719" t="s">
        <v>193</v>
      </c>
      <c r="AB719" t="s">
        <v>110</v>
      </c>
      <c r="AC719" t="s">
        <v>108</v>
      </c>
      <c r="AD719" t="s">
        <v>109</v>
      </c>
      <c r="AE719" s="7">
        <v>235000</v>
      </c>
      <c r="AF719" s="7">
        <v>1</v>
      </c>
      <c r="AG719" s="7">
        <v>235000</v>
      </c>
      <c r="AH719" s="7">
        <v>0</v>
      </c>
      <c r="AI719" s="7">
        <v>235000</v>
      </c>
      <c r="AJ719" t="s">
        <v>108</v>
      </c>
    </row>
    <row r="720" spans="14:36" x14ac:dyDescent="0.3">
      <c r="N720" s="8">
        <v>2026</v>
      </c>
      <c r="O720" s="8">
        <v>6</v>
      </c>
      <c r="P720" s="9">
        <v>46186</v>
      </c>
      <c r="Q720" t="s">
        <v>238</v>
      </c>
      <c r="R720" t="s">
        <v>239</v>
      </c>
      <c r="S720" t="s">
        <v>240</v>
      </c>
      <c r="T720" t="s">
        <v>2544</v>
      </c>
      <c r="U720" t="s">
        <v>3944</v>
      </c>
      <c r="V720" t="s">
        <v>246</v>
      </c>
      <c r="W720" t="s">
        <v>244</v>
      </c>
      <c r="X720" t="s">
        <v>3211</v>
      </c>
      <c r="Y720" t="s">
        <v>168</v>
      </c>
      <c r="Z720" t="s">
        <v>171</v>
      </c>
      <c r="AA720" t="s">
        <v>175</v>
      </c>
      <c r="AB720" t="s">
        <v>41</v>
      </c>
      <c r="AC720" t="s">
        <v>39</v>
      </c>
      <c r="AD720" t="s">
        <v>40</v>
      </c>
      <c r="AE720" s="7">
        <v>295000</v>
      </c>
      <c r="AF720" s="7">
        <v>1</v>
      </c>
      <c r="AG720" s="7">
        <v>295000</v>
      </c>
      <c r="AH720" s="7">
        <v>0</v>
      </c>
      <c r="AI720" s="7">
        <v>295000</v>
      </c>
      <c r="AJ720" t="s">
        <v>39</v>
      </c>
    </row>
    <row r="721" spans="14:36" x14ac:dyDescent="0.3">
      <c r="N721" s="8">
        <v>2026</v>
      </c>
      <c r="O721" s="8">
        <v>6</v>
      </c>
      <c r="P721" s="9">
        <v>46186</v>
      </c>
      <c r="Q721" t="s">
        <v>238</v>
      </c>
      <c r="R721" t="s">
        <v>279</v>
      </c>
      <c r="S721" t="s">
        <v>280</v>
      </c>
      <c r="T721" t="s">
        <v>3034</v>
      </c>
      <c r="U721" t="s">
        <v>3035</v>
      </c>
      <c r="V721" t="s">
        <v>246</v>
      </c>
      <c r="W721" t="s">
        <v>244</v>
      </c>
      <c r="X721" t="s">
        <v>3212</v>
      </c>
      <c r="Y721" t="s">
        <v>191</v>
      </c>
      <c r="Z721" t="s">
        <v>335</v>
      </c>
      <c r="AA721" t="s">
        <v>336</v>
      </c>
      <c r="AB721" t="s">
        <v>1518</v>
      </c>
      <c r="AC721" t="s">
        <v>1519</v>
      </c>
      <c r="AD721" t="s">
        <v>1520</v>
      </c>
      <c r="AE721" s="7">
        <v>99000</v>
      </c>
      <c r="AF721" s="7">
        <v>1</v>
      </c>
      <c r="AG721" s="7">
        <v>99000</v>
      </c>
      <c r="AH721" s="7">
        <v>0</v>
      </c>
      <c r="AI721" s="7">
        <v>99000</v>
      </c>
      <c r="AJ721" t="s">
        <v>1519</v>
      </c>
    </row>
    <row r="722" spans="14:36" x14ac:dyDescent="0.3">
      <c r="N722" s="8">
        <v>2026</v>
      </c>
      <c r="O722" s="8">
        <v>6</v>
      </c>
      <c r="P722" s="9">
        <v>46186</v>
      </c>
      <c r="Q722" t="s">
        <v>238</v>
      </c>
      <c r="R722" t="s">
        <v>303</v>
      </c>
      <c r="S722" t="s">
        <v>304</v>
      </c>
      <c r="T722" t="s">
        <v>3213</v>
      </c>
      <c r="U722" t="s">
        <v>2791</v>
      </c>
      <c r="V722" t="s">
        <v>246</v>
      </c>
      <c r="W722" t="s">
        <v>244</v>
      </c>
      <c r="X722" t="s">
        <v>3214</v>
      </c>
      <c r="Y722" t="s">
        <v>168</v>
      </c>
      <c r="Z722" t="s">
        <v>171</v>
      </c>
      <c r="AA722" t="s">
        <v>172</v>
      </c>
      <c r="AB722" t="s">
        <v>11</v>
      </c>
      <c r="AC722" t="s">
        <v>9</v>
      </c>
      <c r="AD722" t="s">
        <v>10</v>
      </c>
      <c r="AE722" s="7">
        <v>129000</v>
      </c>
      <c r="AF722" s="7">
        <v>1</v>
      </c>
      <c r="AG722" s="7">
        <v>129000</v>
      </c>
      <c r="AH722" s="7">
        <v>20000</v>
      </c>
      <c r="AI722" s="7">
        <v>109000</v>
      </c>
      <c r="AJ722" t="s">
        <v>9</v>
      </c>
    </row>
    <row r="723" spans="14:36" x14ac:dyDescent="0.3">
      <c r="N723" s="8">
        <v>2026</v>
      </c>
      <c r="O723" s="8">
        <v>6</v>
      </c>
      <c r="P723" s="9">
        <v>46186</v>
      </c>
      <c r="Q723" t="s">
        <v>238</v>
      </c>
      <c r="R723" t="s">
        <v>303</v>
      </c>
      <c r="S723" t="s">
        <v>304</v>
      </c>
      <c r="T723" t="s">
        <v>1162</v>
      </c>
      <c r="U723" t="s">
        <v>461</v>
      </c>
      <c r="V723" t="s">
        <v>246</v>
      </c>
      <c r="W723" t="s">
        <v>244</v>
      </c>
      <c r="X723" t="s">
        <v>3139</v>
      </c>
      <c r="Y723" t="s">
        <v>194</v>
      </c>
      <c r="Z723" t="s">
        <v>200</v>
      </c>
      <c r="AA723" t="s">
        <v>201</v>
      </c>
      <c r="AB723" t="s">
        <v>86</v>
      </c>
      <c r="AC723" t="s">
        <v>84</v>
      </c>
      <c r="AD723" t="s">
        <v>85</v>
      </c>
      <c r="AE723" s="7">
        <v>49000</v>
      </c>
      <c r="AF723" s="7">
        <v>1</v>
      </c>
      <c r="AG723" s="7">
        <v>49000</v>
      </c>
      <c r="AH723" s="7">
        <v>0</v>
      </c>
      <c r="AI723" s="7">
        <v>49000</v>
      </c>
      <c r="AJ723" t="s">
        <v>84</v>
      </c>
    </row>
    <row r="724" spans="14:36" x14ac:dyDescent="0.3">
      <c r="N724" s="8">
        <v>2026</v>
      </c>
      <c r="O724" s="8">
        <v>6</v>
      </c>
      <c r="P724" s="9">
        <v>46186</v>
      </c>
      <c r="Q724" t="s">
        <v>238</v>
      </c>
      <c r="R724" t="s">
        <v>303</v>
      </c>
      <c r="S724" t="s">
        <v>304</v>
      </c>
      <c r="T724" t="s">
        <v>2457</v>
      </c>
      <c r="U724" t="s">
        <v>2458</v>
      </c>
      <c r="V724" t="s">
        <v>246</v>
      </c>
      <c r="W724" t="s">
        <v>244</v>
      </c>
      <c r="X724" t="s">
        <v>3215</v>
      </c>
      <c r="Y724" t="s">
        <v>191</v>
      </c>
      <c r="Z724" t="s">
        <v>335</v>
      </c>
      <c r="AA724" t="s">
        <v>336</v>
      </c>
      <c r="AB724" t="s">
        <v>1284</v>
      </c>
      <c r="AC724" t="s">
        <v>1285</v>
      </c>
      <c r="AD724" t="s">
        <v>1286</v>
      </c>
      <c r="AE724" s="7">
        <v>99000</v>
      </c>
      <c r="AF724" s="7">
        <v>2</v>
      </c>
      <c r="AG724" s="7">
        <v>198000</v>
      </c>
      <c r="AH724" s="7">
        <v>0</v>
      </c>
      <c r="AI724" s="7">
        <v>198000</v>
      </c>
      <c r="AJ724" t="s">
        <v>1285</v>
      </c>
    </row>
    <row r="725" spans="14:36" x14ac:dyDescent="0.3">
      <c r="N725" s="8">
        <v>2026</v>
      </c>
      <c r="O725" s="8">
        <v>6</v>
      </c>
      <c r="P725" s="9">
        <v>46186</v>
      </c>
      <c r="Q725" t="s">
        <v>238</v>
      </c>
      <c r="R725" t="s">
        <v>303</v>
      </c>
      <c r="S725" t="s">
        <v>304</v>
      </c>
      <c r="T725" t="s">
        <v>3216</v>
      </c>
      <c r="U725" t="s">
        <v>3217</v>
      </c>
      <c r="V725" t="s">
        <v>246</v>
      </c>
      <c r="W725" t="s">
        <v>244</v>
      </c>
      <c r="X725" t="s">
        <v>3218</v>
      </c>
      <c r="Y725" t="s">
        <v>183</v>
      </c>
      <c r="Z725" t="s">
        <v>186</v>
      </c>
      <c r="AA725" t="s">
        <v>188</v>
      </c>
      <c r="AB725" t="s">
        <v>155</v>
      </c>
      <c r="AC725" t="s">
        <v>153</v>
      </c>
      <c r="AD725" t="s">
        <v>154</v>
      </c>
      <c r="AE725" s="7">
        <v>320000</v>
      </c>
      <c r="AF725" s="7">
        <v>1</v>
      </c>
      <c r="AG725" s="7">
        <v>320000</v>
      </c>
      <c r="AH725" s="7">
        <v>96000</v>
      </c>
      <c r="AI725" s="7">
        <v>224000</v>
      </c>
      <c r="AJ725" t="s">
        <v>153</v>
      </c>
    </row>
    <row r="726" spans="14:36" x14ac:dyDescent="0.3">
      <c r="N726" s="8">
        <v>2026</v>
      </c>
      <c r="O726" s="8">
        <v>6</v>
      </c>
      <c r="P726" s="9">
        <v>46186</v>
      </c>
      <c r="Q726" t="s">
        <v>238</v>
      </c>
      <c r="R726" t="s">
        <v>303</v>
      </c>
      <c r="S726" t="s">
        <v>304</v>
      </c>
      <c r="T726" t="s">
        <v>3219</v>
      </c>
      <c r="U726" t="s">
        <v>501</v>
      </c>
      <c r="V726" t="s">
        <v>249</v>
      </c>
      <c r="W726" t="s">
        <v>244</v>
      </c>
      <c r="X726" t="s">
        <v>3220</v>
      </c>
      <c r="Y726" t="s">
        <v>168</v>
      </c>
      <c r="Z726" t="s">
        <v>171</v>
      </c>
      <c r="AA726" t="s">
        <v>175</v>
      </c>
      <c r="AB726" t="s">
        <v>38</v>
      </c>
      <c r="AC726" t="s">
        <v>36</v>
      </c>
      <c r="AD726" t="s">
        <v>37</v>
      </c>
      <c r="AE726" s="7">
        <v>290000</v>
      </c>
      <c r="AF726" s="7">
        <v>1</v>
      </c>
      <c r="AG726" s="7">
        <v>290000</v>
      </c>
      <c r="AH726" s="7">
        <v>23200</v>
      </c>
      <c r="AI726" s="7">
        <v>266800</v>
      </c>
      <c r="AJ726" t="s">
        <v>36</v>
      </c>
    </row>
    <row r="727" spans="14:36" x14ac:dyDescent="0.3">
      <c r="N727" s="8">
        <v>2026</v>
      </c>
      <c r="O727" s="8">
        <v>6</v>
      </c>
      <c r="P727" s="9">
        <v>46186</v>
      </c>
      <c r="Q727" t="s">
        <v>238</v>
      </c>
      <c r="R727" t="s">
        <v>303</v>
      </c>
      <c r="S727" t="s">
        <v>304</v>
      </c>
      <c r="T727" t="s">
        <v>1657</v>
      </c>
      <c r="U727" t="s">
        <v>3889</v>
      </c>
      <c r="V727" t="s">
        <v>246</v>
      </c>
      <c r="W727" t="s">
        <v>244</v>
      </c>
      <c r="X727" t="s">
        <v>3221</v>
      </c>
      <c r="Y727" t="s">
        <v>191</v>
      </c>
      <c r="Z727" t="s">
        <v>335</v>
      </c>
      <c r="AA727" t="s">
        <v>336</v>
      </c>
      <c r="AB727" t="s">
        <v>1518</v>
      </c>
      <c r="AC727" t="s">
        <v>1519</v>
      </c>
      <c r="AD727" t="s">
        <v>1520</v>
      </c>
      <c r="AE727" s="7">
        <v>99000</v>
      </c>
      <c r="AF727" s="7">
        <v>1</v>
      </c>
      <c r="AG727" s="7">
        <v>99000</v>
      </c>
      <c r="AH727" s="7">
        <v>0</v>
      </c>
      <c r="AI727" s="7">
        <v>99000</v>
      </c>
      <c r="AJ727" t="s">
        <v>1519</v>
      </c>
    </row>
    <row r="728" spans="14:36" x14ac:dyDescent="0.3">
      <c r="N728" s="8">
        <v>2026</v>
      </c>
      <c r="O728" s="8">
        <v>6</v>
      </c>
      <c r="P728" s="9">
        <v>46186</v>
      </c>
      <c r="Q728" t="s">
        <v>238</v>
      </c>
      <c r="R728" t="s">
        <v>303</v>
      </c>
      <c r="S728" t="s">
        <v>304</v>
      </c>
      <c r="T728" t="s">
        <v>1699</v>
      </c>
      <c r="U728" t="s">
        <v>1700</v>
      </c>
      <c r="V728" t="s">
        <v>246</v>
      </c>
      <c r="W728" t="s">
        <v>244</v>
      </c>
      <c r="X728" t="s">
        <v>3222</v>
      </c>
      <c r="Y728" t="s">
        <v>168</v>
      </c>
      <c r="Z728" t="s">
        <v>171</v>
      </c>
      <c r="AA728" t="s">
        <v>175</v>
      </c>
      <c r="AB728" t="s">
        <v>140</v>
      </c>
      <c r="AC728" t="s">
        <v>138</v>
      </c>
      <c r="AD728" t="s">
        <v>139</v>
      </c>
      <c r="AE728" s="7">
        <v>125000</v>
      </c>
      <c r="AF728" s="7">
        <v>1</v>
      </c>
      <c r="AG728" s="7">
        <v>125000</v>
      </c>
      <c r="AH728" s="7">
        <v>12500</v>
      </c>
      <c r="AI728" s="7">
        <v>112500</v>
      </c>
      <c r="AJ728" t="s">
        <v>138</v>
      </c>
    </row>
    <row r="729" spans="14:36" x14ac:dyDescent="0.3">
      <c r="N729" s="8">
        <v>2026</v>
      </c>
      <c r="O729" s="8">
        <v>6</v>
      </c>
      <c r="P729" s="9">
        <v>46186</v>
      </c>
      <c r="Q729" t="s">
        <v>238</v>
      </c>
      <c r="R729" t="s">
        <v>303</v>
      </c>
      <c r="S729" t="s">
        <v>304</v>
      </c>
      <c r="T729" t="s">
        <v>2918</v>
      </c>
      <c r="U729" t="s">
        <v>387</v>
      </c>
      <c r="V729" t="s">
        <v>246</v>
      </c>
      <c r="W729" t="s">
        <v>244</v>
      </c>
      <c r="X729" t="s">
        <v>3223</v>
      </c>
      <c r="Y729" t="s">
        <v>183</v>
      </c>
      <c r="Z729" t="s">
        <v>189</v>
      </c>
      <c r="AA729" t="s">
        <v>190</v>
      </c>
      <c r="AB729" t="s">
        <v>92</v>
      </c>
      <c r="AC729" t="s">
        <v>90</v>
      </c>
      <c r="AD729" t="s">
        <v>91</v>
      </c>
      <c r="AE729" s="7">
        <v>52000</v>
      </c>
      <c r="AF729" s="7">
        <v>1</v>
      </c>
      <c r="AG729" s="7">
        <v>52000</v>
      </c>
      <c r="AH729" s="7">
        <v>0</v>
      </c>
      <c r="AI729" s="7">
        <v>52000</v>
      </c>
      <c r="AJ729" t="s">
        <v>90</v>
      </c>
    </row>
    <row r="730" spans="14:36" x14ac:dyDescent="0.3">
      <c r="N730" s="8">
        <v>2026</v>
      </c>
      <c r="O730" s="8">
        <v>6</v>
      </c>
      <c r="P730" s="9">
        <v>46186</v>
      </c>
      <c r="Q730" t="s">
        <v>238</v>
      </c>
      <c r="R730" t="s">
        <v>351</v>
      </c>
      <c r="S730" t="s">
        <v>352</v>
      </c>
      <c r="T730" t="s">
        <v>578</v>
      </c>
      <c r="U730" t="s">
        <v>371</v>
      </c>
      <c r="V730" t="s">
        <v>246</v>
      </c>
      <c r="W730" t="s">
        <v>244</v>
      </c>
      <c r="X730" t="s">
        <v>3224</v>
      </c>
      <c r="Y730" t="s">
        <v>191</v>
      </c>
      <c r="Z730" t="s">
        <v>192</v>
      </c>
      <c r="AA730" t="s">
        <v>193</v>
      </c>
      <c r="AB730" t="s">
        <v>110</v>
      </c>
      <c r="AC730" t="s">
        <v>108</v>
      </c>
      <c r="AD730" t="s">
        <v>109</v>
      </c>
      <c r="AE730" s="7">
        <v>235000</v>
      </c>
      <c r="AF730" s="7">
        <v>1</v>
      </c>
      <c r="AG730" s="7">
        <v>235000</v>
      </c>
      <c r="AH730" s="7">
        <v>0</v>
      </c>
      <c r="AI730" s="7">
        <v>235000</v>
      </c>
      <c r="AJ730" t="s">
        <v>108</v>
      </c>
    </row>
    <row r="731" spans="14:36" x14ac:dyDescent="0.3">
      <c r="N731" s="8">
        <v>2026</v>
      </c>
      <c r="O731" s="8">
        <v>6</v>
      </c>
      <c r="P731" s="9">
        <v>46186</v>
      </c>
      <c r="Q731" t="s">
        <v>238</v>
      </c>
      <c r="R731" t="s">
        <v>351</v>
      </c>
      <c r="S731" t="s">
        <v>352</v>
      </c>
      <c r="T731" t="s">
        <v>704</v>
      </c>
      <c r="U731" t="s">
        <v>705</v>
      </c>
      <c r="V731" t="s">
        <v>246</v>
      </c>
      <c r="W731" t="s">
        <v>244</v>
      </c>
      <c r="X731" t="s">
        <v>3225</v>
      </c>
      <c r="Y731" t="s">
        <v>168</v>
      </c>
      <c r="Z731" t="s">
        <v>171</v>
      </c>
      <c r="AA731" t="s">
        <v>175</v>
      </c>
      <c r="AB731" t="s">
        <v>35</v>
      </c>
      <c r="AC731" t="s">
        <v>33</v>
      </c>
      <c r="AD731" t="s">
        <v>34</v>
      </c>
      <c r="AE731" s="7">
        <v>255000</v>
      </c>
      <c r="AF731" s="7">
        <v>2</v>
      </c>
      <c r="AG731" s="7">
        <v>510000</v>
      </c>
      <c r="AH731" s="7">
        <v>40800</v>
      </c>
      <c r="AI731" s="7">
        <v>469200</v>
      </c>
      <c r="AJ731" t="s">
        <v>33</v>
      </c>
    </row>
    <row r="732" spans="14:36" x14ac:dyDescent="0.3">
      <c r="N732" s="8">
        <v>2026</v>
      </c>
      <c r="O732" s="8">
        <v>6</v>
      </c>
      <c r="P732" s="9">
        <v>46186</v>
      </c>
      <c r="Q732" t="s">
        <v>238</v>
      </c>
      <c r="R732" t="s">
        <v>351</v>
      </c>
      <c r="S732" t="s">
        <v>352</v>
      </c>
      <c r="T732" t="s">
        <v>704</v>
      </c>
      <c r="U732" t="s">
        <v>705</v>
      </c>
      <c r="V732" t="s">
        <v>246</v>
      </c>
      <c r="W732" t="s">
        <v>244</v>
      </c>
      <c r="X732" t="s">
        <v>3225</v>
      </c>
      <c r="Y732" t="s">
        <v>183</v>
      </c>
      <c r="Z732" t="s">
        <v>189</v>
      </c>
      <c r="AA732" t="s">
        <v>190</v>
      </c>
      <c r="AB732" t="s">
        <v>92</v>
      </c>
      <c r="AC732" t="s">
        <v>90</v>
      </c>
      <c r="AD732" t="s">
        <v>91</v>
      </c>
      <c r="AE732" s="7">
        <v>52000</v>
      </c>
      <c r="AF732" s="7">
        <v>1</v>
      </c>
      <c r="AG732" s="7">
        <v>52000</v>
      </c>
      <c r="AH732" s="7">
        <v>0</v>
      </c>
      <c r="AI732" s="7">
        <v>52000</v>
      </c>
      <c r="AJ732" t="s">
        <v>90</v>
      </c>
    </row>
    <row r="733" spans="14:36" x14ac:dyDescent="0.3">
      <c r="N733" s="8">
        <v>2026</v>
      </c>
      <c r="O733" s="8">
        <v>6</v>
      </c>
      <c r="P733" s="9">
        <v>46186</v>
      </c>
      <c r="Q733" t="s">
        <v>238</v>
      </c>
      <c r="R733" t="s">
        <v>374</v>
      </c>
      <c r="S733" t="s">
        <v>375</v>
      </c>
      <c r="T733" t="s">
        <v>1663</v>
      </c>
      <c r="U733" t="s">
        <v>1664</v>
      </c>
      <c r="V733" t="s">
        <v>246</v>
      </c>
      <c r="W733" t="s">
        <v>244</v>
      </c>
      <c r="X733" t="s">
        <v>3226</v>
      </c>
      <c r="Y733" t="s">
        <v>191</v>
      </c>
      <c r="Z733" t="s">
        <v>335</v>
      </c>
      <c r="AA733" t="s">
        <v>336</v>
      </c>
      <c r="AB733" t="s">
        <v>1518</v>
      </c>
      <c r="AC733" t="s">
        <v>1519</v>
      </c>
      <c r="AD733" t="s">
        <v>1520</v>
      </c>
      <c r="AE733" s="7">
        <v>99000</v>
      </c>
      <c r="AF733" s="7">
        <v>1</v>
      </c>
      <c r="AG733" s="7">
        <v>99000</v>
      </c>
      <c r="AH733" s="7">
        <v>0</v>
      </c>
      <c r="AI733" s="7">
        <v>99000</v>
      </c>
      <c r="AJ733" t="s">
        <v>1519</v>
      </c>
    </row>
    <row r="734" spans="14:36" x14ac:dyDescent="0.3">
      <c r="N734" s="8">
        <v>2026</v>
      </c>
      <c r="O734" s="8">
        <v>6</v>
      </c>
      <c r="P734" s="9">
        <v>46186</v>
      </c>
      <c r="Q734" t="s">
        <v>238</v>
      </c>
      <c r="R734" t="s">
        <v>396</v>
      </c>
      <c r="S734" t="s">
        <v>397</v>
      </c>
      <c r="T734" t="s">
        <v>3227</v>
      </c>
      <c r="U734" t="s">
        <v>3925</v>
      </c>
      <c r="V734" t="s">
        <v>246</v>
      </c>
      <c r="W734" t="s">
        <v>244</v>
      </c>
      <c r="X734" t="s">
        <v>3228</v>
      </c>
      <c r="Y734" t="s">
        <v>168</v>
      </c>
      <c r="Z734" t="s">
        <v>171</v>
      </c>
      <c r="AA734" t="s">
        <v>172</v>
      </c>
      <c r="AB734" t="s">
        <v>11</v>
      </c>
      <c r="AC734" t="s">
        <v>9</v>
      </c>
      <c r="AD734" t="s">
        <v>10</v>
      </c>
      <c r="AE734" s="7">
        <v>129000</v>
      </c>
      <c r="AF734" s="7">
        <v>1</v>
      </c>
      <c r="AG734" s="7">
        <v>129000</v>
      </c>
      <c r="AH734" s="7">
        <v>20000</v>
      </c>
      <c r="AI734" s="7">
        <v>109000</v>
      </c>
      <c r="AJ734" t="s">
        <v>9</v>
      </c>
    </row>
    <row r="735" spans="14:36" x14ac:dyDescent="0.3">
      <c r="N735" s="8">
        <v>2026</v>
      </c>
      <c r="O735" s="8">
        <v>6</v>
      </c>
      <c r="P735" s="9">
        <v>46186</v>
      </c>
      <c r="Q735" t="s">
        <v>238</v>
      </c>
      <c r="R735" t="s">
        <v>396</v>
      </c>
      <c r="S735" t="s">
        <v>397</v>
      </c>
      <c r="T735" t="s">
        <v>2015</v>
      </c>
      <c r="U735" t="s">
        <v>355</v>
      </c>
      <c r="V735" t="s">
        <v>246</v>
      </c>
      <c r="W735" t="s">
        <v>244</v>
      </c>
      <c r="X735" t="s">
        <v>3229</v>
      </c>
      <c r="Y735" t="s">
        <v>168</v>
      </c>
      <c r="Z735" t="s">
        <v>171</v>
      </c>
      <c r="AA735" t="s">
        <v>175</v>
      </c>
      <c r="AB735" t="s">
        <v>44</v>
      </c>
      <c r="AC735" t="s">
        <v>42</v>
      </c>
      <c r="AD735" t="s">
        <v>43</v>
      </c>
      <c r="AE735" s="7">
        <v>294000</v>
      </c>
      <c r="AF735" s="7">
        <v>1</v>
      </c>
      <c r="AG735" s="7">
        <v>294000</v>
      </c>
      <c r="AH735" s="7">
        <v>117600</v>
      </c>
      <c r="AI735" s="7">
        <v>176400</v>
      </c>
      <c r="AJ735" t="s">
        <v>42</v>
      </c>
    </row>
    <row r="736" spans="14:36" x14ac:dyDescent="0.3">
      <c r="N736" s="8">
        <v>2026</v>
      </c>
      <c r="O736" s="8">
        <v>6</v>
      </c>
      <c r="P736" s="9">
        <v>46186</v>
      </c>
      <c r="Q736" t="s">
        <v>238</v>
      </c>
      <c r="R736" t="s">
        <v>396</v>
      </c>
      <c r="S736" t="s">
        <v>397</v>
      </c>
      <c r="T736" t="s">
        <v>614</v>
      </c>
      <c r="U736" t="s">
        <v>427</v>
      </c>
      <c r="V736" t="s">
        <v>246</v>
      </c>
      <c r="W736" t="s">
        <v>244</v>
      </c>
      <c r="X736" t="s">
        <v>3230</v>
      </c>
      <c r="Y736" t="s">
        <v>183</v>
      </c>
      <c r="Z736" t="s">
        <v>186</v>
      </c>
      <c r="AA736" t="s">
        <v>188</v>
      </c>
      <c r="AB736" t="s">
        <v>155</v>
      </c>
      <c r="AC736" t="s">
        <v>153</v>
      </c>
      <c r="AD736" t="s">
        <v>154</v>
      </c>
      <c r="AE736" s="7">
        <v>320000</v>
      </c>
      <c r="AF736" s="7">
        <v>5</v>
      </c>
      <c r="AG736" s="7">
        <v>1600000</v>
      </c>
      <c r="AH736" s="7">
        <v>480000</v>
      </c>
      <c r="AI736" s="7">
        <v>1120000</v>
      </c>
      <c r="AJ736" t="s">
        <v>153</v>
      </c>
    </row>
    <row r="737" spans="14:36" x14ac:dyDescent="0.3">
      <c r="N737" s="8">
        <v>2026</v>
      </c>
      <c r="O737" s="8">
        <v>6</v>
      </c>
      <c r="P737" s="9">
        <v>46186</v>
      </c>
      <c r="Q737" t="s">
        <v>238</v>
      </c>
      <c r="R737" t="s">
        <v>415</v>
      </c>
      <c r="S737" t="s">
        <v>416</v>
      </c>
      <c r="T737" t="s">
        <v>503</v>
      </c>
      <c r="U737" t="s">
        <v>504</v>
      </c>
      <c r="V737" t="s">
        <v>246</v>
      </c>
      <c r="W737" t="s">
        <v>244</v>
      </c>
      <c r="X737" t="s">
        <v>3232</v>
      </c>
      <c r="Y737" t="s">
        <v>191</v>
      </c>
      <c r="Z737" t="s">
        <v>335</v>
      </c>
      <c r="AA737" t="s">
        <v>337</v>
      </c>
      <c r="AB737" t="s">
        <v>719</v>
      </c>
      <c r="AC737" t="s">
        <v>720</v>
      </c>
      <c r="AD737" t="s">
        <v>721</v>
      </c>
      <c r="AE737" s="7">
        <v>104000</v>
      </c>
      <c r="AF737" s="7">
        <v>1</v>
      </c>
      <c r="AG737" s="7">
        <v>104000</v>
      </c>
      <c r="AH737" s="7">
        <v>31200</v>
      </c>
      <c r="AI737" s="7">
        <v>72800</v>
      </c>
      <c r="AJ737" t="s">
        <v>720</v>
      </c>
    </row>
    <row r="738" spans="14:36" x14ac:dyDescent="0.3">
      <c r="N738" s="8">
        <v>2026</v>
      </c>
      <c r="O738" s="8">
        <v>6</v>
      </c>
      <c r="P738" s="9">
        <v>46186</v>
      </c>
      <c r="Q738" t="s">
        <v>238</v>
      </c>
      <c r="R738" t="s">
        <v>425</v>
      </c>
      <c r="S738" t="s">
        <v>426</v>
      </c>
      <c r="T738" t="s">
        <v>3059</v>
      </c>
      <c r="U738" t="s">
        <v>3945</v>
      </c>
      <c r="V738" t="s">
        <v>246</v>
      </c>
      <c r="W738" t="s">
        <v>244</v>
      </c>
      <c r="X738" t="s">
        <v>3233</v>
      </c>
      <c r="Y738" t="s">
        <v>168</v>
      </c>
      <c r="Z738" t="s">
        <v>179</v>
      </c>
      <c r="AA738" t="s">
        <v>180</v>
      </c>
      <c r="AB738" t="s">
        <v>143</v>
      </c>
      <c r="AC738" t="s">
        <v>141</v>
      </c>
      <c r="AD738" t="s">
        <v>142</v>
      </c>
      <c r="AE738" s="7">
        <v>150000</v>
      </c>
      <c r="AF738" s="7">
        <v>1</v>
      </c>
      <c r="AG738" s="7">
        <v>150000</v>
      </c>
      <c r="AH738" s="7">
        <v>15000</v>
      </c>
      <c r="AI738" s="7">
        <v>135000</v>
      </c>
      <c r="AJ738" t="s">
        <v>141</v>
      </c>
    </row>
    <row r="739" spans="14:36" x14ac:dyDescent="0.3">
      <c r="N739" s="8">
        <v>2026</v>
      </c>
      <c r="O739" s="8">
        <v>6</v>
      </c>
      <c r="P739" s="9">
        <v>46186</v>
      </c>
      <c r="Q739" t="s">
        <v>238</v>
      </c>
      <c r="R739" t="s">
        <v>425</v>
      </c>
      <c r="S739" t="s">
        <v>426</v>
      </c>
      <c r="T739" t="s">
        <v>1332</v>
      </c>
      <c r="U739" t="s">
        <v>1333</v>
      </c>
      <c r="V739" t="s">
        <v>246</v>
      </c>
      <c r="W739" t="s">
        <v>244</v>
      </c>
      <c r="X739" t="s">
        <v>3234</v>
      </c>
      <c r="Y739" t="s">
        <v>194</v>
      </c>
      <c r="Z739" t="s">
        <v>195</v>
      </c>
      <c r="AA739" t="s">
        <v>196</v>
      </c>
      <c r="AB739" t="s">
        <v>68</v>
      </c>
      <c r="AC739" t="s">
        <v>66</v>
      </c>
      <c r="AD739" t="s">
        <v>67</v>
      </c>
      <c r="AE739" s="7">
        <v>360000</v>
      </c>
      <c r="AF739" s="7">
        <v>1</v>
      </c>
      <c r="AG739" s="7">
        <v>360000</v>
      </c>
      <c r="AH739" s="7">
        <v>0</v>
      </c>
      <c r="AI739" s="7">
        <v>360000</v>
      </c>
      <c r="AJ739" t="s">
        <v>66</v>
      </c>
    </row>
    <row r="740" spans="14:36" x14ac:dyDescent="0.3">
      <c r="N740" s="8">
        <v>2026</v>
      </c>
      <c r="O740" s="8">
        <v>6</v>
      </c>
      <c r="P740" s="9">
        <v>46185</v>
      </c>
      <c r="Q740" t="s">
        <v>238</v>
      </c>
      <c r="R740" t="s">
        <v>239</v>
      </c>
      <c r="S740" t="s">
        <v>240</v>
      </c>
      <c r="T740" t="s">
        <v>3235</v>
      </c>
      <c r="U740" t="s">
        <v>3889</v>
      </c>
      <c r="V740" t="s">
        <v>246</v>
      </c>
      <c r="W740" t="s">
        <v>244</v>
      </c>
      <c r="X740" t="s">
        <v>3236</v>
      </c>
      <c r="Y740" t="s">
        <v>191</v>
      </c>
      <c r="Z740" t="s">
        <v>192</v>
      </c>
      <c r="AA740" t="s">
        <v>193</v>
      </c>
      <c r="AB740" t="s">
        <v>107</v>
      </c>
      <c r="AC740" t="s">
        <v>105</v>
      </c>
      <c r="AD740" t="s">
        <v>106</v>
      </c>
      <c r="AE740" s="7">
        <v>235000</v>
      </c>
      <c r="AF740" s="7">
        <v>1</v>
      </c>
      <c r="AG740" s="7">
        <v>235000</v>
      </c>
      <c r="AH740" s="7">
        <v>0</v>
      </c>
      <c r="AI740" s="7">
        <v>235000</v>
      </c>
      <c r="AJ740" t="s">
        <v>105</v>
      </c>
    </row>
    <row r="741" spans="14:36" x14ac:dyDescent="0.3">
      <c r="N741" s="8">
        <v>2026</v>
      </c>
      <c r="O741" s="8">
        <v>6</v>
      </c>
      <c r="P741" s="9">
        <v>46185</v>
      </c>
      <c r="Q741" t="s">
        <v>238</v>
      </c>
      <c r="R741" t="s">
        <v>279</v>
      </c>
      <c r="S741" t="s">
        <v>280</v>
      </c>
      <c r="T741" t="s">
        <v>1395</v>
      </c>
      <c r="U741" t="s">
        <v>1396</v>
      </c>
      <c r="V741" t="s">
        <v>246</v>
      </c>
      <c r="W741" t="s">
        <v>244</v>
      </c>
      <c r="X741" t="s">
        <v>3237</v>
      </c>
      <c r="Y741" t="s">
        <v>191</v>
      </c>
      <c r="Z741" t="s">
        <v>335</v>
      </c>
      <c r="AA741" t="s">
        <v>336</v>
      </c>
      <c r="AB741" t="s">
        <v>2925</v>
      </c>
      <c r="AC741" t="s">
        <v>2926</v>
      </c>
      <c r="AD741" t="s">
        <v>2927</v>
      </c>
      <c r="AE741" s="7">
        <v>45000</v>
      </c>
      <c r="AF741" s="7">
        <v>2</v>
      </c>
      <c r="AG741" s="7">
        <v>90000</v>
      </c>
      <c r="AH741" s="7">
        <v>0</v>
      </c>
      <c r="AI741" s="7">
        <v>90000</v>
      </c>
      <c r="AJ741" t="s">
        <v>2926</v>
      </c>
    </row>
    <row r="742" spans="14:36" x14ac:dyDescent="0.3">
      <c r="N742" s="8">
        <v>2026</v>
      </c>
      <c r="O742" s="8">
        <v>6</v>
      </c>
      <c r="P742" s="9">
        <v>46185</v>
      </c>
      <c r="Q742" t="s">
        <v>238</v>
      </c>
      <c r="R742" t="s">
        <v>279</v>
      </c>
      <c r="S742" t="s">
        <v>280</v>
      </c>
      <c r="T742" t="s">
        <v>3238</v>
      </c>
      <c r="U742" t="s">
        <v>3239</v>
      </c>
      <c r="V742" t="s">
        <v>246</v>
      </c>
      <c r="W742" t="s">
        <v>244</v>
      </c>
      <c r="X742" t="s">
        <v>3240</v>
      </c>
      <c r="Y742" t="s">
        <v>168</v>
      </c>
      <c r="Z742" t="s">
        <v>181</v>
      </c>
      <c r="AA742" t="s">
        <v>182</v>
      </c>
      <c r="AB742" t="s">
        <v>50</v>
      </c>
      <c r="AC742" t="s">
        <v>48</v>
      </c>
      <c r="AD742" t="s">
        <v>49</v>
      </c>
      <c r="AE742" s="7">
        <v>49000</v>
      </c>
      <c r="AF742" s="7">
        <v>1</v>
      </c>
      <c r="AG742" s="7">
        <v>49000</v>
      </c>
      <c r="AH742" s="7">
        <v>0</v>
      </c>
      <c r="AI742" s="7">
        <v>49000</v>
      </c>
      <c r="AJ742" t="s">
        <v>48</v>
      </c>
    </row>
    <row r="743" spans="14:36" x14ac:dyDescent="0.3">
      <c r="N743" s="8">
        <v>2026</v>
      </c>
      <c r="O743" s="8">
        <v>6</v>
      </c>
      <c r="P743" s="9">
        <v>46185</v>
      </c>
      <c r="Q743" t="s">
        <v>238</v>
      </c>
      <c r="R743" t="s">
        <v>303</v>
      </c>
      <c r="S743" t="s">
        <v>304</v>
      </c>
      <c r="T743" t="s">
        <v>1799</v>
      </c>
      <c r="U743" t="s">
        <v>1800</v>
      </c>
      <c r="V743" t="s">
        <v>246</v>
      </c>
      <c r="W743" t="s">
        <v>244</v>
      </c>
      <c r="X743" t="s">
        <v>3241</v>
      </c>
      <c r="Y743" t="s">
        <v>191</v>
      </c>
      <c r="Z743" t="s">
        <v>335</v>
      </c>
      <c r="AA743" t="s">
        <v>336</v>
      </c>
      <c r="AB743" t="s">
        <v>1284</v>
      </c>
      <c r="AC743" t="s">
        <v>1285</v>
      </c>
      <c r="AD743" t="s">
        <v>1286</v>
      </c>
      <c r="AE743" s="7">
        <v>99000</v>
      </c>
      <c r="AF743" s="7">
        <v>1</v>
      </c>
      <c r="AG743" s="7">
        <v>99000</v>
      </c>
      <c r="AH743" s="7">
        <v>0</v>
      </c>
      <c r="AI743" s="7">
        <v>99000</v>
      </c>
      <c r="AJ743" t="s">
        <v>1285</v>
      </c>
    </row>
    <row r="744" spans="14:36" x14ac:dyDescent="0.3">
      <c r="N744" s="8">
        <v>2026</v>
      </c>
      <c r="O744" s="8">
        <v>6</v>
      </c>
      <c r="P744" s="9">
        <v>46185</v>
      </c>
      <c r="Q744" t="s">
        <v>238</v>
      </c>
      <c r="R744" t="s">
        <v>303</v>
      </c>
      <c r="S744" t="s">
        <v>304</v>
      </c>
      <c r="T744" t="s">
        <v>305</v>
      </c>
      <c r="U744" t="s">
        <v>306</v>
      </c>
      <c r="V744" t="s">
        <v>243</v>
      </c>
      <c r="W744" t="s">
        <v>244</v>
      </c>
      <c r="X744" t="s">
        <v>3242</v>
      </c>
      <c r="Y744" t="s">
        <v>194</v>
      </c>
      <c r="Z744" t="s">
        <v>200</v>
      </c>
      <c r="AA744" t="s">
        <v>201</v>
      </c>
      <c r="AB744" t="s">
        <v>80</v>
      </c>
      <c r="AC744" t="s">
        <v>78</v>
      </c>
      <c r="AD744" t="s">
        <v>79</v>
      </c>
      <c r="AE744" s="7">
        <v>14000</v>
      </c>
      <c r="AF744" s="7">
        <v>1</v>
      </c>
      <c r="AG744" s="7">
        <v>14000</v>
      </c>
      <c r="AH744" s="7">
        <v>0</v>
      </c>
      <c r="AI744" s="7">
        <v>14000</v>
      </c>
      <c r="AJ744" t="s">
        <v>78</v>
      </c>
    </row>
    <row r="745" spans="14:36" x14ac:dyDescent="0.3">
      <c r="N745" s="8">
        <v>2026</v>
      </c>
      <c r="O745" s="8">
        <v>6</v>
      </c>
      <c r="P745" s="9">
        <v>46185</v>
      </c>
      <c r="Q745" t="s">
        <v>238</v>
      </c>
      <c r="R745" t="s">
        <v>303</v>
      </c>
      <c r="S745" t="s">
        <v>304</v>
      </c>
      <c r="T745" t="s">
        <v>3243</v>
      </c>
      <c r="U745" t="s">
        <v>369</v>
      </c>
      <c r="V745" t="s">
        <v>246</v>
      </c>
      <c r="W745" t="s">
        <v>244</v>
      </c>
      <c r="X745" t="s">
        <v>3244</v>
      </c>
      <c r="Y745" t="s">
        <v>168</v>
      </c>
      <c r="Z745" t="s">
        <v>171</v>
      </c>
      <c r="AA745" t="s">
        <v>175</v>
      </c>
      <c r="AB745" t="s">
        <v>38</v>
      </c>
      <c r="AC745" t="s">
        <v>36</v>
      </c>
      <c r="AD745" t="s">
        <v>37</v>
      </c>
      <c r="AE745" s="7">
        <v>290000</v>
      </c>
      <c r="AF745" s="7">
        <v>1</v>
      </c>
      <c r="AG745" s="7">
        <v>290000</v>
      </c>
      <c r="AH745" s="7">
        <v>23200</v>
      </c>
      <c r="AI745" s="7">
        <v>266800</v>
      </c>
      <c r="AJ745" t="s">
        <v>36</v>
      </c>
    </row>
    <row r="746" spans="14:36" x14ac:dyDescent="0.3">
      <c r="N746" s="8">
        <v>2026</v>
      </c>
      <c r="O746" s="8">
        <v>6</v>
      </c>
      <c r="P746" s="9">
        <v>46185</v>
      </c>
      <c r="Q746" t="s">
        <v>238</v>
      </c>
      <c r="R746" t="s">
        <v>303</v>
      </c>
      <c r="S746" t="s">
        <v>304</v>
      </c>
      <c r="T746" t="s">
        <v>3245</v>
      </c>
      <c r="U746" t="s">
        <v>901</v>
      </c>
      <c r="V746" t="s">
        <v>249</v>
      </c>
      <c r="W746" t="s">
        <v>244</v>
      </c>
      <c r="X746" t="s">
        <v>3246</v>
      </c>
      <c r="Y746" t="s">
        <v>191</v>
      </c>
      <c r="Z746" t="s">
        <v>335</v>
      </c>
      <c r="AA746" t="s">
        <v>336</v>
      </c>
      <c r="AB746" t="s">
        <v>2925</v>
      </c>
      <c r="AC746" t="s">
        <v>2926</v>
      </c>
      <c r="AD746" t="s">
        <v>2927</v>
      </c>
      <c r="AE746" s="7">
        <v>45000</v>
      </c>
      <c r="AF746" s="7">
        <v>1</v>
      </c>
      <c r="AG746" s="7">
        <v>45000</v>
      </c>
      <c r="AH746" s="7">
        <v>0</v>
      </c>
      <c r="AI746" s="7">
        <v>45000</v>
      </c>
      <c r="AJ746" t="s">
        <v>2926</v>
      </c>
    </row>
    <row r="747" spans="14:36" x14ac:dyDescent="0.3">
      <c r="N747" s="8">
        <v>2026</v>
      </c>
      <c r="O747" s="8">
        <v>6</v>
      </c>
      <c r="P747" s="9">
        <v>46185</v>
      </c>
      <c r="Q747" t="s">
        <v>238</v>
      </c>
      <c r="R747" t="s">
        <v>303</v>
      </c>
      <c r="S747" t="s">
        <v>304</v>
      </c>
      <c r="T747" t="s">
        <v>1309</v>
      </c>
      <c r="U747" t="s">
        <v>3946</v>
      </c>
      <c r="V747" t="s">
        <v>246</v>
      </c>
      <c r="W747" t="s">
        <v>244</v>
      </c>
      <c r="X747" t="s">
        <v>3247</v>
      </c>
      <c r="Y747" t="s">
        <v>168</v>
      </c>
      <c r="Z747" t="s">
        <v>171</v>
      </c>
      <c r="AA747" t="s">
        <v>175</v>
      </c>
      <c r="AB747" t="s">
        <v>35</v>
      </c>
      <c r="AC747" t="s">
        <v>33</v>
      </c>
      <c r="AD747" t="s">
        <v>34</v>
      </c>
      <c r="AE747" s="7">
        <v>255000</v>
      </c>
      <c r="AF747" s="7">
        <v>1</v>
      </c>
      <c r="AG747" s="7">
        <v>255000</v>
      </c>
      <c r="AH747" s="7">
        <v>20400</v>
      </c>
      <c r="AI747" s="7">
        <v>234600</v>
      </c>
      <c r="AJ747" t="s">
        <v>33</v>
      </c>
    </row>
    <row r="748" spans="14:36" x14ac:dyDescent="0.3">
      <c r="N748" s="8">
        <v>2026</v>
      </c>
      <c r="O748" s="8">
        <v>6</v>
      </c>
      <c r="P748" s="9">
        <v>46185</v>
      </c>
      <c r="Q748" t="s">
        <v>238</v>
      </c>
      <c r="R748" t="s">
        <v>303</v>
      </c>
      <c r="S748" t="s">
        <v>304</v>
      </c>
      <c r="T748" t="s">
        <v>2465</v>
      </c>
      <c r="U748" t="s">
        <v>3947</v>
      </c>
      <c r="V748" t="s">
        <v>246</v>
      </c>
      <c r="W748" t="s">
        <v>244</v>
      </c>
      <c r="X748" t="s">
        <v>3248</v>
      </c>
      <c r="Y748" t="s">
        <v>191</v>
      </c>
      <c r="Z748" t="s">
        <v>335</v>
      </c>
      <c r="AA748" t="s">
        <v>336</v>
      </c>
      <c r="AB748" t="s">
        <v>1284</v>
      </c>
      <c r="AC748" t="s">
        <v>1285</v>
      </c>
      <c r="AD748" t="s">
        <v>1286</v>
      </c>
      <c r="AE748" s="7">
        <v>99000</v>
      </c>
      <c r="AF748" s="7">
        <v>1</v>
      </c>
      <c r="AG748" s="7">
        <v>99000</v>
      </c>
      <c r="AH748" s="7">
        <v>0</v>
      </c>
      <c r="AI748" s="7">
        <v>99000</v>
      </c>
      <c r="AJ748" t="s">
        <v>1285</v>
      </c>
    </row>
    <row r="749" spans="14:36" x14ac:dyDescent="0.3">
      <c r="N749" s="8">
        <v>2026</v>
      </c>
      <c r="O749" s="8">
        <v>6</v>
      </c>
      <c r="P749" s="9">
        <v>46185</v>
      </c>
      <c r="Q749" t="s">
        <v>238</v>
      </c>
      <c r="R749" t="s">
        <v>374</v>
      </c>
      <c r="S749" t="s">
        <v>375</v>
      </c>
      <c r="T749" t="s">
        <v>3249</v>
      </c>
      <c r="U749" t="s">
        <v>3948</v>
      </c>
      <c r="V749" t="s">
        <v>246</v>
      </c>
      <c r="W749" t="s">
        <v>244</v>
      </c>
      <c r="X749" t="s">
        <v>3250</v>
      </c>
      <c r="Y749" t="s">
        <v>168</v>
      </c>
      <c r="Z749" t="s">
        <v>171</v>
      </c>
      <c r="AA749" t="s">
        <v>175</v>
      </c>
      <c r="AB749" t="s">
        <v>44</v>
      </c>
      <c r="AC749" t="s">
        <v>42</v>
      </c>
      <c r="AD749" t="s">
        <v>43</v>
      </c>
      <c r="AE749" s="7">
        <v>294000</v>
      </c>
      <c r="AF749" s="7">
        <v>2</v>
      </c>
      <c r="AG749" s="7">
        <v>588000</v>
      </c>
      <c r="AH749" s="7">
        <v>235200</v>
      </c>
      <c r="AI749" s="7">
        <v>352800</v>
      </c>
      <c r="AJ749" t="s">
        <v>42</v>
      </c>
    </row>
    <row r="750" spans="14:36" x14ac:dyDescent="0.3">
      <c r="N750" s="8">
        <v>2026</v>
      </c>
      <c r="O750" s="8">
        <v>6</v>
      </c>
      <c r="P750" s="9">
        <v>46185</v>
      </c>
      <c r="Q750" t="s">
        <v>238</v>
      </c>
      <c r="R750" t="s">
        <v>396</v>
      </c>
      <c r="S750" t="s">
        <v>397</v>
      </c>
      <c r="T750" t="s">
        <v>3251</v>
      </c>
      <c r="U750" t="s">
        <v>3252</v>
      </c>
      <c r="V750" t="s">
        <v>246</v>
      </c>
      <c r="W750" t="s">
        <v>244</v>
      </c>
      <c r="X750" t="s">
        <v>3253</v>
      </c>
      <c r="Y750" t="s">
        <v>191</v>
      </c>
      <c r="Z750" t="s">
        <v>335</v>
      </c>
      <c r="AA750" t="s">
        <v>337</v>
      </c>
      <c r="AB750" t="s">
        <v>656</v>
      </c>
      <c r="AC750" t="s">
        <v>657</v>
      </c>
      <c r="AD750" t="s">
        <v>658</v>
      </c>
      <c r="AE750" s="7">
        <v>35000</v>
      </c>
      <c r="AF750" s="7">
        <v>2</v>
      </c>
      <c r="AG750" s="7">
        <v>70000</v>
      </c>
      <c r="AH750" s="7">
        <v>0</v>
      </c>
      <c r="AI750" s="7">
        <v>70000</v>
      </c>
      <c r="AJ750" t="s">
        <v>657</v>
      </c>
    </row>
    <row r="751" spans="14:36" x14ac:dyDescent="0.3">
      <c r="N751" s="8">
        <v>2026</v>
      </c>
      <c r="O751" s="8">
        <v>6</v>
      </c>
      <c r="P751" s="9">
        <v>46185</v>
      </c>
      <c r="Q751" t="s">
        <v>238</v>
      </c>
      <c r="R751" t="s">
        <v>396</v>
      </c>
      <c r="S751" t="s">
        <v>397</v>
      </c>
      <c r="T751" t="s">
        <v>400</v>
      </c>
      <c r="U751" t="s">
        <v>3898</v>
      </c>
      <c r="V751" t="s">
        <v>246</v>
      </c>
      <c r="W751" t="s">
        <v>244</v>
      </c>
      <c r="X751" t="s">
        <v>3254</v>
      </c>
      <c r="Y751" t="s">
        <v>194</v>
      </c>
      <c r="Z751" t="s">
        <v>200</v>
      </c>
      <c r="AA751" t="s">
        <v>201</v>
      </c>
      <c r="AB751" t="s">
        <v>77</v>
      </c>
      <c r="AC751" t="s">
        <v>75</v>
      </c>
      <c r="AD751" t="s">
        <v>76</v>
      </c>
      <c r="AE751" s="7">
        <v>52000</v>
      </c>
      <c r="AF751" s="7">
        <v>1</v>
      </c>
      <c r="AG751" s="7">
        <v>52000</v>
      </c>
      <c r="AH751" s="7">
        <v>0</v>
      </c>
      <c r="AI751" s="7">
        <v>52000</v>
      </c>
      <c r="AJ751" t="s">
        <v>75</v>
      </c>
    </row>
    <row r="752" spans="14:36" x14ac:dyDescent="0.3">
      <c r="N752" s="8">
        <v>2026</v>
      </c>
      <c r="O752" s="8">
        <v>6</v>
      </c>
      <c r="P752" s="9">
        <v>46185</v>
      </c>
      <c r="Q752" t="s">
        <v>238</v>
      </c>
      <c r="R752" t="s">
        <v>396</v>
      </c>
      <c r="S752" t="s">
        <v>397</v>
      </c>
      <c r="T752" t="s">
        <v>2519</v>
      </c>
      <c r="U752" t="s">
        <v>2520</v>
      </c>
      <c r="V752" t="s">
        <v>246</v>
      </c>
      <c r="W752" t="s">
        <v>244</v>
      </c>
      <c r="X752" t="s">
        <v>3255</v>
      </c>
      <c r="Y752" t="s">
        <v>168</v>
      </c>
      <c r="Z752" t="s">
        <v>171</v>
      </c>
      <c r="AA752" t="s">
        <v>175</v>
      </c>
      <c r="AB752" t="s">
        <v>35</v>
      </c>
      <c r="AC752" t="s">
        <v>33</v>
      </c>
      <c r="AD752" t="s">
        <v>34</v>
      </c>
      <c r="AE752" s="7">
        <v>255000</v>
      </c>
      <c r="AF752" s="7">
        <v>1</v>
      </c>
      <c r="AG752" s="7">
        <v>255000</v>
      </c>
      <c r="AH752" s="7">
        <v>20400</v>
      </c>
      <c r="AI752" s="7">
        <v>234600</v>
      </c>
      <c r="AJ752" t="s">
        <v>33</v>
      </c>
    </row>
    <row r="753" spans="14:36" x14ac:dyDescent="0.3">
      <c r="N753" s="8">
        <v>2026</v>
      </c>
      <c r="O753" s="8">
        <v>6</v>
      </c>
      <c r="P753" s="9">
        <v>46184</v>
      </c>
      <c r="Q753" t="s">
        <v>238</v>
      </c>
      <c r="R753" t="s">
        <v>239</v>
      </c>
      <c r="S753" t="s">
        <v>240</v>
      </c>
      <c r="T753" t="s">
        <v>3256</v>
      </c>
      <c r="U753" t="s">
        <v>406</v>
      </c>
      <c r="V753" t="s">
        <v>246</v>
      </c>
      <c r="W753" t="s">
        <v>244</v>
      </c>
      <c r="X753" t="s">
        <v>3257</v>
      </c>
      <c r="Y753" t="s">
        <v>191</v>
      </c>
      <c r="Z753" t="s">
        <v>192</v>
      </c>
      <c r="AA753" t="s">
        <v>193</v>
      </c>
      <c r="AB753" t="s">
        <v>113</v>
      </c>
      <c r="AC753" t="s">
        <v>111</v>
      </c>
      <c r="AD753" t="s">
        <v>112</v>
      </c>
      <c r="AE753" s="7">
        <v>235000</v>
      </c>
      <c r="AF753" s="7">
        <v>1</v>
      </c>
      <c r="AG753" s="7">
        <v>235000</v>
      </c>
      <c r="AH753" s="7">
        <v>0</v>
      </c>
      <c r="AI753" s="7">
        <v>235000</v>
      </c>
      <c r="AJ753" t="s">
        <v>111</v>
      </c>
    </row>
    <row r="754" spans="14:36" x14ac:dyDescent="0.3">
      <c r="N754" s="8">
        <v>2026</v>
      </c>
      <c r="O754" s="8">
        <v>6</v>
      </c>
      <c r="P754" s="9">
        <v>46184</v>
      </c>
      <c r="Q754" t="s">
        <v>238</v>
      </c>
      <c r="R754" t="s">
        <v>239</v>
      </c>
      <c r="S754" t="s">
        <v>240</v>
      </c>
      <c r="T754" t="s">
        <v>1828</v>
      </c>
      <c r="U754" t="s">
        <v>329</v>
      </c>
      <c r="V754" t="s">
        <v>246</v>
      </c>
      <c r="W754" t="s">
        <v>244</v>
      </c>
      <c r="X754" t="s">
        <v>3258</v>
      </c>
      <c r="Y754" t="s">
        <v>191</v>
      </c>
      <c r="Z754" t="s">
        <v>335</v>
      </c>
      <c r="AA754" t="s">
        <v>337</v>
      </c>
      <c r="AB754" t="s">
        <v>348</v>
      </c>
      <c r="AC754" t="s">
        <v>349</v>
      </c>
      <c r="AD754" t="s">
        <v>350</v>
      </c>
      <c r="AE754" s="7">
        <v>76000</v>
      </c>
      <c r="AF754" s="7">
        <v>1</v>
      </c>
      <c r="AG754" s="7">
        <v>76000</v>
      </c>
      <c r="AH754" s="7">
        <v>0</v>
      </c>
      <c r="AI754" s="7">
        <v>76000</v>
      </c>
      <c r="AJ754" t="s">
        <v>349</v>
      </c>
    </row>
    <row r="755" spans="14:36" x14ac:dyDescent="0.3">
      <c r="N755" s="8">
        <v>2026</v>
      </c>
      <c r="O755" s="8">
        <v>6</v>
      </c>
      <c r="P755" s="9">
        <v>46184</v>
      </c>
      <c r="Q755" t="s">
        <v>238</v>
      </c>
      <c r="R755" t="s">
        <v>279</v>
      </c>
      <c r="S755" t="s">
        <v>280</v>
      </c>
      <c r="T755" t="s">
        <v>281</v>
      </c>
      <c r="U755" t="s">
        <v>282</v>
      </c>
      <c r="V755" t="s">
        <v>243</v>
      </c>
      <c r="W755" t="s">
        <v>244</v>
      </c>
      <c r="X755" t="s">
        <v>3259</v>
      </c>
      <c r="Y755" t="s">
        <v>191</v>
      </c>
      <c r="Z755" t="s">
        <v>192</v>
      </c>
      <c r="AA755" t="s">
        <v>193</v>
      </c>
      <c r="AB755" t="s">
        <v>119</v>
      </c>
      <c r="AC755" t="s">
        <v>117</v>
      </c>
      <c r="AD755" t="s">
        <v>118</v>
      </c>
      <c r="AE755" s="7">
        <v>235000</v>
      </c>
      <c r="AF755" s="7">
        <v>1</v>
      </c>
      <c r="AG755" s="7">
        <v>235000</v>
      </c>
      <c r="AH755" s="7">
        <v>0</v>
      </c>
      <c r="AI755" s="7">
        <v>235000</v>
      </c>
      <c r="AJ755" t="s">
        <v>117</v>
      </c>
    </row>
    <row r="756" spans="14:36" x14ac:dyDescent="0.3">
      <c r="N756" s="8">
        <v>2026</v>
      </c>
      <c r="O756" s="8">
        <v>6</v>
      </c>
      <c r="P756" s="9">
        <v>46184</v>
      </c>
      <c r="Q756" t="s">
        <v>238</v>
      </c>
      <c r="R756" t="s">
        <v>279</v>
      </c>
      <c r="S756" t="s">
        <v>280</v>
      </c>
      <c r="T756" t="s">
        <v>1723</v>
      </c>
      <c r="U756" t="s">
        <v>3949</v>
      </c>
      <c r="V756" t="s">
        <v>246</v>
      </c>
      <c r="W756" t="s">
        <v>244</v>
      </c>
      <c r="X756" t="s">
        <v>3260</v>
      </c>
      <c r="Y756" t="s">
        <v>191</v>
      </c>
      <c r="Z756" t="s">
        <v>335</v>
      </c>
      <c r="AA756" t="s">
        <v>337</v>
      </c>
      <c r="AB756" t="s">
        <v>656</v>
      </c>
      <c r="AC756" t="s">
        <v>657</v>
      </c>
      <c r="AD756" t="s">
        <v>658</v>
      </c>
      <c r="AE756" s="7">
        <v>35000</v>
      </c>
      <c r="AF756" s="7">
        <v>1</v>
      </c>
      <c r="AG756" s="7">
        <v>35000</v>
      </c>
      <c r="AH756" s="7">
        <v>0</v>
      </c>
      <c r="AI756" s="7">
        <v>35000</v>
      </c>
      <c r="AJ756" t="s">
        <v>657</v>
      </c>
    </row>
    <row r="757" spans="14:36" x14ac:dyDescent="0.3">
      <c r="N757" s="8">
        <v>2026</v>
      </c>
      <c r="O757" s="8">
        <v>6</v>
      </c>
      <c r="P757" s="9">
        <v>46184</v>
      </c>
      <c r="Q757" t="s">
        <v>238</v>
      </c>
      <c r="R757" t="s">
        <v>279</v>
      </c>
      <c r="S757" t="s">
        <v>280</v>
      </c>
      <c r="T757" t="s">
        <v>1723</v>
      </c>
      <c r="U757" t="s">
        <v>3949</v>
      </c>
      <c r="V757" t="s">
        <v>246</v>
      </c>
      <c r="W757" t="s">
        <v>244</v>
      </c>
      <c r="X757" t="s">
        <v>3260</v>
      </c>
      <c r="Y757" t="s">
        <v>191</v>
      </c>
      <c r="Z757" t="s">
        <v>335</v>
      </c>
      <c r="AA757" t="s">
        <v>337</v>
      </c>
      <c r="AB757" t="s">
        <v>348</v>
      </c>
      <c r="AC757" t="s">
        <v>349</v>
      </c>
      <c r="AD757" t="s">
        <v>350</v>
      </c>
      <c r="AE757" s="7">
        <v>76000</v>
      </c>
      <c r="AF757" s="7">
        <v>1</v>
      </c>
      <c r="AG757" s="7">
        <v>76000</v>
      </c>
      <c r="AH757" s="7">
        <v>0</v>
      </c>
      <c r="AI757" s="7">
        <v>76000</v>
      </c>
      <c r="AJ757" t="s">
        <v>349</v>
      </c>
    </row>
    <row r="758" spans="14:36" x14ac:dyDescent="0.3">
      <c r="N758" s="8">
        <v>2026</v>
      </c>
      <c r="O758" s="8">
        <v>6</v>
      </c>
      <c r="P758" s="9">
        <v>46184</v>
      </c>
      <c r="Q758" t="s">
        <v>238</v>
      </c>
      <c r="R758" t="s">
        <v>279</v>
      </c>
      <c r="S758" t="s">
        <v>280</v>
      </c>
      <c r="T758" t="s">
        <v>2429</v>
      </c>
      <c r="U758" t="s">
        <v>1323</v>
      </c>
      <c r="V758" t="s">
        <v>246</v>
      </c>
      <c r="W758" t="s">
        <v>244</v>
      </c>
      <c r="X758" t="s">
        <v>3261</v>
      </c>
      <c r="Y758" t="s">
        <v>168</v>
      </c>
      <c r="Z758" t="s">
        <v>171</v>
      </c>
      <c r="AA758" t="s">
        <v>172</v>
      </c>
      <c r="AB758" t="s">
        <v>11</v>
      </c>
      <c r="AC758" t="s">
        <v>9</v>
      </c>
      <c r="AD758" t="s">
        <v>10</v>
      </c>
      <c r="AE758" s="7">
        <v>129000</v>
      </c>
      <c r="AF758" s="7">
        <v>1</v>
      </c>
      <c r="AG758" s="7">
        <v>129000</v>
      </c>
      <c r="AH758" s="7">
        <v>20000</v>
      </c>
      <c r="AI758" s="7">
        <v>109000</v>
      </c>
      <c r="AJ758" t="s">
        <v>9</v>
      </c>
    </row>
    <row r="759" spans="14:36" x14ac:dyDescent="0.3">
      <c r="N759" s="8">
        <v>2026</v>
      </c>
      <c r="O759" s="8">
        <v>6</v>
      </c>
      <c r="P759" s="9">
        <v>46184</v>
      </c>
      <c r="Q759" t="s">
        <v>238</v>
      </c>
      <c r="R759" t="s">
        <v>279</v>
      </c>
      <c r="S759" t="s">
        <v>280</v>
      </c>
      <c r="T759" t="s">
        <v>3262</v>
      </c>
      <c r="U759" t="s">
        <v>3887</v>
      </c>
      <c r="V759" t="s">
        <v>246</v>
      </c>
      <c r="W759" t="s">
        <v>244</v>
      </c>
      <c r="X759" t="s">
        <v>3263</v>
      </c>
      <c r="Y759" t="s">
        <v>191</v>
      </c>
      <c r="Z759" t="s">
        <v>192</v>
      </c>
      <c r="AA759" t="s">
        <v>193</v>
      </c>
      <c r="AB759" t="s">
        <v>119</v>
      </c>
      <c r="AC759" t="s">
        <v>117</v>
      </c>
      <c r="AD759" t="s">
        <v>118</v>
      </c>
      <c r="AE759" s="7">
        <v>235000</v>
      </c>
      <c r="AF759" s="7">
        <v>1</v>
      </c>
      <c r="AG759" s="7">
        <v>235000</v>
      </c>
      <c r="AH759" s="7">
        <v>0</v>
      </c>
      <c r="AI759" s="7">
        <v>235000</v>
      </c>
      <c r="AJ759" t="s">
        <v>117</v>
      </c>
    </row>
    <row r="760" spans="14:36" x14ac:dyDescent="0.3">
      <c r="N760" s="8">
        <v>2026</v>
      </c>
      <c r="O760" s="8">
        <v>6</v>
      </c>
      <c r="P760" s="9">
        <v>46184</v>
      </c>
      <c r="Q760" t="s">
        <v>238</v>
      </c>
      <c r="R760" t="s">
        <v>279</v>
      </c>
      <c r="S760" t="s">
        <v>280</v>
      </c>
      <c r="T760" t="s">
        <v>3264</v>
      </c>
      <c r="U760" t="s">
        <v>330</v>
      </c>
      <c r="V760" t="s">
        <v>249</v>
      </c>
      <c r="W760" t="s">
        <v>244</v>
      </c>
      <c r="X760" t="s">
        <v>3265</v>
      </c>
      <c r="Y760" t="s">
        <v>191</v>
      </c>
      <c r="Z760" t="s">
        <v>192</v>
      </c>
      <c r="AA760" t="s">
        <v>193</v>
      </c>
      <c r="AB760" t="s">
        <v>107</v>
      </c>
      <c r="AC760" t="s">
        <v>105</v>
      </c>
      <c r="AD760" t="s">
        <v>106</v>
      </c>
      <c r="AE760" s="7">
        <v>235000</v>
      </c>
      <c r="AF760" s="7">
        <v>1</v>
      </c>
      <c r="AG760" s="7">
        <v>235000</v>
      </c>
      <c r="AH760" s="7">
        <v>0</v>
      </c>
      <c r="AI760" s="7">
        <v>235000</v>
      </c>
      <c r="AJ760" t="s">
        <v>105</v>
      </c>
    </row>
    <row r="761" spans="14:36" x14ac:dyDescent="0.3">
      <c r="N761" s="8">
        <v>2026</v>
      </c>
      <c r="O761" s="8">
        <v>6</v>
      </c>
      <c r="P761" s="9">
        <v>46184</v>
      </c>
      <c r="Q761" t="s">
        <v>238</v>
      </c>
      <c r="R761" t="s">
        <v>279</v>
      </c>
      <c r="S761" t="s">
        <v>280</v>
      </c>
      <c r="T761" t="s">
        <v>3266</v>
      </c>
      <c r="U761" t="s">
        <v>3267</v>
      </c>
      <c r="V761" t="s">
        <v>246</v>
      </c>
      <c r="W761" t="s">
        <v>244</v>
      </c>
      <c r="X761" t="s">
        <v>3268</v>
      </c>
      <c r="Y761" t="s">
        <v>168</v>
      </c>
      <c r="Z761" t="s">
        <v>171</v>
      </c>
      <c r="AA761" t="s">
        <v>175</v>
      </c>
      <c r="AB761" t="s">
        <v>44</v>
      </c>
      <c r="AC761" t="s">
        <v>42</v>
      </c>
      <c r="AD761" t="s">
        <v>43</v>
      </c>
      <c r="AE761" s="7">
        <v>294000</v>
      </c>
      <c r="AF761" s="7">
        <v>1</v>
      </c>
      <c r="AG761" s="7">
        <v>294000</v>
      </c>
      <c r="AH761" s="7">
        <v>117600</v>
      </c>
      <c r="AI761" s="7">
        <v>176400</v>
      </c>
      <c r="AJ761" t="s">
        <v>42</v>
      </c>
    </row>
    <row r="762" spans="14:36" x14ac:dyDescent="0.3">
      <c r="N762" s="8">
        <v>2026</v>
      </c>
      <c r="O762" s="8">
        <v>6</v>
      </c>
      <c r="P762" s="9">
        <v>46184</v>
      </c>
      <c r="Q762" t="s">
        <v>238</v>
      </c>
      <c r="R762" t="s">
        <v>303</v>
      </c>
      <c r="S762" t="s">
        <v>304</v>
      </c>
      <c r="T762" t="s">
        <v>3269</v>
      </c>
      <c r="U762" t="s">
        <v>3950</v>
      </c>
      <c r="V762" t="s">
        <v>246</v>
      </c>
      <c r="W762" t="s">
        <v>244</v>
      </c>
      <c r="X762" t="s">
        <v>3270</v>
      </c>
      <c r="Y762" t="s">
        <v>168</v>
      </c>
      <c r="Z762" t="s">
        <v>171</v>
      </c>
      <c r="AA762" t="s">
        <v>175</v>
      </c>
      <c r="AB762" t="s">
        <v>140</v>
      </c>
      <c r="AC762" t="s">
        <v>138</v>
      </c>
      <c r="AD762" t="s">
        <v>139</v>
      </c>
      <c r="AE762" s="7">
        <v>125000</v>
      </c>
      <c r="AF762" s="7">
        <v>1</v>
      </c>
      <c r="AG762" s="7">
        <v>125000</v>
      </c>
      <c r="AH762" s="7">
        <v>12500</v>
      </c>
      <c r="AI762" s="7">
        <v>112500</v>
      </c>
      <c r="AJ762" t="s">
        <v>138</v>
      </c>
    </row>
    <row r="763" spans="14:36" x14ac:dyDescent="0.3">
      <c r="N763" s="8">
        <v>2026</v>
      </c>
      <c r="O763" s="8">
        <v>6</v>
      </c>
      <c r="P763" s="9">
        <v>46184</v>
      </c>
      <c r="Q763" t="s">
        <v>238</v>
      </c>
      <c r="R763" t="s">
        <v>303</v>
      </c>
      <c r="S763" t="s">
        <v>304</v>
      </c>
      <c r="T763" t="s">
        <v>3271</v>
      </c>
      <c r="U763" t="s">
        <v>3272</v>
      </c>
      <c r="V763" t="s">
        <v>249</v>
      </c>
      <c r="W763" t="s">
        <v>244</v>
      </c>
      <c r="X763" t="s">
        <v>3273</v>
      </c>
      <c r="Y763" t="s">
        <v>191</v>
      </c>
      <c r="Z763" t="s">
        <v>335</v>
      </c>
      <c r="AA763" t="s">
        <v>336</v>
      </c>
      <c r="AB763" t="s">
        <v>2925</v>
      </c>
      <c r="AC763" t="s">
        <v>2926</v>
      </c>
      <c r="AD763" t="s">
        <v>2927</v>
      </c>
      <c r="AE763" s="7">
        <v>45000</v>
      </c>
      <c r="AF763" s="7">
        <v>2</v>
      </c>
      <c r="AG763" s="7">
        <v>90000</v>
      </c>
      <c r="AH763" s="7">
        <v>0</v>
      </c>
      <c r="AI763" s="7">
        <v>90000</v>
      </c>
      <c r="AJ763" t="s">
        <v>2926</v>
      </c>
    </row>
    <row r="764" spans="14:36" x14ac:dyDescent="0.3">
      <c r="N764" s="8">
        <v>2026</v>
      </c>
      <c r="O764" s="8">
        <v>6</v>
      </c>
      <c r="P764" s="9">
        <v>46184</v>
      </c>
      <c r="Q764" t="s">
        <v>238</v>
      </c>
      <c r="R764" t="s">
        <v>303</v>
      </c>
      <c r="S764" t="s">
        <v>304</v>
      </c>
      <c r="T764" t="s">
        <v>913</v>
      </c>
      <c r="U764" t="s">
        <v>3543</v>
      </c>
      <c r="V764" t="s">
        <v>246</v>
      </c>
      <c r="W764" t="s">
        <v>244</v>
      </c>
      <c r="X764" t="s">
        <v>3274</v>
      </c>
      <c r="Y764" t="s">
        <v>168</v>
      </c>
      <c r="Z764" t="s">
        <v>171</v>
      </c>
      <c r="AA764" t="s">
        <v>175</v>
      </c>
      <c r="AB764" t="s">
        <v>140</v>
      </c>
      <c r="AC764" t="s">
        <v>138</v>
      </c>
      <c r="AD764" t="s">
        <v>139</v>
      </c>
      <c r="AE764" s="7">
        <v>125000</v>
      </c>
      <c r="AF764" s="7">
        <v>2</v>
      </c>
      <c r="AG764" s="7">
        <v>250000</v>
      </c>
      <c r="AH764" s="7">
        <v>25000</v>
      </c>
      <c r="AI764" s="7">
        <v>225000</v>
      </c>
      <c r="AJ764" t="s">
        <v>138</v>
      </c>
    </row>
    <row r="765" spans="14:36" x14ac:dyDescent="0.3">
      <c r="N765" s="8">
        <v>2026</v>
      </c>
      <c r="O765" s="8">
        <v>6</v>
      </c>
      <c r="P765" s="9">
        <v>46184</v>
      </c>
      <c r="Q765" t="s">
        <v>238</v>
      </c>
      <c r="R765" t="s">
        <v>303</v>
      </c>
      <c r="S765" t="s">
        <v>304</v>
      </c>
      <c r="T765" t="s">
        <v>3275</v>
      </c>
      <c r="U765" t="s">
        <v>3276</v>
      </c>
      <c r="V765" t="s">
        <v>246</v>
      </c>
      <c r="W765" t="s">
        <v>244</v>
      </c>
      <c r="X765" t="s">
        <v>3277</v>
      </c>
      <c r="Y765" t="s">
        <v>183</v>
      </c>
      <c r="Z765" t="s">
        <v>189</v>
      </c>
      <c r="AA765" t="s">
        <v>190</v>
      </c>
      <c r="AB765" t="s">
        <v>92</v>
      </c>
      <c r="AC765" t="s">
        <v>90</v>
      </c>
      <c r="AD765" t="s">
        <v>91</v>
      </c>
      <c r="AE765" s="7">
        <v>52000</v>
      </c>
      <c r="AF765" s="7">
        <v>1</v>
      </c>
      <c r="AG765" s="7">
        <v>52000</v>
      </c>
      <c r="AH765" s="7">
        <v>0</v>
      </c>
      <c r="AI765" s="7">
        <v>52000</v>
      </c>
      <c r="AJ765" t="s">
        <v>90</v>
      </c>
    </row>
    <row r="766" spans="14:36" x14ac:dyDescent="0.3">
      <c r="N766" s="8">
        <v>2026</v>
      </c>
      <c r="O766" s="8">
        <v>6</v>
      </c>
      <c r="P766" s="9">
        <v>46184</v>
      </c>
      <c r="Q766" t="s">
        <v>238</v>
      </c>
      <c r="R766" t="s">
        <v>303</v>
      </c>
      <c r="S766" t="s">
        <v>304</v>
      </c>
      <c r="T766" t="s">
        <v>3278</v>
      </c>
      <c r="U766" t="s">
        <v>3279</v>
      </c>
      <c r="V766" t="s">
        <v>246</v>
      </c>
      <c r="W766" t="s">
        <v>244</v>
      </c>
      <c r="X766" t="s">
        <v>3280</v>
      </c>
      <c r="Y766" t="s">
        <v>191</v>
      </c>
      <c r="Z766" t="s">
        <v>335</v>
      </c>
      <c r="AA766" t="s">
        <v>336</v>
      </c>
      <c r="AB766" t="s">
        <v>1284</v>
      </c>
      <c r="AC766" t="s">
        <v>1285</v>
      </c>
      <c r="AD766" t="s">
        <v>1286</v>
      </c>
      <c r="AE766" s="7">
        <v>99000</v>
      </c>
      <c r="AF766" s="7">
        <v>1</v>
      </c>
      <c r="AG766" s="7">
        <v>99000</v>
      </c>
      <c r="AH766" s="7">
        <v>0</v>
      </c>
      <c r="AI766" s="7">
        <v>99000</v>
      </c>
      <c r="AJ766" t="s">
        <v>1285</v>
      </c>
    </row>
    <row r="767" spans="14:36" x14ac:dyDescent="0.3">
      <c r="N767" s="8">
        <v>2026</v>
      </c>
      <c r="O767" s="8">
        <v>6</v>
      </c>
      <c r="P767" s="9">
        <v>46184</v>
      </c>
      <c r="Q767" t="s">
        <v>238</v>
      </c>
      <c r="R767" t="s">
        <v>351</v>
      </c>
      <c r="S767" t="s">
        <v>352</v>
      </c>
      <c r="T767" t="s">
        <v>356</v>
      </c>
      <c r="U767" t="s">
        <v>357</v>
      </c>
      <c r="V767" t="s">
        <v>243</v>
      </c>
      <c r="W767" t="s">
        <v>244</v>
      </c>
      <c r="X767" t="s">
        <v>3281</v>
      </c>
      <c r="Y767" t="s">
        <v>194</v>
      </c>
      <c r="Z767" t="s">
        <v>200</v>
      </c>
      <c r="AA767" t="s">
        <v>201</v>
      </c>
      <c r="AB767" t="s">
        <v>77</v>
      </c>
      <c r="AC767" t="s">
        <v>75</v>
      </c>
      <c r="AD767" t="s">
        <v>76</v>
      </c>
      <c r="AE767" s="7">
        <v>52000</v>
      </c>
      <c r="AF767" s="7">
        <v>1</v>
      </c>
      <c r="AG767" s="7">
        <v>52000</v>
      </c>
      <c r="AH767" s="7">
        <v>0</v>
      </c>
      <c r="AI767" s="7">
        <v>52000</v>
      </c>
      <c r="AJ767" t="s">
        <v>75</v>
      </c>
    </row>
    <row r="768" spans="14:36" x14ac:dyDescent="0.3">
      <c r="N768" s="8">
        <v>2026</v>
      </c>
      <c r="O768" s="8">
        <v>6</v>
      </c>
      <c r="P768" s="9">
        <v>46184</v>
      </c>
      <c r="Q768" t="s">
        <v>238</v>
      </c>
      <c r="R768" t="s">
        <v>351</v>
      </c>
      <c r="S768" t="s">
        <v>352</v>
      </c>
      <c r="T768" t="s">
        <v>3282</v>
      </c>
      <c r="U768" t="s">
        <v>3951</v>
      </c>
      <c r="V768" t="s">
        <v>249</v>
      </c>
      <c r="W768" t="s">
        <v>244</v>
      </c>
      <c r="X768" t="s">
        <v>3283</v>
      </c>
      <c r="Y768" t="s">
        <v>168</v>
      </c>
      <c r="Z768" t="s">
        <v>171</v>
      </c>
      <c r="AA768" t="s">
        <v>172</v>
      </c>
      <c r="AB768" t="s">
        <v>11</v>
      </c>
      <c r="AC768" t="s">
        <v>9</v>
      </c>
      <c r="AD768" t="s">
        <v>10</v>
      </c>
      <c r="AE768" s="7">
        <v>129000</v>
      </c>
      <c r="AF768" s="7">
        <v>1</v>
      </c>
      <c r="AG768" s="7">
        <v>129000</v>
      </c>
      <c r="AH768" s="7">
        <v>20000</v>
      </c>
      <c r="AI768" s="7">
        <v>109000</v>
      </c>
      <c r="AJ768" t="s">
        <v>9</v>
      </c>
    </row>
    <row r="769" spans="14:36" x14ac:dyDescent="0.3">
      <c r="N769" s="8">
        <v>2026</v>
      </c>
      <c r="O769" s="8">
        <v>6</v>
      </c>
      <c r="P769" s="9">
        <v>46184</v>
      </c>
      <c r="Q769" t="s">
        <v>238</v>
      </c>
      <c r="R769" t="s">
        <v>351</v>
      </c>
      <c r="S769" t="s">
        <v>352</v>
      </c>
      <c r="T769" t="s">
        <v>1091</v>
      </c>
      <c r="U769" t="s">
        <v>1092</v>
      </c>
      <c r="V769" t="s">
        <v>246</v>
      </c>
      <c r="W769" t="s">
        <v>244</v>
      </c>
      <c r="X769" t="s">
        <v>3284</v>
      </c>
      <c r="Y769" t="s">
        <v>191</v>
      </c>
      <c r="Z769" t="s">
        <v>335</v>
      </c>
      <c r="AA769" t="s">
        <v>337</v>
      </c>
      <c r="AB769" t="s">
        <v>541</v>
      </c>
      <c r="AC769" t="s">
        <v>542</v>
      </c>
      <c r="AD769" t="s">
        <v>543</v>
      </c>
      <c r="AE769" s="7">
        <v>69000</v>
      </c>
      <c r="AF769" s="7">
        <v>1</v>
      </c>
      <c r="AG769" s="7">
        <v>69000</v>
      </c>
      <c r="AH769" s="7">
        <v>0</v>
      </c>
      <c r="AI769" s="7">
        <v>69000</v>
      </c>
      <c r="AJ769" t="s">
        <v>542</v>
      </c>
    </row>
    <row r="770" spans="14:36" x14ac:dyDescent="0.3">
      <c r="N770" s="8">
        <v>2026</v>
      </c>
      <c r="O770" s="8">
        <v>6</v>
      </c>
      <c r="P770" s="9">
        <v>46184</v>
      </c>
      <c r="Q770" t="s">
        <v>238</v>
      </c>
      <c r="R770" t="s">
        <v>351</v>
      </c>
      <c r="S770" t="s">
        <v>352</v>
      </c>
      <c r="T770" t="s">
        <v>1091</v>
      </c>
      <c r="U770" t="s">
        <v>1092</v>
      </c>
      <c r="V770" t="s">
        <v>246</v>
      </c>
      <c r="W770" t="s">
        <v>244</v>
      </c>
      <c r="X770" t="s">
        <v>3284</v>
      </c>
      <c r="Y770" t="s">
        <v>191</v>
      </c>
      <c r="Z770" t="s">
        <v>335</v>
      </c>
      <c r="AA770" t="s">
        <v>337</v>
      </c>
      <c r="AB770" t="s">
        <v>656</v>
      </c>
      <c r="AC770" t="s">
        <v>657</v>
      </c>
      <c r="AD770" t="s">
        <v>658</v>
      </c>
      <c r="AE770" s="7">
        <v>35000</v>
      </c>
      <c r="AF770" s="7">
        <v>1</v>
      </c>
      <c r="AG770" s="7">
        <v>35000</v>
      </c>
      <c r="AH770" s="7">
        <v>0</v>
      </c>
      <c r="AI770" s="7">
        <v>35000</v>
      </c>
      <c r="AJ770" t="s">
        <v>657</v>
      </c>
    </row>
    <row r="771" spans="14:36" x14ac:dyDescent="0.3">
      <c r="N771" s="8">
        <v>2026</v>
      </c>
      <c r="O771" s="8">
        <v>6</v>
      </c>
      <c r="P771" s="9">
        <v>46184</v>
      </c>
      <c r="Q771" t="s">
        <v>238</v>
      </c>
      <c r="R771" t="s">
        <v>351</v>
      </c>
      <c r="S771" t="s">
        <v>352</v>
      </c>
      <c r="T771" t="s">
        <v>1091</v>
      </c>
      <c r="U771" t="s">
        <v>1092</v>
      </c>
      <c r="V771" t="s">
        <v>246</v>
      </c>
      <c r="W771" t="s">
        <v>244</v>
      </c>
      <c r="X771" t="s">
        <v>3284</v>
      </c>
      <c r="Y771" t="s">
        <v>191</v>
      </c>
      <c r="Z771" t="s">
        <v>335</v>
      </c>
      <c r="AA771" t="s">
        <v>337</v>
      </c>
      <c r="AB771" t="s">
        <v>348</v>
      </c>
      <c r="AC771" t="s">
        <v>349</v>
      </c>
      <c r="AD771" t="s">
        <v>350</v>
      </c>
      <c r="AE771" s="7">
        <v>76000</v>
      </c>
      <c r="AF771" s="7">
        <v>2</v>
      </c>
      <c r="AG771" s="7">
        <v>152000</v>
      </c>
      <c r="AH771" s="7">
        <v>0</v>
      </c>
      <c r="AI771" s="7">
        <v>152000</v>
      </c>
      <c r="AJ771" t="s">
        <v>349</v>
      </c>
    </row>
    <row r="772" spans="14:36" x14ac:dyDescent="0.3">
      <c r="N772" s="8">
        <v>2026</v>
      </c>
      <c r="O772" s="8">
        <v>6</v>
      </c>
      <c r="P772" s="9">
        <v>46184</v>
      </c>
      <c r="Q772" t="s">
        <v>238</v>
      </c>
      <c r="R772" t="s">
        <v>351</v>
      </c>
      <c r="S772" t="s">
        <v>352</v>
      </c>
      <c r="T772" t="s">
        <v>2503</v>
      </c>
      <c r="U772" t="s">
        <v>3952</v>
      </c>
      <c r="V772" t="s">
        <v>246</v>
      </c>
      <c r="W772" t="s">
        <v>244</v>
      </c>
      <c r="X772" t="s">
        <v>3285</v>
      </c>
      <c r="Y772" t="s">
        <v>168</v>
      </c>
      <c r="Z772" t="s">
        <v>171</v>
      </c>
      <c r="AA772" t="s">
        <v>173</v>
      </c>
      <c r="AB772" t="s">
        <v>29</v>
      </c>
      <c r="AC772" t="s">
        <v>27</v>
      </c>
      <c r="AD772" t="s">
        <v>28</v>
      </c>
      <c r="AE772" s="7">
        <v>575000</v>
      </c>
      <c r="AF772" s="7">
        <v>1</v>
      </c>
      <c r="AG772" s="7">
        <v>575000</v>
      </c>
      <c r="AH772" s="7">
        <v>46000</v>
      </c>
      <c r="AI772" s="7">
        <v>529000</v>
      </c>
      <c r="AJ772" t="s">
        <v>27</v>
      </c>
    </row>
    <row r="773" spans="14:36" x14ac:dyDescent="0.3">
      <c r="N773" s="8">
        <v>2026</v>
      </c>
      <c r="O773" s="8">
        <v>6</v>
      </c>
      <c r="P773" s="9">
        <v>46184</v>
      </c>
      <c r="Q773" t="s">
        <v>238</v>
      </c>
      <c r="R773" t="s">
        <v>374</v>
      </c>
      <c r="S773" t="s">
        <v>375</v>
      </c>
      <c r="T773" t="s">
        <v>3286</v>
      </c>
      <c r="U773" t="s">
        <v>3929</v>
      </c>
      <c r="V773" t="s">
        <v>249</v>
      </c>
      <c r="W773" t="s">
        <v>244</v>
      </c>
      <c r="X773" t="s">
        <v>3287</v>
      </c>
      <c r="Y773" t="s">
        <v>168</v>
      </c>
      <c r="Z773" t="s">
        <v>171</v>
      </c>
      <c r="AA773" t="s">
        <v>173</v>
      </c>
      <c r="AB773" t="s">
        <v>29</v>
      </c>
      <c r="AC773" t="s">
        <v>27</v>
      </c>
      <c r="AD773" t="s">
        <v>28</v>
      </c>
      <c r="AE773" s="7">
        <v>575000</v>
      </c>
      <c r="AF773" s="7">
        <v>1</v>
      </c>
      <c r="AG773" s="7">
        <v>575000</v>
      </c>
      <c r="AH773" s="7">
        <v>76000</v>
      </c>
      <c r="AI773" s="7">
        <v>499000</v>
      </c>
      <c r="AJ773" t="s">
        <v>27</v>
      </c>
    </row>
    <row r="774" spans="14:36" x14ac:dyDescent="0.3">
      <c r="N774" s="8">
        <v>2026</v>
      </c>
      <c r="O774" s="8">
        <v>6</v>
      </c>
      <c r="P774" s="9">
        <v>46184</v>
      </c>
      <c r="Q774" t="s">
        <v>238</v>
      </c>
      <c r="R774" t="s">
        <v>374</v>
      </c>
      <c r="S774" t="s">
        <v>375</v>
      </c>
      <c r="T774" t="s">
        <v>3286</v>
      </c>
      <c r="U774" t="s">
        <v>3929</v>
      </c>
      <c r="V774" t="s">
        <v>249</v>
      </c>
      <c r="W774" t="s">
        <v>244</v>
      </c>
      <c r="X774" t="s">
        <v>3287</v>
      </c>
      <c r="Y774" t="s">
        <v>168</v>
      </c>
      <c r="Z774" t="s">
        <v>171</v>
      </c>
      <c r="AA774" t="s">
        <v>173</v>
      </c>
      <c r="AB774" t="s">
        <v>26</v>
      </c>
      <c r="AC774" t="s">
        <v>24</v>
      </c>
      <c r="AD774" t="s">
        <v>25</v>
      </c>
      <c r="AE774" s="7">
        <v>555000</v>
      </c>
      <c r="AF774" s="7">
        <v>1</v>
      </c>
      <c r="AG774" s="7">
        <v>555000</v>
      </c>
      <c r="AH774" s="7">
        <v>55000</v>
      </c>
      <c r="AI774" s="7">
        <v>500000</v>
      </c>
      <c r="AJ774" t="s">
        <v>24</v>
      </c>
    </row>
    <row r="775" spans="14:36" x14ac:dyDescent="0.3">
      <c r="N775" s="8">
        <v>2026</v>
      </c>
      <c r="O775" s="8">
        <v>6</v>
      </c>
      <c r="P775" s="9">
        <v>46184</v>
      </c>
      <c r="Q775" t="s">
        <v>238</v>
      </c>
      <c r="R775" t="s">
        <v>374</v>
      </c>
      <c r="S775" t="s">
        <v>375</v>
      </c>
      <c r="T775" t="s">
        <v>2337</v>
      </c>
      <c r="U775" t="s">
        <v>668</v>
      </c>
      <c r="V775" t="s">
        <v>246</v>
      </c>
      <c r="W775" t="s">
        <v>244</v>
      </c>
      <c r="X775" t="s">
        <v>3288</v>
      </c>
      <c r="Y775" t="s">
        <v>191</v>
      </c>
      <c r="Z775" t="s">
        <v>335</v>
      </c>
      <c r="AA775" t="s">
        <v>336</v>
      </c>
      <c r="AB775" t="s">
        <v>2925</v>
      </c>
      <c r="AC775" t="s">
        <v>2926</v>
      </c>
      <c r="AD775" t="s">
        <v>2927</v>
      </c>
      <c r="AE775" s="7">
        <v>45000</v>
      </c>
      <c r="AF775" s="7">
        <v>1</v>
      </c>
      <c r="AG775" s="7">
        <v>45000</v>
      </c>
      <c r="AH775" s="7">
        <v>0</v>
      </c>
      <c r="AI775" s="7">
        <v>45000</v>
      </c>
      <c r="AJ775" t="s">
        <v>2926</v>
      </c>
    </row>
    <row r="776" spans="14:36" x14ac:dyDescent="0.3">
      <c r="N776" s="8">
        <v>2026</v>
      </c>
      <c r="O776" s="8">
        <v>6</v>
      </c>
      <c r="P776" s="9">
        <v>46184</v>
      </c>
      <c r="Q776" t="s">
        <v>238</v>
      </c>
      <c r="R776" t="s">
        <v>374</v>
      </c>
      <c r="S776" t="s">
        <v>375</v>
      </c>
      <c r="T776" t="s">
        <v>766</v>
      </c>
      <c r="U776" t="s">
        <v>767</v>
      </c>
      <c r="V776" t="s">
        <v>246</v>
      </c>
      <c r="W776" t="s">
        <v>244</v>
      </c>
      <c r="X776" t="s">
        <v>3289</v>
      </c>
      <c r="Y776" t="s">
        <v>194</v>
      </c>
      <c r="Z776" t="s">
        <v>200</v>
      </c>
      <c r="AA776" t="s">
        <v>201</v>
      </c>
      <c r="AB776" t="s">
        <v>86</v>
      </c>
      <c r="AC776" t="s">
        <v>84</v>
      </c>
      <c r="AD776" t="s">
        <v>85</v>
      </c>
      <c r="AE776" s="7">
        <v>49000</v>
      </c>
      <c r="AF776" s="7">
        <v>1</v>
      </c>
      <c r="AG776" s="7">
        <v>49000</v>
      </c>
      <c r="AH776" s="7">
        <v>0</v>
      </c>
      <c r="AI776" s="7">
        <v>49000</v>
      </c>
      <c r="AJ776" t="s">
        <v>84</v>
      </c>
    </row>
    <row r="777" spans="14:36" x14ac:dyDescent="0.3">
      <c r="N777" s="8">
        <v>2026</v>
      </c>
      <c r="O777" s="8">
        <v>6</v>
      </c>
      <c r="P777" s="9">
        <v>46184</v>
      </c>
      <c r="Q777" t="s">
        <v>238</v>
      </c>
      <c r="R777" t="s">
        <v>374</v>
      </c>
      <c r="S777" t="s">
        <v>375</v>
      </c>
      <c r="T777" t="s">
        <v>1096</v>
      </c>
      <c r="U777" t="s">
        <v>3886</v>
      </c>
      <c r="V777" t="s">
        <v>246</v>
      </c>
      <c r="W777" t="s">
        <v>244</v>
      </c>
      <c r="X777" t="s">
        <v>3290</v>
      </c>
      <c r="Y777" t="s">
        <v>191</v>
      </c>
      <c r="Z777" t="s">
        <v>335</v>
      </c>
      <c r="AA777" t="s">
        <v>336</v>
      </c>
      <c r="AB777" t="s">
        <v>1146</v>
      </c>
      <c r="AC777" t="s">
        <v>1147</v>
      </c>
      <c r="AD777" t="s">
        <v>1148</v>
      </c>
      <c r="AE777" s="7">
        <v>99000</v>
      </c>
      <c r="AF777" s="7">
        <v>1</v>
      </c>
      <c r="AG777" s="7">
        <v>99000</v>
      </c>
      <c r="AH777" s="7">
        <v>0</v>
      </c>
      <c r="AI777" s="7">
        <v>99000</v>
      </c>
      <c r="AJ777" t="s">
        <v>1147</v>
      </c>
    </row>
    <row r="778" spans="14:36" x14ac:dyDescent="0.3">
      <c r="N778" s="8">
        <v>2026</v>
      </c>
      <c r="O778" s="8">
        <v>6</v>
      </c>
      <c r="P778" s="9">
        <v>46184</v>
      </c>
      <c r="Q778" t="s">
        <v>238</v>
      </c>
      <c r="R778" t="s">
        <v>415</v>
      </c>
      <c r="S778" t="s">
        <v>416</v>
      </c>
      <c r="T778" t="s">
        <v>3291</v>
      </c>
      <c r="U778" t="s">
        <v>841</v>
      </c>
      <c r="V778" t="s">
        <v>246</v>
      </c>
      <c r="W778" t="s">
        <v>244</v>
      </c>
      <c r="X778" t="s">
        <v>3292</v>
      </c>
      <c r="Y778" t="s">
        <v>191</v>
      </c>
      <c r="Z778" t="s">
        <v>335</v>
      </c>
      <c r="AA778" t="s">
        <v>337</v>
      </c>
      <c r="AB778" t="s">
        <v>348</v>
      </c>
      <c r="AC778" t="s">
        <v>349</v>
      </c>
      <c r="AD778" t="s">
        <v>350</v>
      </c>
      <c r="AE778" s="7">
        <v>76000</v>
      </c>
      <c r="AF778" s="7">
        <v>2</v>
      </c>
      <c r="AG778" s="7">
        <v>152000</v>
      </c>
      <c r="AH778" s="7">
        <v>0</v>
      </c>
      <c r="AI778" s="7">
        <v>152000</v>
      </c>
      <c r="AJ778" t="s">
        <v>349</v>
      </c>
    </row>
    <row r="779" spans="14:36" x14ac:dyDescent="0.3">
      <c r="N779" s="8">
        <v>2026</v>
      </c>
      <c r="O779" s="8">
        <v>6</v>
      </c>
      <c r="P779" s="9">
        <v>46184</v>
      </c>
      <c r="Q779" t="s">
        <v>238</v>
      </c>
      <c r="R779" t="s">
        <v>425</v>
      </c>
      <c r="S779" t="s">
        <v>426</v>
      </c>
      <c r="T779" t="s">
        <v>3293</v>
      </c>
      <c r="U779" t="s">
        <v>3953</v>
      </c>
      <c r="V779" t="s">
        <v>249</v>
      </c>
      <c r="W779" t="s">
        <v>244</v>
      </c>
      <c r="X779" t="s">
        <v>3294</v>
      </c>
      <c r="Y779" t="s">
        <v>191</v>
      </c>
      <c r="Z779" t="s">
        <v>192</v>
      </c>
      <c r="AA779" t="s">
        <v>193</v>
      </c>
      <c r="AB779" t="s">
        <v>113</v>
      </c>
      <c r="AC779" t="s">
        <v>111</v>
      </c>
      <c r="AD779" t="s">
        <v>112</v>
      </c>
      <c r="AE779" s="7">
        <v>235000</v>
      </c>
      <c r="AF779" s="7">
        <v>1</v>
      </c>
      <c r="AG779" s="7">
        <v>235000</v>
      </c>
      <c r="AH779" s="7">
        <v>0</v>
      </c>
      <c r="AI779" s="7">
        <v>235000</v>
      </c>
      <c r="AJ779" t="s">
        <v>111</v>
      </c>
    </row>
    <row r="780" spans="14:36" x14ac:dyDescent="0.3">
      <c r="N780" s="8">
        <v>2026</v>
      </c>
      <c r="O780" s="8">
        <v>6</v>
      </c>
      <c r="P780" s="9">
        <v>46184</v>
      </c>
      <c r="Q780" t="s">
        <v>238</v>
      </c>
      <c r="R780" t="s">
        <v>425</v>
      </c>
      <c r="S780" t="s">
        <v>426</v>
      </c>
      <c r="T780" t="s">
        <v>431</v>
      </c>
      <c r="U780" t="s">
        <v>432</v>
      </c>
      <c r="V780" t="s">
        <v>243</v>
      </c>
      <c r="W780" t="s">
        <v>244</v>
      </c>
      <c r="X780" t="s">
        <v>3295</v>
      </c>
      <c r="Y780" t="s">
        <v>191</v>
      </c>
      <c r="Z780" t="s">
        <v>335</v>
      </c>
      <c r="AA780" t="s">
        <v>337</v>
      </c>
      <c r="AB780" t="s">
        <v>719</v>
      </c>
      <c r="AC780" t="s">
        <v>720</v>
      </c>
      <c r="AD780" t="s">
        <v>721</v>
      </c>
      <c r="AE780" s="7">
        <v>104000</v>
      </c>
      <c r="AF780" s="7">
        <v>1</v>
      </c>
      <c r="AG780" s="7">
        <v>104000</v>
      </c>
      <c r="AH780" s="7">
        <v>31200</v>
      </c>
      <c r="AI780" s="7">
        <v>72800</v>
      </c>
      <c r="AJ780" t="s">
        <v>720</v>
      </c>
    </row>
    <row r="781" spans="14:36" x14ac:dyDescent="0.3">
      <c r="N781" s="8">
        <v>2026</v>
      </c>
      <c r="O781" s="8">
        <v>6</v>
      </c>
      <c r="P781" s="9">
        <v>46184</v>
      </c>
      <c r="Q781" t="s">
        <v>238</v>
      </c>
      <c r="R781" t="s">
        <v>425</v>
      </c>
      <c r="S781" t="s">
        <v>426</v>
      </c>
      <c r="T781" t="s">
        <v>431</v>
      </c>
      <c r="U781" t="s">
        <v>432</v>
      </c>
      <c r="V781" t="s">
        <v>243</v>
      </c>
      <c r="W781" t="s">
        <v>244</v>
      </c>
      <c r="X781" t="s">
        <v>3295</v>
      </c>
      <c r="Y781" t="s">
        <v>191</v>
      </c>
      <c r="Z781" t="s">
        <v>335</v>
      </c>
      <c r="AA781" t="s">
        <v>337</v>
      </c>
      <c r="AB781" t="s">
        <v>656</v>
      </c>
      <c r="AC781" t="s">
        <v>657</v>
      </c>
      <c r="AD781" t="s">
        <v>658</v>
      </c>
      <c r="AE781" s="7">
        <v>35000</v>
      </c>
      <c r="AF781" s="7">
        <v>1</v>
      </c>
      <c r="AG781" s="7">
        <v>35000</v>
      </c>
      <c r="AH781" s="7">
        <v>0</v>
      </c>
      <c r="AI781" s="7">
        <v>35000</v>
      </c>
      <c r="AJ781" t="s">
        <v>657</v>
      </c>
    </row>
    <row r="782" spans="14:36" x14ac:dyDescent="0.3">
      <c r="N782" s="8">
        <v>2026</v>
      </c>
      <c r="O782" s="8">
        <v>6</v>
      </c>
      <c r="P782" s="9">
        <v>46183</v>
      </c>
      <c r="Q782" t="s">
        <v>238</v>
      </c>
      <c r="R782" t="s">
        <v>239</v>
      </c>
      <c r="S782" t="s">
        <v>240</v>
      </c>
      <c r="T782" t="s">
        <v>1012</v>
      </c>
      <c r="U782" t="s">
        <v>3898</v>
      </c>
      <c r="V782" t="s">
        <v>246</v>
      </c>
      <c r="W782" t="s">
        <v>244</v>
      </c>
      <c r="X782" t="s">
        <v>3296</v>
      </c>
      <c r="Y782" t="s">
        <v>168</v>
      </c>
      <c r="Z782" t="s">
        <v>179</v>
      </c>
      <c r="AA782" t="s">
        <v>180</v>
      </c>
      <c r="AB782" t="s">
        <v>146</v>
      </c>
      <c r="AC782" t="s">
        <v>144</v>
      </c>
      <c r="AD782" t="s">
        <v>145</v>
      </c>
      <c r="AE782" s="7">
        <v>150000</v>
      </c>
      <c r="AF782" s="7">
        <v>1</v>
      </c>
      <c r="AG782" s="7">
        <v>150000</v>
      </c>
      <c r="AH782" s="7">
        <v>15000</v>
      </c>
      <c r="AI782" s="7">
        <v>135000</v>
      </c>
      <c r="AJ782" t="s">
        <v>144</v>
      </c>
    </row>
    <row r="783" spans="14:36" x14ac:dyDescent="0.3">
      <c r="N783" s="8">
        <v>2026</v>
      </c>
      <c r="O783" s="8">
        <v>6</v>
      </c>
      <c r="P783" s="9">
        <v>46183</v>
      </c>
      <c r="Q783" t="s">
        <v>238</v>
      </c>
      <c r="R783" t="s">
        <v>239</v>
      </c>
      <c r="S783" t="s">
        <v>240</v>
      </c>
      <c r="T783" t="s">
        <v>1931</v>
      </c>
      <c r="U783" t="s">
        <v>3954</v>
      </c>
      <c r="V783" t="s">
        <v>246</v>
      </c>
      <c r="W783" t="s">
        <v>244</v>
      </c>
      <c r="X783" t="s">
        <v>3297</v>
      </c>
      <c r="Y783" t="s">
        <v>191</v>
      </c>
      <c r="Z783" t="s">
        <v>335</v>
      </c>
      <c r="AA783" t="s">
        <v>336</v>
      </c>
      <c r="AB783" t="s">
        <v>1284</v>
      </c>
      <c r="AC783" t="s">
        <v>1285</v>
      </c>
      <c r="AD783" t="s">
        <v>1286</v>
      </c>
      <c r="AE783" s="7">
        <v>99000</v>
      </c>
      <c r="AF783" s="7">
        <v>2</v>
      </c>
      <c r="AG783" s="7">
        <v>198000</v>
      </c>
      <c r="AH783" s="7">
        <v>0</v>
      </c>
      <c r="AI783" s="7">
        <v>198000</v>
      </c>
      <c r="AJ783" t="s">
        <v>1285</v>
      </c>
    </row>
    <row r="784" spans="14:36" x14ac:dyDescent="0.3">
      <c r="N784" s="8">
        <v>2026</v>
      </c>
      <c r="O784" s="8">
        <v>6</v>
      </c>
      <c r="P784" s="9">
        <v>46183</v>
      </c>
      <c r="Q784" t="s">
        <v>238</v>
      </c>
      <c r="R784" t="s">
        <v>239</v>
      </c>
      <c r="S784" t="s">
        <v>240</v>
      </c>
      <c r="T784" t="s">
        <v>1931</v>
      </c>
      <c r="U784" t="s">
        <v>3954</v>
      </c>
      <c r="V784" t="s">
        <v>246</v>
      </c>
      <c r="W784" t="s">
        <v>244</v>
      </c>
      <c r="X784" t="s">
        <v>3297</v>
      </c>
      <c r="Y784" t="s">
        <v>191</v>
      </c>
      <c r="Z784" t="s">
        <v>335</v>
      </c>
      <c r="AA784" t="s">
        <v>336</v>
      </c>
      <c r="AB784" t="s">
        <v>1146</v>
      </c>
      <c r="AC784" t="s">
        <v>1147</v>
      </c>
      <c r="AD784" t="s">
        <v>1148</v>
      </c>
      <c r="AE784" s="7">
        <v>99000</v>
      </c>
      <c r="AF784" s="7">
        <v>2</v>
      </c>
      <c r="AG784" s="7">
        <v>198000</v>
      </c>
      <c r="AH784" s="7">
        <v>0</v>
      </c>
      <c r="AI784" s="7">
        <v>198000</v>
      </c>
      <c r="AJ784" t="s">
        <v>1147</v>
      </c>
    </row>
    <row r="785" spans="14:36" x14ac:dyDescent="0.3">
      <c r="N785" s="8">
        <v>2026</v>
      </c>
      <c r="O785" s="8">
        <v>6</v>
      </c>
      <c r="P785" s="9">
        <v>46183</v>
      </c>
      <c r="Q785" t="s">
        <v>238</v>
      </c>
      <c r="R785" t="s">
        <v>239</v>
      </c>
      <c r="S785" t="s">
        <v>240</v>
      </c>
      <c r="T785" t="s">
        <v>3298</v>
      </c>
      <c r="U785" t="s">
        <v>3299</v>
      </c>
      <c r="V785" t="s">
        <v>246</v>
      </c>
      <c r="W785" t="s">
        <v>244</v>
      </c>
      <c r="X785" t="s">
        <v>3300</v>
      </c>
      <c r="Y785" t="s">
        <v>183</v>
      </c>
      <c r="Z785" t="s">
        <v>189</v>
      </c>
      <c r="AA785" t="s">
        <v>190</v>
      </c>
      <c r="AB785" t="s">
        <v>92</v>
      </c>
      <c r="AC785" t="s">
        <v>90</v>
      </c>
      <c r="AD785" t="s">
        <v>91</v>
      </c>
      <c r="AE785" s="7">
        <v>52000</v>
      </c>
      <c r="AF785" s="7">
        <v>1</v>
      </c>
      <c r="AG785" s="7">
        <v>52000</v>
      </c>
      <c r="AH785" s="7">
        <v>0</v>
      </c>
      <c r="AI785" s="7">
        <v>52000</v>
      </c>
      <c r="AJ785" t="s">
        <v>90</v>
      </c>
    </row>
    <row r="786" spans="14:36" x14ac:dyDescent="0.3">
      <c r="N786" s="8">
        <v>2026</v>
      </c>
      <c r="O786" s="8">
        <v>6</v>
      </c>
      <c r="P786" s="9">
        <v>46183</v>
      </c>
      <c r="Q786" t="s">
        <v>238</v>
      </c>
      <c r="R786" t="s">
        <v>279</v>
      </c>
      <c r="S786" t="s">
        <v>280</v>
      </c>
      <c r="T786" t="s">
        <v>3301</v>
      </c>
      <c r="U786" t="s">
        <v>3955</v>
      </c>
      <c r="V786" t="s">
        <v>246</v>
      </c>
      <c r="W786" t="s">
        <v>244</v>
      </c>
      <c r="X786" t="s">
        <v>3302</v>
      </c>
      <c r="Y786" t="s">
        <v>191</v>
      </c>
      <c r="Z786" t="s">
        <v>335</v>
      </c>
      <c r="AA786" t="s">
        <v>336</v>
      </c>
      <c r="AB786" t="s">
        <v>1284</v>
      </c>
      <c r="AC786" t="s">
        <v>1285</v>
      </c>
      <c r="AD786" t="s">
        <v>1286</v>
      </c>
      <c r="AE786" s="7">
        <v>99000</v>
      </c>
      <c r="AF786" s="7">
        <v>1</v>
      </c>
      <c r="AG786" s="7">
        <v>99000</v>
      </c>
      <c r="AH786" s="7">
        <v>0</v>
      </c>
      <c r="AI786" s="7">
        <v>99000</v>
      </c>
      <c r="AJ786" t="s">
        <v>1285</v>
      </c>
    </row>
    <row r="787" spans="14:36" x14ac:dyDescent="0.3">
      <c r="N787" s="8">
        <v>2026</v>
      </c>
      <c r="O787" s="8">
        <v>6</v>
      </c>
      <c r="P787" s="9">
        <v>46183</v>
      </c>
      <c r="Q787" t="s">
        <v>238</v>
      </c>
      <c r="R787" t="s">
        <v>279</v>
      </c>
      <c r="S787" t="s">
        <v>280</v>
      </c>
      <c r="T787" t="s">
        <v>2968</v>
      </c>
      <c r="U787" t="s">
        <v>3956</v>
      </c>
      <c r="V787" t="s">
        <v>249</v>
      </c>
      <c r="W787" t="s">
        <v>244</v>
      </c>
      <c r="X787" t="s">
        <v>3303</v>
      </c>
      <c r="Y787" t="s">
        <v>191</v>
      </c>
      <c r="Z787" t="s">
        <v>335</v>
      </c>
      <c r="AA787" t="s">
        <v>336</v>
      </c>
      <c r="AB787" t="s">
        <v>2925</v>
      </c>
      <c r="AC787" t="s">
        <v>2926</v>
      </c>
      <c r="AD787" t="s">
        <v>2927</v>
      </c>
      <c r="AE787" s="7">
        <v>45000</v>
      </c>
      <c r="AF787" s="7">
        <v>1</v>
      </c>
      <c r="AG787" s="7">
        <v>45000</v>
      </c>
      <c r="AH787" s="7">
        <v>0</v>
      </c>
      <c r="AI787" s="7">
        <v>45000</v>
      </c>
      <c r="AJ787" t="s">
        <v>2926</v>
      </c>
    </row>
    <row r="788" spans="14:36" x14ac:dyDescent="0.3">
      <c r="N788" s="8">
        <v>2026</v>
      </c>
      <c r="O788" s="8">
        <v>6</v>
      </c>
      <c r="P788" s="9">
        <v>46183</v>
      </c>
      <c r="Q788" t="s">
        <v>238</v>
      </c>
      <c r="R788" t="s">
        <v>303</v>
      </c>
      <c r="S788" t="s">
        <v>304</v>
      </c>
      <c r="T788" t="s">
        <v>1629</v>
      </c>
      <c r="U788" t="s">
        <v>1630</v>
      </c>
      <c r="V788" t="s">
        <v>246</v>
      </c>
      <c r="W788" t="s">
        <v>244</v>
      </c>
      <c r="X788" t="s">
        <v>3304</v>
      </c>
      <c r="Y788" t="s">
        <v>168</v>
      </c>
      <c r="Z788" t="s">
        <v>179</v>
      </c>
      <c r="AA788" t="s">
        <v>180</v>
      </c>
      <c r="AB788" t="s">
        <v>146</v>
      </c>
      <c r="AC788" t="s">
        <v>144</v>
      </c>
      <c r="AD788" t="s">
        <v>145</v>
      </c>
      <c r="AE788" s="7">
        <v>150000</v>
      </c>
      <c r="AF788" s="7">
        <v>1</v>
      </c>
      <c r="AG788" s="7">
        <v>150000</v>
      </c>
      <c r="AH788" s="7">
        <v>15000</v>
      </c>
      <c r="AI788" s="7">
        <v>135000</v>
      </c>
      <c r="AJ788" t="s">
        <v>144</v>
      </c>
    </row>
    <row r="789" spans="14:36" x14ac:dyDescent="0.3">
      <c r="N789" s="8">
        <v>2026</v>
      </c>
      <c r="O789" s="8">
        <v>6</v>
      </c>
      <c r="P789" s="9">
        <v>46183</v>
      </c>
      <c r="Q789" t="s">
        <v>238</v>
      </c>
      <c r="R789" t="s">
        <v>303</v>
      </c>
      <c r="S789" t="s">
        <v>304</v>
      </c>
      <c r="T789" t="s">
        <v>3305</v>
      </c>
      <c r="U789" t="s">
        <v>677</v>
      </c>
      <c r="V789" t="s">
        <v>246</v>
      </c>
      <c r="W789" t="s">
        <v>244</v>
      </c>
      <c r="X789" t="s">
        <v>3306</v>
      </c>
      <c r="Y789" t="s">
        <v>191</v>
      </c>
      <c r="Z789" t="s">
        <v>192</v>
      </c>
      <c r="AA789" t="s">
        <v>193</v>
      </c>
      <c r="AB789" t="s">
        <v>107</v>
      </c>
      <c r="AC789" t="s">
        <v>105</v>
      </c>
      <c r="AD789" t="s">
        <v>106</v>
      </c>
      <c r="AE789" s="7">
        <v>235000</v>
      </c>
      <c r="AF789" s="7">
        <v>1</v>
      </c>
      <c r="AG789" s="7">
        <v>235000</v>
      </c>
      <c r="AH789" s="7">
        <v>0</v>
      </c>
      <c r="AI789" s="7">
        <v>235000</v>
      </c>
      <c r="AJ789" t="s">
        <v>105</v>
      </c>
    </row>
    <row r="790" spans="14:36" x14ac:dyDescent="0.3">
      <c r="N790" s="8">
        <v>2026</v>
      </c>
      <c r="O790" s="8">
        <v>6</v>
      </c>
      <c r="P790" s="9">
        <v>46183</v>
      </c>
      <c r="Q790" t="s">
        <v>238</v>
      </c>
      <c r="R790" t="s">
        <v>303</v>
      </c>
      <c r="S790" t="s">
        <v>304</v>
      </c>
      <c r="T790" t="s">
        <v>2044</v>
      </c>
      <c r="U790" t="s">
        <v>629</v>
      </c>
      <c r="V790" t="s">
        <v>246</v>
      </c>
      <c r="W790" t="s">
        <v>244</v>
      </c>
      <c r="X790" t="s">
        <v>3307</v>
      </c>
      <c r="Y790" t="s">
        <v>191</v>
      </c>
      <c r="Z790" t="s">
        <v>335</v>
      </c>
      <c r="AA790" t="s">
        <v>337</v>
      </c>
      <c r="AB790" t="s">
        <v>864</v>
      </c>
      <c r="AC790" t="s">
        <v>865</v>
      </c>
      <c r="AD790" t="s">
        <v>866</v>
      </c>
      <c r="AE790" s="7">
        <v>139000</v>
      </c>
      <c r="AF790" s="7">
        <v>1</v>
      </c>
      <c r="AG790" s="7">
        <v>139000</v>
      </c>
      <c r="AH790" s="7">
        <v>0</v>
      </c>
      <c r="AI790" s="7">
        <v>139000</v>
      </c>
      <c r="AJ790" t="s">
        <v>865</v>
      </c>
    </row>
    <row r="791" spans="14:36" x14ac:dyDescent="0.3">
      <c r="N791" s="8">
        <v>2026</v>
      </c>
      <c r="O791" s="8">
        <v>6</v>
      </c>
      <c r="P791" s="9">
        <v>46183</v>
      </c>
      <c r="Q791" t="s">
        <v>238</v>
      </c>
      <c r="R791" t="s">
        <v>303</v>
      </c>
      <c r="S791" t="s">
        <v>304</v>
      </c>
      <c r="T791" t="s">
        <v>2305</v>
      </c>
      <c r="U791" t="s">
        <v>2306</v>
      </c>
      <c r="V791" t="s">
        <v>246</v>
      </c>
      <c r="W791" t="s">
        <v>244</v>
      </c>
      <c r="X791" t="s">
        <v>3308</v>
      </c>
      <c r="Y791" t="s">
        <v>191</v>
      </c>
      <c r="Z791" t="s">
        <v>335</v>
      </c>
      <c r="AA791" t="s">
        <v>336</v>
      </c>
      <c r="AB791" t="s">
        <v>1518</v>
      </c>
      <c r="AC791" t="s">
        <v>1519</v>
      </c>
      <c r="AD791" t="s">
        <v>1520</v>
      </c>
      <c r="AE791" s="7">
        <v>99000</v>
      </c>
      <c r="AF791" s="7">
        <v>1</v>
      </c>
      <c r="AG791" s="7">
        <v>99000</v>
      </c>
      <c r="AH791" s="7">
        <v>0</v>
      </c>
      <c r="AI791" s="7">
        <v>99000</v>
      </c>
      <c r="AJ791" t="s">
        <v>1519</v>
      </c>
    </row>
    <row r="792" spans="14:36" x14ac:dyDescent="0.3">
      <c r="N792" s="8">
        <v>2026</v>
      </c>
      <c r="O792" s="8">
        <v>6</v>
      </c>
      <c r="P792" s="9">
        <v>46183</v>
      </c>
      <c r="Q792" t="s">
        <v>238</v>
      </c>
      <c r="R792" t="s">
        <v>351</v>
      </c>
      <c r="S792" t="s">
        <v>352</v>
      </c>
      <c r="T792" t="s">
        <v>356</v>
      </c>
      <c r="U792" t="s">
        <v>357</v>
      </c>
      <c r="V792" t="s">
        <v>243</v>
      </c>
      <c r="W792" t="s">
        <v>244</v>
      </c>
      <c r="X792" t="s">
        <v>3309</v>
      </c>
      <c r="Y792" t="s">
        <v>168</v>
      </c>
      <c r="Z792" t="s">
        <v>171</v>
      </c>
      <c r="AA792" t="s">
        <v>175</v>
      </c>
      <c r="AB792" t="s">
        <v>137</v>
      </c>
      <c r="AC792" t="s">
        <v>135</v>
      </c>
      <c r="AD792" t="s">
        <v>136</v>
      </c>
      <c r="AE792" s="7">
        <v>100000</v>
      </c>
      <c r="AF792" s="7">
        <v>1</v>
      </c>
      <c r="AG792" s="7">
        <v>100000</v>
      </c>
      <c r="AH792" s="7">
        <v>10000</v>
      </c>
      <c r="AI792" s="7">
        <v>90000</v>
      </c>
      <c r="AJ792" t="s">
        <v>135</v>
      </c>
    </row>
    <row r="793" spans="14:36" x14ac:dyDescent="0.3">
      <c r="N793" s="8">
        <v>2026</v>
      </c>
      <c r="O793" s="8">
        <v>6</v>
      </c>
      <c r="P793" s="9">
        <v>46183</v>
      </c>
      <c r="Q793" t="s">
        <v>238</v>
      </c>
      <c r="R793" t="s">
        <v>351</v>
      </c>
      <c r="S793" t="s">
        <v>352</v>
      </c>
      <c r="T793" t="s">
        <v>3310</v>
      </c>
      <c r="U793" t="s">
        <v>3957</v>
      </c>
      <c r="V793" t="s">
        <v>249</v>
      </c>
      <c r="W793" t="s">
        <v>244</v>
      </c>
      <c r="X793" t="s">
        <v>3311</v>
      </c>
      <c r="Y793" t="s">
        <v>168</v>
      </c>
      <c r="Z793" t="s">
        <v>179</v>
      </c>
      <c r="AA793" t="s">
        <v>180</v>
      </c>
      <c r="AB793" t="s">
        <v>149</v>
      </c>
      <c r="AC793" t="s">
        <v>147</v>
      </c>
      <c r="AD793" t="s">
        <v>148</v>
      </c>
      <c r="AE793" s="7">
        <v>150000</v>
      </c>
      <c r="AF793" s="7">
        <v>1</v>
      </c>
      <c r="AG793" s="7">
        <v>150000</v>
      </c>
      <c r="AH793" s="7">
        <v>15000</v>
      </c>
      <c r="AI793" s="7">
        <v>135000</v>
      </c>
      <c r="AJ793" t="s">
        <v>147</v>
      </c>
    </row>
    <row r="794" spans="14:36" x14ac:dyDescent="0.3">
      <c r="N794" s="8">
        <v>2026</v>
      </c>
      <c r="O794" s="8">
        <v>6</v>
      </c>
      <c r="P794" s="9">
        <v>46183</v>
      </c>
      <c r="Q794" t="s">
        <v>238</v>
      </c>
      <c r="R794" t="s">
        <v>351</v>
      </c>
      <c r="S794" t="s">
        <v>352</v>
      </c>
      <c r="T794" t="s">
        <v>1606</v>
      </c>
      <c r="U794" t="s">
        <v>544</v>
      </c>
      <c r="V794" t="s">
        <v>246</v>
      </c>
      <c r="W794" t="s">
        <v>244</v>
      </c>
      <c r="X794" t="s">
        <v>3312</v>
      </c>
      <c r="Y794" t="s">
        <v>168</v>
      </c>
      <c r="Z794" t="s">
        <v>171</v>
      </c>
      <c r="AA794" t="s">
        <v>175</v>
      </c>
      <c r="AB794" t="s">
        <v>35</v>
      </c>
      <c r="AC794" t="s">
        <v>33</v>
      </c>
      <c r="AD794" t="s">
        <v>34</v>
      </c>
      <c r="AE794" s="7">
        <v>255000</v>
      </c>
      <c r="AF794" s="7">
        <v>1</v>
      </c>
      <c r="AG794" s="7">
        <v>255000</v>
      </c>
      <c r="AH794" s="7">
        <v>20400</v>
      </c>
      <c r="AI794" s="7">
        <v>234600</v>
      </c>
      <c r="AJ794" t="s">
        <v>33</v>
      </c>
    </row>
    <row r="795" spans="14:36" x14ac:dyDescent="0.3">
      <c r="N795" s="8">
        <v>2026</v>
      </c>
      <c r="O795" s="8">
        <v>6</v>
      </c>
      <c r="P795" s="9">
        <v>46183</v>
      </c>
      <c r="Q795" t="s">
        <v>238</v>
      </c>
      <c r="R795" t="s">
        <v>374</v>
      </c>
      <c r="S795" t="s">
        <v>375</v>
      </c>
      <c r="T795" t="s">
        <v>1358</v>
      </c>
      <c r="U795" t="s">
        <v>1228</v>
      </c>
      <c r="V795" t="s">
        <v>246</v>
      </c>
      <c r="W795" t="s">
        <v>244</v>
      </c>
      <c r="X795" t="s">
        <v>3313</v>
      </c>
      <c r="Y795" t="s">
        <v>194</v>
      </c>
      <c r="Z795" t="s">
        <v>200</v>
      </c>
      <c r="AA795" t="s">
        <v>201</v>
      </c>
      <c r="AB795" t="s">
        <v>83</v>
      </c>
      <c r="AC795" t="s">
        <v>81</v>
      </c>
      <c r="AD795" t="s">
        <v>82</v>
      </c>
      <c r="AE795" s="7">
        <v>46000</v>
      </c>
      <c r="AF795" s="7">
        <v>1</v>
      </c>
      <c r="AG795" s="7">
        <v>46000</v>
      </c>
      <c r="AH795" s="7">
        <v>0</v>
      </c>
      <c r="AI795" s="7">
        <v>46000</v>
      </c>
      <c r="AJ795" t="s">
        <v>81</v>
      </c>
    </row>
    <row r="796" spans="14:36" x14ac:dyDescent="0.3">
      <c r="N796" s="8">
        <v>2026</v>
      </c>
      <c r="O796" s="8">
        <v>6</v>
      </c>
      <c r="P796" s="9">
        <v>46183</v>
      </c>
      <c r="Q796" t="s">
        <v>238</v>
      </c>
      <c r="R796" t="s">
        <v>374</v>
      </c>
      <c r="S796" t="s">
        <v>375</v>
      </c>
      <c r="T796" t="s">
        <v>3314</v>
      </c>
      <c r="U796" t="s">
        <v>3958</v>
      </c>
      <c r="V796" t="s">
        <v>246</v>
      </c>
      <c r="W796" t="s">
        <v>244</v>
      </c>
      <c r="X796" t="s">
        <v>3315</v>
      </c>
      <c r="Y796" t="s">
        <v>183</v>
      </c>
      <c r="Z796" t="s">
        <v>189</v>
      </c>
      <c r="AA796" t="s">
        <v>190</v>
      </c>
      <c r="AB796" t="s">
        <v>92</v>
      </c>
      <c r="AC796" t="s">
        <v>90</v>
      </c>
      <c r="AD796" t="s">
        <v>91</v>
      </c>
      <c r="AE796" s="7">
        <v>52000</v>
      </c>
      <c r="AF796" s="7">
        <v>1</v>
      </c>
      <c r="AG796" s="7">
        <v>52000</v>
      </c>
      <c r="AH796" s="7">
        <v>0</v>
      </c>
      <c r="AI796" s="7">
        <v>52000</v>
      </c>
      <c r="AJ796" t="s">
        <v>90</v>
      </c>
    </row>
    <row r="797" spans="14:36" x14ac:dyDescent="0.3">
      <c r="N797" s="8">
        <v>2026</v>
      </c>
      <c r="O797" s="8">
        <v>6</v>
      </c>
      <c r="P797" s="9">
        <v>46183</v>
      </c>
      <c r="Q797" t="s">
        <v>238</v>
      </c>
      <c r="R797" t="s">
        <v>374</v>
      </c>
      <c r="S797" t="s">
        <v>375</v>
      </c>
      <c r="T797" t="s">
        <v>1711</v>
      </c>
      <c r="U797" t="s">
        <v>703</v>
      </c>
      <c r="V797" t="s">
        <v>246</v>
      </c>
      <c r="W797" t="s">
        <v>244</v>
      </c>
      <c r="X797" t="s">
        <v>3316</v>
      </c>
      <c r="Y797" t="s">
        <v>183</v>
      </c>
      <c r="Z797" t="s">
        <v>186</v>
      </c>
      <c r="AA797" t="s">
        <v>188</v>
      </c>
      <c r="AB797" t="s">
        <v>98</v>
      </c>
      <c r="AC797" t="s">
        <v>96</v>
      </c>
      <c r="AD797" t="s">
        <v>97</v>
      </c>
      <c r="AE797" s="7">
        <v>239000</v>
      </c>
      <c r="AF797" s="7">
        <v>1</v>
      </c>
      <c r="AG797" s="7">
        <v>239000</v>
      </c>
      <c r="AH797" s="7">
        <v>0</v>
      </c>
      <c r="AI797" s="7">
        <v>239000</v>
      </c>
      <c r="AJ797" t="s">
        <v>96</v>
      </c>
    </row>
    <row r="798" spans="14:36" x14ac:dyDescent="0.3">
      <c r="N798" s="8">
        <v>2026</v>
      </c>
      <c r="O798" s="8">
        <v>6</v>
      </c>
      <c r="P798" s="9">
        <v>46183</v>
      </c>
      <c r="Q798" t="s">
        <v>238</v>
      </c>
      <c r="R798" t="s">
        <v>374</v>
      </c>
      <c r="S798" t="s">
        <v>375</v>
      </c>
      <c r="T798" t="s">
        <v>3317</v>
      </c>
      <c r="U798" t="s">
        <v>3866</v>
      </c>
      <c r="V798" t="s">
        <v>246</v>
      </c>
      <c r="W798" t="s">
        <v>244</v>
      </c>
      <c r="X798" t="s">
        <v>3318</v>
      </c>
      <c r="Y798" t="s">
        <v>191</v>
      </c>
      <c r="Z798" t="s">
        <v>192</v>
      </c>
      <c r="AA798" t="s">
        <v>193</v>
      </c>
      <c r="AB798" t="s">
        <v>119</v>
      </c>
      <c r="AC798" t="s">
        <v>117</v>
      </c>
      <c r="AD798" t="s">
        <v>118</v>
      </c>
      <c r="AE798" s="7">
        <v>235000</v>
      </c>
      <c r="AF798" s="7">
        <v>1</v>
      </c>
      <c r="AG798" s="7">
        <v>235000</v>
      </c>
      <c r="AH798" s="7">
        <v>0</v>
      </c>
      <c r="AI798" s="7">
        <v>235000</v>
      </c>
      <c r="AJ798" t="s">
        <v>117</v>
      </c>
    </row>
    <row r="799" spans="14:36" x14ac:dyDescent="0.3">
      <c r="N799" s="8">
        <v>2026</v>
      </c>
      <c r="O799" s="8">
        <v>6</v>
      </c>
      <c r="P799" s="9">
        <v>46183</v>
      </c>
      <c r="Q799" t="s">
        <v>238</v>
      </c>
      <c r="R799" t="s">
        <v>396</v>
      </c>
      <c r="S799" t="s">
        <v>397</v>
      </c>
      <c r="T799" t="s">
        <v>3319</v>
      </c>
      <c r="U799" t="s">
        <v>3906</v>
      </c>
      <c r="V799" t="s">
        <v>246</v>
      </c>
      <c r="W799" t="s">
        <v>244</v>
      </c>
      <c r="X799" t="s">
        <v>3320</v>
      </c>
      <c r="Y799" t="s">
        <v>191</v>
      </c>
      <c r="Z799" t="s">
        <v>335</v>
      </c>
      <c r="AA799" t="s">
        <v>337</v>
      </c>
      <c r="AB799" t="s">
        <v>656</v>
      </c>
      <c r="AC799" t="s">
        <v>657</v>
      </c>
      <c r="AD799" t="s">
        <v>658</v>
      </c>
      <c r="AE799" s="7">
        <v>35000</v>
      </c>
      <c r="AF799" s="7">
        <v>1</v>
      </c>
      <c r="AG799" s="7">
        <v>35000</v>
      </c>
      <c r="AH799" s="7">
        <v>0</v>
      </c>
      <c r="AI799" s="7">
        <v>35000</v>
      </c>
      <c r="AJ799" t="s">
        <v>657</v>
      </c>
    </row>
    <row r="800" spans="14:36" x14ac:dyDescent="0.3">
      <c r="N800" s="8">
        <v>2026</v>
      </c>
      <c r="O800" s="8">
        <v>6</v>
      </c>
      <c r="P800" s="9">
        <v>46183</v>
      </c>
      <c r="Q800" t="s">
        <v>238</v>
      </c>
      <c r="R800" t="s">
        <v>396</v>
      </c>
      <c r="S800" t="s">
        <v>397</v>
      </c>
      <c r="T800" t="s">
        <v>1667</v>
      </c>
      <c r="U800" t="s">
        <v>1668</v>
      </c>
      <c r="V800" t="s">
        <v>246</v>
      </c>
      <c r="W800" t="s">
        <v>244</v>
      </c>
      <c r="X800" t="s">
        <v>3321</v>
      </c>
      <c r="Y800" t="s">
        <v>168</v>
      </c>
      <c r="Z800" t="s">
        <v>169</v>
      </c>
      <c r="AA800" t="s">
        <v>170</v>
      </c>
      <c r="AB800" t="s">
        <v>131</v>
      </c>
      <c r="AC800" t="s">
        <v>129</v>
      </c>
      <c r="AD800" t="s">
        <v>130</v>
      </c>
      <c r="AE800" s="7">
        <v>535000</v>
      </c>
      <c r="AF800" s="7">
        <v>1</v>
      </c>
      <c r="AG800" s="7">
        <v>535000</v>
      </c>
      <c r="AH800" s="7">
        <v>0</v>
      </c>
      <c r="AI800" s="7">
        <v>535000</v>
      </c>
      <c r="AJ800" t="s">
        <v>129</v>
      </c>
    </row>
    <row r="801" spans="14:36" x14ac:dyDescent="0.3">
      <c r="N801" s="8">
        <v>2026</v>
      </c>
      <c r="O801" s="8">
        <v>6</v>
      </c>
      <c r="P801" s="9">
        <v>46183</v>
      </c>
      <c r="Q801" t="s">
        <v>238</v>
      </c>
      <c r="R801" t="s">
        <v>396</v>
      </c>
      <c r="S801" t="s">
        <v>397</v>
      </c>
      <c r="T801" t="s">
        <v>1667</v>
      </c>
      <c r="U801" t="s">
        <v>1668</v>
      </c>
      <c r="V801" t="s">
        <v>246</v>
      </c>
      <c r="W801" t="s">
        <v>244</v>
      </c>
      <c r="X801" t="s">
        <v>3321</v>
      </c>
      <c r="Y801" t="s">
        <v>168</v>
      </c>
      <c r="Z801" t="s">
        <v>171</v>
      </c>
      <c r="AA801" t="s">
        <v>175</v>
      </c>
      <c r="AB801" t="s">
        <v>38</v>
      </c>
      <c r="AC801" t="s">
        <v>36</v>
      </c>
      <c r="AD801" t="s">
        <v>37</v>
      </c>
      <c r="AE801" s="7">
        <v>290000</v>
      </c>
      <c r="AF801" s="7">
        <v>1</v>
      </c>
      <c r="AG801" s="7">
        <v>290000</v>
      </c>
      <c r="AH801" s="7">
        <v>23200</v>
      </c>
      <c r="AI801" s="7">
        <v>266800</v>
      </c>
      <c r="AJ801" t="s">
        <v>36</v>
      </c>
    </row>
    <row r="802" spans="14:36" x14ac:dyDescent="0.3">
      <c r="N802" s="8">
        <v>2026</v>
      </c>
      <c r="O802" s="8">
        <v>6</v>
      </c>
      <c r="P802" s="9">
        <v>46183</v>
      </c>
      <c r="Q802" t="s">
        <v>238</v>
      </c>
      <c r="R802" t="s">
        <v>396</v>
      </c>
      <c r="S802" t="s">
        <v>397</v>
      </c>
      <c r="T802" t="s">
        <v>1667</v>
      </c>
      <c r="U802" t="s">
        <v>1668</v>
      </c>
      <c r="V802" t="s">
        <v>246</v>
      </c>
      <c r="W802" t="s">
        <v>244</v>
      </c>
      <c r="X802" t="s">
        <v>3321</v>
      </c>
      <c r="Y802" t="s">
        <v>168</v>
      </c>
      <c r="Z802" t="s">
        <v>171</v>
      </c>
      <c r="AA802" t="s">
        <v>175</v>
      </c>
      <c r="AB802" t="s">
        <v>44</v>
      </c>
      <c r="AC802" t="s">
        <v>42</v>
      </c>
      <c r="AD802" t="s">
        <v>43</v>
      </c>
      <c r="AE802" s="7">
        <v>294000</v>
      </c>
      <c r="AF802" s="7">
        <v>1</v>
      </c>
      <c r="AG802" s="7">
        <v>294000</v>
      </c>
      <c r="AH802" s="7">
        <v>117600</v>
      </c>
      <c r="AI802" s="7">
        <v>176400</v>
      </c>
      <c r="AJ802" t="s">
        <v>42</v>
      </c>
    </row>
    <row r="803" spans="14:36" x14ac:dyDescent="0.3">
      <c r="N803" s="8">
        <v>2026</v>
      </c>
      <c r="O803" s="8">
        <v>6</v>
      </c>
      <c r="P803" s="9">
        <v>46183</v>
      </c>
      <c r="Q803" t="s">
        <v>238</v>
      </c>
      <c r="R803" t="s">
        <v>396</v>
      </c>
      <c r="S803" t="s">
        <v>397</v>
      </c>
      <c r="T803" t="s">
        <v>1321</v>
      </c>
      <c r="U803" t="s">
        <v>3867</v>
      </c>
      <c r="V803" t="s">
        <v>246</v>
      </c>
      <c r="W803" t="s">
        <v>244</v>
      </c>
      <c r="X803" t="s">
        <v>3322</v>
      </c>
      <c r="Y803" t="s">
        <v>183</v>
      </c>
      <c r="Z803" t="s">
        <v>184</v>
      </c>
      <c r="AA803" t="s">
        <v>185</v>
      </c>
      <c r="AB803" t="s">
        <v>47</v>
      </c>
      <c r="AC803" t="s">
        <v>45</v>
      </c>
      <c r="AD803" t="s">
        <v>46</v>
      </c>
      <c r="AE803" s="7">
        <v>52000</v>
      </c>
      <c r="AF803" s="7">
        <v>1</v>
      </c>
      <c r="AG803" s="7">
        <v>52000</v>
      </c>
      <c r="AH803" s="7">
        <v>0</v>
      </c>
      <c r="AI803" s="7">
        <v>52000</v>
      </c>
      <c r="AJ803" t="s">
        <v>45</v>
      </c>
    </row>
    <row r="804" spans="14:36" x14ac:dyDescent="0.3">
      <c r="N804" s="8">
        <v>2026</v>
      </c>
      <c r="O804" s="8">
        <v>6</v>
      </c>
      <c r="P804" s="9">
        <v>46183</v>
      </c>
      <c r="Q804" t="s">
        <v>238</v>
      </c>
      <c r="R804" t="s">
        <v>415</v>
      </c>
      <c r="S804" t="s">
        <v>416</v>
      </c>
      <c r="T804" t="s">
        <v>3323</v>
      </c>
      <c r="U804" t="s">
        <v>3324</v>
      </c>
      <c r="V804" t="s">
        <v>246</v>
      </c>
      <c r="W804" t="s">
        <v>244</v>
      </c>
      <c r="X804" t="s">
        <v>3325</v>
      </c>
      <c r="Y804" t="s">
        <v>168</v>
      </c>
      <c r="Z804" t="s">
        <v>179</v>
      </c>
      <c r="AA804" t="s">
        <v>180</v>
      </c>
      <c r="AB804" t="s">
        <v>143</v>
      </c>
      <c r="AC804" t="s">
        <v>141</v>
      </c>
      <c r="AD804" t="s">
        <v>142</v>
      </c>
      <c r="AE804" s="7">
        <v>150000</v>
      </c>
      <c r="AF804" s="7">
        <v>1</v>
      </c>
      <c r="AG804" s="7">
        <v>150000</v>
      </c>
      <c r="AH804" s="7">
        <v>15000</v>
      </c>
      <c r="AI804" s="7">
        <v>135000</v>
      </c>
      <c r="AJ804" t="s">
        <v>141</v>
      </c>
    </row>
    <row r="805" spans="14:36" x14ac:dyDescent="0.3">
      <c r="N805" s="8">
        <v>2026</v>
      </c>
      <c r="O805" s="8">
        <v>6</v>
      </c>
      <c r="P805" s="9">
        <v>46182</v>
      </c>
      <c r="Q805" t="s">
        <v>238</v>
      </c>
      <c r="R805" t="s">
        <v>279</v>
      </c>
      <c r="S805" t="s">
        <v>280</v>
      </c>
      <c r="T805" t="s">
        <v>1395</v>
      </c>
      <c r="U805" t="s">
        <v>1396</v>
      </c>
      <c r="V805" t="s">
        <v>246</v>
      </c>
      <c r="W805" t="s">
        <v>244</v>
      </c>
      <c r="X805" t="s">
        <v>3326</v>
      </c>
      <c r="Y805" t="s">
        <v>191</v>
      </c>
      <c r="Z805" t="s">
        <v>335</v>
      </c>
      <c r="AA805" t="s">
        <v>336</v>
      </c>
      <c r="AB805" t="s">
        <v>2925</v>
      </c>
      <c r="AC805" t="s">
        <v>2926</v>
      </c>
      <c r="AD805" t="s">
        <v>2927</v>
      </c>
      <c r="AE805" s="7">
        <v>45000</v>
      </c>
      <c r="AF805" s="7">
        <v>2</v>
      </c>
      <c r="AG805" s="7">
        <v>90000</v>
      </c>
      <c r="AH805" s="7">
        <v>0</v>
      </c>
      <c r="AI805" s="7">
        <v>90000</v>
      </c>
      <c r="AJ805" t="s">
        <v>2926</v>
      </c>
    </row>
    <row r="806" spans="14:36" x14ac:dyDescent="0.3">
      <c r="N806" s="8">
        <v>2026</v>
      </c>
      <c r="O806" s="8">
        <v>6</v>
      </c>
      <c r="P806" s="9">
        <v>46182</v>
      </c>
      <c r="Q806" t="s">
        <v>238</v>
      </c>
      <c r="R806" t="s">
        <v>279</v>
      </c>
      <c r="S806" t="s">
        <v>280</v>
      </c>
      <c r="T806" t="s">
        <v>1395</v>
      </c>
      <c r="U806" t="s">
        <v>1396</v>
      </c>
      <c r="V806" t="s">
        <v>246</v>
      </c>
      <c r="W806" t="s">
        <v>244</v>
      </c>
      <c r="X806" t="s">
        <v>3326</v>
      </c>
      <c r="Y806" t="s">
        <v>191</v>
      </c>
      <c r="Z806" t="s">
        <v>335</v>
      </c>
      <c r="AA806" t="s">
        <v>336</v>
      </c>
      <c r="AB806" t="s">
        <v>1146</v>
      </c>
      <c r="AC806" t="s">
        <v>1147</v>
      </c>
      <c r="AD806" t="s">
        <v>1148</v>
      </c>
      <c r="AE806" s="7">
        <v>99000</v>
      </c>
      <c r="AF806" s="7">
        <v>1</v>
      </c>
      <c r="AG806" s="7">
        <v>99000</v>
      </c>
      <c r="AH806" s="7">
        <v>0</v>
      </c>
      <c r="AI806" s="7">
        <v>99000</v>
      </c>
      <c r="AJ806" t="s">
        <v>1147</v>
      </c>
    </row>
    <row r="807" spans="14:36" x14ac:dyDescent="0.3">
      <c r="N807" s="8">
        <v>2026</v>
      </c>
      <c r="O807" s="8">
        <v>6</v>
      </c>
      <c r="P807" s="9">
        <v>46182</v>
      </c>
      <c r="Q807" t="s">
        <v>238</v>
      </c>
      <c r="R807" t="s">
        <v>279</v>
      </c>
      <c r="S807" t="s">
        <v>280</v>
      </c>
      <c r="T807" t="s">
        <v>3327</v>
      </c>
      <c r="U807" t="s">
        <v>3959</v>
      </c>
      <c r="V807" t="s">
        <v>249</v>
      </c>
      <c r="W807" t="s">
        <v>244</v>
      </c>
      <c r="X807" t="s">
        <v>3328</v>
      </c>
      <c r="Y807" t="s">
        <v>168</v>
      </c>
      <c r="Z807" t="s">
        <v>181</v>
      </c>
      <c r="AA807" t="s">
        <v>182</v>
      </c>
      <c r="AB807" t="s">
        <v>50</v>
      </c>
      <c r="AC807" t="s">
        <v>48</v>
      </c>
      <c r="AD807" t="s">
        <v>49</v>
      </c>
      <c r="AE807" s="7">
        <v>49000</v>
      </c>
      <c r="AF807" s="7">
        <v>1</v>
      </c>
      <c r="AG807" s="7">
        <v>49000</v>
      </c>
      <c r="AH807" s="7">
        <v>0</v>
      </c>
      <c r="AI807" s="7">
        <v>49000</v>
      </c>
      <c r="AJ807" t="s">
        <v>48</v>
      </c>
    </row>
    <row r="808" spans="14:36" x14ac:dyDescent="0.3">
      <c r="N808" s="8">
        <v>2026</v>
      </c>
      <c r="O808" s="8">
        <v>6</v>
      </c>
      <c r="P808" s="9">
        <v>46182</v>
      </c>
      <c r="Q808" t="s">
        <v>238</v>
      </c>
      <c r="R808" t="s">
        <v>303</v>
      </c>
      <c r="S808" t="s">
        <v>304</v>
      </c>
      <c r="T808" t="s">
        <v>305</v>
      </c>
      <c r="U808" t="s">
        <v>306</v>
      </c>
      <c r="V808" t="s">
        <v>243</v>
      </c>
      <c r="W808" t="s">
        <v>244</v>
      </c>
      <c r="X808" t="s">
        <v>3329</v>
      </c>
      <c r="Y808" t="s">
        <v>191</v>
      </c>
      <c r="Z808" t="s">
        <v>192</v>
      </c>
      <c r="AA808" t="s">
        <v>193</v>
      </c>
      <c r="AB808" t="s">
        <v>119</v>
      </c>
      <c r="AC808" t="s">
        <v>117</v>
      </c>
      <c r="AD808" t="s">
        <v>118</v>
      </c>
      <c r="AE808" s="7">
        <v>235000</v>
      </c>
      <c r="AF808" s="7">
        <v>1</v>
      </c>
      <c r="AG808" s="7">
        <v>235000</v>
      </c>
      <c r="AH808" s="7">
        <v>0</v>
      </c>
      <c r="AI808" s="7">
        <v>235000</v>
      </c>
      <c r="AJ808" t="s">
        <v>117</v>
      </c>
    </row>
    <row r="809" spans="14:36" x14ac:dyDescent="0.3">
      <c r="N809" s="8">
        <v>2026</v>
      </c>
      <c r="O809" s="8">
        <v>6</v>
      </c>
      <c r="P809" s="9">
        <v>46182</v>
      </c>
      <c r="Q809" t="s">
        <v>238</v>
      </c>
      <c r="R809" t="s">
        <v>303</v>
      </c>
      <c r="S809" t="s">
        <v>304</v>
      </c>
      <c r="T809" t="s">
        <v>2535</v>
      </c>
      <c r="U809" t="s">
        <v>3889</v>
      </c>
      <c r="V809" t="s">
        <v>246</v>
      </c>
      <c r="W809" t="s">
        <v>244</v>
      </c>
      <c r="X809" t="s">
        <v>3330</v>
      </c>
      <c r="Y809" t="s">
        <v>191</v>
      </c>
      <c r="Z809" t="s">
        <v>335</v>
      </c>
      <c r="AA809" t="s">
        <v>336</v>
      </c>
      <c r="AB809" t="s">
        <v>1284</v>
      </c>
      <c r="AC809" t="s">
        <v>1285</v>
      </c>
      <c r="AD809" t="s">
        <v>1286</v>
      </c>
      <c r="AE809" s="7">
        <v>99000</v>
      </c>
      <c r="AF809" s="7">
        <v>1</v>
      </c>
      <c r="AG809" s="7">
        <v>99000</v>
      </c>
      <c r="AH809" s="7">
        <v>0</v>
      </c>
      <c r="AI809" s="7">
        <v>99000</v>
      </c>
      <c r="AJ809" t="s">
        <v>1285</v>
      </c>
    </row>
    <row r="810" spans="14:36" x14ac:dyDescent="0.3">
      <c r="N810" s="8">
        <v>2026</v>
      </c>
      <c r="O810" s="8">
        <v>6</v>
      </c>
      <c r="P810" s="9">
        <v>46182</v>
      </c>
      <c r="Q810" t="s">
        <v>238</v>
      </c>
      <c r="R810" t="s">
        <v>303</v>
      </c>
      <c r="S810" t="s">
        <v>304</v>
      </c>
      <c r="T810" t="s">
        <v>3331</v>
      </c>
      <c r="U810" t="s">
        <v>369</v>
      </c>
      <c r="V810" t="s">
        <v>246</v>
      </c>
      <c r="W810" t="s">
        <v>244</v>
      </c>
      <c r="X810" t="s">
        <v>3332</v>
      </c>
      <c r="Y810" t="s">
        <v>183</v>
      </c>
      <c r="Z810" t="s">
        <v>189</v>
      </c>
      <c r="AA810" t="s">
        <v>190</v>
      </c>
      <c r="AB810" t="s">
        <v>92</v>
      </c>
      <c r="AC810" t="s">
        <v>90</v>
      </c>
      <c r="AD810" t="s">
        <v>91</v>
      </c>
      <c r="AE810" s="7">
        <v>52000</v>
      </c>
      <c r="AF810" s="7">
        <v>1</v>
      </c>
      <c r="AG810" s="7">
        <v>52000</v>
      </c>
      <c r="AH810" s="7">
        <v>0</v>
      </c>
      <c r="AI810" s="7">
        <v>52000</v>
      </c>
      <c r="AJ810" t="s">
        <v>90</v>
      </c>
    </row>
    <row r="811" spans="14:36" x14ac:dyDescent="0.3">
      <c r="N811" s="8">
        <v>2026</v>
      </c>
      <c r="O811" s="8">
        <v>6</v>
      </c>
      <c r="P811" s="9">
        <v>46182</v>
      </c>
      <c r="Q811" t="s">
        <v>238</v>
      </c>
      <c r="R811" t="s">
        <v>303</v>
      </c>
      <c r="S811" t="s">
        <v>304</v>
      </c>
      <c r="T811" t="s">
        <v>1902</v>
      </c>
      <c r="U811" t="s">
        <v>463</v>
      </c>
      <c r="V811" t="s">
        <v>246</v>
      </c>
      <c r="W811" t="s">
        <v>244</v>
      </c>
      <c r="X811" t="s">
        <v>3333</v>
      </c>
      <c r="Y811" t="s">
        <v>168</v>
      </c>
      <c r="Z811" t="s">
        <v>171</v>
      </c>
      <c r="AA811" t="s">
        <v>173</v>
      </c>
      <c r="AB811" t="s">
        <v>26</v>
      </c>
      <c r="AC811" t="s">
        <v>24</v>
      </c>
      <c r="AD811" t="s">
        <v>25</v>
      </c>
      <c r="AE811" s="7">
        <v>555000</v>
      </c>
      <c r="AF811" s="7">
        <v>1</v>
      </c>
      <c r="AG811" s="7">
        <v>555000</v>
      </c>
      <c r="AH811" s="7">
        <v>44400</v>
      </c>
      <c r="AI811" s="7">
        <v>510600</v>
      </c>
      <c r="AJ811" t="s">
        <v>24</v>
      </c>
    </row>
    <row r="812" spans="14:36" x14ac:dyDescent="0.3">
      <c r="N812" s="8">
        <v>2026</v>
      </c>
      <c r="O812" s="8">
        <v>6</v>
      </c>
      <c r="P812" s="9">
        <v>46182</v>
      </c>
      <c r="Q812" t="s">
        <v>238</v>
      </c>
      <c r="R812" t="s">
        <v>303</v>
      </c>
      <c r="S812" t="s">
        <v>304</v>
      </c>
      <c r="T812" t="s">
        <v>2372</v>
      </c>
      <c r="U812" t="s">
        <v>267</v>
      </c>
      <c r="V812" t="s">
        <v>246</v>
      </c>
      <c r="W812" t="s">
        <v>244</v>
      </c>
      <c r="X812" t="s">
        <v>3334</v>
      </c>
      <c r="Y812" t="s">
        <v>168</v>
      </c>
      <c r="Z812" t="s">
        <v>169</v>
      </c>
      <c r="AA812" t="s">
        <v>170</v>
      </c>
      <c r="AB812" t="s">
        <v>8</v>
      </c>
      <c r="AC812" t="s">
        <v>6</v>
      </c>
      <c r="AD812" t="s">
        <v>7</v>
      </c>
      <c r="AE812" s="7">
        <v>435000</v>
      </c>
      <c r="AF812" s="7">
        <v>1</v>
      </c>
      <c r="AG812" s="7">
        <v>435000</v>
      </c>
      <c r="AH812" s="7">
        <v>0</v>
      </c>
      <c r="AI812" s="7">
        <v>435000</v>
      </c>
      <c r="AJ812" t="s">
        <v>6</v>
      </c>
    </row>
    <row r="813" spans="14:36" x14ac:dyDescent="0.3">
      <c r="N813" s="8">
        <v>2026</v>
      </c>
      <c r="O813" s="8">
        <v>6</v>
      </c>
      <c r="P813" s="9">
        <v>46182</v>
      </c>
      <c r="Q813" t="s">
        <v>238</v>
      </c>
      <c r="R813" t="s">
        <v>303</v>
      </c>
      <c r="S813" t="s">
        <v>304</v>
      </c>
      <c r="T813" t="s">
        <v>2372</v>
      </c>
      <c r="U813" t="s">
        <v>267</v>
      </c>
      <c r="V813" t="s">
        <v>246</v>
      </c>
      <c r="W813" t="s">
        <v>244</v>
      </c>
      <c r="X813" t="s">
        <v>3334</v>
      </c>
      <c r="Y813" t="s">
        <v>183</v>
      </c>
      <c r="Z813" t="s">
        <v>189</v>
      </c>
      <c r="AA813" t="s">
        <v>190</v>
      </c>
      <c r="AB813" t="s">
        <v>92</v>
      </c>
      <c r="AC813" t="s">
        <v>90</v>
      </c>
      <c r="AD813" t="s">
        <v>91</v>
      </c>
      <c r="AE813" s="7">
        <v>52000</v>
      </c>
      <c r="AF813" s="7">
        <v>1</v>
      </c>
      <c r="AG813" s="7">
        <v>52000</v>
      </c>
      <c r="AH813" s="7">
        <v>0</v>
      </c>
      <c r="AI813" s="7">
        <v>52000</v>
      </c>
      <c r="AJ813" t="s">
        <v>90</v>
      </c>
    </row>
    <row r="814" spans="14:36" x14ac:dyDescent="0.3">
      <c r="N814" s="8">
        <v>2026</v>
      </c>
      <c r="O814" s="8">
        <v>6</v>
      </c>
      <c r="P814" s="9">
        <v>46182</v>
      </c>
      <c r="Q814" t="s">
        <v>238</v>
      </c>
      <c r="R814" t="s">
        <v>351</v>
      </c>
      <c r="S814" t="s">
        <v>352</v>
      </c>
      <c r="T814" t="s">
        <v>356</v>
      </c>
      <c r="U814" t="s">
        <v>357</v>
      </c>
      <c r="V814" t="s">
        <v>243</v>
      </c>
      <c r="W814" t="s">
        <v>244</v>
      </c>
      <c r="X814" t="s">
        <v>3335</v>
      </c>
      <c r="Y814" t="s">
        <v>168</v>
      </c>
      <c r="Z814" t="s">
        <v>179</v>
      </c>
      <c r="AA814" t="s">
        <v>180</v>
      </c>
      <c r="AB814" t="s">
        <v>149</v>
      </c>
      <c r="AC814" t="s">
        <v>147</v>
      </c>
      <c r="AD814" t="s">
        <v>148</v>
      </c>
      <c r="AE814" s="7">
        <v>150000</v>
      </c>
      <c r="AF814" s="7">
        <v>1</v>
      </c>
      <c r="AG814" s="7">
        <v>150000</v>
      </c>
      <c r="AH814" s="7">
        <v>15000</v>
      </c>
      <c r="AI814" s="7">
        <v>135000</v>
      </c>
      <c r="AJ814" t="s">
        <v>147</v>
      </c>
    </row>
    <row r="815" spans="14:36" x14ac:dyDescent="0.3">
      <c r="N815" s="8">
        <v>2026</v>
      </c>
      <c r="O815" s="8">
        <v>6</v>
      </c>
      <c r="P815" s="9">
        <v>46182</v>
      </c>
      <c r="Q815" t="s">
        <v>238</v>
      </c>
      <c r="R815" t="s">
        <v>374</v>
      </c>
      <c r="S815" t="s">
        <v>375</v>
      </c>
      <c r="T815" t="s">
        <v>376</v>
      </c>
      <c r="U815" t="s">
        <v>377</v>
      </c>
      <c r="V815" t="s">
        <v>243</v>
      </c>
      <c r="W815" t="s">
        <v>244</v>
      </c>
      <c r="X815" t="s">
        <v>3336</v>
      </c>
      <c r="Y815" t="s">
        <v>168</v>
      </c>
      <c r="Z815" t="s">
        <v>171</v>
      </c>
      <c r="AA815" t="s">
        <v>173</v>
      </c>
      <c r="AB815" t="s">
        <v>23</v>
      </c>
      <c r="AC815" t="s">
        <v>21</v>
      </c>
      <c r="AD815" t="s">
        <v>22</v>
      </c>
      <c r="AE815" s="7">
        <v>535000</v>
      </c>
      <c r="AF815" s="7">
        <v>1</v>
      </c>
      <c r="AG815" s="7">
        <v>535000</v>
      </c>
      <c r="AH815" s="7">
        <v>42800</v>
      </c>
      <c r="AI815" s="7">
        <v>492200</v>
      </c>
      <c r="AJ815" t="s">
        <v>21</v>
      </c>
    </row>
    <row r="816" spans="14:36" x14ac:dyDescent="0.3">
      <c r="N816" s="8">
        <v>2026</v>
      </c>
      <c r="O816" s="8">
        <v>6</v>
      </c>
      <c r="P816" s="9">
        <v>46182</v>
      </c>
      <c r="Q816" t="s">
        <v>238</v>
      </c>
      <c r="R816" t="s">
        <v>374</v>
      </c>
      <c r="S816" t="s">
        <v>375</v>
      </c>
      <c r="T816" t="s">
        <v>376</v>
      </c>
      <c r="U816" t="s">
        <v>377</v>
      </c>
      <c r="V816" t="s">
        <v>243</v>
      </c>
      <c r="W816" t="s">
        <v>244</v>
      </c>
      <c r="X816" t="s">
        <v>3337</v>
      </c>
      <c r="Y816" t="s">
        <v>194</v>
      </c>
      <c r="Z816" t="s">
        <v>200</v>
      </c>
      <c r="AA816" t="s">
        <v>201</v>
      </c>
      <c r="AB816" t="s">
        <v>80</v>
      </c>
      <c r="AC816" t="s">
        <v>78</v>
      </c>
      <c r="AD816" t="s">
        <v>79</v>
      </c>
      <c r="AE816" s="7">
        <v>14000</v>
      </c>
      <c r="AF816" s="7">
        <v>2</v>
      </c>
      <c r="AG816" s="7">
        <v>28000</v>
      </c>
      <c r="AH816" s="7">
        <v>0</v>
      </c>
      <c r="AI816" s="7">
        <v>28000</v>
      </c>
      <c r="AJ816" t="s">
        <v>78</v>
      </c>
    </row>
    <row r="817" spans="14:36" x14ac:dyDescent="0.3">
      <c r="N817" s="8">
        <v>2026</v>
      </c>
      <c r="O817" s="8">
        <v>6</v>
      </c>
      <c r="P817" s="9">
        <v>46182</v>
      </c>
      <c r="Q817" t="s">
        <v>238</v>
      </c>
      <c r="R817" t="s">
        <v>374</v>
      </c>
      <c r="S817" t="s">
        <v>375</v>
      </c>
      <c r="T817" t="s">
        <v>3338</v>
      </c>
      <c r="U817" t="s">
        <v>287</v>
      </c>
      <c r="V817" t="s">
        <v>246</v>
      </c>
      <c r="W817" t="s">
        <v>244</v>
      </c>
      <c r="X817" t="s">
        <v>3339</v>
      </c>
      <c r="Y817" t="s">
        <v>191</v>
      </c>
      <c r="Z817" t="s">
        <v>335</v>
      </c>
      <c r="AA817" t="s">
        <v>336</v>
      </c>
      <c r="AB817" t="s">
        <v>2925</v>
      </c>
      <c r="AC817" t="s">
        <v>2926</v>
      </c>
      <c r="AD817" t="s">
        <v>2927</v>
      </c>
      <c r="AE817" s="7">
        <v>45000</v>
      </c>
      <c r="AF817" s="7">
        <v>1</v>
      </c>
      <c r="AG817" s="7">
        <v>45000</v>
      </c>
      <c r="AH817" s="7">
        <v>0</v>
      </c>
      <c r="AI817" s="7">
        <v>45000</v>
      </c>
      <c r="AJ817" t="s">
        <v>2926</v>
      </c>
    </row>
    <row r="818" spans="14:36" x14ac:dyDescent="0.3">
      <c r="N818" s="8">
        <v>2026</v>
      </c>
      <c r="O818" s="8">
        <v>6</v>
      </c>
      <c r="P818" s="9">
        <v>46182</v>
      </c>
      <c r="Q818" t="s">
        <v>238</v>
      </c>
      <c r="R818" t="s">
        <v>374</v>
      </c>
      <c r="S818" t="s">
        <v>375</v>
      </c>
      <c r="T818" t="s">
        <v>1315</v>
      </c>
      <c r="U818" t="s">
        <v>1316</v>
      </c>
      <c r="V818" t="s">
        <v>246</v>
      </c>
      <c r="W818" t="s">
        <v>244</v>
      </c>
      <c r="X818" t="s">
        <v>3340</v>
      </c>
      <c r="Y818" t="s">
        <v>168</v>
      </c>
      <c r="Z818" t="s">
        <v>181</v>
      </c>
      <c r="AA818" t="s">
        <v>182</v>
      </c>
      <c r="AB818" t="s">
        <v>50</v>
      </c>
      <c r="AC818" t="s">
        <v>48</v>
      </c>
      <c r="AD818" t="s">
        <v>49</v>
      </c>
      <c r="AE818" s="7">
        <v>49000</v>
      </c>
      <c r="AF818" s="7">
        <v>2</v>
      </c>
      <c r="AG818" s="7">
        <v>98000</v>
      </c>
      <c r="AH818" s="7">
        <v>0</v>
      </c>
      <c r="AI818" s="7">
        <v>98000</v>
      </c>
      <c r="AJ818" t="s">
        <v>48</v>
      </c>
    </row>
    <row r="819" spans="14:36" x14ac:dyDescent="0.3">
      <c r="N819" s="8">
        <v>2026</v>
      </c>
      <c r="O819" s="8">
        <v>6</v>
      </c>
      <c r="P819" s="9">
        <v>46182</v>
      </c>
      <c r="Q819" t="s">
        <v>238</v>
      </c>
      <c r="R819" t="s">
        <v>374</v>
      </c>
      <c r="S819" t="s">
        <v>375</v>
      </c>
      <c r="T819" t="s">
        <v>2378</v>
      </c>
      <c r="U819" t="s">
        <v>384</v>
      </c>
      <c r="V819" t="s">
        <v>246</v>
      </c>
      <c r="W819" t="s">
        <v>244</v>
      </c>
      <c r="X819" t="s">
        <v>3341</v>
      </c>
      <c r="Y819" t="s">
        <v>168</v>
      </c>
      <c r="Z819" t="s">
        <v>171</v>
      </c>
      <c r="AA819" t="s">
        <v>172</v>
      </c>
      <c r="AB819" t="s">
        <v>14</v>
      </c>
      <c r="AC819" t="s">
        <v>12</v>
      </c>
      <c r="AD819" t="s">
        <v>13</v>
      </c>
      <c r="AE819" s="7">
        <v>135000</v>
      </c>
      <c r="AF819" s="7">
        <v>1</v>
      </c>
      <c r="AG819" s="7">
        <v>135000</v>
      </c>
      <c r="AH819" s="7">
        <v>26000</v>
      </c>
      <c r="AI819" s="7">
        <v>109000</v>
      </c>
      <c r="AJ819" t="s">
        <v>12</v>
      </c>
    </row>
    <row r="820" spans="14:36" x14ac:dyDescent="0.3">
      <c r="N820" s="8">
        <v>2026</v>
      </c>
      <c r="O820" s="8">
        <v>6</v>
      </c>
      <c r="P820" s="9">
        <v>46182</v>
      </c>
      <c r="Q820" t="s">
        <v>238</v>
      </c>
      <c r="R820" t="s">
        <v>396</v>
      </c>
      <c r="S820" t="s">
        <v>397</v>
      </c>
      <c r="T820" t="s">
        <v>818</v>
      </c>
      <c r="U820" t="s">
        <v>819</v>
      </c>
      <c r="V820" t="s">
        <v>246</v>
      </c>
      <c r="W820" t="s">
        <v>244</v>
      </c>
      <c r="X820" t="s">
        <v>3342</v>
      </c>
      <c r="Y820" t="s">
        <v>191</v>
      </c>
      <c r="Z820" t="s">
        <v>335</v>
      </c>
      <c r="AA820" t="s">
        <v>336</v>
      </c>
      <c r="AB820" t="s">
        <v>1146</v>
      </c>
      <c r="AC820" t="s">
        <v>1147</v>
      </c>
      <c r="AD820" t="s">
        <v>1148</v>
      </c>
      <c r="AE820" s="7">
        <v>99000</v>
      </c>
      <c r="AF820" s="7">
        <v>1</v>
      </c>
      <c r="AG820" s="7">
        <v>99000</v>
      </c>
      <c r="AH820" s="7">
        <v>0</v>
      </c>
      <c r="AI820" s="7">
        <v>99000</v>
      </c>
      <c r="AJ820" t="s">
        <v>1147</v>
      </c>
    </row>
    <row r="821" spans="14:36" x14ac:dyDescent="0.3">
      <c r="N821" s="8">
        <v>2026</v>
      </c>
      <c r="O821" s="8">
        <v>6</v>
      </c>
      <c r="P821" s="9">
        <v>46182</v>
      </c>
      <c r="Q821" t="s">
        <v>238</v>
      </c>
      <c r="R821" t="s">
        <v>396</v>
      </c>
      <c r="S821" t="s">
        <v>397</v>
      </c>
      <c r="T821" t="s">
        <v>3343</v>
      </c>
      <c r="U821" t="s">
        <v>3960</v>
      </c>
      <c r="V821" t="s">
        <v>246</v>
      </c>
      <c r="W821" t="s">
        <v>244</v>
      </c>
      <c r="X821" t="s">
        <v>3344</v>
      </c>
      <c r="Y821" t="s">
        <v>191</v>
      </c>
      <c r="Z821" t="s">
        <v>192</v>
      </c>
      <c r="AA821" t="s">
        <v>193</v>
      </c>
      <c r="AB821" t="s">
        <v>107</v>
      </c>
      <c r="AC821" t="s">
        <v>105</v>
      </c>
      <c r="AD821" t="s">
        <v>106</v>
      </c>
      <c r="AE821" s="7">
        <v>235000</v>
      </c>
      <c r="AF821" s="7">
        <v>1</v>
      </c>
      <c r="AG821" s="7">
        <v>235000</v>
      </c>
      <c r="AH821" s="7">
        <v>0</v>
      </c>
      <c r="AI821" s="7">
        <v>235000</v>
      </c>
      <c r="AJ821" t="s">
        <v>105</v>
      </c>
    </row>
    <row r="822" spans="14:36" x14ac:dyDescent="0.3">
      <c r="N822" s="8">
        <v>2026</v>
      </c>
      <c r="O822" s="8">
        <v>6</v>
      </c>
      <c r="P822" s="9">
        <v>46182</v>
      </c>
      <c r="Q822" t="s">
        <v>238</v>
      </c>
      <c r="R822" t="s">
        <v>396</v>
      </c>
      <c r="S822" t="s">
        <v>397</v>
      </c>
      <c r="T822" t="s">
        <v>3345</v>
      </c>
      <c r="U822" t="s">
        <v>311</v>
      </c>
      <c r="V822" t="s">
        <v>246</v>
      </c>
      <c r="W822" t="s">
        <v>244</v>
      </c>
      <c r="X822" t="s">
        <v>3346</v>
      </c>
      <c r="Y822" t="s">
        <v>183</v>
      </c>
      <c r="Z822" t="s">
        <v>189</v>
      </c>
      <c r="AA822" t="s">
        <v>190</v>
      </c>
      <c r="AB822" t="s">
        <v>92</v>
      </c>
      <c r="AC822" t="s">
        <v>90</v>
      </c>
      <c r="AD822" t="s">
        <v>91</v>
      </c>
      <c r="AE822" s="7">
        <v>52000</v>
      </c>
      <c r="AF822" s="7">
        <v>2</v>
      </c>
      <c r="AG822" s="7">
        <v>104000</v>
      </c>
      <c r="AH822" s="7">
        <v>0</v>
      </c>
      <c r="AI822" s="7">
        <v>104000</v>
      </c>
      <c r="AJ822" t="s">
        <v>90</v>
      </c>
    </row>
    <row r="823" spans="14:36" x14ac:dyDescent="0.3">
      <c r="N823" s="8">
        <v>2026</v>
      </c>
      <c r="O823" s="8">
        <v>6</v>
      </c>
      <c r="P823" s="9">
        <v>46182</v>
      </c>
      <c r="Q823" t="s">
        <v>238</v>
      </c>
      <c r="R823" t="s">
        <v>415</v>
      </c>
      <c r="S823" t="s">
        <v>416</v>
      </c>
      <c r="T823" t="s">
        <v>417</v>
      </c>
      <c r="U823" t="s">
        <v>418</v>
      </c>
      <c r="V823" t="s">
        <v>243</v>
      </c>
      <c r="W823" t="s">
        <v>244</v>
      </c>
      <c r="X823" t="s">
        <v>3347</v>
      </c>
      <c r="Y823" t="s">
        <v>191</v>
      </c>
      <c r="Z823" t="s">
        <v>335</v>
      </c>
      <c r="AA823" t="s">
        <v>337</v>
      </c>
      <c r="AB823" t="s">
        <v>541</v>
      </c>
      <c r="AC823" t="s">
        <v>542</v>
      </c>
      <c r="AD823" t="s">
        <v>543</v>
      </c>
      <c r="AE823" s="7">
        <v>69000</v>
      </c>
      <c r="AF823" s="7">
        <v>1</v>
      </c>
      <c r="AG823" s="7">
        <v>69000</v>
      </c>
      <c r="AH823" s="7">
        <v>0</v>
      </c>
      <c r="AI823" s="7">
        <v>69000</v>
      </c>
      <c r="AJ823" t="s">
        <v>542</v>
      </c>
    </row>
    <row r="824" spans="14:36" x14ac:dyDescent="0.3">
      <c r="N824" s="8">
        <v>2026</v>
      </c>
      <c r="O824" s="8">
        <v>6</v>
      </c>
      <c r="P824" s="9">
        <v>46182</v>
      </c>
      <c r="Q824" t="s">
        <v>238</v>
      </c>
      <c r="R824" t="s">
        <v>415</v>
      </c>
      <c r="S824" t="s">
        <v>416</v>
      </c>
      <c r="T824" t="s">
        <v>417</v>
      </c>
      <c r="U824" t="s">
        <v>418</v>
      </c>
      <c r="V824" t="s">
        <v>243</v>
      </c>
      <c r="W824" t="s">
        <v>244</v>
      </c>
      <c r="X824" t="s">
        <v>3347</v>
      </c>
      <c r="Y824" t="s">
        <v>191</v>
      </c>
      <c r="Z824" t="s">
        <v>335</v>
      </c>
      <c r="AA824" t="s">
        <v>337</v>
      </c>
      <c r="AB824" t="s">
        <v>348</v>
      </c>
      <c r="AC824" t="s">
        <v>349</v>
      </c>
      <c r="AD824" t="s">
        <v>350</v>
      </c>
      <c r="AE824" s="7">
        <v>76000</v>
      </c>
      <c r="AF824" s="7">
        <v>1</v>
      </c>
      <c r="AG824" s="7">
        <v>76000</v>
      </c>
      <c r="AH824" s="7">
        <v>0</v>
      </c>
      <c r="AI824" s="7">
        <v>76000</v>
      </c>
      <c r="AJ824" t="s">
        <v>349</v>
      </c>
    </row>
    <row r="825" spans="14:36" x14ac:dyDescent="0.3">
      <c r="N825" s="8">
        <v>2026</v>
      </c>
      <c r="O825" s="8">
        <v>6</v>
      </c>
      <c r="P825" s="9">
        <v>46182</v>
      </c>
      <c r="Q825" t="s">
        <v>238</v>
      </c>
      <c r="R825" t="s">
        <v>415</v>
      </c>
      <c r="S825" t="s">
        <v>416</v>
      </c>
      <c r="T825" t="s">
        <v>3348</v>
      </c>
      <c r="U825" t="s">
        <v>3916</v>
      </c>
      <c r="V825" t="s">
        <v>246</v>
      </c>
      <c r="W825" t="s">
        <v>244</v>
      </c>
      <c r="X825" t="s">
        <v>3349</v>
      </c>
      <c r="Y825" t="s">
        <v>191</v>
      </c>
      <c r="Z825" t="s">
        <v>335</v>
      </c>
      <c r="AA825" t="s">
        <v>337</v>
      </c>
      <c r="AB825" t="s">
        <v>541</v>
      </c>
      <c r="AC825" t="s">
        <v>542</v>
      </c>
      <c r="AD825" t="s">
        <v>543</v>
      </c>
      <c r="AE825" s="7">
        <v>69000</v>
      </c>
      <c r="AF825" s="7">
        <v>1</v>
      </c>
      <c r="AG825" s="7">
        <v>69000</v>
      </c>
      <c r="AH825" s="7">
        <v>0</v>
      </c>
      <c r="AI825" s="7">
        <v>69000</v>
      </c>
      <c r="AJ825" t="s">
        <v>542</v>
      </c>
    </row>
    <row r="826" spans="14:36" x14ac:dyDescent="0.3">
      <c r="N826" s="8">
        <v>2026</v>
      </c>
      <c r="O826" s="8">
        <v>6</v>
      </c>
      <c r="P826" s="9">
        <v>46182</v>
      </c>
      <c r="Q826" t="s">
        <v>238</v>
      </c>
      <c r="R826" t="s">
        <v>415</v>
      </c>
      <c r="S826" t="s">
        <v>416</v>
      </c>
      <c r="T826" t="s">
        <v>1003</v>
      </c>
      <c r="U826" t="s">
        <v>3867</v>
      </c>
      <c r="V826" t="s">
        <v>246</v>
      </c>
      <c r="W826" t="s">
        <v>244</v>
      </c>
      <c r="X826" t="s">
        <v>3350</v>
      </c>
      <c r="Y826" t="s">
        <v>191</v>
      </c>
      <c r="Z826" t="s">
        <v>335</v>
      </c>
      <c r="AA826" t="s">
        <v>337</v>
      </c>
      <c r="AB826" t="s">
        <v>348</v>
      </c>
      <c r="AC826" t="s">
        <v>349</v>
      </c>
      <c r="AD826" t="s">
        <v>350</v>
      </c>
      <c r="AE826" s="7">
        <v>76000</v>
      </c>
      <c r="AF826" s="7">
        <v>1</v>
      </c>
      <c r="AG826" s="7">
        <v>76000</v>
      </c>
      <c r="AH826" s="7">
        <v>0</v>
      </c>
      <c r="AI826" s="7">
        <v>76000</v>
      </c>
      <c r="AJ826" t="s">
        <v>349</v>
      </c>
    </row>
    <row r="827" spans="14:36" x14ac:dyDescent="0.3">
      <c r="N827" s="8">
        <v>2026</v>
      </c>
      <c r="O827" s="8">
        <v>6</v>
      </c>
      <c r="P827" s="9">
        <v>46182</v>
      </c>
      <c r="Q827" t="s">
        <v>238</v>
      </c>
      <c r="R827" t="s">
        <v>425</v>
      </c>
      <c r="S827" t="s">
        <v>426</v>
      </c>
      <c r="T827" t="s">
        <v>1005</v>
      </c>
      <c r="U827" t="s">
        <v>1006</v>
      </c>
      <c r="V827" t="s">
        <v>246</v>
      </c>
      <c r="W827" t="s">
        <v>244</v>
      </c>
      <c r="X827" t="s">
        <v>3351</v>
      </c>
      <c r="Y827" t="s">
        <v>194</v>
      </c>
      <c r="Z827" t="s">
        <v>200</v>
      </c>
      <c r="AA827" t="s">
        <v>201</v>
      </c>
      <c r="AB827" t="s">
        <v>77</v>
      </c>
      <c r="AC827" t="s">
        <v>75</v>
      </c>
      <c r="AD827" t="s">
        <v>76</v>
      </c>
      <c r="AE827" s="7">
        <v>52000</v>
      </c>
      <c r="AF827" s="7">
        <v>1</v>
      </c>
      <c r="AG827" s="7">
        <v>52000</v>
      </c>
      <c r="AH827" s="7">
        <v>0</v>
      </c>
      <c r="AI827" s="7">
        <v>52000</v>
      </c>
      <c r="AJ827" t="s">
        <v>75</v>
      </c>
    </row>
    <row r="828" spans="14:36" x14ac:dyDescent="0.3">
      <c r="N828" s="8">
        <v>2026</v>
      </c>
      <c r="O828" s="8">
        <v>6</v>
      </c>
      <c r="P828" s="9">
        <v>46181</v>
      </c>
      <c r="Q828" t="s">
        <v>238</v>
      </c>
      <c r="R828" t="s">
        <v>279</v>
      </c>
      <c r="S828" t="s">
        <v>280</v>
      </c>
      <c r="T828" t="s">
        <v>281</v>
      </c>
      <c r="U828" t="s">
        <v>282</v>
      </c>
      <c r="V828" t="s">
        <v>243</v>
      </c>
      <c r="W828" t="s">
        <v>244</v>
      </c>
      <c r="X828" t="s">
        <v>3352</v>
      </c>
      <c r="Y828" t="s">
        <v>168</v>
      </c>
      <c r="Z828" t="s">
        <v>179</v>
      </c>
      <c r="AA828" t="s">
        <v>180</v>
      </c>
      <c r="AB828" t="s">
        <v>149</v>
      </c>
      <c r="AC828" t="s">
        <v>147</v>
      </c>
      <c r="AD828" t="s">
        <v>148</v>
      </c>
      <c r="AE828" s="7">
        <v>150000</v>
      </c>
      <c r="AF828" s="7">
        <v>1</v>
      </c>
      <c r="AG828" s="7">
        <v>150000</v>
      </c>
      <c r="AH828" s="7">
        <v>15000</v>
      </c>
      <c r="AI828" s="7">
        <v>135000</v>
      </c>
      <c r="AJ828" t="s">
        <v>147</v>
      </c>
    </row>
    <row r="829" spans="14:36" x14ac:dyDescent="0.3">
      <c r="N829" s="8">
        <v>2026</v>
      </c>
      <c r="O829" s="8">
        <v>6</v>
      </c>
      <c r="P829" s="9">
        <v>46181</v>
      </c>
      <c r="Q829" t="s">
        <v>238</v>
      </c>
      <c r="R829" t="s">
        <v>279</v>
      </c>
      <c r="S829" t="s">
        <v>280</v>
      </c>
      <c r="T829" t="s">
        <v>1127</v>
      </c>
      <c r="U829" t="s">
        <v>355</v>
      </c>
      <c r="V829" t="s">
        <v>246</v>
      </c>
      <c r="W829" t="s">
        <v>244</v>
      </c>
      <c r="X829" t="s">
        <v>3353</v>
      </c>
      <c r="Y829" t="s">
        <v>191</v>
      </c>
      <c r="Z829" t="s">
        <v>335</v>
      </c>
      <c r="AA829" t="s">
        <v>337</v>
      </c>
      <c r="AB829" t="s">
        <v>656</v>
      </c>
      <c r="AC829" t="s">
        <v>657</v>
      </c>
      <c r="AD829" t="s">
        <v>658</v>
      </c>
      <c r="AE829" s="7">
        <v>35000</v>
      </c>
      <c r="AF829" s="7">
        <v>1</v>
      </c>
      <c r="AG829" s="7">
        <v>35000</v>
      </c>
      <c r="AH829" s="7">
        <v>0</v>
      </c>
      <c r="AI829" s="7">
        <v>35000</v>
      </c>
      <c r="AJ829" t="s">
        <v>657</v>
      </c>
    </row>
    <row r="830" spans="14:36" x14ac:dyDescent="0.3">
      <c r="N830" s="8">
        <v>2026</v>
      </c>
      <c r="O830" s="8">
        <v>6</v>
      </c>
      <c r="P830" s="9">
        <v>46181</v>
      </c>
      <c r="Q830" t="s">
        <v>238</v>
      </c>
      <c r="R830" t="s">
        <v>279</v>
      </c>
      <c r="S830" t="s">
        <v>280</v>
      </c>
      <c r="T830" t="s">
        <v>1351</v>
      </c>
      <c r="U830" t="s">
        <v>3889</v>
      </c>
      <c r="V830" t="s">
        <v>246</v>
      </c>
      <c r="W830" t="s">
        <v>244</v>
      </c>
      <c r="X830" t="s">
        <v>3354</v>
      </c>
      <c r="Y830" t="s">
        <v>191</v>
      </c>
      <c r="Z830" t="s">
        <v>335</v>
      </c>
      <c r="AA830" t="s">
        <v>336</v>
      </c>
      <c r="AB830" t="s">
        <v>1146</v>
      </c>
      <c r="AC830" t="s">
        <v>1147</v>
      </c>
      <c r="AD830" t="s">
        <v>1148</v>
      </c>
      <c r="AE830" s="7">
        <v>99000</v>
      </c>
      <c r="AF830" s="7">
        <v>1</v>
      </c>
      <c r="AG830" s="7">
        <v>99000</v>
      </c>
      <c r="AH830" s="7">
        <v>0</v>
      </c>
      <c r="AI830" s="7">
        <v>99000</v>
      </c>
      <c r="AJ830" t="s">
        <v>1147</v>
      </c>
    </row>
    <row r="831" spans="14:36" x14ac:dyDescent="0.3">
      <c r="N831" s="8">
        <v>2026</v>
      </c>
      <c r="O831" s="8">
        <v>6</v>
      </c>
      <c r="P831" s="9">
        <v>46181</v>
      </c>
      <c r="Q831" t="s">
        <v>238</v>
      </c>
      <c r="R831" t="s">
        <v>279</v>
      </c>
      <c r="S831" t="s">
        <v>280</v>
      </c>
      <c r="T831" t="s">
        <v>1351</v>
      </c>
      <c r="U831" t="s">
        <v>3889</v>
      </c>
      <c r="V831" t="s">
        <v>246</v>
      </c>
      <c r="W831" t="s">
        <v>244</v>
      </c>
      <c r="X831" t="s">
        <v>3354</v>
      </c>
      <c r="Y831" t="s">
        <v>191</v>
      </c>
      <c r="Z831" t="s">
        <v>335</v>
      </c>
      <c r="AA831" t="s">
        <v>337</v>
      </c>
      <c r="AB831" t="s">
        <v>656</v>
      </c>
      <c r="AC831" t="s">
        <v>657</v>
      </c>
      <c r="AD831" t="s">
        <v>658</v>
      </c>
      <c r="AE831" s="7">
        <v>35000</v>
      </c>
      <c r="AF831" s="7">
        <v>1</v>
      </c>
      <c r="AG831" s="7">
        <v>35000</v>
      </c>
      <c r="AH831" s="7">
        <v>0</v>
      </c>
      <c r="AI831" s="7">
        <v>35000</v>
      </c>
      <c r="AJ831" t="s">
        <v>657</v>
      </c>
    </row>
    <row r="832" spans="14:36" x14ac:dyDescent="0.3">
      <c r="N832" s="8">
        <v>2026</v>
      </c>
      <c r="O832" s="8">
        <v>6</v>
      </c>
      <c r="P832" s="9">
        <v>46181</v>
      </c>
      <c r="Q832" t="s">
        <v>238</v>
      </c>
      <c r="R832" t="s">
        <v>303</v>
      </c>
      <c r="S832" t="s">
        <v>304</v>
      </c>
      <c r="T832" t="s">
        <v>3355</v>
      </c>
      <c r="U832" t="s">
        <v>539</v>
      </c>
      <c r="V832" t="s">
        <v>249</v>
      </c>
      <c r="W832" t="s">
        <v>244</v>
      </c>
      <c r="X832" t="s">
        <v>3356</v>
      </c>
      <c r="Y832" t="s">
        <v>191</v>
      </c>
      <c r="Z832" t="s">
        <v>192</v>
      </c>
      <c r="AA832" t="s">
        <v>193</v>
      </c>
      <c r="AB832" t="s">
        <v>119</v>
      </c>
      <c r="AC832" t="s">
        <v>117</v>
      </c>
      <c r="AD832" t="s">
        <v>118</v>
      </c>
      <c r="AE832" s="7">
        <v>235000</v>
      </c>
      <c r="AF832" s="7">
        <v>1</v>
      </c>
      <c r="AG832" s="7">
        <v>235000</v>
      </c>
      <c r="AH832" s="7">
        <v>0</v>
      </c>
      <c r="AI832" s="7">
        <v>235000</v>
      </c>
      <c r="AJ832" t="s">
        <v>117</v>
      </c>
    </row>
    <row r="833" spans="14:36" x14ac:dyDescent="0.3">
      <c r="N833" s="8">
        <v>2026</v>
      </c>
      <c r="O833" s="8">
        <v>6</v>
      </c>
      <c r="P833" s="9">
        <v>46181</v>
      </c>
      <c r="Q833" t="s">
        <v>238</v>
      </c>
      <c r="R833" t="s">
        <v>303</v>
      </c>
      <c r="S833" t="s">
        <v>304</v>
      </c>
      <c r="T833" t="s">
        <v>2465</v>
      </c>
      <c r="U833" t="s">
        <v>3947</v>
      </c>
      <c r="V833" t="s">
        <v>246</v>
      </c>
      <c r="W833" t="s">
        <v>244</v>
      </c>
      <c r="X833" t="s">
        <v>3357</v>
      </c>
      <c r="Y833" t="s">
        <v>191</v>
      </c>
      <c r="Z833" t="s">
        <v>335</v>
      </c>
      <c r="AA833" t="s">
        <v>336</v>
      </c>
      <c r="AB833" t="s">
        <v>1146</v>
      </c>
      <c r="AC833" t="s">
        <v>1147</v>
      </c>
      <c r="AD833" t="s">
        <v>1148</v>
      </c>
      <c r="AE833" s="7">
        <v>99000</v>
      </c>
      <c r="AF833" s="7">
        <v>1</v>
      </c>
      <c r="AG833" s="7">
        <v>99000</v>
      </c>
      <c r="AH833" s="7">
        <v>0</v>
      </c>
      <c r="AI833" s="7">
        <v>99000</v>
      </c>
      <c r="AJ833" t="s">
        <v>1147</v>
      </c>
    </row>
    <row r="834" spans="14:36" x14ac:dyDescent="0.3">
      <c r="N834" s="8">
        <v>2026</v>
      </c>
      <c r="O834" s="8">
        <v>6</v>
      </c>
      <c r="P834" s="9">
        <v>46181</v>
      </c>
      <c r="Q834" t="s">
        <v>238</v>
      </c>
      <c r="R834" t="s">
        <v>303</v>
      </c>
      <c r="S834" t="s">
        <v>304</v>
      </c>
      <c r="T834" t="s">
        <v>3358</v>
      </c>
      <c r="U834" t="s">
        <v>3961</v>
      </c>
      <c r="V834" t="s">
        <v>246</v>
      </c>
      <c r="W834" t="s">
        <v>244</v>
      </c>
      <c r="X834" t="s">
        <v>3359</v>
      </c>
      <c r="Y834" t="s">
        <v>168</v>
      </c>
      <c r="Z834" t="s">
        <v>171</v>
      </c>
      <c r="AA834" t="s">
        <v>175</v>
      </c>
      <c r="AB834" t="s">
        <v>140</v>
      </c>
      <c r="AC834" t="s">
        <v>138</v>
      </c>
      <c r="AD834" t="s">
        <v>139</v>
      </c>
      <c r="AE834" s="7">
        <v>125000</v>
      </c>
      <c r="AF834" s="7">
        <v>1</v>
      </c>
      <c r="AG834" s="7">
        <v>125000</v>
      </c>
      <c r="AH834" s="7">
        <v>12500</v>
      </c>
      <c r="AI834" s="7">
        <v>112500</v>
      </c>
      <c r="AJ834" t="s">
        <v>138</v>
      </c>
    </row>
    <row r="835" spans="14:36" x14ac:dyDescent="0.3">
      <c r="N835" s="8">
        <v>2026</v>
      </c>
      <c r="O835" s="8">
        <v>6</v>
      </c>
      <c r="P835" s="9">
        <v>46181</v>
      </c>
      <c r="Q835" t="s">
        <v>238</v>
      </c>
      <c r="R835" t="s">
        <v>374</v>
      </c>
      <c r="S835" t="s">
        <v>375</v>
      </c>
      <c r="T835" t="s">
        <v>376</v>
      </c>
      <c r="U835" t="s">
        <v>377</v>
      </c>
      <c r="V835" t="s">
        <v>243</v>
      </c>
      <c r="W835" t="s">
        <v>244</v>
      </c>
      <c r="X835" t="s">
        <v>3361</v>
      </c>
      <c r="Y835" t="s">
        <v>183</v>
      </c>
      <c r="Z835" t="s">
        <v>184</v>
      </c>
      <c r="AA835" t="s">
        <v>185</v>
      </c>
      <c r="AB835" t="s">
        <v>47</v>
      </c>
      <c r="AC835" t="s">
        <v>45</v>
      </c>
      <c r="AD835" t="s">
        <v>46</v>
      </c>
      <c r="AE835" s="7">
        <v>52000</v>
      </c>
      <c r="AF835" s="7">
        <v>2</v>
      </c>
      <c r="AG835" s="7">
        <v>104000</v>
      </c>
      <c r="AH835" s="7">
        <v>0</v>
      </c>
      <c r="AI835" s="7">
        <v>104000</v>
      </c>
      <c r="AJ835" t="s">
        <v>45</v>
      </c>
    </row>
    <row r="836" spans="14:36" x14ac:dyDescent="0.3">
      <c r="N836" s="8">
        <v>2026</v>
      </c>
      <c r="O836" s="8">
        <v>6</v>
      </c>
      <c r="P836" s="9">
        <v>46181</v>
      </c>
      <c r="Q836" t="s">
        <v>238</v>
      </c>
      <c r="R836" t="s">
        <v>374</v>
      </c>
      <c r="S836" t="s">
        <v>375</v>
      </c>
      <c r="T836" t="s">
        <v>376</v>
      </c>
      <c r="U836" t="s">
        <v>377</v>
      </c>
      <c r="V836" t="s">
        <v>243</v>
      </c>
      <c r="W836" t="s">
        <v>244</v>
      </c>
      <c r="X836" t="s">
        <v>3362</v>
      </c>
      <c r="Y836" t="s">
        <v>194</v>
      </c>
      <c r="Z836" t="s">
        <v>200</v>
      </c>
      <c r="AA836" t="s">
        <v>201</v>
      </c>
      <c r="AB836" t="s">
        <v>86</v>
      </c>
      <c r="AC836" t="s">
        <v>84</v>
      </c>
      <c r="AD836" t="s">
        <v>85</v>
      </c>
      <c r="AE836" s="7">
        <v>49000</v>
      </c>
      <c r="AF836" s="7">
        <v>1</v>
      </c>
      <c r="AG836" s="7">
        <v>49000</v>
      </c>
      <c r="AH836" s="7">
        <v>0</v>
      </c>
      <c r="AI836" s="7">
        <v>49000</v>
      </c>
      <c r="AJ836" t="s">
        <v>84</v>
      </c>
    </row>
    <row r="837" spans="14:36" x14ac:dyDescent="0.3">
      <c r="N837" s="8">
        <v>2026</v>
      </c>
      <c r="O837" s="8">
        <v>6</v>
      </c>
      <c r="P837" s="9">
        <v>46181</v>
      </c>
      <c r="Q837" t="s">
        <v>238</v>
      </c>
      <c r="R837" t="s">
        <v>374</v>
      </c>
      <c r="S837" t="s">
        <v>375</v>
      </c>
      <c r="T837" t="s">
        <v>807</v>
      </c>
      <c r="U837" t="s">
        <v>3962</v>
      </c>
      <c r="V837" t="s">
        <v>246</v>
      </c>
      <c r="W837" t="s">
        <v>244</v>
      </c>
      <c r="X837" t="s">
        <v>3363</v>
      </c>
      <c r="Y837" t="s">
        <v>168</v>
      </c>
      <c r="Z837" t="s">
        <v>171</v>
      </c>
      <c r="AA837" t="s">
        <v>175</v>
      </c>
      <c r="AB837" t="s">
        <v>44</v>
      </c>
      <c r="AC837" t="s">
        <v>42</v>
      </c>
      <c r="AD837" t="s">
        <v>43</v>
      </c>
      <c r="AE837" s="7">
        <v>294000</v>
      </c>
      <c r="AF837" s="7">
        <v>1</v>
      </c>
      <c r="AG837" s="7">
        <v>294000</v>
      </c>
      <c r="AH837" s="7">
        <v>117600</v>
      </c>
      <c r="AI837" s="7">
        <v>176400</v>
      </c>
      <c r="AJ837" t="s">
        <v>42</v>
      </c>
    </row>
    <row r="838" spans="14:36" x14ac:dyDescent="0.3">
      <c r="N838" s="8">
        <v>2026</v>
      </c>
      <c r="O838" s="8">
        <v>6</v>
      </c>
      <c r="P838" s="9">
        <v>46181</v>
      </c>
      <c r="Q838" t="s">
        <v>238</v>
      </c>
      <c r="R838" t="s">
        <v>374</v>
      </c>
      <c r="S838" t="s">
        <v>375</v>
      </c>
      <c r="T838" t="s">
        <v>807</v>
      </c>
      <c r="U838" t="s">
        <v>3962</v>
      </c>
      <c r="V838" t="s">
        <v>246</v>
      </c>
      <c r="W838" t="s">
        <v>244</v>
      </c>
      <c r="X838" t="s">
        <v>3363</v>
      </c>
      <c r="Y838" t="s">
        <v>183</v>
      </c>
      <c r="Z838" t="s">
        <v>189</v>
      </c>
      <c r="AA838" t="s">
        <v>190</v>
      </c>
      <c r="AB838" t="s">
        <v>92</v>
      </c>
      <c r="AC838" t="s">
        <v>90</v>
      </c>
      <c r="AD838" t="s">
        <v>91</v>
      </c>
      <c r="AE838" s="7">
        <v>52000</v>
      </c>
      <c r="AF838" s="7">
        <v>1</v>
      </c>
      <c r="AG838" s="7">
        <v>52000</v>
      </c>
      <c r="AH838" s="7">
        <v>0</v>
      </c>
      <c r="AI838" s="7">
        <v>52000</v>
      </c>
      <c r="AJ838" t="s">
        <v>90</v>
      </c>
    </row>
    <row r="839" spans="14:36" x14ac:dyDescent="0.3">
      <c r="N839" s="8">
        <v>2026</v>
      </c>
      <c r="O839" s="8">
        <v>6</v>
      </c>
      <c r="P839" s="9">
        <v>46181</v>
      </c>
      <c r="Q839" t="s">
        <v>238</v>
      </c>
      <c r="R839" t="s">
        <v>415</v>
      </c>
      <c r="S839" t="s">
        <v>416</v>
      </c>
      <c r="T839" t="s">
        <v>1922</v>
      </c>
      <c r="U839" t="s">
        <v>1923</v>
      </c>
      <c r="V839" t="s">
        <v>246</v>
      </c>
      <c r="W839" t="s">
        <v>244</v>
      </c>
      <c r="X839" t="s">
        <v>3364</v>
      </c>
      <c r="Y839" t="s">
        <v>168</v>
      </c>
      <c r="Z839" t="s">
        <v>171</v>
      </c>
      <c r="AA839" t="s">
        <v>172</v>
      </c>
      <c r="AB839" t="s">
        <v>11</v>
      </c>
      <c r="AC839" t="s">
        <v>9</v>
      </c>
      <c r="AD839" t="s">
        <v>10</v>
      </c>
      <c r="AE839" s="7">
        <v>129000</v>
      </c>
      <c r="AF839" s="7">
        <v>1</v>
      </c>
      <c r="AG839" s="7">
        <v>129000</v>
      </c>
      <c r="AH839" s="7">
        <v>20000</v>
      </c>
      <c r="AI839" s="7">
        <v>109000</v>
      </c>
      <c r="AJ839" t="s">
        <v>9</v>
      </c>
    </row>
    <row r="840" spans="14:36" x14ac:dyDescent="0.3">
      <c r="N840" s="8">
        <v>2026</v>
      </c>
      <c r="O840" s="8">
        <v>6</v>
      </c>
      <c r="P840" s="9">
        <v>46181</v>
      </c>
      <c r="Q840" t="s">
        <v>238</v>
      </c>
      <c r="R840" t="s">
        <v>415</v>
      </c>
      <c r="S840" t="s">
        <v>416</v>
      </c>
      <c r="T840" t="s">
        <v>1149</v>
      </c>
      <c r="U840" t="s">
        <v>3893</v>
      </c>
      <c r="V840" t="s">
        <v>246</v>
      </c>
      <c r="W840" t="s">
        <v>244</v>
      </c>
      <c r="X840" t="s">
        <v>3365</v>
      </c>
      <c r="Y840" t="s">
        <v>191</v>
      </c>
      <c r="Z840" t="s">
        <v>335</v>
      </c>
      <c r="AA840" t="s">
        <v>337</v>
      </c>
      <c r="AB840" t="s">
        <v>348</v>
      </c>
      <c r="AC840" t="s">
        <v>349</v>
      </c>
      <c r="AD840" t="s">
        <v>350</v>
      </c>
      <c r="AE840" s="7">
        <v>76000</v>
      </c>
      <c r="AF840" s="7">
        <v>2</v>
      </c>
      <c r="AG840" s="7">
        <v>152000</v>
      </c>
      <c r="AH840" s="7">
        <v>0</v>
      </c>
      <c r="AI840" s="7">
        <v>152000</v>
      </c>
      <c r="AJ840" t="s">
        <v>349</v>
      </c>
    </row>
    <row r="841" spans="14:36" x14ac:dyDescent="0.3">
      <c r="N841" s="8">
        <v>2026</v>
      </c>
      <c r="O841" s="8">
        <v>6</v>
      </c>
      <c r="P841" s="9">
        <v>46180</v>
      </c>
      <c r="Q841" t="s">
        <v>238</v>
      </c>
      <c r="R841" t="s">
        <v>239</v>
      </c>
      <c r="S841" t="s">
        <v>240</v>
      </c>
      <c r="T841" t="s">
        <v>2366</v>
      </c>
      <c r="U841" t="s">
        <v>3963</v>
      </c>
      <c r="V841" t="s">
        <v>246</v>
      </c>
      <c r="W841" t="s">
        <v>244</v>
      </c>
      <c r="X841" t="s">
        <v>3366</v>
      </c>
      <c r="Y841" t="s">
        <v>168</v>
      </c>
      <c r="Z841" t="s">
        <v>171</v>
      </c>
      <c r="AA841" t="s">
        <v>175</v>
      </c>
      <c r="AB841" t="s">
        <v>140</v>
      </c>
      <c r="AC841" t="s">
        <v>138</v>
      </c>
      <c r="AD841" t="s">
        <v>139</v>
      </c>
      <c r="AE841" s="7">
        <v>125000</v>
      </c>
      <c r="AF841" s="7">
        <v>1</v>
      </c>
      <c r="AG841" s="7">
        <v>125000</v>
      </c>
      <c r="AH841" s="7">
        <v>12500</v>
      </c>
      <c r="AI841" s="7">
        <v>112500</v>
      </c>
      <c r="AJ841" t="s">
        <v>138</v>
      </c>
    </row>
    <row r="842" spans="14:36" x14ac:dyDescent="0.3">
      <c r="N842" s="8">
        <v>2026</v>
      </c>
      <c r="O842" s="8">
        <v>6</v>
      </c>
      <c r="P842" s="9">
        <v>46180</v>
      </c>
      <c r="Q842" t="s">
        <v>238</v>
      </c>
      <c r="R842" t="s">
        <v>279</v>
      </c>
      <c r="S842" t="s">
        <v>280</v>
      </c>
      <c r="T842" t="s">
        <v>281</v>
      </c>
      <c r="U842" t="s">
        <v>282</v>
      </c>
      <c r="V842" t="s">
        <v>243</v>
      </c>
      <c r="W842" t="s">
        <v>244</v>
      </c>
      <c r="X842" t="s">
        <v>3367</v>
      </c>
      <c r="Y842" t="s">
        <v>191</v>
      </c>
      <c r="Z842" t="s">
        <v>192</v>
      </c>
      <c r="AA842" t="s">
        <v>193</v>
      </c>
      <c r="AB842" t="s">
        <v>110</v>
      </c>
      <c r="AC842" t="s">
        <v>108</v>
      </c>
      <c r="AD842" t="s">
        <v>109</v>
      </c>
      <c r="AE842" s="7">
        <v>235000</v>
      </c>
      <c r="AF842" s="7">
        <v>1</v>
      </c>
      <c r="AG842" s="7">
        <v>235000</v>
      </c>
      <c r="AH842" s="7">
        <v>0</v>
      </c>
      <c r="AI842" s="7">
        <v>235000</v>
      </c>
      <c r="AJ842" t="s">
        <v>108</v>
      </c>
    </row>
    <row r="843" spans="14:36" x14ac:dyDescent="0.3">
      <c r="N843" s="8">
        <v>2026</v>
      </c>
      <c r="O843" s="8">
        <v>6</v>
      </c>
      <c r="P843" s="9">
        <v>46180</v>
      </c>
      <c r="Q843" t="s">
        <v>238</v>
      </c>
      <c r="R843" t="s">
        <v>303</v>
      </c>
      <c r="S843" t="s">
        <v>304</v>
      </c>
      <c r="T843" t="s">
        <v>314</v>
      </c>
      <c r="U843" t="s">
        <v>315</v>
      </c>
      <c r="V843" t="s">
        <v>246</v>
      </c>
      <c r="W843" t="s">
        <v>244</v>
      </c>
      <c r="X843" t="s">
        <v>3368</v>
      </c>
      <c r="Y843" t="s">
        <v>168</v>
      </c>
      <c r="Z843" t="s">
        <v>179</v>
      </c>
      <c r="AA843" t="s">
        <v>180</v>
      </c>
      <c r="AB843" t="s">
        <v>146</v>
      </c>
      <c r="AC843" t="s">
        <v>144</v>
      </c>
      <c r="AD843" t="s">
        <v>145</v>
      </c>
      <c r="AE843" s="7">
        <v>150000</v>
      </c>
      <c r="AF843" s="7">
        <v>1</v>
      </c>
      <c r="AG843" s="7">
        <v>150000</v>
      </c>
      <c r="AH843" s="7">
        <v>15000</v>
      </c>
      <c r="AI843" s="7">
        <v>135000</v>
      </c>
      <c r="AJ843" t="s">
        <v>144</v>
      </c>
    </row>
    <row r="844" spans="14:36" x14ac:dyDescent="0.3">
      <c r="N844" s="8">
        <v>2026</v>
      </c>
      <c r="O844" s="8">
        <v>6</v>
      </c>
      <c r="P844" s="9">
        <v>46180</v>
      </c>
      <c r="Q844" t="s">
        <v>238</v>
      </c>
      <c r="R844" t="s">
        <v>303</v>
      </c>
      <c r="S844" t="s">
        <v>304</v>
      </c>
      <c r="T844" t="s">
        <v>644</v>
      </c>
      <c r="U844" t="s">
        <v>3929</v>
      </c>
      <c r="V844" t="s">
        <v>246</v>
      </c>
      <c r="W844" t="s">
        <v>244</v>
      </c>
      <c r="X844" t="s">
        <v>3369</v>
      </c>
      <c r="Y844" t="s">
        <v>191</v>
      </c>
      <c r="Z844" t="s">
        <v>192</v>
      </c>
      <c r="AA844" t="s">
        <v>193</v>
      </c>
      <c r="AB844" t="s">
        <v>104</v>
      </c>
      <c r="AC844" t="s">
        <v>102</v>
      </c>
      <c r="AD844" t="s">
        <v>103</v>
      </c>
      <c r="AE844" s="7">
        <v>235000</v>
      </c>
      <c r="AF844" s="7">
        <v>2</v>
      </c>
      <c r="AG844" s="7">
        <v>470000</v>
      </c>
      <c r="AH844" s="7">
        <v>0</v>
      </c>
      <c r="AI844" s="7">
        <v>470000</v>
      </c>
      <c r="AJ844" t="s">
        <v>102</v>
      </c>
    </row>
    <row r="845" spans="14:36" x14ac:dyDescent="0.3">
      <c r="N845" s="8">
        <v>2026</v>
      </c>
      <c r="O845" s="8">
        <v>6</v>
      </c>
      <c r="P845" s="9">
        <v>46180</v>
      </c>
      <c r="Q845" t="s">
        <v>238</v>
      </c>
      <c r="R845" t="s">
        <v>303</v>
      </c>
      <c r="S845" t="s">
        <v>304</v>
      </c>
      <c r="T845" t="s">
        <v>3370</v>
      </c>
      <c r="U845" t="s">
        <v>3371</v>
      </c>
      <c r="V845" t="s">
        <v>246</v>
      </c>
      <c r="W845" t="s">
        <v>244</v>
      </c>
      <c r="X845" t="s">
        <v>3372</v>
      </c>
      <c r="Y845" t="s">
        <v>168</v>
      </c>
      <c r="Z845" t="s">
        <v>171</v>
      </c>
      <c r="AA845" t="s">
        <v>175</v>
      </c>
      <c r="AB845" t="s">
        <v>44</v>
      </c>
      <c r="AC845" t="s">
        <v>42</v>
      </c>
      <c r="AD845" t="s">
        <v>43</v>
      </c>
      <c r="AE845" s="7">
        <v>294000</v>
      </c>
      <c r="AF845" s="7">
        <v>1</v>
      </c>
      <c r="AG845" s="7">
        <v>294000</v>
      </c>
      <c r="AH845" s="7">
        <v>117600</v>
      </c>
      <c r="AI845" s="7">
        <v>176400</v>
      </c>
      <c r="AJ845" t="s">
        <v>42</v>
      </c>
    </row>
    <row r="846" spans="14:36" x14ac:dyDescent="0.3">
      <c r="N846" s="8">
        <v>2026</v>
      </c>
      <c r="O846" s="8">
        <v>6</v>
      </c>
      <c r="P846" s="9">
        <v>46180</v>
      </c>
      <c r="Q846" t="s">
        <v>238</v>
      </c>
      <c r="R846" t="s">
        <v>351</v>
      </c>
      <c r="S846" t="s">
        <v>352</v>
      </c>
      <c r="T846" t="s">
        <v>3373</v>
      </c>
      <c r="U846" t="s">
        <v>3374</v>
      </c>
      <c r="V846" t="s">
        <v>249</v>
      </c>
      <c r="W846" t="s">
        <v>244</v>
      </c>
      <c r="X846" t="s">
        <v>3375</v>
      </c>
      <c r="Y846" t="s">
        <v>191</v>
      </c>
      <c r="Z846" t="s">
        <v>192</v>
      </c>
      <c r="AA846" t="s">
        <v>193</v>
      </c>
      <c r="AB846" t="s">
        <v>107</v>
      </c>
      <c r="AC846" t="s">
        <v>105</v>
      </c>
      <c r="AD846" t="s">
        <v>106</v>
      </c>
      <c r="AE846" s="7">
        <v>235000</v>
      </c>
      <c r="AF846" s="7">
        <v>1</v>
      </c>
      <c r="AG846" s="7">
        <v>235000</v>
      </c>
      <c r="AH846" s="7">
        <v>0</v>
      </c>
      <c r="AI846" s="7">
        <v>235000</v>
      </c>
      <c r="AJ846" t="s">
        <v>105</v>
      </c>
    </row>
    <row r="847" spans="14:36" x14ac:dyDescent="0.3">
      <c r="N847" s="8">
        <v>2026</v>
      </c>
      <c r="O847" s="8">
        <v>6</v>
      </c>
      <c r="P847" s="9">
        <v>46180</v>
      </c>
      <c r="Q847" t="s">
        <v>238</v>
      </c>
      <c r="R847" t="s">
        <v>351</v>
      </c>
      <c r="S847" t="s">
        <v>352</v>
      </c>
      <c r="T847" t="s">
        <v>2837</v>
      </c>
      <c r="U847" t="s">
        <v>371</v>
      </c>
      <c r="V847" t="s">
        <v>246</v>
      </c>
      <c r="W847" t="s">
        <v>244</v>
      </c>
      <c r="X847" t="s">
        <v>3376</v>
      </c>
      <c r="Y847" t="s">
        <v>191</v>
      </c>
      <c r="Z847" t="s">
        <v>335</v>
      </c>
      <c r="AA847" t="s">
        <v>337</v>
      </c>
      <c r="AB847" t="s">
        <v>348</v>
      </c>
      <c r="AC847" t="s">
        <v>349</v>
      </c>
      <c r="AD847" t="s">
        <v>350</v>
      </c>
      <c r="AE847" s="7">
        <v>76000</v>
      </c>
      <c r="AF847" s="7">
        <v>1</v>
      </c>
      <c r="AG847" s="7">
        <v>76000</v>
      </c>
      <c r="AH847" s="7">
        <v>0</v>
      </c>
      <c r="AI847" s="7">
        <v>76000</v>
      </c>
      <c r="AJ847" t="s">
        <v>349</v>
      </c>
    </row>
    <row r="848" spans="14:36" x14ac:dyDescent="0.3">
      <c r="N848" s="8">
        <v>2026</v>
      </c>
      <c r="O848" s="8">
        <v>6</v>
      </c>
      <c r="P848" s="9">
        <v>46180</v>
      </c>
      <c r="Q848" t="s">
        <v>238</v>
      </c>
      <c r="R848" t="s">
        <v>374</v>
      </c>
      <c r="S848" t="s">
        <v>375</v>
      </c>
      <c r="T848" t="s">
        <v>3377</v>
      </c>
      <c r="U848" t="s">
        <v>601</v>
      </c>
      <c r="V848" t="s">
        <v>246</v>
      </c>
      <c r="W848" t="s">
        <v>244</v>
      </c>
      <c r="X848" t="s">
        <v>3378</v>
      </c>
      <c r="Y848" t="s">
        <v>168</v>
      </c>
      <c r="Z848" t="s">
        <v>171</v>
      </c>
      <c r="AA848" t="s">
        <v>172</v>
      </c>
      <c r="AB848" t="s">
        <v>14</v>
      </c>
      <c r="AC848" t="s">
        <v>12</v>
      </c>
      <c r="AD848" t="s">
        <v>13</v>
      </c>
      <c r="AE848" s="7">
        <v>135000</v>
      </c>
      <c r="AF848" s="7">
        <v>1</v>
      </c>
      <c r="AG848" s="7">
        <v>135000</v>
      </c>
      <c r="AH848" s="7">
        <v>26000</v>
      </c>
      <c r="AI848" s="7">
        <v>109000</v>
      </c>
      <c r="AJ848" t="s">
        <v>12</v>
      </c>
    </row>
    <row r="849" spans="14:36" x14ac:dyDescent="0.3">
      <c r="N849" s="8">
        <v>2026</v>
      </c>
      <c r="O849" s="8">
        <v>6</v>
      </c>
      <c r="P849" s="9">
        <v>46180</v>
      </c>
      <c r="Q849" t="s">
        <v>238</v>
      </c>
      <c r="R849" t="s">
        <v>374</v>
      </c>
      <c r="S849" t="s">
        <v>375</v>
      </c>
      <c r="T849" t="s">
        <v>1232</v>
      </c>
      <c r="U849" t="s">
        <v>772</v>
      </c>
      <c r="V849" t="s">
        <v>246</v>
      </c>
      <c r="W849" t="s">
        <v>244</v>
      </c>
      <c r="X849" t="s">
        <v>3379</v>
      </c>
      <c r="Y849" t="s">
        <v>168</v>
      </c>
      <c r="Z849" t="s">
        <v>171</v>
      </c>
      <c r="AA849" t="s">
        <v>175</v>
      </c>
      <c r="AB849" t="s">
        <v>41</v>
      </c>
      <c r="AC849" t="s">
        <v>39</v>
      </c>
      <c r="AD849" t="s">
        <v>40</v>
      </c>
      <c r="AE849" s="7">
        <v>295000</v>
      </c>
      <c r="AF849" s="7">
        <v>1</v>
      </c>
      <c r="AG849" s="7">
        <v>295000</v>
      </c>
      <c r="AH849" s="7">
        <v>0</v>
      </c>
      <c r="AI849" s="7">
        <v>295000</v>
      </c>
      <c r="AJ849" t="s">
        <v>39</v>
      </c>
    </row>
    <row r="850" spans="14:36" x14ac:dyDescent="0.3">
      <c r="N850" s="8">
        <v>2026</v>
      </c>
      <c r="O850" s="8">
        <v>6</v>
      </c>
      <c r="P850" s="9">
        <v>46180</v>
      </c>
      <c r="Q850" t="s">
        <v>238</v>
      </c>
      <c r="R850" t="s">
        <v>396</v>
      </c>
      <c r="S850" t="s">
        <v>397</v>
      </c>
      <c r="T850" t="s">
        <v>2847</v>
      </c>
      <c r="U850" t="s">
        <v>3889</v>
      </c>
      <c r="V850" t="s">
        <v>246</v>
      </c>
      <c r="W850" t="s">
        <v>244</v>
      </c>
      <c r="X850" t="s">
        <v>3380</v>
      </c>
      <c r="Y850" t="s">
        <v>168</v>
      </c>
      <c r="Z850" t="s">
        <v>171</v>
      </c>
      <c r="AA850" t="s">
        <v>173</v>
      </c>
      <c r="AB850" t="s">
        <v>29</v>
      </c>
      <c r="AC850" t="s">
        <v>27</v>
      </c>
      <c r="AD850" t="s">
        <v>28</v>
      </c>
      <c r="AE850" s="7">
        <v>575000</v>
      </c>
      <c r="AF850" s="7">
        <v>1</v>
      </c>
      <c r="AG850" s="7">
        <v>575000</v>
      </c>
      <c r="AH850" s="7">
        <v>76000</v>
      </c>
      <c r="AI850" s="7">
        <v>499000</v>
      </c>
      <c r="AJ850" t="s">
        <v>27</v>
      </c>
    </row>
    <row r="851" spans="14:36" x14ac:dyDescent="0.3">
      <c r="N851" s="8">
        <v>2026</v>
      </c>
      <c r="O851" s="8">
        <v>6</v>
      </c>
      <c r="P851" s="9">
        <v>46180</v>
      </c>
      <c r="Q851" t="s">
        <v>238</v>
      </c>
      <c r="R851" t="s">
        <v>396</v>
      </c>
      <c r="S851" t="s">
        <v>397</v>
      </c>
      <c r="T851" t="s">
        <v>2847</v>
      </c>
      <c r="U851" t="s">
        <v>3889</v>
      </c>
      <c r="V851" t="s">
        <v>246</v>
      </c>
      <c r="W851" t="s">
        <v>244</v>
      </c>
      <c r="X851" t="s">
        <v>3380</v>
      </c>
      <c r="Y851" t="s">
        <v>168</v>
      </c>
      <c r="Z851" t="s">
        <v>171</v>
      </c>
      <c r="AA851" t="s">
        <v>173</v>
      </c>
      <c r="AB851" t="s">
        <v>26</v>
      </c>
      <c r="AC851" t="s">
        <v>24</v>
      </c>
      <c r="AD851" t="s">
        <v>25</v>
      </c>
      <c r="AE851" s="7">
        <v>555000</v>
      </c>
      <c r="AF851" s="7">
        <v>1</v>
      </c>
      <c r="AG851" s="7">
        <v>555000</v>
      </c>
      <c r="AH851" s="7">
        <v>55000</v>
      </c>
      <c r="AI851" s="7">
        <v>500000</v>
      </c>
      <c r="AJ851" t="s">
        <v>24</v>
      </c>
    </row>
    <row r="852" spans="14:36" x14ac:dyDescent="0.3">
      <c r="N852" s="8">
        <v>2026</v>
      </c>
      <c r="O852" s="8">
        <v>6</v>
      </c>
      <c r="P852" s="9">
        <v>46180</v>
      </c>
      <c r="Q852" t="s">
        <v>238</v>
      </c>
      <c r="R852" t="s">
        <v>415</v>
      </c>
      <c r="S852" t="s">
        <v>416</v>
      </c>
      <c r="T852" t="s">
        <v>1196</v>
      </c>
      <c r="U852" t="s">
        <v>3557</v>
      </c>
      <c r="V852" t="s">
        <v>246</v>
      </c>
      <c r="W852" t="s">
        <v>244</v>
      </c>
      <c r="X852" t="s">
        <v>3381</v>
      </c>
      <c r="Y852" t="s">
        <v>183</v>
      </c>
      <c r="Z852" t="s">
        <v>184</v>
      </c>
      <c r="AA852" t="s">
        <v>185</v>
      </c>
      <c r="AB852" t="s">
        <v>47</v>
      </c>
      <c r="AC852" t="s">
        <v>45</v>
      </c>
      <c r="AD852" t="s">
        <v>46</v>
      </c>
      <c r="AE852" s="7">
        <v>52000</v>
      </c>
      <c r="AF852" s="7">
        <v>1</v>
      </c>
      <c r="AG852" s="7">
        <v>52000</v>
      </c>
      <c r="AH852" s="7">
        <v>0</v>
      </c>
      <c r="AI852" s="7">
        <v>52000</v>
      </c>
      <c r="AJ852" t="s">
        <v>45</v>
      </c>
    </row>
    <row r="853" spans="14:36" x14ac:dyDescent="0.3">
      <c r="N853" s="8">
        <v>2026</v>
      </c>
      <c r="O853" s="8">
        <v>6</v>
      </c>
      <c r="P853" s="9">
        <v>46180</v>
      </c>
      <c r="Q853" t="s">
        <v>238</v>
      </c>
      <c r="R853" t="s">
        <v>425</v>
      </c>
      <c r="S853" t="s">
        <v>426</v>
      </c>
      <c r="T853" t="s">
        <v>3382</v>
      </c>
      <c r="U853" t="s">
        <v>3383</v>
      </c>
      <c r="V853" t="s">
        <v>246</v>
      </c>
      <c r="W853" t="s">
        <v>244</v>
      </c>
      <c r="X853" t="s">
        <v>3384</v>
      </c>
      <c r="Y853" t="s">
        <v>194</v>
      </c>
      <c r="Z853" t="s">
        <v>200</v>
      </c>
      <c r="AA853" t="s">
        <v>201</v>
      </c>
      <c r="AB853" t="s">
        <v>80</v>
      </c>
      <c r="AC853" t="s">
        <v>78</v>
      </c>
      <c r="AD853" t="s">
        <v>79</v>
      </c>
      <c r="AE853" s="7">
        <v>14000</v>
      </c>
      <c r="AF853" s="7">
        <v>3</v>
      </c>
      <c r="AG853" s="7">
        <v>42000</v>
      </c>
      <c r="AH853" s="7">
        <v>0</v>
      </c>
      <c r="AI853" s="7">
        <v>42000</v>
      </c>
      <c r="AJ853" t="s">
        <v>78</v>
      </c>
    </row>
    <row r="854" spans="14:36" x14ac:dyDescent="0.3">
      <c r="N854" s="8">
        <v>2026</v>
      </c>
      <c r="O854" s="8">
        <v>6</v>
      </c>
      <c r="P854" s="9">
        <v>46180</v>
      </c>
      <c r="Q854" t="s">
        <v>238</v>
      </c>
      <c r="R854" t="s">
        <v>425</v>
      </c>
      <c r="S854" t="s">
        <v>426</v>
      </c>
      <c r="T854" t="s">
        <v>3385</v>
      </c>
      <c r="U854" t="s">
        <v>3964</v>
      </c>
      <c r="V854" t="s">
        <v>246</v>
      </c>
      <c r="W854" t="s">
        <v>244</v>
      </c>
      <c r="X854" t="s">
        <v>3386</v>
      </c>
      <c r="Y854" t="s">
        <v>194</v>
      </c>
      <c r="Z854" t="s">
        <v>195</v>
      </c>
      <c r="AA854" t="s">
        <v>196</v>
      </c>
      <c r="AB854" t="s">
        <v>68</v>
      </c>
      <c r="AC854" t="s">
        <v>66</v>
      </c>
      <c r="AD854" t="s">
        <v>67</v>
      </c>
      <c r="AE854" s="7">
        <v>360000</v>
      </c>
      <c r="AF854" s="7">
        <v>1</v>
      </c>
      <c r="AG854" s="7">
        <v>360000</v>
      </c>
      <c r="AH854" s="7">
        <v>0</v>
      </c>
      <c r="AI854" s="7">
        <v>360000</v>
      </c>
      <c r="AJ854" t="s">
        <v>66</v>
      </c>
    </row>
    <row r="855" spans="14:36" x14ac:dyDescent="0.3">
      <c r="N855" s="8">
        <v>2026</v>
      </c>
      <c r="O855" s="8">
        <v>6</v>
      </c>
      <c r="P855" s="9">
        <v>46180</v>
      </c>
      <c r="Q855" t="s">
        <v>238</v>
      </c>
      <c r="R855" t="s">
        <v>425</v>
      </c>
      <c r="S855" t="s">
        <v>426</v>
      </c>
      <c r="T855" t="s">
        <v>3387</v>
      </c>
      <c r="U855" t="s">
        <v>1981</v>
      </c>
      <c r="V855" t="s">
        <v>246</v>
      </c>
      <c r="W855" t="s">
        <v>244</v>
      </c>
      <c r="X855" t="s">
        <v>3388</v>
      </c>
      <c r="Y855" t="s">
        <v>194</v>
      </c>
      <c r="Z855" t="s">
        <v>200</v>
      </c>
      <c r="AA855" t="s">
        <v>201</v>
      </c>
      <c r="AB855" t="s">
        <v>89</v>
      </c>
      <c r="AC855" t="s">
        <v>87</v>
      </c>
      <c r="AD855" t="s">
        <v>88</v>
      </c>
      <c r="AE855" s="7">
        <v>46000</v>
      </c>
      <c r="AF855" s="7">
        <v>1</v>
      </c>
      <c r="AG855" s="7">
        <v>46000</v>
      </c>
      <c r="AH855" s="7">
        <v>0</v>
      </c>
      <c r="AI855" s="7">
        <v>46000</v>
      </c>
      <c r="AJ855" t="s">
        <v>87</v>
      </c>
    </row>
    <row r="856" spans="14:36" x14ac:dyDescent="0.3">
      <c r="N856" s="8">
        <v>2026</v>
      </c>
      <c r="O856" s="8">
        <v>6</v>
      </c>
      <c r="P856" s="9">
        <v>46180</v>
      </c>
      <c r="Q856" t="s">
        <v>238</v>
      </c>
      <c r="R856" t="s">
        <v>425</v>
      </c>
      <c r="S856" t="s">
        <v>426</v>
      </c>
      <c r="T856" t="s">
        <v>652</v>
      </c>
      <c r="U856" t="s">
        <v>653</v>
      </c>
      <c r="V856" t="s">
        <v>246</v>
      </c>
      <c r="W856" t="s">
        <v>244</v>
      </c>
      <c r="X856" t="s">
        <v>3389</v>
      </c>
      <c r="Y856" t="s">
        <v>191</v>
      </c>
      <c r="Z856" t="s">
        <v>335</v>
      </c>
      <c r="AA856" t="s">
        <v>337</v>
      </c>
      <c r="AB856" t="s">
        <v>719</v>
      </c>
      <c r="AC856" t="s">
        <v>720</v>
      </c>
      <c r="AD856" t="s">
        <v>721</v>
      </c>
      <c r="AE856" s="7">
        <v>104000</v>
      </c>
      <c r="AF856" s="7">
        <v>1</v>
      </c>
      <c r="AG856" s="7">
        <v>104000</v>
      </c>
      <c r="AH856" s="7">
        <v>0</v>
      </c>
      <c r="AI856" s="7">
        <v>104000</v>
      </c>
      <c r="AJ856" t="s">
        <v>720</v>
      </c>
    </row>
    <row r="857" spans="14:36" x14ac:dyDescent="0.3">
      <c r="N857" s="8">
        <v>2026</v>
      </c>
      <c r="O857" s="8">
        <v>6</v>
      </c>
      <c r="P857" s="9">
        <v>46179</v>
      </c>
      <c r="Q857" t="s">
        <v>238</v>
      </c>
      <c r="R857" t="s">
        <v>279</v>
      </c>
      <c r="S857" t="s">
        <v>280</v>
      </c>
      <c r="T857" t="s">
        <v>3390</v>
      </c>
      <c r="U857" t="s">
        <v>3889</v>
      </c>
      <c r="V857" t="s">
        <v>246</v>
      </c>
      <c r="W857" t="s">
        <v>244</v>
      </c>
      <c r="X857" t="s">
        <v>3391</v>
      </c>
      <c r="Y857" t="s">
        <v>183</v>
      </c>
      <c r="Z857" t="s">
        <v>189</v>
      </c>
      <c r="AA857" t="s">
        <v>190</v>
      </c>
      <c r="AB857" t="s">
        <v>92</v>
      </c>
      <c r="AC857" t="s">
        <v>90</v>
      </c>
      <c r="AD857" t="s">
        <v>91</v>
      </c>
      <c r="AE857" s="7">
        <v>52000</v>
      </c>
      <c r="AF857" s="7">
        <v>2</v>
      </c>
      <c r="AG857" s="7">
        <v>104000</v>
      </c>
      <c r="AH857" s="7">
        <v>0</v>
      </c>
      <c r="AI857" s="7">
        <v>104000</v>
      </c>
      <c r="AJ857" t="s">
        <v>90</v>
      </c>
    </row>
    <row r="858" spans="14:36" x14ac:dyDescent="0.3">
      <c r="N858" s="8">
        <v>2026</v>
      </c>
      <c r="O858" s="8">
        <v>6</v>
      </c>
      <c r="P858" s="9">
        <v>46179</v>
      </c>
      <c r="Q858" t="s">
        <v>238</v>
      </c>
      <c r="R858" t="s">
        <v>303</v>
      </c>
      <c r="S858" t="s">
        <v>304</v>
      </c>
      <c r="T858" t="s">
        <v>3392</v>
      </c>
      <c r="U858" t="s">
        <v>3393</v>
      </c>
      <c r="V858" t="s">
        <v>246</v>
      </c>
      <c r="W858" t="s">
        <v>244</v>
      </c>
      <c r="X858" t="s">
        <v>3394</v>
      </c>
      <c r="Y858" t="s">
        <v>168</v>
      </c>
      <c r="Z858" t="s">
        <v>171</v>
      </c>
      <c r="AA858" t="s">
        <v>175</v>
      </c>
      <c r="AB858" t="s">
        <v>44</v>
      </c>
      <c r="AC858" t="s">
        <v>42</v>
      </c>
      <c r="AD858" t="s">
        <v>43</v>
      </c>
      <c r="AE858" s="7">
        <v>294000</v>
      </c>
      <c r="AF858" s="7">
        <v>1</v>
      </c>
      <c r="AG858" s="7">
        <v>294000</v>
      </c>
      <c r="AH858" s="7">
        <v>117600</v>
      </c>
      <c r="AI858" s="7">
        <v>176400</v>
      </c>
      <c r="AJ858" t="s">
        <v>42</v>
      </c>
    </row>
    <row r="859" spans="14:36" x14ac:dyDescent="0.3">
      <c r="N859" s="8">
        <v>2026</v>
      </c>
      <c r="O859" s="8">
        <v>6</v>
      </c>
      <c r="P859" s="9">
        <v>46179</v>
      </c>
      <c r="Q859" t="s">
        <v>238</v>
      </c>
      <c r="R859" t="s">
        <v>303</v>
      </c>
      <c r="S859" t="s">
        <v>304</v>
      </c>
      <c r="T859" t="s">
        <v>3395</v>
      </c>
      <c r="U859" t="s">
        <v>3965</v>
      </c>
      <c r="V859" t="s">
        <v>246</v>
      </c>
      <c r="W859" t="s">
        <v>244</v>
      </c>
      <c r="X859" t="s">
        <v>3396</v>
      </c>
      <c r="Y859" t="s">
        <v>191</v>
      </c>
      <c r="Z859" t="s">
        <v>192</v>
      </c>
      <c r="AA859" t="s">
        <v>193</v>
      </c>
      <c r="AB859" t="s">
        <v>104</v>
      </c>
      <c r="AC859" t="s">
        <v>102</v>
      </c>
      <c r="AD859" t="s">
        <v>103</v>
      </c>
      <c r="AE859" s="7">
        <v>235000</v>
      </c>
      <c r="AF859" s="7">
        <v>1</v>
      </c>
      <c r="AG859" s="7">
        <v>235000</v>
      </c>
      <c r="AH859" s="7">
        <v>0</v>
      </c>
      <c r="AI859" s="7">
        <v>235000</v>
      </c>
      <c r="AJ859" t="s">
        <v>102</v>
      </c>
    </row>
    <row r="860" spans="14:36" x14ac:dyDescent="0.3">
      <c r="N860" s="8">
        <v>2026</v>
      </c>
      <c r="O860" s="8">
        <v>6</v>
      </c>
      <c r="P860" s="9">
        <v>46179</v>
      </c>
      <c r="Q860" t="s">
        <v>238</v>
      </c>
      <c r="R860" t="s">
        <v>303</v>
      </c>
      <c r="S860" t="s">
        <v>304</v>
      </c>
      <c r="T860" t="s">
        <v>2478</v>
      </c>
      <c r="U860" t="s">
        <v>3966</v>
      </c>
      <c r="V860" t="s">
        <v>246</v>
      </c>
      <c r="W860" t="s">
        <v>244</v>
      </c>
      <c r="X860" t="s">
        <v>3397</v>
      </c>
      <c r="Y860" t="s">
        <v>183</v>
      </c>
      <c r="Z860" t="s">
        <v>186</v>
      </c>
      <c r="AA860" t="s">
        <v>188</v>
      </c>
      <c r="AB860" t="s">
        <v>98</v>
      </c>
      <c r="AC860" t="s">
        <v>96</v>
      </c>
      <c r="AD860" t="s">
        <v>97</v>
      </c>
      <c r="AE860" s="7">
        <v>239000</v>
      </c>
      <c r="AF860" s="7">
        <v>2</v>
      </c>
      <c r="AG860" s="7">
        <v>478000</v>
      </c>
      <c r="AH860" s="7">
        <v>0</v>
      </c>
      <c r="AI860" s="7">
        <v>478000</v>
      </c>
      <c r="AJ860" t="s">
        <v>96</v>
      </c>
    </row>
    <row r="861" spans="14:36" x14ac:dyDescent="0.3">
      <c r="N861" s="8">
        <v>2026</v>
      </c>
      <c r="O861" s="8">
        <v>6</v>
      </c>
      <c r="P861" s="9">
        <v>46179</v>
      </c>
      <c r="Q861" t="s">
        <v>238</v>
      </c>
      <c r="R861" t="s">
        <v>351</v>
      </c>
      <c r="S861" t="s">
        <v>352</v>
      </c>
      <c r="T861" t="s">
        <v>356</v>
      </c>
      <c r="U861" t="s">
        <v>357</v>
      </c>
      <c r="V861" t="s">
        <v>243</v>
      </c>
      <c r="W861" t="s">
        <v>244</v>
      </c>
      <c r="X861" t="s">
        <v>3398</v>
      </c>
      <c r="Y861" t="s">
        <v>168</v>
      </c>
      <c r="Z861" t="s">
        <v>171</v>
      </c>
      <c r="AA861" t="s">
        <v>175</v>
      </c>
      <c r="AB861" t="s">
        <v>140</v>
      </c>
      <c r="AC861" t="s">
        <v>138</v>
      </c>
      <c r="AD861" t="s">
        <v>139</v>
      </c>
      <c r="AE861" s="7">
        <v>125000</v>
      </c>
      <c r="AF861" s="7">
        <v>1</v>
      </c>
      <c r="AG861" s="7">
        <v>125000</v>
      </c>
      <c r="AH861" s="7">
        <v>12500</v>
      </c>
      <c r="AI861" s="7">
        <v>112500</v>
      </c>
      <c r="AJ861" t="s">
        <v>138</v>
      </c>
    </row>
    <row r="862" spans="14:36" x14ac:dyDescent="0.3">
      <c r="N862" s="8">
        <v>2026</v>
      </c>
      <c r="O862" s="8">
        <v>6</v>
      </c>
      <c r="P862" s="9">
        <v>46179</v>
      </c>
      <c r="Q862" t="s">
        <v>238</v>
      </c>
      <c r="R862" t="s">
        <v>351</v>
      </c>
      <c r="S862" t="s">
        <v>352</v>
      </c>
      <c r="T862" t="s">
        <v>2397</v>
      </c>
      <c r="U862" t="s">
        <v>2398</v>
      </c>
      <c r="V862" t="s">
        <v>246</v>
      </c>
      <c r="W862" t="s">
        <v>244</v>
      </c>
      <c r="X862" t="s">
        <v>3399</v>
      </c>
      <c r="Y862" t="s">
        <v>194</v>
      </c>
      <c r="Z862" t="s">
        <v>200</v>
      </c>
      <c r="AA862" t="s">
        <v>201</v>
      </c>
      <c r="AB862" t="s">
        <v>80</v>
      </c>
      <c r="AC862" t="s">
        <v>78</v>
      </c>
      <c r="AD862" t="s">
        <v>79</v>
      </c>
      <c r="AE862" s="7">
        <v>14000</v>
      </c>
      <c r="AF862" s="7">
        <v>2</v>
      </c>
      <c r="AG862" s="7">
        <v>28000</v>
      </c>
      <c r="AH862" s="7">
        <v>0</v>
      </c>
      <c r="AI862" s="7">
        <v>28000</v>
      </c>
      <c r="AJ862" t="s">
        <v>78</v>
      </c>
    </row>
    <row r="863" spans="14:36" x14ac:dyDescent="0.3">
      <c r="N863" s="8">
        <v>2026</v>
      </c>
      <c r="O863" s="8">
        <v>6</v>
      </c>
      <c r="P863" s="9">
        <v>46179</v>
      </c>
      <c r="Q863" t="s">
        <v>238</v>
      </c>
      <c r="R863" t="s">
        <v>351</v>
      </c>
      <c r="S863" t="s">
        <v>352</v>
      </c>
      <c r="T863" t="s">
        <v>3400</v>
      </c>
      <c r="U863" t="s">
        <v>3401</v>
      </c>
      <c r="V863" t="s">
        <v>246</v>
      </c>
      <c r="W863" t="s">
        <v>244</v>
      </c>
      <c r="X863" t="s">
        <v>3402</v>
      </c>
      <c r="Y863" t="s">
        <v>168</v>
      </c>
      <c r="Z863" t="s">
        <v>171</v>
      </c>
      <c r="AA863" t="s">
        <v>172</v>
      </c>
      <c r="AB863" t="s">
        <v>11</v>
      </c>
      <c r="AC863" t="s">
        <v>9</v>
      </c>
      <c r="AD863" t="s">
        <v>10</v>
      </c>
      <c r="AE863" s="7">
        <v>129000</v>
      </c>
      <c r="AF863" s="7">
        <v>1</v>
      </c>
      <c r="AG863" s="7">
        <v>129000</v>
      </c>
      <c r="AH863" s="7">
        <v>20000</v>
      </c>
      <c r="AI863" s="7">
        <v>109000</v>
      </c>
      <c r="AJ863" t="s">
        <v>9</v>
      </c>
    </row>
    <row r="864" spans="14:36" x14ac:dyDescent="0.3">
      <c r="N864" s="8">
        <v>2026</v>
      </c>
      <c r="O864" s="8">
        <v>6</v>
      </c>
      <c r="P864" s="9">
        <v>46179</v>
      </c>
      <c r="Q864" t="s">
        <v>238</v>
      </c>
      <c r="R864" t="s">
        <v>351</v>
      </c>
      <c r="S864" t="s">
        <v>352</v>
      </c>
      <c r="T864" t="s">
        <v>669</v>
      </c>
      <c r="U864" t="s">
        <v>670</v>
      </c>
      <c r="V864" t="s">
        <v>246</v>
      </c>
      <c r="W864" t="s">
        <v>244</v>
      </c>
      <c r="X864" t="s">
        <v>3403</v>
      </c>
      <c r="Y864" t="s">
        <v>168</v>
      </c>
      <c r="Z864" t="s">
        <v>171</v>
      </c>
      <c r="AA864" t="s">
        <v>172</v>
      </c>
      <c r="AB864" t="s">
        <v>14</v>
      </c>
      <c r="AC864" t="s">
        <v>12</v>
      </c>
      <c r="AD864" t="s">
        <v>13</v>
      </c>
      <c r="AE864" s="7">
        <v>135000</v>
      </c>
      <c r="AF864" s="7">
        <v>1</v>
      </c>
      <c r="AG864" s="7">
        <v>135000</v>
      </c>
      <c r="AH864" s="7">
        <v>26000</v>
      </c>
      <c r="AI864" s="7">
        <v>109000</v>
      </c>
      <c r="AJ864" t="s">
        <v>12</v>
      </c>
    </row>
    <row r="865" spans="14:36" x14ac:dyDescent="0.3">
      <c r="N865" s="8">
        <v>2026</v>
      </c>
      <c r="O865" s="8">
        <v>6</v>
      </c>
      <c r="P865" s="9">
        <v>46179</v>
      </c>
      <c r="Q865" t="s">
        <v>238</v>
      </c>
      <c r="R865" t="s">
        <v>351</v>
      </c>
      <c r="S865" t="s">
        <v>352</v>
      </c>
      <c r="T865" t="s">
        <v>2088</v>
      </c>
      <c r="U865" t="s">
        <v>3896</v>
      </c>
      <c r="V865" t="s">
        <v>246</v>
      </c>
      <c r="W865" t="s">
        <v>244</v>
      </c>
      <c r="X865" t="s">
        <v>3404</v>
      </c>
      <c r="Y865" t="s">
        <v>191</v>
      </c>
      <c r="Z865" t="s">
        <v>192</v>
      </c>
      <c r="AA865" t="s">
        <v>193</v>
      </c>
      <c r="AB865" t="s">
        <v>110</v>
      </c>
      <c r="AC865" t="s">
        <v>108</v>
      </c>
      <c r="AD865" t="s">
        <v>109</v>
      </c>
      <c r="AE865" s="7">
        <v>235000</v>
      </c>
      <c r="AF865" s="7">
        <v>1</v>
      </c>
      <c r="AG865" s="7">
        <v>235000</v>
      </c>
      <c r="AH865" s="7">
        <v>0</v>
      </c>
      <c r="AI865" s="7">
        <v>235000</v>
      </c>
      <c r="AJ865" t="s">
        <v>108</v>
      </c>
    </row>
    <row r="866" spans="14:36" x14ac:dyDescent="0.3">
      <c r="N866" s="8">
        <v>2026</v>
      </c>
      <c r="O866" s="8">
        <v>6</v>
      </c>
      <c r="P866" s="9">
        <v>46179</v>
      </c>
      <c r="Q866" t="s">
        <v>238</v>
      </c>
      <c r="R866" t="s">
        <v>374</v>
      </c>
      <c r="S866" t="s">
        <v>375</v>
      </c>
      <c r="T866" t="s">
        <v>378</v>
      </c>
      <c r="U866" t="s">
        <v>379</v>
      </c>
      <c r="V866" t="s">
        <v>246</v>
      </c>
      <c r="W866" t="s">
        <v>244</v>
      </c>
      <c r="X866" t="s">
        <v>3405</v>
      </c>
      <c r="Y866" t="s">
        <v>168</v>
      </c>
      <c r="Z866" t="s">
        <v>171</v>
      </c>
      <c r="AA866" t="s">
        <v>173</v>
      </c>
      <c r="AB866" t="s">
        <v>26</v>
      </c>
      <c r="AC866" t="s">
        <v>24</v>
      </c>
      <c r="AD866" t="s">
        <v>25</v>
      </c>
      <c r="AE866" s="7">
        <v>555000</v>
      </c>
      <c r="AF866" s="7">
        <v>1</v>
      </c>
      <c r="AG866" s="7">
        <v>555000</v>
      </c>
      <c r="AH866" s="7">
        <v>44400</v>
      </c>
      <c r="AI866" s="7">
        <v>510600</v>
      </c>
      <c r="AJ866" t="s">
        <v>24</v>
      </c>
    </row>
    <row r="867" spans="14:36" x14ac:dyDescent="0.3">
      <c r="N867" s="8">
        <v>2026</v>
      </c>
      <c r="O867" s="8">
        <v>6</v>
      </c>
      <c r="P867" s="9">
        <v>46179</v>
      </c>
      <c r="Q867" t="s">
        <v>238</v>
      </c>
      <c r="R867" t="s">
        <v>374</v>
      </c>
      <c r="S867" t="s">
        <v>375</v>
      </c>
      <c r="T867" t="s">
        <v>3406</v>
      </c>
      <c r="U867" t="s">
        <v>3407</v>
      </c>
      <c r="V867" t="s">
        <v>246</v>
      </c>
      <c r="W867" t="s">
        <v>244</v>
      </c>
      <c r="X867" t="s">
        <v>3408</v>
      </c>
      <c r="Y867" t="s">
        <v>191</v>
      </c>
      <c r="Z867" t="s">
        <v>335</v>
      </c>
      <c r="AA867" t="s">
        <v>337</v>
      </c>
      <c r="AB867" t="s">
        <v>719</v>
      </c>
      <c r="AC867" t="s">
        <v>720</v>
      </c>
      <c r="AD867" t="s">
        <v>721</v>
      </c>
      <c r="AE867" s="7">
        <v>104000</v>
      </c>
      <c r="AF867" s="7">
        <v>10</v>
      </c>
      <c r="AG867" s="7">
        <v>1040000</v>
      </c>
      <c r="AH867" s="7">
        <v>0</v>
      </c>
      <c r="AI867" s="7">
        <v>1040000</v>
      </c>
      <c r="AJ867" t="s">
        <v>720</v>
      </c>
    </row>
    <row r="868" spans="14:36" x14ac:dyDescent="0.3">
      <c r="N868" s="8">
        <v>2026</v>
      </c>
      <c r="O868" s="8">
        <v>6</v>
      </c>
      <c r="P868" s="9">
        <v>46179</v>
      </c>
      <c r="Q868" t="s">
        <v>238</v>
      </c>
      <c r="R868" t="s">
        <v>374</v>
      </c>
      <c r="S868" t="s">
        <v>375</v>
      </c>
      <c r="T868" t="s">
        <v>1744</v>
      </c>
      <c r="U868" t="s">
        <v>1745</v>
      </c>
      <c r="V868" t="s">
        <v>246</v>
      </c>
      <c r="W868" t="s">
        <v>244</v>
      </c>
      <c r="X868" t="s">
        <v>3409</v>
      </c>
      <c r="Y868" t="s">
        <v>168</v>
      </c>
      <c r="Z868" t="s">
        <v>181</v>
      </c>
      <c r="AA868" t="s">
        <v>182</v>
      </c>
      <c r="AB868" t="s">
        <v>50</v>
      </c>
      <c r="AC868" t="s">
        <v>48</v>
      </c>
      <c r="AD868" t="s">
        <v>49</v>
      </c>
      <c r="AE868" s="7">
        <v>49000</v>
      </c>
      <c r="AF868" s="7">
        <v>1</v>
      </c>
      <c r="AG868" s="7">
        <v>49000</v>
      </c>
      <c r="AH868" s="7">
        <v>0</v>
      </c>
      <c r="AI868" s="7">
        <v>49000</v>
      </c>
      <c r="AJ868" t="s">
        <v>48</v>
      </c>
    </row>
    <row r="869" spans="14:36" x14ac:dyDescent="0.3">
      <c r="N869" s="8">
        <v>2026</v>
      </c>
      <c r="O869" s="8">
        <v>6</v>
      </c>
      <c r="P869" s="9">
        <v>46179</v>
      </c>
      <c r="Q869" t="s">
        <v>238</v>
      </c>
      <c r="R869" t="s">
        <v>396</v>
      </c>
      <c r="S869" t="s">
        <v>397</v>
      </c>
      <c r="T869" t="s">
        <v>997</v>
      </c>
      <c r="U869" t="s">
        <v>998</v>
      </c>
      <c r="V869" t="s">
        <v>246</v>
      </c>
      <c r="W869" t="s">
        <v>244</v>
      </c>
      <c r="X869" t="s">
        <v>3410</v>
      </c>
      <c r="Y869" t="s">
        <v>191</v>
      </c>
      <c r="Z869" t="s">
        <v>192</v>
      </c>
      <c r="AA869" t="s">
        <v>193</v>
      </c>
      <c r="AB869" t="s">
        <v>110</v>
      </c>
      <c r="AC869" t="s">
        <v>108</v>
      </c>
      <c r="AD869" t="s">
        <v>109</v>
      </c>
      <c r="AE869" s="7">
        <v>235000</v>
      </c>
      <c r="AF869" s="7">
        <v>1</v>
      </c>
      <c r="AG869" s="7">
        <v>235000</v>
      </c>
      <c r="AH869" s="7">
        <v>0</v>
      </c>
      <c r="AI869" s="7">
        <v>235000</v>
      </c>
      <c r="AJ869" t="s">
        <v>108</v>
      </c>
    </row>
    <row r="870" spans="14:36" x14ac:dyDescent="0.3">
      <c r="N870" s="8">
        <v>2026</v>
      </c>
      <c r="O870" s="8">
        <v>6</v>
      </c>
      <c r="P870" s="9">
        <v>46179</v>
      </c>
      <c r="Q870" t="s">
        <v>238</v>
      </c>
      <c r="R870" t="s">
        <v>415</v>
      </c>
      <c r="S870" t="s">
        <v>416</v>
      </c>
      <c r="T870" t="s">
        <v>417</v>
      </c>
      <c r="U870" t="s">
        <v>418</v>
      </c>
      <c r="V870" t="s">
        <v>243</v>
      </c>
      <c r="W870" t="s">
        <v>244</v>
      </c>
      <c r="X870" t="s">
        <v>3411</v>
      </c>
      <c r="Y870" t="s">
        <v>194</v>
      </c>
      <c r="Z870" t="s">
        <v>200</v>
      </c>
      <c r="AA870" t="s">
        <v>201</v>
      </c>
      <c r="AB870" t="s">
        <v>80</v>
      </c>
      <c r="AC870" t="s">
        <v>78</v>
      </c>
      <c r="AD870" t="s">
        <v>79</v>
      </c>
      <c r="AE870" s="7">
        <v>14000</v>
      </c>
      <c r="AF870" s="7">
        <v>1</v>
      </c>
      <c r="AG870" s="7">
        <v>14000</v>
      </c>
      <c r="AH870" s="7">
        <v>0</v>
      </c>
      <c r="AI870" s="7">
        <v>14000</v>
      </c>
      <c r="AJ870" t="s">
        <v>78</v>
      </c>
    </row>
    <row r="871" spans="14:36" x14ac:dyDescent="0.3">
      <c r="N871" s="8">
        <v>2026</v>
      </c>
      <c r="O871" s="8">
        <v>6</v>
      </c>
      <c r="P871" s="9">
        <v>46179</v>
      </c>
      <c r="Q871" t="s">
        <v>238</v>
      </c>
      <c r="R871" t="s">
        <v>415</v>
      </c>
      <c r="S871" t="s">
        <v>416</v>
      </c>
      <c r="T871" t="s">
        <v>417</v>
      </c>
      <c r="U871" t="s">
        <v>418</v>
      </c>
      <c r="V871" t="s">
        <v>243</v>
      </c>
      <c r="W871" t="s">
        <v>244</v>
      </c>
      <c r="X871" t="s">
        <v>3411</v>
      </c>
      <c r="Y871" t="s">
        <v>191</v>
      </c>
      <c r="Z871" t="s">
        <v>192</v>
      </c>
      <c r="AA871" t="s">
        <v>193</v>
      </c>
      <c r="AB871" t="s">
        <v>116</v>
      </c>
      <c r="AC871" t="s">
        <v>114</v>
      </c>
      <c r="AD871" t="s">
        <v>115</v>
      </c>
      <c r="AE871" s="7">
        <v>235000</v>
      </c>
      <c r="AF871" s="7">
        <v>1</v>
      </c>
      <c r="AG871" s="7">
        <v>235000</v>
      </c>
      <c r="AH871" s="7">
        <v>0</v>
      </c>
      <c r="AI871" s="7">
        <v>235000</v>
      </c>
      <c r="AJ871" t="s">
        <v>114</v>
      </c>
    </row>
    <row r="872" spans="14:36" x14ac:dyDescent="0.3">
      <c r="N872" s="8">
        <v>2026</v>
      </c>
      <c r="O872" s="8">
        <v>6</v>
      </c>
      <c r="P872" s="9">
        <v>46179</v>
      </c>
      <c r="Q872" t="s">
        <v>238</v>
      </c>
      <c r="R872" t="s">
        <v>415</v>
      </c>
      <c r="S872" t="s">
        <v>416</v>
      </c>
      <c r="T872" t="s">
        <v>1851</v>
      </c>
      <c r="U872" t="s">
        <v>250</v>
      </c>
      <c r="V872" t="s">
        <v>246</v>
      </c>
      <c r="W872" t="s">
        <v>244</v>
      </c>
      <c r="X872" t="s">
        <v>3412</v>
      </c>
      <c r="Y872" t="s">
        <v>168</v>
      </c>
      <c r="Z872" t="s">
        <v>171</v>
      </c>
      <c r="AA872" t="s">
        <v>175</v>
      </c>
      <c r="AB872" t="s">
        <v>137</v>
      </c>
      <c r="AC872" t="s">
        <v>135</v>
      </c>
      <c r="AD872" t="s">
        <v>136</v>
      </c>
      <c r="AE872" s="7">
        <v>100000</v>
      </c>
      <c r="AF872" s="7">
        <v>1</v>
      </c>
      <c r="AG872" s="7">
        <v>100000</v>
      </c>
      <c r="AH872" s="7">
        <v>10000</v>
      </c>
      <c r="AI872" s="7">
        <v>90000</v>
      </c>
      <c r="AJ872" t="s">
        <v>135</v>
      </c>
    </row>
    <row r="873" spans="14:36" x14ac:dyDescent="0.3">
      <c r="N873" s="8">
        <v>2026</v>
      </c>
      <c r="O873" s="8">
        <v>6</v>
      </c>
      <c r="P873" s="9">
        <v>46179</v>
      </c>
      <c r="Q873" t="s">
        <v>238</v>
      </c>
      <c r="R873" t="s">
        <v>415</v>
      </c>
      <c r="S873" t="s">
        <v>416</v>
      </c>
      <c r="T873" t="s">
        <v>3413</v>
      </c>
      <c r="U873" t="s">
        <v>3914</v>
      </c>
      <c r="V873" t="s">
        <v>249</v>
      </c>
      <c r="W873" t="s">
        <v>244</v>
      </c>
      <c r="X873" t="s">
        <v>3414</v>
      </c>
      <c r="Y873" t="s">
        <v>191</v>
      </c>
      <c r="Z873" t="s">
        <v>192</v>
      </c>
      <c r="AA873" t="s">
        <v>193</v>
      </c>
      <c r="AB873" t="s">
        <v>107</v>
      </c>
      <c r="AC873" t="s">
        <v>105</v>
      </c>
      <c r="AD873" t="s">
        <v>106</v>
      </c>
      <c r="AE873" s="7">
        <v>235000</v>
      </c>
      <c r="AF873" s="7">
        <v>1</v>
      </c>
      <c r="AG873" s="7">
        <v>235000</v>
      </c>
      <c r="AH873" s="7">
        <v>0</v>
      </c>
      <c r="AI873" s="7">
        <v>235000</v>
      </c>
      <c r="AJ873" t="s">
        <v>105</v>
      </c>
    </row>
    <row r="874" spans="14:36" x14ac:dyDescent="0.3">
      <c r="N874" s="8">
        <v>2026</v>
      </c>
      <c r="O874" s="8">
        <v>6</v>
      </c>
      <c r="P874" s="9">
        <v>46179</v>
      </c>
      <c r="Q874" t="s">
        <v>238</v>
      </c>
      <c r="R874" t="s">
        <v>425</v>
      </c>
      <c r="S874" t="s">
        <v>426</v>
      </c>
      <c r="T874" t="s">
        <v>3415</v>
      </c>
      <c r="U874" t="s">
        <v>461</v>
      </c>
      <c r="V874" t="s">
        <v>249</v>
      </c>
      <c r="W874" t="s">
        <v>244</v>
      </c>
      <c r="X874" t="s">
        <v>3416</v>
      </c>
      <c r="Y874" t="s">
        <v>194</v>
      </c>
      <c r="Z874" t="s">
        <v>200</v>
      </c>
      <c r="AA874" t="s">
        <v>201</v>
      </c>
      <c r="AB874" t="s">
        <v>80</v>
      </c>
      <c r="AC874" t="s">
        <v>78</v>
      </c>
      <c r="AD874" t="s">
        <v>79</v>
      </c>
      <c r="AE874" s="7">
        <v>14000</v>
      </c>
      <c r="AF874" s="7">
        <v>1</v>
      </c>
      <c r="AG874" s="7">
        <v>14000</v>
      </c>
      <c r="AH874" s="7">
        <v>0</v>
      </c>
      <c r="AI874" s="7">
        <v>14000</v>
      </c>
      <c r="AJ874" t="s">
        <v>78</v>
      </c>
    </row>
    <row r="875" spans="14:36" x14ac:dyDescent="0.3">
      <c r="N875" s="8">
        <v>2026</v>
      </c>
      <c r="O875" s="8">
        <v>6</v>
      </c>
      <c r="P875" s="9">
        <v>46179</v>
      </c>
      <c r="Q875" t="s">
        <v>238</v>
      </c>
      <c r="R875" t="s">
        <v>425</v>
      </c>
      <c r="S875" t="s">
        <v>426</v>
      </c>
      <c r="T875" t="s">
        <v>3415</v>
      </c>
      <c r="U875" t="s">
        <v>461</v>
      </c>
      <c r="V875" t="s">
        <v>249</v>
      </c>
      <c r="W875" t="s">
        <v>244</v>
      </c>
      <c r="X875" t="s">
        <v>3416</v>
      </c>
      <c r="Y875" t="s">
        <v>191</v>
      </c>
      <c r="Z875" t="s">
        <v>192</v>
      </c>
      <c r="AA875" t="s">
        <v>193</v>
      </c>
      <c r="AB875" t="s">
        <v>113</v>
      </c>
      <c r="AC875" t="s">
        <v>111</v>
      </c>
      <c r="AD875" t="s">
        <v>112</v>
      </c>
      <c r="AE875" s="7">
        <v>235000</v>
      </c>
      <c r="AF875" s="7">
        <v>1</v>
      </c>
      <c r="AG875" s="7">
        <v>235000</v>
      </c>
      <c r="AH875" s="7">
        <v>0</v>
      </c>
      <c r="AI875" s="7">
        <v>235000</v>
      </c>
      <c r="AJ875" t="s">
        <v>111</v>
      </c>
    </row>
    <row r="876" spans="14:36" x14ac:dyDescent="0.3">
      <c r="N876" s="8">
        <v>2026</v>
      </c>
      <c r="O876" s="8">
        <v>6</v>
      </c>
      <c r="P876" s="9">
        <v>46179</v>
      </c>
      <c r="Q876" t="s">
        <v>238</v>
      </c>
      <c r="R876" t="s">
        <v>425</v>
      </c>
      <c r="S876" t="s">
        <v>426</v>
      </c>
      <c r="T876" t="s">
        <v>1925</v>
      </c>
      <c r="U876" t="s">
        <v>1926</v>
      </c>
      <c r="V876" t="s">
        <v>246</v>
      </c>
      <c r="W876" t="s">
        <v>244</v>
      </c>
      <c r="X876" t="s">
        <v>3417</v>
      </c>
      <c r="Y876" t="s">
        <v>194</v>
      </c>
      <c r="Z876" t="s">
        <v>200</v>
      </c>
      <c r="AA876" t="s">
        <v>201</v>
      </c>
      <c r="AB876" t="s">
        <v>83</v>
      </c>
      <c r="AC876" t="s">
        <v>81</v>
      </c>
      <c r="AD876" t="s">
        <v>82</v>
      </c>
      <c r="AE876" s="7">
        <v>46000</v>
      </c>
      <c r="AF876" s="7">
        <v>1</v>
      </c>
      <c r="AG876" s="7">
        <v>46000</v>
      </c>
      <c r="AH876" s="7">
        <v>0</v>
      </c>
      <c r="AI876" s="7">
        <v>46000</v>
      </c>
      <c r="AJ876" t="s">
        <v>81</v>
      </c>
    </row>
    <row r="877" spans="14:36" x14ac:dyDescent="0.3">
      <c r="N877" s="8">
        <v>2026</v>
      </c>
      <c r="O877" s="8">
        <v>6</v>
      </c>
      <c r="P877" s="9">
        <v>46179</v>
      </c>
      <c r="Q877" t="s">
        <v>238</v>
      </c>
      <c r="R877" t="s">
        <v>425</v>
      </c>
      <c r="S877" t="s">
        <v>426</v>
      </c>
      <c r="T877" t="s">
        <v>1925</v>
      </c>
      <c r="U877" t="s">
        <v>1926</v>
      </c>
      <c r="V877" t="s">
        <v>246</v>
      </c>
      <c r="W877" t="s">
        <v>244</v>
      </c>
      <c r="X877" t="s">
        <v>3417</v>
      </c>
      <c r="Y877" t="s">
        <v>194</v>
      </c>
      <c r="Z877" t="s">
        <v>200</v>
      </c>
      <c r="AA877" t="s">
        <v>201</v>
      </c>
      <c r="AB877" t="s">
        <v>89</v>
      </c>
      <c r="AC877" t="s">
        <v>87</v>
      </c>
      <c r="AD877" t="s">
        <v>88</v>
      </c>
      <c r="AE877" s="7">
        <v>46000</v>
      </c>
      <c r="AF877" s="7">
        <v>1</v>
      </c>
      <c r="AG877" s="7">
        <v>46000</v>
      </c>
      <c r="AH877" s="7">
        <v>0</v>
      </c>
      <c r="AI877" s="7">
        <v>46000</v>
      </c>
      <c r="AJ877" t="s">
        <v>87</v>
      </c>
    </row>
    <row r="878" spans="14:36" x14ac:dyDescent="0.3">
      <c r="N878" s="8">
        <v>2026</v>
      </c>
      <c r="O878" s="8">
        <v>6</v>
      </c>
      <c r="P878" s="9">
        <v>46178</v>
      </c>
      <c r="Q878" t="s">
        <v>238</v>
      </c>
      <c r="R878" t="s">
        <v>279</v>
      </c>
      <c r="S878" t="s">
        <v>280</v>
      </c>
      <c r="T878" t="s">
        <v>281</v>
      </c>
      <c r="U878" t="s">
        <v>282</v>
      </c>
      <c r="V878" t="s">
        <v>243</v>
      </c>
      <c r="W878" t="s">
        <v>244</v>
      </c>
      <c r="X878" t="s">
        <v>3418</v>
      </c>
      <c r="Y878" t="s">
        <v>191</v>
      </c>
      <c r="Z878" t="s">
        <v>192</v>
      </c>
      <c r="AA878" t="s">
        <v>193</v>
      </c>
      <c r="AB878" t="s">
        <v>110</v>
      </c>
      <c r="AC878" t="s">
        <v>108</v>
      </c>
      <c r="AD878" t="s">
        <v>109</v>
      </c>
      <c r="AE878" s="7">
        <v>235000</v>
      </c>
      <c r="AF878" s="7">
        <v>1</v>
      </c>
      <c r="AG878" s="7">
        <v>235000</v>
      </c>
      <c r="AH878" s="7">
        <v>0</v>
      </c>
      <c r="AI878" s="7">
        <v>235000</v>
      </c>
      <c r="AJ878" t="s">
        <v>108</v>
      </c>
    </row>
    <row r="879" spans="14:36" x14ac:dyDescent="0.3">
      <c r="N879" s="8">
        <v>2026</v>
      </c>
      <c r="O879" s="8">
        <v>6</v>
      </c>
      <c r="P879" s="9">
        <v>46178</v>
      </c>
      <c r="Q879" t="s">
        <v>238</v>
      </c>
      <c r="R879" t="s">
        <v>279</v>
      </c>
      <c r="S879" t="s">
        <v>280</v>
      </c>
      <c r="T879" t="s">
        <v>281</v>
      </c>
      <c r="U879" t="s">
        <v>282</v>
      </c>
      <c r="V879" t="s">
        <v>243</v>
      </c>
      <c r="W879" t="s">
        <v>244</v>
      </c>
      <c r="X879" t="s">
        <v>3418</v>
      </c>
      <c r="Y879" t="s">
        <v>191</v>
      </c>
      <c r="Z879" t="s">
        <v>192</v>
      </c>
      <c r="AA879" t="s">
        <v>193</v>
      </c>
      <c r="AB879" t="s">
        <v>107</v>
      </c>
      <c r="AC879" t="s">
        <v>105</v>
      </c>
      <c r="AD879" t="s">
        <v>106</v>
      </c>
      <c r="AE879" s="7">
        <v>235000</v>
      </c>
      <c r="AF879" s="7">
        <v>1</v>
      </c>
      <c r="AG879" s="7">
        <v>235000</v>
      </c>
      <c r="AH879" s="7">
        <v>0</v>
      </c>
      <c r="AI879" s="7">
        <v>235000</v>
      </c>
      <c r="AJ879" t="s">
        <v>105</v>
      </c>
    </row>
    <row r="880" spans="14:36" x14ac:dyDescent="0.3">
      <c r="N880" s="8">
        <v>2026</v>
      </c>
      <c r="O880" s="8">
        <v>6</v>
      </c>
      <c r="P880" s="9">
        <v>46178</v>
      </c>
      <c r="Q880" t="s">
        <v>238</v>
      </c>
      <c r="R880" t="s">
        <v>279</v>
      </c>
      <c r="S880" t="s">
        <v>280</v>
      </c>
      <c r="T880" t="s">
        <v>3419</v>
      </c>
      <c r="U880" t="s">
        <v>3866</v>
      </c>
      <c r="V880" t="s">
        <v>246</v>
      </c>
      <c r="W880" t="s">
        <v>244</v>
      </c>
      <c r="X880" t="s">
        <v>3420</v>
      </c>
      <c r="Y880" t="s">
        <v>191</v>
      </c>
      <c r="Z880" t="s">
        <v>335</v>
      </c>
      <c r="AA880" t="s">
        <v>337</v>
      </c>
      <c r="AB880" t="s">
        <v>541</v>
      </c>
      <c r="AC880" t="s">
        <v>542</v>
      </c>
      <c r="AD880" t="s">
        <v>543</v>
      </c>
      <c r="AE880" s="7">
        <v>69000</v>
      </c>
      <c r="AF880" s="7">
        <v>1</v>
      </c>
      <c r="AG880" s="7">
        <v>69000</v>
      </c>
      <c r="AH880" s="7">
        <v>0</v>
      </c>
      <c r="AI880" s="7">
        <v>69000</v>
      </c>
      <c r="AJ880" t="s">
        <v>542</v>
      </c>
    </row>
    <row r="881" spans="14:36" x14ac:dyDescent="0.3">
      <c r="N881" s="8">
        <v>2026</v>
      </c>
      <c r="O881" s="8">
        <v>6</v>
      </c>
      <c r="P881" s="9">
        <v>46178</v>
      </c>
      <c r="Q881" t="s">
        <v>238</v>
      </c>
      <c r="R881" t="s">
        <v>279</v>
      </c>
      <c r="S881" t="s">
        <v>280</v>
      </c>
      <c r="T881" t="s">
        <v>3419</v>
      </c>
      <c r="U881" t="s">
        <v>3866</v>
      </c>
      <c r="V881" t="s">
        <v>246</v>
      </c>
      <c r="W881" t="s">
        <v>244</v>
      </c>
      <c r="X881" t="s">
        <v>3420</v>
      </c>
      <c r="Y881" t="s">
        <v>191</v>
      </c>
      <c r="Z881" t="s">
        <v>335</v>
      </c>
      <c r="AA881" t="s">
        <v>337</v>
      </c>
      <c r="AB881" t="s">
        <v>719</v>
      </c>
      <c r="AC881" t="s">
        <v>720</v>
      </c>
      <c r="AD881" t="s">
        <v>721</v>
      </c>
      <c r="AE881" s="7">
        <v>104000</v>
      </c>
      <c r="AF881" s="7">
        <v>1</v>
      </c>
      <c r="AG881" s="7">
        <v>104000</v>
      </c>
      <c r="AH881" s="7">
        <v>0</v>
      </c>
      <c r="AI881" s="7">
        <v>104000</v>
      </c>
      <c r="AJ881" t="s">
        <v>720</v>
      </c>
    </row>
    <row r="882" spans="14:36" x14ac:dyDescent="0.3">
      <c r="N882" s="8">
        <v>2026</v>
      </c>
      <c r="O882" s="8">
        <v>6</v>
      </c>
      <c r="P882" s="9">
        <v>46178</v>
      </c>
      <c r="Q882" t="s">
        <v>238</v>
      </c>
      <c r="R882" t="s">
        <v>279</v>
      </c>
      <c r="S882" t="s">
        <v>280</v>
      </c>
      <c r="T882" t="s">
        <v>2415</v>
      </c>
      <c r="U882" t="s">
        <v>1122</v>
      </c>
      <c r="V882" t="s">
        <v>246</v>
      </c>
      <c r="W882" t="s">
        <v>244</v>
      </c>
      <c r="X882" t="s">
        <v>3421</v>
      </c>
      <c r="Y882" t="s">
        <v>168</v>
      </c>
      <c r="Z882" t="s">
        <v>181</v>
      </c>
      <c r="AA882" t="s">
        <v>182</v>
      </c>
      <c r="AB882" t="s">
        <v>50</v>
      </c>
      <c r="AC882" t="s">
        <v>48</v>
      </c>
      <c r="AD882" t="s">
        <v>49</v>
      </c>
      <c r="AE882" s="7">
        <v>49000</v>
      </c>
      <c r="AF882" s="7">
        <v>1</v>
      </c>
      <c r="AG882" s="7">
        <v>49000</v>
      </c>
      <c r="AH882" s="7">
        <v>0</v>
      </c>
      <c r="AI882" s="7">
        <v>49000</v>
      </c>
      <c r="AJ882" t="s">
        <v>48</v>
      </c>
    </row>
    <row r="883" spans="14:36" x14ac:dyDescent="0.3">
      <c r="N883" s="8">
        <v>2026</v>
      </c>
      <c r="O883" s="8">
        <v>6</v>
      </c>
      <c r="P883" s="9">
        <v>46178</v>
      </c>
      <c r="Q883" t="s">
        <v>238</v>
      </c>
      <c r="R883" t="s">
        <v>303</v>
      </c>
      <c r="S883" t="s">
        <v>304</v>
      </c>
      <c r="T883" t="s">
        <v>1693</v>
      </c>
      <c r="U883" t="s">
        <v>3967</v>
      </c>
      <c r="V883" t="s">
        <v>246</v>
      </c>
      <c r="W883" t="s">
        <v>244</v>
      </c>
      <c r="X883" t="s">
        <v>3422</v>
      </c>
      <c r="Y883" t="s">
        <v>191</v>
      </c>
      <c r="Z883" t="s">
        <v>335</v>
      </c>
      <c r="AA883" t="s">
        <v>337</v>
      </c>
      <c r="AB883" t="s">
        <v>348</v>
      </c>
      <c r="AC883" t="s">
        <v>349</v>
      </c>
      <c r="AD883" t="s">
        <v>350</v>
      </c>
      <c r="AE883" s="7">
        <v>76000</v>
      </c>
      <c r="AF883" s="7">
        <v>1</v>
      </c>
      <c r="AG883" s="7">
        <v>76000</v>
      </c>
      <c r="AH883" s="7">
        <v>0</v>
      </c>
      <c r="AI883" s="7">
        <v>76000</v>
      </c>
      <c r="AJ883" t="s">
        <v>349</v>
      </c>
    </row>
    <row r="884" spans="14:36" x14ac:dyDescent="0.3">
      <c r="N884" s="8">
        <v>2026</v>
      </c>
      <c r="O884" s="8">
        <v>6</v>
      </c>
      <c r="P884" s="9">
        <v>46178</v>
      </c>
      <c r="Q884" t="s">
        <v>238</v>
      </c>
      <c r="R884" t="s">
        <v>303</v>
      </c>
      <c r="S884" t="s">
        <v>304</v>
      </c>
      <c r="T884" t="s">
        <v>305</v>
      </c>
      <c r="U884" t="s">
        <v>306</v>
      </c>
      <c r="V884" t="s">
        <v>243</v>
      </c>
      <c r="W884" t="s">
        <v>244</v>
      </c>
      <c r="X884" t="s">
        <v>3423</v>
      </c>
      <c r="Y884" t="s">
        <v>194</v>
      </c>
      <c r="Z884" t="s">
        <v>200</v>
      </c>
      <c r="AA884" t="s">
        <v>201</v>
      </c>
      <c r="AB884" t="s">
        <v>86</v>
      </c>
      <c r="AC884" t="s">
        <v>84</v>
      </c>
      <c r="AD884" t="s">
        <v>85</v>
      </c>
      <c r="AE884" s="7">
        <v>49000</v>
      </c>
      <c r="AF884" s="7">
        <v>1</v>
      </c>
      <c r="AG884" s="7">
        <v>49000</v>
      </c>
      <c r="AH884" s="7">
        <v>0</v>
      </c>
      <c r="AI884" s="7">
        <v>49000</v>
      </c>
      <c r="AJ884" t="s">
        <v>84</v>
      </c>
    </row>
    <row r="885" spans="14:36" x14ac:dyDescent="0.3">
      <c r="N885" s="8">
        <v>2026</v>
      </c>
      <c r="O885" s="8">
        <v>6</v>
      </c>
      <c r="P885" s="9">
        <v>46178</v>
      </c>
      <c r="Q885" t="s">
        <v>238</v>
      </c>
      <c r="R885" t="s">
        <v>303</v>
      </c>
      <c r="S885" t="s">
        <v>304</v>
      </c>
      <c r="T885" t="s">
        <v>796</v>
      </c>
      <c r="U885" t="s">
        <v>3968</v>
      </c>
      <c r="V885" t="s">
        <v>246</v>
      </c>
      <c r="W885" t="s">
        <v>244</v>
      </c>
      <c r="X885" t="s">
        <v>3424</v>
      </c>
      <c r="Y885" t="s">
        <v>168</v>
      </c>
      <c r="Z885" t="s">
        <v>171</v>
      </c>
      <c r="AA885" t="s">
        <v>175</v>
      </c>
      <c r="AB885" t="s">
        <v>41</v>
      </c>
      <c r="AC885" t="s">
        <v>39</v>
      </c>
      <c r="AD885" t="s">
        <v>40</v>
      </c>
      <c r="AE885" s="7">
        <v>295000</v>
      </c>
      <c r="AF885" s="7">
        <v>1</v>
      </c>
      <c r="AG885" s="7">
        <v>295000</v>
      </c>
      <c r="AH885" s="7">
        <v>0</v>
      </c>
      <c r="AI885" s="7">
        <v>295000</v>
      </c>
      <c r="AJ885" t="s">
        <v>39</v>
      </c>
    </row>
    <row r="886" spans="14:36" x14ac:dyDescent="0.3">
      <c r="N886" s="8">
        <v>2026</v>
      </c>
      <c r="O886" s="8">
        <v>6</v>
      </c>
      <c r="P886" s="9">
        <v>46178</v>
      </c>
      <c r="Q886" t="s">
        <v>238</v>
      </c>
      <c r="R886" t="s">
        <v>303</v>
      </c>
      <c r="S886" t="s">
        <v>304</v>
      </c>
      <c r="T886" t="s">
        <v>1734</v>
      </c>
      <c r="U886" t="s">
        <v>1735</v>
      </c>
      <c r="V886" t="s">
        <v>246</v>
      </c>
      <c r="W886" t="s">
        <v>244</v>
      </c>
      <c r="X886" t="s">
        <v>3425</v>
      </c>
      <c r="Y886" t="s">
        <v>168</v>
      </c>
      <c r="Z886" t="s">
        <v>171</v>
      </c>
      <c r="AA886" t="s">
        <v>175</v>
      </c>
      <c r="AB886" t="s">
        <v>38</v>
      </c>
      <c r="AC886" t="s">
        <v>36</v>
      </c>
      <c r="AD886" t="s">
        <v>37</v>
      </c>
      <c r="AE886" s="7">
        <v>290000</v>
      </c>
      <c r="AF886" s="7">
        <v>1</v>
      </c>
      <c r="AG886" s="7">
        <v>290000</v>
      </c>
      <c r="AH886" s="7">
        <v>23200</v>
      </c>
      <c r="AI886" s="7">
        <v>266800</v>
      </c>
      <c r="AJ886" t="s">
        <v>36</v>
      </c>
    </row>
    <row r="887" spans="14:36" x14ac:dyDescent="0.3">
      <c r="N887" s="8">
        <v>2026</v>
      </c>
      <c r="O887" s="8">
        <v>6</v>
      </c>
      <c r="P887" s="9">
        <v>46178</v>
      </c>
      <c r="Q887" t="s">
        <v>238</v>
      </c>
      <c r="R887" t="s">
        <v>303</v>
      </c>
      <c r="S887" t="s">
        <v>304</v>
      </c>
      <c r="T887" t="s">
        <v>3426</v>
      </c>
      <c r="U887" t="s">
        <v>3427</v>
      </c>
      <c r="V887" t="s">
        <v>246</v>
      </c>
      <c r="W887" t="s">
        <v>244</v>
      </c>
      <c r="X887" t="s">
        <v>3428</v>
      </c>
      <c r="Y887" t="s">
        <v>191</v>
      </c>
      <c r="Z887" t="s">
        <v>335</v>
      </c>
      <c r="AA887" t="s">
        <v>337</v>
      </c>
      <c r="AB887" t="s">
        <v>541</v>
      </c>
      <c r="AC887" t="s">
        <v>542</v>
      </c>
      <c r="AD887" t="s">
        <v>543</v>
      </c>
      <c r="AE887" s="7">
        <v>69000</v>
      </c>
      <c r="AF887" s="7">
        <v>1</v>
      </c>
      <c r="AG887" s="7">
        <v>69000</v>
      </c>
      <c r="AH887" s="7">
        <v>0</v>
      </c>
      <c r="AI887" s="7">
        <v>69000</v>
      </c>
      <c r="AJ887" t="s">
        <v>542</v>
      </c>
    </row>
    <row r="888" spans="14:36" x14ac:dyDescent="0.3">
      <c r="N888" s="8">
        <v>2026</v>
      </c>
      <c r="O888" s="8">
        <v>6</v>
      </c>
      <c r="P888" s="9">
        <v>46178</v>
      </c>
      <c r="Q888" t="s">
        <v>238</v>
      </c>
      <c r="R888" t="s">
        <v>351</v>
      </c>
      <c r="S888" t="s">
        <v>352</v>
      </c>
      <c r="T888" t="s">
        <v>3429</v>
      </c>
      <c r="U888" t="s">
        <v>3969</v>
      </c>
      <c r="V888" t="s">
        <v>249</v>
      </c>
      <c r="W888" t="s">
        <v>244</v>
      </c>
      <c r="X888" t="s">
        <v>3430</v>
      </c>
      <c r="Y888" t="s">
        <v>191</v>
      </c>
      <c r="Z888" t="s">
        <v>192</v>
      </c>
      <c r="AA888" t="s">
        <v>193</v>
      </c>
      <c r="AB888" t="s">
        <v>107</v>
      </c>
      <c r="AC888" t="s">
        <v>105</v>
      </c>
      <c r="AD888" t="s">
        <v>106</v>
      </c>
      <c r="AE888" s="7">
        <v>235000</v>
      </c>
      <c r="AF888" s="7">
        <v>1</v>
      </c>
      <c r="AG888" s="7">
        <v>235000</v>
      </c>
      <c r="AH888" s="7">
        <v>0</v>
      </c>
      <c r="AI888" s="7">
        <v>235000</v>
      </c>
      <c r="AJ888" t="s">
        <v>105</v>
      </c>
    </row>
    <row r="889" spans="14:36" x14ac:dyDescent="0.3">
      <c r="N889" s="8">
        <v>2026</v>
      </c>
      <c r="O889" s="8">
        <v>6</v>
      </c>
      <c r="P889" s="9">
        <v>46178</v>
      </c>
      <c r="Q889" t="s">
        <v>238</v>
      </c>
      <c r="R889" t="s">
        <v>351</v>
      </c>
      <c r="S889" t="s">
        <v>352</v>
      </c>
      <c r="T889" t="s">
        <v>3431</v>
      </c>
      <c r="U889" t="s">
        <v>373</v>
      </c>
      <c r="V889" t="s">
        <v>246</v>
      </c>
      <c r="W889" t="s">
        <v>244</v>
      </c>
      <c r="X889" t="s">
        <v>3432</v>
      </c>
      <c r="Y889" t="s">
        <v>194</v>
      </c>
      <c r="Z889" t="s">
        <v>200</v>
      </c>
      <c r="AA889" t="s">
        <v>201</v>
      </c>
      <c r="AB889" t="s">
        <v>77</v>
      </c>
      <c r="AC889" t="s">
        <v>75</v>
      </c>
      <c r="AD889" t="s">
        <v>76</v>
      </c>
      <c r="AE889" s="7">
        <v>52000</v>
      </c>
      <c r="AF889" s="7">
        <v>1</v>
      </c>
      <c r="AG889" s="7">
        <v>52000</v>
      </c>
      <c r="AH889" s="7">
        <v>0</v>
      </c>
      <c r="AI889" s="7">
        <v>52000</v>
      </c>
      <c r="AJ889" t="s">
        <v>75</v>
      </c>
    </row>
    <row r="890" spans="14:36" x14ac:dyDescent="0.3">
      <c r="N890" s="8">
        <v>2026</v>
      </c>
      <c r="O890" s="8">
        <v>6</v>
      </c>
      <c r="P890" s="9">
        <v>46178</v>
      </c>
      <c r="Q890" t="s">
        <v>238</v>
      </c>
      <c r="R890" t="s">
        <v>374</v>
      </c>
      <c r="S890" t="s">
        <v>375</v>
      </c>
      <c r="T890" t="s">
        <v>2285</v>
      </c>
      <c r="U890" t="s">
        <v>2286</v>
      </c>
      <c r="V890" t="s">
        <v>246</v>
      </c>
      <c r="W890" t="s">
        <v>244</v>
      </c>
      <c r="X890" t="s">
        <v>3433</v>
      </c>
      <c r="Y890" t="s">
        <v>191</v>
      </c>
      <c r="Z890" t="s">
        <v>192</v>
      </c>
      <c r="AA890" t="s">
        <v>193</v>
      </c>
      <c r="AB890" t="s">
        <v>107</v>
      </c>
      <c r="AC890" t="s">
        <v>105</v>
      </c>
      <c r="AD890" t="s">
        <v>106</v>
      </c>
      <c r="AE890" s="7">
        <v>235000</v>
      </c>
      <c r="AF890" s="7">
        <v>1</v>
      </c>
      <c r="AG890" s="7">
        <v>235000</v>
      </c>
      <c r="AH890" s="7">
        <v>0</v>
      </c>
      <c r="AI890" s="7">
        <v>235000</v>
      </c>
      <c r="AJ890" t="s">
        <v>105</v>
      </c>
    </row>
    <row r="891" spans="14:36" x14ac:dyDescent="0.3">
      <c r="N891" s="8">
        <v>2026</v>
      </c>
      <c r="O891" s="8">
        <v>6</v>
      </c>
      <c r="P891" s="9">
        <v>46178</v>
      </c>
      <c r="Q891" t="s">
        <v>238</v>
      </c>
      <c r="R891" t="s">
        <v>374</v>
      </c>
      <c r="S891" t="s">
        <v>375</v>
      </c>
      <c r="T891" t="s">
        <v>3406</v>
      </c>
      <c r="U891" t="s">
        <v>3407</v>
      </c>
      <c r="V891" t="s">
        <v>246</v>
      </c>
      <c r="W891" t="s">
        <v>244</v>
      </c>
      <c r="X891" t="s">
        <v>3434</v>
      </c>
      <c r="Y891" t="s">
        <v>191</v>
      </c>
      <c r="Z891" t="s">
        <v>335</v>
      </c>
      <c r="AA891" t="s">
        <v>337</v>
      </c>
      <c r="AB891" t="s">
        <v>719</v>
      </c>
      <c r="AC891" t="s">
        <v>720</v>
      </c>
      <c r="AD891" t="s">
        <v>721</v>
      </c>
      <c r="AE891" s="7">
        <v>104000</v>
      </c>
      <c r="AF891" s="7">
        <v>2</v>
      </c>
      <c r="AG891" s="7">
        <v>208000</v>
      </c>
      <c r="AH891" s="7">
        <v>0</v>
      </c>
      <c r="AI891" s="7">
        <v>208000</v>
      </c>
      <c r="AJ891" t="s">
        <v>720</v>
      </c>
    </row>
    <row r="892" spans="14:36" x14ac:dyDescent="0.3">
      <c r="N892" s="8">
        <v>2026</v>
      </c>
      <c r="O892" s="8">
        <v>6</v>
      </c>
      <c r="P892" s="9">
        <v>46178</v>
      </c>
      <c r="Q892" t="s">
        <v>238</v>
      </c>
      <c r="R892" t="s">
        <v>374</v>
      </c>
      <c r="S892" t="s">
        <v>375</v>
      </c>
      <c r="T892" t="s">
        <v>1042</v>
      </c>
      <c r="U892" t="s">
        <v>1043</v>
      </c>
      <c r="V892" t="s">
        <v>246</v>
      </c>
      <c r="W892" t="s">
        <v>244</v>
      </c>
      <c r="X892" t="s">
        <v>3435</v>
      </c>
      <c r="Y892" t="s">
        <v>191</v>
      </c>
      <c r="Z892" t="s">
        <v>335</v>
      </c>
      <c r="AA892" t="s">
        <v>337</v>
      </c>
      <c r="AB892" t="s">
        <v>348</v>
      </c>
      <c r="AC892" t="s">
        <v>349</v>
      </c>
      <c r="AD892" t="s">
        <v>350</v>
      </c>
      <c r="AE892" s="7">
        <v>76000</v>
      </c>
      <c r="AF892" s="7">
        <v>1</v>
      </c>
      <c r="AG892" s="7">
        <v>76000</v>
      </c>
      <c r="AH892" s="7">
        <v>0</v>
      </c>
      <c r="AI892" s="7">
        <v>76000</v>
      </c>
      <c r="AJ892" t="s">
        <v>349</v>
      </c>
    </row>
    <row r="893" spans="14:36" x14ac:dyDescent="0.3">
      <c r="N893" s="8">
        <v>2026</v>
      </c>
      <c r="O893" s="8">
        <v>6</v>
      </c>
      <c r="P893" s="9">
        <v>46178</v>
      </c>
      <c r="Q893" t="s">
        <v>238</v>
      </c>
      <c r="R893" t="s">
        <v>374</v>
      </c>
      <c r="S893" t="s">
        <v>375</v>
      </c>
      <c r="T893" t="s">
        <v>3436</v>
      </c>
      <c r="U893" t="s">
        <v>501</v>
      </c>
      <c r="V893" t="s">
        <v>246</v>
      </c>
      <c r="W893" t="s">
        <v>244</v>
      </c>
      <c r="X893" t="s">
        <v>3437</v>
      </c>
      <c r="Y893" t="s">
        <v>168</v>
      </c>
      <c r="Z893" t="s">
        <v>171</v>
      </c>
      <c r="AA893" t="s">
        <v>173</v>
      </c>
      <c r="AB893" t="s">
        <v>29</v>
      </c>
      <c r="AC893" t="s">
        <v>27</v>
      </c>
      <c r="AD893" t="s">
        <v>28</v>
      </c>
      <c r="AE893" s="7">
        <v>575000</v>
      </c>
      <c r="AF893" s="7">
        <v>1</v>
      </c>
      <c r="AG893" s="7">
        <v>575000</v>
      </c>
      <c r="AH893" s="7">
        <v>76000</v>
      </c>
      <c r="AI893" s="7">
        <v>499000</v>
      </c>
      <c r="AJ893" t="s">
        <v>27</v>
      </c>
    </row>
    <row r="894" spans="14:36" x14ac:dyDescent="0.3">
      <c r="N894" s="8">
        <v>2026</v>
      </c>
      <c r="O894" s="8">
        <v>6</v>
      </c>
      <c r="P894" s="9">
        <v>46178</v>
      </c>
      <c r="Q894" t="s">
        <v>238</v>
      </c>
      <c r="R894" t="s">
        <v>374</v>
      </c>
      <c r="S894" t="s">
        <v>375</v>
      </c>
      <c r="T894" t="s">
        <v>3436</v>
      </c>
      <c r="U894" t="s">
        <v>501</v>
      </c>
      <c r="V894" t="s">
        <v>246</v>
      </c>
      <c r="W894" t="s">
        <v>244</v>
      </c>
      <c r="X894" t="s">
        <v>3437</v>
      </c>
      <c r="Y894" t="s">
        <v>168</v>
      </c>
      <c r="Z894" t="s">
        <v>171</v>
      </c>
      <c r="AA894" t="s">
        <v>173</v>
      </c>
      <c r="AB894" t="s">
        <v>26</v>
      </c>
      <c r="AC894" t="s">
        <v>24</v>
      </c>
      <c r="AD894" t="s">
        <v>25</v>
      </c>
      <c r="AE894" s="7">
        <v>555000</v>
      </c>
      <c r="AF894" s="7">
        <v>1</v>
      </c>
      <c r="AG894" s="7">
        <v>555000</v>
      </c>
      <c r="AH894" s="7">
        <v>55000</v>
      </c>
      <c r="AI894" s="7">
        <v>500000</v>
      </c>
      <c r="AJ894" t="s">
        <v>24</v>
      </c>
    </row>
    <row r="895" spans="14:36" x14ac:dyDescent="0.3">
      <c r="N895" s="8">
        <v>2026</v>
      </c>
      <c r="O895" s="8">
        <v>6</v>
      </c>
      <c r="P895" s="9">
        <v>46178</v>
      </c>
      <c r="Q895" t="s">
        <v>238</v>
      </c>
      <c r="R895" t="s">
        <v>396</v>
      </c>
      <c r="S895" t="s">
        <v>397</v>
      </c>
      <c r="T895" t="s">
        <v>3438</v>
      </c>
      <c r="U895" t="s">
        <v>3866</v>
      </c>
      <c r="V895" t="s">
        <v>246</v>
      </c>
      <c r="W895" t="s">
        <v>244</v>
      </c>
      <c r="X895" t="s">
        <v>3439</v>
      </c>
      <c r="Y895" t="s">
        <v>183</v>
      </c>
      <c r="Z895" t="s">
        <v>184</v>
      </c>
      <c r="AA895" t="s">
        <v>185</v>
      </c>
      <c r="AB895" t="s">
        <v>47</v>
      </c>
      <c r="AC895" t="s">
        <v>45</v>
      </c>
      <c r="AD895" t="s">
        <v>46</v>
      </c>
      <c r="AE895" s="7">
        <v>52000</v>
      </c>
      <c r="AF895" s="7">
        <v>1</v>
      </c>
      <c r="AG895" s="7">
        <v>52000</v>
      </c>
      <c r="AH895" s="7">
        <v>0</v>
      </c>
      <c r="AI895" s="7">
        <v>52000</v>
      </c>
      <c r="AJ895" t="s">
        <v>45</v>
      </c>
    </row>
    <row r="896" spans="14:36" x14ac:dyDescent="0.3">
      <c r="N896" s="8">
        <v>2026</v>
      </c>
      <c r="O896" s="8">
        <v>6</v>
      </c>
      <c r="P896" s="9">
        <v>46178</v>
      </c>
      <c r="Q896" t="s">
        <v>238</v>
      </c>
      <c r="R896" t="s">
        <v>396</v>
      </c>
      <c r="S896" t="s">
        <v>397</v>
      </c>
      <c r="T896" t="s">
        <v>400</v>
      </c>
      <c r="U896" t="s">
        <v>3898</v>
      </c>
      <c r="V896" t="s">
        <v>246</v>
      </c>
      <c r="W896" t="s">
        <v>244</v>
      </c>
      <c r="X896" t="s">
        <v>3440</v>
      </c>
      <c r="Y896" t="s">
        <v>194</v>
      </c>
      <c r="Z896" t="s">
        <v>200</v>
      </c>
      <c r="AA896" t="s">
        <v>201</v>
      </c>
      <c r="AB896" t="s">
        <v>77</v>
      </c>
      <c r="AC896" t="s">
        <v>75</v>
      </c>
      <c r="AD896" t="s">
        <v>76</v>
      </c>
      <c r="AE896" s="7">
        <v>52000</v>
      </c>
      <c r="AF896" s="7">
        <v>2</v>
      </c>
      <c r="AG896" s="7">
        <v>104000</v>
      </c>
      <c r="AH896" s="7">
        <v>0</v>
      </c>
      <c r="AI896" s="7">
        <v>104000</v>
      </c>
      <c r="AJ896" t="s">
        <v>75</v>
      </c>
    </row>
    <row r="897" spans="14:36" x14ac:dyDescent="0.3">
      <c r="N897" s="8">
        <v>2026</v>
      </c>
      <c r="O897" s="8">
        <v>6</v>
      </c>
      <c r="P897" s="9">
        <v>46178</v>
      </c>
      <c r="Q897" t="s">
        <v>238</v>
      </c>
      <c r="R897" t="s">
        <v>396</v>
      </c>
      <c r="S897" t="s">
        <v>397</v>
      </c>
      <c r="T897" t="s">
        <v>3441</v>
      </c>
      <c r="U897" t="s">
        <v>3539</v>
      </c>
      <c r="V897" t="s">
        <v>246</v>
      </c>
      <c r="W897" t="s">
        <v>244</v>
      </c>
      <c r="X897" t="s">
        <v>3442</v>
      </c>
      <c r="Y897" t="s">
        <v>168</v>
      </c>
      <c r="Z897" t="s">
        <v>171</v>
      </c>
      <c r="AA897" t="s">
        <v>172</v>
      </c>
      <c r="AB897" t="s">
        <v>11</v>
      </c>
      <c r="AC897" t="s">
        <v>9</v>
      </c>
      <c r="AD897" t="s">
        <v>10</v>
      </c>
      <c r="AE897" s="7">
        <v>129000</v>
      </c>
      <c r="AF897" s="7">
        <v>1</v>
      </c>
      <c r="AG897" s="7">
        <v>129000</v>
      </c>
      <c r="AH897" s="7">
        <v>20000</v>
      </c>
      <c r="AI897" s="7">
        <v>109000</v>
      </c>
      <c r="AJ897" t="s">
        <v>9</v>
      </c>
    </row>
    <row r="898" spans="14:36" x14ac:dyDescent="0.3">
      <c r="N898" s="8">
        <v>2026</v>
      </c>
      <c r="O898" s="8">
        <v>6</v>
      </c>
      <c r="P898" s="9">
        <v>46178</v>
      </c>
      <c r="Q898" t="s">
        <v>238</v>
      </c>
      <c r="R898" t="s">
        <v>415</v>
      </c>
      <c r="S898" t="s">
        <v>416</v>
      </c>
      <c r="T898" t="s">
        <v>3443</v>
      </c>
      <c r="U898" t="s">
        <v>391</v>
      </c>
      <c r="V898" t="s">
        <v>246</v>
      </c>
      <c r="W898" t="s">
        <v>244</v>
      </c>
      <c r="X898" t="s">
        <v>3444</v>
      </c>
      <c r="Y898" t="s">
        <v>194</v>
      </c>
      <c r="Z898" t="s">
        <v>200</v>
      </c>
      <c r="AA898" t="s">
        <v>201</v>
      </c>
      <c r="AB898" t="s">
        <v>80</v>
      </c>
      <c r="AC898" t="s">
        <v>78</v>
      </c>
      <c r="AD898" t="s">
        <v>79</v>
      </c>
      <c r="AE898" s="7">
        <v>14000</v>
      </c>
      <c r="AF898" s="7">
        <v>1</v>
      </c>
      <c r="AG898" s="7">
        <v>14000</v>
      </c>
      <c r="AH898" s="7">
        <v>0</v>
      </c>
      <c r="AI898" s="7">
        <v>14000</v>
      </c>
      <c r="AJ898" t="s">
        <v>78</v>
      </c>
    </row>
    <row r="899" spans="14:36" x14ac:dyDescent="0.3">
      <c r="N899" s="8">
        <v>2026</v>
      </c>
      <c r="O899" s="8">
        <v>6</v>
      </c>
      <c r="P899" s="9">
        <v>46178</v>
      </c>
      <c r="Q899" t="s">
        <v>238</v>
      </c>
      <c r="R899" t="s">
        <v>415</v>
      </c>
      <c r="S899" t="s">
        <v>416</v>
      </c>
      <c r="T899" t="s">
        <v>3445</v>
      </c>
      <c r="U899" t="s">
        <v>3925</v>
      </c>
      <c r="V899" t="s">
        <v>246</v>
      </c>
      <c r="W899" t="s">
        <v>244</v>
      </c>
      <c r="X899" t="s">
        <v>3446</v>
      </c>
      <c r="Y899" t="s">
        <v>168</v>
      </c>
      <c r="Z899" t="s">
        <v>171</v>
      </c>
      <c r="AA899" t="s">
        <v>172</v>
      </c>
      <c r="AB899" t="s">
        <v>11</v>
      </c>
      <c r="AC899" t="s">
        <v>9</v>
      </c>
      <c r="AD899" t="s">
        <v>10</v>
      </c>
      <c r="AE899" s="7">
        <v>129000</v>
      </c>
      <c r="AF899" s="7">
        <v>1</v>
      </c>
      <c r="AG899" s="7">
        <v>129000</v>
      </c>
      <c r="AH899" s="7">
        <v>20000</v>
      </c>
      <c r="AI899" s="7">
        <v>109000</v>
      </c>
      <c r="AJ899" t="s">
        <v>9</v>
      </c>
    </row>
    <row r="900" spans="14:36" x14ac:dyDescent="0.3">
      <c r="N900" s="8">
        <v>2026</v>
      </c>
      <c r="O900" s="8">
        <v>6</v>
      </c>
      <c r="P900" s="9">
        <v>46178</v>
      </c>
      <c r="Q900" t="s">
        <v>238</v>
      </c>
      <c r="R900" t="s">
        <v>415</v>
      </c>
      <c r="S900" t="s">
        <v>416</v>
      </c>
      <c r="T900" t="s">
        <v>3445</v>
      </c>
      <c r="U900" t="s">
        <v>3925</v>
      </c>
      <c r="V900" t="s">
        <v>246</v>
      </c>
      <c r="W900" t="s">
        <v>244</v>
      </c>
      <c r="X900" t="s">
        <v>3446</v>
      </c>
      <c r="Y900" t="s">
        <v>168</v>
      </c>
      <c r="Z900" t="s">
        <v>171</v>
      </c>
      <c r="AA900" t="s">
        <v>172</v>
      </c>
      <c r="AB900" t="s">
        <v>14</v>
      </c>
      <c r="AC900" t="s">
        <v>12</v>
      </c>
      <c r="AD900" t="s">
        <v>13</v>
      </c>
      <c r="AE900" s="7">
        <v>135000</v>
      </c>
      <c r="AF900" s="7">
        <v>1</v>
      </c>
      <c r="AG900" s="7">
        <v>135000</v>
      </c>
      <c r="AH900" s="7">
        <v>26000</v>
      </c>
      <c r="AI900" s="7">
        <v>109000</v>
      </c>
      <c r="AJ900" t="s">
        <v>12</v>
      </c>
    </row>
    <row r="901" spans="14:36" x14ac:dyDescent="0.3">
      <c r="N901" s="8">
        <v>2026</v>
      </c>
      <c r="O901" s="8">
        <v>6</v>
      </c>
      <c r="P901" s="9">
        <v>46178</v>
      </c>
      <c r="Q901" t="s">
        <v>238</v>
      </c>
      <c r="R901" t="s">
        <v>425</v>
      </c>
      <c r="S901" t="s">
        <v>426</v>
      </c>
      <c r="T901" t="s">
        <v>515</v>
      </c>
      <c r="U901" t="s">
        <v>395</v>
      </c>
      <c r="V901" t="s">
        <v>246</v>
      </c>
      <c r="W901" t="s">
        <v>244</v>
      </c>
      <c r="X901" t="s">
        <v>3447</v>
      </c>
      <c r="Y901" t="s">
        <v>168</v>
      </c>
      <c r="Z901" t="s">
        <v>181</v>
      </c>
      <c r="AA901" t="s">
        <v>182</v>
      </c>
      <c r="AB901" t="s">
        <v>50</v>
      </c>
      <c r="AC901" t="s">
        <v>48</v>
      </c>
      <c r="AD901" t="s">
        <v>49</v>
      </c>
      <c r="AE901" s="7">
        <v>49000</v>
      </c>
      <c r="AF901" s="7">
        <v>1</v>
      </c>
      <c r="AG901" s="7">
        <v>49000</v>
      </c>
      <c r="AH901" s="7">
        <v>0</v>
      </c>
      <c r="AI901" s="7">
        <v>49000</v>
      </c>
      <c r="AJ901" t="s">
        <v>48</v>
      </c>
    </row>
    <row r="902" spans="14:36" x14ac:dyDescent="0.3">
      <c r="N902" s="8">
        <v>2026</v>
      </c>
      <c r="O902" s="8">
        <v>6</v>
      </c>
      <c r="P902" s="9">
        <v>46177</v>
      </c>
      <c r="Q902" t="s">
        <v>238</v>
      </c>
      <c r="R902" t="s">
        <v>279</v>
      </c>
      <c r="S902" t="s">
        <v>280</v>
      </c>
      <c r="T902" t="s">
        <v>3448</v>
      </c>
      <c r="U902" t="s">
        <v>3866</v>
      </c>
      <c r="V902" t="s">
        <v>246</v>
      </c>
      <c r="W902" t="s">
        <v>244</v>
      </c>
      <c r="X902" t="s">
        <v>3449</v>
      </c>
      <c r="Y902" t="s">
        <v>191</v>
      </c>
      <c r="Z902" t="s">
        <v>192</v>
      </c>
      <c r="AA902" t="s">
        <v>193</v>
      </c>
      <c r="AB902" t="s">
        <v>113</v>
      </c>
      <c r="AC902" t="s">
        <v>111</v>
      </c>
      <c r="AD902" t="s">
        <v>112</v>
      </c>
      <c r="AE902" s="7">
        <v>235000</v>
      </c>
      <c r="AF902" s="7">
        <v>1</v>
      </c>
      <c r="AG902" s="7">
        <v>235000</v>
      </c>
      <c r="AH902" s="7">
        <v>0</v>
      </c>
      <c r="AI902" s="7">
        <v>235000</v>
      </c>
      <c r="AJ902" t="s">
        <v>111</v>
      </c>
    </row>
    <row r="903" spans="14:36" x14ac:dyDescent="0.3">
      <c r="N903" s="8">
        <v>2026</v>
      </c>
      <c r="O903" s="8">
        <v>6</v>
      </c>
      <c r="P903" s="9">
        <v>46177</v>
      </c>
      <c r="Q903" t="s">
        <v>238</v>
      </c>
      <c r="R903" t="s">
        <v>279</v>
      </c>
      <c r="S903" t="s">
        <v>280</v>
      </c>
      <c r="T903" t="s">
        <v>3448</v>
      </c>
      <c r="U903" t="s">
        <v>3866</v>
      </c>
      <c r="V903" t="s">
        <v>246</v>
      </c>
      <c r="W903" t="s">
        <v>244</v>
      </c>
      <c r="X903" t="s">
        <v>3449</v>
      </c>
      <c r="Y903" t="s">
        <v>191</v>
      </c>
      <c r="Z903" t="s">
        <v>192</v>
      </c>
      <c r="AA903" t="s">
        <v>193</v>
      </c>
      <c r="AB903" t="s">
        <v>107</v>
      </c>
      <c r="AC903" t="s">
        <v>105</v>
      </c>
      <c r="AD903" t="s">
        <v>106</v>
      </c>
      <c r="AE903" s="7">
        <v>235000</v>
      </c>
      <c r="AF903" s="7">
        <v>1</v>
      </c>
      <c r="AG903" s="7">
        <v>235000</v>
      </c>
      <c r="AH903" s="7">
        <v>0</v>
      </c>
      <c r="AI903" s="7">
        <v>235000</v>
      </c>
      <c r="AJ903" t="s">
        <v>105</v>
      </c>
    </row>
    <row r="904" spans="14:36" x14ac:dyDescent="0.3">
      <c r="N904" s="8">
        <v>2026</v>
      </c>
      <c r="O904" s="8">
        <v>6</v>
      </c>
      <c r="P904" s="9">
        <v>46177</v>
      </c>
      <c r="Q904" t="s">
        <v>238</v>
      </c>
      <c r="R904" t="s">
        <v>303</v>
      </c>
      <c r="S904" t="s">
        <v>304</v>
      </c>
      <c r="T904" t="s">
        <v>3450</v>
      </c>
      <c r="U904" t="s">
        <v>3898</v>
      </c>
      <c r="V904" t="s">
        <v>246</v>
      </c>
      <c r="W904" t="s">
        <v>244</v>
      </c>
      <c r="X904" t="s">
        <v>3451</v>
      </c>
      <c r="Y904" t="s">
        <v>191</v>
      </c>
      <c r="Z904" t="s">
        <v>192</v>
      </c>
      <c r="AA904" t="s">
        <v>193</v>
      </c>
      <c r="AB904" t="s">
        <v>104</v>
      </c>
      <c r="AC904" t="s">
        <v>102</v>
      </c>
      <c r="AD904" t="s">
        <v>103</v>
      </c>
      <c r="AE904" s="7">
        <v>235000</v>
      </c>
      <c r="AF904" s="7">
        <v>1</v>
      </c>
      <c r="AG904" s="7">
        <v>235000</v>
      </c>
      <c r="AH904" s="7">
        <v>0</v>
      </c>
      <c r="AI904" s="7">
        <v>235000</v>
      </c>
      <c r="AJ904" t="s">
        <v>102</v>
      </c>
    </row>
    <row r="905" spans="14:36" x14ac:dyDescent="0.3">
      <c r="N905" s="8">
        <v>2026</v>
      </c>
      <c r="O905" s="8">
        <v>6</v>
      </c>
      <c r="P905" s="9">
        <v>46177</v>
      </c>
      <c r="Q905" t="s">
        <v>238</v>
      </c>
      <c r="R905" t="s">
        <v>303</v>
      </c>
      <c r="S905" t="s">
        <v>304</v>
      </c>
      <c r="T905" t="s">
        <v>847</v>
      </c>
      <c r="U905" t="s">
        <v>3891</v>
      </c>
      <c r="V905" t="s">
        <v>246</v>
      </c>
      <c r="W905" t="s">
        <v>244</v>
      </c>
      <c r="X905" t="s">
        <v>3452</v>
      </c>
      <c r="Y905" t="s">
        <v>191</v>
      </c>
      <c r="Z905" t="s">
        <v>192</v>
      </c>
      <c r="AA905" t="s">
        <v>193</v>
      </c>
      <c r="AB905" t="s">
        <v>110</v>
      </c>
      <c r="AC905" t="s">
        <v>108</v>
      </c>
      <c r="AD905" t="s">
        <v>109</v>
      </c>
      <c r="AE905" s="7">
        <v>235000</v>
      </c>
      <c r="AF905" s="7">
        <v>1</v>
      </c>
      <c r="AG905" s="7">
        <v>235000</v>
      </c>
      <c r="AH905" s="7">
        <v>0</v>
      </c>
      <c r="AI905" s="7">
        <v>235000</v>
      </c>
      <c r="AJ905" t="s">
        <v>108</v>
      </c>
    </row>
    <row r="906" spans="14:36" x14ac:dyDescent="0.3">
      <c r="N906" s="8">
        <v>2026</v>
      </c>
      <c r="O906" s="8">
        <v>6</v>
      </c>
      <c r="P906" s="9">
        <v>46177</v>
      </c>
      <c r="Q906" t="s">
        <v>238</v>
      </c>
      <c r="R906" t="s">
        <v>303</v>
      </c>
      <c r="S906" t="s">
        <v>304</v>
      </c>
      <c r="T906" t="s">
        <v>3453</v>
      </c>
      <c r="U906" t="s">
        <v>3886</v>
      </c>
      <c r="V906" t="s">
        <v>246</v>
      </c>
      <c r="W906" t="s">
        <v>244</v>
      </c>
      <c r="X906" t="s">
        <v>3454</v>
      </c>
      <c r="Y906" t="s">
        <v>168</v>
      </c>
      <c r="Z906" t="s">
        <v>179</v>
      </c>
      <c r="AA906" t="s">
        <v>180</v>
      </c>
      <c r="AB906" t="s">
        <v>146</v>
      </c>
      <c r="AC906" t="s">
        <v>144</v>
      </c>
      <c r="AD906" t="s">
        <v>145</v>
      </c>
      <c r="AE906" s="7">
        <v>150000</v>
      </c>
      <c r="AF906" s="7">
        <v>5</v>
      </c>
      <c r="AG906" s="7">
        <v>750000</v>
      </c>
      <c r="AH906" s="7">
        <v>75000</v>
      </c>
      <c r="AI906" s="7">
        <v>675000</v>
      </c>
      <c r="AJ906" t="s">
        <v>144</v>
      </c>
    </row>
    <row r="907" spans="14:36" x14ac:dyDescent="0.3">
      <c r="N907" s="8">
        <v>2026</v>
      </c>
      <c r="O907" s="8">
        <v>6</v>
      </c>
      <c r="P907" s="9">
        <v>46177</v>
      </c>
      <c r="Q907" t="s">
        <v>238</v>
      </c>
      <c r="R907" t="s">
        <v>303</v>
      </c>
      <c r="S907" t="s">
        <v>304</v>
      </c>
      <c r="T907" t="s">
        <v>1704</v>
      </c>
      <c r="U907" t="s">
        <v>1705</v>
      </c>
      <c r="V907" t="s">
        <v>246</v>
      </c>
      <c r="W907" t="s">
        <v>244</v>
      </c>
      <c r="X907" t="s">
        <v>3455</v>
      </c>
      <c r="Y907" t="s">
        <v>191</v>
      </c>
      <c r="Z907" t="s">
        <v>335</v>
      </c>
      <c r="AA907" t="s">
        <v>337</v>
      </c>
      <c r="AB907" t="s">
        <v>719</v>
      </c>
      <c r="AC907" t="s">
        <v>720</v>
      </c>
      <c r="AD907" t="s">
        <v>721</v>
      </c>
      <c r="AE907" s="7">
        <v>104000</v>
      </c>
      <c r="AF907" s="7">
        <v>1</v>
      </c>
      <c r="AG907" s="7">
        <v>104000</v>
      </c>
      <c r="AH907" s="7">
        <v>0</v>
      </c>
      <c r="AI907" s="7">
        <v>104000</v>
      </c>
      <c r="AJ907" t="s">
        <v>720</v>
      </c>
    </row>
    <row r="908" spans="14:36" x14ac:dyDescent="0.3">
      <c r="N908" s="8">
        <v>2026</v>
      </c>
      <c r="O908" s="8">
        <v>6</v>
      </c>
      <c r="P908" s="9">
        <v>46177</v>
      </c>
      <c r="Q908" t="s">
        <v>238</v>
      </c>
      <c r="R908" t="s">
        <v>374</v>
      </c>
      <c r="S908" t="s">
        <v>375</v>
      </c>
      <c r="T908" t="s">
        <v>1177</v>
      </c>
      <c r="U908" t="s">
        <v>3970</v>
      </c>
      <c r="V908" t="s">
        <v>246</v>
      </c>
      <c r="W908" t="s">
        <v>244</v>
      </c>
      <c r="X908" t="s">
        <v>3456</v>
      </c>
      <c r="Y908" t="s">
        <v>168</v>
      </c>
      <c r="Z908" t="s">
        <v>169</v>
      </c>
      <c r="AA908" t="s">
        <v>170</v>
      </c>
      <c r="AB908" t="s">
        <v>5</v>
      </c>
      <c r="AC908" t="s">
        <v>3</v>
      </c>
      <c r="AD908" t="s">
        <v>4</v>
      </c>
      <c r="AE908" s="7">
        <v>435000</v>
      </c>
      <c r="AF908" s="7">
        <v>1</v>
      </c>
      <c r="AG908" s="7">
        <v>435000</v>
      </c>
      <c r="AH908" s="7">
        <v>0</v>
      </c>
      <c r="AI908" s="7">
        <v>435000</v>
      </c>
      <c r="AJ908" t="s">
        <v>3</v>
      </c>
    </row>
    <row r="909" spans="14:36" x14ac:dyDescent="0.3">
      <c r="N909" s="8">
        <v>2026</v>
      </c>
      <c r="O909" s="8">
        <v>6</v>
      </c>
      <c r="P909" s="9">
        <v>46177</v>
      </c>
      <c r="Q909" t="s">
        <v>238</v>
      </c>
      <c r="R909" t="s">
        <v>374</v>
      </c>
      <c r="S909" t="s">
        <v>375</v>
      </c>
      <c r="T909" t="s">
        <v>2007</v>
      </c>
      <c r="U909" t="s">
        <v>2008</v>
      </c>
      <c r="V909" t="s">
        <v>246</v>
      </c>
      <c r="W909" t="s">
        <v>244</v>
      </c>
      <c r="X909" t="s">
        <v>3457</v>
      </c>
      <c r="Y909" t="s">
        <v>168</v>
      </c>
      <c r="Z909" t="s">
        <v>171</v>
      </c>
      <c r="AA909" t="s">
        <v>172</v>
      </c>
      <c r="AB909" t="s">
        <v>14</v>
      </c>
      <c r="AC909" t="s">
        <v>12</v>
      </c>
      <c r="AD909" t="s">
        <v>13</v>
      </c>
      <c r="AE909" s="7">
        <v>135000</v>
      </c>
      <c r="AF909" s="7">
        <v>1</v>
      </c>
      <c r="AG909" s="7">
        <v>135000</v>
      </c>
      <c r="AH909" s="7">
        <v>26000</v>
      </c>
      <c r="AI909" s="7">
        <v>109000</v>
      </c>
      <c r="AJ909" t="s">
        <v>12</v>
      </c>
    </row>
    <row r="910" spans="14:36" x14ac:dyDescent="0.3">
      <c r="N910" s="8">
        <v>2026</v>
      </c>
      <c r="O910" s="8">
        <v>6</v>
      </c>
      <c r="P910" s="9">
        <v>46177</v>
      </c>
      <c r="Q910" t="s">
        <v>238</v>
      </c>
      <c r="R910" t="s">
        <v>374</v>
      </c>
      <c r="S910" t="s">
        <v>375</v>
      </c>
      <c r="T910" t="s">
        <v>3130</v>
      </c>
      <c r="U910" t="s">
        <v>3131</v>
      </c>
      <c r="V910" t="s">
        <v>246</v>
      </c>
      <c r="W910" t="s">
        <v>244</v>
      </c>
      <c r="X910" t="s">
        <v>3458</v>
      </c>
      <c r="Y910" t="s">
        <v>183</v>
      </c>
      <c r="Z910" t="s">
        <v>186</v>
      </c>
      <c r="AA910" t="s">
        <v>188</v>
      </c>
      <c r="AB910" t="s">
        <v>101</v>
      </c>
      <c r="AC910" t="s">
        <v>99</v>
      </c>
      <c r="AD910" t="s">
        <v>100</v>
      </c>
      <c r="AE910" s="7">
        <v>199000</v>
      </c>
      <c r="AF910" s="7">
        <v>1</v>
      </c>
      <c r="AG910" s="7">
        <v>199000</v>
      </c>
      <c r="AH910" s="7">
        <v>0</v>
      </c>
      <c r="AI910" s="7">
        <v>199000</v>
      </c>
      <c r="AJ910" t="s">
        <v>99</v>
      </c>
    </row>
    <row r="911" spans="14:36" x14ac:dyDescent="0.3">
      <c r="N911" s="8">
        <v>2026</v>
      </c>
      <c r="O911" s="8">
        <v>6</v>
      </c>
      <c r="P911" s="9">
        <v>46177</v>
      </c>
      <c r="Q911" t="s">
        <v>238</v>
      </c>
      <c r="R911" t="s">
        <v>415</v>
      </c>
      <c r="S911" t="s">
        <v>416</v>
      </c>
      <c r="T911" t="s">
        <v>1106</v>
      </c>
      <c r="U911" t="s">
        <v>3866</v>
      </c>
      <c r="V911" t="s">
        <v>246</v>
      </c>
      <c r="W911" t="s">
        <v>244</v>
      </c>
      <c r="X911" t="s">
        <v>3459</v>
      </c>
      <c r="Y911" t="s">
        <v>191</v>
      </c>
      <c r="Z911" t="s">
        <v>335</v>
      </c>
      <c r="AA911" t="s">
        <v>337</v>
      </c>
      <c r="AB911" t="s">
        <v>348</v>
      </c>
      <c r="AC911" t="s">
        <v>349</v>
      </c>
      <c r="AD911" t="s">
        <v>350</v>
      </c>
      <c r="AE911" s="7">
        <v>76000</v>
      </c>
      <c r="AF911" s="7">
        <v>1</v>
      </c>
      <c r="AG911" s="7">
        <v>76000</v>
      </c>
      <c r="AH911" s="7">
        <v>0</v>
      </c>
      <c r="AI911" s="7">
        <v>76000</v>
      </c>
      <c r="AJ911" t="s">
        <v>349</v>
      </c>
    </row>
    <row r="912" spans="14:36" x14ac:dyDescent="0.3">
      <c r="N912" s="8">
        <v>2026</v>
      </c>
      <c r="O912" s="8">
        <v>6</v>
      </c>
      <c r="P912" s="9">
        <v>46177</v>
      </c>
      <c r="Q912" t="s">
        <v>238</v>
      </c>
      <c r="R912" t="s">
        <v>425</v>
      </c>
      <c r="S912" t="s">
        <v>426</v>
      </c>
      <c r="T912" t="s">
        <v>2266</v>
      </c>
      <c r="U912" t="s">
        <v>3885</v>
      </c>
      <c r="V912" t="s">
        <v>246</v>
      </c>
      <c r="W912" t="s">
        <v>244</v>
      </c>
      <c r="X912" t="s">
        <v>3460</v>
      </c>
      <c r="Y912" t="s">
        <v>168</v>
      </c>
      <c r="Z912" t="s">
        <v>171</v>
      </c>
      <c r="AA912" t="s">
        <v>172</v>
      </c>
      <c r="AB912" t="s">
        <v>11</v>
      </c>
      <c r="AC912" t="s">
        <v>9</v>
      </c>
      <c r="AD912" t="s">
        <v>10</v>
      </c>
      <c r="AE912" s="7">
        <v>129000</v>
      </c>
      <c r="AF912" s="7">
        <v>1</v>
      </c>
      <c r="AG912" s="7">
        <v>129000</v>
      </c>
      <c r="AH912" s="7">
        <v>20000</v>
      </c>
      <c r="AI912" s="7">
        <v>109000</v>
      </c>
      <c r="AJ912" t="s">
        <v>9</v>
      </c>
    </row>
    <row r="913" spans="14:36" x14ac:dyDescent="0.3">
      <c r="N913" s="8">
        <v>2026</v>
      </c>
      <c r="O913" s="8">
        <v>6</v>
      </c>
      <c r="P913" s="9">
        <v>46176</v>
      </c>
      <c r="Q913" t="s">
        <v>238</v>
      </c>
      <c r="R913" t="s">
        <v>239</v>
      </c>
      <c r="S913" t="s">
        <v>240</v>
      </c>
      <c r="T913" t="s">
        <v>247</v>
      </c>
      <c r="U913" t="s">
        <v>248</v>
      </c>
      <c r="V913" t="s">
        <v>246</v>
      </c>
      <c r="W913" t="s">
        <v>244</v>
      </c>
      <c r="X913" t="s">
        <v>3461</v>
      </c>
      <c r="Y913" t="s">
        <v>194</v>
      </c>
      <c r="Z913" t="s">
        <v>195</v>
      </c>
      <c r="AA913" t="s">
        <v>196</v>
      </c>
      <c r="AB913" t="s">
        <v>59</v>
      </c>
      <c r="AC913" t="s">
        <v>57</v>
      </c>
      <c r="AD913" t="s">
        <v>58</v>
      </c>
      <c r="AE913" s="7">
        <v>330000</v>
      </c>
      <c r="AF913" s="7">
        <v>1</v>
      </c>
      <c r="AG913" s="7">
        <v>330000</v>
      </c>
      <c r="AH913" s="7">
        <v>0</v>
      </c>
      <c r="AI913" s="7">
        <v>330000</v>
      </c>
      <c r="AJ913" t="s">
        <v>57</v>
      </c>
    </row>
    <row r="914" spans="14:36" x14ac:dyDescent="0.3">
      <c r="N914" s="8">
        <v>2026</v>
      </c>
      <c r="O914" s="8">
        <v>6</v>
      </c>
      <c r="P914" s="9">
        <v>46176</v>
      </c>
      <c r="Q914" t="s">
        <v>238</v>
      </c>
      <c r="R914" t="s">
        <v>239</v>
      </c>
      <c r="S914" t="s">
        <v>240</v>
      </c>
      <c r="T914" t="s">
        <v>3462</v>
      </c>
      <c r="U914" t="s">
        <v>3463</v>
      </c>
      <c r="V914" t="s">
        <v>246</v>
      </c>
      <c r="W914" t="s">
        <v>244</v>
      </c>
      <c r="X914" t="s">
        <v>3464</v>
      </c>
      <c r="Y914" t="s">
        <v>194</v>
      </c>
      <c r="Z914" t="s">
        <v>195</v>
      </c>
      <c r="AA914" t="s">
        <v>196</v>
      </c>
      <c r="AB914" t="s">
        <v>68</v>
      </c>
      <c r="AC914" t="s">
        <v>66</v>
      </c>
      <c r="AD914" t="s">
        <v>67</v>
      </c>
      <c r="AE914" s="7">
        <v>360000</v>
      </c>
      <c r="AF914" s="7">
        <v>1</v>
      </c>
      <c r="AG914" s="7">
        <v>360000</v>
      </c>
      <c r="AH914" s="7">
        <v>0</v>
      </c>
      <c r="AI914" s="7">
        <v>360000</v>
      </c>
      <c r="AJ914" t="s">
        <v>66</v>
      </c>
    </row>
    <row r="915" spans="14:36" x14ac:dyDescent="0.3">
      <c r="N915" s="8">
        <v>2026</v>
      </c>
      <c r="O915" s="8">
        <v>6</v>
      </c>
      <c r="P915" s="9">
        <v>46176</v>
      </c>
      <c r="Q915" t="s">
        <v>238</v>
      </c>
      <c r="R915" t="s">
        <v>239</v>
      </c>
      <c r="S915" t="s">
        <v>240</v>
      </c>
      <c r="T915" t="s">
        <v>3462</v>
      </c>
      <c r="U915" t="s">
        <v>3463</v>
      </c>
      <c r="V915" t="s">
        <v>246</v>
      </c>
      <c r="W915" t="s">
        <v>244</v>
      </c>
      <c r="X915" t="s">
        <v>3464</v>
      </c>
      <c r="Y915" t="s">
        <v>194</v>
      </c>
      <c r="Z915" t="s">
        <v>200</v>
      </c>
      <c r="AA915" t="s">
        <v>201</v>
      </c>
      <c r="AB915" t="s">
        <v>89</v>
      </c>
      <c r="AC915" t="s">
        <v>87</v>
      </c>
      <c r="AD915" t="s">
        <v>88</v>
      </c>
      <c r="AE915" s="7">
        <v>46000</v>
      </c>
      <c r="AF915" s="7">
        <v>1</v>
      </c>
      <c r="AG915" s="7">
        <v>46000</v>
      </c>
      <c r="AH915" s="7">
        <v>0</v>
      </c>
      <c r="AI915" s="7">
        <v>46000</v>
      </c>
      <c r="AJ915" t="s">
        <v>87</v>
      </c>
    </row>
    <row r="916" spans="14:36" x14ac:dyDescent="0.3">
      <c r="N916" s="8">
        <v>2026</v>
      </c>
      <c r="O916" s="8">
        <v>6</v>
      </c>
      <c r="P916" s="9">
        <v>46176</v>
      </c>
      <c r="Q916" t="s">
        <v>238</v>
      </c>
      <c r="R916" t="s">
        <v>239</v>
      </c>
      <c r="S916" t="s">
        <v>240</v>
      </c>
      <c r="T916" t="s">
        <v>3465</v>
      </c>
      <c r="U916" t="s">
        <v>3898</v>
      </c>
      <c r="V916" t="s">
        <v>246</v>
      </c>
      <c r="W916" t="s">
        <v>244</v>
      </c>
      <c r="X916" t="s">
        <v>3466</v>
      </c>
      <c r="Y916" t="s">
        <v>194</v>
      </c>
      <c r="Z916" t="s">
        <v>200</v>
      </c>
      <c r="AA916" t="s">
        <v>201</v>
      </c>
      <c r="AB916" t="s">
        <v>77</v>
      </c>
      <c r="AC916" t="s">
        <v>75</v>
      </c>
      <c r="AD916" t="s">
        <v>76</v>
      </c>
      <c r="AE916" s="7">
        <v>52000</v>
      </c>
      <c r="AF916" s="7">
        <v>2</v>
      </c>
      <c r="AG916" s="7">
        <v>104000</v>
      </c>
      <c r="AH916" s="7">
        <v>0</v>
      </c>
      <c r="AI916" s="7">
        <v>104000</v>
      </c>
      <c r="AJ916" t="s">
        <v>75</v>
      </c>
    </row>
    <row r="917" spans="14:36" x14ac:dyDescent="0.3">
      <c r="N917" s="8">
        <v>2026</v>
      </c>
      <c r="O917" s="8">
        <v>6</v>
      </c>
      <c r="P917" s="9">
        <v>46176</v>
      </c>
      <c r="Q917" t="s">
        <v>238</v>
      </c>
      <c r="R917" t="s">
        <v>279</v>
      </c>
      <c r="S917" t="s">
        <v>280</v>
      </c>
      <c r="T917" t="s">
        <v>2427</v>
      </c>
      <c r="U917" t="s">
        <v>2428</v>
      </c>
      <c r="V917" t="s">
        <v>246</v>
      </c>
      <c r="W917" t="s">
        <v>244</v>
      </c>
      <c r="X917" t="s">
        <v>3467</v>
      </c>
      <c r="Y917" t="s">
        <v>191</v>
      </c>
      <c r="Z917" t="s">
        <v>335</v>
      </c>
      <c r="AA917" t="s">
        <v>337</v>
      </c>
      <c r="AB917" t="s">
        <v>348</v>
      </c>
      <c r="AC917" t="s">
        <v>349</v>
      </c>
      <c r="AD917" t="s">
        <v>350</v>
      </c>
      <c r="AE917" s="7">
        <v>76000</v>
      </c>
      <c r="AF917" s="7">
        <v>1</v>
      </c>
      <c r="AG917" s="7">
        <v>76000</v>
      </c>
      <c r="AH917" s="7">
        <v>0</v>
      </c>
      <c r="AI917" s="7">
        <v>76000</v>
      </c>
      <c r="AJ917" t="s">
        <v>349</v>
      </c>
    </row>
    <row r="918" spans="14:36" x14ac:dyDescent="0.3">
      <c r="N918" s="8">
        <v>2026</v>
      </c>
      <c r="O918" s="8">
        <v>6</v>
      </c>
      <c r="P918" s="9">
        <v>46176</v>
      </c>
      <c r="Q918" t="s">
        <v>238</v>
      </c>
      <c r="R918" t="s">
        <v>279</v>
      </c>
      <c r="S918" t="s">
        <v>280</v>
      </c>
      <c r="T918" t="s">
        <v>2524</v>
      </c>
      <c r="U918" t="s">
        <v>2525</v>
      </c>
      <c r="V918" t="s">
        <v>246</v>
      </c>
      <c r="W918" t="s">
        <v>244</v>
      </c>
      <c r="X918" t="s">
        <v>3468</v>
      </c>
      <c r="Y918" t="s">
        <v>168</v>
      </c>
      <c r="Z918" t="s">
        <v>171</v>
      </c>
      <c r="AA918" t="s">
        <v>175</v>
      </c>
      <c r="AB918" t="s">
        <v>44</v>
      </c>
      <c r="AC918" t="s">
        <v>42</v>
      </c>
      <c r="AD918" t="s">
        <v>43</v>
      </c>
      <c r="AE918" s="7">
        <v>294000</v>
      </c>
      <c r="AF918" s="7">
        <v>1</v>
      </c>
      <c r="AG918" s="7">
        <v>294000</v>
      </c>
      <c r="AH918" s="7">
        <v>117600</v>
      </c>
      <c r="AI918" s="7">
        <v>176400</v>
      </c>
      <c r="AJ918" t="s">
        <v>42</v>
      </c>
    </row>
    <row r="919" spans="14:36" x14ac:dyDescent="0.3">
      <c r="N919" s="8">
        <v>2026</v>
      </c>
      <c r="O919" s="8">
        <v>6</v>
      </c>
      <c r="P919" s="9">
        <v>46176</v>
      </c>
      <c r="Q919" t="s">
        <v>238</v>
      </c>
      <c r="R919" t="s">
        <v>279</v>
      </c>
      <c r="S919" t="s">
        <v>280</v>
      </c>
      <c r="T919" t="s">
        <v>2524</v>
      </c>
      <c r="U919" t="s">
        <v>2525</v>
      </c>
      <c r="V919" t="s">
        <v>246</v>
      </c>
      <c r="W919" t="s">
        <v>244</v>
      </c>
      <c r="X919" t="s">
        <v>3468</v>
      </c>
      <c r="Y919" t="s">
        <v>191</v>
      </c>
      <c r="Z919" t="s">
        <v>192</v>
      </c>
      <c r="AA919" t="s">
        <v>193</v>
      </c>
      <c r="AB919" t="s">
        <v>119</v>
      </c>
      <c r="AC919" t="s">
        <v>117</v>
      </c>
      <c r="AD919" t="s">
        <v>118</v>
      </c>
      <c r="AE919" s="7">
        <v>235000</v>
      </c>
      <c r="AF919" s="7">
        <v>1</v>
      </c>
      <c r="AG919" s="7">
        <v>235000</v>
      </c>
      <c r="AH919" s="7">
        <v>0</v>
      </c>
      <c r="AI919" s="7">
        <v>235000</v>
      </c>
      <c r="AJ919" t="s">
        <v>117</v>
      </c>
    </row>
    <row r="920" spans="14:36" x14ac:dyDescent="0.3">
      <c r="N920" s="8">
        <v>2026</v>
      </c>
      <c r="O920" s="8">
        <v>6</v>
      </c>
      <c r="P920" s="9">
        <v>46176</v>
      </c>
      <c r="Q920" t="s">
        <v>238</v>
      </c>
      <c r="R920" t="s">
        <v>279</v>
      </c>
      <c r="S920" t="s">
        <v>280</v>
      </c>
      <c r="T920" t="s">
        <v>2689</v>
      </c>
      <c r="U920" t="s">
        <v>3866</v>
      </c>
      <c r="V920" t="s">
        <v>246</v>
      </c>
      <c r="W920" t="s">
        <v>244</v>
      </c>
      <c r="X920" t="s">
        <v>3469</v>
      </c>
      <c r="Y920" t="s">
        <v>168</v>
      </c>
      <c r="Z920" t="s">
        <v>181</v>
      </c>
      <c r="AA920" t="s">
        <v>182</v>
      </c>
      <c r="AB920" t="s">
        <v>50</v>
      </c>
      <c r="AC920" t="s">
        <v>48</v>
      </c>
      <c r="AD920" t="s">
        <v>49</v>
      </c>
      <c r="AE920" s="7">
        <v>49000</v>
      </c>
      <c r="AF920" s="7">
        <v>1</v>
      </c>
      <c r="AG920" s="7">
        <v>49000</v>
      </c>
      <c r="AH920" s="7">
        <v>0</v>
      </c>
      <c r="AI920" s="7">
        <v>49000</v>
      </c>
      <c r="AJ920" t="s">
        <v>48</v>
      </c>
    </row>
    <row r="921" spans="14:36" x14ac:dyDescent="0.3">
      <c r="N921" s="8">
        <v>2026</v>
      </c>
      <c r="O921" s="8">
        <v>6</v>
      </c>
      <c r="P921" s="9">
        <v>46176</v>
      </c>
      <c r="Q921" t="s">
        <v>238</v>
      </c>
      <c r="R921" t="s">
        <v>303</v>
      </c>
      <c r="S921" t="s">
        <v>304</v>
      </c>
      <c r="T921" t="s">
        <v>458</v>
      </c>
      <c r="U921" t="s">
        <v>459</v>
      </c>
      <c r="V921" t="s">
        <v>246</v>
      </c>
      <c r="W921" t="s">
        <v>244</v>
      </c>
      <c r="X921" t="s">
        <v>3470</v>
      </c>
      <c r="Y921" t="s">
        <v>183</v>
      </c>
      <c r="Z921" t="s">
        <v>184</v>
      </c>
      <c r="AA921" t="s">
        <v>185</v>
      </c>
      <c r="AB921" t="s">
        <v>47</v>
      </c>
      <c r="AC921" t="s">
        <v>45</v>
      </c>
      <c r="AD921" t="s">
        <v>46</v>
      </c>
      <c r="AE921" s="7">
        <v>52000</v>
      </c>
      <c r="AF921" s="7">
        <v>1</v>
      </c>
      <c r="AG921" s="7">
        <v>52000</v>
      </c>
      <c r="AH921" s="7">
        <v>0</v>
      </c>
      <c r="AI921" s="7">
        <v>52000</v>
      </c>
      <c r="AJ921" t="s">
        <v>45</v>
      </c>
    </row>
    <row r="922" spans="14:36" x14ac:dyDescent="0.3">
      <c r="N922" s="8">
        <v>2026</v>
      </c>
      <c r="O922" s="8">
        <v>6</v>
      </c>
      <c r="P922" s="9">
        <v>46176</v>
      </c>
      <c r="Q922" t="s">
        <v>238</v>
      </c>
      <c r="R922" t="s">
        <v>303</v>
      </c>
      <c r="S922" t="s">
        <v>304</v>
      </c>
      <c r="T922" t="s">
        <v>3471</v>
      </c>
      <c r="U922" t="s">
        <v>311</v>
      </c>
      <c r="V922" t="s">
        <v>246</v>
      </c>
      <c r="W922" t="s">
        <v>244</v>
      </c>
      <c r="X922" t="s">
        <v>3472</v>
      </c>
      <c r="Y922" t="s">
        <v>183</v>
      </c>
      <c r="Z922" t="s">
        <v>186</v>
      </c>
      <c r="AA922" t="s">
        <v>188</v>
      </c>
      <c r="AB922" t="s">
        <v>98</v>
      </c>
      <c r="AC922" t="s">
        <v>96</v>
      </c>
      <c r="AD922" t="s">
        <v>97</v>
      </c>
      <c r="AE922" s="7">
        <v>239000</v>
      </c>
      <c r="AF922" s="7">
        <v>1</v>
      </c>
      <c r="AG922" s="7">
        <v>239000</v>
      </c>
      <c r="AH922" s="7">
        <v>0</v>
      </c>
      <c r="AI922" s="7">
        <v>239000</v>
      </c>
      <c r="AJ922" t="s">
        <v>96</v>
      </c>
    </row>
    <row r="923" spans="14:36" x14ac:dyDescent="0.3">
      <c r="N923" s="8">
        <v>2026</v>
      </c>
      <c r="O923" s="8">
        <v>6</v>
      </c>
      <c r="P923" s="9">
        <v>46176</v>
      </c>
      <c r="Q923" t="s">
        <v>238</v>
      </c>
      <c r="R923" t="s">
        <v>303</v>
      </c>
      <c r="S923" t="s">
        <v>304</v>
      </c>
      <c r="T923" t="s">
        <v>3473</v>
      </c>
      <c r="U923" t="s">
        <v>3866</v>
      </c>
      <c r="V923" t="s">
        <v>246</v>
      </c>
      <c r="W923" t="s">
        <v>244</v>
      </c>
      <c r="X923" t="s">
        <v>3474</v>
      </c>
      <c r="Y923" t="s">
        <v>168</v>
      </c>
      <c r="Z923" t="s">
        <v>171</v>
      </c>
      <c r="AA923" t="s">
        <v>172</v>
      </c>
      <c r="AB923" t="s">
        <v>134</v>
      </c>
      <c r="AC923" t="s">
        <v>132</v>
      </c>
      <c r="AD923" t="s">
        <v>133</v>
      </c>
      <c r="AE923" s="7">
        <v>395000</v>
      </c>
      <c r="AF923" s="7">
        <v>1</v>
      </c>
      <c r="AG923" s="7">
        <v>395000</v>
      </c>
      <c r="AH923" s="7">
        <v>31600</v>
      </c>
      <c r="AI923" s="7">
        <v>363400</v>
      </c>
      <c r="AJ923" t="s">
        <v>132</v>
      </c>
    </row>
    <row r="924" spans="14:36" x14ac:dyDescent="0.3">
      <c r="N924" s="8">
        <v>2026</v>
      </c>
      <c r="O924" s="8">
        <v>6</v>
      </c>
      <c r="P924" s="9">
        <v>46176</v>
      </c>
      <c r="Q924" t="s">
        <v>238</v>
      </c>
      <c r="R924" t="s">
        <v>303</v>
      </c>
      <c r="S924" t="s">
        <v>304</v>
      </c>
      <c r="T924" t="s">
        <v>3473</v>
      </c>
      <c r="U924" t="s">
        <v>3866</v>
      </c>
      <c r="V924" t="s">
        <v>246</v>
      </c>
      <c r="W924" t="s">
        <v>244</v>
      </c>
      <c r="X924" t="s">
        <v>3474</v>
      </c>
      <c r="Y924" t="s">
        <v>168</v>
      </c>
      <c r="Z924" t="s">
        <v>171</v>
      </c>
      <c r="AA924" t="s">
        <v>175</v>
      </c>
      <c r="AB924" t="s">
        <v>41</v>
      </c>
      <c r="AC924" t="s">
        <v>39</v>
      </c>
      <c r="AD924" t="s">
        <v>40</v>
      </c>
      <c r="AE924" s="7">
        <v>295000</v>
      </c>
      <c r="AF924" s="7">
        <v>1</v>
      </c>
      <c r="AG924" s="7">
        <v>295000</v>
      </c>
      <c r="AH924" s="7">
        <v>0</v>
      </c>
      <c r="AI924" s="7">
        <v>295000</v>
      </c>
      <c r="AJ924" t="s">
        <v>39</v>
      </c>
    </row>
    <row r="925" spans="14:36" x14ac:dyDescent="0.3">
      <c r="N925" s="8">
        <v>2026</v>
      </c>
      <c r="O925" s="8">
        <v>6</v>
      </c>
      <c r="P925" s="9">
        <v>46176</v>
      </c>
      <c r="Q925" t="s">
        <v>238</v>
      </c>
      <c r="R925" t="s">
        <v>303</v>
      </c>
      <c r="S925" t="s">
        <v>304</v>
      </c>
      <c r="T925" t="s">
        <v>3473</v>
      </c>
      <c r="U925" t="s">
        <v>3866</v>
      </c>
      <c r="V925" t="s">
        <v>246</v>
      </c>
      <c r="W925" t="s">
        <v>244</v>
      </c>
      <c r="X925" t="s">
        <v>3474</v>
      </c>
      <c r="Y925" t="s">
        <v>183</v>
      </c>
      <c r="Z925" t="s">
        <v>184</v>
      </c>
      <c r="AA925" t="s">
        <v>185</v>
      </c>
      <c r="AB925" t="s">
        <v>47</v>
      </c>
      <c r="AC925" t="s">
        <v>45</v>
      </c>
      <c r="AD925" t="s">
        <v>46</v>
      </c>
      <c r="AE925" s="7">
        <v>52000</v>
      </c>
      <c r="AF925" s="7">
        <v>1</v>
      </c>
      <c r="AG925" s="7">
        <v>52000</v>
      </c>
      <c r="AH925" s="7">
        <v>0</v>
      </c>
      <c r="AI925" s="7">
        <v>52000</v>
      </c>
      <c r="AJ925" t="s">
        <v>45</v>
      </c>
    </row>
    <row r="926" spans="14:36" x14ac:dyDescent="0.3">
      <c r="N926" s="8">
        <v>2026</v>
      </c>
      <c r="O926" s="8">
        <v>6</v>
      </c>
      <c r="P926" s="9">
        <v>46176</v>
      </c>
      <c r="Q926" t="s">
        <v>238</v>
      </c>
      <c r="R926" t="s">
        <v>303</v>
      </c>
      <c r="S926" t="s">
        <v>304</v>
      </c>
      <c r="T926" t="s">
        <v>3475</v>
      </c>
      <c r="U926" t="s">
        <v>2222</v>
      </c>
      <c r="V926" t="s">
        <v>249</v>
      </c>
      <c r="W926" t="s">
        <v>244</v>
      </c>
      <c r="X926" t="s">
        <v>3476</v>
      </c>
      <c r="Y926" t="s">
        <v>183</v>
      </c>
      <c r="Z926" t="s">
        <v>189</v>
      </c>
      <c r="AA926" t="s">
        <v>190</v>
      </c>
      <c r="AB926" t="s">
        <v>92</v>
      </c>
      <c r="AC926" t="s">
        <v>90</v>
      </c>
      <c r="AD926" t="s">
        <v>91</v>
      </c>
      <c r="AE926" s="7">
        <v>52000</v>
      </c>
      <c r="AF926" s="7">
        <v>1</v>
      </c>
      <c r="AG926" s="7">
        <v>52000</v>
      </c>
      <c r="AH926" s="7">
        <v>0</v>
      </c>
      <c r="AI926" s="7">
        <v>52000</v>
      </c>
      <c r="AJ926" t="s">
        <v>90</v>
      </c>
    </row>
    <row r="927" spans="14:36" x14ac:dyDescent="0.3">
      <c r="N927" s="8">
        <v>2026</v>
      </c>
      <c r="O927" s="8">
        <v>6</v>
      </c>
      <c r="P927" s="9">
        <v>46176</v>
      </c>
      <c r="Q927" t="s">
        <v>238</v>
      </c>
      <c r="R927" t="s">
        <v>374</v>
      </c>
      <c r="S927" t="s">
        <v>375</v>
      </c>
      <c r="T927" t="s">
        <v>376</v>
      </c>
      <c r="U927" t="s">
        <v>377</v>
      </c>
      <c r="V927" t="s">
        <v>243</v>
      </c>
      <c r="W927" t="s">
        <v>244</v>
      </c>
      <c r="X927" t="s">
        <v>3477</v>
      </c>
      <c r="Y927" t="s">
        <v>194</v>
      </c>
      <c r="Z927" t="s">
        <v>200</v>
      </c>
      <c r="AA927" t="s">
        <v>201</v>
      </c>
      <c r="AB927" t="s">
        <v>80</v>
      </c>
      <c r="AC927" t="s">
        <v>78</v>
      </c>
      <c r="AD927" t="s">
        <v>79</v>
      </c>
      <c r="AE927" s="7">
        <v>14000</v>
      </c>
      <c r="AF927" s="7">
        <v>1</v>
      </c>
      <c r="AG927" s="7">
        <v>14000</v>
      </c>
      <c r="AH927" s="7">
        <v>0</v>
      </c>
      <c r="AI927" s="7">
        <v>14000</v>
      </c>
      <c r="AJ927" t="s">
        <v>78</v>
      </c>
    </row>
    <row r="928" spans="14:36" x14ac:dyDescent="0.3">
      <c r="N928" s="8">
        <v>2026</v>
      </c>
      <c r="O928" s="8">
        <v>6</v>
      </c>
      <c r="P928" s="9">
        <v>46176</v>
      </c>
      <c r="Q928" t="s">
        <v>238</v>
      </c>
      <c r="R928" t="s">
        <v>374</v>
      </c>
      <c r="S928" t="s">
        <v>375</v>
      </c>
      <c r="T928" t="s">
        <v>3478</v>
      </c>
      <c r="U928" t="s">
        <v>3971</v>
      </c>
      <c r="V928" t="s">
        <v>246</v>
      </c>
      <c r="W928" t="s">
        <v>244</v>
      </c>
      <c r="X928" t="s">
        <v>3479</v>
      </c>
      <c r="Y928" t="s">
        <v>183</v>
      </c>
      <c r="Z928" t="s">
        <v>186</v>
      </c>
      <c r="AA928" t="s">
        <v>187</v>
      </c>
      <c r="AB928" t="s">
        <v>152</v>
      </c>
      <c r="AC928" t="s">
        <v>150</v>
      </c>
      <c r="AD928" t="s">
        <v>1382</v>
      </c>
      <c r="AE928" s="7">
        <v>199000</v>
      </c>
      <c r="AF928" s="7">
        <v>1</v>
      </c>
      <c r="AG928" s="7">
        <v>199000</v>
      </c>
      <c r="AH928" s="7">
        <v>0</v>
      </c>
      <c r="AI928" s="7">
        <v>199000</v>
      </c>
      <c r="AJ928" t="s">
        <v>150</v>
      </c>
    </row>
    <row r="929" spans="14:36" x14ac:dyDescent="0.3">
      <c r="N929" s="8">
        <v>2026</v>
      </c>
      <c r="O929" s="8">
        <v>6</v>
      </c>
      <c r="P929" s="9">
        <v>46176</v>
      </c>
      <c r="Q929" t="s">
        <v>238</v>
      </c>
      <c r="R929" t="s">
        <v>374</v>
      </c>
      <c r="S929" t="s">
        <v>375</v>
      </c>
      <c r="T929" t="s">
        <v>931</v>
      </c>
      <c r="U929" t="s">
        <v>3972</v>
      </c>
      <c r="V929" t="s">
        <v>246</v>
      </c>
      <c r="W929" t="s">
        <v>244</v>
      </c>
      <c r="X929" t="s">
        <v>3480</v>
      </c>
      <c r="Y929" t="s">
        <v>168</v>
      </c>
      <c r="Z929" t="s">
        <v>171</v>
      </c>
      <c r="AA929" t="s">
        <v>173</v>
      </c>
      <c r="AB929" t="s">
        <v>29</v>
      </c>
      <c r="AC929" t="s">
        <v>27</v>
      </c>
      <c r="AD929" t="s">
        <v>28</v>
      </c>
      <c r="AE929" s="7">
        <v>575000</v>
      </c>
      <c r="AF929" s="7">
        <v>2</v>
      </c>
      <c r="AG929" s="7">
        <v>1150000</v>
      </c>
      <c r="AH929" s="7">
        <v>92000</v>
      </c>
      <c r="AI929" s="7">
        <v>1058000</v>
      </c>
      <c r="AJ929" t="s">
        <v>27</v>
      </c>
    </row>
    <row r="930" spans="14:36" x14ac:dyDescent="0.3">
      <c r="N930" s="8">
        <v>2026</v>
      </c>
      <c r="O930" s="8">
        <v>6</v>
      </c>
      <c r="P930" s="9">
        <v>46176</v>
      </c>
      <c r="Q930" t="s">
        <v>238</v>
      </c>
      <c r="R930" t="s">
        <v>374</v>
      </c>
      <c r="S930" t="s">
        <v>375</v>
      </c>
      <c r="T930" t="s">
        <v>870</v>
      </c>
      <c r="U930" t="s">
        <v>871</v>
      </c>
      <c r="V930" t="s">
        <v>246</v>
      </c>
      <c r="W930" t="s">
        <v>244</v>
      </c>
      <c r="X930" t="s">
        <v>3481</v>
      </c>
      <c r="Y930" t="s">
        <v>191</v>
      </c>
      <c r="Z930" t="s">
        <v>335</v>
      </c>
      <c r="AA930" t="s">
        <v>337</v>
      </c>
      <c r="AB930" t="s">
        <v>719</v>
      </c>
      <c r="AC930" t="s">
        <v>720</v>
      </c>
      <c r="AD930" t="s">
        <v>721</v>
      </c>
      <c r="AE930" s="7">
        <v>104000</v>
      </c>
      <c r="AF930" s="7">
        <v>1</v>
      </c>
      <c r="AG930" s="7">
        <v>104000</v>
      </c>
      <c r="AH930" s="7">
        <v>0</v>
      </c>
      <c r="AI930" s="7">
        <v>104000</v>
      </c>
      <c r="AJ930" t="s">
        <v>720</v>
      </c>
    </row>
    <row r="931" spans="14:36" x14ac:dyDescent="0.3">
      <c r="N931" s="8">
        <v>2026</v>
      </c>
      <c r="O931" s="8">
        <v>6</v>
      </c>
      <c r="P931" s="9">
        <v>46176</v>
      </c>
      <c r="Q931" t="s">
        <v>238</v>
      </c>
      <c r="R931" t="s">
        <v>374</v>
      </c>
      <c r="S931" t="s">
        <v>375</v>
      </c>
      <c r="T931" t="s">
        <v>2541</v>
      </c>
      <c r="U931" t="s">
        <v>3973</v>
      </c>
      <c r="V931" t="s">
        <v>246</v>
      </c>
      <c r="W931" t="s">
        <v>244</v>
      </c>
      <c r="X931" t="s">
        <v>3482</v>
      </c>
      <c r="Y931" t="s">
        <v>194</v>
      </c>
      <c r="Z931" t="s">
        <v>195</v>
      </c>
      <c r="AA931" t="s">
        <v>196</v>
      </c>
      <c r="AB931" t="s">
        <v>68</v>
      </c>
      <c r="AC931" t="s">
        <v>66</v>
      </c>
      <c r="AD931" t="s">
        <v>67</v>
      </c>
      <c r="AE931" s="7">
        <v>360000</v>
      </c>
      <c r="AF931" s="7">
        <v>1</v>
      </c>
      <c r="AG931" s="7">
        <v>360000</v>
      </c>
      <c r="AH931" s="7">
        <v>0</v>
      </c>
      <c r="AI931" s="7">
        <v>360000</v>
      </c>
      <c r="AJ931" t="s">
        <v>66</v>
      </c>
    </row>
    <row r="932" spans="14:36" x14ac:dyDescent="0.3">
      <c r="N932" s="8">
        <v>2026</v>
      </c>
      <c r="O932" s="8">
        <v>6</v>
      </c>
      <c r="P932" s="9">
        <v>46176</v>
      </c>
      <c r="Q932" t="s">
        <v>238</v>
      </c>
      <c r="R932" t="s">
        <v>415</v>
      </c>
      <c r="S932" t="s">
        <v>416</v>
      </c>
      <c r="T932" t="s">
        <v>1105</v>
      </c>
      <c r="U932" t="s">
        <v>250</v>
      </c>
      <c r="V932" t="s">
        <v>246</v>
      </c>
      <c r="W932" t="s">
        <v>244</v>
      </c>
      <c r="X932" t="s">
        <v>3483</v>
      </c>
      <c r="Y932" t="s">
        <v>191</v>
      </c>
      <c r="Z932" t="s">
        <v>335</v>
      </c>
      <c r="AA932" t="s">
        <v>337</v>
      </c>
      <c r="AB932" t="s">
        <v>656</v>
      </c>
      <c r="AC932" t="s">
        <v>657</v>
      </c>
      <c r="AD932" t="s">
        <v>658</v>
      </c>
      <c r="AE932" s="7">
        <v>35000</v>
      </c>
      <c r="AF932" s="7">
        <v>1</v>
      </c>
      <c r="AG932" s="7">
        <v>35000</v>
      </c>
      <c r="AH932" s="7">
        <v>0</v>
      </c>
      <c r="AI932" s="7">
        <v>35000</v>
      </c>
      <c r="AJ932" t="s">
        <v>657</v>
      </c>
    </row>
    <row r="933" spans="14:36" x14ac:dyDescent="0.3">
      <c r="N933" s="8">
        <v>2026</v>
      </c>
      <c r="O933" s="8">
        <v>6</v>
      </c>
      <c r="P933" s="9">
        <v>46176</v>
      </c>
      <c r="Q933" t="s">
        <v>238</v>
      </c>
      <c r="R933" t="s">
        <v>415</v>
      </c>
      <c r="S933" t="s">
        <v>416</v>
      </c>
      <c r="T933" t="s">
        <v>1105</v>
      </c>
      <c r="U933" t="s">
        <v>250</v>
      </c>
      <c r="V933" t="s">
        <v>246</v>
      </c>
      <c r="W933" t="s">
        <v>244</v>
      </c>
      <c r="X933" t="s">
        <v>3483</v>
      </c>
      <c r="Y933" t="s">
        <v>191</v>
      </c>
      <c r="Z933" t="s">
        <v>335</v>
      </c>
      <c r="AA933" t="s">
        <v>337</v>
      </c>
      <c r="AB933" t="s">
        <v>348</v>
      </c>
      <c r="AC933" t="s">
        <v>349</v>
      </c>
      <c r="AD933" t="s">
        <v>350</v>
      </c>
      <c r="AE933" s="7">
        <v>76000</v>
      </c>
      <c r="AF933" s="7">
        <v>1</v>
      </c>
      <c r="AG933" s="7">
        <v>76000</v>
      </c>
      <c r="AH933" s="7">
        <v>0</v>
      </c>
      <c r="AI933" s="7">
        <v>76000</v>
      </c>
      <c r="AJ933" t="s">
        <v>349</v>
      </c>
    </row>
    <row r="934" spans="14:36" x14ac:dyDescent="0.3">
      <c r="N934" s="8">
        <v>2026</v>
      </c>
      <c r="O934" s="8">
        <v>6</v>
      </c>
      <c r="P934" s="9">
        <v>46176</v>
      </c>
      <c r="Q934" t="s">
        <v>238</v>
      </c>
      <c r="R934" t="s">
        <v>425</v>
      </c>
      <c r="S934" t="s">
        <v>426</v>
      </c>
      <c r="T934" t="s">
        <v>3484</v>
      </c>
      <c r="U934" t="s">
        <v>452</v>
      </c>
      <c r="V934" t="s">
        <v>246</v>
      </c>
      <c r="W934" t="s">
        <v>244</v>
      </c>
      <c r="X934" t="s">
        <v>3485</v>
      </c>
      <c r="Y934" t="s">
        <v>191</v>
      </c>
      <c r="Z934" t="s">
        <v>192</v>
      </c>
      <c r="AA934" t="s">
        <v>193</v>
      </c>
      <c r="AB934" t="s">
        <v>107</v>
      </c>
      <c r="AC934" t="s">
        <v>105</v>
      </c>
      <c r="AD934" t="s">
        <v>106</v>
      </c>
      <c r="AE934" s="7">
        <v>235000</v>
      </c>
      <c r="AF934" s="7">
        <v>1</v>
      </c>
      <c r="AG934" s="7">
        <v>235000</v>
      </c>
      <c r="AH934" s="7">
        <v>0</v>
      </c>
      <c r="AI934" s="7">
        <v>235000</v>
      </c>
      <c r="AJ934" t="s">
        <v>105</v>
      </c>
    </row>
    <row r="935" spans="14:36" x14ac:dyDescent="0.3">
      <c r="N935" s="8">
        <v>2026</v>
      </c>
      <c r="O935" s="8">
        <v>6</v>
      </c>
      <c r="P935" s="9">
        <v>46175</v>
      </c>
      <c r="Q935" t="s">
        <v>238</v>
      </c>
      <c r="R935" t="s">
        <v>239</v>
      </c>
      <c r="S935" t="s">
        <v>240</v>
      </c>
      <c r="T935" t="s">
        <v>690</v>
      </c>
      <c r="U935" t="s">
        <v>3915</v>
      </c>
      <c r="V935" t="s">
        <v>246</v>
      </c>
      <c r="W935" t="s">
        <v>244</v>
      </c>
      <c r="X935" t="s">
        <v>3486</v>
      </c>
      <c r="Y935" t="s">
        <v>194</v>
      </c>
      <c r="Z935" t="s">
        <v>200</v>
      </c>
      <c r="AA935" t="s">
        <v>201</v>
      </c>
      <c r="AB935" t="s">
        <v>89</v>
      </c>
      <c r="AC935" t="s">
        <v>87</v>
      </c>
      <c r="AD935" t="s">
        <v>88</v>
      </c>
      <c r="AE935" s="7">
        <v>46000</v>
      </c>
      <c r="AF935" s="7">
        <v>2</v>
      </c>
      <c r="AG935" s="7">
        <v>92000</v>
      </c>
      <c r="AH935" s="7">
        <v>0</v>
      </c>
      <c r="AI935" s="7">
        <v>92000</v>
      </c>
      <c r="AJ935" t="s">
        <v>87</v>
      </c>
    </row>
    <row r="936" spans="14:36" x14ac:dyDescent="0.3">
      <c r="N936" s="8">
        <v>2026</v>
      </c>
      <c r="O936" s="8">
        <v>6</v>
      </c>
      <c r="P936" s="9">
        <v>46175</v>
      </c>
      <c r="Q936" t="s">
        <v>238</v>
      </c>
      <c r="R936" t="s">
        <v>239</v>
      </c>
      <c r="S936" t="s">
        <v>240</v>
      </c>
      <c r="T936" t="s">
        <v>2026</v>
      </c>
      <c r="U936" t="s">
        <v>1391</v>
      </c>
      <c r="V936" t="s">
        <v>246</v>
      </c>
      <c r="W936" t="s">
        <v>244</v>
      </c>
      <c r="X936" t="s">
        <v>3487</v>
      </c>
      <c r="Y936" t="s">
        <v>191</v>
      </c>
      <c r="Z936" t="s">
        <v>192</v>
      </c>
      <c r="AA936" t="s">
        <v>193</v>
      </c>
      <c r="AB936" t="s">
        <v>107</v>
      </c>
      <c r="AC936" t="s">
        <v>105</v>
      </c>
      <c r="AD936" t="s">
        <v>106</v>
      </c>
      <c r="AE936" s="7">
        <v>235000</v>
      </c>
      <c r="AF936" s="7">
        <v>1</v>
      </c>
      <c r="AG936" s="7">
        <v>235000</v>
      </c>
      <c r="AH936" s="7">
        <v>0</v>
      </c>
      <c r="AI936" s="7">
        <v>235000</v>
      </c>
      <c r="AJ936" t="s">
        <v>105</v>
      </c>
    </row>
    <row r="937" spans="14:36" x14ac:dyDescent="0.3">
      <c r="N937" s="8">
        <v>2026</v>
      </c>
      <c r="O937" s="8">
        <v>6</v>
      </c>
      <c r="P937" s="9">
        <v>46175</v>
      </c>
      <c r="Q937" t="s">
        <v>238</v>
      </c>
      <c r="R937" t="s">
        <v>279</v>
      </c>
      <c r="S937" t="s">
        <v>280</v>
      </c>
      <c r="T937" t="s">
        <v>2708</v>
      </c>
      <c r="U937" t="s">
        <v>3974</v>
      </c>
      <c r="V937" t="s">
        <v>249</v>
      </c>
      <c r="W937" t="s">
        <v>244</v>
      </c>
      <c r="X937" t="s">
        <v>3488</v>
      </c>
      <c r="Y937" t="s">
        <v>191</v>
      </c>
      <c r="Z937" t="s">
        <v>335</v>
      </c>
      <c r="AA937" t="s">
        <v>337</v>
      </c>
      <c r="AB937" t="s">
        <v>348</v>
      </c>
      <c r="AC937" t="s">
        <v>349</v>
      </c>
      <c r="AD937" t="s">
        <v>350</v>
      </c>
      <c r="AE937" s="7">
        <v>76000</v>
      </c>
      <c r="AF937" s="7">
        <v>1</v>
      </c>
      <c r="AG937" s="7">
        <v>76000</v>
      </c>
      <c r="AH937" s="7">
        <v>0</v>
      </c>
      <c r="AI937" s="7">
        <v>76000</v>
      </c>
      <c r="AJ937" t="s">
        <v>349</v>
      </c>
    </row>
    <row r="938" spans="14:36" x14ac:dyDescent="0.3">
      <c r="N938" s="8">
        <v>2026</v>
      </c>
      <c r="O938" s="8">
        <v>6</v>
      </c>
      <c r="P938" s="9">
        <v>46175</v>
      </c>
      <c r="Q938" t="s">
        <v>238</v>
      </c>
      <c r="R938" t="s">
        <v>279</v>
      </c>
      <c r="S938" t="s">
        <v>280</v>
      </c>
      <c r="T938" t="s">
        <v>2462</v>
      </c>
      <c r="U938" t="s">
        <v>3975</v>
      </c>
      <c r="V938" t="s">
        <v>246</v>
      </c>
      <c r="W938" t="s">
        <v>244</v>
      </c>
      <c r="X938" t="s">
        <v>3489</v>
      </c>
      <c r="Y938" t="s">
        <v>194</v>
      </c>
      <c r="Z938" t="s">
        <v>200</v>
      </c>
      <c r="AA938" t="s">
        <v>201</v>
      </c>
      <c r="AB938" t="s">
        <v>80</v>
      </c>
      <c r="AC938" t="s">
        <v>78</v>
      </c>
      <c r="AD938" t="s">
        <v>79</v>
      </c>
      <c r="AE938" s="7">
        <v>14000</v>
      </c>
      <c r="AF938" s="7">
        <v>2</v>
      </c>
      <c r="AG938" s="7">
        <v>28000</v>
      </c>
      <c r="AH938" s="7">
        <v>0</v>
      </c>
      <c r="AI938" s="7">
        <v>28000</v>
      </c>
      <c r="AJ938" t="s">
        <v>78</v>
      </c>
    </row>
    <row r="939" spans="14:36" x14ac:dyDescent="0.3">
      <c r="N939" s="8">
        <v>2026</v>
      </c>
      <c r="O939" s="8">
        <v>6</v>
      </c>
      <c r="P939" s="9">
        <v>46175</v>
      </c>
      <c r="Q939" t="s">
        <v>238</v>
      </c>
      <c r="R939" t="s">
        <v>279</v>
      </c>
      <c r="S939" t="s">
        <v>280</v>
      </c>
      <c r="T939" t="s">
        <v>1492</v>
      </c>
      <c r="U939" t="s">
        <v>3887</v>
      </c>
      <c r="V939" t="s">
        <v>246</v>
      </c>
      <c r="W939" t="s">
        <v>244</v>
      </c>
      <c r="X939" t="s">
        <v>3490</v>
      </c>
      <c r="Y939" t="s">
        <v>168</v>
      </c>
      <c r="Z939" t="s">
        <v>171</v>
      </c>
      <c r="AA939" t="s">
        <v>175</v>
      </c>
      <c r="AB939" t="s">
        <v>35</v>
      </c>
      <c r="AC939" t="s">
        <v>33</v>
      </c>
      <c r="AD939" t="s">
        <v>34</v>
      </c>
      <c r="AE939" s="7">
        <v>255000</v>
      </c>
      <c r="AF939" s="7">
        <v>1</v>
      </c>
      <c r="AG939" s="7">
        <v>255000</v>
      </c>
      <c r="AH939" s="7">
        <v>5000</v>
      </c>
      <c r="AI939" s="7">
        <v>250000</v>
      </c>
      <c r="AJ939" t="s">
        <v>33</v>
      </c>
    </row>
    <row r="940" spans="14:36" x14ac:dyDescent="0.3">
      <c r="N940" s="8">
        <v>2026</v>
      </c>
      <c r="O940" s="8">
        <v>6</v>
      </c>
      <c r="P940" s="9">
        <v>46175</v>
      </c>
      <c r="Q940" t="s">
        <v>238</v>
      </c>
      <c r="R940" t="s">
        <v>303</v>
      </c>
      <c r="S940" t="s">
        <v>304</v>
      </c>
      <c r="T940" t="s">
        <v>3491</v>
      </c>
      <c r="U940" t="s">
        <v>3492</v>
      </c>
      <c r="V940" t="s">
        <v>246</v>
      </c>
      <c r="W940" t="s">
        <v>244</v>
      </c>
      <c r="X940" t="s">
        <v>3493</v>
      </c>
      <c r="Y940" t="s">
        <v>191</v>
      </c>
      <c r="Z940" t="s">
        <v>192</v>
      </c>
      <c r="AA940" t="s">
        <v>193</v>
      </c>
      <c r="AB940" t="s">
        <v>119</v>
      </c>
      <c r="AC940" t="s">
        <v>117</v>
      </c>
      <c r="AD940" t="s">
        <v>118</v>
      </c>
      <c r="AE940" s="7">
        <v>235000</v>
      </c>
      <c r="AF940" s="7">
        <v>1</v>
      </c>
      <c r="AG940" s="7">
        <v>235000</v>
      </c>
      <c r="AH940" s="7">
        <v>0</v>
      </c>
      <c r="AI940" s="7">
        <v>235000</v>
      </c>
      <c r="AJ940" t="s">
        <v>117</v>
      </c>
    </row>
    <row r="941" spans="14:36" x14ac:dyDescent="0.3">
      <c r="N941" s="8">
        <v>2026</v>
      </c>
      <c r="O941" s="8">
        <v>6</v>
      </c>
      <c r="P941" s="9">
        <v>46175</v>
      </c>
      <c r="Q941" t="s">
        <v>238</v>
      </c>
      <c r="R941" t="s">
        <v>303</v>
      </c>
      <c r="S941" t="s">
        <v>304</v>
      </c>
      <c r="T941" t="s">
        <v>2400</v>
      </c>
      <c r="U941" t="s">
        <v>3976</v>
      </c>
      <c r="V941" t="s">
        <v>246</v>
      </c>
      <c r="W941" t="s">
        <v>244</v>
      </c>
      <c r="X941" t="s">
        <v>3494</v>
      </c>
      <c r="Y941" t="s">
        <v>168</v>
      </c>
      <c r="Z941" t="s">
        <v>171</v>
      </c>
      <c r="AA941" t="s">
        <v>175</v>
      </c>
      <c r="AB941" t="s">
        <v>41</v>
      </c>
      <c r="AC941" t="s">
        <v>39</v>
      </c>
      <c r="AD941" t="s">
        <v>40</v>
      </c>
      <c r="AE941" s="7">
        <v>295000</v>
      </c>
      <c r="AF941" s="7">
        <v>1</v>
      </c>
      <c r="AG941" s="7">
        <v>295000</v>
      </c>
      <c r="AH941" s="7">
        <v>0</v>
      </c>
      <c r="AI941" s="7">
        <v>295000</v>
      </c>
      <c r="AJ941" t="s">
        <v>39</v>
      </c>
    </row>
    <row r="942" spans="14:36" x14ac:dyDescent="0.3">
      <c r="N942" s="8">
        <v>2026</v>
      </c>
      <c r="O942" s="8">
        <v>6</v>
      </c>
      <c r="P942" s="9">
        <v>46175</v>
      </c>
      <c r="Q942" t="s">
        <v>238</v>
      </c>
      <c r="R942" t="s">
        <v>303</v>
      </c>
      <c r="S942" t="s">
        <v>304</v>
      </c>
      <c r="T942" t="s">
        <v>2044</v>
      </c>
      <c r="U942" t="s">
        <v>629</v>
      </c>
      <c r="V942" t="s">
        <v>246</v>
      </c>
      <c r="W942" t="s">
        <v>244</v>
      </c>
      <c r="X942" t="s">
        <v>3495</v>
      </c>
      <c r="Y942" t="s">
        <v>168</v>
      </c>
      <c r="Z942" t="s">
        <v>171</v>
      </c>
      <c r="AA942" t="s">
        <v>175</v>
      </c>
      <c r="AB942" t="s">
        <v>41</v>
      </c>
      <c r="AC942" t="s">
        <v>39</v>
      </c>
      <c r="AD942" t="s">
        <v>40</v>
      </c>
      <c r="AE942" s="7">
        <v>295000</v>
      </c>
      <c r="AF942" s="7">
        <v>1</v>
      </c>
      <c r="AG942" s="7">
        <v>295000</v>
      </c>
      <c r="AH942" s="7">
        <v>0</v>
      </c>
      <c r="AI942" s="7">
        <v>295000</v>
      </c>
      <c r="AJ942" t="s">
        <v>39</v>
      </c>
    </row>
    <row r="943" spans="14:36" x14ac:dyDescent="0.3">
      <c r="N943" s="8">
        <v>2026</v>
      </c>
      <c r="O943" s="8">
        <v>6</v>
      </c>
      <c r="P943" s="9">
        <v>46175</v>
      </c>
      <c r="Q943" t="s">
        <v>238</v>
      </c>
      <c r="R943" t="s">
        <v>351</v>
      </c>
      <c r="S943" t="s">
        <v>352</v>
      </c>
      <c r="T943" t="s">
        <v>356</v>
      </c>
      <c r="U943" t="s">
        <v>357</v>
      </c>
      <c r="V943" t="s">
        <v>243</v>
      </c>
      <c r="W943" t="s">
        <v>244</v>
      </c>
      <c r="X943" t="s">
        <v>3496</v>
      </c>
      <c r="Y943" t="s">
        <v>168</v>
      </c>
      <c r="Z943" t="s">
        <v>171</v>
      </c>
      <c r="AA943" t="s">
        <v>172</v>
      </c>
      <c r="AB943" t="s">
        <v>14</v>
      </c>
      <c r="AC943" t="s">
        <v>12</v>
      </c>
      <c r="AD943" t="s">
        <v>13</v>
      </c>
      <c r="AE943" s="7">
        <v>135000</v>
      </c>
      <c r="AF943" s="7">
        <v>1</v>
      </c>
      <c r="AG943" s="7">
        <v>135000</v>
      </c>
      <c r="AH943" s="7">
        <v>26000</v>
      </c>
      <c r="AI943" s="7">
        <v>109000</v>
      </c>
      <c r="AJ943" t="s">
        <v>12</v>
      </c>
    </row>
    <row r="944" spans="14:36" x14ac:dyDescent="0.3">
      <c r="N944" s="8">
        <v>2026</v>
      </c>
      <c r="O944" s="8">
        <v>6</v>
      </c>
      <c r="P944" s="9">
        <v>46175</v>
      </c>
      <c r="Q944" t="s">
        <v>238</v>
      </c>
      <c r="R944" t="s">
        <v>351</v>
      </c>
      <c r="S944" t="s">
        <v>352</v>
      </c>
      <c r="T944" t="s">
        <v>2609</v>
      </c>
      <c r="U944" t="s">
        <v>3977</v>
      </c>
      <c r="V944" t="s">
        <v>246</v>
      </c>
      <c r="W944" t="s">
        <v>244</v>
      </c>
      <c r="X944" t="s">
        <v>3497</v>
      </c>
      <c r="Y944" t="s">
        <v>191</v>
      </c>
      <c r="Z944" t="s">
        <v>335</v>
      </c>
      <c r="AA944" t="s">
        <v>337</v>
      </c>
      <c r="AB944" t="s">
        <v>348</v>
      </c>
      <c r="AC944" t="s">
        <v>349</v>
      </c>
      <c r="AD944" t="s">
        <v>350</v>
      </c>
      <c r="AE944" s="7">
        <v>76000</v>
      </c>
      <c r="AF944" s="7">
        <v>1</v>
      </c>
      <c r="AG944" s="7">
        <v>76000</v>
      </c>
      <c r="AH944" s="7">
        <v>0</v>
      </c>
      <c r="AI944" s="7">
        <v>76000</v>
      </c>
      <c r="AJ944" t="s">
        <v>349</v>
      </c>
    </row>
    <row r="945" spans="14:36" x14ac:dyDescent="0.3">
      <c r="N945" s="8">
        <v>2026</v>
      </c>
      <c r="O945" s="8">
        <v>6</v>
      </c>
      <c r="P945" s="9">
        <v>46175</v>
      </c>
      <c r="Q945" t="s">
        <v>238</v>
      </c>
      <c r="R945" t="s">
        <v>374</v>
      </c>
      <c r="S945" t="s">
        <v>375</v>
      </c>
      <c r="T945" t="s">
        <v>376</v>
      </c>
      <c r="U945" t="s">
        <v>377</v>
      </c>
      <c r="V945" t="s">
        <v>243</v>
      </c>
      <c r="W945" t="s">
        <v>244</v>
      </c>
      <c r="X945" t="s">
        <v>3498</v>
      </c>
      <c r="Y945" t="s">
        <v>168</v>
      </c>
      <c r="Z945" t="s">
        <v>181</v>
      </c>
      <c r="AA945" t="s">
        <v>182</v>
      </c>
      <c r="AB945" t="s">
        <v>50</v>
      </c>
      <c r="AC945" t="s">
        <v>48</v>
      </c>
      <c r="AD945" t="s">
        <v>49</v>
      </c>
      <c r="AE945" s="7">
        <v>49000</v>
      </c>
      <c r="AF945" s="7">
        <v>2</v>
      </c>
      <c r="AG945" s="7">
        <v>98000</v>
      </c>
      <c r="AH945" s="7">
        <v>0</v>
      </c>
      <c r="AI945" s="7">
        <v>98000</v>
      </c>
      <c r="AJ945" t="s">
        <v>48</v>
      </c>
    </row>
    <row r="946" spans="14:36" x14ac:dyDescent="0.3">
      <c r="N946" s="8">
        <v>2026</v>
      </c>
      <c r="O946" s="8">
        <v>6</v>
      </c>
      <c r="P946" s="9">
        <v>46175</v>
      </c>
      <c r="Q946" t="s">
        <v>238</v>
      </c>
      <c r="R946" t="s">
        <v>374</v>
      </c>
      <c r="S946" t="s">
        <v>375</v>
      </c>
      <c r="T946" t="s">
        <v>3499</v>
      </c>
      <c r="U946" t="s">
        <v>3887</v>
      </c>
      <c r="V946" t="s">
        <v>246</v>
      </c>
      <c r="W946" t="s">
        <v>244</v>
      </c>
      <c r="X946" t="s">
        <v>3500</v>
      </c>
      <c r="Y946" t="s">
        <v>183</v>
      </c>
      <c r="Z946" t="s">
        <v>184</v>
      </c>
      <c r="AA946" t="s">
        <v>185</v>
      </c>
      <c r="AB946" t="s">
        <v>53</v>
      </c>
      <c r="AC946" t="s">
        <v>51</v>
      </c>
      <c r="AD946" t="s">
        <v>52</v>
      </c>
      <c r="AE946" s="7">
        <v>45000</v>
      </c>
      <c r="AF946" s="7">
        <v>1</v>
      </c>
      <c r="AG946" s="7">
        <v>45000</v>
      </c>
      <c r="AH946" s="7">
        <v>0</v>
      </c>
      <c r="AI946" s="7">
        <v>45000</v>
      </c>
      <c r="AJ946" t="s">
        <v>51</v>
      </c>
    </row>
    <row r="947" spans="14:36" x14ac:dyDescent="0.3">
      <c r="N947" s="8">
        <v>2026</v>
      </c>
      <c r="O947" s="8">
        <v>6</v>
      </c>
      <c r="P947" s="9">
        <v>46175</v>
      </c>
      <c r="Q947" t="s">
        <v>238</v>
      </c>
      <c r="R947" t="s">
        <v>415</v>
      </c>
      <c r="S947" t="s">
        <v>416</v>
      </c>
      <c r="T947" t="s">
        <v>417</v>
      </c>
      <c r="U947" t="s">
        <v>418</v>
      </c>
      <c r="V947" t="s">
        <v>243</v>
      </c>
      <c r="W947" t="s">
        <v>244</v>
      </c>
      <c r="X947" t="s">
        <v>3501</v>
      </c>
      <c r="Y947" t="s">
        <v>191</v>
      </c>
      <c r="Z947" t="s">
        <v>335</v>
      </c>
      <c r="AA947" t="s">
        <v>337</v>
      </c>
      <c r="AB947" t="s">
        <v>541</v>
      </c>
      <c r="AC947" t="s">
        <v>542</v>
      </c>
      <c r="AD947" t="s">
        <v>543</v>
      </c>
      <c r="AE947" s="7">
        <v>69000</v>
      </c>
      <c r="AF947" s="7">
        <v>1</v>
      </c>
      <c r="AG947" s="7">
        <v>69000</v>
      </c>
      <c r="AH947" s="7">
        <v>0</v>
      </c>
      <c r="AI947" s="7">
        <v>69000</v>
      </c>
      <c r="AJ947" t="s">
        <v>542</v>
      </c>
    </row>
    <row r="948" spans="14:36" x14ac:dyDescent="0.3">
      <c r="N948" s="8">
        <v>2026</v>
      </c>
      <c r="O948" s="8">
        <v>6</v>
      </c>
      <c r="P948" s="9">
        <v>46175</v>
      </c>
      <c r="Q948" t="s">
        <v>238</v>
      </c>
      <c r="R948" t="s">
        <v>415</v>
      </c>
      <c r="S948" t="s">
        <v>416</v>
      </c>
      <c r="T948" t="s">
        <v>1103</v>
      </c>
      <c r="U948" t="s">
        <v>1104</v>
      </c>
      <c r="V948" t="s">
        <v>246</v>
      </c>
      <c r="W948" t="s">
        <v>244</v>
      </c>
      <c r="X948" t="s">
        <v>3502</v>
      </c>
      <c r="Y948" t="s">
        <v>191</v>
      </c>
      <c r="Z948" t="s">
        <v>335</v>
      </c>
      <c r="AA948" t="s">
        <v>337</v>
      </c>
      <c r="AB948" t="s">
        <v>719</v>
      </c>
      <c r="AC948" t="s">
        <v>720</v>
      </c>
      <c r="AD948" t="s">
        <v>721</v>
      </c>
      <c r="AE948" s="7">
        <v>104000</v>
      </c>
      <c r="AF948" s="7">
        <v>1</v>
      </c>
      <c r="AG948" s="7">
        <v>104000</v>
      </c>
      <c r="AH948" s="7">
        <v>0</v>
      </c>
      <c r="AI948" s="7">
        <v>104000</v>
      </c>
      <c r="AJ948" t="s">
        <v>720</v>
      </c>
    </row>
    <row r="949" spans="14:36" x14ac:dyDescent="0.3">
      <c r="N949" s="8">
        <v>2026</v>
      </c>
      <c r="O949" s="8">
        <v>6</v>
      </c>
      <c r="P949" s="9">
        <v>46175</v>
      </c>
      <c r="Q949" t="s">
        <v>238</v>
      </c>
      <c r="R949" t="s">
        <v>415</v>
      </c>
      <c r="S949" t="s">
        <v>416</v>
      </c>
      <c r="T949" t="s">
        <v>1748</v>
      </c>
      <c r="U949" t="s">
        <v>1749</v>
      </c>
      <c r="V949" t="s">
        <v>246</v>
      </c>
      <c r="W949" t="s">
        <v>244</v>
      </c>
      <c r="X949" t="s">
        <v>3503</v>
      </c>
      <c r="Y949" t="s">
        <v>191</v>
      </c>
      <c r="Z949" t="s">
        <v>192</v>
      </c>
      <c r="AA949" t="s">
        <v>193</v>
      </c>
      <c r="AB949" t="s">
        <v>110</v>
      </c>
      <c r="AC949" t="s">
        <v>108</v>
      </c>
      <c r="AD949" t="s">
        <v>109</v>
      </c>
      <c r="AE949" s="7">
        <v>235000</v>
      </c>
      <c r="AF949" s="7">
        <v>1</v>
      </c>
      <c r="AG949" s="7">
        <v>235000</v>
      </c>
      <c r="AH949" s="7">
        <v>0</v>
      </c>
      <c r="AI949" s="7">
        <v>235000</v>
      </c>
      <c r="AJ949" t="s">
        <v>108</v>
      </c>
    </row>
    <row r="950" spans="14:36" x14ac:dyDescent="0.3">
      <c r="N950" s="8">
        <v>2026</v>
      </c>
      <c r="O950" s="8">
        <v>6</v>
      </c>
      <c r="P950" s="9">
        <v>46175</v>
      </c>
      <c r="Q950" t="s">
        <v>238</v>
      </c>
      <c r="R950" t="s">
        <v>425</v>
      </c>
      <c r="S950" t="s">
        <v>426</v>
      </c>
      <c r="T950" t="s">
        <v>3382</v>
      </c>
      <c r="U950" t="s">
        <v>3383</v>
      </c>
      <c r="V950" t="s">
        <v>246</v>
      </c>
      <c r="W950" t="s">
        <v>244</v>
      </c>
      <c r="X950" t="s">
        <v>3504</v>
      </c>
      <c r="Y950" t="s">
        <v>194</v>
      </c>
      <c r="Z950" t="s">
        <v>200</v>
      </c>
      <c r="AA950" t="s">
        <v>201</v>
      </c>
      <c r="AB950" t="s">
        <v>80</v>
      </c>
      <c r="AC950" t="s">
        <v>78</v>
      </c>
      <c r="AD950" t="s">
        <v>79</v>
      </c>
      <c r="AE950" s="7">
        <v>14000</v>
      </c>
      <c r="AF950" s="7">
        <v>2</v>
      </c>
      <c r="AG950" s="7">
        <v>28000</v>
      </c>
      <c r="AH950" s="7">
        <v>0</v>
      </c>
      <c r="AI950" s="7">
        <v>28000</v>
      </c>
      <c r="AJ950" t="s">
        <v>78</v>
      </c>
    </row>
    <row r="951" spans="14:36" x14ac:dyDescent="0.3">
      <c r="N951" s="8">
        <v>2026</v>
      </c>
      <c r="O951" s="8">
        <v>6</v>
      </c>
      <c r="P951" s="9">
        <v>46174</v>
      </c>
      <c r="Q951" t="s">
        <v>238</v>
      </c>
      <c r="R951" t="s">
        <v>239</v>
      </c>
      <c r="S951" t="s">
        <v>240</v>
      </c>
      <c r="T951" t="s">
        <v>1116</v>
      </c>
      <c r="U951" t="s">
        <v>1117</v>
      </c>
      <c r="V951" t="s">
        <v>246</v>
      </c>
      <c r="W951" t="s">
        <v>244</v>
      </c>
      <c r="X951" t="s">
        <v>3505</v>
      </c>
      <c r="Y951" t="s">
        <v>183</v>
      </c>
      <c r="Z951" t="s">
        <v>189</v>
      </c>
      <c r="AA951" t="s">
        <v>190</v>
      </c>
      <c r="AB951" t="s">
        <v>92</v>
      </c>
      <c r="AC951" t="s">
        <v>90</v>
      </c>
      <c r="AD951" t="s">
        <v>91</v>
      </c>
      <c r="AE951" s="7">
        <v>52000</v>
      </c>
      <c r="AF951" s="7">
        <v>1</v>
      </c>
      <c r="AG951" s="7">
        <v>52000</v>
      </c>
      <c r="AH951" s="7">
        <v>0</v>
      </c>
      <c r="AI951" s="7">
        <v>52000</v>
      </c>
      <c r="AJ951" t="s">
        <v>90</v>
      </c>
    </row>
    <row r="952" spans="14:36" x14ac:dyDescent="0.3">
      <c r="N952" s="8">
        <v>2026</v>
      </c>
      <c r="O952" s="8">
        <v>6</v>
      </c>
      <c r="P952" s="9">
        <v>46174</v>
      </c>
      <c r="Q952" t="s">
        <v>238</v>
      </c>
      <c r="R952" t="s">
        <v>279</v>
      </c>
      <c r="S952" t="s">
        <v>280</v>
      </c>
      <c r="T952" t="s">
        <v>281</v>
      </c>
      <c r="U952" t="s">
        <v>282</v>
      </c>
      <c r="V952" t="s">
        <v>243</v>
      </c>
      <c r="W952" t="s">
        <v>244</v>
      </c>
      <c r="X952" t="s">
        <v>3506</v>
      </c>
      <c r="Y952" t="s">
        <v>191</v>
      </c>
      <c r="Z952" t="s">
        <v>192</v>
      </c>
      <c r="AA952" t="s">
        <v>193</v>
      </c>
      <c r="AB952" t="s">
        <v>107</v>
      </c>
      <c r="AC952" t="s">
        <v>105</v>
      </c>
      <c r="AD952" t="s">
        <v>106</v>
      </c>
      <c r="AE952" s="7">
        <v>235000</v>
      </c>
      <c r="AF952" s="7">
        <v>1</v>
      </c>
      <c r="AG952" s="7">
        <v>235000</v>
      </c>
      <c r="AH952" s="7">
        <v>0</v>
      </c>
      <c r="AI952" s="7">
        <v>235000</v>
      </c>
      <c r="AJ952" t="s">
        <v>105</v>
      </c>
    </row>
    <row r="953" spans="14:36" x14ac:dyDescent="0.3">
      <c r="N953" s="8">
        <v>2026</v>
      </c>
      <c r="O953" s="8">
        <v>6</v>
      </c>
      <c r="P953" s="9">
        <v>46174</v>
      </c>
      <c r="Q953" t="s">
        <v>238</v>
      </c>
      <c r="R953" t="s">
        <v>279</v>
      </c>
      <c r="S953" t="s">
        <v>280</v>
      </c>
      <c r="T953" t="s">
        <v>2606</v>
      </c>
      <c r="U953" t="s">
        <v>3978</v>
      </c>
      <c r="V953" t="s">
        <v>246</v>
      </c>
      <c r="W953" t="s">
        <v>244</v>
      </c>
      <c r="X953" t="s">
        <v>3507</v>
      </c>
      <c r="Y953" t="s">
        <v>194</v>
      </c>
      <c r="Z953" t="s">
        <v>200</v>
      </c>
      <c r="AA953" t="s">
        <v>201</v>
      </c>
      <c r="AB953" t="s">
        <v>80</v>
      </c>
      <c r="AC953" t="s">
        <v>78</v>
      </c>
      <c r="AD953" t="s">
        <v>79</v>
      </c>
      <c r="AE953" s="7">
        <v>14000</v>
      </c>
      <c r="AF953" s="7">
        <v>1</v>
      </c>
      <c r="AG953" s="7">
        <v>14000</v>
      </c>
      <c r="AH953" s="7">
        <v>0</v>
      </c>
      <c r="AI953" s="7">
        <v>14000</v>
      </c>
      <c r="AJ953" t="s">
        <v>78</v>
      </c>
    </row>
    <row r="954" spans="14:36" x14ac:dyDescent="0.3">
      <c r="N954" s="8">
        <v>2026</v>
      </c>
      <c r="O954" s="8">
        <v>6</v>
      </c>
      <c r="P954" s="9">
        <v>46174</v>
      </c>
      <c r="Q954" t="s">
        <v>238</v>
      </c>
      <c r="R954" t="s">
        <v>279</v>
      </c>
      <c r="S954" t="s">
        <v>280</v>
      </c>
      <c r="T954" t="s">
        <v>2483</v>
      </c>
      <c r="U954" t="s">
        <v>1644</v>
      </c>
      <c r="V954" t="s">
        <v>246</v>
      </c>
      <c r="W954" t="s">
        <v>244</v>
      </c>
      <c r="X954" t="s">
        <v>3508</v>
      </c>
      <c r="Y954" t="s">
        <v>168</v>
      </c>
      <c r="Z954" t="s">
        <v>171</v>
      </c>
      <c r="AA954" t="s">
        <v>175</v>
      </c>
      <c r="AB954" t="s">
        <v>41</v>
      </c>
      <c r="AC954" t="s">
        <v>39</v>
      </c>
      <c r="AD954" t="s">
        <v>40</v>
      </c>
      <c r="AE954" s="7">
        <v>295000</v>
      </c>
      <c r="AF954" s="7">
        <v>1</v>
      </c>
      <c r="AG954" s="7">
        <v>295000</v>
      </c>
      <c r="AH954" s="7">
        <v>0</v>
      </c>
      <c r="AI954" s="7">
        <v>295000</v>
      </c>
      <c r="AJ954" t="s">
        <v>39</v>
      </c>
    </row>
    <row r="955" spans="14:36" x14ac:dyDescent="0.3">
      <c r="N955" s="8">
        <v>2026</v>
      </c>
      <c r="O955" s="8">
        <v>6</v>
      </c>
      <c r="P955" s="9">
        <v>46174</v>
      </c>
      <c r="Q955" t="s">
        <v>238</v>
      </c>
      <c r="R955" t="s">
        <v>279</v>
      </c>
      <c r="S955" t="s">
        <v>280</v>
      </c>
      <c r="T955" t="s">
        <v>3509</v>
      </c>
      <c r="U955" t="s">
        <v>3510</v>
      </c>
      <c r="V955" t="s">
        <v>246</v>
      </c>
      <c r="W955" t="s">
        <v>244</v>
      </c>
      <c r="X955" t="s">
        <v>3511</v>
      </c>
      <c r="Y955" t="s">
        <v>191</v>
      </c>
      <c r="Z955" t="s">
        <v>335</v>
      </c>
      <c r="AA955" t="s">
        <v>337</v>
      </c>
      <c r="AB955" t="s">
        <v>348</v>
      </c>
      <c r="AC955" t="s">
        <v>349</v>
      </c>
      <c r="AD955" t="s">
        <v>350</v>
      </c>
      <c r="AE955" s="7">
        <v>76000</v>
      </c>
      <c r="AF955" s="7">
        <v>1</v>
      </c>
      <c r="AG955" s="7">
        <v>76000</v>
      </c>
      <c r="AH955" s="7">
        <v>0</v>
      </c>
      <c r="AI955" s="7">
        <v>76000</v>
      </c>
      <c r="AJ955" t="s">
        <v>349</v>
      </c>
    </row>
    <row r="956" spans="14:36" x14ac:dyDescent="0.3">
      <c r="N956" s="8">
        <v>2026</v>
      </c>
      <c r="O956" s="8">
        <v>6</v>
      </c>
      <c r="P956" s="9">
        <v>46174</v>
      </c>
      <c r="Q956" t="s">
        <v>238</v>
      </c>
      <c r="R956" t="s">
        <v>279</v>
      </c>
      <c r="S956" t="s">
        <v>280</v>
      </c>
      <c r="T956" t="s">
        <v>3512</v>
      </c>
      <c r="U956" t="s">
        <v>3513</v>
      </c>
      <c r="V956" t="s">
        <v>246</v>
      </c>
      <c r="W956" t="s">
        <v>244</v>
      </c>
      <c r="X956" t="s">
        <v>3514</v>
      </c>
      <c r="Y956" t="s">
        <v>191</v>
      </c>
      <c r="Z956" t="s">
        <v>192</v>
      </c>
      <c r="AA956" t="s">
        <v>193</v>
      </c>
      <c r="AB956" t="s">
        <v>119</v>
      </c>
      <c r="AC956" t="s">
        <v>117</v>
      </c>
      <c r="AD956" t="s">
        <v>118</v>
      </c>
      <c r="AE956" s="7">
        <v>235000</v>
      </c>
      <c r="AF956" s="7">
        <v>1</v>
      </c>
      <c r="AG956" s="7">
        <v>235000</v>
      </c>
      <c r="AH956" s="7">
        <v>0</v>
      </c>
      <c r="AI956" s="7">
        <v>235000</v>
      </c>
      <c r="AJ956" t="s">
        <v>117</v>
      </c>
    </row>
    <row r="957" spans="14:36" x14ac:dyDescent="0.3">
      <c r="N957" s="8">
        <v>2026</v>
      </c>
      <c r="O957" s="8">
        <v>6</v>
      </c>
      <c r="P957" s="9">
        <v>46174</v>
      </c>
      <c r="Q957" t="s">
        <v>238</v>
      </c>
      <c r="R957" t="s">
        <v>303</v>
      </c>
      <c r="S957" t="s">
        <v>304</v>
      </c>
      <c r="T957" t="s">
        <v>1728</v>
      </c>
      <c r="U957" t="s">
        <v>1729</v>
      </c>
      <c r="V957" t="s">
        <v>246</v>
      </c>
      <c r="W957" t="s">
        <v>244</v>
      </c>
      <c r="X957" t="s">
        <v>3515</v>
      </c>
      <c r="Y957" t="s">
        <v>168</v>
      </c>
      <c r="Z957" t="s">
        <v>181</v>
      </c>
      <c r="AA957" t="s">
        <v>182</v>
      </c>
      <c r="AB957" t="s">
        <v>50</v>
      </c>
      <c r="AC957" t="s">
        <v>48</v>
      </c>
      <c r="AD957" t="s">
        <v>49</v>
      </c>
      <c r="AE957" s="7">
        <v>49000</v>
      </c>
      <c r="AF957" s="7">
        <v>1</v>
      </c>
      <c r="AG957" s="7">
        <v>49000</v>
      </c>
      <c r="AH957" s="7">
        <v>0</v>
      </c>
      <c r="AI957" s="7">
        <v>49000</v>
      </c>
      <c r="AJ957" t="s">
        <v>48</v>
      </c>
    </row>
    <row r="958" spans="14:36" x14ac:dyDescent="0.3">
      <c r="N958" s="8">
        <v>2026</v>
      </c>
      <c r="O958" s="8">
        <v>6</v>
      </c>
      <c r="P958" s="9">
        <v>46174</v>
      </c>
      <c r="Q958" t="s">
        <v>238</v>
      </c>
      <c r="R958" t="s">
        <v>303</v>
      </c>
      <c r="S958" t="s">
        <v>304</v>
      </c>
      <c r="T958" t="s">
        <v>1032</v>
      </c>
      <c r="U958" t="s">
        <v>3866</v>
      </c>
      <c r="V958" t="s">
        <v>246</v>
      </c>
      <c r="W958" t="s">
        <v>244</v>
      </c>
      <c r="X958" t="s">
        <v>3516</v>
      </c>
      <c r="Y958" t="s">
        <v>168</v>
      </c>
      <c r="Z958" t="s">
        <v>171</v>
      </c>
      <c r="AA958" t="s">
        <v>175</v>
      </c>
      <c r="AB958" t="s">
        <v>44</v>
      </c>
      <c r="AC958" t="s">
        <v>42</v>
      </c>
      <c r="AD958" t="s">
        <v>43</v>
      </c>
      <c r="AE958" s="7">
        <v>294000</v>
      </c>
      <c r="AF958" s="7">
        <v>1</v>
      </c>
      <c r="AG958" s="7">
        <v>294000</v>
      </c>
      <c r="AH958" s="7">
        <v>35000</v>
      </c>
      <c r="AI958" s="7">
        <v>259000</v>
      </c>
      <c r="AJ958" t="s">
        <v>42</v>
      </c>
    </row>
    <row r="959" spans="14:36" x14ac:dyDescent="0.3">
      <c r="N959" s="8">
        <v>2026</v>
      </c>
      <c r="O959" s="8">
        <v>6</v>
      </c>
      <c r="P959" s="9">
        <v>46174</v>
      </c>
      <c r="Q959" t="s">
        <v>238</v>
      </c>
      <c r="R959" t="s">
        <v>303</v>
      </c>
      <c r="S959" t="s">
        <v>304</v>
      </c>
      <c r="T959" t="s">
        <v>2244</v>
      </c>
      <c r="U959" t="s">
        <v>478</v>
      </c>
      <c r="V959" t="s">
        <v>246</v>
      </c>
      <c r="W959" t="s">
        <v>244</v>
      </c>
      <c r="X959" t="s">
        <v>3517</v>
      </c>
      <c r="Y959" t="s">
        <v>191</v>
      </c>
      <c r="Z959" t="s">
        <v>335</v>
      </c>
      <c r="AA959" t="s">
        <v>337</v>
      </c>
      <c r="AB959" t="s">
        <v>656</v>
      </c>
      <c r="AC959" t="s">
        <v>657</v>
      </c>
      <c r="AD959" t="s">
        <v>658</v>
      </c>
      <c r="AE959" s="7">
        <v>35000</v>
      </c>
      <c r="AF959" s="7">
        <v>2</v>
      </c>
      <c r="AG959" s="7">
        <v>70000</v>
      </c>
      <c r="AH959" s="7">
        <v>0</v>
      </c>
      <c r="AI959" s="7">
        <v>70000</v>
      </c>
      <c r="AJ959" t="s">
        <v>657</v>
      </c>
    </row>
    <row r="960" spans="14:36" x14ac:dyDescent="0.3">
      <c r="N960" s="8">
        <v>2026</v>
      </c>
      <c r="O960" s="8">
        <v>6</v>
      </c>
      <c r="P960" s="9">
        <v>46174</v>
      </c>
      <c r="Q960" t="s">
        <v>238</v>
      </c>
      <c r="R960" t="s">
        <v>303</v>
      </c>
      <c r="S960" t="s">
        <v>304</v>
      </c>
      <c r="T960" t="s">
        <v>1227</v>
      </c>
      <c r="U960" t="s">
        <v>3945</v>
      </c>
      <c r="V960" t="s">
        <v>246</v>
      </c>
      <c r="W960" t="s">
        <v>244</v>
      </c>
      <c r="X960" t="s">
        <v>3518</v>
      </c>
      <c r="Y960" t="s">
        <v>191</v>
      </c>
      <c r="Z960" t="s">
        <v>192</v>
      </c>
      <c r="AA960" t="s">
        <v>193</v>
      </c>
      <c r="AB960" t="s">
        <v>110</v>
      </c>
      <c r="AC960" t="s">
        <v>108</v>
      </c>
      <c r="AD960" t="s">
        <v>109</v>
      </c>
      <c r="AE960" s="7">
        <v>235000</v>
      </c>
      <c r="AF960" s="7">
        <v>1</v>
      </c>
      <c r="AG960" s="7">
        <v>235000</v>
      </c>
      <c r="AH960" s="7">
        <v>0</v>
      </c>
      <c r="AI960" s="7">
        <v>235000</v>
      </c>
      <c r="AJ960" t="s">
        <v>108</v>
      </c>
    </row>
    <row r="961" spans="14:36" x14ac:dyDescent="0.3">
      <c r="N961" s="8">
        <v>2026</v>
      </c>
      <c r="O961" s="8">
        <v>6</v>
      </c>
      <c r="P961" s="9">
        <v>46174</v>
      </c>
      <c r="Q961" t="s">
        <v>238</v>
      </c>
      <c r="R961" t="s">
        <v>396</v>
      </c>
      <c r="S961" t="s">
        <v>397</v>
      </c>
      <c r="T961" t="s">
        <v>2801</v>
      </c>
      <c r="U961" t="s">
        <v>3979</v>
      </c>
      <c r="V961" t="s">
        <v>249</v>
      </c>
      <c r="W961" t="s">
        <v>244</v>
      </c>
      <c r="X961" t="s">
        <v>3519</v>
      </c>
      <c r="Y961" t="s">
        <v>168</v>
      </c>
      <c r="Z961" t="s">
        <v>171</v>
      </c>
      <c r="AA961" t="s">
        <v>173</v>
      </c>
      <c r="AB961" t="s">
        <v>29</v>
      </c>
      <c r="AC961" t="s">
        <v>27</v>
      </c>
      <c r="AD961" t="s">
        <v>28</v>
      </c>
      <c r="AE961" s="7">
        <v>575000</v>
      </c>
      <c r="AF961" s="7">
        <v>1</v>
      </c>
      <c r="AG961" s="7">
        <v>575000</v>
      </c>
      <c r="AH961" s="7">
        <v>0</v>
      </c>
      <c r="AI961" s="7">
        <v>575000</v>
      </c>
      <c r="AJ961" t="s">
        <v>27</v>
      </c>
    </row>
    <row r="962" spans="14:36" x14ac:dyDescent="0.3">
      <c r="N962" s="8">
        <v>2026</v>
      </c>
      <c r="O962" s="8">
        <v>6</v>
      </c>
      <c r="P962" s="9">
        <v>46174</v>
      </c>
      <c r="Q962" t="s">
        <v>238</v>
      </c>
      <c r="R962" t="s">
        <v>415</v>
      </c>
      <c r="S962" t="s">
        <v>416</v>
      </c>
      <c r="T962" t="s">
        <v>3520</v>
      </c>
      <c r="U962" t="s">
        <v>576</v>
      </c>
      <c r="V962" t="s">
        <v>246</v>
      </c>
      <c r="W962" t="s">
        <v>244</v>
      </c>
      <c r="X962" t="s">
        <v>3521</v>
      </c>
      <c r="Y962" t="s">
        <v>183</v>
      </c>
      <c r="Z962" t="s">
        <v>186</v>
      </c>
      <c r="AA962" t="s">
        <v>188</v>
      </c>
      <c r="AB962" t="s">
        <v>98</v>
      </c>
      <c r="AC962" t="s">
        <v>96</v>
      </c>
      <c r="AD962" t="s">
        <v>97</v>
      </c>
      <c r="AE962" s="7">
        <v>239000</v>
      </c>
      <c r="AF962" s="7">
        <v>1</v>
      </c>
      <c r="AG962" s="7">
        <v>239000</v>
      </c>
      <c r="AH962" s="7">
        <v>11950</v>
      </c>
      <c r="AI962" s="7">
        <v>227050</v>
      </c>
      <c r="AJ962" t="s">
        <v>96</v>
      </c>
    </row>
    <row r="963" spans="14:36" x14ac:dyDescent="0.3">
      <c r="N963" s="8">
        <v>2026</v>
      </c>
      <c r="O963" s="8">
        <v>6</v>
      </c>
      <c r="P963" s="9">
        <v>46174</v>
      </c>
      <c r="Q963" t="s">
        <v>238</v>
      </c>
      <c r="R963" t="s">
        <v>425</v>
      </c>
      <c r="S963" t="s">
        <v>426</v>
      </c>
      <c r="T963" t="s">
        <v>2179</v>
      </c>
      <c r="U963" t="s">
        <v>2180</v>
      </c>
      <c r="V963" t="s">
        <v>246</v>
      </c>
      <c r="W963" t="s">
        <v>244</v>
      </c>
      <c r="X963" t="s">
        <v>3522</v>
      </c>
      <c r="Y963" t="s">
        <v>191</v>
      </c>
      <c r="Z963" t="s">
        <v>335</v>
      </c>
      <c r="AA963" t="s">
        <v>337</v>
      </c>
      <c r="AB963" t="s">
        <v>541</v>
      </c>
      <c r="AC963" t="s">
        <v>542</v>
      </c>
      <c r="AD963" t="s">
        <v>543</v>
      </c>
      <c r="AE963" s="7">
        <v>69000</v>
      </c>
      <c r="AF963" s="7">
        <v>1</v>
      </c>
      <c r="AG963" s="7">
        <v>69000</v>
      </c>
      <c r="AH963" s="7">
        <v>0</v>
      </c>
      <c r="AI963" s="7">
        <v>69000</v>
      </c>
      <c r="AJ963" t="s">
        <v>542</v>
      </c>
    </row>
    <row r="964" spans="14:36" x14ac:dyDescent="0.3">
      <c r="N964" s="8">
        <v>2026</v>
      </c>
      <c r="O964" s="8">
        <v>6</v>
      </c>
      <c r="P964" s="9">
        <v>46174</v>
      </c>
      <c r="Q964" t="s">
        <v>238</v>
      </c>
      <c r="R964" t="s">
        <v>425</v>
      </c>
      <c r="S964" t="s">
        <v>426</v>
      </c>
      <c r="T964" t="s">
        <v>2684</v>
      </c>
      <c r="U964" t="s">
        <v>395</v>
      </c>
      <c r="V964" t="s">
        <v>246</v>
      </c>
      <c r="W964" t="s">
        <v>244</v>
      </c>
      <c r="X964" t="s">
        <v>3523</v>
      </c>
      <c r="Y964" t="s">
        <v>191</v>
      </c>
      <c r="Z964" t="s">
        <v>335</v>
      </c>
      <c r="AA964" t="s">
        <v>337</v>
      </c>
      <c r="AB964" t="s">
        <v>541</v>
      </c>
      <c r="AC964" t="s">
        <v>542</v>
      </c>
      <c r="AD964" t="s">
        <v>543</v>
      </c>
      <c r="AE964" s="7">
        <v>69000</v>
      </c>
      <c r="AF964" s="7">
        <v>1</v>
      </c>
      <c r="AG964" s="7">
        <v>69000</v>
      </c>
      <c r="AH964" s="7">
        <v>0</v>
      </c>
      <c r="AI964" s="7">
        <v>69000</v>
      </c>
      <c r="AJ964" t="s">
        <v>542</v>
      </c>
    </row>
    <row r="965" spans="14:36" x14ac:dyDescent="0.3">
      <c r="N965" s="8">
        <v>2026</v>
      </c>
      <c r="O965" s="8">
        <v>6</v>
      </c>
      <c r="P965" s="9">
        <v>46174</v>
      </c>
      <c r="Q965" t="s">
        <v>238</v>
      </c>
      <c r="R965" t="s">
        <v>425</v>
      </c>
      <c r="S965" t="s">
        <v>426</v>
      </c>
      <c r="T965" t="s">
        <v>896</v>
      </c>
      <c r="U965" t="s">
        <v>288</v>
      </c>
      <c r="V965" t="s">
        <v>246</v>
      </c>
      <c r="W965" t="s">
        <v>244</v>
      </c>
      <c r="X965" t="s">
        <v>3524</v>
      </c>
      <c r="Y965" t="s">
        <v>191</v>
      </c>
      <c r="Z965" t="s">
        <v>335</v>
      </c>
      <c r="AA965" t="s">
        <v>337</v>
      </c>
      <c r="AB965" t="s">
        <v>656</v>
      </c>
      <c r="AC965" t="s">
        <v>657</v>
      </c>
      <c r="AD965" t="s">
        <v>658</v>
      </c>
      <c r="AE965" s="7">
        <v>35000</v>
      </c>
      <c r="AF965" s="7">
        <v>2</v>
      </c>
      <c r="AG965" s="7">
        <v>70000</v>
      </c>
      <c r="AH965" s="7">
        <v>0</v>
      </c>
      <c r="AI965" s="7">
        <v>70000</v>
      </c>
      <c r="AJ965" t="s">
        <v>657</v>
      </c>
    </row>
    <row r="966" spans="14:36" x14ac:dyDescent="0.3">
      <c r="N966" s="8">
        <v>2026</v>
      </c>
      <c r="O966" s="8">
        <v>5</v>
      </c>
      <c r="P966" s="9">
        <v>46173</v>
      </c>
      <c r="Q966" t="s">
        <v>238</v>
      </c>
      <c r="R966" t="s">
        <v>239</v>
      </c>
      <c r="S966" t="s">
        <v>240</v>
      </c>
      <c r="T966" t="s">
        <v>261</v>
      </c>
      <c r="U966" t="s">
        <v>3980</v>
      </c>
      <c r="V966" t="s">
        <v>246</v>
      </c>
      <c r="W966" t="s">
        <v>244</v>
      </c>
      <c r="X966" t="s">
        <v>262</v>
      </c>
      <c r="Y966" t="s">
        <v>194</v>
      </c>
      <c r="Z966" t="s">
        <v>195</v>
      </c>
      <c r="AA966" t="s">
        <v>196</v>
      </c>
      <c r="AB966" t="s">
        <v>71</v>
      </c>
      <c r="AC966" t="s">
        <v>69</v>
      </c>
      <c r="AD966" t="s">
        <v>70</v>
      </c>
      <c r="AE966" s="7">
        <v>275000</v>
      </c>
      <c r="AF966" s="7">
        <v>1</v>
      </c>
      <c r="AG966" s="7">
        <v>275000</v>
      </c>
      <c r="AH966" s="7">
        <v>0</v>
      </c>
      <c r="AI966" s="7">
        <v>275000</v>
      </c>
      <c r="AJ966" t="s">
        <v>69</v>
      </c>
    </row>
    <row r="967" spans="14:36" x14ac:dyDescent="0.3">
      <c r="N967" s="8">
        <v>2026</v>
      </c>
      <c r="O967" s="8">
        <v>5</v>
      </c>
      <c r="P967" s="9">
        <v>46173</v>
      </c>
      <c r="Q967" t="s">
        <v>238</v>
      </c>
      <c r="R967" t="s">
        <v>239</v>
      </c>
      <c r="S967" t="s">
        <v>240</v>
      </c>
      <c r="T967" t="s">
        <v>265</v>
      </c>
      <c r="U967" t="s">
        <v>3981</v>
      </c>
      <c r="V967" t="s">
        <v>246</v>
      </c>
      <c r="W967" t="s">
        <v>244</v>
      </c>
      <c r="X967" t="s">
        <v>266</v>
      </c>
      <c r="Y967" t="s">
        <v>168</v>
      </c>
      <c r="Z967" t="s">
        <v>171</v>
      </c>
      <c r="AA967" t="s">
        <v>172</v>
      </c>
      <c r="AB967" t="s">
        <v>14</v>
      </c>
      <c r="AC967" t="s">
        <v>12</v>
      </c>
      <c r="AD967" t="s">
        <v>13</v>
      </c>
      <c r="AE967" s="7">
        <v>135000</v>
      </c>
      <c r="AF967" s="7">
        <v>1</v>
      </c>
      <c r="AG967" s="7">
        <v>135000</v>
      </c>
      <c r="AH967" s="7">
        <v>0</v>
      </c>
      <c r="AI967" s="7">
        <v>135000</v>
      </c>
      <c r="AJ967" t="s">
        <v>12</v>
      </c>
    </row>
    <row r="968" spans="14:36" x14ac:dyDescent="0.3">
      <c r="N968" s="8">
        <v>2026</v>
      </c>
      <c r="O968" s="8">
        <v>5</v>
      </c>
      <c r="P968" s="9">
        <v>46173</v>
      </c>
      <c r="Q968" t="s">
        <v>238</v>
      </c>
      <c r="R968" t="s">
        <v>239</v>
      </c>
      <c r="S968" t="s">
        <v>240</v>
      </c>
      <c r="T968" t="s">
        <v>269</v>
      </c>
      <c r="U968" t="s">
        <v>3982</v>
      </c>
      <c r="V968" t="s">
        <v>246</v>
      </c>
      <c r="W968" t="s">
        <v>244</v>
      </c>
      <c r="X968" t="s">
        <v>271</v>
      </c>
      <c r="Y968" t="s">
        <v>168</v>
      </c>
      <c r="Z968" t="s">
        <v>181</v>
      </c>
      <c r="AA968" t="s">
        <v>182</v>
      </c>
      <c r="AB968" t="s">
        <v>50</v>
      </c>
      <c r="AC968" t="s">
        <v>48</v>
      </c>
      <c r="AD968" t="s">
        <v>49</v>
      </c>
      <c r="AE968" s="7">
        <v>49000</v>
      </c>
      <c r="AF968" s="7">
        <v>1</v>
      </c>
      <c r="AG968" s="7">
        <v>49000</v>
      </c>
      <c r="AH968" s="7">
        <v>0</v>
      </c>
      <c r="AI968" s="7">
        <v>49000</v>
      </c>
      <c r="AJ968" t="s">
        <v>48</v>
      </c>
    </row>
    <row r="969" spans="14:36" x14ac:dyDescent="0.3">
      <c r="N969" s="8">
        <v>2026</v>
      </c>
      <c r="O969" s="8">
        <v>5</v>
      </c>
      <c r="P969" s="9">
        <v>46173</v>
      </c>
      <c r="Q969" t="s">
        <v>238</v>
      </c>
      <c r="R969" t="s">
        <v>279</v>
      </c>
      <c r="S969" t="s">
        <v>280</v>
      </c>
      <c r="T969" t="s">
        <v>290</v>
      </c>
      <c r="U969" t="s">
        <v>291</v>
      </c>
      <c r="V969" t="s">
        <v>246</v>
      </c>
      <c r="W969" t="s">
        <v>244</v>
      </c>
      <c r="X969" t="s">
        <v>292</v>
      </c>
      <c r="Y969" t="s">
        <v>183</v>
      </c>
      <c r="Z969" t="s">
        <v>189</v>
      </c>
      <c r="AA969" t="s">
        <v>190</v>
      </c>
      <c r="AB969" t="s">
        <v>92</v>
      </c>
      <c r="AC969" t="s">
        <v>90</v>
      </c>
      <c r="AD969" t="s">
        <v>91</v>
      </c>
      <c r="AE969" s="7">
        <v>52000</v>
      </c>
      <c r="AF969" s="7">
        <v>2</v>
      </c>
      <c r="AG969" s="7">
        <v>104000</v>
      </c>
      <c r="AH969" s="7">
        <v>0</v>
      </c>
      <c r="AI969" s="7">
        <v>104000</v>
      </c>
      <c r="AJ969" t="s">
        <v>90</v>
      </c>
    </row>
    <row r="970" spans="14:36" x14ac:dyDescent="0.3">
      <c r="N970" s="8">
        <v>2026</v>
      </c>
      <c r="O970" s="8">
        <v>5</v>
      </c>
      <c r="P970" s="9">
        <v>46173</v>
      </c>
      <c r="Q970" t="s">
        <v>238</v>
      </c>
      <c r="R970" t="s">
        <v>303</v>
      </c>
      <c r="S970" t="s">
        <v>304</v>
      </c>
      <c r="T970" t="s">
        <v>309</v>
      </c>
      <c r="U970" t="s">
        <v>3983</v>
      </c>
      <c r="V970" t="s">
        <v>246</v>
      </c>
      <c r="W970" t="s">
        <v>244</v>
      </c>
      <c r="X970" t="s">
        <v>310</v>
      </c>
      <c r="Y970" t="s">
        <v>168</v>
      </c>
      <c r="Z970" t="s">
        <v>171</v>
      </c>
      <c r="AA970" t="s">
        <v>175</v>
      </c>
      <c r="AB970" t="s">
        <v>41</v>
      </c>
      <c r="AC970" t="s">
        <v>39</v>
      </c>
      <c r="AD970" t="s">
        <v>40</v>
      </c>
      <c r="AE970" s="7">
        <v>295000</v>
      </c>
      <c r="AF970" s="7">
        <v>1</v>
      </c>
      <c r="AG970" s="7">
        <v>295000</v>
      </c>
      <c r="AH970" s="7">
        <v>0</v>
      </c>
      <c r="AI970" s="7">
        <v>295000</v>
      </c>
      <c r="AJ970" t="s">
        <v>39</v>
      </c>
    </row>
    <row r="971" spans="14:36" x14ac:dyDescent="0.3">
      <c r="N971" s="8">
        <v>2026</v>
      </c>
      <c r="O971" s="8">
        <v>5</v>
      </c>
      <c r="P971" s="9">
        <v>46173</v>
      </c>
      <c r="Q971" t="s">
        <v>238</v>
      </c>
      <c r="R971" t="s">
        <v>303</v>
      </c>
      <c r="S971" t="s">
        <v>304</v>
      </c>
      <c r="T971" t="s">
        <v>332</v>
      </c>
      <c r="U971" t="s">
        <v>333</v>
      </c>
      <c r="V971" t="s">
        <v>246</v>
      </c>
      <c r="W971" t="s">
        <v>244</v>
      </c>
      <c r="X971" t="s">
        <v>334</v>
      </c>
      <c r="Y971" t="s">
        <v>194</v>
      </c>
      <c r="Z971" t="s">
        <v>200</v>
      </c>
      <c r="AA971" t="s">
        <v>201</v>
      </c>
      <c r="AB971" t="s">
        <v>89</v>
      </c>
      <c r="AC971" t="s">
        <v>87</v>
      </c>
      <c r="AD971" t="s">
        <v>88</v>
      </c>
      <c r="AE971" s="7">
        <v>46000</v>
      </c>
      <c r="AF971" s="7">
        <v>1</v>
      </c>
      <c r="AG971" s="7">
        <v>46000</v>
      </c>
      <c r="AH971" s="7">
        <v>0</v>
      </c>
      <c r="AI971" s="7">
        <v>46000</v>
      </c>
      <c r="AJ971" t="s">
        <v>87</v>
      </c>
    </row>
    <row r="972" spans="14:36" x14ac:dyDescent="0.3">
      <c r="N972" s="8">
        <v>2026</v>
      </c>
      <c r="O972" s="8">
        <v>5</v>
      </c>
      <c r="P972" s="9">
        <v>46173</v>
      </c>
      <c r="Q972" t="s">
        <v>238</v>
      </c>
      <c r="R972" t="s">
        <v>303</v>
      </c>
      <c r="S972" t="s">
        <v>304</v>
      </c>
      <c r="T972" t="s">
        <v>338</v>
      </c>
      <c r="U972" t="s">
        <v>3984</v>
      </c>
      <c r="V972" t="s">
        <v>246</v>
      </c>
      <c r="W972" t="s">
        <v>244</v>
      </c>
      <c r="X972" t="s">
        <v>340</v>
      </c>
      <c r="Y972" t="s">
        <v>168</v>
      </c>
      <c r="Z972" t="s">
        <v>171</v>
      </c>
      <c r="AA972" t="s">
        <v>173</v>
      </c>
      <c r="AB972" t="s">
        <v>26</v>
      </c>
      <c r="AC972" t="s">
        <v>24</v>
      </c>
      <c r="AD972" t="s">
        <v>25</v>
      </c>
      <c r="AE972" s="7">
        <v>555000</v>
      </c>
      <c r="AF972" s="7">
        <v>1</v>
      </c>
      <c r="AG972" s="7">
        <v>555000</v>
      </c>
      <c r="AH972" s="7">
        <v>0</v>
      </c>
      <c r="AI972" s="7">
        <v>555000</v>
      </c>
      <c r="AJ972" t="s">
        <v>24</v>
      </c>
    </row>
    <row r="973" spans="14:36" x14ac:dyDescent="0.3">
      <c r="N973" s="8">
        <v>2026</v>
      </c>
      <c r="O973" s="8">
        <v>5</v>
      </c>
      <c r="P973" s="9">
        <v>46173</v>
      </c>
      <c r="Q973" t="s">
        <v>238</v>
      </c>
      <c r="R973" t="s">
        <v>303</v>
      </c>
      <c r="S973" t="s">
        <v>304</v>
      </c>
      <c r="T973" t="s">
        <v>338</v>
      </c>
      <c r="U973" t="s">
        <v>3984</v>
      </c>
      <c r="V973" t="s">
        <v>246</v>
      </c>
      <c r="W973" t="s">
        <v>244</v>
      </c>
      <c r="X973" t="s">
        <v>340</v>
      </c>
      <c r="Y973" t="s">
        <v>168</v>
      </c>
      <c r="Z973" t="s">
        <v>171</v>
      </c>
      <c r="AA973" t="s">
        <v>175</v>
      </c>
      <c r="AB973" t="s">
        <v>35</v>
      </c>
      <c r="AC973" t="s">
        <v>33</v>
      </c>
      <c r="AD973" t="s">
        <v>34</v>
      </c>
      <c r="AE973" s="7">
        <v>255000</v>
      </c>
      <c r="AF973" s="7">
        <v>1</v>
      </c>
      <c r="AG973" s="7">
        <v>255000</v>
      </c>
      <c r="AH973" s="7">
        <v>0</v>
      </c>
      <c r="AI973" s="7">
        <v>255000</v>
      </c>
      <c r="AJ973" t="s">
        <v>33</v>
      </c>
    </row>
    <row r="974" spans="14:36" x14ac:dyDescent="0.3">
      <c r="N974" s="8">
        <v>2026</v>
      </c>
      <c r="O974" s="8">
        <v>5</v>
      </c>
      <c r="P974" s="9">
        <v>46173</v>
      </c>
      <c r="Q974" t="s">
        <v>238</v>
      </c>
      <c r="R974" t="s">
        <v>303</v>
      </c>
      <c r="S974" t="s">
        <v>304</v>
      </c>
      <c r="T974" t="s">
        <v>346</v>
      </c>
      <c r="U974" t="s">
        <v>3888</v>
      </c>
      <c r="V974" t="s">
        <v>246</v>
      </c>
      <c r="W974" t="s">
        <v>244</v>
      </c>
      <c r="X974" t="s">
        <v>347</v>
      </c>
      <c r="Y974" t="s">
        <v>191</v>
      </c>
      <c r="Z974" t="s">
        <v>335</v>
      </c>
      <c r="AA974" t="s">
        <v>337</v>
      </c>
      <c r="AB974" t="s">
        <v>348</v>
      </c>
      <c r="AC974" t="s">
        <v>349</v>
      </c>
      <c r="AD974" t="s">
        <v>350</v>
      </c>
      <c r="AE974" s="7">
        <v>76000</v>
      </c>
      <c r="AF974" s="7">
        <v>1</v>
      </c>
      <c r="AG974" s="7">
        <v>76000</v>
      </c>
      <c r="AH974" s="7">
        <v>0</v>
      </c>
      <c r="AI974" s="7">
        <v>76000</v>
      </c>
      <c r="AJ974" t="s">
        <v>349</v>
      </c>
    </row>
    <row r="975" spans="14:36" x14ac:dyDescent="0.3">
      <c r="N975" s="8">
        <v>2026</v>
      </c>
      <c r="O975" s="8">
        <v>5</v>
      </c>
      <c r="P975" s="9">
        <v>46173</v>
      </c>
      <c r="Q975" t="s">
        <v>238</v>
      </c>
      <c r="R975" t="s">
        <v>351</v>
      </c>
      <c r="S975" t="s">
        <v>352</v>
      </c>
      <c r="T975" t="s">
        <v>358</v>
      </c>
      <c r="U975" t="s">
        <v>359</v>
      </c>
      <c r="V975" t="s">
        <v>249</v>
      </c>
      <c r="W975" t="s">
        <v>244</v>
      </c>
      <c r="X975" t="s">
        <v>360</v>
      </c>
      <c r="Y975" t="s">
        <v>191</v>
      </c>
      <c r="Z975" t="s">
        <v>192</v>
      </c>
      <c r="AA975" t="s">
        <v>193</v>
      </c>
      <c r="AB975" t="s">
        <v>107</v>
      </c>
      <c r="AC975" t="s">
        <v>105</v>
      </c>
      <c r="AD975" t="s">
        <v>106</v>
      </c>
      <c r="AE975" s="7">
        <v>235000</v>
      </c>
      <c r="AF975" s="7">
        <v>1</v>
      </c>
      <c r="AG975" s="7">
        <v>235000</v>
      </c>
      <c r="AH975" s="7">
        <v>0</v>
      </c>
      <c r="AI975" s="7">
        <v>235000</v>
      </c>
      <c r="AJ975" t="s">
        <v>105</v>
      </c>
    </row>
    <row r="976" spans="14:36" x14ac:dyDescent="0.3">
      <c r="N976" s="8">
        <v>2026</v>
      </c>
      <c r="O976" s="8">
        <v>5</v>
      </c>
      <c r="P976" s="9">
        <v>46173</v>
      </c>
      <c r="Q976" t="s">
        <v>238</v>
      </c>
      <c r="R976" t="s">
        <v>351</v>
      </c>
      <c r="S976" t="s">
        <v>352</v>
      </c>
      <c r="T976" t="s">
        <v>365</v>
      </c>
      <c r="U976" t="s">
        <v>366</v>
      </c>
      <c r="V976" t="s">
        <v>246</v>
      </c>
      <c r="W976" t="s">
        <v>244</v>
      </c>
      <c r="X976" t="s">
        <v>367</v>
      </c>
      <c r="Y976" t="s">
        <v>183</v>
      </c>
      <c r="Z976" t="s">
        <v>189</v>
      </c>
      <c r="AA976" t="s">
        <v>190</v>
      </c>
      <c r="AB976" t="s">
        <v>92</v>
      </c>
      <c r="AC976" t="s">
        <v>90</v>
      </c>
      <c r="AD976" t="s">
        <v>91</v>
      </c>
      <c r="AE976" s="7">
        <v>52000</v>
      </c>
      <c r="AF976" s="7">
        <v>1</v>
      </c>
      <c r="AG976" s="7">
        <v>52000</v>
      </c>
      <c r="AH976" s="7">
        <v>0</v>
      </c>
      <c r="AI976" s="7">
        <v>52000</v>
      </c>
      <c r="AJ976" t="s">
        <v>90</v>
      </c>
    </row>
    <row r="977" spans="14:36" x14ac:dyDescent="0.3">
      <c r="N977" s="8">
        <v>2026</v>
      </c>
      <c r="O977" s="8">
        <v>5</v>
      </c>
      <c r="P977" s="9">
        <v>46173</v>
      </c>
      <c r="Q977" t="s">
        <v>238</v>
      </c>
      <c r="R977" t="s">
        <v>374</v>
      </c>
      <c r="S977" t="s">
        <v>375</v>
      </c>
      <c r="T977" t="s">
        <v>388</v>
      </c>
      <c r="U977" t="s">
        <v>3866</v>
      </c>
      <c r="V977" t="s">
        <v>246</v>
      </c>
      <c r="W977" t="s">
        <v>244</v>
      </c>
      <c r="X977" t="s">
        <v>389</v>
      </c>
      <c r="Y977" t="s">
        <v>194</v>
      </c>
      <c r="Z977" t="s">
        <v>200</v>
      </c>
      <c r="AA977" t="s">
        <v>201</v>
      </c>
      <c r="AB977" t="s">
        <v>86</v>
      </c>
      <c r="AC977" t="s">
        <v>84</v>
      </c>
      <c r="AD977" t="s">
        <v>85</v>
      </c>
      <c r="AE977" s="7">
        <v>49000</v>
      </c>
      <c r="AF977" s="7">
        <v>1</v>
      </c>
      <c r="AG977" s="7">
        <v>49000</v>
      </c>
      <c r="AH977" s="7">
        <v>0</v>
      </c>
      <c r="AI977" s="7">
        <v>49000</v>
      </c>
      <c r="AJ977" t="s">
        <v>84</v>
      </c>
    </row>
    <row r="978" spans="14:36" x14ac:dyDescent="0.3">
      <c r="N978" s="8">
        <v>2026</v>
      </c>
      <c r="O978" s="8">
        <v>5</v>
      </c>
      <c r="P978" s="9">
        <v>46173</v>
      </c>
      <c r="Q978" t="s">
        <v>238</v>
      </c>
      <c r="R978" t="s">
        <v>374</v>
      </c>
      <c r="S978" t="s">
        <v>375</v>
      </c>
      <c r="T978" t="s">
        <v>392</v>
      </c>
      <c r="U978" t="s">
        <v>393</v>
      </c>
      <c r="V978" t="s">
        <v>246</v>
      </c>
      <c r="W978" t="s">
        <v>244</v>
      </c>
      <c r="X978" t="s">
        <v>394</v>
      </c>
      <c r="Y978" t="s">
        <v>191</v>
      </c>
      <c r="Z978" t="s">
        <v>192</v>
      </c>
      <c r="AA978" t="s">
        <v>193</v>
      </c>
      <c r="AB978" t="s">
        <v>107</v>
      </c>
      <c r="AC978" t="s">
        <v>105</v>
      </c>
      <c r="AD978" t="s">
        <v>106</v>
      </c>
      <c r="AE978" s="7">
        <v>235000</v>
      </c>
      <c r="AF978" s="7">
        <v>1</v>
      </c>
      <c r="AG978" s="7">
        <v>235000</v>
      </c>
      <c r="AH978" s="7">
        <v>0</v>
      </c>
      <c r="AI978" s="7">
        <v>235000</v>
      </c>
      <c r="AJ978" t="s">
        <v>105</v>
      </c>
    </row>
    <row r="979" spans="14:36" x14ac:dyDescent="0.3">
      <c r="N979" s="8">
        <v>2026</v>
      </c>
      <c r="O979" s="8">
        <v>5</v>
      </c>
      <c r="P979" s="9">
        <v>46173</v>
      </c>
      <c r="Q979" t="s">
        <v>238</v>
      </c>
      <c r="R979" t="s">
        <v>396</v>
      </c>
      <c r="S979" t="s">
        <v>397</v>
      </c>
      <c r="T979" t="s">
        <v>401</v>
      </c>
      <c r="U979" t="s">
        <v>302</v>
      </c>
      <c r="V979" t="s">
        <v>249</v>
      </c>
      <c r="W979" t="s">
        <v>244</v>
      </c>
      <c r="X979" t="s">
        <v>402</v>
      </c>
      <c r="Y979" t="s">
        <v>194</v>
      </c>
      <c r="Z979" t="s">
        <v>200</v>
      </c>
      <c r="AA979" t="s">
        <v>201</v>
      </c>
      <c r="AB979" t="s">
        <v>77</v>
      </c>
      <c r="AC979" t="s">
        <v>75</v>
      </c>
      <c r="AD979" t="s">
        <v>76</v>
      </c>
      <c r="AE979" s="7">
        <v>52000</v>
      </c>
      <c r="AF979" s="7">
        <v>2</v>
      </c>
      <c r="AG979" s="7">
        <v>104000</v>
      </c>
      <c r="AH979" s="7">
        <v>0</v>
      </c>
      <c r="AI979" s="7">
        <v>104000</v>
      </c>
      <c r="AJ979" t="s">
        <v>75</v>
      </c>
    </row>
    <row r="980" spans="14:36" x14ac:dyDescent="0.3">
      <c r="N980" s="8">
        <v>2026</v>
      </c>
      <c r="O980" s="8">
        <v>5</v>
      </c>
      <c r="P980" s="9">
        <v>46173</v>
      </c>
      <c r="Q980" t="s">
        <v>238</v>
      </c>
      <c r="R980" t="s">
        <v>396</v>
      </c>
      <c r="S980" t="s">
        <v>397</v>
      </c>
      <c r="T980" t="s">
        <v>407</v>
      </c>
      <c r="U980" t="s">
        <v>408</v>
      </c>
      <c r="V980" t="s">
        <v>246</v>
      </c>
      <c r="W980" t="s">
        <v>244</v>
      </c>
      <c r="X980" t="s">
        <v>409</v>
      </c>
      <c r="Y980" t="s">
        <v>168</v>
      </c>
      <c r="Z980" t="s">
        <v>169</v>
      </c>
      <c r="AA980" t="s">
        <v>170</v>
      </c>
      <c r="AB980" t="s">
        <v>131</v>
      </c>
      <c r="AC980" t="s">
        <v>129</v>
      </c>
      <c r="AD980" t="s">
        <v>130</v>
      </c>
      <c r="AE980" s="7">
        <v>535000</v>
      </c>
      <c r="AF980" s="7">
        <v>1</v>
      </c>
      <c r="AG980" s="7">
        <v>535000</v>
      </c>
      <c r="AH980" s="7">
        <v>0</v>
      </c>
      <c r="AI980" s="7">
        <v>535000</v>
      </c>
      <c r="AJ980" t="s">
        <v>129</v>
      </c>
    </row>
    <row r="981" spans="14:36" x14ac:dyDescent="0.3">
      <c r="N981" s="8">
        <v>2026</v>
      </c>
      <c r="O981" s="8">
        <v>5</v>
      </c>
      <c r="P981" s="9">
        <v>46173</v>
      </c>
      <c r="Q981" t="s">
        <v>238</v>
      </c>
      <c r="R981" t="s">
        <v>396</v>
      </c>
      <c r="S981" t="s">
        <v>397</v>
      </c>
      <c r="T981" t="s">
        <v>407</v>
      </c>
      <c r="U981" t="s">
        <v>408</v>
      </c>
      <c r="V981" t="s">
        <v>246</v>
      </c>
      <c r="W981" t="s">
        <v>244</v>
      </c>
      <c r="X981" t="s">
        <v>409</v>
      </c>
      <c r="Y981" t="s">
        <v>168</v>
      </c>
      <c r="Z981" t="s">
        <v>171</v>
      </c>
      <c r="AA981" t="s">
        <v>173</v>
      </c>
      <c r="AB981" t="s">
        <v>20</v>
      </c>
      <c r="AC981" t="s">
        <v>18</v>
      </c>
      <c r="AD981" t="s">
        <v>19</v>
      </c>
      <c r="AE981" s="7">
        <v>455000</v>
      </c>
      <c r="AF981" s="7">
        <v>1</v>
      </c>
      <c r="AG981" s="7">
        <v>455000</v>
      </c>
      <c r="AH981" s="7">
        <v>0</v>
      </c>
      <c r="AI981" s="7">
        <v>455000</v>
      </c>
      <c r="AJ981" t="s">
        <v>18</v>
      </c>
    </row>
    <row r="982" spans="14:36" x14ac:dyDescent="0.3">
      <c r="N982" s="8">
        <v>2026</v>
      </c>
      <c r="O982" s="8">
        <v>5</v>
      </c>
      <c r="P982" s="9">
        <v>46173</v>
      </c>
      <c r="Q982" t="s">
        <v>238</v>
      </c>
      <c r="R982" t="s">
        <v>396</v>
      </c>
      <c r="S982" t="s">
        <v>397</v>
      </c>
      <c r="T982" t="s">
        <v>407</v>
      </c>
      <c r="U982" t="s">
        <v>408</v>
      </c>
      <c r="V982" t="s">
        <v>246</v>
      </c>
      <c r="W982" t="s">
        <v>244</v>
      </c>
      <c r="X982" t="s">
        <v>409</v>
      </c>
      <c r="Y982" t="s">
        <v>168</v>
      </c>
      <c r="Z982" t="s">
        <v>171</v>
      </c>
      <c r="AA982" t="s">
        <v>174</v>
      </c>
      <c r="AB982" t="s">
        <v>32</v>
      </c>
      <c r="AC982" t="s">
        <v>30</v>
      </c>
      <c r="AD982" t="s">
        <v>31</v>
      </c>
      <c r="AE982" s="7">
        <v>455000</v>
      </c>
      <c r="AF982" s="7">
        <v>1</v>
      </c>
      <c r="AG982" s="7">
        <v>455000</v>
      </c>
      <c r="AH982" s="7">
        <v>0</v>
      </c>
      <c r="AI982" s="7">
        <v>455000</v>
      </c>
      <c r="AJ982" t="s">
        <v>30</v>
      </c>
    </row>
    <row r="983" spans="14:36" x14ac:dyDescent="0.3">
      <c r="N983" s="8">
        <v>2026</v>
      </c>
      <c r="O983" s="8">
        <v>5</v>
      </c>
      <c r="P983" s="9">
        <v>46173</v>
      </c>
      <c r="Q983" t="s">
        <v>238</v>
      </c>
      <c r="R983" t="s">
        <v>396</v>
      </c>
      <c r="S983" t="s">
        <v>397</v>
      </c>
      <c r="T983" t="s">
        <v>407</v>
      </c>
      <c r="U983" t="s">
        <v>408</v>
      </c>
      <c r="V983" t="s">
        <v>246</v>
      </c>
      <c r="W983" t="s">
        <v>244</v>
      </c>
      <c r="X983" t="s">
        <v>409</v>
      </c>
      <c r="Y983" t="s">
        <v>168</v>
      </c>
      <c r="Z983" t="s">
        <v>171</v>
      </c>
      <c r="AA983" t="s">
        <v>175</v>
      </c>
      <c r="AB983" t="s">
        <v>38</v>
      </c>
      <c r="AC983" t="s">
        <v>36</v>
      </c>
      <c r="AD983" t="s">
        <v>37</v>
      </c>
      <c r="AE983" s="7">
        <v>290000</v>
      </c>
      <c r="AF983" s="7">
        <v>1</v>
      </c>
      <c r="AG983" s="7">
        <v>290000</v>
      </c>
      <c r="AH983" s="7">
        <v>0</v>
      </c>
      <c r="AI983" s="7">
        <v>290000</v>
      </c>
      <c r="AJ983" t="s">
        <v>36</v>
      </c>
    </row>
    <row r="984" spans="14:36" x14ac:dyDescent="0.3">
      <c r="N984" s="8">
        <v>2026</v>
      </c>
      <c r="O984" s="8">
        <v>5</v>
      </c>
      <c r="P984" s="9">
        <v>46173</v>
      </c>
      <c r="Q984" t="s">
        <v>238</v>
      </c>
      <c r="R984" t="s">
        <v>396</v>
      </c>
      <c r="S984" t="s">
        <v>397</v>
      </c>
      <c r="T984" t="s">
        <v>410</v>
      </c>
      <c r="U984" t="s">
        <v>411</v>
      </c>
      <c r="V984" t="s">
        <v>246</v>
      </c>
      <c r="W984" t="s">
        <v>244</v>
      </c>
      <c r="X984" t="s">
        <v>412</v>
      </c>
      <c r="Y984" t="s">
        <v>168</v>
      </c>
      <c r="Z984" t="s">
        <v>171</v>
      </c>
      <c r="AA984" t="s">
        <v>175</v>
      </c>
      <c r="AB984" t="s">
        <v>44</v>
      </c>
      <c r="AC984" t="s">
        <v>42</v>
      </c>
      <c r="AD984" t="s">
        <v>43</v>
      </c>
      <c r="AE984" s="7">
        <v>294000</v>
      </c>
      <c r="AF984" s="7">
        <v>1</v>
      </c>
      <c r="AG984" s="7">
        <v>294000</v>
      </c>
      <c r="AH984" s="7">
        <v>0</v>
      </c>
      <c r="AI984" s="7">
        <v>294000</v>
      </c>
      <c r="AJ984" t="s">
        <v>42</v>
      </c>
    </row>
    <row r="985" spans="14:36" x14ac:dyDescent="0.3">
      <c r="N985" s="8">
        <v>2026</v>
      </c>
      <c r="O985" s="8">
        <v>5</v>
      </c>
      <c r="P985" s="9">
        <v>46173</v>
      </c>
      <c r="Q985" t="s">
        <v>238</v>
      </c>
      <c r="R985" t="s">
        <v>396</v>
      </c>
      <c r="S985" t="s">
        <v>397</v>
      </c>
      <c r="T985" t="s">
        <v>410</v>
      </c>
      <c r="U985" t="s">
        <v>411</v>
      </c>
      <c r="V985" t="s">
        <v>246</v>
      </c>
      <c r="W985" t="s">
        <v>244</v>
      </c>
      <c r="X985" t="s">
        <v>412</v>
      </c>
      <c r="Y985" t="s">
        <v>183</v>
      </c>
      <c r="Z985" t="s">
        <v>184</v>
      </c>
      <c r="AA985" t="s">
        <v>185</v>
      </c>
      <c r="AB985" t="s">
        <v>47</v>
      </c>
      <c r="AC985" t="s">
        <v>45</v>
      </c>
      <c r="AD985" t="s">
        <v>46</v>
      </c>
      <c r="AE985" s="7">
        <v>52000</v>
      </c>
      <c r="AF985" s="7">
        <v>2</v>
      </c>
      <c r="AG985" s="7">
        <v>104000</v>
      </c>
      <c r="AH985" s="7">
        <v>0</v>
      </c>
      <c r="AI985" s="7">
        <v>104000</v>
      </c>
      <c r="AJ985" t="s">
        <v>45</v>
      </c>
    </row>
    <row r="986" spans="14:36" x14ac:dyDescent="0.3">
      <c r="N986" s="8">
        <v>2026</v>
      </c>
      <c r="O986" s="8">
        <v>5</v>
      </c>
      <c r="P986" s="9">
        <v>46173</v>
      </c>
      <c r="Q986" t="s">
        <v>238</v>
      </c>
      <c r="R986" t="s">
        <v>415</v>
      </c>
      <c r="S986" t="s">
        <v>416</v>
      </c>
      <c r="T986" t="s">
        <v>420</v>
      </c>
      <c r="U986" t="s">
        <v>3985</v>
      </c>
      <c r="V986" t="s">
        <v>249</v>
      </c>
      <c r="W986" t="s">
        <v>244</v>
      </c>
      <c r="X986" t="s">
        <v>421</v>
      </c>
      <c r="Y986" t="s">
        <v>194</v>
      </c>
      <c r="Z986" t="s">
        <v>200</v>
      </c>
      <c r="AA986" t="s">
        <v>201</v>
      </c>
      <c r="AB986" t="s">
        <v>80</v>
      </c>
      <c r="AC986" t="s">
        <v>78</v>
      </c>
      <c r="AD986" t="s">
        <v>79</v>
      </c>
      <c r="AE986" s="7">
        <v>14000</v>
      </c>
      <c r="AF986" s="7">
        <v>1</v>
      </c>
      <c r="AG986" s="7">
        <v>14000</v>
      </c>
      <c r="AH986" s="7">
        <v>0</v>
      </c>
      <c r="AI986" s="7">
        <v>14000</v>
      </c>
      <c r="AJ986" t="s">
        <v>78</v>
      </c>
    </row>
    <row r="987" spans="14:36" x14ac:dyDescent="0.3">
      <c r="N987" s="8">
        <v>2026</v>
      </c>
      <c r="O987" s="8">
        <v>5</v>
      </c>
      <c r="P987" s="9">
        <v>46172</v>
      </c>
      <c r="Q987" t="s">
        <v>238</v>
      </c>
      <c r="R987" t="s">
        <v>239</v>
      </c>
      <c r="S987" t="s">
        <v>240</v>
      </c>
      <c r="T987" t="s">
        <v>441</v>
      </c>
      <c r="U987" t="s">
        <v>311</v>
      </c>
      <c r="V987" t="s">
        <v>246</v>
      </c>
      <c r="W987" t="s">
        <v>244</v>
      </c>
      <c r="X987" t="s">
        <v>442</v>
      </c>
      <c r="Y987" t="s">
        <v>194</v>
      </c>
      <c r="Z987" t="s">
        <v>200</v>
      </c>
      <c r="AA987" t="s">
        <v>201</v>
      </c>
      <c r="AB987" t="s">
        <v>80</v>
      </c>
      <c r="AC987" t="s">
        <v>78</v>
      </c>
      <c r="AD987" t="s">
        <v>79</v>
      </c>
      <c r="AE987" s="7">
        <v>14000</v>
      </c>
      <c r="AF987" s="7">
        <v>2</v>
      </c>
      <c r="AG987" s="7">
        <v>28000</v>
      </c>
      <c r="AH987" s="7">
        <v>0</v>
      </c>
      <c r="AI987" s="7">
        <v>28000</v>
      </c>
      <c r="AJ987" t="s">
        <v>78</v>
      </c>
    </row>
    <row r="988" spans="14:36" x14ac:dyDescent="0.3">
      <c r="N988" s="8">
        <v>2026</v>
      </c>
      <c r="O988" s="8">
        <v>5</v>
      </c>
      <c r="P988" s="9">
        <v>46172</v>
      </c>
      <c r="Q988" t="s">
        <v>238</v>
      </c>
      <c r="R988" t="s">
        <v>279</v>
      </c>
      <c r="S988" t="s">
        <v>280</v>
      </c>
      <c r="T988" t="s">
        <v>446</v>
      </c>
      <c r="U988" t="s">
        <v>447</v>
      </c>
      <c r="V988" t="s">
        <v>246</v>
      </c>
      <c r="W988" t="s">
        <v>244</v>
      </c>
      <c r="X988" t="s">
        <v>448</v>
      </c>
      <c r="Y988" t="s">
        <v>194</v>
      </c>
      <c r="Z988" t="s">
        <v>200</v>
      </c>
      <c r="AA988" t="s">
        <v>201</v>
      </c>
      <c r="AB988" t="s">
        <v>80</v>
      </c>
      <c r="AC988" t="s">
        <v>78</v>
      </c>
      <c r="AD988" t="s">
        <v>79</v>
      </c>
      <c r="AE988" s="7">
        <v>14000</v>
      </c>
      <c r="AF988" s="7">
        <v>1</v>
      </c>
      <c r="AG988" s="7">
        <v>14000</v>
      </c>
      <c r="AH988" s="7">
        <v>0</v>
      </c>
      <c r="AI988" s="7">
        <v>14000</v>
      </c>
      <c r="AJ988" t="s">
        <v>78</v>
      </c>
    </row>
    <row r="989" spans="14:36" x14ac:dyDescent="0.3">
      <c r="N989" s="8">
        <v>2026</v>
      </c>
      <c r="O989" s="8">
        <v>5</v>
      </c>
      <c r="P989" s="9">
        <v>46172</v>
      </c>
      <c r="Q989" t="s">
        <v>238</v>
      </c>
      <c r="R989" t="s">
        <v>303</v>
      </c>
      <c r="S989" t="s">
        <v>304</v>
      </c>
      <c r="T989" t="s">
        <v>455</v>
      </c>
      <c r="U989" t="s">
        <v>3986</v>
      </c>
      <c r="V989" t="s">
        <v>246</v>
      </c>
      <c r="W989" t="s">
        <v>244</v>
      </c>
      <c r="X989" t="s">
        <v>457</v>
      </c>
      <c r="Y989" t="s">
        <v>183</v>
      </c>
      <c r="Z989" t="s">
        <v>184</v>
      </c>
      <c r="AA989" t="s">
        <v>185</v>
      </c>
      <c r="AB989" t="s">
        <v>47</v>
      </c>
      <c r="AC989" t="s">
        <v>45</v>
      </c>
      <c r="AD989" t="s">
        <v>46</v>
      </c>
      <c r="AE989" s="7">
        <v>52000</v>
      </c>
      <c r="AF989" s="7">
        <v>1</v>
      </c>
      <c r="AG989" s="7">
        <v>52000</v>
      </c>
      <c r="AH989" s="7">
        <v>0</v>
      </c>
      <c r="AI989" s="7">
        <v>52000</v>
      </c>
      <c r="AJ989" t="s">
        <v>45</v>
      </c>
    </row>
    <row r="990" spans="14:36" x14ac:dyDescent="0.3">
      <c r="N990" s="8">
        <v>2026</v>
      </c>
      <c r="O990" s="8">
        <v>5</v>
      </c>
      <c r="P990" s="9">
        <v>46172</v>
      </c>
      <c r="Q990" t="s">
        <v>238</v>
      </c>
      <c r="R990" t="s">
        <v>303</v>
      </c>
      <c r="S990" t="s">
        <v>304</v>
      </c>
      <c r="T990" t="s">
        <v>465</v>
      </c>
      <c r="U990" t="s">
        <v>466</v>
      </c>
      <c r="V990" t="s">
        <v>246</v>
      </c>
      <c r="W990" t="s">
        <v>244</v>
      </c>
      <c r="X990" t="s">
        <v>467</v>
      </c>
      <c r="Y990" t="s">
        <v>191</v>
      </c>
      <c r="Z990" t="s">
        <v>192</v>
      </c>
      <c r="AA990" t="s">
        <v>193</v>
      </c>
      <c r="AB990" t="s">
        <v>110</v>
      </c>
      <c r="AC990" t="s">
        <v>108</v>
      </c>
      <c r="AD990" t="s">
        <v>109</v>
      </c>
      <c r="AE990" s="7">
        <v>235000</v>
      </c>
      <c r="AF990" s="7">
        <v>1</v>
      </c>
      <c r="AG990" s="7">
        <v>235000</v>
      </c>
      <c r="AH990" s="7">
        <v>0</v>
      </c>
      <c r="AI990" s="7">
        <v>235000</v>
      </c>
      <c r="AJ990" t="s">
        <v>108</v>
      </c>
    </row>
    <row r="991" spans="14:36" x14ac:dyDescent="0.3">
      <c r="N991" s="8">
        <v>2026</v>
      </c>
      <c r="O991" s="8">
        <v>5</v>
      </c>
      <c r="P991" s="9">
        <v>46172</v>
      </c>
      <c r="Q991" t="s">
        <v>238</v>
      </c>
      <c r="R991" t="s">
        <v>303</v>
      </c>
      <c r="S991" t="s">
        <v>304</v>
      </c>
      <c r="T991" t="s">
        <v>469</v>
      </c>
      <c r="U991" t="s">
        <v>470</v>
      </c>
      <c r="V991" t="s">
        <v>246</v>
      </c>
      <c r="W991" t="s">
        <v>244</v>
      </c>
      <c r="X991" t="s">
        <v>471</v>
      </c>
      <c r="Y991" t="s">
        <v>168</v>
      </c>
      <c r="Z991" t="s">
        <v>171</v>
      </c>
      <c r="AA991" t="s">
        <v>175</v>
      </c>
      <c r="AB991" t="s">
        <v>41</v>
      </c>
      <c r="AC991" t="s">
        <v>39</v>
      </c>
      <c r="AD991" t="s">
        <v>40</v>
      </c>
      <c r="AE991" s="7">
        <v>295000</v>
      </c>
      <c r="AF991" s="7">
        <v>1</v>
      </c>
      <c r="AG991" s="7">
        <v>295000</v>
      </c>
      <c r="AH991" s="7">
        <v>0</v>
      </c>
      <c r="AI991" s="7">
        <v>295000</v>
      </c>
      <c r="AJ991" t="s">
        <v>39</v>
      </c>
    </row>
    <row r="992" spans="14:36" x14ac:dyDescent="0.3">
      <c r="N992" s="8">
        <v>2026</v>
      </c>
      <c r="O992" s="8">
        <v>5</v>
      </c>
      <c r="P992" s="9">
        <v>46172</v>
      </c>
      <c r="Q992" t="s">
        <v>238</v>
      </c>
      <c r="R992" t="s">
        <v>303</v>
      </c>
      <c r="S992" t="s">
        <v>304</v>
      </c>
      <c r="T992" t="s">
        <v>473</v>
      </c>
      <c r="U992" t="s">
        <v>3987</v>
      </c>
      <c r="V992" t="s">
        <v>246</v>
      </c>
      <c r="W992" t="s">
        <v>244</v>
      </c>
      <c r="X992" t="s">
        <v>474</v>
      </c>
      <c r="Y992" t="s">
        <v>191</v>
      </c>
      <c r="Z992" t="s">
        <v>192</v>
      </c>
      <c r="AA992" t="s">
        <v>193</v>
      </c>
      <c r="AB992" t="s">
        <v>107</v>
      </c>
      <c r="AC992" t="s">
        <v>105</v>
      </c>
      <c r="AD992" t="s">
        <v>106</v>
      </c>
      <c r="AE992" s="7">
        <v>235000</v>
      </c>
      <c r="AF992" s="7">
        <v>1</v>
      </c>
      <c r="AG992" s="7">
        <v>235000</v>
      </c>
      <c r="AH992" s="7">
        <v>0</v>
      </c>
      <c r="AI992" s="7">
        <v>235000</v>
      </c>
      <c r="AJ992" t="s">
        <v>105</v>
      </c>
    </row>
    <row r="993" spans="14:36" x14ac:dyDescent="0.3">
      <c r="N993" s="8">
        <v>2026</v>
      </c>
      <c r="O993" s="8">
        <v>5</v>
      </c>
      <c r="P993" s="9">
        <v>46172</v>
      </c>
      <c r="Q993" t="s">
        <v>238</v>
      </c>
      <c r="R993" t="s">
        <v>303</v>
      </c>
      <c r="S993" t="s">
        <v>304</v>
      </c>
      <c r="T993" t="s">
        <v>475</v>
      </c>
      <c r="U993" t="s">
        <v>476</v>
      </c>
      <c r="V993" t="s">
        <v>249</v>
      </c>
      <c r="W993" t="s">
        <v>244</v>
      </c>
      <c r="X993" t="s">
        <v>477</v>
      </c>
      <c r="Y993" t="s">
        <v>168</v>
      </c>
      <c r="Z993" t="s">
        <v>181</v>
      </c>
      <c r="AA993" t="s">
        <v>182</v>
      </c>
      <c r="AB993" t="s">
        <v>50</v>
      </c>
      <c r="AC993" t="s">
        <v>48</v>
      </c>
      <c r="AD993" t="s">
        <v>49</v>
      </c>
      <c r="AE993" s="7">
        <v>49000</v>
      </c>
      <c r="AF993" s="7">
        <v>1</v>
      </c>
      <c r="AG993" s="7">
        <v>49000</v>
      </c>
      <c r="AH993" s="7">
        <v>0</v>
      </c>
      <c r="AI993" s="7">
        <v>49000</v>
      </c>
      <c r="AJ993" t="s">
        <v>48</v>
      </c>
    </row>
    <row r="994" spans="14:36" x14ac:dyDescent="0.3">
      <c r="N994" s="8">
        <v>2026</v>
      </c>
      <c r="O994" s="8">
        <v>5</v>
      </c>
      <c r="P994" s="9">
        <v>46172</v>
      </c>
      <c r="Q994" t="s">
        <v>238</v>
      </c>
      <c r="R994" t="s">
        <v>374</v>
      </c>
      <c r="S994" t="s">
        <v>375</v>
      </c>
      <c r="T994" t="s">
        <v>488</v>
      </c>
      <c r="U994" t="s">
        <v>390</v>
      </c>
      <c r="V994" t="s">
        <v>246</v>
      </c>
      <c r="W994" t="s">
        <v>244</v>
      </c>
      <c r="X994" t="s">
        <v>489</v>
      </c>
      <c r="Y994" t="s">
        <v>194</v>
      </c>
      <c r="Z994" t="s">
        <v>200</v>
      </c>
      <c r="AA994" t="s">
        <v>201</v>
      </c>
      <c r="AB994" t="s">
        <v>80</v>
      </c>
      <c r="AC994" t="s">
        <v>78</v>
      </c>
      <c r="AD994" t="s">
        <v>79</v>
      </c>
      <c r="AE994" s="7">
        <v>14000</v>
      </c>
      <c r="AF994" s="7">
        <v>1</v>
      </c>
      <c r="AG994" s="7">
        <v>14000</v>
      </c>
      <c r="AH994" s="7">
        <v>0</v>
      </c>
      <c r="AI994" s="7">
        <v>14000</v>
      </c>
      <c r="AJ994" t="s">
        <v>78</v>
      </c>
    </row>
    <row r="995" spans="14:36" x14ac:dyDescent="0.3">
      <c r="N995" s="8">
        <v>2026</v>
      </c>
      <c r="O995" s="8">
        <v>5</v>
      </c>
      <c r="P995" s="9">
        <v>46172</v>
      </c>
      <c r="Q995" t="s">
        <v>238</v>
      </c>
      <c r="R995" t="s">
        <v>374</v>
      </c>
      <c r="S995" t="s">
        <v>375</v>
      </c>
      <c r="T995" t="s">
        <v>491</v>
      </c>
      <c r="U995" t="s">
        <v>492</v>
      </c>
      <c r="V995" t="s">
        <v>246</v>
      </c>
      <c r="W995" t="s">
        <v>244</v>
      </c>
      <c r="X995" t="s">
        <v>493</v>
      </c>
      <c r="Y995" t="s">
        <v>183</v>
      </c>
      <c r="Z995" t="s">
        <v>184</v>
      </c>
      <c r="AA995" t="s">
        <v>185</v>
      </c>
      <c r="AB995" t="s">
        <v>47</v>
      </c>
      <c r="AC995" t="s">
        <v>45</v>
      </c>
      <c r="AD995" t="s">
        <v>46</v>
      </c>
      <c r="AE995" s="7">
        <v>52000</v>
      </c>
      <c r="AF995" s="7">
        <v>1</v>
      </c>
      <c r="AG995" s="7">
        <v>52000</v>
      </c>
      <c r="AH995" s="7">
        <v>0</v>
      </c>
      <c r="AI995" s="7">
        <v>52000</v>
      </c>
      <c r="AJ995" t="s">
        <v>45</v>
      </c>
    </row>
    <row r="996" spans="14:36" x14ac:dyDescent="0.3">
      <c r="N996" s="8">
        <v>2026</v>
      </c>
      <c r="O996" s="8">
        <v>5</v>
      </c>
      <c r="P996" s="9">
        <v>46172</v>
      </c>
      <c r="Q996" t="s">
        <v>238</v>
      </c>
      <c r="R996" t="s">
        <v>425</v>
      </c>
      <c r="S996" t="s">
        <v>426</v>
      </c>
      <c r="T996" t="s">
        <v>512</v>
      </c>
      <c r="U996" t="s">
        <v>513</v>
      </c>
      <c r="V996" t="s">
        <v>246</v>
      </c>
      <c r="W996" t="s">
        <v>244</v>
      </c>
      <c r="X996" t="s">
        <v>514</v>
      </c>
      <c r="Y996" t="s">
        <v>194</v>
      </c>
      <c r="Z996" t="s">
        <v>200</v>
      </c>
      <c r="AA996" t="s">
        <v>201</v>
      </c>
      <c r="AB996" t="s">
        <v>80</v>
      </c>
      <c r="AC996" t="s">
        <v>78</v>
      </c>
      <c r="AD996" t="s">
        <v>79</v>
      </c>
      <c r="AE996" s="7">
        <v>14000</v>
      </c>
      <c r="AF996" s="7">
        <v>1</v>
      </c>
      <c r="AG996" s="7">
        <v>14000</v>
      </c>
      <c r="AH996" s="7">
        <v>0</v>
      </c>
      <c r="AI996" s="7">
        <v>14000</v>
      </c>
      <c r="AJ996" t="s">
        <v>78</v>
      </c>
    </row>
    <row r="997" spans="14:36" x14ac:dyDescent="0.3">
      <c r="N997" s="8">
        <v>2026</v>
      </c>
      <c r="O997" s="8">
        <v>5</v>
      </c>
      <c r="P997" s="9">
        <v>46172</v>
      </c>
      <c r="Q997" t="s">
        <v>238</v>
      </c>
      <c r="R997" t="s">
        <v>425</v>
      </c>
      <c r="S997" t="s">
        <v>426</v>
      </c>
      <c r="T997" t="s">
        <v>516</v>
      </c>
      <c r="U997" t="s">
        <v>517</v>
      </c>
      <c r="V997" t="s">
        <v>246</v>
      </c>
      <c r="W997" t="s">
        <v>244</v>
      </c>
      <c r="X997" t="s">
        <v>518</v>
      </c>
      <c r="Y997" t="s">
        <v>183</v>
      </c>
      <c r="Z997" t="s">
        <v>189</v>
      </c>
      <c r="AA997" t="s">
        <v>190</v>
      </c>
      <c r="AB997" t="s">
        <v>92</v>
      </c>
      <c r="AC997" t="s">
        <v>90</v>
      </c>
      <c r="AD997" t="s">
        <v>91</v>
      </c>
      <c r="AE997" s="7">
        <v>52000</v>
      </c>
      <c r="AF997" s="7">
        <v>2</v>
      </c>
      <c r="AG997" s="7">
        <v>104000</v>
      </c>
      <c r="AH997" s="7">
        <v>0</v>
      </c>
      <c r="AI997" s="7">
        <v>104000</v>
      </c>
      <c r="AJ997" t="s">
        <v>90</v>
      </c>
    </row>
    <row r="998" spans="14:36" x14ac:dyDescent="0.3">
      <c r="N998" s="8">
        <v>2026</v>
      </c>
      <c r="O998" s="8">
        <v>5</v>
      </c>
      <c r="P998" s="9">
        <v>46171</v>
      </c>
      <c r="Q998" t="s">
        <v>238</v>
      </c>
      <c r="R998" t="s">
        <v>239</v>
      </c>
      <c r="S998" t="s">
        <v>240</v>
      </c>
      <c r="T998" t="s">
        <v>519</v>
      </c>
      <c r="U998" t="s">
        <v>520</v>
      </c>
      <c r="V998" t="s">
        <v>246</v>
      </c>
      <c r="W998" t="s">
        <v>244</v>
      </c>
      <c r="X998" t="s">
        <v>521</v>
      </c>
      <c r="Y998" t="s">
        <v>194</v>
      </c>
      <c r="Z998" t="s">
        <v>200</v>
      </c>
      <c r="AA998" t="s">
        <v>201</v>
      </c>
      <c r="AB998" t="s">
        <v>89</v>
      </c>
      <c r="AC998" t="s">
        <v>87</v>
      </c>
      <c r="AD998" t="s">
        <v>88</v>
      </c>
      <c r="AE998" s="7">
        <v>46000</v>
      </c>
      <c r="AF998" s="7">
        <v>1</v>
      </c>
      <c r="AG998" s="7">
        <v>46000</v>
      </c>
      <c r="AH998" s="7">
        <v>0</v>
      </c>
      <c r="AI998" s="7">
        <v>46000</v>
      </c>
      <c r="AJ998" t="s">
        <v>87</v>
      </c>
    </row>
    <row r="999" spans="14:36" x14ac:dyDescent="0.3">
      <c r="N999" s="8">
        <v>2026</v>
      </c>
      <c r="O999" s="8">
        <v>5</v>
      </c>
      <c r="P999" s="9">
        <v>46171</v>
      </c>
      <c r="Q999" t="s">
        <v>238</v>
      </c>
      <c r="R999" t="s">
        <v>239</v>
      </c>
      <c r="S999" t="s">
        <v>240</v>
      </c>
      <c r="T999" t="s">
        <v>524</v>
      </c>
      <c r="U999" t="s">
        <v>525</v>
      </c>
      <c r="V999" t="s">
        <v>246</v>
      </c>
      <c r="W999" t="s">
        <v>244</v>
      </c>
      <c r="X999" t="s">
        <v>526</v>
      </c>
      <c r="Y999" t="s">
        <v>194</v>
      </c>
      <c r="Z999" t="s">
        <v>200</v>
      </c>
      <c r="AA999" t="s">
        <v>201</v>
      </c>
      <c r="AB999" t="s">
        <v>77</v>
      </c>
      <c r="AC999" t="s">
        <v>75</v>
      </c>
      <c r="AD999" t="s">
        <v>76</v>
      </c>
      <c r="AE999" s="7">
        <v>52000</v>
      </c>
      <c r="AF999" s="7">
        <v>1</v>
      </c>
      <c r="AG999" s="7">
        <v>52000</v>
      </c>
      <c r="AH999" s="7">
        <v>0</v>
      </c>
      <c r="AI999" s="7">
        <v>52000</v>
      </c>
      <c r="AJ999" t="s">
        <v>75</v>
      </c>
    </row>
    <row r="1000" spans="14:36" x14ac:dyDescent="0.3">
      <c r="N1000" s="8">
        <v>2026</v>
      </c>
      <c r="O1000" s="8">
        <v>5</v>
      </c>
      <c r="P1000" s="9">
        <v>46171</v>
      </c>
      <c r="Q1000" t="s">
        <v>238</v>
      </c>
      <c r="R1000" t="s">
        <v>279</v>
      </c>
      <c r="S1000" t="s">
        <v>280</v>
      </c>
      <c r="T1000" t="s">
        <v>535</v>
      </c>
      <c r="U1000" t="s">
        <v>536</v>
      </c>
      <c r="V1000" t="s">
        <v>249</v>
      </c>
      <c r="W1000" t="s">
        <v>244</v>
      </c>
      <c r="X1000" t="s">
        <v>537</v>
      </c>
      <c r="Y1000" t="s">
        <v>168</v>
      </c>
      <c r="Z1000" t="s">
        <v>181</v>
      </c>
      <c r="AA1000" t="s">
        <v>182</v>
      </c>
      <c r="AB1000" t="s">
        <v>50</v>
      </c>
      <c r="AC1000" t="s">
        <v>48</v>
      </c>
      <c r="AD1000" t="s">
        <v>49</v>
      </c>
      <c r="AE1000" s="7">
        <v>49000</v>
      </c>
      <c r="AF1000" s="7">
        <v>1</v>
      </c>
      <c r="AG1000" s="7">
        <v>49000</v>
      </c>
      <c r="AH1000" s="7">
        <v>0</v>
      </c>
      <c r="AI1000" s="7">
        <v>49000</v>
      </c>
      <c r="AJ1000" t="s">
        <v>48</v>
      </c>
    </row>
    <row r="1001" spans="14:36" x14ac:dyDescent="0.3">
      <c r="N1001" s="8">
        <v>2026</v>
      </c>
      <c r="O1001" s="8">
        <v>5</v>
      </c>
      <c r="P1001" s="9">
        <v>46171</v>
      </c>
      <c r="Q1001" t="s">
        <v>238</v>
      </c>
      <c r="R1001" t="s">
        <v>279</v>
      </c>
      <c r="S1001" t="s">
        <v>280</v>
      </c>
      <c r="T1001" t="s">
        <v>538</v>
      </c>
      <c r="U1001" t="s">
        <v>539</v>
      </c>
      <c r="V1001" t="s">
        <v>246</v>
      </c>
      <c r="W1001" t="s">
        <v>244</v>
      </c>
      <c r="X1001" t="s">
        <v>540</v>
      </c>
      <c r="Y1001" t="s">
        <v>191</v>
      </c>
      <c r="Z1001" t="s">
        <v>335</v>
      </c>
      <c r="AA1001" t="s">
        <v>337</v>
      </c>
      <c r="AB1001" t="s">
        <v>541</v>
      </c>
      <c r="AC1001" t="s">
        <v>542</v>
      </c>
      <c r="AD1001" t="s">
        <v>543</v>
      </c>
      <c r="AE1001" s="7">
        <v>69000</v>
      </c>
      <c r="AF1001" s="7">
        <v>1</v>
      </c>
      <c r="AG1001" s="7">
        <v>69000</v>
      </c>
      <c r="AH1001" s="7">
        <v>0</v>
      </c>
      <c r="AI1001" s="7">
        <v>69000</v>
      </c>
      <c r="AJ1001" t="s">
        <v>542</v>
      </c>
    </row>
    <row r="1002" spans="14:36" x14ac:dyDescent="0.3">
      <c r="N1002" s="8">
        <v>2026</v>
      </c>
      <c r="O1002" s="8">
        <v>5</v>
      </c>
      <c r="P1002" s="9">
        <v>46171</v>
      </c>
      <c r="Q1002" t="s">
        <v>238</v>
      </c>
      <c r="R1002" t="s">
        <v>303</v>
      </c>
      <c r="S1002" t="s">
        <v>304</v>
      </c>
      <c r="T1002" t="s">
        <v>549</v>
      </c>
      <c r="U1002" t="s">
        <v>3866</v>
      </c>
      <c r="V1002" t="s">
        <v>246</v>
      </c>
      <c r="W1002" t="s">
        <v>244</v>
      </c>
      <c r="X1002" t="s">
        <v>550</v>
      </c>
      <c r="Y1002" t="s">
        <v>194</v>
      </c>
      <c r="Z1002" t="s">
        <v>200</v>
      </c>
      <c r="AA1002" t="s">
        <v>201</v>
      </c>
      <c r="AB1002" t="s">
        <v>89</v>
      </c>
      <c r="AC1002" t="s">
        <v>87</v>
      </c>
      <c r="AD1002" t="s">
        <v>88</v>
      </c>
      <c r="AE1002" s="7">
        <v>46000</v>
      </c>
      <c r="AF1002" s="7">
        <v>2</v>
      </c>
      <c r="AG1002" s="7">
        <v>92000</v>
      </c>
      <c r="AH1002" s="7">
        <v>0</v>
      </c>
      <c r="AI1002" s="7">
        <v>92000</v>
      </c>
      <c r="AJ1002" t="s">
        <v>87</v>
      </c>
    </row>
    <row r="1003" spans="14:36" x14ac:dyDescent="0.3">
      <c r="N1003" s="8">
        <v>2026</v>
      </c>
      <c r="O1003" s="8">
        <v>5</v>
      </c>
      <c r="P1003" s="9">
        <v>46171</v>
      </c>
      <c r="Q1003" t="s">
        <v>238</v>
      </c>
      <c r="R1003" t="s">
        <v>303</v>
      </c>
      <c r="S1003" t="s">
        <v>304</v>
      </c>
      <c r="T1003" t="s">
        <v>551</v>
      </c>
      <c r="U1003" t="s">
        <v>552</v>
      </c>
      <c r="V1003" t="s">
        <v>246</v>
      </c>
      <c r="W1003" t="s">
        <v>244</v>
      </c>
      <c r="X1003" t="s">
        <v>553</v>
      </c>
      <c r="Y1003" t="s">
        <v>168</v>
      </c>
      <c r="Z1003" t="s">
        <v>181</v>
      </c>
      <c r="AA1003" t="s">
        <v>182</v>
      </c>
      <c r="AB1003" t="s">
        <v>50</v>
      </c>
      <c r="AC1003" t="s">
        <v>48</v>
      </c>
      <c r="AD1003" t="s">
        <v>49</v>
      </c>
      <c r="AE1003" s="7">
        <v>49000</v>
      </c>
      <c r="AF1003" s="7">
        <v>1</v>
      </c>
      <c r="AG1003" s="7">
        <v>49000</v>
      </c>
      <c r="AH1003" s="7">
        <v>0</v>
      </c>
      <c r="AI1003" s="7">
        <v>49000</v>
      </c>
      <c r="AJ1003" t="s">
        <v>48</v>
      </c>
    </row>
    <row r="1004" spans="14:36" x14ac:dyDescent="0.3">
      <c r="N1004" s="8">
        <v>2026</v>
      </c>
      <c r="O1004" s="8">
        <v>5</v>
      </c>
      <c r="P1004" s="9">
        <v>46171</v>
      </c>
      <c r="Q1004" t="s">
        <v>238</v>
      </c>
      <c r="R1004" t="s">
        <v>303</v>
      </c>
      <c r="S1004" t="s">
        <v>304</v>
      </c>
      <c r="T1004" t="s">
        <v>554</v>
      </c>
      <c r="U1004" t="s">
        <v>555</v>
      </c>
      <c r="V1004" t="s">
        <v>246</v>
      </c>
      <c r="W1004" t="s">
        <v>244</v>
      </c>
      <c r="X1004" t="s">
        <v>556</v>
      </c>
      <c r="Y1004" t="s">
        <v>168</v>
      </c>
      <c r="Z1004" t="s">
        <v>171</v>
      </c>
      <c r="AA1004" t="s">
        <v>172</v>
      </c>
      <c r="AB1004" t="s">
        <v>14</v>
      </c>
      <c r="AC1004" t="s">
        <v>12</v>
      </c>
      <c r="AD1004" t="s">
        <v>13</v>
      </c>
      <c r="AE1004" s="7">
        <v>135000</v>
      </c>
      <c r="AF1004" s="7">
        <v>1</v>
      </c>
      <c r="AG1004" s="7">
        <v>135000</v>
      </c>
      <c r="AH1004" s="7">
        <v>0</v>
      </c>
      <c r="AI1004" s="7">
        <v>135000</v>
      </c>
      <c r="AJ1004" t="s">
        <v>12</v>
      </c>
    </row>
    <row r="1005" spans="14:36" x14ac:dyDescent="0.3">
      <c r="N1005" s="8">
        <v>2026</v>
      </c>
      <c r="O1005" s="8">
        <v>5</v>
      </c>
      <c r="P1005" s="9">
        <v>46171</v>
      </c>
      <c r="Q1005" t="s">
        <v>238</v>
      </c>
      <c r="R1005" t="s">
        <v>303</v>
      </c>
      <c r="S1005" t="s">
        <v>304</v>
      </c>
      <c r="T1005" t="s">
        <v>554</v>
      </c>
      <c r="U1005" t="s">
        <v>555</v>
      </c>
      <c r="V1005" t="s">
        <v>246</v>
      </c>
      <c r="W1005" t="s">
        <v>244</v>
      </c>
      <c r="X1005" t="s">
        <v>556</v>
      </c>
      <c r="Y1005" t="s">
        <v>191</v>
      </c>
      <c r="Z1005" t="s">
        <v>192</v>
      </c>
      <c r="AA1005" t="s">
        <v>193</v>
      </c>
      <c r="AB1005" t="s">
        <v>107</v>
      </c>
      <c r="AC1005" t="s">
        <v>105</v>
      </c>
      <c r="AD1005" t="s">
        <v>106</v>
      </c>
      <c r="AE1005" s="7">
        <v>235000</v>
      </c>
      <c r="AF1005" s="7">
        <v>1</v>
      </c>
      <c r="AG1005" s="7">
        <v>235000</v>
      </c>
      <c r="AH1005" s="7">
        <v>0</v>
      </c>
      <c r="AI1005" s="7">
        <v>235000</v>
      </c>
      <c r="AJ1005" t="s">
        <v>105</v>
      </c>
    </row>
    <row r="1006" spans="14:36" x14ac:dyDescent="0.3">
      <c r="N1006" s="8">
        <v>2026</v>
      </c>
      <c r="O1006" s="8">
        <v>5</v>
      </c>
      <c r="P1006" s="9">
        <v>46171</v>
      </c>
      <c r="Q1006" t="s">
        <v>238</v>
      </c>
      <c r="R1006" t="s">
        <v>303</v>
      </c>
      <c r="S1006" t="s">
        <v>304</v>
      </c>
      <c r="T1006" t="s">
        <v>557</v>
      </c>
      <c r="U1006" t="s">
        <v>558</v>
      </c>
      <c r="V1006" t="s">
        <v>249</v>
      </c>
      <c r="W1006" t="s">
        <v>244</v>
      </c>
      <c r="X1006" t="s">
        <v>559</v>
      </c>
      <c r="Y1006" t="s">
        <v>191</v>
      </c>
      <c r="Z1006" t="s">
        <v>192</v>
      </c>
      <c r="AA1006" t="s">
        <v>193</v>
      </c>
      <c r="AB1006" t="s">
        <v>119</v>
      </c>
      <c r="AC1006" t="s">
        <v>117</v>
      </c>
      <c r="AD1006" t="s">
        <v>118</v>
      </c>
      <c r="AE1006" s="7">
        <v>235000</v>
      </c>
      <c r="AF1006" s="7">
        <v>2</v>
      </c>
      <c r="AG1006" s="7">
        <v>470000</v>
      </c>
      <c r="AH1006" s="7">
        <v>0</v>
      </c>
      <c r="AI1006" s="7">
        <v>470000</v>
      </c>
      <c r="AJ1006" t="s">
        <v>117</v>
      </c>
    </row>
    <row r="1007" spans="14:36" x14ac:dyDescent="0.3">
      <c r="N1007" s="8">
        <v>2026</v>
      </c>
      <c r="O1007" s="8">
        <v>5</v>
      </c>
      <c r="P1007" s="9">
        <v>46171</v>
      </c>
      <c r="Q1007" t="s">
        <v>238</v>
      </c>
      <c r="R1007" t="s">
        <v>303</v>
      </c>
      <c r="S1007" t="s">
        <v>304</v>
      </c>
      <c r="T1007" t="s">
        <v>560</v>
      </c>
      <c r="U1007" t="s">
        <v>245</v>
      </c>
      <c r="V1007" t="s">
        <v>246</v>
      </c>
      <c r="W1007" t="s">
        <v>244</v>
      </c>
      <c r="X1007" t="s">
        <v>561</v>
      </c>
      <c r="Y1007" t="s">
        <v>191</v>
      </c>
      <c r="Z1007" t="s">
        <v>335</v>
      </c>
      <c r="AA1007" t="s">
        <v>337</v>
      </c>
      <c r="AB1007" t="s">
        <v>348</v>
      </c>
      <c r="AC1007" t="s">
        <v>349</v>
      </c>
      <c r="AD1007" t="s">
        <v>350</v>
      </c>
      <c r="AE1007" s="7">
        <v>76000</v>
      </c>
      <c r="AF1007" s="7">
        <v>1</v>
      </c>
      <c r="AG1007" s="7">
        <v>76000</v>
      </c>
      <c r="AH1007" s="7">
        <v>0</v>
      </c>
      <c r="AI1007" s="7">
        <v>76000</v>
      </c>
      <c r="AJ1007" t="s">
        <v>349</v>
      </c>
    </row>
    <row r="1008" spans="14:36" x14ac:dyDescent="0.3">
      <c r="N1008" s="8">
        <v>2026</v>
      </c>
      <c r="O1008" s="8">
        <v>5</v>
      </c>
      <c r="P1008" s="9">
        <v>46171</v>
      </c>
      <c r="Q1008" t="s">
        <v>238</v>
      </c>
      <c r="R1008" t="s">
        <v>303</v>
      </c>
      <c r="S1008" t="s">
        <v>304</v>
      </c>
      <c r="T1008" t="s">
        <v>563</v>
      </c>
      <c r="U1008" t="s">
        <v>3866</v>
      </c>
      <c r="V1008" t="s">
        <v>246</v>
      </c>
      <c r="W1008" t="s">
        <v>244</v>
      </c>
      <c r="X1008" t="s">
        <v>564</v>
      </c>
      <c r="Y1008" t="s">
        <v>191</v>
      </c>
      <c r="Z1008" t="s">
        <v>192</v>
      </c>
      <c r="AA1008" t="s">
        <v>193</v>
      </c>
      <c r="AB1008" t="s">
        <v>107</v>
      </c>
      <c r="AC1008" t="s">
        <v>105</v>
      </c>
      <c r="AD1008" t="s">
        <v>106</v>
      </c>
      <c r="AE1008" s="7">
        <v>235000</v>
      </c>
      <c r="AF1008" s="7">
        <v>1</v>
      </c>
      <c r="AG1008" s="7">
        <v>235000</v>
      </c>
      <c r="AH1008" s="7">
        <v>0</v>
      </c>
      <c r="AI1008" s="7">
        <v>235000</v>
      </c>
      <c r="AJ1008" t="s">
        <v>105</v>
      </c>
    </row>
    <row r="1009" spans="14:36" x14ac:dyDescent="0.3">
      <c r="N1009" s="8">
        <v>2026</v>
      </c>
      <c r="O1009" s="8">
        <v>5</v>
      </c>
      <c r="P1009" s="9">
        <v>46171</v>
      </c>
      <c r="Q1009" t="s">
        <v>238</v>
      </c>
      <c r="R1009" t="s">
        <v>303</v>
      </c>
      <c r="S1009" t="s">
        <v>304</v>
      </c>
      <c r="T1009" t="s">
        <v>565</v>
      </c>
      <c r="U1009" t="s">
        <v>3988</v>
      </c>
      <c r="V1009" t="s">
        <v>246</v>
      </c>
      <c r="W1009" t="s">
        <v>244</v>
      </c>
      <c r="X1009" t="s">
        <v>566</v>
      </c>
      <c r="Y1009" t="s">
        <v>168</v>
      </c>
      <c r="Z1009" t="s">
        <v>171</v>
      </c>
      <c r="AA1009" t="s">
        <v>175</v>
      </c>
      <c r="AB1009" t="s">
        <v>38</v>
      </c>
      <c r="AC1009" t="s">
        <v>36</v>
      </c>
      <c r="AD1009" t="s">
        <v>37</v>
      </c>
      <c r="AE1009" s="7">
        <v>290000</v>
      </c>
      <c r="AF1009" s="7">
        <v>1</v>
      </c>
      <c r="AG1009" s="7">
        <v>290000</v>
      </c>
      <c r="AH1009" s="7">
        <v>0</v>
      </c>
      <c r="AI1009" s="7">
        <v>290000</v>
      </c>
      <c r="AJ1009" t="s">
        <v>36</v>
      </c>
    </row>
    <row r="1010" spans="14:36" x14ac:dyDescent="0.3">
      <c r="N1010" s="8">
        <v>2026</v>
      </c>
      <c r="O1010" s="8">
        <v>5</v>
      </c>
      <c r="P1010" s="9">
        <v>46171</v>
      </c>
      <c r="Q1010" t="s">
        <v>238</v>
      </c>
      <c r="R1010" t="s">
        <v>303</v>
      </c>
      <c r="S1010" t="s">
        <v>304</v>
      </c>
      <c r="T1010" t="s">
        <v>573</v>
      </c>
      <c r="U1010" t="s">
        <v>574</v>
      </c>
      <c r="V1010" t="s">
        <v>246</v>
      </c>
      <c r="W1010" t="s">
        <v>244</v>
      </c>
      <c r="X1010" t="s">
        <v>575</v>
      </c>
      <c r="Y1010" t="s">
        <v>168</v>
      </c>
      <c r="Z1010" t="s">
        <v>171</v>
      </c>
      <c r="AA1010" t="s">
        <v>173</v>
      </c>
      <c r="AB1010" t="s">
        <v>29</v>
      </c>
      <c r="AC1010" t="s">
        <v>27</v>
      </c>
      <c r="AD1010" t="s">
        <v>28</v>
      </c>
      <c r="AE1010" s="7">
        <v>575000</v>
      </c>
      <c r="AF1010" s="7">
        <v>1</v>
      </c>
      <c r="AG1010" s="7">
        <v>575000</v>
      </c>
      <c r="AH1010" s="7">
        <v>0</v>
      </c>
      <c r="AI1010" s="7">
        <v>575000</v>
      </c>
      <c r="AJ1010" t="s">
        <v>27</v>
      </c>
    </row>
    <row r="1011" spans="14:36" x14ac:dyDescent="0.3">
      <c r="N1011" s="8">
        <v>2026</v>
      </c>
      <c r="O1011" s="8">
        <v>5</v>
      </c>
      <c r="P1011" s="9">
        <v>46171</v>
      </c>
      <c r="Q1011" t="s">
        <v>238</v>
      </c>
      <c r="R1011" t="s">
        <v>351</v>
      </c>
      <c r="S1011" t="s">
        <v>352</v>
      </c>
      <c r="T1011" t="s">
        <v>579</v>
      </c>
      <c r="U1011" t="s">
        <v>580</v>
      </c>
      <c r="V1011" t="s">
        <v>246</v>
      </c>
      <c r="W1011" t="s">
        <v>244</v>
      </c>
      <c r="X1011" t="s">
        <v>581</v>
      </c>
      <c r="Y1011" t="s">
        <v>168</v>
      </c>
      <c r="Z1011" t="s">
        <v>171</v>
      </c>
      <c r="AA1011" t="s">
        <v>172</v>
      </c>
      <c r="AB1011" t="s">
        <v>11</v>
      </c>
      <c r="AC1011" t="s">
        <v>9</v>
      </c>
      <c r="AD1011" t="s">
        <v>10</v>
      </c>
      <c r="AE1011" s="7">
        <v>129000</v>
      </c>
      <c r="AF1011" s="7">
        <v>1</v>
      </c>
      <c r="AG1011" s="7">
        <v>129000</v>
      </c>
      <c r="AH1011" s="7">
        <v>0</v>
      </c>
      <c r="AI1011" s="7">
        <v>129000</v>
      </c>
      <c r="AJ1011" t="s">
        <v>9</v>
      </c>
    </row>
    <row r="1012" spans="14:36" x14ac:dyDescent="0.3">
      <c r="N1012" s="8">
        <v>2026</v>
      </c>
      <c r="O1012" s="8">
        <v>5</v>
      </c>
      <c r="P1012" s="9">
        <v>46171</v>
      </c>
      <c r="Q1012" t="s">
        <v>238</v>
      </c>
      <c r="R1012" t="s">
        <v>351</v>
      </c>
      <c r="S1012" t="s">
        <v>352</v>
      </c>
      <c r="T1012" t="s">
        <v>582</v>
      </c>
      <c r="U1012" t="s">
        <v>3989</v>
      </c>
      <c r="V1012" t="s">
        <v>246</v>
      </c>
      <c r="W1012" t="s">
        <v>244</v>
      </c>
      <c r="X1012" t="s">
        <v>583</v>
      </c>
      <c r="Y1012" t="s">
        <v>168</v>
      </c>
      <c r="Z1012" t="s">
        <v>171</v>
      </c>
      <c r="AA1012" t="s">
        <v>175</v>
      </c>
      <c r="AB1012" t="s">
        <v>44</v>
      </c>
      <c r="AC1012" t="s">
        <v>42</v>
      </c>
      <c r="AD1012" t="s">
        <v>43</v>
      </c>
      <c r="AE1012" s="7">
        <v>294000</v>
      </c>
      <c r="AF1012" s="7">
        <v>1</v>
      </c>
      <c r="AG1012" s="7">
        <v>294000</v>
      </c>
      <c r="AH1012" s="7">
        <v>35000</v>
      </c>
      <c r="AI1012" s="7">
        <v>259000</v>
      </c>
      <c r="AJ1012" t="s">
        <v>42</v>
      </c>
    </row>
    <row r="1013" spans="14:36" x14ac:dyDescent="0.3">
      <c r="N1013" s="8">
        <v>2026</v>
      </c>
      <c r="O1013" s="8">
        <v>5</v>
      </c>
      <c r="P1013" s="9">
        <v>46171</v>
      </c>
      <c r="Q1013" t="s">
        <v>238</v>
      </c>
      <c r="R1013" t="s">
        <v>374</v>
      </c>
      <c r="S1013" t="s">
        <v>375</v>
      </c>
      <c r="T1013" t="s">
        <v>376</v>
      </c>
      <c r="U1013" t="s">
        <v>377</v>
      </c>
      <c r="V1013" t="s">
        <v>243</v>
      </c>
      <c r="W1013" t="s">
        <v>244</v>
      </c>
      <c r="X1013" t="s">
        <v>591</v>
      </c>
      <c r="Y1013" t="s">
        <v>194</v>
      </c>
      <c r="Z1013" t="s">
        <v>195</v>
      </c>
      <c r="AA1013" t="s">
        <v>196</v>
      </c>
      <c r="AB1013" t="s">
        <v>68</v>
      </c>
      <c r="AC1013" t="s">
        <v>66</v>
      </c>
      <c r="AD1013" t="s">
        <v>67</v>
      </c>
      <c r="AE1013" s="7">
        <v>360000</v>
      </c>
      <c r="AF1013" s="7">
        <v>1</v>
      </c>
      <c r="AG1013" s="7">
        <v>360000</v>
      </c>
      <c r="AH1013" s="7">
        <v>0</v>
      </c>
      <c r="AI1013" s="7">
        <v>360000</v>
      </c>
      <c r="AJ1013" t="s">
        <v>66</v>
      </c>
    </row>
    <row r="1014" spans="14:36" x14ac:dyDescent="0.3">
      <c r="N1014" s="8">
        <v>2026</v>
      </c>
      <c r="O1014" s="8">
        <v>5</v>
      </c>
      <c r="P1014" s="9">
        <v>46171</v>
      </c>
      <c r="Q1014" t="s">
        <v>238</v>
      </c>
      <c r="R1014" t="s">
        <v>374</v>
      </c>
      <c r="S1014" t="s">
        <v>375</v>
      </c>
      <c r="T1014" t="s">
        <v>596</v>
      </c>
      <c r="U1014" t="s">
        <v>597</v>
      </c>
      <c r="V1014" t="s">
        <v>246</v>
      </c>
      <c r="W1014" t="s">
        <v>244</v>
      </c>
      <c r="X1014" t="s">
        <v>598</v>
      </c>
      <c r="Y1014" t="s">
        <v>168</v>
      </c>
      <c r="Z1014" t="s">
        <v>171</v>
      </c>
      <c r="AA1014" t="s">
        <v>175</v>
      </c>
      <c r="AB1014" t="s">
        <v>35</v>
      </c>
      <c r="AC1014" t="s">
        <v>33</v>
      </c>
      <c r="AD1014" t="s">
        <v>34</v>
      </c>
      <c r="AE1014" s="7">
        <v>255000</v>
      </c>
      <c r="AF1014" s="7">
        <v>1</v>
      </c>
      <c r="AG1014" s="7">
        <v>255000</v>
      </c>
      <c r="AH1014" s="7">
        <v>0</v>
      </c>
      <c r="AI1014" s="7">
        <v>255000</v>
      </c>
      <c r="AJ1014" t="s">
        <v>33</v>
      </c>
    </row>
    <row r="1015" spans="14:36" x14ac:dyDescent="0.3">
      <c r="N1015" s="8">
        <v>2026</v>
      </c>
      <c r="O1015" s="8">
        <v>5</v>
      </c>
      <c r="P1015" s="9">
        <v>46171</v>
      </c>
      <c r="Q1015" t="s">
        <v>238</v>
      </c>
      <c r="R1015" t="s">
        <v>396</v>
      </c>
      <c r="S1015" t="s">
        <v>397</v>
      </c>
      <c r="T1015" t="s">
        <v>604</v>
      </c>
      <c r="U1015" t="s">
        <v>3945</v>
      </c>
      <c r="V1015" t="s">
        <v>246</v>
      </c>
      <c r="W1015" t="s">
        <v>244</v>
      </c>
      <c r="X1015" t="s">
        <v>605</v>
      </c>
      <c r="Y1015" t="s">
        <v>191</v>
      </c>
      <c r="Z1015" t="s">
        <v>335</v>
      </c>
      <c r="AA1015" t="s">
        <v>336</v>
      </c>
      <c r="AB1015" t="s">
        <v>606</v>
      </c>
      <c r="AC1015" t="s">
        <v>607</v>
      </c>
      <c r="AD1015" t="s">
        <v>608</v>
      </c>
      <c r="AE1015" s="7">
        <v>105000</v>
      </c>
      <c r="AF1015" s="7">
        <v>1</v>
      </c>
      <c r="AG1015" s="7">
        <v>105000</v>
      </c>
      <c r="AH1015" s="7">
        <v>0</v>
      </c>
      <c r="AI1015" s="7">
        <v>105000</v>
      </c>
      <c r="AJ1015" t="s">
        <v>607</v>
      </c>
    </row>
    <row r="1016" spans="14:36" x14ac:dyDescent="0.3">
      <c r="N1016" s="8">
        <v>2026</v>
      </c>
      <c r="O1016" s="8">
        <v>5</v>
      </c>
      <c r="P1016" s="9">
        <v>46171</v>
      </c>
      <c r="Q1016" t="s">
        <v>238</v>
      </c>
      <c r="R1016" t="s">
        <v>396</v>
      </c>
      <c r="S1016" t="s">
        <v>397</v>
      </c>
      <c r="T1016" t="s">
        <v>498</v>
      </c>
      <c r="U1016" t="s">
        <v>3990</v>
      </c>
      <c r="V1016" t="s">
        <v>246</v>
      </c>
      <c r="W1016" t="s">
        <v>244</v>
      </c>
      <c r="X1016" t="s">
        <v>609</v>
      </c>
      <c r="Y1016" t="s">
        <v>191</v>
      </c>
      <c r="Z1016" t="s">
        <v>192</v>
      </c>
      <c r="AA1016" t="s">
        <v>193</v>
      </c>
      <c r="AB1016" t="s">
        <v>107</v>
      </c>
      <c r="AC1016" t="s">
        <v>105</v>
      </c>
      <c r="AD1016" t="s">
        <v>106</v>
      </c>
      <c r="AE1016" s="7">
        <v>235000</v>
      </c>
      <c r="AF1016" s="7">
        <v>1</v>
      </c>
      <c r="AG1016" s="7">
        <v>235000</v>
      </c>
      <c r="AH1016" s="7">
        <v>0</v>
      </c>
      <c r="AI1016" s="7">
        <v>235000</v>
      </c>
      <c r="AJ1016" t="s">
        <v>105</v>
      </c>
    </row>
    <row r="1017" spans="14:36" x14ac:dyDescent="0.3">
      <c r="N1017" s="8">
        <v>2026</v>
      </c>
      <c r="O1017" s="8">
        <v>5</v>
      </c>
      <c r="P1017" s="9">
        <v>46171</v>
      </c>
      <c r="Q1017" t="s">
        <v>238</v>
      </c>
      <c r="R1017" t="s">
        <v>415</v>
      </c>
      <c r="S1017" t="s">
        <v>416</v>
      </c>
      <c r="T1017" t="s">
        <v>618</v>
      </c>
      <c r="U1017" t="s">
        <v>3866</v>
      </c>
      <c r="V1017" t="s">
        <v>246</v>
      </c>
      <c r="W1017" t="s">
        <v>244</v>
      </c>
      <c r="X1017" t="s">
        <v>619</v>
      </c>
      <c r="Y1017" t="s">
        <v>191</v>
      </c>
      <c r="Z1017" t="s">
        <v>335</v>
      </c>
      <c r="AA1017" t="s">
        <v>337</v>
      </c>
      <c r="AB1017" t="s">
        <v>541</v>
      </c>
      <c r="AC1017" t="s">
        <v>542</v>
      </c>
      <c r="AD1017" t="s">
        <v>543</v>
      </c>
      <c r="AE1017" s="7">
        <v>69000</v>
      </c>
      <c r="AF1017" s="7">
        <v>1</v>
      </c>
      <c r="AG1017" s="7">
        <v>69000</v>
      </c>
      <c r="AH1017" s="7">
        <v>0</v>
      </c>
      <c r="AI1017" s="7">
        <v>69000</v>
      </c>
      <c r="AJ1017" t="s">
        <v>542</v>
      </c>
    </row>
    <row r="1018" spans="14:36" x14ac:dyDescent="0.3">
      <c r="N1018" s="8">
        <v>2026</v>
      </c>
      <c r="O1018" s="8">
        <v>5</v>
      </c>
      <c r="P1018" s="9">
        <v>46171</v>
      </c>
      <c r="Q1018" t="s">
        <v>238</v>
      </c>
      <c r="R1018" t="s">
        <v>425</v>
      </c>
      <c r="S1018" t="s">
        <v>426</v>
      </c>
      <c r="T1018" t="s">
        <v>630</v>
      </c>
      <c r="U1018" t="s">
        <v>631</v>
      </c>
      <c r="V1018" t="s">
        <v>246</v>
      </c>
      <c r="W1018" t="s">
        <v>244</v>
      </c>
      <c r="X1018" t="s">
        <v>632</v>
      </c>
      <c r="Y1018" t="s">
        <v>194</v>
      </c>
      <c r="Z1018" t="s">
        <v>200</v>
      </c>
      <c r="AA1018" t="s">
        <v>201</v>
      </c>
      <c r="AB1018" t="s">
        <v>80</v>
      </c>
      <c r="AC1018" t="s">
        <v>78</v>
      </c>
      <c r="AD1018" t="s">
        <v>79</v>
      </c>
      <c r="AE1018" s="7">
        <v>14000</v>
      </c>
      <c r="AF1018" s="7">
        <v>2</v>
      </c>
      <c r="AG1018" s="7">
        <v>28000</v>
      </c>
      <c r="AH1018" s="7">
        <v>0</v>
      </c>
      <c r="AI1018" s="7">
        <v>28000</v>
      </c>
      <c r="AJ1018" t="s">
        <v>78</v>
      </c>
    </row>
    <row r="1019" spans="14:36" x14ac:dyDescent="0.3">
      <c r="N1019" s="8">
        <v>2026</v>
      </c>
      <c r="O1019" s="8">
        <v>5</v>
      </c>
      <c r="P1019" s="9">
        <v>46170</v>
      </c>
      <c r="Q1019" t="s">
        <v>238</v>
      </c>
      <c r="R1019" t="s">
        <v>239</v>
      </c>
      <c r="S1019" t="s">
        <v>240</v>
      </c>
      <c r="T1019" t="s">
        <v>633</v>
      </c>
      <c r="U1019" t="s">
        <v>296</v>
      </c>
      <c r="V1019" t="s">
        <v>246</v>
      </c>
      <c r="W1019" t="s">
        <v>244</v>
      </c>
      <c r="X1019" t="s">
        <v>634</v>
      </c>
      <c r="Y1019" t="s">
        <v>183</v>
      </c>
      <c r="Z1019" t="s">
        <v>189</v>
      </c>
      <c r="AA1019" t="s">
        <v>190</v>
      </c>
      <c r="AB1019" t="s">
        <v>92</v>
      </c>
      <c r="AC1019" t="s">
        <v>90</v>
      </c>
      <c r="AD1019" t="s">
        <v>91</v>
      </c>
      <c r="AE1019" s="7">
        <v>52000</v>
      </c>
      <c r="AF1019" s="7">
        <v>1</v>
      </c>
      <c r="AG1019" s="7">
        <v>52000</v>
      </c>
      <c r="AH1019" s="7">
        <v>0</v>
      </c>
      <c r="AI1019" s="7">
        <v>52000</v>
      </c>
      <c r="AJ1019" t="s">
        <v>90</v>
      </c>
    </row>
    <row r="1020" spans="14:36" x14ac:dyDescent="0.3">
      <c r="N1020" s="8">
        <v>2026</v>
      </c>
      <c r="O1020" s="8">
        <v>5</v>
      </c>
      <c r="P1020" s="9">
        <v>46170</v>
      </c>
      <c r="Q1020" t="s">
        <v>238</v>
      </c>
      <c r="R1020" t="s">
        <v>279</v>
      </c>
      <c r="S1020" t="s">
        <v>280</v>
      </c>
      <c r="T1020" t="s">
        <v>636</v>
      </c>
      <c r="U1020" t="s">
        <v>637</v>
      </c>
      <c r="V1020" t="s">
        <v>246</v>
      </c>
      <c r="W1020" t="s">
        <v>244</v>
      </c>
      <c r="X1020" t="s">
        <v>638</v>
      </c>
      <c r="Y1020" t="s">
        <v>191</v>
      </c>
      <c r="Z1020" t="s">
        <v>192</v>
      </c>
      <c r="AA1020" t="s">
        <v>193</v>
      </c>
      <c r="AB1020" t="s">
        <v>104</v>
      </c>
      <c r="AC1020" t="s">
        <v>102</v>
      </c>
      <c r="AD1020" t="s">
        <v>103</v>
      </c>
      <c r="AE1020" s="7">
        <v>235000</v>
      </c>
      <c r="AF1020" s="7">
        <v>1</v>
      </c>
      <c r="AG1020" s="7">
        <v>235000</v>
      </c>
      <c r="AH1020" s="7">
        <v>0</v>
      </c>
      <c r="AI1020" s="7">
        <v>235000</v>
      </c>
      <c r="AJ1020" t="s">
        <v>102</v>
      </c>
    </row>
    <row r="1021" spans="14:36" x14ac:dyDescent="0.3">
      <c r="N1021" s="8">
        <v>2026</v>
      </c>
      <c r="O1021" s="8">
        <v>5</v>
      </c>
      <c r="P1021" s="9">
        <v>46170</v>
      </c>
      <c r="Q1021" t="s">
        <v>238</v>
      </c>
      <c r="R1021" t="s">
        <v>303</v>
      </c>
      <c r="S1021" t="s">
        <v>304</v>
      </c>
      <c r="T1021" t="s">
        <v>650</v>
      </c>
      <c r="U1021" t="s">
        <v>298</v>
      </c>
      <c r="V1021" t="s">
        <v>246</v>
      </c>
      <c r="W1021" t="s">
        <v>244</v>
      </c>
      <c r="X1021" t="s">
        <v>651</v>
      </c>
      <c r="Y1021" t="s">
        <v>183</v>
      </c>
      <c r="Z1021" t="s">
        <v>184</v>
      </c>
      <c r="AA1021" t="s">
        <v>185</v>
      </c>
      <c r="AB1021" t="s">
        <v>47</v>
      </c>
      <c r="AC1021" t="s">
        <v>45</v>
      </c>
      <c r="AD1021" t="s">
        <v>46</v>
      </c>
      <c r="AE1021" s="7">
        <v>52000</v>
      </c>
      <c r="AF1021" s="7">
        <v>1</v>
      </c>
      <c r="AG1021" s="7">
        <v>52000</v>
      </c>
      <c r="AH1021" s="7">
        <v>0</v>
      </c>
      <c r="AI1021" s="7">
        <v>52000</v>
      </c>
      <c r="AJ1021" t="s">
        <v>45</v>
      </c>
    </row>
    <row r="1022" spans="14:36" x14ac:dyDescent="0.3">
      <c r="N1022" s="8">
        <v>2026</v>
      </c>
      <c r="O1022" s="8">
        <v>5</v>
      </c>
      <c r="P1022" s="9">
        <v>46170</v>
      </c>
      <c r="Q1022" t="s">
        <v>238</v>
      </c>
      <c r="R1022" t="s">
        <v>303</v>
      </c>
      <c r="S1022" t="s">
        <v>304</v>
      </c>
      <c r="T1022" t="s">
        <v>654</v>
      </c>
      <c r="U1022" t="s">
        <v>3991</v>
      </c>
      <c r="V1022" t="s">
        <v>246</v>
      </c>
      <c r="W1022" t="s">
        <v>244</v>
      </c>
      <c r="X1022" t="s">
        <v>655</v>
      </c>
      <c r="Y1022" t="s">
        <v>191</v>
      </c>
      <c r="Z1022" t="s">
        <v>335</v>
      </c>
      <c r="AA1022" t="s">
        <v>337</v>
      </c>
      <c r="AB1022" t="s">
        <v>656</v>
      </c>
      <c r="AC1022" t="s">
        <v>657</v>
      </c>
      <c r="AD1022" t="s">
        <v>658</v>
      </c>
      <c r="AE1022" s="7">
        <v>35000</v>
      </c>
      <c r="AF1022" s="7">
        <v>1</v>
      </c>
      <c r="AG1022" s="7">
        <v>35000</v>
      </c>
      <c r="AH1022" s="7">
        <v>0</v>
      </c>
      <c r="AI1022" s="7">
        <v>35000</v>
      </c>
      <c r="AJ1022" t="s">
        <v>657</v>
      </c>
    </row>
    <row r="1023" spans="14:36" x14ac:dyDescent="0.3">
      <c r="N1023" s="8">
        <v>2026</v>
      </c>
      <c r="O1023" s="8">
        <v>5</v>
      </c>
      <c r="P1023" s="9">
        <v>46170</v>
      </c>
      <c r="Q1023" t="s">
        <v>238</v>
      </c>
      <c r="R1023" t="s">
        <v>303</v>
      </c>
      <c r="S1023" t="s">
        <v>304</v>
      </c>
      <c r="T1023" t="s">
        <v>659</v>
      </c>
      <c r="U1023" t="s">
        <v>3992</v>
      </c>
      <c r="V1023" t="s">
        <v>246</v>
      </c>
      <c r="W1023" t="s">
        <v>244</v>
      </c>
      <c r="X1023" t="s">
        <v>661</v>
      </c>
      <c r="Y1023" t="s">
        <v>168</v>
      </c>
      <c r="Z1023" t="s">
        <v>171</v>
      </c>
      <c r="AA1023" t="s">
        <v>173</v>
      </c>
      <c r="AB1023" t="s">
        <v>20</v>
      </c>
      <c r="AC1023" t="s">
        <v>18</v>
      </c>
      <c r="AD1023" t="s">
        <v>19</v>
      </c>
      <c r="AE1023" s="7">
        <v>455000</v>
      </c>
      <c r="AF1023" s="7">
        <v>1</v>
      </c>
      <c r="AG1023" s="7">
        <v>455000</v>
      </c>
      <c r="AH1023" s="7">
        <v>0</v>
      </c>
      <c r="AI1023" s="7">
        <v>455000</v>
      </c>
      <c r="AJ1023" t="s">
        <v>18</v>
      </c>
    </row>
    <row r="1024" spans="14:36" x14ac:dyDescent="0.3">
      <c r="N1024" s="8">
        <v>2026</v>
      </c>
      <c r="O1024" s="8">
        <v>5</v>
      </c>
      <c r="P1024" s="9">
        <v>46170</v>
      </c>
      <c r="Q1024" t="s">
        <v>238</v>
      </c>
      <c r="R1024" t="s">
        <v>351</v>
      </c>
      <c r="S1024" t="s">
        <v>352</v>
      </c>
      <c r="T1024" t="s">
        <v>662</v>
      </c>
      <c r="U1024" t="s">
        <v>3866</v>
      </c>
      <c r="V1024" t="s">
        <v>246</v>
      </c>
      <c r="W1024" t="s">
        <v>244</v>
      </c>
      <c r="X1024" t="s">
        <v>663</v>
      </c>
      <c r="Y1024" t="s">
        <v>168</v>
      </c>
      <c r="Z1024" t="s">
        <v>171</v>
      </c>
      <c r="AA1024" t="s">
        <v>173</v>
      </c>
      <c r="AB1024" t="s">
        <v>20</v>
      </c>
      <c r="AC1024" t="s">
        <v>18</v>
      </c>
      <c r="AD1024" t="s">
        <v>19</v>
      </c>
      <c r="AE1024" s="7">
        <v>455000</v>
      </c>
      <c r="AF1024" s="7">
        <v>1</v>
      </c>
      <c r="AG1024" s="7">
        <v>455000</v>
      </c>
      <c r="AH1024" s="7">
        <v>0</v>
      </c>
      <c r="AI1024" s="7">
        <v>455000</v>
      </c>
      <c r="AJ1024" t="s">
        <v>18</v>
      </c>
    </row>
    <row r="1025" spans="14:36" x14ac:dyDescent="0.3">
      <c r="N1025" s="8">
        <v>2026</v>
      </c>
      <c r="O1025" s="8">
        <v>5</v>
      </c>
      <c r="P1025" s="9">
        <v>46170</v>
      </c>
      <c r="Q1025" t="s">
        <v>238</v>
      </c>
      <c r="R1025" t="s">
        <v>396</v>
      </c>
      <c r="S1025" t="s">
        <v>397</v>
      </c>
      <c r="T1025" t="s">
        <v>674</v>
      </c>
      <c r="U1025" t="s">
        <v>355</v>
      </c>
      <c r="V1025" t="s">
        <v>246</v>
      </c>
      <c r="W1025" t="s">
        <v>244</v>
      </c>
      <c r="X1025" t="s">
        <v>675</v>
      </c>
      <c r="Y1025" t="s">
        <v>168</v>
      </c>
      <c r="Z1025" t="s">
        <v>171</v>
      </c>
      <c r="AA1025" t="s">
        <v>173</v>
      </c>
      <c r="AB1025" t="s">
        <v>26</v>
      </c>
      <c r="AC1025" t="s">
        <v>24</v>
      </c>
      <c r="AD1025" t="s">
        <v>25</v>
      </c>
      <c r="AE1025" s="7">
        <v>555000</v>
      </c>
      <c r="AF1025" s="7">
        <v>1</v>
      </c>
      <c r="AG1025" s="7">
        <v>555000</v>
      </c>
      <c r="AH1025" s="7">
        <v>0</v>
      </c>
      <c r="AI1025" s="7">
        <v>555000</v>
      </c>
      <c r="AJ1025" t="s">
        <v>24</v>
      </c>
    </row>
    <row r="1026" spans="14:36" x14ac:dyDescent="0.3">
      <c r="N1026" s="8">
        <v>2026</v>
      </c>
      <c r="O1026" s="8">
        <v>5</v>
      </c>
      <c r="P1026" s="9">
        <v>46170</v>
      </c>
      <c r="Q1026" t="s">
        <v>238</v>
      </c>
      <c r="R1026" t="s">
        <v>396</v>
      </c>
      <c r="S1026" t="s">
        <v>397</v>
      </c>
      <c r="T1026" t="s">
        <v>678</v>
      </c>
      <c r="U1026" t="s">
        <v>679</v>
      </c>
      <c r="V1026" t="s">
        <v>249</v>
      </c>
      <c r="W1026" t="s">
        <v>244</v>
      </c>
      <c r="X1026" t="s">
        <v>680</v>
      </c>
      <c r="Y1026" t="s">
        <v>194</v>
      </c>
      <c r="Z1026" t="s">
        <v>200</v>
      </c>
      <c r="AA1026" t="s">
        <v>201</v>
      </c>
      <c r="AB1026" t="s">
        <v>83</v>
      </c>
      <c r="AC1026" t="s">
        <v>81</v>
      </c>
      <c r="AD1026" t="s">
        <v>82</v>
      </c>
      <c r="AE1026" s="7">
        <v>46000</v>
      </c>
      <c r="AF1026" s="7">
        <v>2</v>
      </c>
      <c r="AG1026" s="7">
        <v>92000</v>
      </c>
      <c r="AH1026" s="7">
        <v>0</v>
      </c>
      <c r="AI1026" s="7">
        <v>92000</v>
      </c>
      <c r="AJ1026" t="s">
        <v>81</v>
      </c>
    </row>
    <row r="1027" spans="14:36" x14ac:dyDescent="0.3">
      <c r="N1027" s="8">
        <v>2026</v>
      </c>
      <c r="O1027" s="8">
        <v>5</v>
      </c>
      <c r="P1027" s="9">
        <v>46170</v>
      </c>
      <c r="Q1027" t="s">
        <v>238</v>
      </c>
      <c r="R1027" t="s">
        <v>415</v>
      </c>
      <c r="S1027" t="s">
        <v>416</v>
      </c>
      <c r="T1027" t="s">
        <v>505</v>
      </c>
      <c r="U1027" t="s">
        <v>3993</v>
      </c>
      <c r="V1027" t="s">
        <v>246</v>
      </c>
      <c r="W1027" t="s">
        <v>244</v>
      </c>
      <c r="X1027" t="s">
        <v>683</v>
      </c>
      <c r="Y1027" t="s">
        <v>183</v>
      </c>
      <c r="Z1027" t="s">
        <v>184</v>
      </c>
      <c r="AA1027" t="s">
        <v>185</v>
      </c>
      <c r="AB1027" t="s">
        <v>47</v>
      </c>
      <c r="AC1027" t="s">
        <v>45</v>
      </c>
      <c r="AD1027" t="s">
        <v>46</v>
      </c>
      <c r="AE1027" s="7">
        <v>52000</v>
      </c>
      <c r="AF1027" s="7">
        <v>1</v>
      </c>
      <c r="AG1027" s="7">
        <v>52000</v>
      </c>
      <c r="AH1027" s="7">
        <v>0</v>
      </c>
      <c r="AI1027" s="7">
        <v>52000</v>
      </c>
      <c r="AJ1027" t="s">
        <v>45</v>
      </c>
    </row>
    <row r="1028" spans="14:36" x14ac:dyDescent="0.3">
      <c r="N1028" s="8">
        <v>2026</v>
      </c>
      <c r="O1028" s="8">
        <v>5</v>
      </c>
      <c r="P1028" s="9">
        <v>46170</v>
      </c>
      <c r="Q1028" t="s">
        <v>238</v>
      </c>
      <c r="R1028" t="s">
        <v>415</v>
      </c>
      <c r="S1028" t="s">
        <v>416</v>
      </c>
      <c r="T1028" t="s">
        <v>684</v>
      </c>
      <c r="U1028" t="s">
        <v>3994</v>
      </c>
      <c r="V1028" t="s">
        <v>246</v>
      </c>
      <c r="W1028" t="s">
        <v>244</v>
      </c>
      <c r="X1028" t="s">
        <v>685</v>
      </c>
      <c r="Y1028" t="s">
        <v>194</v>
      </c>
      <c r="Z1028" t="s">
        <v>200</v>
      </c>
      <c r="AA1028" t="s">
        <v>201</v>
      </c>
      <c r="AB1028" t="s">
        <v>80</v>
      </c>
      <c r="AC1028" t="s">
        <v>78</v>
      </c>
      <c r="AD1028" t="s">
        <v>79</v>
      </c>
      <c r="AE1028" s="7">
        <v>14000</v>
      </c>
      <c r="AF1028" s="7">
        <v>3</v>
      </c>
      <c r="AG1028" s="7">
        <v>42000</v>
      </c>
      <c r="AH1028" s="7">
        <v>0</v>
      </c>
      <c r="AI1028" s="7">
        <v>42000</v>
      </c>
      <c r="AJ1028" t="s">
        <v>78</v>
      </c>
    </row>
    <row r="1029" spans="14:36" x14ac:dyDescent="0.3">
      <c r="N1029" s="8">
        <v>2026</v>
      </c>
      <c r="O1029" s="8">
        <v>5</v>
      </c>
      <c r="P1029" s="9">
        <v>46170</v>
      </c>
      <c r="Q1029" t="s">
        <v>238</v>
      </c>
      <c r="R1029" t="s">
        <v>425</v>
      </c>
      <c r="S1029" t="s">
        <v>426</v>
      </c>
      <c r="T1029" t="s">
        <v>434</v>
      </c>
      <c r="U1029" t="s">
        <v>3995</v>
      </c>
      <c r="V1029" t="s">
        <v>246</v>
      </c>
      <c r="W1029" t="s">
        <v>244</v>
      </c>
      <c r="X1029" t="s">
        <v>688</v>
      </c>
      <c r="Y1029" t="s">
        <v>191</v>
      </c>
      <c r="Z1029" t="s">
        <v>335</v>
      </c>
      <c r="AA1029" t="s">
        <v>337</v>
      </c>
      <c r="AB1029" t="s">
        <v>656</v>
      </c>
      <c r="AC1029" t="s">
        <v>657</v>
      </c>
      <c r="AD1029" t="s">
        <v>658</v>
      </c>
      <c r="AE1029" s="7">
        <v>35000</v>
      </c>
      <c r="AF1029" s="7">
        <v>2</v>
      </c>
      <c r="AG1029" s="7">
        <v>70000</v>
      </c>
      <c r="AH1029" s="7">
        <v>0</v>
      </c>
      <c r="AI1029" s="7">
        <v>70000</v>
      </c>
      <c r="AJ1029" t="s">
        <v>657</v>
      </c>
    </row>
    <row r="1030" spans="14:36" x14ac:dyDescent="0.3">
      <c r="N1030" s="8">
        <v>2026</v>
      </c>
      <c r="O1030" s="8">
        <v>5</v>
      </c>
      <c r="P1030" s="9">
        <v>46169</v>
      </c>
      <c r="Q1030" t="s">
        <v>238</v>
      </c>
      <c r="R1030" t="s">
        <v>239</v>
      </c>
      <c r="S1030" t="s">
        <v>240</v>
      </c>
      <c r="T1030" t="s">
        <v>695</v>
      </c>
      <c r="U1030" t="s">
        <v>696</v>
      </c>
      <c r="V1030" t="s">
        <v>246</v>
      </c>
      <c r="W1030" t="s">
        <v>244</v>
      </c>
      <c r="X1030" t="s">
        <v>697</v>
      </c>
      <c r="Y1030" t="s">
        <v>183</v>
      </c>
      <c r="Z1030" t="s">
        <v>189</v>
      </c>
      <c r="AA1030" t="s">
        <v>190</v>
      </c>
      <c r="AB1030" t="s">
        <v>92</v>
      </c>
      <c r="AC1030" t="s">
        <v>90</v>
      </c>
      <c r="AD1030" t="s">
        <v>91</v>
      </c>
      <c r="AE1030" s="7">
        <v>52000</v>
      </c>
      <c r="AF1030" s="7">
        <v>2</v>
      </c>
      <c r="AG1030" s="7">
        <v>104000</v>
      </c>
      <c r="AH1030" s="7">
        <v>0</v>
      </c>
      <c r="AI1030" s="7">
        <v>104000</v>
      </c>
      <c r="AJ1030" t="s">
        <v>90</v>
      </c>
    </row>
    <row r="1031" spans="14:36" x14ac:dyDescent="0.3">
      <c r="N1031" s="8">
        <v>2026</v>
      </c>
      <c r="O1031" s="8">
        <v>5</v>
      </c>
      <c r="P1031" s="9">
        <v>46169</v>
      </c>
      <c r="Q1031" t="s">
        <v>238</v>
      </c>
      <c r="R1031" t="s">
        <v>303</v>
      </c>
      <c r="S1031" t="s">
        <v>304</v>
      </c>
      <c r="T1031" t="s">
        <v>699</v>
      </c>
      <c r="U1031" t="s">
        <v>296</v>
      </c>
      <c r="V1031" t="s">
        <v>246</v>
      </c>
      <c r="W1031" t="s">
        <v>244</v>
      </c>
      <c r="X1031" t="s">
        <v>700</v>
      </c>
      <c r="Y1031" t="s">
        <v>194</v>
      </c>
      <c r="Z1031" t="s">
        <v>200</v>
      </c>
      <c r="AA1031" t="s">
        <v>201</v>
      </c>
      <c r="AB1031" t="s">
        <v>86</v>
      </c>
      <c r="AC1031" t="s">
        <v>84</v>
      </c>
      <c r="AD1031" t="s">
        <v>85</v>
      </c>
      <c r="AE1031" s="7">
        <v>49000</v>
      </c>
      <c r="AF1031" s="7">
        <v>1</v>
      </c>
      <c r="AG1031" s="7">
        <v>49000</v>
      </c>
      <c r="AH1031" s="7">
        <v>0</v>
      </c>
      <c r="AI1031" s="7">
        <v>49000</v>
      </c>
      <c r="AJ1031" t="s">
        <v>84</v>
      </c>
    </row>
    <row r="1032" spans="14:36" x14ac:dyDescent="0.3">
      <c r="N1032" s="8">
        <v>2026</v>
      </c>
      <c r="O1032" s="8">
        <v>5</v>
      </c>
      <c r="P1032" s="9">
        <v>46169</v>
      </c>
      <c r="Q1032" t="s">
        <v>238</v>
      </c>
      <c r="R1032" t="s">
        <v>351</v>
      </c>
      <c r="S1032" t="s">
        <v>352</v>
      </c>
      <c r="T1032" t="s">
        <v>356</v>
      </c>
      <c r="U1032" t="s">
        <v>357</v>
      </c>
      <c r="V1032" t="s">
        <v>243</v>
      </c>
      <c r="W1032" t="s">
        <v>244</v>
      </c>
      <c r="X1032" t="s">
        <v>702</v>
      </c>
      <c r="Y1032" t="s">
        <v>194</v>
      </c>
      <c r="Z1032" t="s">
        <v>200</v>
      </c>
      <c r="AA1032" t="s">
        <v>201</v>
      </c>
      <c r="AB1032" t="s">
        <v>89</v>
      </c>
      <c r="AC1032" t="s">
        <v>87</v>
      </c>
      <c r="AD1032" t="s">
        <v>88</v>
      </c>
      <c r="AE1032" s="7">
        <v>46000</v>
      </c>
      <c r="AF1032" s="7">
        <v>1</v>
      </c>
      <c r="AG1032" s="7">
        <v>46000</v>
      </c>
      <c r="AH1032" s="7">
        <v>0</v>
      </c>
      <c r="AI1032" s="7">
        <v>46000</v>
      </c>
      <c r="AJ1032" t="s">
        <v>87</v>
      </c>
    </row>
    <row r="1033" spans="14:36" x14ac:dyDescent="0.3">
      <c r="N1033" s="8">
        <v>2026</v>
      </c>
      <c r="O1033" s="8">
        <v>5</v>
      </c>
      <c r="P1033" s="9">
        <v>46169</v>
      </c>
      <c r="Q1033" t="s">
        <v>238</v>
      </c>
      <c r="R1033" t="s">
        <v>374</v>
      </c>
      <c r="S1033" t="s">
        <v>375</v>
      </c>
      <c r="T1033" t="s">
        <v>707</v>
      </c>
      <c r="U1033" t="s">
        <v>3996</v>
      </c>
      <c r="V1033" t="s">
        <v>246</v>
      </c>
      <c r="W1033" t="s">
        <v>244</v>
      </c>
      <c r="X1033" t="s">
        <v>708</v>
      </c>
      <c r="Y1033" t="s">
        <v>168</v>
      </c>
      <c r="Z1033" t="s">
        <v>171</v>
      </c>
      <c r="AA1033" t="s">
        <v>175</v>
      </c>
      <c r="AB1033" t="s">
        <v>41</v>
      </c>
      <c r="AC1033" t="s">
        <v>39</v>
      </c>
      <c r="AD1033" t="s">
        <v>40</v>
      </c>
      <c r="AE1033" s="7">
        <v>295000</v>
      </c>
      <c r="AF1033" s="7">
        <v>1</v>
      </c>
      <c r="AG1033" s="7">
        <v>295000</v>
      </c>
      <c r="AH1033" s="7">
        <v>0</v>
      </c>
      <c r="AI1033" s="7">
        <v>295000</v>
      </c>
      <c r="AJ1033" t="s">
        <v>39</v>
      </c>
    </row>
    <row r="1034" spans="14:36" x14ac:dyDescent="0.3">
      <c r="N1034" s="8">
        <v>2026</v>
      </c>
      <c r="O1034" s="8">
        <v>5</v>
      </c>
      <c r="P1034" s="9">
        <v>46169</v>
      </c>
      <c r="Q1034" t="s">
        <v>238</v>
      </c>
      <c r="R1034" t="s">
        <v>374</v>
      </c>
      <c r="S1034" t="s">
        <v>375</v>
      </c>
      <c r="T1034" t="s">
        <v>710</v>
      </c>
      <c r="U1034" t="s">
        <v>711</v>
      </c>
      <c r="V1034" t="s">
        <v>246</v>
      </c>
      <c r="W1034" t="s">
        <v>244</v>
      </c>
      <c r="X1034" t="s">
        <v>712</v>
      </c>
      <c r="Y1034" t="s">
        <v>168</v>
      </c>
      <c r="Z1034" t="s">
        <v>171</v>
      </c>
      <c r="AA1034" t="s">
        <v>175</v>
      </c>
      <c r="AB1034" t="s">
        <v>44</v>
      </c>
      <c r="AC1034" t="s">
        <v>42</v>
      </c>
      <c r="AD1034" t="s">
        <v>43</v>
      </c>
      <c r="AE1034" s="7">
        <v>294000</v>
      </c>
      <c r="AF1034" s="7">
        <v>1</v>
      </c>
      <c r="AG1034" s="7">
        <v>294000</v>
      </c>
      <c r="AH1034" s="7">
        <v>0</v>
      </c>
      <c r="AI1034" s="7">
        <v>294000</v>
      </c>
      <c r="AJ1034" t="s">
        <v>42</v>
      </c>
    </row>
    <row r="1035" spans="14:36" x14ac:dyDescent="0.3">
      <c r="N1035" s="8">
        <v>2026</v>
      </c>
      <c r="O1035" s="8">
        <v>5</v>
      </c>
      <c r="P1035" s="9">
        <v>46168</v>
      </c>
      <c r="Q1035" t="s">
        <v>238</v>
      </c>
      <c r="R1035" t="s">
        <v>239</v>
      </c>
      <c r="S1035" t="s">
        <v>240</v>
      </c>
      <c r="T1035" t="s">
        <v>241</v>
      </c>
      <c r="U1035" t="s">
        <v>242</v>
      </c>
      <c r="V1035" t="s">
        <v>243</v>
      </c>
      <c r="W1035" t="s">
        <v>244</v>
      </c>
      <c r="X1035" t="s">
        <v>718</v>
      </c>
      <c r="Y1035" t="s">
        <v>191</v>
      </c>
      <c r="Z1035" t="s">
        <v>335</v>
      </c>
      <c r="AA1035" t="s">
        <v>337</v>
      </c>
      <c r="AB1035" t="s">
        <v>719</v>
      </c>
      <c r="AC1035" t="s">
        <v>720</v>
      </c>
      <c r="AD1035" t="s">
        <v>721</v>
      </c>
      <c r="AE1035" s="7">
        <v>104000</v>
      </c>
      <c r="AF1035" s="7">
        <v>1</v>
      </c>
      <c r="AG1035" s="7">
        <v>104000</v>
      </c>
      <c r="AH1035" s="7">
        <v>0</v>
      </c>
      <c r="AI1035" s="7">
        <v>104000</v>
      </c>
      <c r="AJ1035" t="s">
        <v>720</v>
      </c>
    </row>
    <row r="1036" spans="14:36" x14ac:dyDescent="0.3">
      <c r="N1036" s="8">
        <v>2026</v>
      </c>
      <c r="O1036" s="8">
        <v>5</v>
      </c>
      <c r="P1036" s="9">
        <v>46168</v>
      </c>
      <c r="Q1036" t="s">
        <v>238</v>
      </c>
      <c r="R1036" t="s">
        <v>239</v>
      </c>
      <c r="S1036" t="s">
        <v>240</v>
      </c>
      <c r="T1036" t="s">
        <v>728</v>
      </c>
      <c r="U1036" t="s">
        <v>492</v>
      </c>
      <c r="V1036" t="s">
        <v>249</v>
      </c>
      <c r="W1036" t="s">
        <v>244</v>
      </c>
      <c r="X1036" t="s">
        <v>729</v>
      </c>
      <c r="Y1036" t="s">
        <v>168</v>
      </c>
      <c r="Z1036" t="s">
        <v>171</v>
      </c>
      <c r="AA1036" t="s">
        <v>175</v>
      </c>
      <c r="AB1036" t="s">
        <v>41</v>
      </c>
      <c r="AC1036" t="s">
        <v>39</v>
      </c>
      <c r="AD1036" t="s">
        <v>40</v>
      </c>
      <c r="AE1036" s="7">
        <v>295000</v>
      </c>
      <c r="AF1036" s="7">
        <v>1</v>
      </c>
      <c r="AG1036" s="7">
        <v>295000</v>
      </c>
      <c r="AH1036" s="7">
        <v>0</v>
      </c>
      <c r="AI1036" s="7">
        <v>295000</v>
      </c>
      <c r="AJ1036" t="s">
        <v>39</v>
      </c>
    </row>
    <row r="1037" spans="14:36" x14ac:dyDescent="0.3">
      <c r="N1037" s="8">
        <v>2026</v>
      </c>
      <c r="O1037" s="8">
        <v>5</v>
      </c>
      <c r="P1037" s="9">
        <v>46168</v>
      </c>
      <c r="Q1037" t="s">
        <v>238</v>
      </c>
      <c r="R1037" t="s">
        <v>239</v>
      </c>
      <c r="S1037" t="s">
        <v>240</v>
      </c>
      <c r="T1037" t="s">
        <v>730</v>
      </c>
      <c r="U1037" t="s">
        <v>294</v>
      </c>
      <c r="V1037" t="s">
        <v>246</v>
      </c>
      <c r="W1037" t="s">
        <v>244</v>
      </c>
      <c r="X1037" t="s">
        <v>731</v>
      </c>
      <c r="Y1037" t="s">
        <v>168</v>
      </c>
      <c r="Z1037" t="s">
        <v>171</v>
      </c>
      <c r="AA1037" t="s">
        <v>173</v>
      </c>
      <c r="AB1037" t="s">
        <v>29</v>
      </c>
      <c r="AC1037" t="s">
        <v>27</v>
      </c>
      <c r="AD1037" t="s">
        <v>28</v>
      </c>
      <c r="AE1037" s="7">
        <v>575000</v>
      </c>
      <c r="AF1037" s="7">
        <v>1</v>
      </c>
      <c r="AG1037" s="7">
        <v>575000</v>
      </c>
      <c r="AH1037" s="7">
        <v>0</v>
      </c>
      <c r="AI1037" s="7">
        <v>575000</v>
      </c>
      <c r="AJ1037" t="s">
        <v>27</v>
      </c>
    </row>
    <row r="1038" spans="14:36" x14ac:dyDescent="0.3">
      <c r="N1038" s="8">
        <v>2026</v>
      </c>
      <c r="O1038" s="8">
        <v>5</v>
      </c>
      <c r="P1038" s="9">
        <v>46168</v>
      </c>
      <c r="Q1038" t="s">
        <v>238</v>
      </c>
      <c r="R1038" t="s">
        <v>279</v>
      </c>
      <c r="S1038" t="s">
        <v>280</v>
      </c>
      <c r="T1038" t="s">
        <v>737</v>
      </c>
      <c r="U1038" t="s">
        <v>3866</v>
      </c>
      <c r="V1038" t="s">
        <v>246</v>
      </c>
      <c r="W1038" t="s">
        <v>244</v>
      </c>
      <c r="X1038" t="s">
        <v>738</v>
      </c>
      <c r="Y1038" t="s">
        <v>168</v>
      </c>
      <c r="Z1038" t="s">
        <v>171</v>
      </c>
      <c r="AA1038" t="s">
        <v>172</v>
      </c>
      <c r="AB1038" t="s">
        <v>14</v>
      </c>
      <c r="AC1038" t="s">
        <v>12</v>
      </c>
      <c r="AD1038" t="s">
        <v>13</v>
      </c>
      <c r="AE1038" s="7">
        <v>135000</v>
      </c>
      <c r="AF1038" s="7">
        <v>1</v>
      </c>
      <c r="AG1038" s="7">
        <v>135000</v>
      </c>
      <c r="AH1038" s="7">
        <v>0</v>
      </c>
      <c r="AI1038" s="7">
        <v>135000</v>
      </c>
      <c r="AJ1038" t="s">
        <v>12</v>
      </c>
    </row>
    <row r="1039" spans="14:36" x14ac:dyDescent="0.3">
      <c r="N1039" s="8">
        <v>2026</v>
      </c>
      <c r="O1039" s="8">
        <v>5</v>
      </c>
      <c r="P1039" s="9">
        <v>46168</v>
      </c>
      <c r="Q1039" t="s">
        <v>238</v>
      </c>
      <c r="R1039" t="s">
        <v>303</v>
      </c>
      <c r="S1039" t="s">
        <v>304</v>
      </c>
      <c r="T1039" t="s">
        <v>748</v>
      </c>
      <c r="U1039" t="s">
        <v>749</v>
      </c>
      <c r="V1039" t="s">
        <v>246</v>
      </c>
      <c r="W1039" t="s">
        <v>244</v>
      </c>
      <c r="X1039" t="s">
        <v>750</v>
      </c>
      <c r="Y1039" t="s">
        <v>194</v>
      </c>
      <c r="Z1039" t="s">
        <v>200</v>
      </c>
      <c r="AA1039" t="s">
        <v>201</v>
      </c>
      <c r="AB1039" t="s">
        <v>80</v>
      </c>
      <c r="AC1039" t="s">
        <v>78</v>
      </c>
      <c r="AD1039" t="s">
        <v>79</v>
      </c>
      <c r="AE1039" s="7">
        <v>14000</v>
      </c>
      <c r="AF1039" s="7">
        <v>1</v>
      </c>
      <c r="AG1039" s="7">
        <v>14000</v>
      </c>
      <c r="AH1039" s="7">
        <v>0</v>
      </c>
      <c r="AI1039" s="7">
        <v>14000</v>
      </c>
      <c r="AJ1039" t="s">
        <v>78</v>
      </c>
    </row>
    <row r="1040" spans="14:36" x14ac:dyDescent="0.3">
      <c r="N1040" s="8">
        <v>2026</v>
      </c>
      <c r="O1040" s="8">
        <v>5</v>
      </c>
      <c r="P1040" s="9">
        <v>46168</v>
      </c>
      <c r="Q1040" t="s">
        <v>238</v>
      </c>
      <c r="R1040" t="s">
        <v>303</v>
      </c>
      <c r="S1040" t="s">
        <v>304</v>
      </c>
      <c r="T1040" t="s">
        <v>751</v>
      </c>
      <c r="U1040" t="s">
        <v>752</v>
      </c>
      <c r="V1040" t="s">
        <v>246</v>
      </c>
      <c r="W1040" t="s">
        <v>244</v>
      </c>
      <c r="X1040" t="s">
        <v>753</v>
      </c>
      <c r="Y1040" t="s">
        <v>168</v>
      </c>
      <c r="Z1040" t="s">
        <v>171</v>
      </c>
      <c r="AA1040" t="s">
        <v>175</v>
      </c>
      <c r="AB1040" t="s">
        <v>44</v>
      </c>
      <c r="AC1040" t="s">
        <v>42</v>
      </c>
      <c r="AD1040" t="s">
        <v>43</v>
      </c>
      <c r="AE1040" s="7">
        <v>294000</v>
      </c>
      <c r="AF1040" s="7">
        <v>1</v>
      </c>
      <c r="AG1040" s="7">
        <v>294000</v>
      </c>
      <c r="AH1040" s="7">
        <v>0</v>
      </c>
      <c r="AI1040" s="7">
        <v>294000</v>
      </c>
      <c r="AJ1040" t="s">
        <v>42</v>
      </c>
    </row>
    <row r="1041" spans="14:36" x14ac:dyDescent="0.3">
      <c r="N1041" s="8">
        <v>2026</v>
      </c>
      <c r="O1041" s="8">
        <v>5</v>
      </c>
      <c r="P1041" s="9">
        <v>46168</v>
      </c>
      <c r="Q1041" t="s">
        <v>238</v>
      </c>
      <c r="R1041" t="s">
        <v>351</v>
      </c>
      <c r="S1041" t="s">
        <v>352</v>
      </c>
      <c r="T1041" t="s">
        <v>356</v>
      </c>
      <c r="U1041" t="s">
        <v>357</v>
      </c>
      <c r="V1041" t="s">
        <v>243</v>
      </c>
      <c r="W1041" t="s">
        <v>244</v>
      </c>
      <c r="X1041" t="s">
        <v>756</v>
      </c>
      <c r="Y1041" t="s">
        <v>194</v>
      </c>
      <c r="Z1041" t="s">
        <v>200</v>
      </c>
      <c r="AA1041" t="s">
        <v>201</v>
      </c>
      <c r="AB1041" t="s">
        <v>80</v>
      </c>
      <c r="AC1041" t="s">
        <v>78</v>
      </c>
      <c r="AD1041" t="s">
        <v>79</v>
      </c>
      <c r="AE1041" s="7">
        <v>14000</v>
      </c>
      <c r="AF1041" s="7">
        <v>1</v>
      </c>
      <c r="AG1041" s="7">
        <v>14000</v>
      </c>
      <c r="AH1041" s="7">
        <v>0</v>
      </c>
      <c r="AI1041" s="7">
        <v>14000</v>
      </c>
      <c r="AJ1041" t="s">
        <v>78</v>
      </c>
    </row>
    <row r="1042" spans="14:36" x14ac:dyDescent="0.3">
      <c r="N1042" s="8">
        <v>2026</v>
      </c>
      <c r="O1042" s="8">
        <v>5</v>
      </c>
      <c r="P1042" s="9">
        <v>46168</v>
      </c>
      <c r="Q1042" t="s">
        <v>238</v>
      </c>
      <c r="R1042" t="s">
        <v>374</v>
      </c>
      <c r="S1042" t="s">
        <v>375</v>
      </c>
      <c r="T1042" t="s">
        <v>382</v>
      </c>
      <c r="U1042" t="s">
        <v>383</v>
      </c>
      <c r="V1042" t="s">
        <v>243</v>
      </c>
      <c r="W1042" t="s">
        <v>244</v>
      </c>
      <c r="X1042" t="s">
        <v>757</v>
      </c>
      <c r="Y1042" t="s">
        <v>191</v>
      </c>
      <c r="Z1042" t="s">
        <v>192</v>
      </c>
      <c r="AA1042" t="s">
        <v>193</v>
      </c>
      <c r="AB1042" t="s">
        <v>107</v>
      </c>
      <c r="AC1042" t="s">
        <v>105</v>
      </c>
      <c r="AD1042" t="s">
        <v>106</v>
      </c>
      <c r="AE1042" s="7">
        <v>235000</v>
      </c>
      <c r="AF1042" s="7">
        <v>1</v>
      </c>
      <c r="AG1042" s="7">
        <v>235000</v>
      </c>
      <c r="AH1042" s="7">
        <v>0</v>
      </c>
      <c r="AI1042" s="7">
        <v>235000</v>
      </c>
      <c r="AJ1042" t="s">
        <v>105</v>
      </c>
    </row>
    <row r="1043" spans="14:36" x14ac:dyDescent="0.3">
      <c r="N1043" s="8">
        <v>2026</v>
      </c>
      <c r="O1043" s="8">
        <v>5</v>
      </c>
      <c r="P1043" s="9">
        <v>46168</v>
      </c>
      <c r="Q1043" t="s">
        <v>238</v>
      </c>
      <c r="R1043" t="s">
        <v>374</v>
      </c>
      <c r="S1043" t="s">
        <v>375</v>
      </c>
      <c r="T1043" t="s">
        <v>760</v>
      </c>
      <c r="U1043" t="s">
        <v>3997</v>
      </c>
      <c r="V1043" t="s">
        <v>246</v>
      </c>
      <c r="W1043" t="s">
        <v>244</v>
      </c>
      <c r="X1043" t="s">
        <v>761</v>
      </c>
      <c r="Y1043" t="s">
        <v>183</v>
      </c>
      <c r="Z1043" t="s">
        <v>186</v>
      </c>
      <c r="AA1043" t="s">
        <v>188</v>
      </c>
      <c r="AB1043" t="s">
        <v>101</v>
      </c>
      <c r="AC1043" t="s">
        <v>99</v>
      </c>
      <c r="AD1043" t="s">
        <v>100</v>
      </c>
      <c r="AE1043" s="7">
        <v>199000</v>
      </c>
      <c r="AF1043" s="7">
        <v>1</v>
      </c>
      <c r="AG1043" s="7">
        <v>199000</v>
      </c>
      <c r="AH1043" s="7">
        <v>9950</v>
      </c>
      <c r="AI1043" s="7">
        <v>189050</v>
      </c>
      <c r="AJ1043" t="s">
        <v>99</v>
      </c>
    </row>
    <row r="1044" spans="14:36" x14ac:dyDescent="0.3">
      <c r="N1044" s="8">
        <v>2026</v>
      </c>
      <c r="O1044" s="8">
        <v>5</v>
      </c>
      <c r="P1044" s="9">
        <v>46168</v>
      </c>
      <c r="Q1044" t="s">
        <v>238</v>
      </c>
      <c r="R1044" t="s">
        <v>374</v>
      </c>
      <c r="S1044" t="s">
        <v>375</v>
      </c>
      <c r="T1044" t="s">
        <v>766</v>
      </c>
      <c r="U1044" t="s">
        <v>767</v>
      </c>
      <c r="V1044" t="s">
        <v>246</v>
      </c>
      <c r="W1044" t="s">
        <v>244</v>
      </c>
      <c r="X1044" t="s">
        <v>768</v>
      </c>
      <c r="Y1044" t="s">
        <v>168</v>
      </c>
      <c r="Z1044" t="s">
        <v>171</v>
      </c>
      <c r="AA1044" t="s">
        <v>173</v>
      </c>
      <c r="AB1044" t="s">
        <v>29</v>
      </c>
      <c r="AC1044" t="s">
        <v>27</v>
      </c>
      <c r="AD1044" t="s">
        <v>28</v>
      </c>
      <c r="AE1044" s="7">
        <v>575000</v>
      </c>
      <c r="AF1044" s="7">
        <v>1</v>
      </c>
      <c r="AG1044" s="7">
        <v>575000</v>
      </c>
      <c r="AH1044" s="7">
        <v>0</v>
      </c>
      <c r="AI1044" s="7">
        <v>575000</v>
      </c>
      <c r="AJ1044" t="s">
        <v>27</v>
      </c>
    </row>
    <row r="1045" spans="14:36" x14ac:dyDescent="0.3">
      <c r="N1045" s="8">
        <v>2026</v>
      </c>
      <c r="O1045" s="8">
        <v>5</v>
      </c>
      <c r="P1045" s="9">
        <v>46168</v>
      </c>
      <c r="Q1045" t="s">
        <v>238</v>
      </c>
      <c r="R1045" t="s">
        <v>374</v>
      </c>
      <c r="S1045" t="s">
        <v>375</v>
      </c>
      <c r="T1045" t="s">
        <v>769</v>
      </c>
      <c r="U1045" t="s">
        <v>3855</v>
      </c>
      <c r="V1045" t="s">
        <v>246</v>
      </c>
      <c r="W1045" t="s">
        <v>244</v>
      </c>
      <c r="X1045" t="s">
        <v>770</v>
      </c>
      <c r="Y1045" t="s">
        <v>168</v>
      </c>
      <c r="Z1045" t="s">
        <v>171</v>
      </c>
      <c r="AA1045" t="s">
        <v>173</v>
      </c>
      <c r="AB1045" t="s">
        <v>20</v>
      </c>
      <c r="AC1045" t="s">
        <v>18</v>
      </c>
      <c r="AD1045" t="s">
        <v>19</v>
      </c>
      <c r="AE1045" s="7">
        <v>455000</v>
      </c>
      <c r="AF1045" s="7">
        <v>1</v>
      </c>
      <c r="AG1045" s="7">
        <v>455000</v>
      </c>
      <c r="AH1045" s="7">
        <v>0</v>
      </c>
      <c r="AI1045" s="7">
        <v>455000</v>
      </c>
      <c r="AJ1045" t="s">
        <v>18</v>
      </c>
    </row>
    <row r="1046" spans="14:36" x14ac:dyDescent="0.3">
      <c r="N1046" s="8">
        <v>2026</v>
      </c>
      <c r="O1046" s="8">
        <v>5</v>
      </c>
      <c r="P1046" s="9">
        <v>46168</v>
      </c>
      <c r="Q1046" t="s">
        <v>238</v>
      </c>
      <c r="R1046" t="s">
        <v>425</v>
      </c>
      <c r="S1046" t="s">
        <v>426</v>
      </c>
      <c r="T1046" t="s">
        <v>777</v>
      </c>
      <c r="U1046" t="s">
        <v>3969</v>
      </c>
      <c r="V1046" t="s">
        <v>246</v>
      </c>
      <c r="W1046" t="s">
        <v>244</v>
      </c>
      <c r="X1046" t="s">
        <v>778</v>
      </c>
      <c r="Y1046" t="s">
        <v>194</v>
      </c>
      <c r="Z1046" t="s">
        <v>195</v>
      </c>
      <c r="AA1046" t="s">
        <v>196</v>
      </c>
      <c r="AB1046" t="s">
        <v>65</v>
      </c>
      <c r="AC1046" t="s">
        <v>63</v>
      </c>
      <c r="AD1046" t="s">
        <v>64</v>
      </c>
      <c r="AE1046" s="7">
        <v>390000</v>
      </c>
      <c r="AF1046" s="7">
        <v>1</v>
      </c>
      <c r="AG1046" s="7">
        <v>390000</v>
      </c>
      <c r="AH1046" s="7">
        <v>0</v>
      </c>
      <c r="AI1046" s="7">
        <v>390000</v>
      </c>
      <c r="AJ1046" t="s">
        <v>63</v>
      </c>
    </row>
    <row r="1047" spans="14:36" x14ac:dyDescent="0.3">
      <c r="N1047" s="8">
        <v>2026</v>
      </c>
      <c r="O1047" s="8">
        <v>5</v>
      </c>
      <c r="P1047" s="9">
        <v>46168</v>
      </c>
      <c r="Q1047" t="s">
        <v>238</v>
      </c>
      <c r="R1047" t="s">
        <v>425</v>
      </c>
      <c r="S1047" t="s">
        <v>426</v>
      </c>
      <c r="T1047" t="s">
        <v>780</v>
      </c>
      <c r="U1047" t="s">
        <v>464</v>
      </c>
      <c r="V1047" t="s">
        <v>246</v>
      </c>
      <c r="W1047" t="s">
        <v>244</v>
      </c>
      <c r="X1047" t="s">
        <v>781</v>
      </c>
      <c r="Y1047" t="s">
        <v>194</v>
      </c>
      <c r="Z1047" t="s">
        <v>200</v>
      </c>
      <c r="AA1047" t="s">
        <v>201</v>
      </c>
      <c r="AB1047" t="s">
        <v>80</v>
      </c>
      <c r="AC1047" t="s">
        <v>78</v>
      </c>
      <c r="AD1047" t="s">
        <v>79</v>
      </c>
      <c r="AE1047" s="7">
        <v>14000</v>
      </c>
      <c r="AF1047" s="7">
        <v>1</v>
      </c>
      <c r="AG1047" s="7">
        <v>14000</v>
      </c>
      <c r="AH1047" s="7">
        <v>0</v>
      </c>
      <c r="AI1047" s="7">
        <v>14000</v>
      </c>
      <c r="AJ1047" t="s">
        <v>78</v>
      </c>
    </row>
    <row r="1048" spans="14:36" x14ac:dyDescent="0.3">
      <c r="N1048" s="8">
        <v>2026</v>
      </c>
      <c r="O1048" s="8">
        <v>5</v>
      </c>
      <c r="P1048" s="9">
        <v>46167</v>
      </c>
      <c r="Q1048" t="s">
        <v>238</v>
      </c>
      <c r="R1048" t="s">
        <v>279</v>
      </c>
      <c r="S1048" t="s">
        <v>280</v>
      </c>
      <c r="T1048" t="s">
        <v>790</v>
      </c>
      <c r="U1048" t="s">
        <v>791</v>
      </c>
      <c r="V1048" t="s">
        <v>249</v>
      </c>
      <c r="W1048" t="s">
        <v>244</v>
      </c>
      <c r="X1048" t="s">
        <v>792</v>
      </c>
      <c r="Y1048" t="s">
        <v>191</v>
      </c>
      <c r="Z1048" t="s">
        <v>192</v>
      </c>
      <c r="AA1048" t="s">
        <v>193</v>
      </c>
      <c r="AB1048" t="s">
        <v>110</v>
      </c>
      <c r="AC1048" t="s">
        <v>108</v>
      </c>
      <c r="AD1048" t="s">
        <v>109</v>
      </c>
      <c r="AE1048" s="7">
        <v>235000</v>
      </c>
      <c r="AF1048" s="7">
        <v>1</v>
      </c>
      <c r="AG1048" s="7">
        <v>235000</v>
      </c>
      <c r="AH1048" s="7">
        <v>0</v>
      </c>
      <c r="AI1048" s="7">
        <v>235000</v>
      </c>
      <c r="AJ1048" t="s">
        <v>108</v>
      </c>
    </row>
    <row r="1049" spans="14:36" x14ac:dyDescent="0.3">
      <c r="N1049" s="8">
        <v>2026</v>
      </c>
      <c r="O1049" s="8">
        <v>5</v>
      </c>
      <c r="P1049" s="9">
        <v>46167</v>
      </c>
      <c r="Q1049" t="s">
        <v>238</v>
      </c>
      <c r="R1049" t="s">
        <v>279</v>
      </c>
      <c r="S1049" t="s">
        <v>280</v>
      </c>
      <c r="T1049" t="s">
        <v>793</v>
      </c>
      <c r="U1049" t="s">
        <v>3998</v>
      </c>
      <c r="V1049" t="s">
        <v>246</v>
      </c>
      <c r="W1049" t="s">
        <v>244</v>
      </c>
      <c r="X1049" t="s">
        <v>794</v>
      </c>
      <c r="Y1049" t="s">
        <v>183</v>
      </c>
      <c r="Z1049" t="s">
        <v>184</v>
      </c>
      <c r="AA1049" t="s">
        <v>185</v>
      </c>
      <c r="AB1049" t="s">
        <v>47</v>
      </c>
      <c r="AC1049" t="s">
        <v>45</v>
      </c>
      <c r="AD1049" t="s">
        <v>46</v>
      </c>
      <c r="AE1049" s="7">
        <v>52000</v>
      </c>
      <c r="AF1049" s="7">
        <v>1</v>
      </c>
      <c r="AG1049" s="7">
        <v>52000</v>
      </c>
      <c r="AH1049" s="7">
        <v>0</v>
      </c>
      <c r="AI1049" s="7">
        <v>52000</v>
      </c>
      <c r="AJ1049" t="s">
        <v>45</v>
      </c>
    </row>
    <row r="1050" spans="14:36" x14ac:dyDescent="0.3">
      <c r="N1050" s="8">
        <v>2026</v>
      </c>
      <c r="O1050" s="8">
        <v>5</v>
      </c>
      <c r="P1050" s="9">
        <v>46167</v>
      </c>
      <c r="Q1050" t="s">
        <v>238</v>
      </c>
      <c r="R1050" t="s">
        <v>303</v>
      </c>
      <c r="S1050" t="s">
        <v>304</v>
      </c>
      <c r="T1050" t="s">
        <v>305</v>
      </c>
      <c r="U1050" t="s">
        <v>306</v>
      </c>
      <c r="V1050" t="s">
        <v>243</v>
      </c>
      <c r="W1050" t="s">
        <v>244</v>
      </c>
      <c r="X1050" t="s">
        <v>795</v>
      </c>
      <c r="Y1050" t="s">
        <v>183</v>
      </c>
      <c r="Z1050" t="s">
        <v>189</v>
      </c>
      <c r="AA1050" t="s">
        <v>190</v>
      </c>
      <c r="AB1050" t="s">
        <v>92</v>
      </c>
      <c r="AC1050" t="s">
        <v>90</v>
      </c>
      <c r="AD1050" t="s">
        <v>91</v>
      </c>
      <c r="AE1050" s="7">
        <v>52000</v>
      </c>
      <c r="AF1050" s="7">
        <v>1</v>
      </c>
      <c r="AG1050" s="7">
        <v>52000</v>
      </c>
      <c r="AH1050" s="7">
        <v>0</v>
      </c>
      <c r="AI1050" s="7">
        <v>52000</v>
      </c>
      <c r="AJ1050" t="s">
        <v>90</v>
      </c>
    </row>
    <row r="1051" spans="14:36" x14ac:dyDescent="0.3">
      <c r="N1051" s="8">
        <v>2026</v>
      </c>
      <c r="O1051" s="8">
        <v>5</v>
      </c>
      <c r="P1051" s="9">
        <v>46167</v>
      </c>
      <c r="Q1051" t="s">
        <v>238</v>
      </c>
      <c r="R1051" t="s">
        <v>351</v>
      </c>
      <c r="S1051" t="s">
        <v>352</v>
      </c>
      <c r="T1051" t="s">
        <v>798</v>
      </c>
      <c r="U1051" t="s">
        <v>799</v>
      </c>
      <c r="V1051" t="s">
        <v>246</v>
      </c>
      <c r="W1051" t="s">
        <v>244</v>
      </c>
      <c r="X1051" t="s">
        <v>800</v>
      </c>
      <c r="Y1051" t="s">
        <v>168</v>
      </c>
      <c r="Z1051" t="s">
        <v>171</v>
      </c>
      <c r="AA1051" t="s">
        <v>173</v>
      </c>
      <c r="AB1051" t="s">
        <v>29</v>
      </c>
      <c r="AC1051" t="s">
        <v>27</v>
      </c>
      <c r="AD1051" t="s">
        <v>28</v>
      </c>
      <c r="AE1051" s="7">
        <v>575000</v>
      </c>
      <c r="AF1051" s="7">
        <v>1</v>
      </c>
      <c r="AG1051" s="7">
        <v>575000</v>
      </c>
      <c r="AH1051" s="7">
        <v>0</v>
      </c>
      <c r="AI1051" s="7">
        <v>575000</v>
      </c>
      <c r="AJ1051" t="s">
        <v>27</v>
      </c>
    </row>
    <row r="1052" spans="14:36" x14ac:dyDescent="0.3">
      <c r="N1052" s="8">
        <v>2026</v>
      </c>
      <c r="O1052" s="8">
        <v>5</v>
      </c>
      <c r="P1052" s="9">
        <v>46167</v>
      </c>
      <c r="Q1052" t="s">
        <v>238</v>
      </c>
      <c r="R1052" t="s">
        <v>374</v>
      </c>
      <c r="S1052" t="s">
        <v>375</v>
      </c>
      <c r="T1052" t="s">
        <v>807</v>
      </c>
      <c r="U1052" t="s">
        <v>3962</v>
      </c>
      <c r="V1052" t="s">
        <v>249</v>
      </c>
      <c r="W1052" t="s">
        <v>244</v>
      </c>
      <c r="X1052" t="s">
        <v>808</v>
      </c>
      <c r="Y1052" t="s">
        <v>168</v>
      </c>
      <c r="Z1052" t="s">
        <v>171</v>
      </c>
      <c r="AA1052" t="s">
        <v>175</v>
      </c>
      <c r="AB1052" t="s">
        <v>35</v>
      </c>
      <c r="AC1052" t="s">
        <v>33</v>
      </c>
      <c r="AD1052" t="s">
        <v>34</v>
      </c>
      <c r="AE1052" s="7">
        <v>255000</v>
      </c>
      <c r="AF1052" s="7">
        <v>1</v>
      </c>
      <c r="AG1052" s="7">
        <v>255000</v>
      </c>
      <c r="AH1052" s="7">
        <v>0</v>
      </c>
      <c r="AI1052" s="7">
        <v>255000</v>
      </c>
      <c r="AJ1052" t="s">
        <v>33</v>
      </c>
    </row>
    <row r="1053" spans="14:36" x14ac:dyDescent="0.3">
      <c r="N1053" s="8">
        <v>2026</v>
      </c>
      <c r="O1053" s="8">
        <v>5</v>
      </c>
      <c r="P1053" s="9">
        <v>46167</v>
      </c>
      <c r="Q1053" t="s">
        <v>238</v>
      </c>
      <c r="R1053" t="s">
        <v>396</v>
      </c>
      <c r="S1053" t="s">
        <v>397</v>
      </c>
      <c r="T1053" t="s">
        <v>815</v>
      </c>
      <c r="U1053" t="s">
        <v>3990</v>
      </c>
      <c r="V1053" t="s">
        <v>246</v>
      </c>
      <c r="W1053" t="s">
        <v>244</v>
      </c>
      <c r="X1053" t="s">
        <v>816</v>
      </c>
      <c r="Y1053" t="s">
        <v>168</v>
      </c>
      <c r="Z1053" t="s">
        <v>171</v>
      </c>
      <c r="AA1053" t="s">
        <v>175</v>
      </c>
      <c r="AB1053" t="s">
        <v>44</v>
      </c>
      <c r="AC1053" t="s">
        <v>42</v>
      </c>
      <c r="AD1053" t="s">
        <v>43</v>
      </c>
      <c r="AE1053" s="7">
        <v>294000</v>
      </c>
      <c r="AF1053" s="7">
        <v>1</v>
      </c>
      <c r="AG1053" s="7">
        <v>294000</v>
      </c>
      <c r="AH1053" s="7">
        <v>35000</v>
      </c>
      <c r="AI1053" s="7">
        <v>259000</v>
      </c>
      <c r="AJ1053" t="s">
        <v>42</v>
      </c>
    </row>
    <row r="1054" spans="14:36" x14ac:dyDescent="0.3">
      <c r="N1054" s="8">
        <v>2026</v>
      </c>
      <c r="O1054" s="8">
        <v>5</v>
      </c>
      <c r="P1054" s="9">
        <v>46167</v>
      </c>
      <c r="Q1054" t="s">
        <v>238</v>
      </c>
      <c r="R1054" t="s">
        <v>415</v>
      </c>
      <c r="S1054" t="s">
        <v>416</v>
      </c>
      <c r="T1054" t="s">
        <v>822</v>
      </c>
      <c r="U1054" t="s">
        <v>823</v>
      </c>
      <c r="V1054" t="s">
        <v>246</v>
      </c>
      <c r="W1054" t="s">
        <v>244</v>
      </c>
      <c r="X1054" t="s">
        <v>824</v>
      </c>
      <c r="Y1054" t="s">
        <v>191</v>
      </c>
      <c r="Z1054" t="s">
        <v>335</v>
      </c>
      <c r="AA1054" t="s">
        <v>337</v>
      </c>
      <c r="AB1054" t="s">
        <v>656</v>
      </c>
      <c r="AC1054" t="s">
        <v>657</v>
      </c>
      <c r="AD1054" t="s">
        <v>658</v>
      </c>
      <c r="AE1054" s="7">
        <v>35000</v>
      </c>
      <c r="AF1054" s="7">
        <v>2</v>
      </c>
      <c r="AG1054" s="7">
        <v>70000</v>
      </c>
      <c r="AH1054" s="7">
        <v>0</v>
      </c>
      <c r="AI1054" s="7">
        <v>70000</v>
      </c>
      <c r="AJ1054" t="s">
        <v>657</v>
      </c>
    </row>
    <row r="1055" spans="14:36" x14ac:dyDescent="0.3">
      <c r="N1055" s="8">
        <v>2026</v>
      </c>
      <c r="O1055" s="8">
        <v>5</v>
      </c>
      <c r="P1055" s="9">
        <v>46167</v>
      </c>
      <c r="Q1055" t="s">
        <v>238</v>
      </c>
      <c r="R1055" t="s">
        <v>425</v>
      </c>
      <c r="S1055" t="s">
        <v>426</v>
      </c>
      <c r="T1055" t="s">
        <v>509</v>
      </c>
      <c r="U1055" t="s">
        <v>510</v>
      </c>
      <c r="V1055" t="s">
        <v>246</v>
      </c>
      <c r="W1055" t="s">
        <v>244</v>
      </c>
      <c r="X1055" t="s">
        <v>828</v>
      </c>
      <c r="Y1055" t="s">
        <v>183</v>
      </c>
      <c r="Z1055" t="s">
        <v>184</v>
      </c>
      <c r="AA1055" t="s">
        <v>185</v>
      </c>
      <c r="AB1055" t="s">
        <v>47</v>
      </c>
      <c r="AC1055" t="s">
        <v>45</v>
      </c>
      <c r="AD1055" t="s">
        <v>46</v>
      </c>
      <c r="AE1055" s="7">
        <v>52000</v>
      </c>
      <c r="AF1055" s="7">
        <v>1</v>
      </c>
      <c r="AG1055" s="7">
        <v>52000</v>
      </c>
      <c r="AH1055" s="7">
        <v>0</v>
      </c>
      <c r="AI1055" s="7">
        <v>52000</v>
      </c>
      <c r="AJ1055" t="s">
        <v>45</v>
      </c>
    </row>
    <row r="1056" spans="14:36" x14ac:dyDescent="0.3">
      <c r="N1056" s="8">
        <v>2026</v>
      </c>
      <c r="O1056" s="8">
        <v>5</v>
      </c>
      <c r="P1056" s="9">
        <v>46166</v>
      </c>
      <c r="Q1056" t="s">
        <v>238</v>
      </c>
      <c r="R1056" t="s">
        <v>239</v>
      </c>
      <c r="S1056" t="s">
        <v>240</v>
      </c>
      <c r="T1056" t="s">
        <v>833</v>
      </c>
      <c r="U1056" t="s">
        <v>834</v>
      </c>
      <c r="V1056" t="s">
        <v>246</v>
      </c>
      <c r="W1056" t="s">
        <v>244</v>
      </c>
      <c r="X1056" t="s">
        <v>835</v>
      </c>
      <c r="Y1056" t="s">
        <v>194</v>
      </c>
      <c r="Z1056" t="s">
        <v>195</v>
      </c>
      <c r="AA1056" t="s">
        <v>196</v>
      </c>
      <c r="AB1056" t="s">
        <v>59</v>
      </c>
      <c r="AC1056" t="s">
        <v>57</v>
      </c>
      <c r="AD1056" t="s">
        <v>58</v>
      </c>
      <c r="AE1056" s="7">
        <v>330000</v>
      </c>
      <c r="AF1056" s="7">
        <v>1</v>
      </c>
      <c r="AG1056" s="7">
        <v>330000</v>
      </c>
      <c r="AH1056" s="7">
        <v>0</v>
      </c>
      <c r="AI1056" s="7">
        <v>330000</v>
      </c>
      <c r="AJ1056" t="s">
        <v>57</v>
      </c>
    </row>
    <row r="1057" spans="14:36" x14ac:dyDescent="0.3">
      <c r="N1057" s="8">
        <v>2026</v>
      </c>
      <c r="O1057" s="8">
        <v>5</v>
      </c>
      <c r="P1057" s="9">
        <v>46166</v>
      </c>
      <c r="Q1057" t="s">
        <v>238</v>
      </c>
      <c r="R1057" t="s">
        <v>239</v>
      </c>
      <c r="S1057" t="s">
        <v>240</v>
      </c>
      <c r="T1057" t="s">
        <v>837</v>
      </c>
      <c r="U1057" t="s">
        <v>838</v>
      </c>
      <c r="V1057" t="s">
        <v>246</v>
      </c>
      <c r="W1057" t="s">
        <v>244</v>
      </c>
      <c r="X1057" t="s">
        <v>839</v>
      </c>
      <c r="Y1057" t="s">
        <v>168</v>
      </c>
      <c r="Z1057" t="s">
        <v>171</v>
      </c>
      <c r="AA1057" t="s">
        <v>175</v>
      </c>
      <c r="AB1057" t="s">
        <v>38</v>
      </c>
      <c r="AC1057" t="s">
        <v>36</v>
      </c>
      <c r="AD1057" t="s">
        <v>37</v>
      </c>
      <c r="AE1057" s="7">
        <v>290000</v>
      </c>
      <c r="AF1057" s="7">
        <v>1</v>
      </c>
      <c r="AG1057" s="7">
        <v>290000</v>
      </c>
      <c r="AH1057" s="7">
        <v>0</v>
      </c>
      <c r="AI1057" s="7">
        <v>290000</v>
      </c>
      <c r="AJ1057" t="s">
        <v>36</v>
      </c>
    </row>
    <row r="1058" spans="14:36" x14ac:dyDescent="0.3">
      <c r="N1058" s="8">
        <v>2026</v>
      </c>
      <c r="O1058" s="8">
        <v>5</v>
      </c>
      <c r="P1058" s="9">
        <v>46166</v>
      </c>
      <c r="Q1058" t="s">
        <v>238</v>
      </c>
      <c r="R1058" t="s">
        <v>303</v>
      </c>
      <c r="S1058" t="s">
        <v>304</v>
      </c>
      <c r="T1058" t="s">
        <v>843</v>
      </c>
      <c r="U1058" t="s">
        <v>479</v>
      </c>
      <c r="V1058" t="s">
        <v>246</v>
      </c>
      <c r="W1058" t="s">
        <v>244</v>
      </c>
      <c r="X1058" t="s">
        <v>844</v>
      </c>
      <c r="Y1058" t="s">
        <v>194</v>
      </c>
      <c r="Z1058" t="s">
        <v>200</v>
      </c>
      <c r="AA1058" t="s">
        <v>201</v>
      </c>
      <c r="AB1058" t="s">
        <v>77</v>
      </c>
      <c r="AC1058" t="s">
        <v>75</v>
      </c>
      <c r="AD1058" t="s">
        <v>76</v>
      </c>
      <c r="AE1058" s="7">
        <v>52000</v>
      </c>
      <c r="AF1058" s="7">
        <v>1</v>
      </c>
      <c r="AG1058" s="7">
        <v>52000</v>
      </c>
      <c r="AH1058" s="7">
        <v>0</v>
      </c>
      <c r="AI1058" s="7">
        <v>52000</v>
      </c>
      <c r="AJ1058" t="s">
        <v>75</v>
      </c>
    </row>
    <row r="1059" spans="14:36" x14ac:dyDescent="0.3">
      <c r="N1059" s="8">
        <v>2026</v>
      </c>
      <c r="O1059" s="8">
        <v>5</v>
      </c>
      <c r="P1059" s="9">
        <v>46166</v>
      </c>
      <c r="Q1059" t="s">
        <v>238</v>
      </c>
      <c r="R1059" t="s">
        <v>303</v>
      </c>
      <c r="S1059" t="s">
        <v>304</v>
      </c>
      <c r="T1059" t="s">
        <v>848</v>
      </c>
      <c r="U1059" t="s">
        <v>3999</v>
      </c>
      <c r="V1059" t="s">
        <v>246</v>
      </c>
      <c r="W1059" t="s">
        <v>244</v>
      </c>
      <c r="X1059" t="s">
        <v>849</v>
      </c>
      <c r="Y1059" t="s">
        <v>183</v>
      </c>
      <c r="Z1059" t="s">
        <v>189</v>
      </c>
      <c r="AA1059" t="s">
        <v>190</v>
      </c>
      <c r="AB1059" t="s">
        <v>92</v>
      </c>
      <c r="AC1059" t="s">
        <v>90</v>
      </c>
      <c r="AD1059" t="s">
        <v>91</v>
      </c>
      <c r="AE1059" s="7">
        <v>52000</v>
      </c>
      <c r="AF1059" s="7">
        <v>1</v>
      </c>
      <c r="AG1059" s="7">
        <v>52000</v>
      </c>
      <c r="AH1059" s="7">
        <v>0</v>
      </c>
      <c r="AI1059" s="7">
        <v>52000</v>
      </c>
      <c r="AJ1059" t="s">
        <v>90</v>
      </c>
    </row>
    <row r="1060" spans="14:36" x14ac:dyDescent="0.3">
      <c r="N1060" s="8">
        <v>2026</v>
      </c>
      <c r="O1060" s="8">
        <v>5</v>
      </c>
      <c r="P1060" s="9">
        <v>46166</v>
      </c>
      <c r="Q1060" t="s">
        <v>238</v>
      </c>
      <c r="R1060" t="s">
        <v>303</v>
      </c>
      <c r="S1060" t="s">
        <v>304</v>
      </c>
      <c r="T1060" t="s">
        <v>853</v>
      </c>
      <c r="U1060" t="s">
        <v>341</v>
      </c>
      <c r="V1060" t="s">
        <v>246</v>
      </c>
      <c r="W1060" t="s">
        <v>244</v>
      </c>
      <c r="X1060" t="s">
        <v>854</v>
      </c>
      <c r="Y1060" t="s">
        <v>168</v>
      </c>
      <c r="Z1060" t="s">
        <v>171</v>
      </c>
      <c r="AA1060" t="s">
        <v>175</v>
      </c>
      <c r="AB1060" t="s">
        <v>44</v>
      </c>
      <c r="AC1060" t="s">
        <v>42</v>
      </c>
      <c r="AD1060" t="s">
        <v>43</v>
      </c>
      <c r="AE1060" s="7">
        <v>294000</v>
      </c>
      <c r="AF1060" s="7">
        <v>1</v>
      </c>
      <c r="AG1060" s="7">
        <v>294000</v>
      </c>
      <c r="AH1060" s="7">
        <v>0</v>
      </c>
      <c r="AI1060" s="7">
        <v>294000</v>
      </c>
      <c r="AJ1060" t="s">
        <v>42</v>
      </c>
    </row>
    <row r="1061" spans="14:36" x14ac:dyDescent="0.3">
      <c r="N1061" s="8">
        <v>2026</v>
      </c>
      <c r="O1061" s="8">
        <v>5</v>
      </c>
      <c r="P1061" s="9">
        <v>46166</v>
      </c>
      <c r="Q1061" t="s">
        <v>238</v>
      </c>
      <c r="R1061" t="s">
        <v>351</v>
      </c>
      <c r="S1061" t="s">
        <v>352</v>
      </c>
      <c r="T1061" t="s">
        <v>860</v>
      </c>
      <c r="U1061" t="s">
        <v>4000</v>
      </c>
      <c r="V1061" t="s">
        <v>246</v>
      </c>
      <c r="W1061" t="s">
        <v>244</v>
      </c>
      <c r="X1061" t="s">
        <v>861</v>
      </c>
      <c r="Y1061" t="s">
        <v>191</v>
      </c>
      <c r="Z1061" t="s">
        <v>335</v>
      </c>
      <c r="AA1061" t="s">
        <v>337</v>
      </c>
      <c r="AB1061" t="s">
        <v>656</v>
      </c>
      <c r="AC1061" t="s">
        <v>657</v>
      </c>
      <c r="AD1061" t="s">
        <v>658</v>
      </c>
      <c r="AE1061" s="7">
        <v>35000</v>
      </c>
      <c r="AF1061" s="7">
        <v>1</v>
      </c>
      <c r="AG1061" s="7">
        <v>35000</v>
      </c>
      <c r="AH1061" s="7">
        <v>0</v>
      </c>
      <c r="AI1061" s="7">
        <v>35000</v>
      </c>
      <c r="AJ1061" t="s">
        <v>657</v>
      </c>
    </row>
    <row r="1062" spans="14:36" x14ac:dyDescent="0.3">
      <c r="N1062" s="8">
        <v>2026</v>
      </c>
      <c r="O1062" s="8">
        <v>5</v>
      </c>
      <c r="P1062" s="9">
        <v>46166</v>
      </c>
      <c r="Q1062" t="s">
        <v>238</v>
      </c>
      <c r="R1062" t="s">
        <v>351</v>
      </c>
      <c r="S1062" t="s">
        <v>352</v>
      </c>
      <c r="T1062" t="s">
        <v>862</v>
      </c>
      <c r="U1062" t="s">
        <v>4001</v>
      </c>
      <c r="V1062" t="s">
        <v>246</v>
      </c>
      <c r="W1062" t="s">
        <v>244</v>
      </c>
      <c r="X1062" t="s">
        <v>863</v>
      </c>
      <c r="Y1062" t="s">
        <v>191</v>
      </c>
      <c r="Z1062" t="s">
        <v>335</v>
      </c>
      <c r="AA1062" t="s">
        <v>337</v>
      </c>
      <c r="AB1062" t="s">
        <v>864</v>
      </c>
      <c r="AC1062" t="s">
        <v>865</v>
      </c>
      <c r="AD1062" t="s">
        <v>866</v>
      </c>
      <c r="AE1062" s="7">
        <v>139000</v>
      </c>
      <c r="AF1062" s="7">
        <v>1</v>
      </c>
      <c r="AG1062" s="7">
        <v>139000</v>
      </c>
      <c r="AH1062" s="7">
        <v>0</v>
      </c>
      <c r="AI1062" s="7">
        <v>139000</v>
      </c>
      <c r="AJ1062" t="s">
        <v>865</v>
      </c>
    </row>
    <row r="1063" spans="14:36" x14ac:dyDescent="0.3">
      <c r="N1063" s="8">
        <v>2026</v>
      </c>
      <c r="O1063" s="8">
        <v>5</v>
      </c>
      <c r="P1063" s="9">
        <v>46166</v>
      </c>
      <c r="Q1063" t="s">
        <v>238</v>
      </c>
      <c r="R1063" t="s">
        <v>351</v>
      </c>
      <c r="S1063" t="s">
        <v>352</v>
      </c>
      <c r="T1063" t="s">
        <v>868</v>
      </c>
      <c r="U1063" t="s">
        <v>4002</v>
      </c>
      <c r="V1063" t="s">
        <v>246</v>
      </c>
      <c r="W1063" t="s">
        <v>244</v>
      </c>
      <c r="X1063" t="s">
        <v>869</v>
      </c>
      <c r="Y1063" t="s">
        <v>183</v>
      </c>
      <c r="Z1063" t="s">
        <v>184</v>
      </c>
      <c r="AA1063" t="s">
        <v>185</v>
      </c>
      <c r="AB1063" t="s">
        <v>47</v>
      </c>
      <c r="AC1063" t="s">
        <v>45</v>
      </c>
      <c r="AD1063" t="s">
        <v>46</v>
      </c>
      <c r="AE1063" s="7">
        <v>52000</v>
      </c>
      <c r="AF1063" s="7">
        <v>1</v>
      </c>
      <c r="AG1063" s="7">
        <v>52000</v>
      </c>
      <c r="AH1063" s="7">
        <v>0</v>
      </c>
      <c r="AI1063" s="7">
        <v>52000</v>
      </c>
      <c r="AJ1063" t="s">
        <v>45</v>
      </c>
    </row>
    <row r="1064" spans="14:36" x14ac:dyDescent="0.3">
      <c r="N1064" s="8">
        <v>2026</v>
      </c>
      <c r="O1064" s="8">
        <v>5</v>
      </c>
      <c r="P1064" s="9">
        <v>46166</v>
      </c>
      <c r="Q1064" t="s">
        <v>238</v>
      </c>
      <c r="R1064" t="s">
        <v>396</v>
      </c>
      <c r="S1064" t="s">
        <v>397</v>
      </c>
      <c r="T1064" t="s">
        <v>875</v>
      </c>
      <c r="U1064" t="s">
        <v>300</v>
      </c>
      <c r="V1064" t="s">
        <v>246</v>
      </c>
      <c r="W1064" t="s">
        <v>244</v>
      </c>
      <c r="X1064" t="s">
        <v>876</v>
      </c>
      <c r="Y1064" t="s">
        <v>191</v>
      </c>
      <c r="Z1064" t="s">
        <v>335</v>
      </c>
      <c r="AA1064" t="s">
        <v>337</v>
      </c>
      <c r="AB1064" t="s">
        <v>656</v>
      </c>
      <c r="AC1064" t="s">
        <v>657</v>
      </c>
      <c r="AD1064" t="s">
        <v>658</v>
      </c>
      <c r="AE1064" s="7">
        <v>35000</v>
      </c>
      <c r="AF1064" s="7">
        <v>1</v>
      </c>
      <c r="AG1064" s="7">
        <v>35000</v>
      </c>
      <c r="AH1064" s="7">
        <v>0</v>
      </c>
      <c r="AI1064" s="7">
        <v>35000</v>
      </c>
      <c r="AJ1064" t="s">
        <v>657</v>
      </c>
    </row>
    <row r="1065" spans="14:36" x14ac:dyDescent="0.3">
      <c r="N1065" s="8">
        <v>2026</v>
      </c>
      <c r="O1065" s="8">
        <v>5</v>
      </c>
      <c r="P1065" s="9">
        <v>46166</v>
      </c>
      <c r="Q1065" t="s">
        <v>238</v>
      </c>
      <c r="R1065" t="s">
        <v>415</v>
      </c>
      <c r="S1065" t="s">
        <v>416</v>
      </c>
      <c r="T1065" t="s">
        <v>878</v>
      </c>
      <c r="U1065" t="s">
        <v>879</v>
      </c>
      <c r="V1065" t="s">
        <v>249</v>
      </c>
      <c r="W1065" t="s">
        <v>244</v>
      </c>
      <c r="X1065" t="s">
        <v>880</v>
      </c>
      <c r="Y1065" t="s">
        <v>168</v>
      </c>
      <c r="Z1065" t="s">
        <v>171</v>
      </c>
      <c r="AA1065" t="s">
        <v>175</v>
      </c>
      <c r="AB1065" t="s">
        <v>44</v>
      </c>
      <c r="AC1065" t="s">
        <v>42</v>
      </c>
      <c r="AD1065" t="s">
        <v>43</v>
      </c>
      <c r="AE1065" s="7">
        <v>294000</v>
      </c>
      <c r="AF1065" s="7">
        <v>1</v>
      </c>
      <c r="AG1065" s="7">
        <v>294000</v>
      </c>
      <c r="AH1065" s="7">
        <v>35000</v>
      </c>
      <c r="AI1065" s="7">
        <v>259000</v>
      </c>
      <c r="AJ1065" t="s">
        <v>42</v>
      </c>
    </row>
    <row r="1066" spans="14:36" x14ac:dyDescent="0.3">
      <c r="N1066" s="8">
        <v>2026</v>
      </c>
      <c r="O1066" s="8">
        <v>5</v>
      </c>
      <c r="P1066" s="9">
        <v>46166</v>
      </c>
      <c r="Q1066" t="s">
        <v>238</v>
      </c>
      <c r="R1066" t="s">
        <v>415</v>
      </c>
      <c r="S1066" t="s">
        <v>416</v>
      </c>
      <c r="T1066" t="s">
        <v>881</v>
      </c>
      <c r="U1066" t="s">
        <v>4003</v>
      </c>
      <c r="V1066" t="s">
        <v>246</v>
      </c>
      <c r="W1066" t="s">
        <v>244</v>
      </c>
      <c r="X1066" t="s">
        <v>882</v>
      </c>
      <c r="Y1066" t="s">
        <v>191</v>
      </c>
      <c r="Z1066" t="s">
        <v>192</v>
      </c>
      <c r="AA1066" t="s">
        <v>193</v>
      </c>
      <c r="AB1066" t="s">
        <v>110</v>
      </c>
      <c r="AC1066" t="s">
        <v>108</v>
      </c>
      <c r="AD1066" t="s">
        <v>109</v>
      </c>
      <c r="AE1066" s="7">
        <v>235000</v>
      </c>
      <c r="AF1066" s="7">
        <v>1</v>
      </c>
      <c r="AG1066" s="7">
        <v>235000</v>
      </c>
      <c r="AH1066" s="7">
        <v>0</v>
      </c>
      <c r="AI1066" s="7">
        <v>235000</v>
      </c>
      <c r="AJ1066" t="s">
        <v>108</v>
      </c>
    </row>
    <row r="1067" spans="14:36" x14ac:dyDescent="0.3">
      <c r="N1067" s="8">
        <v>2026</v>
      </c>
      <c r="O1067" s="8">
        <v>5</v>
      </c>
      <c r="P1067" s="9">
        <v>46166</v>
      </c>
      <c r="Q1067" t="s">
        <v>238</v>
      </c>
      <c r="R1067" t="s">
        <v>415</v>
      </c>
      <c r="S1067" t="s">
        <v>416</v>
      </c>
      <c r="T1067" t="s">
        <v>885</v>
      </c>
      <c r="U1067" t="s">
        <v>4004</v>
      </c>
      <c r="V1067" t="s">
        <v>249</v>
      </c>
      <c r="W1067" t="s">
        <v>244</v>
      </c>
      <c r="X1067" t="s">
        <v>886</v>
      </c>
      <c r="Y1067" t="s">
        <v>194</v>
      </c>
      <c r="Z1067" t="s">
        <v>200</v>
      </c>
      <c r="AA1067" t="s">
        <v>201</v>
      </c>
      <c r="AB1067" t="s">
        <v>86</v>
      </c>
      <c r="AC1067" t="s">
        <v>84</v>
      </c>
      <c r="AD1067" t="s">
        <v>85</v>
      </c>
      <c r="AE1067" s="7">
        <v>49000</v>
      </c>
      <c r="AF1067" s="7">
        <v>1</v>
      </c>
      <c r="AG1067" s="7">
        <v>49000</v>
      </c>
      <c r="AH1067" s="7">
        <v>0</v>
      </c>
      <c r="AI1067" s="7">
        <v>49000</v>
      </c>
      <c r="AJ1067" t="s">
        <v>84</v>
      </c>
    </row>
    <row r="1068" spans="14:36" x14ac:dyDescent="0.3">
      <c r="N1068" s="8">
        <v>2026</v>
      </c>
      <c r="O1068" s="8">
        <v>5</v>
      </c>
      <c r="P1068" s="9">
        <v>46166</v>
      </c>
      <c r="Q1068" t="s">
        <v>238</v>
      </c>
      <c r="R1068" t="s">
        <v>425</v>
      </c>
      <c r="S1068" t="s">
        <v>426</v>
      </c>
      <c r="T1068" t="s">
        <v>887</v>
      </c>
      <c r="U1068" t="s">
        <v>300</v>
      </c>
      <c r="V1068" t="s">
        <v>246</v>
      </c>
      <c r="W1068" t="s">
        <v>244</v>
      </c>
      <c r="X1068" t="s">
        <v>888</v>
      </c>
      <c r="Y1068" t="s">
        <v>168</v>
      </c>
      <c r="Z1068" t="s">
        <v>171</v>
      </c>
      <c r="AA1068" t="s">
        <v>172</v>
      </c>
      <c r="AB1068" t="s">
        <v>11</v>
      </c>
      <c r="AC1068" t="s">
        <v>9</v>
      </c>
      <c r="AD1068" t="s">
        <v>10</v>
      </c>
      <c r="AE1068" s="7">
        <v>129000</v>
      </c>
      <c r="AF1068" s="7">
        <v>1</v>
      </c>
      <c r="AG1068" s="7">
        <v>129000</v>
      </c>
      <c r="AH1068" s="7">
        <v>0</v>
      </c>
      <c r="AI1068" s="7">
        <v>129000</v>
      </c>
      <c r="AJ1068" t="s">
        <v>9</v>
      </c>
    </row>
    <row r="1069" spans="14:36" x14ac:dyDescent="0.3">
      <c r="N1069" s="8">
        <v>2026</v>
      </c>
      <c r="O1069" s="8">
        <v>5</v>
      </c>
      <c r="P1069" s="9">
        <v>46166</v>
      </c>
      <c r="Q1069" t="s">
        <v>238</v>
      </c>
      <c r="R1069" t="s">
        <v>425</v>
      </c>
      <c r="S1069" t="s">
        <v>426</v>
      </c>
      <c r="T1069" t="s">
        <v>889</v>
      </c>
      <c r="U1069" t="s">
        <v>890</v>
      </c>
      <c r="V1069" t="s">
        <v>246</v>
      </c>
      <c r="W1069" t="s">
        <v>244</v>
      </c>
      <c r="X1069" t="s">
        <v>891</v>
      </c>
      <c r="Y1069" t="s">
        <v>191</v>
      </c>
      <c r="Z1069" t="s">
        <v>192</v>
      </c>
      <c r="AA1069" t="s">
        <v>193</v>
      </c>
      <c r="AB1069" t="s">
        <v>110</v>
      </c>
      <c r="AC1069" t="s">
        <v>108</v>
      </c>
      <c r="AD1069" t="s">
        <v>109</v>
      </c>
      <c r="AE1069" s="7">
        <v>235000</v>
      </c>
      <c r="AF1069" s="7">
        <v>1</v>
      </c>
      <c r="AG1069" s="7">
        <v>235000</v>
      </c>
      <c r="AH1069" s="7">
        <v>0</v>
      </c>
      <c r="AI1069" s="7">
        <v>235000</v>
      </c>
      <c r="AJ1069" t="s">
        <v>108</v>
      </c>
    </row>
    <row r="1070" spans="14:36" x14ac:dyDescent="0.3">
      <c r="N1070" s="8">
        <v>2026</v>
      </c>
      <c r="O1070" s="8">
        <v>5</v>
      </c>
      <c r="P1070" s="9">
        <v>46166</v>
      </c>
      <c r="Q1070" t="s">
        <v>238</v>
      </c>
      <c r="R1070" t="s">
        <v>425</v>
      </c>
      <c r="S1070" t="s">
        <v>426</v>
      </c>
      <c r="T1070" t="s">
        <v>892</v>
      </c>
      <c r="U1070" t="s">
        <v>893</v>
      </c>
      <c r="V1070" t="s">
        <v>246</v>
      </c>
      <c r="W1070" t="s">
        <v>244</v>
      </c>
      <c r="X1070" t="s">
        <v>894</v>
      </c>
      <c r="Y1070" t="s">
        <v>168</v>
      </c>
      <c r="Z1070" t="s">
        <v>181</v>
      </c>
      <c r="AA1070" t="s">
        <v>182</v>
      </c>
      <c r="AB1070" t="s">
        <v>50</v>
      </c>
      <c r="AC1070" t="s">
        <v>48</v>
      </c>
      <c r="AD1070" t="s">
        <v>49</v>
      </c>
      <c r="AE1070" s="7">
        <v>49000</v>
      </c>
      <c r="AF1070" s="7">
        <v>1</v>
      </c>
      <c r="AG1070" s="7">
        <v>49000</v>
      </c>
      <c r="AH1070" s="7">
        <v>0</v>
      </c>
      <c r="AI1070" s="7">
        <v>49000</v>
      </c>
      <c r="AJ1070" t="s">
        <v>48</v>
      </c>
    </row>
    <row r="1071" spans="14:36" x14ac:dyDescent="0.3">
      <c r="N1071" s="8">
        <v>2026</v>
      </c>
      <c r="O1071" s="8">
        <v>5</v>
      </c>
      <c r="P1071" s="9">
        <v>46166</v>
      </c>
      <c r="Q1071" t="s">
        <v>238</v>
      </c>
      <c r="R1071" t="s">
        <v>425</v>
      </c>
      <c r="S1071" t="s">
        <v>426</v>
      </c>
      <c r="T1071" t="s">
        <v>897</v>
      </c>
      <c r="U1071" t="s">
        <v>898</v>
      </c>
      <c r="V1071" t="s">
        <v>246</v>
      </c>
      <c r="W1071" t="s">
        <v>244</v>
      </c>
      <c r="X1071" t="s">
        <v>899</v>
      </c>
      <c r="Y1071" t="s">
        <v>168</v>
      </c>
      <c r="Z1071" t="s">
        <v>171</v>
      </c>
      <c r="AA1071" t="s">
        <v>173</v>
      </c>
      <c r="AB1071" t="s">
        <v>29</v>
      </c>
      <c r="AC1071" t="s">
        <v>27</v>
      </c>
      <c r="AD1071" t="s">
        <v>28</v>
      </c>
      <c r="AE1071" s="7">
        <v>575000</v>
      </c>
      <c r="AF1071" s="7">
        <v>1</v>
      </c>
      <c r="AG1071" s="7">
        <v>575000</v>
      </c>
      <c r="AH1071" s="7">
        <v>0</v>
      </c>
      <c r="AI1071" s="7">
        <v>575000</v>
      </c>
      <c r="AJ1071" t="s">
        <v>27</v>
      </c>
    </row>
    <row r="1072" spans="14:36" x14ac:dyDescent="0.3">
      <c r="N1072" s="8">
        <v>2026</v>
      </c>
      <c r="O1072" s="8">
        <v>5</v>
      </c>
      <c r="P1072" s="9">
        <v>46165</v>
      </c>
      <c r="Q1072" t="s">
        <v>238</v>
      </c>
      <c r="R1072" t="s">
        <v>239</v>
      </c>
      <c r="S1072" t="s">
        <v>240</v>
      </c>
      <c r="T1072" t="s">
        <v>251</v>
      </c>
      <c r="U1072" t="s">
        <v>4003</v>
      </c>
      <c r="V1072" t="s">
        <v>246</v>
      </c>
      <c r="W1072" t="s">
        <v>244</v>
      </c>
      <c r="X1072" t="s">
        <v>900</v>
      </c>
      <c r="Y1072" t="s">
        <v>168</v>
      </c>
      <c r="Z1072" t="s">
        <v>171</v>
      </c>
      <c r="AA1072" t="s">
        <v>175</v>
      </c>
      <c r="AB1072" t="s">
        <v>44</v>
      </c>
      <c r="AC1072" t="s">
        <v>42</v>
      </c>
      <c r="AD1072" t="s">
        <v>43</v>
      </c>
      <c r="AE1072" s="7">
        <v>294000</v>
      </c>
      <c r="AF1072" s="7">
        <v>1</v>
      </c>
      <c r="AG1072" s="7">
        <v>294000</v>
      </c>
      <c r="AH1072" s="7">
        <v>0</v>
      </c>
      <c r="AI1072" s="7">
        <v>294000</v>
      </c>
      <c r="AJ1072" t="s">
        <v>42</v>
      </c>
    </row>
    <row r="1073" spans="14:36" x14ac:dyDescent="0.3">
      <c r="N1073" s="8">
        <v>2026</v>
      </c>
      <c r="O1073" s="8">
        <v>5</v>
      </c>
      <c r="P1073" s="9">
        <v>46165</v>
      </c>
      <c r="Q1073" t="s">
        <v>238</v>
      </c>
      <c r="R1073" t="s">
        <v>239</v>
      </c>
      <c r="S1073" t="s">
        <v>240</v>
      </c>
      <c r="T1073" t="s">
        <v>905</v>
      </c>
      <c r="U1073" t="s">
        <v>464</v>
      </c>
      <c r="V1073" t="s">
        <v>246</v>
      </c>
      <c r="W1073" t="s">
        <v>244</v>
      </c>
      <c r="X1073" t="s">
        <v>906</v>
      </c>
      <c r="Y1073" t="s">
        <v>194</v>
      </c>
      <c r="Z1073" t="s">
        <v>198</v>
      </c>
      <c r="AA1073" t="s">
        <v>199</v>
      </c>
      <c r="AB1073" t="s">
        <v>74</v>
      </c>
      <c r="AC1073" t="s">
        <v>72</v>
      </c>
      <c r="AD1073" t="s">
        <v>73</v>
      </c>
      <c r="AE1073" s="7">
        <v>220000</v>
      </c>
      <c r="AF1073" s="7">
        <v>1</v>
      </c>
      <c r="AG1073" s="7">
        <v>220000</v>
      </c>
      <c r="AH1073" s="7">
        <v>0</v>
      </c>
      <c r="AI1073" s="7">
        <v>220000</v>
      </c>
      <c r="AJ1073" t="s">
        <v>72</v>
      </c>
    </row>
    <row r="1074" spans="14:36" x14ac:dyDescent="0.3">
      <c r="N1074" s="8">
        <v>2026</v>
      </c>
      <c r="O1074" s="8">
        <v>5</v>
      </c>
      <c r="P1074" s="9">
        <v>46165</v>
      </c>
      <c r="Q1074" t="s">
        <v>238</v>
      </c>
      <c r="R1074" t="s">
        <v>279</v>
      </c>
      <c r="S1074" t="s">
        <v>280</v>
      </c>
      <c r="T1074" t="s">
        <v>281</v>
      </c>
      <c r="U1074" t="s">
        <v>282</v>
      </c>
      <c r="V1074" t="s">
        <v>243</v>
      </c>
      <c r="W1074" t="s">
        <v>244</v>
      </c>
      <c r="X1074" t="s">
        <v>908</v>
      </c>
      <c r="Y1074" t="s">
        <v>191</v>
      </c>
      <c r="Z1074" t="s">
        <v>192</v>
      </c>
      <c r="AA1074" t="s">
        <v>193</v>
      </c>
      <c r="AB1074" t="s">
        <v>110</v>
      </c>
      <c r="AC1074" t="s">
        <v>108</v>
      </c>
      <c r="AD1074" t="s">
        <v>109</v>
      </c>
      <c r="AE1074" s="7">
        <v>235000</v>
      </c>
      <c r="AF1074" s="7">
        <v>1</v>
      </c>
      <c r="AG1074" s="7">
        <v>235000</v>
      </c>
      <c r="AH1074" s="7">
        <v>0</v>
      </c>
      <c r="AI1074" s="7">
        <v>235000</v>
      </c>
      <c r="AJ1074" t="s">
        <v>108</v>
      </c>
    </row>
    <row r="1075" spans="14:36" x14ac:dyDescent="0.3">
      <c r="N1075" s="8">
        <v>2026</v>
      </c>
      <c r="O1075" s="8">
        <v>5</v>
      </c>
      <c r="P1075" s="9">
        <v>46165</v>
      </c>
      <c r="Q1075" t="s">
        <v>238</v>
      </c>
      <c r="R1075" t="s">
        <v>279</v>
      </c>
      <c r="S1075" t="s">
        <v>280</v>
      </c>
      <c r="T1075" t="s">
        <v>909</v>
      </c>
      <c r="U1075" t="s">
        <v>449</v>
      </c>
      <c r="V1075" t="s">
        <v>246</v>
      </c>
      <c r="W1075" t="s">
        <v>244</v>
      </c>
      <c r="X1075" t="s">
        <v>910</v>
      </c>
      <c r="Y1075" t="s">
        <v>194</v>
      </c>
      <c r="Z1075" t="s">
        <v>200</v>
      </c>
      <c r="AA1075" t="s">
        <v>201</v>
      </c>
      <c r="AB1075" t="s">
        <v>89</v>
      </c>
      <c r="AC1075" t="s">
        <v>87</v>
      </c>
      <c r="AD1075" t="s">
        <v>88</v>
      </c>
      <c r="AE1075" s="7">
        <v>46000</v>
      </c>
      <c r="AF1075" s="7">
        <v>1</v>
      </c>
      <c r="AG1075" s="7">
        <v>46000</v>
      </c>
      <c r="AH1075" s="7">
        <v>0</v>
      </c>
      <c r="AI1075" s="7">
        <v>46000</v>
      </c>
      <c r="AJ1075" t="s">
        <v>87</v>
      </c>
    </row>
    <row r="1076" spans="14:36" x14ac:dyDescent="0.3">
      <c r="N1076" s="8">
        <v>2026</v>
      </c>
      <c r="O1076" s="8">
        <v>5</v>
      </c>
      <c r="P1076" s="9">
        <v>46165</v>
      </c>
      <c r="Q1076" t="s">
        <v>238</v>
      </c>
      <c r="R1076" t="s">
        <v>303</v>
      </c>
      <c r="S1076" t="s">
        <v>304</v>
      </c>
      <c r="T1076" t="s">
        <v>918</v>
      </c>
      <c r="U1076" t="s">
        <v>919</v>
      </c>
      <c r="V1076" t="s">
        <v>246</v>
      </c>
      <c r="W1076" t="s">
        <v>244</v>
      </c>
      <c r="X1076" t="s">
        <v>920</v>
      </c>
      <c r="Y1076" t="s">
        <v>194</v>
      </c>
      <c r="Z1076" t="s">
        <v>200</v>
      </c>
      <c r="AA1076" t="s">
        <v>201</v>
      </c>
      <c r="AB1076" t="s">
        <v>80</v>
      </c>
      <c r="AC1076" t="s">
        <v>78</v>
      </c>
      <c r="AD1076" t="s">
        <v>79</v>
      </c>
      <c r="AE1076" s="7">
        <v>14000</v>
      </c>
      <c r="AF1076" s="7">
        <v>1</v>
      </c>
      <c r="AG1076" s="7">
        <v>14000</v>
      </c>
      <c r="AH1076" s="7">
        <v>0</v>
      </c>
      <c r="AI1076" s="7">
        <v>14000</v>
      </c>
      <c r="AJ1076" t="s">
        <v>78</v>
      </c>
    </row>
    <row r="1077" spans="14:36" x14ac:dyDescent="0.3">
      <c r="N1077" s="8">
        <v>2026</v>
      </c>
      <c r="O1077" s="8">
        <v>5</v>
      </c>
      <c r="P1077" s="9">
        <v>46165</v>
      </c>
      <c r="Q1077" t="s">
        <v>238</v>
      </c>
      <c r="R1077" t="s">
        <v>303</v>
      </c>
      <c r="S1077" t="s">
        <v>304</v>
      </c>
      <c r="T1077" t="s">
        <v>923</v>
      </c>
      <c r="U1077" t="s">
        <v>3991</v>
      </c>
      <c r="V1077" t="s">
        <v>246</v>
      </c>
      <c r="W1077" t="s">
        <v>244</v>
      </c>
      <c r="X1077" t="s">
        <v>924</v>
      </c>
      <c r="Y1077" t="s">
        <v>191</v>
      </c>
      <c r="Z1077" t="s">
        <v>335</v>
      </c>
      <c r="AA1077" t="s">
        <v>337</v>
      </c>
      <c r="AB1077" t="s">
        <v>864</v>
      </c>
      <c r="AC1077" t="s">
        <v>865</v>
      </c>
      <c r="AD1077" t="s">
        <v>866</v>
      </c>
      <c r="AE1077" s="7">
        <v>139000</v>
      </c>
      <c r="AF1077" s="7">
        <v>1</v>
      </c>
      <c r="AG1077" s="7">
        <v>139000</v>
      </c>
      <c r="AH1077" s="7">
        <v>0</v>
      </c>
      <c r="AI1077" s="7">
        <v>139000</v>
      </c>
      <c r="AJ1077" t="s">
        <v>865</v>
      </c>
    </row>
    <row r="1078" spans="14:36" x14ac:dyDescent="0.3">
      <c r="N1078" s="8">
        <v>2026</v>
      </c>
      <c r="O1078" s="8">
        <v>5</v>
      </c>
      <c r="P1078" s="9">
        <v>46165</v>
      </c>
      <c r="Q1078" t="s">
        <v>238</v>
      </c>
      <c r="R1078" t="s">
        <v>303</v>
      </c>
      <c r="S1078" t="s">
        <v>304</v>
      </c>
      <c r="T1078" t="s">
        <v>923</v>
      </c>
      <c r="U1078" t="s">
        <v>3991</v>
      </c>
      <c r="V1078" t="s">
        <v>246</v>
      </c>
      <c r="W1078" t="s">
        <v>244</v>
      </c>
      <c r="X1078" t="s">
        <v>924</v>
      </c>
      <c r="Y1078" t="s">
        <v>191</v>
      </c>
      <c r="Z1078" t="s">
        <v>335</v>
      </c>
      <c r="AA1078" t="s">
        <v>337</v>
      </c>
      <c r="AB1078" t="s">
        <v>656</v>
      </c>
      <c r="AC1078" t="s">
        <v>657</v>
      </c>
      <c r="AD1078" t="s">
        <v>658</v>
      </c>
      <c r="AE1078" s="7">
        <v>35000</v>
      </c>
      <c r="AF1078" s="7">
        <v>1</v>
      </c>
      <c r="AG1078" s="7">
        <v>35000</v>
      </c>
      <c r="AH1078" s="7">
        <v>0</v>
      </c>
      <c r="AI1078" s="7">
        <v>35000</v>
      </c>
      <c r="AJ1078" t="s">
        <v>657</v>
      </c>
    </row>
    <row r="1079" spans="14:36" x14ac:dyDescent="0.3">
      <c r="N1079" s="8">
        <v>2026</v>
      </c>
      <c r="O1079" s="8">
        <v>5</v>
      </c>
      <c r="P1079" s="9">
        <v>46165</v>
      </c>
      <c r="Q1079" t="s">
        <v>238</v>
      </c>
      <c r="R1079" t="s">
        <v>374</v>
      </c>
      <c r="S1079" t="s">
        <v>375</v>
      </c>
      <c r="T1079" t="s">
        <v>929</v>
      </c>
      <c r="U1079" t="s">
        <v>300</v>
      </c>
      <c r="V1079" t="s">
        <v>246</v>
      </c>
      <c r="W1079" t="s">
        <v>244</v>
      </c>
      <c r="X1079" t="s">
        <v>930</v>
      </c>
      <c r="Y1079" t="s">
        <v>194</v>
      </c>
      <c r="Z1079" t="s">
        <v>200</v>
      </c>
      <c r="AA1079" t="s">
        <v>201</v>
      </c>
      <c r="AB1079" t="s">
        <v>89</v>
      </c>
      <c r="AC1079" t="s">
        <v>87</v>
      </c>
      <c r="AD1079" t="s">
        <v>88</v>
      </c>
      <c r="AE1079" s="7">
        <v>46000</v>
      </c>
      <c r="AF1079" s="7">
        <v>1</v>
      </c>
      <c r="AG1079" s="7">
        <v>46000</v>
      </c>
      <c r="AH1079" s="7">
        <v>0</v>
      </c>
      <c r="AI1079" s="7">
        <v>46000</v>
      </c>
      <c r="AJ1079" t="s">
        <v>87</v>
      </c>
    </row>
    <row r="1080" spans="14:36" x14ac:dyDescent="0.3">
      <c r="N1080" s="8">
        <v>2026</v>
      </c>
      <c r="O1080" s="8">
        <v>5</v>
      </c>
      <c r="P1080" s="9">
        <v>46165</v>
      </c>
      <c r="Q1080" t="s">
        <v>238</v>
      </c>
      <c r="R1080" t="s">
        <v>374</v>
      </c>
      <c r="S1080" t="s">
        <v>375</v>
      </c>
      <c r="T1080" t="s">
        <v>931</v>
      </c>
      <c r="U1080" t="s">
        <v>3864</v>
      </c>
      <c r="V1080" t="s">
        <v>246</v>
      </c>
      <c r="W1080" t="s">
        <v>244</v>
      </c>
      <c r="X1080" t="s">
        <v>932</v>
      </c>
      <c r="Y1080" t="s">
        <v>168</v>
      </c>
      <c r="Z1080" t="s">
        <v>171</v>
      </c>
      <c r="AA1080" t="s">
        <v>173</v>
      </c>
      <c r="AB1080" t="s">
        <v>29</v>
      </c>
      <c r="AC1080" t="s">
        <v>27</v>
      </c>
      <c r="AD1080" t="s">
        <v>28</v>
      </c>
      <c r="AE1080" s="7">
        <v>575000</v>
      </c>
      <c r="AF1080" s="7">
        <v>1</v>
      </c>
      <c r="AG1080" s="7">
        <v>575000</v>
      </c>
      <c r="AH1080" s="7">
        <v>0</v>
      </c>
      <c r="AI1080" s="7">
        <v>575000</v>
      </c>
      <c r="AJ1080" t="s">
        <v>27</v>
      </c>
    </row>
    <row r="1081" spans="14:36" x14ac:dyDescent="0.3">
      <c r="N1081" s="8">
        <v>2026</v>
      </c>
      <c r="O1081" s="8">
        <v>5</v>
      </c>
      <c r="P1081" s="9">
        <v>46165</v>
      </c>
      <c r="Q1081" t="s">
        <v>238</v>
      </c>
      <c r="R1081" t="s">
        <v>396</v>
      </c>
      <c r="S1081" t="s">
        <v>397</v>
      </c>
      <c r="T1081" t="s">
        <v>398</v>
      </c>
      <c r="U1081" t="s">
        <v>399</v>
      </c>
      <c r="V1081" t="s">
        <v>243</v>
      </c>
      <c r="W1081" t="s">
        <v>244</v>
      </c>
      <c r="X1081" t="s">
        <v>935</v>
      </c>
      <c r="Y1081" t="s">
        <v>191</v>
      </c>
      <c r="Z1081" t="s">
        <v>335</v>
      </c>
      <c r="AA1081" t="s">
        <v>336</v>
      </c>
      <c r="AB1081" t="s">
        <v>606</v>
      </c>
      <c r="AC1081" t="s">
        <v>607</v>
      </c>
      <c r="AD1081" t="s">
        <v>608</v>
      </c>
      <c r="AE1081" s="7">
        <v>105000</v>
      </c>
      <c r="AF1081" s="7">
        <v>1</v>
      </c>
      <c r="AG1081" s="7">
        <v>105000</v>
      </c>
      <c r="AH1081" s="7">
        <v>0</v>
      </c>
      <c r="AI1081" s="7">
        <v>105000</v>
      </c>
      <c r="AJ1081" t="s">
        <v>607</v>
      </c>
    </row>
    <row r="1082" spans="14:36" x14ac:dyDescent="0.3">
      <c r="N1082" s="8">
        <v>2026</v>
      </c>
      <c r="O1082" s="8">
        <v>5</v>
      </c>
      <c r="P1082" s="9">
        <v>46165</v>
      </c>
      <c r="Q1082" t="s">
        <v>238</v>
      </c>
      <c r="R1082" t="s">
        <v>396</v>
      </c>
      <c r="S1082" t="s">
        <v>397</v>
      </c>
      <c r="T1082" t="s">
        <v>937</v>
      </c>
      <c r="U1082" t="s">
        <v>4003</v>
      </c>
      <c r="V1082" t="s">
        <v>246</v>
      </c>
      <c r="W1082" t="s">
        <v>244</v>
      </c>
      <c r="X1082" t="s">
        <v>938</v>
      </c>
      <c r="Y1082" t="s">
        <v>191</v>
      </c>
      <c r="Z1082" t="s">
        <v>335</v>
      </c>
      <c r="AA1082" t="s">
        <v>337</v>
      </c>
      <c r="AB1082" t="s">
        <v>656</v>
      </c>
      <c r="AC1082" t="s">
        <v>657</v>
      </c>
      <c r="AD1082" t="s">
        <v>658</v>
      </c>
      <c r="AE1082" s="7">
        <v>35000</v>
      </c>
      <c r="AF1082" s="7">
        <v>1</v>
      </c>
      <c r="AG1082" s="7">
        <v>35000</v>
      </c>
      <c r="AH1082" s="7">
        <v>0</v>
      </c>
      <c r="AI1082" s="7">
        <v>35000</v>
      </c>
      <c r="AJ1082" t="s">
        <v>657</v>
      </c>
    </row>
    <row r="1083" spans="14:36" x14ac:dyDescent="0.3">
      <c r="N1083" s="8">
        <v>2026</v>
      </c>
      <c r="O1083" s="8">
        <v>5</v>
      </c>
      <c r="P1083" s="9">
        <v>46165</v>
      </c>
      <c r="Q1083" t="s">
        <v>238</v>
      </c>
      <c r="R1083" t="s">
        <v>415</v>
      </c>
      <c r="S1083" t="s">
        <v>416</v>
      </c>
      <c r="T1083" t="s">
        <v>940</v>
      </c>
      <c r="U1083" t="s">
        <v>941</v>
      </c>
      <c r="V1083" t="s">
        <v>246</v>
      </c>
      <c r="W1083" t="s">
        <v>244</v>
      </c>
      <c r="X1083" t="s">
        <v>942</v>
      </c>
      <c r="Y1083" t="s">
        <v>191</v>
      </c>
      <c r="Z1083" t="s">
        <v>192</v>
      </c>
      <c r="AA1083" t="s">
        <v>193</v>
      </c>
      <c r="AB1083" t="s">
        <v>110</v>
      </c>
      <c r="AC1083" t="s">
        <v>108</v>
      </c>
      <c r="AD1083" t="s">
        <v>109</v>
      </c>
      <c r="AE1083" s="7">
        <v>235000</v>
      </c>
      <c r="AF1083" s="7">
        <v>1</v>
      </c>
      <c r="AG1083" s="7">
        <v>235000</v>
      </c>
      <c r="AH1083" s="7">
        <v>0</v>
      </c>
      <c r="AI1083" s="7">
        <v>235000</v>
      </c>
      <c r="AJ1083" t="s">
        <v>108</v>
      </c>
    </row>
    <row r="1084" spans="14:36" x14ac:dyDescent="0.3">
      <c r="N1084" s="8">
        <v>2026</v>
      </c>
      <c r="O1084" s="8">
        <v>5</v>
      </c>
      <c r="P1084" s="9">
        <v>46165</v>
      </c>
      <c r="Q1084" t="s">
        <v>238</v>
      </c>
      <c r="R1084" t="s">
        <v>425</v>
      </c>
      <c r="S1084" t="s">
        <v>426</v>
      </c>
      <c r="T1084" t="s">
        <v>947</v>
      </c>
      <c r="U1084" t="s">
        <v>948</v>
      </c>
      <c r="V1084" t="s">
        <v>246</v>
      </c>
      <c r="W1084" t="s">
        <v>244</v>
      </c>
      <c r="X1084" t="s">
        <v>949</v>
      </c>
      <c r="Y1084" t="s">
        <v>191</v>
      </c>
      <c r="Z1084" t="s">
        <v>335</v>
      </c>
      <c r="AA1084" t="s">
        <v>337</v>
      </c>
      <c r="AB1084" t="s">
        <v>348</v>
      </c>
      <c r="AC1084" t="s">
        <v>349</v>
      </c>
      <c r="AD1084" t="s">
        <v>350</v>
      </c>
      <c r="AE1084" s="7">
        <v>76000</v>
      </c>
      <c r="AF1084" s="7">
        <v>1</v>
      </c>
      <c r="AG1084" s="7">
        <v>76000</v>
      </c>
      <c r="AH1084" s="7">
        <v>0</v>
      </c>
      <c r="AI1084" s="7">
        <v>76000</v>
      </c>
      <c r="AJ1084" t="s">
        <v>349</v>
      </c>
    </row>
    <row r="1085" spans="14:36" x14ac:dyDescent="0.3">
      <c r="N1085" s="8">
        <v>2026</v>
      </c>
      <c r="O1085" s="8">
        <v>5</v>
      </c>
      <c r="P1085" s="9">
        <v>46164</v>
      </c>
      <c r="Q1085" t="s">
        <v>238</v>
      </c>
      <c r="R1085" t="s">
        <v>239</v>
      </c>
      <c r="S1085" t="s">
        <v>240</v>
      </c>
      <c r="T1085" t="s">
        <v>241</v>
      </c>
      <c r="U1085" t="s">
        <v>242</v>
      </c>
      <c r="V1085" t="s">
        <v>243</v>
      </c>
      <c r="W1085" t="s">
        <v>244</v>
      </c>
      <c r="X1085" t="s">
        <v>950</v>
      </c>
      <c r="Y1085" t="s">
        <v>183</v>
      </c>
      <c r="Z1085" t="s">
        <v>189</v>
      </c>
      <c r="AA1085" t="s">
        <v>190</v>
      </c>
      <c r="AB1085" t="s">
        <v>92</v>
      </c>
      <c r="AC1085" t="s">
        <v>90</v>
      </c>
      <c r="AD1085" t="s">
        <v>91</v>
      </c>
      <c r="AE1085" s="7">
        <v>52000</v>
      </c>
      <c r="AF1085" s="7">
        <v>2</v>
      </c>
      <c r="AG1085" s="7">
        <v>104000</v>
      </c>
      <c r="AH1085" s="7">
        <v>0</v>
      </c>
      <c r="AI1085" s="7">
        <v>104000</v>
      </c>
      <c r="AJ1085" t="s">
        <v>90</v>
      </c>
    </row>
    <row r="1086" spans="14:36" x14ac:dyDescent="0.3">
      <c r="N1086" s="8">
        <v>2026</v>
      </c>
      <c r="O1086" s="8">
        <v>5</v>
      </c>
      <c r="P1086" s="9">
        <v>46164</v>
      </c>
      <c r="Q1086" t="s">
        <v>238</v>
      </c>
      <c r="R1086" t="s">
        <v>239</v>
      </c>
      <c r="S1086" t="s">
        <v>240</v>
      </c>
      <c r="T1086" t="s">
        <v>953</v>
      </c>
      <c r="U1086" t="s">
        <v>511</v>
      </c>
      <c r="V1086" t="s">
        <v>246</v>
      </c>
      <c r="W1086" t="s">
        <v>244</v>
      </c>
      <c r="X1086" t="s">
        <v>954</v>
      </c>
      <c r="Y1086" t="s">
        <v>194</v>
      </c>
      <c r="Z1086" t="s">
        <v>200</v>
      </c>
      <c r="AA1086" t="s">
        <v>201</v>
      </c>
      <c r="AB1086" t="s">
        <v>80</v>
      </c>
      <c r="AC1086" t="s">
        <v>78</v>
      </c>
      <c r="AD1086" t="s">
        <v>79</v>
      </c>
      <c r="AE1086" s="7">
        <v>14000</v>
      </c>
      <c r="AF1086" s="7">
        <v>1</v>
      </c>
      <c r="AG1086" s="7">
        <v>14000</v>
      </c>
      <c r="AH1086" s="7">
        <v>0</v>
      </c>
      <c r="AI1086" s="7">
        <v>14000</v>
      </c>
      <c r="AJ1086" t="s">
        <v>78</v>
      </c>
    </row>
    <row r="1087" spans="14:36" x14ac:dyDescent="0.3">
      <c r="N1087" s="8">
        <v>2026</v>
      </c>
      <c r="O1087" s="8">
        <v>5</v>
      </c>
      <c r="P1087" s="9">
        <v>46164</v>
      </c>
      <c r="Q1087" t="s">
        <v>238</v>
      </c>
      <c r="R1087" t="s">
        <v>239</v>
      </c>
      <c r="S1087" t="s">
        <v>240</v>
      </c>
      <c r="T1087" t="s">
        <v>955</v>
      </c>
      <c r="U1087" t="s">
        <v>4005</v>
      </c>
      <c r="V1087" t="s">
        <v>249</v>
      </c>
      <c r="W1087" t="s">
        <v>244</v>
      </c>
      <c r="X1087" t="s">
        <v>956</v>
      </c>
      <c r="Y1087" t="s">
        <v>168</v>
      </c>
      <c r="Z1087" t="s">
        <v>171</v>
      </c>
      <c r="AA1087" t="s">
        <v>175</v>
      </c>
      <c r="AB1087" t="s">
        <v>41</v>
      </c>
      <c r="AC1087" t="s">
        <v>39</v>
      </c>
      <c r="AD1087" t="s">
        <v>40</v>
      </c>
      <c r="AE1087" s="7">
        <v>295000</v>
      </c>
      <c r="AF1087" s="7">
        <v>1</v>
      </c>
      <c r="AG1087" s="7">
        <v>295000</v>
      </c>
      <c r="AH1087" s="7">
        <v>0</v>
      </c>
      <c r="AI1087" s="7">
        <v>295000</v>
      </c>
      <c r="AJ1087" t="s">
        <v>39</v>
      </c>
    </row>
    <row r="1088" spans="14:36" x14ac:dyDescent="0.3">
      <c r="N1088" s="8">
        <v>2026</v>
      </c>
      <c r="O1088" s="8">
        <v>5</v>
      </c>
      <c r="P1088" s="9">
        <v>46164</v>
      </c>
      <c r="Q1088" t="s">
        <v>238</v>
      </c>
      <c r="R1088" t="s">
        <v>279</v>
      </c>
      <c r="S1088" t="s">
        <v>280</v>
      </c>
      <c r="T1088" t="s">
        <v>635</v>
      </c>
      <c r="U1088" t="s">
        <v>297</v>
      </c>
      <c r="V1088" t="s">
        <v>246</v>
      </c>
      <c r="W1088" t="s">
        <v>244</v>
      </c>
      <c r="X1088" t="s">
        <v>959</v>
      </c>
      <c r="Y1088" t="s">
        <v>191</v>
      </c>
      <c r="Z1088" t="s">
        <v>192</v>
      </c>
      <c r="AA1088" t="s">
        <v>193</v>
      </c>
      <c r="AB1088" t="s">
        <v>104</v>
      </c>
      <c r="AC1088" t="s">
        <v>102</v>
      </c>
      <c r="AD1088" t="s">
        <v>103</v>
      </c>
      <c r="AE1088" s="7">
        <v>235000</v>
      </c>
      <c r="AF1088" s="7">
        <v>1</v>
      </c>
      <c r="AG1088" s="7">
        <v>235000</v>
      </c>
      <c r="AH1088" s="7">
        <v>0</v>
      </c>
      <c r="AI1088" s="7">
        <v>235000</v>
      </c>
      <c r="AJ1088" t="s">
        <v>102</v>
      </c>
    </row>
    <row r="1089" spans="14:36" x14ac:dyDescent="0.3">
      <c r="N1089" s="8">
        <v>2026</v>
      </c>
      <c r="O1089" s="8">
        <v>5</v>
      </c>
      <c r="P1089" s="9">
        <v>46164</v>
      </c>
      <c r="Q1089" t="s">
        <v>238</v>
      </c>
      <c r="R1089" t="s">
        <v>279</v>
      </c>
      <c r="S1089" t="s">
        <v>280</v>
      </c>
      <c r="T1089" t="s">
        <v>960</v>
      </c>
      <c r="U1089" t="s">
        <v>3884</v>
      </c>
      <c r="V1089" t="s">
        <v>246</v>
      </c>
      <c r="W1089" t="s">
        <v>244</v>
      </c>
      <c r="X1089" t="s">
        <v>961</v>
      </c>
      <c r="Y1089" t="s">
        <v>191</v>
      </c>
      <c r="Z1089" t="s">
        <v>335</v>
      </c>
      <c r="AA1089" t="s">
        <v>337</v>
      </c>
      <c r="AB1089" t="s">
        <v>656</v>
      </c>
      <c r="AC1089" t="s">
        <v>657</v>
      </c>
      <c r="AD1089" t="s">
        <v>658</v>
      </c>
      <c r="AE1089" s="7">
        <v>35000</v>
      </c>
      <c r="AF1089" s="7">
        <v>1</v>
      </c>
      <c r="AG1089" s="7">
        <v>35000</v>
      </c>
      <c r="AH1089" s="7">
        <v>0</v>
      </c>
      <c r="AI1089" s="7">
        <v>35000</v>
      </c>
      <c r="AJ1089" t="s">
        <v>657</v>
      </c>
    </row>
    <row r="1090" spans="14:36" x14ac:dyDescent="0.3">
      <c r="N1090" s="8">
        <v>2026</v>
      </c>
      <c r="O1090" s="8">
        <v>5</v>
      </c>
      <c r="P1090" s="9">
        <v>46164</v>
      </c>
      <c r="Q1090" t="s">
        <v>238</v>
      </c>
      <c r="R1090" t="s">
        <v>279</v>
      </c>
      <c r="S1090" t="s">
        <v>280</v>
      </c>
      <c r="T1090" t="s">
        <v>962</v>
      </c>
      <c r="U1090" t="s">
        <v>963</v>
      </c>
      <c r="V1090" t="s">
        <v>249</v>
      </c>
      <c r="W1090" t="s">
        <v>244</v>
      </c>
      <c r="X1090" t="s">
        <v>964</v>
      </c>
      <c r="Y1090" t="s">
        <v>183</v>
      </c>
      <c r="Z1090" t="s">
        <v>186</v>
      </c>
      <c r="AA1090" t="s">
        <v>188</v>
      </c>
      <c r="AB1090" t="s">
        <v>98</v>
      </c>
      <c r="AC1090" t="s">
        <v>96</v>
      </c>
      <c r="AD1090" t="s">
        <v>97</v>
      </c>
      <c r="AE1090" s="7">
        <v>239000</v>
      </c>
      <c r="AF1090" s="7">
        <v>1</v>
      </c>
      <c r="AG1090" s="7">
        <v>239000</v>
      </c>
      <c r="AH1090" s="7">
        <v>11950</v>
      </c>
      <c r="AI1090" s="7">
        <v>227050</v>
      </c>
      <c r="AJ1090" t="s">
        <v>96</v>
      </c>
    </row>
    <row r="1091" spans="14:36" x14ac:dyDescent="0.3">
      <c r="N1091" s="8">
        <v>2026</v>
      </c>
      <c r="O1091" s="8">
        <v>5</v>
      </c>
      <c r="P1091" s="9">
        <v>46164</v>
      </c>
      <c r="Q1091" t="s">
        <v>238</v>
      </c>
      <c r="R1091" t="s">
        <v>279</v>
      </c>
      <c r="S1091" t="s">
        <v>280</v>
      </c>
      <c r="T1091" t="s">
        <v>966</v>
      </c>
      <c r="U1091" t="s">
        <v>967</v>
      </c>
      <c r="V1091" t="s">
        <v>246</v>
      </c>
      <c r="W1091" t="s">
        <v>244</v>
      </c>
      <c r="X1091" t="s">
        <v>968</v>
      </c>
      <c r="Y1091" t="s">
        <v>194</v>
      </c>
      <c r="Z1091" t="s">
        <v>200</v>
      </c>
      <c r="AA1091" t="s">
        <v>201</v>
      </c>
      <c r="AB1091" t="s">
        <v>80</v>
      </c>
      <c r="AC1091" t="s">
        <v>78</v>
      </c>
      <c r="AD1091" t="s">
        <v>79</v>
      </c>
      <c r="AE1091" s="7">
        <v>14000</v>
      </c>
      <c r="AF1091" s="7">
        <v>1</v>
      </c>
      <c r="AG1091" s="7">
        <v>14000</v>
      </c>
      <c r="AH1091" s="7">
        <v>0</v>
      </c>
      <c r="AI1091" s="7">
        <v>14000</v>
      </c>
      <c r="AJ1091" t="s">
        <v>78</v>
      </c>
    </row>
    <row r="1092" spans="14:36" x14ac:dyDescent="0.3">
      <c r="N1092" s="8">
        <v>2026</v>
      </c>
      <c r="O1092" s="8">
        <v>5</v>
      </c>
      <c r="P1092" s="9">
        <v>46164</v>
      </c>
      <c r="Q1092" t="s">
        <v>238</v>
      </c>
      <c r="R1092" t="s">
        <v>279</v>
      </c>
      <c r="S1092" t="s">
        <v>280</v>
      </c>
      <c r="T1092" t="s">
        <v>969</v>
      </c>
      <c r="U1092" t="s">
        <v>4006</v>
      </c>
      <c r="V1092" t="s">
        <v>246</v>
      </c>
      <c r="W1092" t="s">
        <v>244</v>
      </c>
      <c r="X1092" t="s">
        <v>970</v>
      </c>
      <c r="Y1092" t="s">
        <v>191</v>
      </c>
      <c r="Z1092" t="s">
        <v>335</v>
      </c>
      <c r="AA1092" t="s">
        <v>337</v>
      </c>
      <c r="AB1092" t="s">
        <v>864</v>
      </c>
      <c r="AC1092" t="s">
        <v>865</v>
      </c>
      <c r="AD1092" t="s">
        <v>866</v>
      </c>
      <c r="AE1092" s="7">
        <v>139000</v>
      </c>
      <c r="AF1092" s="7">
        <v>1</v>
      </c>
      <c r="AG1092" s="7">
        <v>139000</v>
      </c>
      <c r="AH1092" s="7">
        <v>0</v>
      </c>
      <c r="AI1092" s="7">
        <v>139000</v>
      </c>
      <c r="AJ1092" t="s">
        <v>865</v>
      </c>
    </row>
    <row r="1093" spans="14:36" x14ac:dyDescent="0.3">
      <c r="N1093" s="8">
        <v>2026</v>
      </c>
      <c r="O1093" s="8">
        <v>5</v>
      </c>
      <c r="P1093" s="9">
        <v>46164</v>
      </c>
      <c r="Q1093" t="s">
        <v>238</v>
      </c>
      <c r="R1093" t="s">
        <v>279</v>
      </c>
      <c r="S1093" t="s">
        <v>280</v>
      </c>
      <c r="T1093" t="s">
        <v>971</v>
      </c>
      <c r="U1093" t="s">
        <v>4007</v>
      </c>
      <c r="V1093" t="s">
        <v>246</v>
      </c>
      <c r="W1093" t="s">
        <v>244</v>
      </c>
      <c r="X1093" t="s">
        <v>972</v>
      </c>
      <c r="Y1093" t="s">
        <v>183</v>
      </c>
      <c r="Z1093" t="s">
        <v>189</v>
      </c>
      <c r="AA1093" t="s">
        <v>190</v>
      </c>
      <c r="AB1093" t="s">
        <v>92</v>
      </c>
      <c r="AC1093" t="s">
        <v>90</v>
      </c>
      <c r="AD1093" t="s">
        <v>91</v>
      </c>
      <c r="AE1093" s="7">
        <v>52000</v>
      </c>
      <c r="AF1093" s="7">
        <v>1</v>
      </c>
      <c r="AG1093" s="7">
        <v>52000</v>
      </c>
      <c r="AH1093" s="7">
        <v>0</v>
      </c>
      <c r="AI1093" s="7">
        <v>52000</v>
      </c>
      <c r="AJ1093" t="s">
        <v>90</v>
      </c>
    </row>
    <row r="1094" spans="14:36" x14ac:dyDescent="0.3">
      <c r="N1094" s="8">
        <v>2026</v>
      </c>
      <c r="O1094" s="8">
        <v>5</v>
      </c>
      <c r="P1094" s="9">
        <v>46164</v>
      </c>
      <c r="Q1094" t="s">
        <v>238</v>
      </c>
      <c r="R1094" t="s">
        <v>279</v>
      </c>
      <c r="S1094" t="s">
        <v>280</v>
      </c>
      <c r="T1094" t="s">
        <v>973</v>
      </c>
      <c r="U1094" t="s">
        <v>974</v>
      </c>
      <c r="V1094" t="s">
        <v>246</v>
      </c>
      <c r="W1094" t="s">
        <v>244</v>
      </c>
      <c r="X1094" t="s">
        <v>975</v>
      </c>
      <c r="Y1094" t="s">
        <v>191</v>
      </c>
      <c r="Z1094" t="s">
        <v>192</v>
      </c>
      <c r="AA1094" t="s">
        <v>193</v>
      </c>
      <c r="AB1094" t="s">
        <v>119</v>
      </c>
      <c r="AC1094" t="s">
        <v>117</v>
      </c>
      <c r="AD1094" t="s">
        <v>118</v>
      </c>
      <c r="AE1094" s="7">
        <v>235000</v>
      </c>
      <c r="AF1094" s="7">
        <v>1</v>
      </c>
      <c r="AG1094" s="7">
        <v>235000</v>
      </c>
      <c r="AH1094" s="7">
        <v>0</v>
      </c>
      <c r="AI1094" s="7">
        <v>235000</v>
      </c>
      <c r="AJ1094" t="s">
        <v>117</v>
      </c>
    </row>
    <row r="1095" spans="14:36" x14ac:dyDescent="0.3">
      <c r="N1095" s="8">
        <v>2026</v>
      </c>
      <c r="O1095" s="8">
        <v>5</v>
      </c>
      <c r="P1095" s="9">
        <v>46164</v>
      </c>
      <c r="Q1095" t="s">
        <v>238</v>
      </c>
      <c r="R1095" t="s">
        <v>303</v>
      </c>
      <c r="S1095" t="s">
        <v>304</v>
      </c>
      <c r="T1095" t="s">
        <v>305</v>
      </c>
      <c r="U1095" t="s">
        <v>306</v>
      </c>
      <c r="V1095" t="s">
        <v>243</v>
      </c>
      <c r="W1095" t="s">
        <v>244</v>
      </c>
      <c r="X1095" t="s">
        <v>976</v>
      </c>
      <c r="Y1095" t="s">
        <v>183</v>
      </c>
      <c r="Z1095" t="s">
        <v>189</v>
      </c>
      <c r="AA1095" t="s">
        <v>190</v>
      </c>
      <c r="AB1095" t="s">
        <v>92</v>
      </c>
      <c r="AC1095" t="s">
        <v>90</v>
      </c>
      <c r="AD1095" t="s">
        <v>91</v>
      </c>
      <c r="AE1095" s="7">
        <v>52000</v>
      </c>
      <c r="AF1095" s="7">
        <v>1</v>
      </c>
      <c r="AG1095" s="7">
        <v>52000</v>
      </c>
      <c r="AH1095" s="7">
        <v>0</v>
      </c>
      <c r="AI1095" s="7">
        <v>52000</v>
      </c>
      <c r="AJ1095" t="s">
        <v>90</v>
      </c>
    </row>
    <row r="1096" spans="14:36" x14ac:dyDescent="0.3">
      <c r="N1096" s="8">
        <v>2026</v>
      </c>
      <c r="O1096" s="8">
        <v>5</v>
      </c>
      <c r="P1096" s="9">
        <v>46164</v>
      </c>
      <c r="Q1096" t="s">
        <v>238</v>
      </c>
      <c r="R1096" t="s">
        <v>303</v>
      </c>
      <c r="S1096" t="s">
        <v>304</v>
      </c>
      <c r="T1096" t="s">
        <v>305</v>
      </c>
      <c r="U1096" t="s">
        <v>306</v>
      </c>
      <c r="V1096" t="s">
        <v>243</v>
      </c>
      <c r="W1096" t="s">
        <v>244</v>
      </c>
      <c r="X1096" t="s">
        <v>977</v>
      </c>
      <c r="Y1096" t="s">
        <v>191</v>
      </c>
      <c r="Z1096" t="s">
        <v>335</v>
      </c>
      <c r="AA1096" t="s">
        <v>337</v>
      </c>
      <c r="AB1096" t="s">
        <v>864</v>
      </c>
      <c r="AC1096" t="s">
        <v>865</v>
      </c>
      <c r="AD1096" t="s">
        <v>866</v>
      </c>
      <c r="AE1096" s="7">
        <v>139000</v>
      </c>
      <c r="AF1096" s="7">
        <v>1</v>
      </c>
      <c r="AG1096" s="7">
        <v>139000</v>
      </c>
      <c r="AH1096" s="7">
        <v>0</v>
      </c>
      <c r="AI1096" s="7">
        <v>139000</v>
      </c>
      <c r="AJ1096" t="s">
        <v>865</v>
      </c>
    </row>
    <row r="1097" spans="14:36" x14ac:dyDescent="0.3">
      <c r="N1097" s="8">
        <v>2026</v>
      </c>
      <c r="O1097" s="8">
        <v>5</v>
      </c>
      <c r="P1097" s="9">
        <v>46164</v>
      </c>
      <c r="Q1097" t="s">
        <v>238</v>
      </c>
      <c r="R1097" t="s">
        <v>303</v>
      </c>
      <c r="S1097" t="s">
        <v>304</v>
      </c>
      <c r="T1097" t="s">
        <v>305</v>
      </c>
      <c r="U1097" t="s">
        <v>306</v>
      </c>
      <c r="V1097" t="s">
        <v>243</v>
      </c>
      <c r="W1097" t="s">
        <v>244</v>
      </c>
      <c r="X1097" t="s">
        <v>977</v>
      </c>
      <c r="Y1097" t="s">
        <v>191</v>
      </c>
      <c r="Z1097" t="s">
        <v>335</v>
      </c>
      <c r="AA1097" t="s">
        <v>337</v>
      </c>
      <c r="AB1097" t="s">
        <v>656</v>
      </c>
      <c r="AC1097" t="s">
        <v>657</v>
      </c>
      <c r="AD1097" t="s">
        <v>658</v>
      </c>
      <c r="AE1097" s="7">
        <v>35000</v>
      </c>
      <c r="AF1097" s="7">
        <v>1</v>
      </c>
      <c r="AG1097" s="7">
        <v>35000</v>
      </c>
      <c r="AH1097" s="7">
        <v>0</v>
      </c>
      <c r="AI1097" s="7">
        <v>35000</v>
      </c>
      <c r="AJ1097" t="s">
        <v>657</v>
      </c>
    </row>
    <row r="1098" spans="14:36" x14ac:dyDescent="0.3">
      <c r="N1098" s="8">
        <v>2026</v>
      </c>
      <c r="O1098" s="8">
        <v>5</v>
      </c>
      <c r="P1098" s="9">
        <v>46164</v>
      </c>
      <c r="Q1098" t="s">
        <v>238</v>
      </c>
      <c r="R1098" t="s">
        <v>303</v>
      </c>
      <c r="S1098" t="s">
        <v>304</v>
      </c>
      <c r="T1098" t="s">
        <v>978</v>
      </c>
      <c r="U1098" t="s">
        <v>979</v>
      </c>
      <c r="V1098" t="s">
        <v>246</v>
      </c>
      <c r="W1098" t="s">
        <v>244</v>
      </c>
      <c r="X1098" t="s">
        <v>980</v>
      </c>
      <c r="Y1098" t="s">
        <v>194</v>
      </c>
      <c r="Z1098" t="s">
        <v>200</v>
      </c>
      <c r="AA1098" t="s">
        <v>201</v>
      </c>
      <c r="AB1098" t="s">
        <v>89</v>
      </c>
      <c r="AC1098" t="s">
        <v>87</v>
      </c>
      <c r="AD1098" t="s">
        <v>88</v>
      </c>
      <c r="AE1098" s="7">
        <v>46000</v>
      </c>
      <c r="AF1098" s="7">
        <v>1</v>
      </c>
      <c r="AG1098" s="7">
        <v>46000</v>
      </c>
      <c r="AH1098" s="7">
        <v>0</v>
      </c>
      <c r="AI1098" s="7">
        <v>46000</v>
      </c>
      <c r="AJ1098" t="s">
        <v>87</v>
      </c>
    </row>
    <row r="1099" spans="14:36" x14ac:dyDescent="0.3">
      <c r="N1099" s="8">
        <v>2026</v>
      </c>
      <c r="O1099" s="8">
        <v>5</v>
      </c>
      <c r="P1099" s="9">
        <v>46164</v>
      </c>
      <c r="Q1099" t="s">
        <v>238</v>
      </c>
      <c r="R1099" t="s">
        <v>303</v>
      </c>
      <c r="S1099" t="s">
        <v>304</v>
      </c>
      <c r="T1099" t="s">
        <v>984</v>
      </c>
      <c r="U1099" t="s">
        <v>4003</v>
      </c>
      <c r="V1099" t="s">
        <v>246</v>
      </c>
      <c r="W1099" t="s">
        <v>244</v>
      </c>
      <c r="X1099" t="s">
        <v>985</v>
      </c>
      <c r="Y1099" t="s">
        <v>168</v>
      </c>
      <c r="Z1099" t="s">
        <v>171</v>
      </c>
      <c r="AA1099" t="s">
        <v>172</v>
      </c>
      <c r="AB1099" t="s">
        <v>14</v>
      </c>
      <c r="AC1099" t="s">
        <v>12</v>
      </c>
      <c r="AD1099" t="s">
        <v>13</v>
      </c>
      <c r="AE1099" s="7">
        <v>135000</v>
      </c>
      <c r="AF1099" s="7">
        <v>1</v>
      </c>
      <c r="AG1099" s="7">
        <v>135000</v>
      </c>
      <c r="AH1099" s="7">
        <v>0</v>
      </c>
      <c r="AI1099" s="7">
        <v>135000</v>
      </c>
      <c r="AJ1099" t="s">
        <v>12</v>
      </c>
    </row>
    <row r="1100" spans="14:36" x14ac:dyDescent="0.3">
      <c r="N1100" s="8">
        <v>2026</v>
      </c>
      <c r="O1100" s="8">
        <v>5</v>
      </c>
      <c r="P1100" s="9">
        <v>46164</v>
      </c>
      <c r="Q1100" t="s">
        <v>238</v>
      </c>
      <c r="R1100" t="s">
        <v>351</v>
      </c>
      <c r="S1100" t="s">
        <v>352</v>
      </c>
      <c r="T1100" t="s">
        <v>986</v>
      </c>
      <c r="U1100" t="s">
        <v>481</v>
      </c>
      <c r="V1100" t="s">
        <v>249</v>
      </c>
      <c r="W1100" t="s">
        <v>244</v>
      </c>
      <c r="X1100" t="s">
        <v>987</v>
      </c>
      <c r="Y1100" t="s">
        <v>168</v>
      </c>
      <c r="Z1100" t="s">
        <v>171</v>
      </c>
      <c r="AA1100" t="s">
        <v>173</v>
      </c>
      <c r="AB1100" t="s">
        <v>29</v>
      </c>
      <c r="AC1100" t="s">
        <v>27</v>
      </c>
      <c r="AD1100" t="s">
        <v>28</v>
      </c>
      <c r="AE1100" s="7">
        <v>575000</v>
      </c>
      <c r="AF1100" s="7">
        <v>1</v>
      </c>
      <c r="AG1100" s="7">
        <v>575000</v>
      </c>
      <c r="AH1100" s="7">
        <v>0</v>
      </c>
      <c r="AI1100" s="7">
        <v>575000</v>
      </c>
      <c r="AJ1100" t="s">
        <v>27</v>
      </c>
    </row>
    <row r="1101" spans="14:36" x14ac:dyDescent="0.3">
      <c r="N1101" s="8">
        <v>2026</v>
      </c>
      <c r="O1101" s="8">
        <v>5</v>
      </c>
      <c r="P1101" s="9">
        <v>46164</v>
      </c>
      <c r="Q1101" t="s">
        <v>238</v>
      </c>
      <c r="R1101" t="s">
        <v>374</v>
      </c>
      <c r="S1101" t="s">
        <v>375</v>
      </c>
      <c r="T1101" t="s">
        <v>376</v>
      </c>
      <c r="U1101" t="s">
        <v>377</v>
      </c>
      <c r="V1101" t="s">
        <v>243</v>
      </c>
      <c r="W1101" t="s">
        <v>244</v>
      </c>
      <c r="X1101" t="s">
        <v>988</v>
      </c>
      <c r="Y1101" t="s">
        <v>183</v>
      </c>
      <c r="Z1101" t="s">
        <v>184</v>
      </c>
      <c r="AA1101" t="s">
        <v>185</v>
      </c>
      <c r="AB1101" t="s">
        <v>47</v>
      </c>
      <c r="AC1101" t="s">
        <v>45</v>
      </c>
      <c r="AD1101" t="s">
        <v>46</v>
      </c>
      <c r="AE1101" s="7">
        <v>52000</v>
      </c>
      <c r="AF1101" s="7">
        <v>1</v>
      </c>
      <c r="AG1101" s="7">
        <v>52000</v>
      </c>
      <c r="AH1101" s="7">
        <v>0</v>
      </c>
      <c r="AI1101" s="7">
        <v>52000</v>
      </c>
      <c r="AJ1101" t="s">
        <v>45</v>
      </c>
    </row>
    <row r="1102" spans="14:36" x14ac:dyDescent="0.3">
      <c r="N1102" s="8">
        <v>2026</v>
      </c>
      <c r="O1102" s="8">
        <v>5</v>
      </c>
      <c r="P1102" s="9">
        <v>46164</v>
      </c>
      <c r="Q1102" t="s">
        <v>238</v>
      </c>
      <c r="R1102" t="s">
        <v>374</v>
      </c>
      <c r="S1102" t="s">
        <v>375</v>
      </c>
      <c r="T1102" t="s">
        <v>994</v>
      </c>
      <c r="U1102" t="s">
        <v>995</v>
      </c>
      <c r="V1102" t="s">
        <v>246</v>
      </c>
      <c r="W1102" t="s">
        <v>244</v>
      </c>
      <c r="X1102" t="s">
        <v>996</v>
      </c>
      <c r="Y1102" t="s">
        <v>191</v>
      </c>
      <c r="Z1102" t="s">
        <v>192</v>
      </c>
      <c r="AA1102" t="s">
        <v>193</v>
      </c>
      <c r="AB1102" t="s">
        <v>110</v>
      </c>
      <c r="AC1102" t="s">
        <v>108</v>
      </c>
      <c r="AD1102" t="s">
        <v>109</v>
      </c>
      <c r="AE1102" s="7">
        <v>235000</v>
      </c>
      <c r="AF1102" s="7">
        <v>1</v>
      </c>
      <c r="AG1102" s="7">
        <v>235000</v>
      </c>
      <c r="AH1102" s="7">
        <v>0</v>
      </c>
      <c r="AI1102" s="7">
        <v>235000</v>
      </c>
      <c r="AJ1102" t="s">
        <v>108</v>
      </c>
    </row>
    <row r="1103" spans="14:36" x14ac:dyDescent="0.3">
      <c r="N1103" s="8">
        <v>2026</v>
      </c>
      <c r="O1103" s="8">
        <v>5</v>
      </c>
      <c r="P1103" s="9">
        <v>46164</v>
      </c>
      <c r="Q1103" t="s">
        <v>238</v>
      </c>
      <c r="R1103" t="s">
        <v>415</v>
      </c>
      <c r="S1103" t="s">
        <v>416</v>
      </c>
      <c r="T1103" t="s">
        <v>1000</v>
      </c>
      <c r="U1103" t="s">
        <v>1001</v>
      </c>
      <c r="V1103" t="s">
        <v>246</v>
      </c>
      <c r="W1103" t="s">
        <v>244</v>
      </c>
      <c r="X1103" t="s">
        <v>1002</v>
      </c>
      <c r="Y1103" t="s">
        <v>191</v>
      </c>
      <c r="Z1103" t="s">
        <v>335</v>
      </c>
      <c r="AA1103" t="s">
        <v>337</v>
      </c>
      <c r="AB1103" t="s">
        <v>719</v>
      </c>
      <c r="AC1103" t="s">
        <v>720</v>
      </c>
      <c r="AD1103" t="s">
        <v>721</v>
      </c>
      <c r="AE1103" s="7">
        <v>104000</v>
      </c>
      <c r="AF1103" s="7">
        <v>1</v>
      </c>
      <c r="AG1103" s="7">
        <v>104000</v>
      </c>
      <c r="AH1103" s="7">
        <v>0</v>
      </c>
      <c r="AI1103" s="7">
        <v>104000</v>
      </c>
      <c r="AJ1103" t="s">
        <v>720</v>
      </c>
    </row>
    <row r="1104" spans="14:36" x14ac:dyDescent="0.3">
      <c r="N1104" s="8">
        <v>2026</v>
      </c>
      <c r="O1104" s="8">
        <v>5</v>
      </c>
      <c r="P1104" s="9">
        <v>46163</v>
      </c>
      <c r="Q1104" t="s">
        <v>238</v>
      </c>
      <c r="R1104" t="s">
        <v>239</v>
      </c>
      <c r="S1104" t="s">
        <v>240</v>
      </c>
      <c r="T1104" t="s">
        <v>1010</v>
      </c>
      <c r="U1104" t="s">
        <v>4008</v>
      </c>
      <c r="V1104" t="s">
        <v>246</v>
      </c>
      <c r="W1104" t="s">
        <v>244</v>
      </c>
      <c r="X1104" t="s">
        <v>1011</v>
      </c>
      <c r="Y1104" t="s">
        <v>183</v>
      </c>
      <c r="Z1104" t="s">
        <v>184</v>
      </c>
      <c r="AA1104" t="s">
        <v>185</v>
      </c>
      <c r="AB1104" t="s">
        <v>47</v>
      </c>
      <c r="AC1104" t="s">
        <v>45</v>
      </c>
      <c r="AD1104" t="s">
        <v>46</v>
      </c>
      <c r="AE1104" s="7">
        <v>52000</v>
      </c>
      <c r="AF1104" s="7">
        <v>2</v>
      </c>
      <c r="AG1104" s="7">
        <v>104000</v>
      </c>
      <c r="AH1104" s="7">
        <v>0</v>
      </c>
      <c r="AI1104" s="7">
        <v>104000</v>
      </c>
      <c r="AJ1104" t="s">
        <v>45</v>
      </c>
    </row>
    <row r="1105" spans="14:36" x14ac:dyDescent="0.3">
      <c r="N1105" s="8">
        <v>2026</v>
      </c>
      <c r="O1105" s="8">
        <v>5</v>
      </c>
      <c r="P1105" s="9">
        <v>46163</v>
      </c>
      <c r="Q1105" t="s">
        <v>238</v>
      </c>
      <c r="R1105" t="s">
        <v>239</v>
      </c>
      <c r="S1105" t="s">
        <v>240</v>
      </c>
      <c r="T1105" t="s">
        <v>1013</v>
      </c>
      <c r="U1105" t="s">
        <v>4009</v>
      </c>
      <c r="V1105" t="s">
        <v>246</v>
      </c>
      <c r="W1105" t="s">
        <v>244</v>
      </c>
      <c r="X1105" t="s">
        <v>1014</v>
      </c>
      <c r="Y1105" t="s">
        <v>194</v>
      </c>
      <c r="Z1105" t="s">
        <v>195</v>
      </c>
      <c r="AA1105" t="s">
        <v>196</v>
      </c>
      <c r="AB1105" t="s">
        <v>68</v>
      </c>
      <c r="AC1105" t="s">
        <v>66</v>
      </c>
      <c r="AD1105" t="s">
        <v>67</v>
      </c>
      <c r="AE1105" s="7">
        <v>360000</v>
      </c>
      <c r="AF1105" s="7">
        <v>1</v>
      </c>
      <c r="AG1105" s="7">
        <v>360000</v>
      </c>
      <c r="AH1105" s="7">
        <v>0</v>
      </c>
      <c r="AI1105" s="7">
        <v>360000</v>
      </c>
      <c r="AJ1105" t="s">
        <v>66</v>
      </c>
    </row>
    <row r="1106" spans="14:36" x14ac:dyDescent="0.3">
      <c r="N1106" s="8">
        <v>2026</v>
      </c>
      <c r="O1106" s="8">
        <v>5</v>
      </c>
      <c r="P1106" s="9">
        <v>46163</v>
      </c>
      <c r="Q1106" t="s">
        <v>238</v>
      </c>
      <c r="R1106" t="s">
        <v>239</v>
      </c>
      <c r="S1106" t="s">
        <v>240</v>
      </c>
      <c r="T1106" t="s">
        <v>1017</v>
      </c>
      <c r="U1106" t="s">
        <v>311</v>
      </c>
      <c r="V1106" t="s">
        <v>246</v>
      </c>
      <c r="W1106" t="s">
        <v>244</v>
      </c>
      <c r="X1106" t="s">
        <v>1018</v>
      </c>
      <c r="Y1106" t="s">
        <v>194</v>
      </c>
      <c r="Z1106" t="s">
        <v>200</v>
      </c>
      <c r="AA1106" t="s">
        <v>201</v>
      </c>
      <c r="AB1106" t="s">
        <v>86</v>
      </c>
      <c r="AC1106" t="s">
        <v>84</v>
      </c>
      <c r="AD1106" t="s">
        <v>85</v>
      </c>
      <c r="AE1106" s="7">
        <v>49000</v>
      </c>
      <c r="AF1106" s="7">
        <v>1</v>
      </c>
      <c r="AG1106" s="7">
        <v>49000</v>
      </c>
      <c r="AH1106" s="7">
        <v>0</v>
      </c>
      <c r="AI1106" s="7">
        <v>49000</v>
      </c>
      <c r="AJ1106" t="s">
        <v>84</v>
      </c>
    </row>
    <row r="1107" spans="14:36" x14ac:dyDescent="0.3">
      <c r="N1107" s="8">
        <v>2026</v>
      </c>
      <c r="O1107" s="8">
        <v>5</v>
      </c>
      <c r="P1107" s="9">
        <v>46163</v>
      </c>
      <c r="Q1107" t="s">
        <v>238</v>
      </c>
      <c r="R1107" t="s">
        <v>239</v>
      </c>
      <c r="S1107" t="s">
        <v>240</v>
      </c>
      <c r="T1107" t="s">
        <v>1020</v>
      </c>
      <c r="U1107" t="s">
        <v>1021</v>
      </c>
      <c r="V1107" t="s">
        <v>246</v>
      </c>
      <c r="W1107" t="s">
        <v>244</v>
      </c>
      <c r="X1107" t="s">
        <v>1022</v>
      </c>
      <c r="Y1107" t="s">
        <v>168</v>
      </c>
      <c r="Z1107" t="s">
        <v>181</v>
      </c>
      <c r="AA1107" t="s">
        <v>182</v>
      </c>
      <c r="AB1107" t="s">
        <v>50</v>
      </c>
      <c r="AC1107" t="s">
        <v>48</v>
      </c>
      <c r="AD1107" t="s">
        <v>49</v>
      </c>
      <c r="AE1107" s="7">
        <v>49000</v>
      </c>
      <c r="AF1107" s="7">
        <v>1</v>
      </c>
      <c r="AG1107" s="7">
        <v>49000</v>
      </c>
      <c r="AH1107" s="7">
        <v>0</v>
      </c>
      <c r="AI1107" s="7">
        <v>49000</v>
      </c>
      <c r="AJ1107" t="s">
        <v>48</v>
      </c>
    </row>
    <row r="1108" spans="14:36" x14ac:dyDescent="0.3">
      <c r="N1108" s="8">
        <v>2026</v>
      </c>
      <c r="O1108" s="8">
        <v>5</v>
      </c>
      <c r="P1108" s="9">
        <v>46163</v>
      </c>
      <c r="Q1108" t="s">
        <v>238</v>
      </c>
      <c r="R1108" t="s">
        <v>279</v>
      </c>
      <c r="S1108" t="s">
        <v>280</v>
      </c>
      <c r="T1108" t="s">
        <v>545</v>
      </c>
      <c r="U1108" t="s">
        <v>546</v>
      </c>
      <c r="V1108" t="s">
        <v>246</v>
      </c>
      <c r="W1108" t="s">
        <v>244</v>
      </c>
      <c r="X1108" t="s">
        <v>1025</v>
      </c>
      <c r="Y1108" t="s">
        <v>191</v>
      </c>
      <c r="Z1108" t="s">
        <v>192</v>
      </c>
      <c r="AA1108" t="s">
        <v>193</v>
      </c>
      <c r="AB1108" t="s">
        <v>107</v>
      </c>
      <c r="AC1108" t="s">
        <v>105</v>
      </c>
      <c r="AD1108" t="s">
        <v>106</v>
      </c>
      <c r="AE1108" s="7">
        <v>235000</v>
      </c>
      <c r="AF1108" s="7">
        <v>1</v>
      </c>
      <c r="AG1108" s="7">
        <v>235000</v>
      </c>
      <c r="AH1108" s="7">
        <v>0</v>
      </c>
      <c r="AI1108" s="7">
        <v>235000</v>
      </c>
      <c r="AJ1108" t="s">
        <v>105</v>
      </c>
    </row>
    <row r="1109" spans="14:36" x14ac:dyDescent="0.3">
      <c r="N1109" s="8">
        <v>2026</v>
      </c>
      <c r="O1109" s="8">
        <v>5</v>
      </c>
      <c r="P1109" s="9">
        <v>46163</v>
      </c>
      <c r="Q1109" t="s">
        <v>238</v>
      </c>
      <c r="R1109" t="s">
        <v>303</v>
      </c>
      <c r="S1109" t="s">
        <v>304</v>
      </c>
      <c r="T1109" t="s">
        <v>639</v>
      </c>
      <c r="U1109" t="s">
        <v>4010</v>
      </c>
      <c r="V1109" t="s">
        <v>246</v>
      </c>
      <c r="W1109" t="s">
        <v>244</v>
      </c>
      <c r="X1109" t="s">
        <v>1028</v>
      </c>
      <c r="Y1109" t="s">
        <v>191</v>
      </c>
      <c r="Z1109" t="s">
        <v>192</v>
      </c>
      <c r="AA1109" t="s">
        <v>193</v>
      </c>
      <c r="AB1109" t="s">
        <v>104</v>
      </c>
      <c r="AC1109" t="s">
        <v>102</v>
      </c>
      <c r="AD1109" t="s">
        <v>103</v>
      </c>
      <c r="AE1109" s="7">
        <v>235000</v>
      </c>
      <c r="AF1109" s="7">
        <v>1</v>
      </c>
      <c r="AG1109" s="7">
        <v>235000</v>
      </c>
      <c r="AH1109" s="7">
        <v>0</v>
      </c>
      <c r="AI1109" s="7">
        <v>235000</v>
      </c>
      <c r="AJ1109" t="s">
        <v>102</v>
      </c>
    </row>
    <row r="1110" spans="14:36" x14ac:dyDescent="0.3">
      <c r="N1110" s="8">
        <v>2026</v>
      </c>
      <c r="O1110" s="8">
        <v>5</v>
      </c>
      <c r="P1110" s="9">
        <v>46163</v>
      </c>
      <c r="Q1110" t="s">
        <v>238</v>
      </c>
      <c r="R1110" t="s">
        <v>303</v>
      </c>
      <c r="S1110" t="s">
        <v>304</v>
      </c>
      <c r="T1110" t="s">
        <v>1033</v>
      </c>
      <c r="U1110" t="s">
        <v>998</v>
      </c>
      <c r="V1110" t="s">
        <v>246</v>
      </c>
      <c r="W1110" t="s">
        <v>244</v>
      </c>
      <c r="X1110" t="s">
        <v>1034</v>
      </c>
      <c r="Y1110" t="s">
        <v>194</v>
      </c>
      <c r="Z1110" t="s">
        <v>200</v>
      </c>
      <c r="AA1110" t="s">
        <v>201</v>
      </c>
      <c r="AB1110" t="s">
        <v>89</v>
      </c>
      <c r="AC1110" t="s">
        <v>87</v>
      </c>
      <c r="AD1110" t="s">
        <v>88</v>
      </c>
      <c r="AE1110" s="7">
        <v>46000</v>
      </c>
      <c r="AF1110" s="7">
        <v>1</v>
      </c>
      <c r="AG1110" s="7">
        <v>46000</v>
      </c>
      <c r="AH1110" s="7">
        <v>0</v>
      </c>
      <c r="AI1110" s="7">
        <v>46000</v>
      </c>
      <c r="AJ1110" t="s">
        <v>87</v>
      </c>
    </row>
    <row r="1111" spans="14:36" x14ac:dyDescent="0.3">
      <c r="N1111" s="8">
        <v>2026</v>
      </c>
      <c r="O1111" s="8">
        <v>5</v>
      </c>
      <c r="P1111" s="9">
        <v>46163</v>
      </c>
      <c r="Q1111" t="s">
        <v>238</v>
      </c>
      <c r="R1111" t="s">
        <v>351</v>
      </c>
      <c r="S1111" t="s">
        <v>352</v>
      </c>
      <c r="T1111" t="s">
        <v>1037</v>
      </c>
      <c r="U1111" t="s">
        <v>4002</v>
      </c>
      <c r="V1111" t="s">
        <v>246</v>
      </c>
      <c r="W1111" t="s">
        <v>244</v>
      </c>
      <c r="X1111" t="s">
        <v>1038</v>
      </c>
      <c r="Y1111" t="s">
        <v>194</v>
      </c>
      <c r="Z1111" t="s">
        <v>200</v>
      </c>
      <c r="AA1111" t="s">
        <v>201</v>
      </c>
      <c r="AB1111" t="s">
        <v>83</v>
      </c>
      <c r="AC1111" t="s">
        <v>81</v>
      </c>
      <c r="AD1111" t="s">
        <v>82</v>
      </c>
      <c r="AE1111" s="7">
        <v>46000</v>
      </c>
      <c r="AF1111" s="7">
        <v>1</v>
      </c>
      <c r="AG1111" s="7">
        <v>46000</v>
      </c>
      <c r="AH1111" s="7">
        <v>0</v>
      </c>
      <c r="AI1111" s="7">
        <v>46000</v>
      </c>
      <c r="AJ1111" t="s">
        <v>81</v>
      </c>
    </row>
    <row r="1112" spans="14:36" x14ac:dyDescent="0.3">
      <c r="N1112" s="8">
        <v>2026</v>
      </c>
      <c r="O1112" s="8">
        <v>5</v>
      </c>
      <c r="P1112" s="9">
        <v>46163</v>
      </c>
      <c r="Q1112" t="s">
        <v>238</v>
      </c>
      <c r="R1112" t="s">
        <v>374</v>
      </c>
      <c r="S1112" t="s">
        <v>375</v>
      </c>
      <c r="T1112" t="s">
        <v>1040</v>
      </c>
      <c r="U1112" t="s">
        <v>300</v>
      </c>
      <c r="V1112" t="s">
        <v>246</v>
      </c>
      <c r="W1112" t="s">
        <v>244</v>
      </c>
      <c r="X1112" t="s">
        <v>1041</v>
      </c>
      <c r="Y1112" t="s">
        <v>183</v>
      </c>
      <c r="Z1112" t="s">
        <v>186</v>
      </c>
      <c r="AA1112" t="s">
        <v>188</v>
      </c>
      <c r="AB1112" t="s">
        <v>155</v>
      </c>
      <c r="AC1112" t="s">
        <v>153</v>
      </c>
      <c r="AD1112" t="s">
        <v>154</v>
      </c>
      <c r="AE1112" s="7">
        <v>320000</v>
      </c>
      <c r="AF1112" s="7">
        <v>1</v>
      </c>
      <c r="AG1112" s="7">
        <v>320000</v>
      </c>
      <c r="AH1112" s="7">
        <v>16000</v>
      </c>
      <c r="AI1112" s="7">
        <v>304000</v>
      </c>
      <c r="AJ1112" t="s">
        <v>153</v>
      </c>
    </row>
    <row r="1113" spans="14:36" x14ac:dyDescent="0.3">
      <c r="N1113" s="8">
        <v>2026</v>
      </c>
      <c r="O1113" s="8">
        <v>5</v>
      </c>
      <c r="P1113" s="9">
        <v>46163</v>
      </c>
      <c r="Q1113" t="s">
        <v>238</v>
      </c>
      <c r="R1113" t="s">
        <v>396</v>
      </c>
      <c r="S1113" t="s">
        <v>397</v>
      </c>
      <c r="T1113" t="s">
        <v>1047</v>
      </c>
      <c r="U1113" t="s">
        <v>1048</v>
      </c>
      <c r="V1113" t="s">
        <v>246</v>
      </c>
      <c r="W1113" t="s">
        <v>244</v>
      </c>
      <c r="X1113" t="s">
        <v>1049</v>
      </c>
      <c r="Y1113" t="s">
        <v>168</v>
      </c>
      <c r="Z1113" t="s">
        <v>171</v>
      </c>
      <c r="AA1113" t="s">
        <v>175</v>
      </c>
      <c r="AB1113" t="s">
        <v>44</v>
      </c>
      <c r="AC1113" t="s">
        <v>42</v>
      </c>
      <c r="AD1113" t="s">
        <v>43</v>
      </c>
      <c r="AE1113" s="7">
        <v>294000</v>
      </c>
      <c r="AF1113" s="7">
        <v>1</v>
      </c>
      <c r="AG1113" s="7">
        <v>294000</v>
      </c>
      <c r="AH1113" s="7">
        <v>0</v>
      </c>
      <c r="AI1113" s="7">
        <v>294000</v>
      </c>
      <c r="AJ1113" t="s">
        <v>42</v>
      </c>
    </row>
    <row r="1114" spans="14:36" x14ac:dyDescent="0.3">
      <c r="N1114" s="8">
        <v>2026</v>
      </c>
      <c r="O1114" s="8">
        <v>5</v>
      </c>
      <c r="P1114" s="9">
        <v>46163</v>
      </c>
      <c r="Q1114" t="s">
        <v>238</v>
      </c>
      <c r="R1114" t="s">
        <v>396</v>
      </c>
      <c r="S1114" t="s">
        <v>397</v>
      </c>
      <c r="T1114" t="s">
        <v>613</v>
      </c>
      <c r="U1114" t="s">
        <v>4011</v>
      </c>
      <c r="V1114" t="s">
        <v>246</v>
      </c>
      <c r="W1114" t="s">
        <v>244</v>
      </c>
      <c r="X1114" t="s">
        <v>1050</v>
      </c>
      <c r="Y1114" t="s">
        <v>191</v>
      </c>
      <c r="Z1114" t="s">
        <v>192</v>
      </c>
      <c r="AA1114" t="s">
        <v>193</v>
      </c>
      <c r="AB1114" t="s">
        <v>104</v>
      </c>
      <c r="AC1114" t="s">
        <v>102</v>
      </c>
      <c r="AD1114" t="s">
        <v>103</v>
      </c>
      <c r="AE1114" s="7">
        <v>235000</v>
      </c>
      <c r="AF1114" s="7">
        <v>1</v>
      </c>
      <c r="AG1114" s="7">
        <v>235000</v>
      </c>
      <c r="AH1114" s="7">
        <v>0</v>
      </c>
      <c r="AI1114" s="7">
        <v>235000</v>
      </c>
      <c r="AJ1114" t="s">
        <v>102</v>
      </c>
    </row>
    <row r="1115" spans="14:36" x14ac:dyDescent="0.3">
      <c r="N1115" s="8">
        <v>2026</v>
      </c>
      <c r="O1115" s="8">
        <v>5</v>
      </c>
      <c r="P1115" s="9">
        <v>46163</v>
      </c>
      <c r="Q1115" t="s">
        <v>238</v>
      </c>
      <c r="R1115" t="s">
        <v>396</v>
      </c>
      <c r="S1115" t="s">
        <v>397</v>
      </c>
      <c r="T1115" t="s">
        <v>1051</v>
      </c>
      <c r="U1115" t="s">
        <v>1052</v>
      </c>
      <c r="V1115" t="s">
        <v>246</v>
      </c>
      <c r="W1115" t="s">
        <v>244</v>
      </c>
      <c r="X1115" t="s">
        <v>1053</v>
      </c>
      <c r="Y1115" t="s">
        <v>168</v>
      </c>
      <c r="Z1115" t="s">
        <v>171</v>
      </c>
      <c r="AA1115" t="s">
        <v>175</v>
      </c>
      <c r="AB1115" t="s">
        <v>44</v>
      </c>
      <c r="AC1115" t="s">
        <v>42</v>
      </c>
      <c r="AD1115" t="s">
        <v>43</v>
      </c>
      <c r="AE1115" s="7">
        <v>294000</v>
      </c>
      <c r="AF1115" s="7">
        <v>1</v>
      </c>
      <c r="AG1115" s="7">
        <v>294000</v>
      </c>
      <c r="AH1115" s="7">
        <v>35000</v>
      </c>
      <c r="AI1115" s="7">
        <v>259000</v>
      </c>
      <c r="AJ1115" t="s">
        <v>42</v>
      </c>
    </row>
    <row r="1116" spans="14:36" x14ac:dyDescent="0.3">
      <c r="N1116" s="8">
        <v>2026</v>
      </c>
      <c r="O1116" s="8">
        <v>5</v>
      </c>
      <c r="P1116" s="9">
        <v>46163</v>
      </c>
      <c r="Q1116" t="s">
        <v>238</v>
      </c>
      <c r="R1116" t="s">
        <v>425</v>
      </c>
      <c r="S1116" t="s">
        <v>426</v>
      </c>
      <c r="T1116" t="s">
        <v>1057</v>
      </c>
      <c r="U1116" t="s">
        <v>1058</v>
      </c>
      <c r="V1116" t="s">
        <v>246</v>
      </c>
      <c r="W1116" t="s">
        <v>244</v>
      </c>
      <c r="X1116" t="s">
        <v>1059</v>
      </c>
      <c r="Y1116" t="s">
        <v>191</v>
      </c>
      <c r="Z1116" t="s">
        <v>192</v>
      </c>
      <c r="AA1116" t="s">
        <v>193</v>
      </c>
      <c r="AB1116" t="s">
        <v>119</v>
      </c>
      <c r="AC1116" t="s">
        <v>117</v>
      </c>
      <c r="AD1116" t="s">
        <v>118</v>
      </c>
      <c r="AE1116" s="7">
        <v>235000</v>
      </c>
      <c r="AF1116" s="7">
        <v>1</v>
      </c>
      <c r="AG1116" s="7">
        <v>235000</v>
      </c>
      <c r="AH1116" s="7">
        <v>0</v>
      </c>
      <c r="AI1116" s="7">
        <v>235000</v>
      </c>
      <c r="AJ1116" t="s">
        <v>117</v>
      </c>
    </row>
    <row r="1117" spans="14:36" x14ac:dyDescent="0.3">
      <c r="N1117" s="8">
        <v>2026</v>
      </c>
      <c r="O1117" s="8">
        <v>5</v>
      </c>
      <c r="P1117" s="9">
        <v>46163</v>
      </c>
      <c r="Q1117" t="s">
        <v>238</v>
      </c>
      <c r="R1117" t="s">
        <v>425</v>
      </c>
      <c r="S1117" t="s">
        <v>426</v>
      </c>
      <c r="T1117" t="s">
        <v>1061</v>
      </c>
      <c r="U1117" t="s">
        <v>4012</v>
      </c>
      <c r="V1117" t="s">
        <v>246</v>
      </c>
      <c r="W1117" t="s">
        <v>244</v>
      </c>
      <c r="X1117" t="s">
        <v>1062</v>
      </c>
      <c r="Y1117" t="s">
        <v>183</v>
      </c>
      <c r="Z1117" t="s">
        <v>189</v>
      </c>
      <c r="AA1117" t="s">
        <v>190</v>
      </c>
      <c r="AB1117" t="s">
        <v>92</v>
      </c>
      <c r="AC1117" t="s">
        <v>90</v>
      </c>
      <c r="AD1117" t="s">
        <v>91</v>
      </c>
      <c r="AE1117" s="7">
        <v>52000</v>
      </c>
      <c r="AF1117" s="7">
        <v>1</v>
      </c>
      <c r="AG1117" s="7">
        <v>52000</v>
      </c>
      <c r="AH1117" s="7">
        <v>0</v>
      </c>
      <c r="AI1117" s="7">
        <v>52000</v>
      </c>
      <c r="AJ1117" t="s">
        <v>90</v>
      </c>
    </row>
    <row r="1118" spans="14:36" x14ac:dyDescent="0.3">
      <c r="N1118" s="8">
        <v>2026</v>
      </c>
      <c r="O1118" s="8">
        <v>5</v>
      </c>
      <c r="P1118" s="9">
        <v>46163</v>
      </c>
      <c r="Q1118" t="s">
        <v>238</v>
      </c>
      <c r="R1118" t="s">
        <v>425</v>
      </c>
      <c r="S1118" t="s">
        <v>426</v>
      </c>
      <c r="T1118" t="s">
        <v>1063</v>
      </c>
      <c r="U1118" t="s">
        <v>4013</v>
      </c>
      <c r="V1118" t="s">
        <v>246</v>
      </c>
      <c r="W1118" t="s">
        <v>244</v>
      </c>
      <c r="X1118" t="s">
        <v>1065</v>
      </c>
      <c r="Y1118" t="s">
        <v>168</v>
      </c>
      <c r="Z1118" t="s">
        <v>171</v>
      </c>
      <c r="AA1118" t="s">
        <v>175</v>
      </c>
      <c r="AB1118" t="s">
        <v>38</v>
      </c>
      <c r="AC1118" t="s">
        <v>36</v>
      </c>
      <c r="AD1118" t="s">
        <v>37</v>
      </c>
      <c r="AE1118" s="7">
        <v>290000</v>
      </c>
      <c r="AF1118" s="7">
        <v>1</v>
      </c>
      <c r="AG1118" s="7">
        <v>290000</v>
      </c>
      <c r="AH1118" s="7">
        <v>0</v>
      </c>
      <c r="AI1118" s="7">
        <v>290000</v>
      </c>
      <c r="AJ1118" t="s">
        <v>36</v>
      </c>
    </row>
    <row r="1119" spans="14:36" x14ac:dyDescent="0.3">
      <c r="N1119" s="8">
        <v>2026</v>
      </c>
      <c r="O1119" s="8">
        <v>5</v>
      </c>
      <c r="P1119" s="9">
        <v>46162</v>
      </c>
      <c r="Q1119" t="s">
        <v>238</v>
      </c>
      <c r="R1119" t="s">
        <v>239</v>
      </c>
      <c r="S1119" t="s">
        <v>240</v>
      </c>
      <c r="T1119" t="s">
        <v>1066</v>
      </c>
      <c r="U1119" t="s">
        <v>646</v>
      </c>
      <c r="V1119" t="s">
        <v>246</v>
      </c>
      <c r="W1119" t="s">
        <v>244</v>
      </c>
      <c r="X1119" t="s">
        <v>1067</v>
      </c>
      <c r="Y1119" t="s">
        <v>191</v>
      </c>
      <c r="Z1119" t="s">
        <v>192</v>
      </c>
      <c r="AA1119" t="s">
        <v>193</v>
      </c>
      <c r="AB1119" t="s">
        <v>104</v>
      </c>
      <c r="AC1119" t="s">
        <v>102</v>
      </c>
      <c r="AD1119" t="s">
        <v>103</v>
      </c>
      <c r="AE1119" s="7">
        <v>235000</v>
      </c>
      <c r="AF1119" s="7">
        <v>1</v>
      </c>
      <c r="AG1119" s="7">
        <v>235000</v>
      </c>
      <c r="AH1119" s="7">
        <v>0</v>
      </c>
      <c r="AI1119" s="7">
        <v>235000</v>
      </c>
      <c r="AJ1119" t="s">
        <v>102</v>
      </c>
    </row>
    <row r="1120" spans="14:36" x14ac:dyDescent="0.3">
      <c r="N1120" s="8">
        <v>2026</v>
      </c>
      <c r="O1120" s="8">
        <v>5</v>
      </c>
      <c r="P1120" s="9">
        <v>46162</v>
      </c>
      <c r="Q1120" t="s">
        <v>238</v>
      </c>
      <c r="R1120" t="s">
        <v>239</v>
      </c>
      <c r="S1120" t="s">
        <v>240</v>
      </c>
      <c r="T1120" t="s">
        <v>1068</v>
      </c>
      <c r="U1120" t="s">
        <v>1069</v>
      </c>
      <c r="V1120" t="s">
        <v>246</v>
      </c>
      <c r="W1120" t="s">
        <v>244</v>
      </c>
      <c r="X1120" t="s">
        <v>1070</v>
      </c>
      <c r="Y1120" t="s">
        <v>191</v>
      </c>
      <c r="Z1120" t="s">
        <v>335</v>
      </c>
      <c r="AA1120" t="s">
        <v>337</v>
      </c>
      <c r="AB1120" t="s">
        <v>719</v>
      </c>
      <c r="AC1120" t="s">
        <v>720</v>
      </c>
      <c r="AD1120" t="s">
        <v>721</v>
      </c>
      <c r="AE1120" s="7">
        <v>104000</v>
      </c>
      <c r="AF1120" s="7">
        <v>1</v>
      </c>
      <c r="AG1120" s="7">
        <v>104000</v>
      </c>
      <c r="AH1120" s="7">
        <v>0</v>
      </c>
      <c r="AI1120" s="7">
        <v>104000</v>
      </c>
      <c r="AJ1120" t="s">
        <v>720</v>
      </c>
    </row>
    <row r="1121" spans="14:36" x14ac:dyDescent="0.3">
      <c r="N1121" s="8">
        <v>2026</v>
      </c>
      <c r="O1121" s="8">
        <v>5</v>
      </c>
      <c r="P1121" s="9">
        <v>46162</v>
      </c>
      <c r="Q1121" t="s">
        <v>238</v>
      </c>
      <c r="R1121" t="s">
        <v>279</v>
      </c>
      <c r="S1121" t="s">
        <v>280</v>
      </c>
      <c r="T1121" t="s">
        <v>281</v>
      </c>
      <c r="U1121" t="s">
        <v>282</v>
      </c>
      <c r="V1121" t="s">
        <v>243</v>
      </c>
      <c r="W1121" t="s">
        <v>244</v>
      </c>
      <c r="X1121" t="s">
        <v>1073</v>
      </c>
      <c r="Y1121" t="s">
        <v>168</v>
      </c>
      <c r="Z1121" t="s">
        <v>171</v>
      </c>
      <c r="AA1121" t="s">
        <v>175</v>
      </c>
      <c r="AB1121" t="s">
        <v>35</v>
      </c>
      <c r="AC1121" t="s">
        <v>33</v>
      </c>
      <c r="AD1121" t="s">
        <v>34</v>
      </c>
      <c r="AE1121" s="7">
        <v>255000</v>
      </c>
      <c r="AF1121" s="7">
        <v>2</v>
      </c>
      <c r="AG1121" s="7">
        <v>510000</v>
      </c>
      <c r="AH1121" s="7">
        <v>0</v>
      </c>
      <c r="AI1121" s="7">
        <v>510000</v>
      </c>
      <c r="AJ1121" t="s">
        <v>33</v>
      </c>
    </row>
    <row r="1122" spans="14:36" x14ac:dyDescent="0.3">
      <c r="N1122" s="8">
        <v>2026</v>
      </c>
      <c r="O1122" s="8">
        <v>5</v>
      </c>
      <c r="P1122" s="9">
        <v>46162</v>
      </c>
      <c r="Q1122" t="s">
        <v>238</v>
      </c>
      <c r="R1122" t="s">
        <v>303</v>
      </c>
      <c r="S1122" t="s">
        <v>304</v>
      </c>
      <c r="T1122" t="s">
        <v>1078</v>
      </c>
      <c r="U1122" t="s">
        <v>3666</v>
      </c>
      <c r="V1122" t="s">
        <v>246</v>
      </c>
      <c r="W1122" t="s">
        <v>244</v>
      </c>
      <c r="X1122" t="s">
        <v>1079</v>
      </c>
      <c r="Y1122" t="s">
        <v>191</v>
      </c>
      <c r="Z1122" t="s">
        <v>192</v>
      </c>
      <c r="AA1122" t="s">
        <v>193</v>
      </c>
      <c r="AB1122" t="s">
        <v>107</v>
      </c>
      <c r="AC1122" t="s">
        <v>105</v>
      </c>
      <c r="AD1122" t="s">
        <v>106</v>
      </c>
      <c r="AE1122" s="7">
        <v>235000</v>
      </c>
      <c r="AF1122" s="7">
        <v>1</v>
      </c>
      <c r="AG1122" s="7">
        <v>235000</v>
      </c>
      <c r="AH1122" s="7">
        <v>0</v>
      </c>
      <c r="AI1122" s="7">
        <v>235000</v>
      </c>
      <c r="AJ1122" t="s">
        <v>105</v>
      </c>
    </row>
    <row r="1123" spans="14:36" x14ac:dyDescent="0.3">
      <c r="N1123" s="8">
        <v>2026</v>
      </c>
      <c r="O1123" s="8">
        <v>5</v>
      </c>
      <c r="P1123" s="9">
        <v>46162</v>
      </c>
      <c r="Q1123" t="s">
        <v>238</v>
      </c>
      <c r="R1123" t="s">
        <v>303</v>
      </c>
      <c r="S1123" t="s">
        <v>304</v>
      </c>
      <c r="T1123" t="s">
        <v>1081</v>
      </c>
      <c r="U1123" t="s">
        <v>4014</v>
      </c>
      <c r="V1123" t="s">
        <v>246</v>
      </c>
      <c r="W1123" t="s">
        <v>244</v>
      </c>
      <c r="X1123" t="s">
        <v>1082</v>
      </c>
      <c r="Y1123" t="s">
        <v>168</v>
      </c>
      <c r="Z1123" t="s">
        <v>171</v>
      </c>
      <c r="AA1123" t="s">
        <v>173</v>
      </c>
      <c r="AB1123" t="s">
        <v>29</v>
      </c>
      <c r="AC1123" t="s">
        <v>27</v>
      </c>
      <c r="AD1123" t="s">
        <v>28</v>
      </c>
      <c r="AE1123" s="7">
        <v>575000</v>
      </c>
      <c r="AF1123" s="7">
        <v>2</v>
      </c>
      <c r="AG1123" s="7">
        <v>1150000</v>
      </c>
      <c r="AH1123" s="7">
        <v>0</v>
      </c>
      <c r="AI1123" s="7">
        <v>1150000</v>
      </c>
      <c r="AJ1123" t="s">
        <v>27</v>
      </c>
    </row>
    <row r="1124" spans="14:36" x14ac:dyDescent="0.3">
      <c r="N1124" s="8">
        <v>2026</v>
      </c>
      <c r="O1124" s="8">
        <v>5</v>
      </c>
      <c r="P1124" s="9">
        <v>46162</v>
      </c>
      <c r="Q1124" t="s">
        <v>238</v>
      </c>
      <c r="R1124" t="s">
        <v>303</v>
      </c>
      <c r="S1124" t="s">
        <v>304</v>
      </c>
      <c r="T1124" t="s">
        <v>1081</v>
      </c>
      <c r="U1124" t="s">
        <v>4014</v>
      </c>
      <c r="V1124" t="s">
        <v>246</v>
      </c>
      <c r="W1124" t="s">
        <v>244</v>
      </c>
      <c r="X1124" t="s">
        <v>1082</v>
      </c>
      <c r="Y1124" t="s">
        <v>168</v>
      </c>
      <c r="Z1124" t="s">
        <v>171</v>
      </c>
      <c r="AA1124" t="s">
        <v>173</v>
      </c>
      <c r="AB1124" t="s">
        <v>26</v>
      </c>
      <c r="AC1124" t="s">
        <v>24</v>
      </c>
      <c r="AD1124" t="s">
        <v>25</v>
      </c>
      <c r="AE1124" s="7">
        <v>555000</v>
      </c>
      <c r="AF1124" s="7">
        <v>2</v>
      </c>
      <c r="AG1124" s="7">
        <v>1110000</v>
      </c>
      <c r="AH1124" s="7">
        <v>0</v>
      </c>
      <c r="AI1124" s="7">
        <v>1110000</v>
      </c>
      <c r="AJ1124" t="s">
        <v>24</v>
      </c>
    </row>
    <row r="1125" spans="14:36" x14ac:dyDescent="0.3">
      <c r="N1125" s="8">
        <v>2026</v>
      </c>
      <c r="O1125" s="8">
        <v>5</v>
      </c>
      <c r="P1125" s="9">
        <v>46162</v>
      </c>
      <c r="Q1125" t="s">
        <v>238</v>
      </c>
      <c r="R1125" t="s">
        <v>303</v>
      </c>
      <c r="S1125" t="s">
        <v>304</v>
      </c>
      <c r="T1125" t="s">
        <v>1083</v>
      </c>
      <c r="U1125" t="s">
        <v>3657</v>
      </c>
      <c r="V1125" t="s">
        <v>249</v>
      </c>
      <c r="W1125" t="s">
        <v>244</v>
      </c>
      <c r="X1125" t="s">
        <v>1084</v>
      </c>
      <c r="Y1125" t="s">
        <v>191</v>
      </c>
      <c r="Z1125" t="s">
        <v>335</v>
      </c>
      <c r="AA1125" t="s">
        <v>337</v>
      </c>
      <c r="AB1125" t="s">
        <v>656</v>
      </c>
      <c r="AC1125" t="s">
        <v>657</v>
      </c>
      <c r="AD1125" t="s">
        <v>658</v>
      </c>
      <c r="AE1125" s="7">
        <v>35000</v>
      </c>
      <c r="AF1125" s="7">
        <v>1</v>
      </c>
      <c r="AG1125" s="7">
        <v>35000</v>
      </c>
      <c r="AH1125" s="7">
        <v>0</v>
      </c>
      <c r="AI1125" s="7">
        <v>35000</v>
      </c>
      <c r="AJ1125" t="s">
        <v>657</v>
      </c>
    </row>
    <row r="1126" spans="14:36" x14ac:dyDescent="0.3">
      <c r="N1126" s="8">
        <v>2026</v>
      </c>
      <c r="O1126" s="8">
        <v>5</v>
      </c>
      <c r="P1126" s="9">
        <v>46162</v>
      </c>
      <c r="Q1126" t="s">
        <v>238</v>
      </c>
      <c r="R1126" t="s">
        <v>303</v>
      </c>
      <c r="S1126" t="s">
        <v>304</v>
      </c>
      <c r="T1126" t="s">
        <v>1085</v>
      </c>
      <c r="U1126" t="s">
        <v>1086</v>
      </c>
      <c r="V1126" t="s">
        <v>246</v>
      </c>
      <c r="W1126" t="s">
        <v>244</v>
      </c>
      <c r="X1126" t="s">
        <v>1087</v>
      </c>
      <c r="Y1126" t="s">
        <v>168</v>
      </c>
      <c r="Z1126" t="s">
        <v>171</v>
      </c>
      <c r="AA1126" t="s">
        <v>173</v>
      </c>
      <c r="AB1126" t="s">
        <v>29</v>
      </c>
      <c r="AC1126" t="s">
        <v>27</v>
      </c>
      <c r="AD1126" t="s">
        <v>28</v>
      </c>
      <c r="AE1126" s="7">
        <v>575000</v>
      </c>
      <c r="AF1126" s="7">
        <v>1</v>
      </c>
      <c r="AG1126" s="7">
        <v>575000</v>
      </c>
      <c r="AH1126" s="7">
        <v>0</v>
      </c>
      <c r="AI1126" s="7">
        <v>575000</v>
      </c>
      <c r="AJ1126" t="s">
        <v>27</v>
      </c>
    </row>
    <row r="1127" spans="14:36" x14ac:dyDescent="0.3">
      <c r="N1127" s="8">
        <v>2026</v>
      </c>
      <c r="O1127" s="8">
        <v>5</v>
      </c>
      <c r="P1127" s="9">
        <v>46162</v>
      </c>
      <c r="Q1127" t="s">
        <v>238</v>
      </c>
      <c r="R1127" t="s">
        <v>351</v>
      </c>
      <c r="S1127" t="s">
        <v>352</v>
      </c>
      <c r="T1127" t="s">
        <v>1088</v>
      </c>
      <c r="U1127" t="s">
        <v>3661</v>
      </c>
      <c r="V1127" t="s">
        <v>249</v>
      </c>
      <c r="W1127" t="s">
        <v>244</v>
      </c>
      <c r="X1127" t="s">
        <v>1089</v>
      </c>
      <c r="Y1127" t="s">
        <v>191</v>
      </c>
      <c r="Z1127" t="s">
        <v>335</v>
      </c>
      <c r="AA1127" t="s">
        <v>337</v>
      </c>
      <c r="AB1127" t="s">
        <v>656</v>
      </c>
      <c r="AC1127" t="s">
        <v>657</v>
      </c>
      <c r="AD1127" t="s">
        <v>658</v>
      </c>
      <c r="AE1127" s="7">
        <v>35000</v>
      </c>
      <c r="AF1127" s="7">
        <v>1</v>
      </c>
      <c r="AG1127" s="7">
        <v>35000</v>
      </c>
      <c r="AH1127" s="7">
        <v>0</v>
      </c>
      <c r="AI1127" s="7">
        <v>35000</v>
      </c>
      <c r="AJ1127" t="s">
        <v>657</v>
      </c>
    </row>
    <row r="1128" spans="14:36" x14ac:dyDescent="0.3">
      <c r="N1128" s="8">
        <v>2026</v>
      </c>
      <c r="O1128" s="8">
        <v>5</v>
      </c>
      <c r="P1128" s="9">
        <v>46162</v>
      </c>
      <c r="Q1128" t="s">
        <v>238</v>
      </c>
      <c r="R1128" t="s">
        <v>374</v>
      </c>
      <c r="S1128" t="s">
        <v>375</v>
      </c>
      <c r="T1128" t="s">
        <v>1093</v>
      </c>
      <c r="U1128" t="s">
        <v>831</v>
      </c>
      <c r="V1128" t="s">
        <v>246</v>
      </c>
      <c r="W1128" t="s">
        <v>244</v>
      </c>
      <c r="X1128" t="s">
        <v>1094</v>
      </c>
      <c r="Y1128" t="s">
        <v>168</v>
      </c>
      <c r="Z1128" t="s">
        <v>171</v>
      </c>
      <c r="AA1128" t="s">
        <v>175</v>
      </c>
      <c r="AB1128" t="s">
        <v>41</v>
      </c>
      <c r="AC1128" t="s">
        <v>39</v>
      </c>
      <c r="AD1128" t="s">
        <v>40</v>
      </c>
      <c r="AE1128" s="7">
        <v>295000</v>
      </c>
      <c r="AF1128" s="7">
        <v>1</v>
      </c>
      <c r="AG1128" s="7">
        <v>295000</v>
      </c>
      <c r="AH1128" s="7">
        <v>0</v>
      </c>
      <c r="AI1128" s="7">
        <v>295000</v>
      </c>
      <c r="AJ1128" t="s">
        <v>39</v>
      </c>
    </row>
    <row r="1129" spans="14:36" x14ac:dyDescent="0.3">
      <c r="N1129" s="8">
        <v>2026</v>
      </c>
      <c r="O1129" s="8">
        <v>5</v>
      </c>
      <c r="P1129" s="9">
        <v>46162</v>
      </c>
      <c r="Q1129" t="s">
        <v>238</v>
      </c>
      <c r="R1129" t="s">
        <v>396</v>
      </c>
      <c r="S1129" t="s">
        <v>397</v>
      </c>
      <c r="T1129" t="s">
        <v>1098</v>
      </c>
      <c r="U1129" t="s">
        <v>4015</v>
      </c>
      <c r="V1129" t="s">
        <v>246</v>
      </c>
      <c r="W1129" t="s">
        <v>244</v>
      </c>
      <c r="X1129" t="s">
        <v>1099</v>
      </c>
      <c r="Y1129" t="s">
        <v>183</v>
      </c>
      <c r="Z1129" t="s">
        <v>189</v>
      </c>
      <c r="AA1129" t="s">
        <v>190</v>
      </c>
      <c r="AB1129" t="s">
        <v>92</v>
      </c>
      <c r="AC1129" t="s">
        <v>90</v>
      </c>
      <c r="AD1129" t="s">
        <v>91</v>
      </c>
      <c r="AE1129" s="7">
        <v>52000</v>
      </c>
      <c r="AF1129" s="7">
        <v>1</v>
      </c>
      <c r="AG1129" s="7">
        <v>52000</v>
      </c>
      <c r="AH1129" s="7">
        <v>0</v>
      </c>
      <c r="AI1129" s="7">
        <v>52000</v>
      </c>
      <c r="AJ1129" t="s">
        <v>90</v>
      </c>
    </row>
    <row r="1130" spans="14:36" x14ac:dyDescent="0.3">
      <c r="N1130" s="8">
        <v>2026</v>
      </c>
      <c r="O1130" s="8">
        <v>5</v>
      </c>
      <c r="P1130" s="9">
        <v>46162</v>
      </c>
      <c r="Q1130" t="s">
        <v>238</v>
      </c>
      <c r="R1130" t="s">
        <v>396</v>
      </c>
      <c r="S1130" t="s">
        <v>397</v>
      </c>
      <c r="T1130" t="s">
        <v>1101</v>
      </c>
      <c r="U1130" t="s">
        <v>3864</v>
      </c>
      <c r="V1130" t="s">
        <v>246</v>
      </c>
      <c r="W1130" t="s">
        <v>244</v>
      </c>
      <c r="X1130" t="s">
        <v>1102</v>
      </c>
      <c r="Y1130" t="s">
        <v>191</v>
      </c>
      <c r="Z1130" t="s">
        <v>335</v>
      </c>
      <c r="AA1130" t="s">
        <v>336</v>
      </c>
      <c r="AB1130" t="s">
        <v>606</v>
      </c>
      <c r="AC1130" t="s">
        <v>607</v>
      </c>
      <c r="AD1130" t="s">
        <v>608</v>
      </c>
      <c r="AE1130" s="7">
        <v>105000</v>
      </c>
      <c r="AF1130" s="7">
        <v>1</v>
      </c>
      <c r="AG1130" s="7">
        <v>105000</v>
      </c>
      <c r="AH1130" s="7">
        <v>0</v>
      </c>
      <c r="AI1130" s="7">
        <v>105000</v>
      </c>
      <c r="AJ1130" t="s">
        <v>607</v>
      </c>
    </row>
    <row r="1131" spans="14:36" x14ac:dyDescent="0.3">
      <c r="N1131" s="8">
        <v>2026</v>
      </c>
      <c r="O1131" s="8">
        <v>5</v>
      </c>
      <c r="P1131" s="9">
        <v>46162</v>
      </c>
      <c r="Q1131" t="s">
        <v>238</v>
      </c>
      <c r="R1131" t="s">
        <v>425</v>
      </c>
      <c r="S1131" t="s">
        <v>426</v>
      </c>
      <c r="T1131" t="s">
        <v>892</v>
      </c>
      <c r="U1131" t="s">
        <v>893</v>
      </c>
      <c r="V1131" t="s">
        <v>246</v>
      </c>
      <c r="W1131" t="s">
        <v>244</v>
      </c>
      <c r="X1131" t="s">
        <v>1108</v>
      </c>
      <c r="Y1131" t="s">
        <v>194</v>
      </c>
      <c r="Z1131" t="s">
        <v>200</v>
      </c>
      <c r="AA1131" t="s">
        <v>201</v>
      </c>
      <c r="AB1131" t="s">
        <v>89</v>
      </c>
      <c r="AC1131" t="s">
        <v>87</v>
      </c>
      <c r="AD1131" t="s">
        <v>88</v>
      </c>
      <c r="AE1131" s="7">
        <v>46000</v>
      </c>
      <c r="AF1131" s="7">
        <v>2</v>
      </c>
      <c r="AG1131" s="7">
        <v>92000</v>
      </c>
      <c r="AH1131" s="7">
        <v>0</v>
      </c>
      <c r="AI1131" s="7">
        <v>92000</v>
      </c>
      <c r="AJ1131" t="s">
        <v>87</v>
      </c>
    </row>
    <row r="1132" spans="14:36" x14ac:dyDescent="0.3">
      <c r="N1132" s="8">
        <v>2026</v>
      </c>
      <c r="O1132" s="8">
        <v>5</v>
      </c>
      <c r="P1132" s="9">
        <v>46162</v>
      </c>
      <c r="Q1132" t="s">
        <v>238</v>
      </c>
      <c r="R1132" t="s">
        <v>425</v>
      </c>
      <c r="S1132" t="s">
        <v>426</v>
      </c>
      <c r="T1132" t="s">
        <v>1109</v>
      </c>
      <c r="U1132" t="s">
        <v>1110</v>
      </c>
      <c r="V1132" t="s">
        <v>246</v>
      </c>
      <c r="W1132" t="s">
        <v>244</v>
      </c>
      <c r="X1132" t="s">
        <v>1111</v>
      </c>
      <c r="Y1132" t="s">
        <v>194</v>
      </c>
      <c r="Z1132" t="s">
        <v>200</v>
      </c>
      <c r="AA1132" t="s">
        <v>201</v>
      </c>
      <c r="AB1132" t="s">
        <v>77</v>
      </c>
      <c r="AC1132" t="s">
        <v>75</v>
      </c>
      <c r="AD1132" t="s">
        <v>76</v>
      </c>
      <c r="AE1132" s="7">
        <v>52000</v>
      </c>
      <c r="AF1132" s="7">
        <v>2</v>
      </c>
      <c r="AG1132" s="7">
        <v>104000</v>
      </c>
      <c r="AH1132" s="7">
        <v>0</v>
      </c>
      <c r="AI1132" s="7">
        <v>104000</v>
      </c>
      <c r="AJ1132" t="s">
        <v>75</v>
      </c>
    </row>
    <row r="1133" spans="14:36" x14ac:dyDescent="0.3">
      <c r="N1133" s="8">
        <v>2026</v>
      </c>
      <c r="O1133" s="8">
        <v>5</v>
      </c>
      <c r="P1133" s="9">
        <v>46162</v>
      </c>
      <c r="Q1133" t="s">
        <v>238</v>
      </c>
      <c r="R1133" t="s">
        <v>425</v>
      </c>
      <c r="S1133" t="s">
        <v>426</v>
      </c>
      <c r="T1133" t="s">
        <v>1114</v>
      </c>
      <c r="U1133" t="s">
        <v>296</v>
      </c>
      <c r="V1133" t="s">
        <v>249</v>
      </c>
      <c r="W1133" t="s">
        <v>244</v>
      </c>
      <c r="X1133" t="s">
        <v>1115</v>
      </c>
      <c r="Y1133" t="s">
        <v>168</v>
      </c>
      <c r="Z1133" t="s">
        <v>171</v>
      </c>
      <c r="AA1133" t="s">
        <v>173</v>
      </c>
      <c r="AB1133" t="s">
        <v>26</v>
      </c>
      <c r="AC1133" t="s">
        <v>24</v>
      </c>
      <c r="AD1133" t="s">
        <v>25</v>
      </c>
      <c r="AE1133" s="7">
        <v>555000</v>
      </c>
      <c r="AF1133" s="7">
        <v>1</v>
      </c>
      <c r="AG1133" s="7">
        <v>555000</v>
      </c>
      <c r="AH1133" s="7">
        <v>0</v>
      </c>
      <c r="AI1133" s="7">
        <v>555000</v>
      </c>
      <c r="AJ1133" t="s">
        <v>24</v>
      </c>
    </row>
    <row r="1134" spans="14:36" x14ac:dyDescent="0.3">
      <c r="N1134" s="8">
        <v>2026</v>
      </c>
      <c r="O1134" s="8">
        <v>5</v>
      </c>
      <c r="P1134" s="9">
        <v>46161</v>
      </c>
      <c r="Q1134" t="s">
        <v>238</v>
      </c>
      <c r="R1134" t="s">
        <v>239</v>
      </c>
      <c r="S1134" t="s">
        <v>240</v>
      </c>
      <c r="T1134" t="s">
        <v>1118</v>
      </c>
      <c r="U1134" t="s">
        <v>1119</v>
      </c>
      <c r="V1134" t="s">
        <v>246</v>
      </c>
      <c r="W1134" t="s">
        <v>244</v>
      </c>
      <c r="X1134" t="s">
        <v>1120</v>
      </c>
      <c r="Y1134" t="s">
        <v>191</v>
      </c>
      <c r="Z1134" t="s">
        <v>192</v>
      </c>
      <c r="AA1134" t="s">
        <v>193</v>
      </c>
      <c r="AB1134" t="s">
        <v>110</v>
      </c>
      <c r="AC1134" t="s">
        <v>108</v>
      </c>
      <c r="AD1134" t="s">
        <v>109</v>
      </c>
      <c r="AE1134" s="7">
        <v>235000</v>
      </c>
      <c r="AF1134" s="7">
        <v>1</v>
      </c>
      <c r="AG1134" s="7">
        <v>235000</v>
      </c>
      <c r="AH1134" s="7">
        <v>0</v>
      </c>
      <c r="AI1134" s="7">
        <v>235000</v>
      </c>
      <c r="AJ1134" t="s">
        <v>108</v>
      </c>
    </row>
    <row r="1135" spans="14:36" x14ac:dyDescent="0.3">
      <c r="N1135" s="8">
        <v>2026</v>
      </c>
      <c r="O1135" s="8">
        <v>5</v>
      </c>
      <c r="P1135" s="9">
        <v>46161</v>
      </c>
      <c r="Q1135" t="s">
        <v>238</v>
      </c>
      <c r="R1135" t="s">
        <v>239</v>
      </c>
      <c r="S1135" t="s">
        <v>240</v>
      </c>
      <c r="T1135" t="s">
        <v>1123</v>
      </c>
      <c r="U1135" t="s">
        <v>1124</v>
      </c>
      <c r="V1135" t="s">
        <v>246</v>
      </c>
      <c r="W1135" t="s">
        <v>244</v>
      </c>
      <c r="X1135" t="s">
        <v>1125</v>
      </c>
      <c r="Y1135" t="s">
        <v>194</v>
      </c>
      <c r="Z1135" t="s">
        <v>200</v>
      </c>
      <c r="AA1135" t="s">
        <v>201</v>
      </c>
      <c r="AB1135" t="s">
        <v>83</v>
      </c>
      <c r="AC1135" t="s">
        <v>81</v>
      </c>
      <c r="AD1135" t="s">
        <v>82</v>
      </c>
      <c r="AE1135" s="7">
        <v>46000</v>
      </c>
      <c r="AF1135" s="7">
        <v>5</v>
      </c>
      <c r="AG1135" s="7">
        <v>230000</v>
      </c>
      <c r="AH1135" s="7">
        <v>0</v>
      </c>
      <c r="AI1135" s="7">
        <v>230000</v>
      </c>
      <c r="AJ1135" t="s">
        <v>81</v>
      </c>
    </row>
    <row r="1136" spans="14:36" x14ac:dyDescent="0.3">
      <c r="N1136" s="8">
        <v>2026</v>
      </c>
      <c r="O1136" s="8">
        <v>5</v>
      </c>
      <c r="P1136" s="9">
        <v>46161</v>
      </c>
      <c r="Q1136" t="s">
        <v>238</v>
      </c>
      <c r="R1136" t="s">
        <v>239</v>
      </c>
      <c r="S1136" t="s">
        <v>240</v>
      </c>
      <c r="T1136" t="s">
        <v>693</v>
      </c>
      <c r="U1136" t="s">
        <v>3989</v>
      </c>
      <c r="V1136" t="s">
        <v>246</v>
      </c>
      <c r="W1136" t="s">
        <v>244</v>
      </c>
      <c r="X1136" t="s">
        <v>1126</v>
      </c>
      <c r="Y1136" t="s">
        <v>191</v>
      </c>
      <c r="Z1136" t="s">
        <v>335</v>
      </c>
      <c r="AA1136" t="s">
        <v>337</v>
      </c>
      <c r="AB1136" t="s">
        <v>656</v>
      </c>
      <c r="AC1136" t="s">
        <v>657</v>
      </c>
      <c r="AD1136" t="s">
        <v>658</v>
      </c>
      <c r="AE1136" s="7">
        <v>35000</v>
      </c>
      <c r="AF1136" s="7">
        <v>1</v>
      </c>
      <c r="AG1136" s="7">
        <v>35000</v>
      </c>
      <c r="AH1136" s="7">
        <v>0</v>
      </c>
      <c r="AI1136" s="7">
        <v>35000</v>
      </c>
      <c r="AJ1136" t="s">
        <v>657</v>
      </c>
    </row>
    <row r="1137" spans="14:36" x14ac:dyDescent="0.3">
      <c r="N1137" s="8">
        <v>2026</v>
      </c>
      <c r="O1137" s="8">
        <v>5</v>
      </c>
      <c r="P1137" s="9">
        <v>46161</v>
      </c>
      <c r="Q1137" t="s">
        <v>238</v>
      </c>
      <c r="R1137" t="s">
        <v>279</v>
      </c>
      <c r="S1137" t="s">
        <v>280</v>
      </c>
      <c r="T1137" t="s">
        <v>1128</v>
      </c>
      <c r="U1137" t="s">
        <v>1129</v>
      </c>
      <c r="V1137" t="s">
        <v>246</v>
      </c>
      <c r="W1137" t="s">
        <v>244</v>
      </c>
      <c r="X1137" t="s">
        <v>1130</v>
      </c>
      <c r="Y1137" t="s">
        <v>191</v>
      </c>
      <c r="Z1137" t="s">
        <v>192</v>
      </c>
      <c r="AA1137" t="s">
        <v>193</v>
      </c>
      <c r="AB1137" t="s">
        <v>110</v>
      </c>
      <c r="AC1137" t="s">
        <v>108</v>
      </c>
      <c r="AD1137" t="s">
        <v>109</v>
      </c>
      <c r="AE1137" s="7">
        <v>235000</v>
      </c>
      <c r="AF1137" s="7">
        <v>1</v>
      </c>
      <c r="AG1137" s="7">
        <v>235000</v>
      </c>
      <c r="AH1137" s="7">
        <v>0</v>
      </c>
      <c r="AI1137" s="7">
        <v>235000</v>
      </c>
      <c r="AJ1137" t="s">
        <v>108</v>
      </c>
    </row>
    <row r="1138" spans="14:36" x14ac:dyDescent="0.3">
      <c r="N1138" s="8">
        <v>2026</v>
      </c>
      <c r="O1138" s="8">
        <v>5</v>
      </c>
      <c r="P1138" s="9">
        <v>46161</v>
      </c>
      <c r="Q1138" t="s">
        <v>238</v>
      </c>
      <c r="R1138" t="s">
        <v>303</v>
      </c>
      <c r="S1138" t="s">
        <v>304</v>
      </c>
      <c r="T1138" t="s">
        <v>850</v>
      </c>
      <c r="U1138" t="s">
        <v>531</v>
      </c>
      <c r="V1138" t="s">
        <v>246</v>
      </c>
      <c r="W1138" t="s">
        <v>244</v>
      </c>
      <c r="X1138" t="s">
        <v>1131</v>
      </c>
      <c r="Y1138" t="s">
        <v>194</v>
      </c>
      <c r="Z1138" t="s">
        <v>200</v>
      </c>
      <c r="AA1138" t="s">
        <v>201</v>
      </c>
      <c r="AB1138" t="s">
        <v>80</v>
      </c>
      <c r="AC1138" t="s">
        <v>78</v>
      </c>
      <c r="AD1138" t="s">
        <v>79</v>
      </c>
      <c r="AE1138" s="7">
        <v>14000</v>
      </c>
      <c r="AF1138" s="7">
        <v>2</v>
      </c>
      <c r="AG1138" s="7">
        <v>28000</v>
      </c>
      <c r="AH1138" s="7">
        <v>0</v>
      </c>
      <c r="AI1138" s="7">
        <v>28000</v>
      </c>
      <c r="AJ1138" t="s">
        <v>78</v>
      </c>
    </row>
    <row r="1139" spans="14:36" x14ac:dyDescent="0.3">
      <c r="N1139" s="8">
        <v>2026</v>
      </c>
      <c r="O1139" s="8">
        <v>5</v>
      </c>
      <c r="P1139" s="9">
        <v>46161</v>
      </c>
      <c r="Q1139" t="s">
        <v>238</v>
      </c>
      <c r="R1139" t="s">
        <v>351</v>
      </c>
      <c r="S1139" t="s">
        <v>352</v>
      </c>
      <c r="T1139" t="s">
        <v>1133</v>
      </c>
      <c r="U1139" t="s">
        <v>1072</v>
      </c>
      <c r="V1139" t="s">
        <v>249</v>
      </c>
      <c r="W1139" t="s">
        <v>244</v>
      </c>
      <c r="X1139" t="s">
        <v>1134</v>
      </c>
      <c r="Y1139" t="s">
        <v>191</v>
      </c>
      <c r="Z1139" t="s">
        <v>335</v>
      </c>
      <c r="AA1139" t="s">
        <v>337</v>
      </c>
      <c r="AB1139" t="s">
        <v>864</v>
      </c>
      <c r="AC1139" t="s">
        <v>865</v>
      </c>
      <c r="AD1139" t="s">
        <v>866</v>
      </c>
      <c r="AE1139" s="7">
        <v>139000</v>
      </c>
      <c r="AF1139" s="7">
        <v>1</v>
      </c>
      <c r="AG1139" s="7">
        <v>139000</v>
      </c>
      <c r="AH1139" s="7">
        <v>0</v>
      </c>
      <c r="AI1139" s="7">
        <v>139000</v>
      </c>
      <c r="AJ1139" t="s">
        <v>865</v>
      </c>
    </row>
    <row r="1140" spans="14:36" x14ac:dyDescent="0.3">
      <c r="N1140" s="8">
        <v>2026</v>
      </c>
      <c r="O1140" s="8">
        <v>5</v>
      </c>
      <c r="P1140" s="9">
        <v>46161</v>
      </c>
      <c r="Q1140" t="s">
        <v>238</v>
      </c>
      <c r="R1140" t="s">
        <v>374</v>
      </c>
      <c r="S1140" t="s">
        <v>375</v>
      </c>
      <c r="T1140" t="s">
        <v>1136</v>
      </c>
      <c r="U1140" t="s">
        <v>1137</v>
      </c>
      <c r="V1140" t="s">
        <v>246</v>
      </c>
      <c r="W1140" t="s">
        <v>244</v>
      </c>
      <c r="X1140" t="s">
        <v>1138</v>
      </c>
      <c r="Y1140" t="s">
        <v>168</v>
      </c>
      <c r="Z1140" t="s">
        <v>171</v>
      </c>
      <c r="AA1140" t="s">
        <v>175</v>
      </c>
      <c r="AB1140" t="s">
        <v>38</v>
      </c>
      <c r="AC1140" t="s">
        <v>36</v>
      </c>
      <c r="AD1140" t="s">
        <v>37</v>
      </c>
      <c r="AE1140" s="7">
        <v>290000</v>
      </c>
      <c r="AF1140" s="7">
        <v>1</v>
      </c>
      <c r="AG1140" s="7">
        <v>290000</v>
      </c>
      <c r="AH1140" s="7">
        <v>0</v>
      </c>
      <c r="AI1140" s="7">
        <v>290000</v>
      </c>
      <c r="AJ1140" t="s">
        <v>36</v>
      </c>
    </row>
    <row r="1141" spans="14:36" x14ac:dyDescent="0.3">
      <c r="N1141" s="8">
        <v>2026</v>
      </c>
      <c r="O1141" s="8">
        <v>5</v>
      </c>
      <c r="P1141" s="9">
        <v>46161</v>
      </c>
      <c r="Q1141" t="s">
        <v>238</v>
      </c>
      <c r="R1141" t="s">
        <v>374</v>
      </c>
      <c r="S1141" t="s">
        <v>375</v>
      </c>
      <c r="T1141" t="s">
        <v>1140</v>
      </c>
      <c r="U1141" t="s">
        <v>4016</v>
      </c>
      <c r="V1141" t="s">
        <v>246</v>
      </c>
      <c r="W1141" t="s">
        <v>244</v>
      </c>
      <c r="X1141" t="s">
        <v>1141</v>
      </c>
      <c r="Y1141" t="s">
        <v>183</v>
      </c>
      <c r="Z1141" t="s">
        <v>189</v>
      </c>
      <c r="AA1141" t="s">
        <v>190</v>
      </c>
      <c r="AB1141" t="s">
        <v>92</v>
      </c>
      <c r="AC1141" t="s">
        <v>90</v>
      </c>
      <c r="AD1141" t="s">
        <v>91</v>
      </c>
      <c r="AE1141" s="7">
        <v>52000</v>
      </c>
      <c r="AF1141" s="7">
        <v>1</v>
      </c>
      <c r="AG1141" s="7">
        <v>52000</v>
      </c>
      <c r="AH1141" s="7">
        <v>0</v>
      </c>
      <c r="AI1141" s="7">
        <v>52000</v>
      </c>
      <c r="AJ1141" t="s">
        <v>90</v>
      </c>
    </row>
    <row r="1142" spans="14:36" x14ac:dyDescent="0.3">
      <c r="N1142" s="8">
        <v>2026</v>
      </c>
      <c r="O1142" s="8">
        <v>5</v>
      </c>
      <c r="P1142" s="9">
        <v>46161</v>
      </c>
      <c r="Q1142" t="s">
        <v>238</v>
      </c>
      <c r="R1142" t="s">
        <v>415</v>
      </c>
      <c r="S1142" t="s">
        <v>416</v>
      </c>
      <c r="T1142" t="s">
        <v>809</v>
      </c>
      <c r="U1142" t="s">
        <v>810</v>
      </c>
      <c r="V1142" t="s">
        <v>246</v>
      </c>
      <c r="W1142" t="s">
        <v>244</v>
      </c>
      <c r="X1142" t="s">
        <v>1145</v>
      </c>
      <c r="Y1142" t="s">
        <v>191</v>
      </c>
      <c r="Z1142" t="s">
        <v>335</v>
      </c>
      <c r="AA1142" t="s">
        <v>336</v>
      </c>
      <c r="AB1142" t="s">
        <v>1146</v>
      </c>
      <c r="AC1142" t="s">
        <v>1147</v>
      </c>
      <c r="AD1142" t="s">
        <v>1148</v>
      </c>
      <c r="AE1142" s="7">
        <v>99000</v>
      </c>
      <c r="AF1142" s="7">
        <v>2</v>
      </c>
      <c r="AG1142" s="7">
        <v>198000</v>
      </c>
      <c r="AH1142" s="7">
        <v>89100</v>
      </c>
      <c r="AI1142" s="7">
        <v>108900</v>
      </c>
      <c r="AJ1142" t="s">
        <v>1147</v>
      </c>
    </row>
    <row r="1143" spans="14:36" x14ac:dyDescent="0.3">
      <c r="N1143" s="8">
        <v>2026</v>
      </c>
      <c r="O1143" s="8">
        <v>5</v>
      </c>
      <c r="P1143" s="9">
        <v>46161</v>
      </c>
      <c r="Q1143" t="s">
        <v>238</v>
      </c>
      <c r="R1143" t="s">
        <v>415</v>
      </c>
      <c r="S1143" t="s">
        <v>416</v>
      </c>
      <c r="T1143" t="s">
        <v>809</v>
      </c>
      <c r="U1143" t="s">
        <v>810</v>
      </c>
      <c r="V1143" t="s">
        <v>246</v>
      </c>
      <c r="W1143" t="s">
        <v>244</v>
      </c>
      <c r="X1143" t="s">
        <v>1145</v>
      </c>
      <c r="Y1143" t="s">
        <v>191</v>
      </c>
      <c r="Z1143" t="s">
        <v>335</v>
      </c>
      <c r="AA1143" t="s">
        <v>337</v>
      </c>
      <c r="AB1143" t="s">
        <v>656</v>
      </c>
      <c r="AC1143" t="s">
        <v>657</v>
      </c>
      <c r="AD1143" t="s">
        <v>658</v>
      </c>
      <c r="AE1143" s="7">
        <v>35000</v>
      </c>
      <c r="AF1143" s="7">
        <v>1</v>
      </c>
      <c r="AG1143" s="7">
        <v>35000</v>
      </c>
      <c r="AH1143" s="7">
        <v>0</v>
      </c>
      <c r="AI1143" s="7">
        <v>35000</v>
      </c>
      <c r="AJ1143" t="s">
        <v>657</v>
      </c>
    </row>
    <row r="1144" spans="14:36" x14ac:dyDescent="0.3">
      <c r="N1144" s="8">
        <v>2026</v>
      </c>
      <c r="O1144" s="8">
        <v>5</v>
      </c>
      <c r="P1144" s="9">
        <v>46160</v>
      </c>
      <c r="Q1144" t="s">
        <v>238</v>
      </c>
      <c r="R1144" t="s">
        <v>239</v>
      </c>
      <c r="S1144" t="s">
        <v>240</v>
      </c>
      <c r="T1144" t="s">
        <v>903</v>
      </c>
      <c r="U1144" t="s">
        <v>904</v>
      </c>
      <c r="V1144" t="s">
        <v>246</v>
      </c>
      <c r="W1144" t="s">
        <v>244</v>
      </c>
      <c r="X1144" t="s">
        <v>1154</v>
      </c>
      <c r="Y1144" t="s">
        <v>191</v>
      </c>
      <c r="Z1144" t="s">
        <v>335</v>
      </c>
      <c r="AA1144" t="s">
        <v>337</v>
      </c>
      <c r="AB1144" t="s">
        <v>656</v>
      </c>
      <c r="AC1144" t="s">
        <v>657</v>
      </c>
      <c r="AD1144" t="s">
        <v>658</v>
      </c>
      <c r="AE1144" s="7">
        <v>35000</v>
      </c>
      <c r="AF1144" s="7">
        <v>1</v>
      </c>
      <c r="AG1144" s="7">
        <v>35000</v>
      </c>
      <c r="AH1144" s="7">
        <v>0</v>
      </c>
      <c r="AI1144" s="7">
        <v>35000</v>
      </c>
      <c r="AJ1144" t="s">
        <v>657</v>
      </c>
    </row>
    <row r="1145" spans="14:36" x14ac:dyDescent="0.3">
      <c r="N1145" s="8">
        <v>2026</v>
      </c>
      <c r="O1145" s="8">
        <v>5</v>
      </c>
      <c r="P1145" s="9">
        <v>46160</v>
      </c>
      <c r="Q1145" t="s">
        <v>238</v>
      </c>
      <c r="R1145" t="s">
        <v>279</v>
      </c>
      <c r="S1145" t="s">
        <v>280</v>
      </c>
      <c r="T1145" t="s">
        <v>1155</v>
      </c>
      <c r="U1145" t="s">
        <v>4017</v>
      </c>
      <c r="V1145" t="s">
        <v>246</v>
      </c>
      <c r="W1145" t="s">
        <v>244</v>
      </c>
      <c r="X1145" t="s">
        <v>1156</v>
      </c>
      <c r="Y1145" t="s">
        <v>191</v>
      </c>
      <c r="Z1145" t="s">
        <v>335</v>
      </c>
      <c r="AA1145" t="s">
        <v>337</v>
      </c>
      <c r="AB1145" t="s">
        <v>348</v>
      </c>
      <c r="AC1145" t="s">
        <v>349</v>
      </c>
      <c r="AD1145" t="s">
        <v>350</v>
      </c>
      <c r="AE1145" s="7">
        <v>76000</v>
      </c>
      <c r="AF1145" s="7">
        <v>1</v>
      </c>
      <c r="AG1145" s="7">
        <v>76000</v>
      </c>
      <c r="AH1145" s="7">
        <v>0</v>
      </c>
      <c r="AI1145" s="7">
        <v>76000</v>
      </c>
      <c r="AJ1145" t="s">
        <v>349</v>
      </c>
    </row>
    <row r="1146" spans="14:36" x14ac:dyDescent="0.3">
      <c r="N1146" s="8">
        <v>2026</v>
      </c>
      <c r="O1146" s="8">
        <v>5</v>
      </c>
      <c r="P1146" s="9">
        <v>46160</v>
      </c>
      <c r="Q1146" t="s">
        <v>238</v>
      </c>
      <c r="R1146" t="s">
        <v>279</v>
      </c>
      <c r="S1146" t="s">
        <v>280</v>
      </c>
      <c r="T1146" t="s">
        <v>1157</v>
      </c>
      <c r="U1146" t="s">
        <v>3982</v>
      </c>
      <c r="V1146" t="s">
        <v>246</v>
      </c>
      <c r="W1146" t="s">
        <v>244</v>
      </c>
      <c r="X1146" t="s">
        <v>1158</v>
      </c>
      <c r="Y1146" t="s">
        <v>191</v>
      </c>
      <c r="Z1146" t="s">
        <v>192</v>
      </c>
      <c r="AA1146" t="s">
        <v>193</v>
      </c>
      <c r="AB1146" t="s">
        <v>107</v>
      </c>
      <c r="AC1146" t="s">
        <v>105</v>
      </c>
      <c r="AD1146" t="s">
        <v>106</v>
      </c>
      <c r="AE1146" s="7">
        <v>235000</v>
      </c>
      <c r="AF1146" s="7">
        <v>1</v>
      </c>
      <c r="AG1146" s="7">
        <v>235000</v>
      </c>
      <c r="AH1146" s="7">
        <v>0</v>
      </c>
      <c r="AI1146" s="7">
        <v>235000</v>
      </c>
      <c r="AJ1146" t="s">
        <v>105</v>
      </c>
    </row>
    <row r="1147" spans="14:36" x14ac:dyDescent="0.3">
      <c r="N1147" s="8">
        <v>2026</v>
      </c>
      <c r="O1147" s="8">
        <v>5</v>
      </c>
      <c r="P1147" s="9">
        <v>46160</v>
      </c>
      <c r="Q1147" t="s">
        <v>238</v>
      </c>
      <c r="R1147" t="s">
        <v>279</v>
      </c>
      <c r="S1147" t="s">
        <v>280</v>
      </c>
      <c r="T1147" t="s">
        <v>1023</v>
      </c>
      <c r="U1147" t="s">
        <v>4018</v>
      </c>
      <c r="V1147" t="s">
        <v>246</v>
      </c>
      <c r="W1147" t="s">
        <v>244</v>
      </c>
      <c r="X1147" t="s">
        <v>1024</v>
      </c>
      <c r="Y1147" t="s">
        <v>191</v>
      </c>
      <c r="Z1147" t="s">
        <v>335</v>
      </c>
      <c r="AA1147" t="s">
        <v>337</v>
      </c>
      <c r="AB1147" t="s">
        <v>719</v>
      </c>
      <c r="AC1147" t="s">
        <v>720</v>
      </c>
      <c r="AD1147" t="s">
        <v>721</v>
      </c>
      <c r="AE1147" s="7">
        <v>104000</v>
      </c>
      <c r="AF1147" s="7">
        <v>1</v>
      </c>
      <c r="AG1147" s="7">
        <v>104000</v>
      </c>
      <c r="AH1147" s="7">
        <v>0</v>
      </c>
      <c r="AI1147" s="7">
        <v>104000</v>
      </c>
      <c r="AJ1147" t="s">
        <v>720</v>
      </c>
    </row>
    <row r="1148" spans="14:36" x14ac:dyDescent="0.3">
      <c r="N1148" s="8">
        <v>2026</v>
      </c>
      <c r="O1148" s="8">
        <v>5</v>
      </c>
      <c r="P1148" s="9">
        <v>46160</v>
      </c>
      <c r="Q1148" t="s">
        <v>238</v>
      </c>
      <c r="R1148" t="s">
        <v>303</v>
      </c>
      <c r="S1148" t="s">
        <v>304</v>
      </c>
      <c r="T1148" t="s">
        <v>1165</v>
      </c>
      <c r="U1148" t="s">
        <v>3855</v>
      </c>
      <c r="V1148" t="s">
        <v>246</v>
      </c>
      <c r="W1148" t="s">
        <v>244</v>
      </c>
      <c r="X1148" t="s">
        <v>1166</v>
      </c>
      <c r="Y1148" t="s">
        <v>191</v>
      </c>
      <c r="Z1148" t="s">
        <v>192</v>
      </c>
      <c r="AA1148" t="s">
        <v>193</v>
      </c>
      <c r="AB1148" t="s">
        <v>119</v>
      </c>
      <c r="AC1148" t="s">
        <v>117</v>
      </c>
      <c r="AD1148" t="s">
        <v>118</v>
      </c>
      <c r="AE1148" s="7">
        <v>235000</v>
      </c>
      <c r="AF1148" s="7">
        <v>1</v>
      </c>
      <c r="AG1148" s="7">
        <v>235000</v>
      </c>
      <c r="AH1148" s="7">
        <v>0</v>
      </c>
      <c r="AI1148" s="7">
        <v>235000</v>
      </c>
      <c r="AJ1148" t="s">
        <v>117</v>
      </c>
    </row>
    <row r="1149" spans="14:36" x14ac:dyDescent="0.3">
      <c r="N1149" s="8">
        <v>2026</v>
      </c>
      <c r="O1149" s="8">
        <v>5</v>
      </c>
      <c r="P1149" s="9">
        <v>46160</v>
      </c>
      <c r="Q1149" t="s">
        <v>238</v>
      </c>
      <c r="R1149" t="s">
        <v>351</v>
      </c>
      <c r="S1149" t="s">
        <v>352</v>
      </c>
      <c r="T1149" t="s">
        <v>1170</v>
      </c>
      <c r="U1149" t="s">
        <v>762</v>
      </c>
      <c r="V1149" t="s">
        <v>246</v>
      </c>
      <c r="W1149" t="s">
        <v>244</v>
      </c>
      <c r="X1149" t="s">
        <v>1171</v>
      </c>
      <c r="Y1149" t="s">
        <v>191</v>
      </c>
      <c r="Z1149" t="s">
        <v>192</v>
      </c>
      <c r="AA1149" t="s">
        <v>193</v>
      </c>
      <c r="AB1149" t="s">
        <v>110</v>
      </c>
      <c r="AC1149" t="s">
        <v>108</v>
      </c>
      <c r="AD1149" t="s">
        <v>109</v>
      </c>
      <c r="AE1149" s="7">
        <v>235000</v>
      </c>
      <c r="AF1149" s="7">
        <v>1</v>
      </c>
      <c r="AG1149" s="7">
        <v>235000</v>
      </c>
      <c r="AH1149" s="7">
        <v>0</v>
      </c>
      <c r="AI1149" s="7">
        <v>235000</v>
      </c>
      <c r="AJ1149" t="s">
        <v>108</v>
      </c>
    </row>
    <row r="1150" spans="14:36" x14ac:dyDescent="0.3">
      <c r="N1150" s="8">
        <v>2026</v>
      </c>
      <c r="O1150" s="8">
        <v>5</v>
      </c>
      <c r="P1150" s="9">
        <v>46160</v>
      </c>
      <c r="Q1150" t="s">
        <v>238</v>
      </c>
      <c r="R1150" t="s">
        <v>351</v>
      </c>
      <c r="S1150" t="s">
        <v>352</v>
      </c>
      <c r="T1150" t="s">
        <v>1135</v>
      </c>
      <c r="U1150" t="s">
        <v>300</v>
      </c>
      <c r="V1150" t="s">
        <v>246</v>
      </c>
      <c r="W1150" t="s">
        <v>244</v>
      </c>
      <c r="X1150" t="s">
        <v>1172</v>
      </c>
      <c r="Y1150" t="s">
        <v>191</v>
      </c>
      <c r="Z1150" t="s">
        <v>192</v>
      </c>
      <c r="AA1150" t="s">
        <v>193</v>
      </c>
      <c r="AB1150" t="s">
        <v>110</v>
      </c>
      <c r="AC1150" t="s">
        <v>108</v>
      </c>
      <c r="AD1150" t="s">
        <v>109</v>
      </c>
      <c r="AE1150" s="7">
        <v>235000</v>
      </c>
      <c r="AF1150" s="7">
        <v>1</v>
      </c>
      <c r="AG1150" s="7">
        <v>235000</v>
      </c>
      <c r="AH1150" s="7">
        <v>0</v>
      </c>
      <c r="AI1150" s="7">
        <v>235000</v>
      </c>
      <c r="AJ1150" t="s">
        <v>108</v>
      </c>
    </row>
    <row r="1151" spans="14:36" x14ac:dyDescent="0.3">
      <c r="N1151" s="8">
        <v>2026</v>
      </c>
      <c r="O1151" s="8">
        <v>5</v>
      </c>
      <c r="P1151" s="9">
        <v>46160</v>
      </c>
      <c r="Q1151" t="s">
        <v>238</v>
      </c>
      <c r="R1151" t="s">
        <v>374</v>
      </c>
      <c r="S1151" t="s">
        <v>375</v>
      </c>
      <c r="T1151" t="s">
        <v>1182</v>
      </c>
      <c r="U1151" t="s">
        <v>4019</v>
      </c>
      <c r="V1151" t="s">
        <v>246</v>
      </c>
      <c r="W1151" t="s">
        <v>244</v>
      </c>
      <c r="X1151" t="s">
        <v>1183</v>
      </c>
      <c r="Y1151" t="s">
        <v>194</v>
      </c>
      <c r="Z1151" t="s">
        <v>200</v>
      </c>
      <c r="AA1151" t="s">
        <v>201</v>
      </c>
      <c r="AB1151" t="s">
        <v>89</v>
      </c>
      <c r="AC1151" t="s">
        <v>87</v>
      </c>
      <c r="AD1151" t="s">
        <v>88</v>
      </c>
      <c r="AE1151" s="7">
        <v>46000</v>
      </c>
      <c r="AF1151" s="7">
        <v>1</v>
      </c>
      <c r="AG1151" s="7">
        <v>46000</v>
      </c>
      <c r="AH1151" s="7">
        <v>0</v>
      </c>
      <c r="AI1151" s="7">
        <v>46000</v>
      </c>
      <c r="AJ1151" t="s">
        <v>87</v>
      </c>
    </row>
    <row r="1152" spans="14:36" x14ac:dyDescent="0.3">
      <c r="N1152" s="8">
        <v>2026</v>
      </c>
      <c r="O1152" s="8">
        <v>5</v>
      </c>
      <c r="P1152" s="9">
        <v>46160</v>
      </c>
      <c r="Q1152" t="s">
        <v>238</v>
      </c>
      <c r="R1152" t="s">
        <v>374</v>
      </c>
      <c r="S1152" t="s">
        <v>375</v>
      </c>
      <c r="T1152" t="s">
        <v>1184</v>
      </c>
      <c r="U1152" t="s">
        <v>1185</v>
      </c>
      <c r="V1152" t="s">
        <v>246</v>
      </c>
      <c r="W1152" t="s">
        <v>244</v>
      </c>
      <c r="X1152" t="s">
        <v>1186</v>
      </c>
      <c r="Y1152" t="s">
        <v>191</v>
      </c>
      <c r="Z1152" t="s">
        <v>335</v>
      </c>
      <c r="AA1152" t="s">
        <v>337</v>
      </c>
      <c r="AB1152" t="s">
        <v>348</v>
      </c>
      <c r="AC1152" t="s">
        <v>349</v>
      </c>
      <c r="AD1152" t="s">
        <v>350</v>
      </c>
      <c r="AE1152" s="7">
        <v>76000</v>
      </c>
      <c r="AF1152" s="7">
        <v>1</v>
      </c>
      <c r="AG1152" s="7">
        <v>76000</v>
      </c>
      <c r="AH1152" s="7">
        <v>0</v>
      </c>
      <c r="AI1152" s="7">
        <v>76000</v>
      </c>
      <c r="AJ1152" t="s">
        <v>349</v>
      </c>
    </row>
    <row r="1153" spans="14:36" x14ac:dyDescent="0.3">
      <c r="N1153" s="8">
        <v>2026</v>
      </c>
      <c r="O1153" s="8">
        <v>5</v>
      </c>
      <c r="P1153" s="9">
        <v>46160</v>
      </c>
      <c r="Q1153" t="s">
        <v>238</v>
      </c>
      <c r="R1153" t="s">
        <v>374</v>
      </c>
      <c r="S1153" t="s">
        <v>375</v>
      </c>
      <c r="T1153" t="s">
        <v>594</v>
      </c>
      <c r="U1153" t="s">
        <v>595</v>
      </c>
      <c r="V1153" t="s">
        <v>246</v>
      </c>
      <c r="W1153" t="s">
        <v>244</v>
      </c>
      <c r="X1153" t="s">
        <v>1187</v>
      </c>
      <c r="Y1153" t="s">
        <v>191</v>
      </c>
      <c r="Z1153" t="s">
        <v>335</v>
      </c>
      <c r="AA1153" t="s">
        <v>336</v>
      </c>
      <c r="AB1153" t="s">
        <v>606</v>
      </c>
      <c r="AC1153" t="s">
        <v>607</v>
      </c>
      <c r="AD1153" t="s">
        <v>608</v>
      </c>
      <c r="AE1153" s="7">
        <v>105000</v>
      </c>
      <c r="AF1153" s="7">
        <v>1</v>
      </c>
      <c r="AG1153" s="7">
        <v>105000</v>
      </c>
      <c r="AH1153" s="7">
        <v>0</v>
      </c>
      <c r="AI1153" s="7">
        <v>105000</v>
      </c>
      <c r="AJ1153" t="s">
        <v>607</v>
      </c>
    </row>
    <row r="1154" spans="14:36" x14ac:dyDescent="0.3">
      <c r="N1154" s="8">
        <v>2026</v>
      </c>
      <c r="O1154" s="8">
        <v>5</v>
      </c>
      <c r="P1154" s="9">
        <v>46160</v>
      </c>
      <c r="Q1154" t="s">
        <v>238</v>
      </c>
      <c r="R1154" t="s">
        <v>396</v>
      </c>
      <c r="S1154" t="s">
        <v>397</v>
      </c>
      <c r="T1154" t="s">
        <v>1189</v>
      </c>
      <c r="U1154" t="s">
        <v>4020</v>
      </c>
      <c r="V1154" t="s">
        <v>246</v>
      </c>
      <c r="W1154" t="s">
        <v>244</v>
      </c>
      <c r="X1154" t="s">
        <v>1190</v>
      </c>
      <c r="Y1154" t="s">
        <v>191</v>
      </c>
      <c r="Z1154" t="s">
        <v>192</v>
      </c>
      <c r="AA1154" t="s">
        <v>193</v>
      </c>
      <c r="AB1154" t="s">
        <v>110</v>
      </c>
      <c r="AC1154" t="s">
        <v>108</v>
      </c>
      <c r="AD1154" t="s">
        <v>109</v>
      </c>
      <c r="AE1154" s="7">
        <v>235000</v>
      </c>
      <c r="AF1154" s="7">
        <v>1</v>
      </c>
      <c r="AG1154" s="7">
        <v>235000</v>
      </c>
      <c r="AH1154" s="7">
        <v>0</v>
      </c>
      <c r="AI1154" s="7">
        <v>235000</v>
      </c>
      <c r="AJ1154" t="s">
        <v>108</v>
      </c>
    </row>
    <row r="1155" spans="14:36" x14ac:dyDescent="0.3">
      <c r="N1155" s="8">
        <v>2026</v>
      </c>
      <c r="O1155" s="8">
        <v>5</v>
      </c>
      <c r="P1155" s="9">
        <v>46160</v>
      </c>
      <c r="Q1155" t="s">
        <v>238</v>
      </c>
      <c r="R1155" t="s">
        <v>396</v>
      </c>
      <c r="S1155" t="s">
        <v>397</v>
      </c>
      <c r="T1155" t="s">
        <v>1193</v>
      </c>
      <c r="U1155" t="s">
        <v>4021</v>
      </c>
      <c r="V1155" t="s">
        <v>246</v>
      </c>
      <c r="W1155" t="s">
        <v>244</v>
      </c>
      <c r="X1155" t="s">
        <v>1194</v>
      </c>
      <c r="Y1155" t="s">
        <v>168</v>
      </c>
      <c r="Z1155" t="s">
        <v>171</v>
      </c>
      <c r="AA1155" t="s">
        <v>172</v>
      </c>
      <c r="AB1155" t="s">
        <v>14</v>
      </c>
      <c r="AC1155" t="s">
        <v>12</v>
      </c>
      <c r="AD1155" t="s">
        <v>13</v>
      </c>
      <c r="AE1155" s="7">
        <v>135000</v>
      </c>
      <c r="AF1155" s="7">
        <v>1</v>
      </c>
      <c r="AG1155" s="7">
        <v>135000</v>
      </c>
      <c r="AH1155" s="7">
        <v>0</v>
      </c>
      <c r="AI1155" s="7">
        <v>135000</v>
      </c>
      <c r="AJ1155" t="s">
        <v>12</v>
      </c>
    </row>
    <row r="1156" spans="14:36" x14ac:dyDescent="0.3">
      <c r="N1156" s="8">
        <v>2026</v>
      </c>
      <c r="O1156" s="8">
        <v>5</v>
      </c>
      <c r="P1156" s="9">
        <v>46160</v>
      </c>
      <c r="Q1156" t="s">
        <v>238</v>
      </c>
      <c r="R1156" t="s">
        <v>396</v>
      </c>
      <c r="S1156" t="s">
        <v>397</v>
      </c>
      <c r="T1156" t="s">
        <v>1193</v>
      </c>
      <c r="U1156" t="s">
        <v>4021</v>
      </c>
      <c r="V1156" t="s">
        <v>246</v>
      </c>
      <c r="W1156" t="s">
        <v>244</v>
      </c>
      <c r="X1156" t="s">
        <v>1194</v>
      </c>
      <c r="Y1156" t="s">
        <v>194</v>
      </c>
      <c r="Z1156" t="s">
        <v>200</v>
      </c>
      <c r="AA1156" t="s">
        <v>201</v>
      </c>
      <c r="AB1156" t="s">
        <v>77</v>
      </c>
      <c r="AC1156" t="s">
        <v>75</v>
      </c>
      <c r="AD1156" t="s">
        <v>76</v>
      </c>
      <c r="AE1156" s="7">
        <v>52000</v>
      </c>
      <c r="AF1156" s="7">
        <v>1</v>
      </c>
      <c r="AG1156" s="7">
        <v>52000</v>
      </c>
      <c r="AH1156" s="7">
        <v>0</v>
      </c>
      <c r="AI1156" s="7">
        <v>52000</v>
      </c>
      <c r="AJ1156" t="s">
        <v>75</v>
      </c>
    </row>
    <row r="1157" spans="14:36" x14ac:dyDescent="0.3">
      <c r="N1157" s="8">
        <v>2026</v>
      </c>
      <c r="O1157" s="8">
        <v>5</v>
      </c>
      <c r="P1157" s="9">
        <v>46160</v>
      </c>
      <c r="Q1157" t="s">
        <v>238</v>
      </c>
      <c r="R1157" t="s">
        <v>415</v>
      </c>
      <c r="S1157" t="s">
        <v>416</v>
      </c>
      <c r="T1157" t="s">
        <v>417</v>
      </c>
      <c r="U1157" t="s">
        <v>418</v>
      </c>
      <c r="V1157" t="s">
        <v>243</v>
      </c>
      <c r="W1157" t="s">
        <v>244</v>
      </c>
      <c r="X1157" t="s">
        <v>1195</v>
      </c>
      <c r="Y1157" t="s">
        <v>194</v>
      </c>
      <c r="Z1157" t="s">
        <v>200</v>
      </c>
      <c r="AA1157" t="s">
        <v>201</v>
      </c>
      <c r="AB1157" t="s">
        <v>80</v>
      </c>
      <c r="AC1157" t="s">
        <v>78</v>
      </c>
      <c r="AD1157" t="s">
        <v>79</v>
      </c>
      <c r="AE1157" s="7">
        <v>14000</v>
      </c>
      <c r="AF1157" s="7">
        <v>1</v>
      </c>
      <c r="AG1157" s="7">
        <v>14000</v>
      </c>
      <c r="AH1157" s="7">
        <v>0</v>
      </c>
      <c r="AI1157" s="7">
        <v>14000</v>
      </c>
      <c r="AJ1157" t="s">
        <v>78</v>
      </c>
    </row>
    <row r="1158" spans="14:36" x14ac:dyDescent="0.3">
      <c r="N1158" s="8">
        <v>2026</v>
      </c>
      <c r="O1158" s="8">
        <v>5</v>
      </c>
      <c r="P1158" s="9">
        <v>46160</v>
      </c>
      <c r="Q1158" t="s">
        <v>238</v>
      </c>
      <c r="R1158" t="s">
        <v>425</v>
      </c>
      <c r="S1158" t="s">
        <v>426</v>
      </c>
      <c r="T1158" t="s">
        <v>1197</v>
      </c>
      <c r="U1158" t="s">
        <v>3888</v>
      </c>
      <c r="V1158" t="s">
        <v>246</v>
      </c>
      <c r="W1158" t="s">
        <v>244</v>
      </c>
      <c r="X1158" t="s">
        <v>1198</v>
      </c>
      <c r="Y1158" t="s">
        <v>168</v>
      </c>
      <c r="Z1158" t="s">
        <v>171</v>
      </c>
      <c r="AA1158" t="s">
        <v>175</v>
      </c>
      <c r="AB1158" t="s">
        <v>44</v>
      </c>
      <c r="AC1158" t="s">
        <v>42</v>
      </c>
      <c r="AD1158" t="s">
        <v>43</v>
      </c>
      <c r="AE1158" s="7">
        <v>294000</v>
      </c>
      <c r="AF1158" s="7">
        <v>1</v>
      </c>
      <c r="AG1158" s="7">
        <v>294000</v>
      </c>
      <c r="AH1158" s="7">
        <v>35000</v>
      </c>
      <c r="AI1158" s="7">
        <v>259000</v>
      </c>
      <c r="AJ1158" t="s">
        <v>42</v>
      </c>
    </row>
    <row r="1159" spans="14:36" x14ac:dyDescent="0.3">
      <c r="N1159" s="8">
        <v>2026</v>
      </c>
      <c r="O1159" s="8">
        <v>5</v>
      </c>
      <c r="P1159" s="9">
        <v>46159</v>
      </c>
      <c r="Q1159" t="s">
        <v>238</v>
      </c>
      <c r="R1159" t="s">
        <v>239</v>
      </c>
      <c r="S1159" t="s">
        <v>240</v>
      </c>
      <c r="T1159" t="s">
        <v>1202</v>
      </c>
      <c r="U1159" t="s">
        <v>1203</v>
      </c>
      <c r="V1159" t="s">
        <v>246</v>
      </c>
      <c r="W1159" t="s">
        <v>244</v>
      </c>
      <c r="X1159" t="s">
        <v>1204</v>
      </c>
      <c r="Y1159" t="s">
        <v>168</v>
      </c>
      <c r="Z1159" t="s">
        <v>171</v>
      </c>
      <c r="AA1159" t="s">
        <v>175</v>
      </c>
      <c r="AB1159" t="s">
        <v>38</v>
      </c>
      <c r="AC1159" t="s">
        <v>36</v>
      </c>
      <c r="AD1159" t="s">
        <v>37</v>
      </c>
      <c r="AE1159" s="7">
        <v>290000</v>
      </c>
      <c r="AF1159" s="7">
        <v>1</v>
      </c>
      <c r="AG1159" s="7">
        <v>290000</v>
      </c>
      <c r="AH1159" s="7">
        <v>0</v>
      </c>
      <c r="AI1159" s="7">
        <v>290000</v>
      </c>
      <c r="AJ1159" t="s">
        <v>36</v>
      </c>
    </row>
    <row r="1160" spans="14:36" x14ac:dyDescent="0.3">
      <c r="N1160" s="8">
        <v>2026</v>
      </c>
      <c r="O1160" s="8">
        <v>5</v>
      </c>
      <c r="P1160" s="9">
        <v>46159</v>
      </c>
      <c r="Q1160" t="s">
        <v>238</v>
      </c>
      <c r="R1160" t="s">
        <v>239</v>
      </c>
      <c r="S1160" t="s">
        <v>240</v>
      </c>
      <c r="T1160" t="s">
        <v>1202</v>
      </c>
      <c r="U1160" t="s">
        <v>1203</v>
      </c>
      <c r="V1160" t="s">
        <v>246</v>
      </c>
      <c r="W1160" t="s">
        <v>244</v>
      </c>
      <c r="X1160" t="s">
        <v>1204</v>
      </c>
      <c r="Y1160" t="s">
        <v>168</v>
      </c>
      <c r="Z1160" t="s">
        <v>171</v>
      </c>
      <c r="AA1160" t="s">
        <v>175</v>
      </c>
      <c r="AB1160" t="s">
        <v>44</v>
      </c>
      <c r="AC1160" t="s">
        <v>42</v>
      </c>
      <c r="AD1160" t="s">
        <v>43</v>
      </c>
      <c r="AE1160" s="7">
        <v>294000</v>
      </c>
      <c r="AF1160" s="7">
        <v>1</v>
      </c>
      <c r="AG1160" s="7">
        <v>294000</v>
      </c>
      <c r="AH1160" s="7">
        <v>0</v>
      </c>
      <c r="AI1160" s="7">
        <v>294000</v>
      </c>
      <c r="AJ1160" t="s">
        <v>42</v>
      </c>
    </row>
    <row r="1161" spans="14:36" x14ac:dyDescent="0.3">
      <c r="N1161" s="8">
        <v>2026</v>
      </c>
      <c r="O1161" s="8">
        <v>5</v>
      </c>
      <c r="P1161" s="9">
        <v>46159</v>
      </c>
      <c r="Q1161" t="s">
        <v>238</v>
      </c>
      <c r="R1161" t="s">
        <v>239</v>
      </c>
      <c r="S1161" t="s">
        <v>240</v>
      </c>
      <c r="T1161" t="s">
        <v>1205</v>
      </c>
      <c r="U1161" t="s">
        <v>4022</v>
      </c>
      <c r="V1161" t="s">
        <v>246</v>
      </c>
      <c r="W1161" t="s">
        <v>244</v>
      </c>
      <c r="X1161" t="s">
        <v>1206</v>
      </c>
      <c r="Y1161" t="s">
        <v>168</v>
      </c>
      <c r="Z1161" t="s">
        <v>171</v>
      </c>
      <c r="AA1161" t="s">
        <v>175</v>
      </c>
      <c r="AB1161" t="s">
        <v>38</v>
      </c>
      <c r="AC1161" t="s">
        <v>36</v>
      </c>
      <c r="AD1161" t="s">
        <v>37</v>
      </c>
      <c r="AE1161" s="7">
        <v>290000</v>
      </c>
      <c r="AF1161" s="7">
        <v>1</v>
      </c>
      <c r="AG1161" s="7">
        <v>290000</v>
      </c>
      <c r="AH1161" s="7">
        <v>0</v>
      </c>
      <c r="AI1161" s="7">
        <v>290000</v>
      </c>
      <c r="AJ1161" t="s">
        <v>36</v>
      </c>
    </row>
    <row r="1162" spans="14:36" x14ac:dyDescent="0.3">
      <c r="N1162" s="8">
        <v>2026</v>
      </c>
      <c r="O1162" s="8">
        <v>5</v>
      </c>
      <c r="P1162" s="9">
        <v>46159</v>
      </c>
      <c r="Q1162" t="s">
        <v>238</v>
      </c>
      <c r="R1162" t="s">
        <v>239</v>
      </c>
      <c r="S1162" t="s">
        <v>240</v>
      </c>
      <c r="T1162" t="s">
        <v>1207</v>
      </c>
      <c r="U1162" t="s">
        <v>1208</v>
      </c>
      <c r="V1162" t="s">
        <v>249</v>
      </c>
      <c r="W1162" t="s">
        <v>244</v>
      </c>
      <c r="X1162" t="s">
        <v>1209</v>
      </c>
      <c r="Y1162" t="s">
        <v>168</v>
      </c>
      <c r="Z1162" t="s">
        <v>171</v>
      </c>
      <c r="AA1162" t="s">
        <v>175</v>
      </c>
      <c r="AB1162" t="s">
        <v>35</v>
      </c>
      <c r="AC1162" t="s">
        <v>33</v>
      </c>
      <c r="AD1162" t="s">
        <v>34</v>
      </c>
      <c r="AE1162" s="7">
        <v>255000</v>
      </c>
      <c r="AF1162" s="7">
        <v>1</v>
      </c>
      <c r="AG1162" s="7">
        <v>255000</v>
      </c>
      <c r="AH1162" s="7">
        <v>0</v>
      </c>
      <c r="AI1162" s="7">
        <v>255000</v>
      </c>
      <c r="AJ1162" t="s">
        <v>33</v>
      </c>
    </row>
    <row r="1163" spans="14:36" x14ac:dyDescent="0.3">
      <c r="N1163" s="8">
        <v>2026</v>
      </c>
      <c r="O1163" s="8">
        <v>5</v>
      </c>
      <c r="P1163" s="9">
        <v>46159</v>
      </c>
      <c r="Q1163" t="s">
        <v>238</v>
      </c>
      <c r="R1163" t="s">
        <v>279</v>
      </c>
      <c r="S1163" t="s">
        <v>280</v>
      </c>
      <c r="T1163" t="s">
        <v>1211</v>
      </c>
      <c r="U1163" t="s">
        <v>1212</v>
      </c>
      <c r="V1163" t="s">
        <v>246</v>
      </c>
      <c r="W1163" t="s">
        <v>244</v>
      </c>
      <c r="X1163" t="s">
        <v>1213</v>
      </c>
      <c r="Y1163" t="s">
        <v>194</v>
      </c>
      <c r="Z1163" t="s">
        <v>200</v>
      </c>
      <c r="AA1163" t="s">
        <v>201</v>
      </c>
      <c r="AB1163" t="s">
        <v>86</v>
      </c>
      <c r="AC1163" t="s">
        <v>84</v>
      </c>
      <c r="AD1163" t="s">
        <v>85</v>
      </c>
      <c r="AE1163" s="7">
        <v>49000</v>
      </c>
      <c r="AF1163" s="7">
        <v>1</v>
      </c>
      <c r="AG1163" s="7">
        <v>49000</v>
      </c>
      <c r="AH1163" s="7">
        <v>0</v>
      </c>
      <c r="AI1163" s="7">
        <v>49000</v>
      </c>
      <c r="AJ1163" t="s">
        <v>84</v>
      </c>
    </row>
    <row r="1164" spans="14:36" x14ac:dyDescent="0.3">
      <c r="N1164" s="8">
        <v>2026</v>
      </c>
      <c r="O1164" s="8">
        <v>5</v>
      </c>
      <c r="P1164" s="9">
        <v>46159</v>
      </c>
      <c r="Q1164" t="s">
        <v>238</v>
      </c>
      <c r="R1164" t="s">
        <v>303</v>
      </c>
      <c r="S1164" t="s">
        <v>304</v>
      </c>
      <c r="T1164" t="s">
        <v>305</v>
      </c>
      <c r="U1164" t="s">
        <v>306</v>
      </c>
      <c r="V1164" t="s">
        <v>243</v>
      </c>
      <c r="W1164" t="s">
        <v>244</v>
      </c>
      <c r="X1164" t="s">
        <v>1217</v>
      </c>
      <c r="Y1164" t="s">
        <v>194</v>
      </c>
      <c r="Z1164" t="s">
        <v>200</v>
      </c>
      <c r="AA1164" t="s">
        <v>201</v>
      </c>
      <c r="AB1164" t="s">
        <v>77</v>
      </c>
      <c r="AC1164" t="s">
        <v>75</v>
      </c>
      <c r="AD1164" t="s">
        <v>76</v>
      </c>
      <c r="AE1164" s="7">
        <v>52000</v>
      </c>
      <c r="AF1164" s="7">
        <v>1</v>
      </c>
      <c r="AG1164" s="7">
        <v>52000</v>
      </c>
      <c r="AH1164" s="7">
        <v>0</v>
      </c>
      <c r="AI1164" s="7">
        <v>52000</v>
      </c>
      <c r="AJ1164" t="s">
        <v>75</v>
      </c>
    </row>
    <row r="1165" spans="14:36" x14ac:dyDescent="0.3">
      <c r="N1165" s="8">
        <v>2026</v>
      </c>
      <c r="O1165" s="8">
        <v>5</v>
      </c>
      <c r="P1165" s="9">
        <v>46159</v>
      </c>
      <c r="Q1165" t="s">
        <v>238</v>
      </c>
      <c r="R1165" t="s">
        <v>303</v>
      </c>
      <c r="S1165" t="s">
        <v>304</v>
      </c>
      <c r="T1165" t="s">
        <v>911</v>
      </c>
      <c r="U1165" t="s">
        <v>912</v>
      </c>
      <c r="V1165" t="s">
        <v>246</v>
      </c>
      <c r="W1165" t="s">
        <v>244</v>
      </c>
      <c r="X1165" t="s">
        <v>1218</v>
      </c>
      <c r="Y1165" t="s">
        <v>168</v>
      </c>
      <c r="Z1165" t="s">
        <v>171</v>
      </c>
      <c r="AA1165" t="s">
        <v>173</v>
      </c>
      <c r="AB1165" t="s">
        <v>29</v>
      </c>
      <c r="AC1165" t="s">
        <v>27</v>
      </c>
      <c r="AD1165" t="s">
        <v>28</v>
      </c>
      <c r="AE1165" s="7">
        <v>575000</v>
      </c>
      <c r="AF1165" s="7">
        <v>1</v>
      </c>
      <c r="AG1165" s="7">
        <v>575000</v>
      </c>
      <c r="AH1165" s="7">
        <v>0</v>
      </c>
      <c r="AI1165" s="7">
        <v>575000</v>
      </c>
      <c r="AJ1165" t="s">
        <v>27</v>
      </c>
    </row>
    <row r="1166" spans="14:36" x14ac:dyDescent="0.3">
      <c r="N1166" s="8">
        <v>2026</v>
      </c>
      <c r="O1166" s="8">
        <v>5</v>
      </c>
      <c r="P1166" s="9">
        <v>46159</v>
      </c>
      <c r="Q1166" t="s">
        <v>238</v>
      </c>
      <c r="R1166" t="s">
        <v>303</v>
      </c>
      <c r="S1166" t="s">
        <v>304</v>
      </c>
      <c r="T1166" t="s">
        <v>1220</v>
      </c>
      <c r="U1166" t="s">
        <v>1221</v>
      </c>
      <c r="V1166" t="s">
        <v>246</v>
      </c>
      <c r="W1166" t="s">
        <v>244</v>
      </c>
      <c r="X1166" t="s">
        <v>1222</v>
      </c>
      <c r="Y1166" t="s">
        <v>168</v>
      </c>
      <c r="Z1166" t="s">
        <v>171</v>
      </c>
      <c r="AA1166" t="s">
        <v>173</v>
      </c>
      <c r="AB1166" t="s">
        <v>29</v>
      </c>
      <c r="AC1166" t="s">
        <v>27</v>
      </c>
      <c r="AD1166" t="s">
        <v>28</v>
      </c>
      <c r="AE1166" s="7">
        <v>575000</v>
      </c>
      <c r="AF1166" s="7">
        <v>1</v>
      </c>
      <c r="AG1166" s="7">
        <v>575000</v>
      </c>
      <c r="AH1166" s="7">
        <v>0</v>
      </c>
      <c r="AI1166" s="7">
        <v>575000</v>
      </c>
      <c r="AJ1166" t="s">
        <v>27</v>
      </c>
    </row>
    <row r="1167" spans="14:36" x14ac:dyDescent="0.3">
      <c r="N1167" s="8">
        <v>2026</v>
      </c>
      <c r="O1167" s="8">
        <v>5</v>
      </c>
      <c r="P1167" s="9">
        <v>46159</v>
      </c>
      <c r="Q1167" t="s">
        <v>238</v>
      </c>
      <c r="R1167" t="s">
        <v>303</v>
      </c>
      <c r="S1167" t="s">
        <v>304</v>
      </c>
      <c r="T1167" t="s">
        <v>1223</v>
      </c>
      <c r="U1167" t="s">
        <v>1224</v>
      </c>
      <c r="V1167" t="s">
        <v>246</v>
      </c>
      <c r="W1167" t="s">
        <v>244</v>
      </c>
      <c r="X1167" t="s">
        <v>1225</v>
      </c>
      <c r="Y1167" t="s">
        <v>194</v>
      </c>
      <c r="Z1167" t="s">
        <v>200</v>
      </c>
      <c r="AA1167" t="s">
        <v>201</v>
      </c>
      <c r="AB1167" t="s">
        <v>77</v>
      </c>
      <c r="AC1167" t="s">
        <v>75</v>
      </c>
      <c r="AD1167" t="s">
        <v>76</v>
      </c>
      <c r="AE1167" s="7">
        <v>52000</v>
      </c>
      <c r="AF1167" s="7">
        <v>1</v>
      </c>
      <c r="AG1167" s="7">
        <v>52000</v>
      </c>
      <c r="AH1167" s="7">
        <v>0</v>
      </c>
      <c r="AI1167" s="7">
        <v>52000</v>
      </c>
      <c r="AJ1167" t="s">
        <v>75</v>
      </c>
    </row>
    <row r="1168" spans="14:36" x14ac:dyDescent="0.3">
      <c r="N1168" s="8">
        <v>2026</v>
      </c>
      <c r="O1168" s="8">
        <v>5</v>
      </c>
      <c r="P1168" s="9">
        <v>46159</v>
      </c>
      <c r="Q1168" t="s">
        <v>238</v>
      </c>
      <c r="R1168" t="s">
        <v>351</v>
      </c>
      <c r="S1168" t="s">
        <v>352</v>
      </c>
      <c r="T1168" t="s">
        <v>1229</v>
      </c>
      <c r="U1168" t="s">
        <v>1036</v>
      </c>
      <c r="V1168" t="s">
        <v>246</v>
      </c>
      <c r="W1168" t="s">
        <v>244</v>
      </c>
      <c r="X1168" t="s">
        <v>1230</v>
      </c>
      <c r="Y1168" t="s">
        <v>191</v>
      </c>
      <c r="Z1168" t="s">
        <v>335</v>
      </c>
      <c r="AA1168" t="s">
        <v>337</v>
      </c>
      <c r="AB1168" t="s">
        <v>541</v>
      </c>
      <c r="AC1168" t="s">
        <v>542</v>
      </c>
      <c r="AD1168" t="s">
        <v>543</v>
      </c>
      <c r="AE1168" s="7">
        <v>69000</v>
      </c>
      <c r="AF1168" s="7">
        <v>2</v>
      </c>
      <c r="AG1168" s="7">
        <v>138000</v>
      </c>
      <c r="AH1168" s="7">
        <v>0</v>
      </c>
      <c r="AI1168" s="7">
        <v>138000</v>
      </c>
      <c r="AJ1168" t="s">
        <v>542</v>
      </c>
    </row>
    <row r="1169" spans="14:36" x14ac:dyDescent="0.3">
      <c r="N1169" s="8">
        <v>2026</v>
      </c>
      <c r="O1169" s="8">
        <v>5</v>
      </c>
      <c r="P1169" s="9">
        <v>46159</v>
      </c>
      <c r="Q1169" t="s">
        <v>238</v>
      </c>
      <c r="R1169" t="s">
        <v>374</v>
      </c>
      <c r="S1169" t="s">
        <v>375</v>
      </c>
      <c r="T1169" t="s">
        <v>1142</v>
      </c>
      <c r="U1169" t="s">
        <v>3666</v>
      </c>
      <c r="V1169" t="s">
        <v>246</v>
      </c>
      <c r="W1169" t="s">
        <v>244</v>
      </c>
      <c r="X1169" t="s">
        <v>1231</v>
      </c>
      <c r="Y1169" t="s">
        <v>168</v>
      </c>
      <c r="Z1169" t="s">
        <v>181</v>
      </c>
      <c r="AA1169" t="s">
        <v>182</v>
      </c>
      <c r="AB1169" t="s">
        <v>50</v>
      </c>
      <c r="AC1169" t="s">
        <v>48</v>
      </c>
      <c r="AD1169" t="s">
        <v>49</v>
      </c>
      <c r="AE1169" s="7">
        <v>49000</v>
      </c>
      <c r="AF1169" s="7">
        <v>1</v>
      </c>
      <c r="AG1169" s="7">
        <v>49000</v>
      </c>
      <c r="AH1169" s="7">
        <v>0</v>
      </c>
      <c r="AI1169" s="7">
        <v>49000</v>
      </c>
      <c r="AJ1169" t="s">
        <v>48</v>
      </c>
    </row>
    <row r="1170" spans="14:36" x14ac:dyDescent="0.3">
      <c r="N1170" s="8">
        <v>2026</v>
      </c>
      <c r="O1170" s="8">
        <v>5</v>
      </c>
      <c r="P1170" s="9">
        <v>46159</v>
      </c>
      <c r="Q1170" t="s">
        <v>238</v>
      </c>
      <c r="R1170" t="s">
        <v>396</v>
      </c>
      <c r="S1170" t="s">
        <v>397</v>
      </c>
      <c r="T1170" t="s">
        <v>1233</v>
      </c>
      <c r="U1170" t="s">
        <v>1234</v>
      </c>
      <c r="V1170" t="s">
        <v>246</v>
      </c>
      <c r="W1170" t="s">
        <v>244</v>
      </c>
      <c r="X1170" t="s">
        <v>1235</v>
      </c>
      <c r="Y1170" t="s">
        <v>194</v>
      </c>
      <c r="Z1170" t="s">
        <v>200</v>
      </c>
      <c r="AA1170" t="s">
        <v>201</v>
      </c>
      <c r="AB1170" t="s">
        <v>83</v>
      </c>
      <c r="AC1170" t="s">
        <v>81</v>
      </c>
      <c r="AD1170" t="s">
        <v>82</v>
      </c>
      <c r="AE1170" s="7">
        <v>46000</v>
      </c>
      <c r="AF1170" s="7">
        <v>1</v>
      </c>
      <c r="AG1170" s="7">
        <v>46000</v>
      </c>
      <c r="AH1170" s="7">
        <v>0</v>
      </c>
      <c r="AI1170" s="7">
        <v>46000</v>
      </c>
      <c r="AJ1170" t="s">
        <v>81</v>
      </c>
    </row>
    <row r="1171" spans="14:36" x14ac:dyDescent="0.3">
      <c r="N1171" s="8">
        <v>2026</v>
      </c>
      <c r="O1171" s="8">
        <v>5</v>
      </c>
      <c r="P1171" s="9">
        <v>46159</v>
      </c>
      <c r="Q1171" t="s">
        <v>238</v>
      </c>
      <c r="R1171" t="s">
        <v>396</v>
      </c>
      <c r="S1171" t="s">
        <v>397</v>
      </c>
      <c r="T1171" t="s">
        <v>1236</v>
      </c>
      <c r="U1171" t="s">
        <v>311</v>
      </c>
      <c r="V1171" t="s">
        <v>246</v>
      </c>
      <c r="W1171" t="s">
        <v>244</v>
      </c>
      <c r="X1171" t="s">
        <v>1237</v>
      </c>
      <c r="Y1171" t="s">
        <v>191</v>
      </c>
      <c r="Z1171" t="s">
        <v>192</v>
      </c>
      <c r="AA1171" t="s">
        <v>193</v>
      </c>
      <c r="AB1171" t="s">
        <v>107</v>
      </c>
      <c r="AC1171" t="s">
        <v>105</v>
      </c>
      <c r="AD1171" t="s">
        <v>106</v>
      </c>
      <c r="AE1171" s="7">
        <v>235000</v>
      </c>
      <c r="AF1171" s="7">
        <v>1</v>
      </c>
      <c r="AG1171" s="7">
        <v>235000</v>
      </c>
      <c r="AH1171" s="7">
        <v>0</v>
      </c>
      <c r="AI1171" s="7">
        <v>235000</v>
      </c>
      <c r="AJ1171" t="s">
        <v>105</v>
      </c>
    </row>
    <row r="1172" spans="14:36" x14ac:dyDescent="0.3">
      <c r="N1172" s="8">
        <v>2026</v>
      </c>
      <c r="O1172" s="8">
        <v>5</v>
      </c>
      <c r="P1172" s="9">
        <v>46159</v>
      </c>
      <c r="Q1172" t="s">
        <v>238</v>
      </c>
      <c r="R1172" t="s">
        <v>396</v>
      </c>
      <c r="S1172" t="s">
        <v>397</v>
      </c>
      <c r="T1172" t="s">
        <v>1238</v>
      </c>
      <c r="U1172" t="s">
        <v>4018</v>
      </c>
      <c r="V1172" t="s">
        <v>249</v>
      </c>
      <c r="W1172" t="s">
        <v>244</v>
      </c>
      <c r="X1172" t="s">
        <v>1239</v>
      </c>
      <c r="Y1172" t="s">
        <v>168</v>
      </c>
      <c r="Z1172" t="s">
        <v>171</v>
      </c>
      <c r="AA1172" t="s">
        <v>173</v>
      </c>
      <c r="AB1172" t="s">
        <v>17</v>
      </c>
      <c r="AC1172" t="s">
        <v>15</v>
      </c>
      <c r="AD1172" t="s">
        <v>16</v>
      </c>
      <c r="AE1172" s="7">
        <v>435000</v>
      </c>
      <c r="AF1172" s="7">
        <v>1</v>
      </c>
      <c r="AG1172" s="7">
        <v>435000</v>
      </c>
      <c r="AH1172" s="7">
        <v>0</v>
      </c>
      <c r="AI1172" s="7">
        <v>435000</v>
      </c>
      <c r="AJ1172" t="s">
        <v>15</v>
      </c>
    </row>
    <row r="1173" spans="14:36" x14ac:dyDescent="0.3">
      <c r="N1173" s="8">
        <v>2026</v>
      </c>
      <c r="O1173" s="8">
        <v>5</v>
      </c>
      <c r="P1173" s="9">
        <v>46159</v>
      </c>
      <c r="Q1173" t="s">
        <v>238</v>
      </c>
      <c r="R1173" t="s">
        <v>415</v>
      </c>
      <c r="S1173" t="s">
        <v>416</v>
      </c>
      <c r="T1173" t="s">
        <v>809</v>
      </c>
      <c r="U1173" t="s">
        <v>810</v>
      </c>
      <c r="V1173" t="s">
        <v>246</v>
      </c>
      <c r="W1173" t="s">
        <v>244</v>
      </c>
      <c r="X1173" t="s">
        <v>1240</v>
      </c>
      <c r="Y1173" t="s">
        <v>191</v>
      </c>
      <c r="Z1173" t="s">
        <v>335</v>
      </c>
      <c r="AA1173" t="s">
        <v>336</v>
      </c>
      <c r="AB1173" t="s">
        <v>1146</v>
      </c>
      <c r="AC1173" t="s">
        <v>1147</v>
      </c>
      <c r="AD1173" t="s">
        <v>1148</v>
      </c>
      <c r="AE1173" s="7">
        <v>99000</v>
      </c>
      <c r="AF1173" s="7">
        <v>1</v>
      </c>
      <c r="AG1173" s="7">
        <v>99000</v>
      </c>
      <c r="AH1173" s="7">
        <v>44550</v>
      </c>
      <c r="AI1173" s="7">
        <v>54450</v>
      </c>
      <c r="AJ1173" t="s">
        <v>1147</v>
      </c>
    </row>
    <row r="1174" spans="14:36" x14ac:dyDescent="0.3">
      <c r="N1174" s="8">
        <v>2026</v>
      </c>
      <c r="O1174" s="8">
        <v>5</v>
      </c>
      <c r="P1174" s="9">
        <v>46159</v>
      </c>
      <c r="Q1174" t="s">
        <v>238</v>
      </c>
      <c r="R1174" t="s">
        <v>415</v>
      </c>
      <c r="S1174" t="s">
        <v>416</v>
      </c>
      <c r="T1174" t="s">
        <v>1241</v>
      </c>
      <c r="U1174" t="s">
        <v>364</v>
      </c>
      <c r="V1174" t="s">
        <v>246</v>
      </c>
      <c r="W1174" t="s">
        <v>244</v>
      </c>
      <c r="X1174" t="s">
        <v>1242</v>
      </c>
      <c r="Y1174" t="s">
        <v>183</v>
      </c>
      <c r="Z1174" t="s">
        <v>184</v>
      </c>
      <c r="AA1174" t="s">
        <v>185</v>
      </c>
      <c r="AB1174" t="s">
        <v>47</v>
      </c>
      <c r="AC1174" t="s">
        <v>45</v>
      </c>
      <c r="AD1174" t="s">
        <v>46</v>
      </c>
      <c r="AE1174" s="7">
        <v>52000</v>
      </c>
      <c r="AF1174" s="7">
        <v>1</v>
      </c>
      <c r="AG1174" s="7">
        <v>52000</v>
      </c>
      <c r="AH1174" s="7">
        <v>0</v>
      </c>
      <c r="AI1174" s="7">
        <v>52000</v>
      </c>
      <c r="AJ1174" t="s">
        <v>45</v>
      </c>
    </row>
    <row r="1175" spans="14:36" x14ac:dyDescent="0.3">
      <c r="N1175" s="8">
        <v>2026</v>
      </c>
      <c r="O1175" s="8">
        <v>5</v>
      </c>
      <c r="P1175" s="9">
        <v>46159</v>
      </c>
      <c r="Q1175" t="s">
        <v>238</v>
      </c>
      <c r="R1175" t="s">
        <v>415</v>
      </c>
      <c r="S1175" t="s">
        <v>416</v>
      </c>
      <c r="T1175" t="s">
        <v>1245</v>
      </c>
      <c r="U1175" t="s">
        <v>4023</v>
      </c>
      <c r="V1175" t="s">
        <v>249</v>
      </c>
      <c r="W1175" t="s">
        <v>244</v>
      </c>
      <c r="X1175" t="s">
        <v>1246</v>
      </c>
      <c r="Y1175" t="s">
        <v>168</v>
      </c>
      <c r="Z1175" t="s">
        <v>171</v>
      </c>
      <c r="AA1175" t="s">
        <v>175</v>
      </c>
      <c r="AB1175" t="s">
        <v>38</v>
      </c>
      <c r="AC1175" t="s">
        <v>36</v>
      </c>
      <c r="AD1175" t="s">
        <v>37</v>
      </c>
      <c r="AE1175" s="7">
        <v>290000</v>
      </c>
      <c r="AF1175" s="7">
        <v>1</v>
      </c>
      <c r="AG1175" s="7">
        <v>290000</v>
      </c>
      <c r="AH1175" s="7">
        <v>0</v>
      </c>
      <c r="AI1175" s="7">
        <v>290000</v>
      </c>
      <c r="AJ1175" t="s">
        <v>36</v>
      </c>
    </row>
    <row r="1176" spans="14:36" x14ac:dyDescent="0.3">
      <c r="N1176" s="8">
        <v>2026</v>
      </c>
      <c r="O1176" s="8">
        <v>5</v>
      </c>
      <c r="P1176" s="9">
        <v>46159</v>
      </c>
      <c r="Q1176" t="s">
        <v>238</v>
      </c>
      <c r="R1176" t="s">
        <v>425</v>
      </c>
      <c r="S1176" t="s">
        <v>426</v>
      </c>
      <c r="T1176" t="s">
        <v>783</v>
      </c>
      <c r="U1176" t="s">
        <v>784</v>
      </c>
      <c r="V1176" t="s">
        <v>246</v>
      </c>
      <c r="W1176" t="s">
        <v>244</v>
      </c>
      <c r="X1176" t="s">
        <v>1248</v>
      </c>
      <c r="Y1176" t="s">
        <v>191</v>
      </c>
      <c r="Z1176" t="s">
        <v>192</v>
      </c>
      <c r="AA1176" t="s">
        <v>193</v>
      </c>
      <c r="AB1176" t="s">
        <v>104</v>
      </c>
      <c r="AC1176" t="s">
        <v>102</v>
      </c>
      <c r="AD1176" t="s">
        <v>103</v>
      </c>
      <c r="AE1176" s="7">
        <v>235000</v>
      </c>
      <c r="AF1176" s="7">
        <v>1</v>
      </c>
      <c r="AG1176" s="7">
        <v>235000</v>
      </c>
      <c r="AH1176" s="7">
        <v>0</v>
      </c>
      <c r="AI1176" s="7">
        <v>235000</v>
      </c>
      <c r="AJ1176" t="s">
        <v>102</v>
      </c>
    </row>
    <row r="1177" spans="14:36" x14ac:dyDescent="0.3">
      <c r="N1177" s="8">
        <v>2026</v>
      </c>
      <c r="O1177" s="8">
        <v>5</v>
      </c>
      <c r="P1177" s="9">
        <v>46158</v>
      </c>
      <c r="Q1177" t="s">
        <v>238</v>
      </c>
      <c r="R1177" t="s">
        <v>239</v>
      </c>
      <c r="S1177" t="s">
        <v>240</v>
      </c>
      <c r="T1177" t="s">
        <v>1250</v>
      </c>
      <c r="U1177" t="s">
        <v>3866</v>
      </c>
      <c r="V1177" t="s">
        <v>246</v>
      </c>
      <c r="W1177" t="s">
        <v>244</v>
      </c>
      <c r="X1177" t="s">
        <v>1251</v>
      </c>
      <c r="Y1177" t="s">
        <v>191</v>
      </c>
      <c r="Z1177" t="s">
        <v>335</v>
      </c>
      <c r="AA1177" t="s">
        <v>337</v>
      </c>
      <c r="AB1177" t="s">
        <v>656</v>
      </c>
      <c r="AC1177" t="s">
        <v>657</v>
      </c>
      <c r="AD1177" t="s">
        <v>658</v>
      </c>
      <c r="AE1177" s="7">
        <v>35000</v>
      </c>
      <c r="AF1177" s="7">
        <v>1</v>
      </c>
      <c r="AG1177" s="7">
        <v>35000</v>
      </c>
      <c r="AH1177" s="7">
        <v>0</v>
      </c>
      <c r="AI1177" s="7">
        <v>35000</v>
      </c>
      <c r="AJ1177" t="s">
        <v>657</v>
      </c>
    </row>
    <row r="1178" spans="14:36" x14ac:dyDescent="0.3">
      <c r="N1178" s="8">
        <v>2026</v>
      </c>
      <c r="O1178" s="8">
        <v>5</v>
      </c>
      <c r="P1178" s="9">
        <v>46158</v>
      </c>
      <c r="Q1178" t="s">
        <v>238</v>
      </c>
      <c r="R1178" t="s">
        <v>239</v>
      </c>
      <c r="S1178" t="s">
        <v>240</v>
      </c>
      <c r="T1178" t="s">
        <v>263</v>
      </c>
      <c r="U1178" t="s">
        <v>264</v>
      </c>
      <c r="V1178" t="s">
        <v>246</v>
      </c>
      <c r="W1178" t="s">
        <v>244</v>
      </c>
      <c r="X1178" t="s">
        <v>1254</v>
      </c>
      <c r="Y1178" t="s">
        <v>183</v>
      </c>
      <c r="Z1178" t="s">
        <v>186</v>
      </c>
      <c r="AA1178" t="s">
        <v>188</v>
      </c>
      <c r="AB1178" t="s">
        <v>101</v>
      </c>
      <c r="AC1178" t="s">
        <v>99</v>
      </c>
      <c r="AD1178" t="s">
        <v>100</v>
      </c>
      <c r="AE1178" s="7">
        <v>199000</v>
      </c>
      <c r="AF1178" s="7">
        <v>1</v>
      </c>
      <c r="AG1178" s="7">
        <v>199000</v>
      </c>
      <c r="AH1178" s="7">
        <v>9950</v>
      </c>
      <c r="AI1178" s="7">
        <v>189050</v>
      </c>
      <c r="AJ1178" t="s">
        <v>99</v>
      </c>
    </row>
    <row r="1179" spans="14:36" x14ac:dyDescent="0.3">
      <c r="N1179" s="8">
        <v>2026</v>
      </c>
      <c r="O1179" s="8">
        <v>5</v>
      </c>
      <c r="P1179" s="9">
        <v>46158</v>
      </c>
      <c r="Q1179" t="s">
        <v>238</v>
      </c>
      <c r="R1179" t="s">
        <v>279</v>
      </c>
      <c r="S1179" t="s">
        <v>280</v>
      </c>
      <c r="T1179" t="s">
        <v>1256</v>
      </c>
      <c r="U1179" t="s">
        <v>3945</v>
      </c>
      <c r="V1179" t="s">
        <v>246</v>
      </c>
      <c r="W1179" t="s">
        <v>244</v>
      </c>
      <c r="X1179" t="s">
        <v>1257</v>
      </c>
      <c r="Y1179" t="s">
        <v>191</v>
      </c>
      <c r="Z1179" t="s">
        <v>192</v>
      </c>
      <c r="AA1179" t="s">
        <v>193</v>
      </c>
      <c r="AB1179" t="s">
        <v>104</v>
      </c>
      <c r="AC1179" t="s">
        <v>102</v>
      </c>
      <c r="AD1179" t="s">
        <v>103</v>
      </c>
      <c r="AE1179" s="7">
        <v>235000</v>
      </c>
      <c r="AF1179" s="7">
        <v>1</v>
      </c>
      <c r="AG1179" s="7">
        <v>235000</v>
      </c>
      <c r="AH1179" s="7">
        <v>0</v>
      </c>
      <c r="AI1179" s="7">
        <v>235000</v>
      </c>
      <c r="AJ1179" t="s">
        <v>102</v>
      </c>
    </row>
    <row r="1180" spans="14:36" x14ac:dyDescent="0.3">
      <c r="N1180" s="8">
        <v>2026</v>
      </c>
      <c r="O1180" s="8">
        <v>5</v>
      </c>
      <c r="P1180" s="9">
        <v>46158</v>
      </c>
      <c r="Q1180" t="s">
        <v>238</v>
      </c>
      <c r="R1180" t="s">
        <v>303</v>
      </c>
      <c r="S1180" t="s">
        <v>304</v>
      </c>
      <c r="T1180" t="s">
        <v>305</v>
      </c>
      <c r="U1180" t="s">
        <v>306</v>
      </c>
      <c r="V1180" t="s">
        <v>243</v>
      </c>
      <c r="W1180" t="s">
        <v>244</v>
      </c>
      <c r="X1180" t="s">
        <v>1258</v>
      </c>
      <c r="Y1180" t="s">
        <v>194</v>
      </c>
      <c r="Z1180" t="s">
        <v>200</v>
      </c>
      <c r="AA1180" t="s">
        <v>201</v>
      </c>
      <c r="AB1180" t="s">
        <v>80</v>
      </c>
      <c r="AC1180" t="s">
        <v>78</v>
      </c>
      <c r="AD1180" t="s">
        <v>79</v>
      </c>
      <c r="AE1180" s="7">
        <v>14000</v>
      </c>
      <c r="AF1180" s="7">
        <v>1</v>
      </c>
      <c r="AG1180" s="7">
        <v>14000</v>
      </c>
      <c r="AH1180" s="7">
        <v>0</v>
      </c>
      <c r="AI1180" s="7">
        <v>14000</v>
      </c>
      <c r="AJ1180" t="s">
        <v>78</v>
      </c>
    </row>
    <row r="1181" spans="14:36" x14ac:dyDescent="0.3">
      <c r="N1181" s="8">
        <v>2026</v>
      </c>
      <c r="O1181" s="8">
        <v>5</v>
      </c>
      <c r="P1181" s="9">
        <v>46158</v>
      </c>
      <c r="Q1181" t="s">
        <v>238</v>
      </c>
      <c r="R1181" t="s">
        <v>303</v>
      </c>
      <c r="S1181" t="s">
        <v>304</v>
      </c>
      <c r="T1181" t="s">
        <v>1265</v>
      </c>
      <c r="U1181" t="s">
        <v>1266</v>
      </c>
      <c r="V1181" t="s">
        <v>249</v>
      </c>
      <c r="W1181" t="s">
        <v>244</v>
      </c>
      <c r="X1181" t="s">
        <v>1267</v>
      </c>
      <c r="Y1181" t="s">
        <v>168</v>
      </c>
      <c r="Z1181" t="s">
        <v>171</v>
      </c>
      <c r="AA1181" t="s">
        <v>173</v>
      </c>
      <c r="AB1181" t="s">
        <v>29</v>
      </c>
      <c r="AC1181" t="s">
        <v>27</v>
      </c>
      <c r="AD1181" t="s">
        <v>28</v>
      </c>
      <c r="AE1181" s="7">
        <v>575000</v>
      </c>
      <c r="AF1181" s="7">
        <v>1</v>
      </c>
      <c r="AG1181" s="7">
        <v>575000</v>
      </c>
      <c r="AH1181" s="7">
        <v>0</v>
      </c>
      <c r="AI1181" s="7">
        <v>575000</v>
      </c>
      <c r="AJ1181" t="s">
        <v>27</v>
      </c>
    </row>
    <row r="1182" spans="14:36" x14ac:dyDescent="0.3">
      <c r="N1182" s="8">
        <v>2026</v>
      </c>
      <c r="O1182" s="8">
        <v>5</v>
      </c>
      <c r="P1182" s="9">
        <v>46158</v>
      </c>
      <c r="Q1182" t="s">
        <v>238</v>
      </c>
      <c r="R1182" t="s">
        <v>303</v>
      </c>
      <c r="S1182" t="s">
        <v>304</v>
      </c>
      <c r="T1182" t="s">
        <v>1265</v>
      </c>
      <c r="U1182" t="s">
        <v>1266</v>
      </c>
      <c r="V1182" t="s">
        <v>249</v>
      </c>
      <c r="W1182" t="s">
        <v>244</v>
      </c>
      <c r="X1182" t="s">
        <v>1267</v>
      </c>
      <c r="Y1182" t="s">
        <v>168</v>
      </c>
      <c r="Z1182" t="s">
        <v>171</v>
      </c>
      <c r="AA1182" t="s">
        <v>173</v>
      </c>
      <c r="AB1182" t="s">
        <v>26</v>
      </c>
      <c r="AC1182" t="s">
        <v>24</v>
      </c>
      <c r="AD1182" t="s">
        <v>25</v>
      </c>
      <c r="AE1182" s="7">
        <v>555000</v>
      </c>
      <c r="AF1182" s="7">
        <v>1</v>
      </c>
      <c r="AG1182" s="7">
        <v>555000</v>
      </c>
      <c r="AH1182" s="7">
        <v>0</v>
      </c>
      <c r="AI1182" s="7">
        <v>555000</v>
      </c>
      <c r="AJ1182" t="s">
        <v>24</v>
      </c>
    </row>
    <row r="1183" spans="14:36" x14ac:dyDescent="0.3">
      <c r="N1183" s="8">
        <v>2026</v>
      </c>
      <c r="O1183" s="8">
        <v>5</v>
      </c>
      <c r="P1183" s="9">
        <v>46158</v>
      </c>
      <c r="Q1183" t="s">
        <v>238</v>
      </c>
      <c r="R1183" t="s">
        <v>303</v>
      </c>
      <c r="S1183" t="s">
        <v>304</v>
      </c>
      <c r="T1183" t="s">
        <v>1272</v>
      </c>
      <c r="U1183" t="s">
        <v>4024</v>
      </c>
      <c r="V1183" t="s">
        <v>246</v>
      </c>
      <c r="W1183" t="s">
        <v>244</v>
      </c>
      <c r="X1183" t="s">
        <v>1273</v>
      </c>
      <c r="Y1183" t="s">
        <v>191</v>
      </c>
      <c r="Z1183" t="s">
        <v>335</v>
      </c>
      <c r="AA1183" t="s">
        <v>337</v>
      </c>
      <c r="AB1183" t="s">
        <v>656</v>
      </c>
      <c r="AC1183" t="s">
        <v>657</v>
      </c>
      <c r="AD1183" t="s">
        <v>658</v>
      </c>
      <c r="AE1183" s="7">
        <v>35000</v>
      </c>
      <c r="AF1183" s="7">
        <v>1</v>
      </c>
      <c r="AG1183" s="7">
        <v>35000</v>
      </c>
      <c r="AH1183" s="7">
        <v>0</v>
      </c>
      <c r="AI1183" s="7">
        <v>35000</v>
      </c>
      <c r="AJ1183" t="s">
        <v>657</v>
      </c>
    </row>
    <row r="1184" spans="14:36" x14ac:dyDescent="0.3">
      <c r="N1184" s="8">
        <v>2026</v>
      </c>
      <c r="O1184" s="8">
        <v>5</v>
      </c>
      <c r="P1184" s="9">
        <v>46158</v>
      </c>
      <c r="Q1184" t="s">
        <v>238</v>
      </c>
      <c r="R1184" t="s">
        <v>351</v>
      </c>
      <c r="S1184" t="s">
        <v>352</v>
      </c>
      <c r="T1184" t="s">
        <v>356</v>
      </c>
      <c r="U1184" t="s">
        <v>357</v>
      </c>
      <c r="V1184" t="s">
        <v>243</v>
      </c>
      <c r="W1184" t="s">
        <v>244</v>
      </c>
      <c r="X1184" t="s">
        <v>1274</v>
      </c>
      <c r="Y1184" t="s">
        <v>183</v>
      </c>
      <c r="Z1184" t="s">
        <v>186</v>
      </c>
      <c r="AA1184" t="s">
        <v>188</v>
      </c>
      <c r="AB1184" t="s">
        <v>98</v>
      </c>
      <c r="AC1184" t="s">
        <v>96</v>
      </c>
      <c r="AD1184" t="s">
        <v>97</v>
      </c>
      <c r="AE1184" s="7">
        <v>239000</v>
      </c>
      <c r="AF1184" s="7">
        <v>2</v>
      </c>
      <c r="AG1184" s="7">
        <v>478000</v>
      </c>
      <c r="AH1184" s="7">
        <v>23900</v>
      </c>
      <c r="AI1184" s="7">
        <v>454100</v>
      </c>
      <c r="AJ1184" t="s">
        <v>96</v>
      </c>
    </row>
    <row r="1185" spans="14:36" x14ac:dyDescent="0.3">
      <c r="N1185" s="8">
        <v>2026</v>
      </c>
      <c r="O1185" s="8">
        <v>5</v>
      </c>
      <c r="P1185" s="9">
        <v>46158</v>
      </c>
      <c r="Q1185" t="s">
        <v>238</v>
      </c>
      <c r="R1185" t="s">
        <v>374</v>
      </c>
      <c r="S1185" t="s">
        <v>375</v>
      </c>
      <c r="T1185" t="s">
        <v>376</v>
      </c>
      <c r="U1185" t="s">
        <v>377</v>
      </c>
      <c r="V1185" t="s">
        <v>243</v>
      </c>
      <c r="W1185" t="s">
        <v>244</v>
      </c>
      <c r="X1185" t="s">
        <v>1275</v>
      </c>
      <c r="Y1185" t="s">
        <v>168</v>
      </c>
      <c r="Z1185" t="s">
        <v>171</v>
      </c>
      <c r="AA1185" t="s">
        <v>175</v>
      </c>
      <c r="AB1185" t="s">
        <v>44</v>
      </c>
      <c r="AC1185" t="s">
        <v>42</v>
      </c>
      <c r="AD1185" t="s">
        <v>43</v>
      </c>
      <c r="AE1185" s="7">
        <v>294000</v>
      </c>
      <c r="AF1185" s="7">
        <v>1</v>
      </c>
      <c r="AG1185" s="7">
        <v>294000</v>
      </c>
      <c r="AH1185" s="7">
        <v>0</v>
      </c>
      <c r="AI1185" s="7">
        <v>294000</v>
      </c>
      <c r="AJ1185" t="s">
        <v>42</v>
      </c>
    </row>
    <row r="1186" spans="14:36" x14ac:dyDescent="0.3">
      <c r="N1186" s="8">
        <v>2026</v>
      </c>
      <c r="O1186" s="8">
        <v>5</v>
      </c>
      <c r="P1186" s="9">
        <v>46158</v>
      </c>
      <c r="Q1186" t="s">
        <v>238</v>
      </c>
      <c r="R1186" t="s">
        <v>374</v>
      </c>
      <c r="S1186" t="s">
        <v>375</v>
      </c>
      <c r="T1186" t="s">
        <v>376</v>
      </c>
      <c r="U1186" t="s">
        <v>377</v>
      </c>
      <c r="V1186" t="s">
        <v>243</v>
      </c>
      <c r="W1186" t="s">
        <v>244</v>
      </c>
      <c r="X1186" t="s">
        <v>1276</v>
      </c>
      <c r="Y1186" t="s">
        <v>194</v>
      </c>
      <c r="Z1186" t="s">
        <v>200</v>
      </c>
      <c r="AA1186" t="s">
        <v>201</v>
      </c>
      <c r="AB1186" t="s">
        <v>89</v>
      </c>
      <c r="AC1186" t="s">
        <v>87</v>
      </c>
      <c r="AD1186" t="s">
        <v>88</v>
      </c>
      <c r="AE1186" s="7">
        <v>46000</v>
      </c>
      <c r="AF1186" s="7">
        <v>1</v>
      </c>
      <c r="AG1186" s="7">
        <v>46000</v>
      </c>
      <c r="AH1186" s="7">
        <v>0</v>
      </c>
      <c r="AI1186" s="7">
        <v>46000</v>
      </c>
      <c r="AJ1186" t="s">
        <v>87</v>
      </c>
    </row>
    <row r="1187" spans="14:36" x14ac:dyDescent="0.3">
      <c r="N1187" s="8">
        <v>2026</v>
      </c>
      <c r="O1187" s="8">
        <v>5</v>
      </c>
      <c r="P1187" s="9">
        <v>46158</v>
      </c>
      <c r="Q1187" t="s">
        <v>238</v>
      </c>
      <c r="R1187" t="s">
        <v>374</v>
      </c>
      <c r="S1187" t="s">
        <v>375</v>
      </c>
      <c r="T1187" t="s">
        <v>812</v>
      </c>
      <c r="U1187" t="s">
        <v>813</v>
      </c>
      <c r="V1187" t="s">
        <v>246</v>
      </c>
      <c r="W1187" t="s">
        <v>244</v>
      </c>
      <c r="X1187" t="s">
        <v>1277</v>
      </c>
      <c r="Y1187" t="s">
        <v>191</v>
      </c>
      <c r="Z1187" t="s">
        <v>335</v>
      </c>
      <c r="AA1187" t="s">
        <v>337</v>
      </c>
      <c r="AB1187" t="s">
        <v>348</v>
      </c>
      <c r="AC1187" t="s">
        <v>349</v>
      </c>
      <c r="AD1187" t="s">
        <v>350</v>
      </c>
      <c r="AE1187" s="7">
        <v>76000</v>
      </c>
      <c r="AF1187" s="7">
        <v>1</v>
      </c>
      <c r="AG1187" s="7">
        <v>76000</v>
      </c>
      <c r="AH1187" s="7">
        <v>0</v>
      </c>
      <c r="AI1187" s="7">
        <v>76000</v>
      </c>
      <c r="AJ1187" t="s">
        <v>349</v>
      </c>
    </row>
    <row r="1188" spans="14:36" x14ac:dyDescent="0.3">
      <c r="N1188" s="8">
        <v>2026</v>
      </c>
      <c r="O1188" s="8">
        <v>5</v>
      </c>
      <c r="P1188" s="9">
        <v>46158</v>
      </c>
      <c r="Q1188" t="s">
        <v>238</v>
      </c>
      <c r="R1188" t="s">
        <v>396</v>
      </c>
      <c r="S1188" t="s">
        <v>397</v>
      </c>
      <c r="T1188" t="s">
        <v>1281</v>
      </c>
      <c r="U1188" t="s">
        <v>1282</v>
      </c>
      <c r="V1188" t="s">
        <v>246</v>
      </c>
      <c r="W1188" t="s">
        <v>244</v>
      </c>
      <c r="X1188" t="s">
        <v>1283</v>
      </c>
      <c r="Y1188" t="s">
        <v>191</v>
      </c>
      <c r="Z1188" t="s">
        <v>335</v>
      </c>
      <c r="AA1188" t="s">
        <v>336</v>
      </c>
      <c r="AB1188" t="s">
        <v>1284</v>
      </c>
      <c r="AC1188" t="s">
        <v>1285</v>
      </c>
      <c r="AD1188" t="s">
        <v>1286</v>
      </c>
      <c r="AE1188" s="7">
        <v>99000</v>
      </c>
      <c r="AF1188" s="7">
        <v>1</v>
      </c>
      <c r="AG1188" s="7">
        <v>99000</v>
      </c>
      <c r="AH1188" s="7">
        <v>44550</v>
      </c>
      <c r="AI1188" s="7">
        <v>54450</v>
      </c>
      <c r="AJ1188" t="s">
        <v>1285</v>
      </c>
    </row>
    <row r="1189" spans="14:36" x14ac:dyDescent="0.3">
      <c r="N1189" s="8">
        <v>2026</v>
      </c>
      <c r="O1189" s="8">
        <v>5</v>
      </c>
      <c r="P1189" s="9">
        <v>46158</v>
      </c>
      <c r="Q1189" t="s">
        <v>238</v>
      </c>
      <c r="R1189" t="s">
        <v>396</v>
      </c>
      <c r="S1189" t="s">
        <v>397</v>
      </c>
      <c r="T1189" t="s">
        <v>1287</v>
      </c>
      <c r="U1189" t="s">
        <v>4015</v>
      </c>
      <c r="V1189" t="s">
        <v>249</v>
      </c>
      <c r="W1189" t="s">
        <v>244</v>
      </c>
      <c r="X1189" t="s">
        <v>1288</v>
      </c>
      <c r="Y1189" t="s">
        <v>168</v>
      </c>
      <c r="Z1189" t="s">
        <v>171</v>
      </c>
      <c r="AA1189" t="s">
        <v>173</v>
      </c>
      <c r="AB1189" t="s">
        <v>29</v>
      </c>
      <c r="AC1189" t="s">
        <v>27</v>
      </c>
      <c r="AD1189" t="s">
        <v>28</v>
      </c>
      <c r="AE1189" s="7">
        <v>575000</v>
      </c>
      <c r="AF1189" s="7">
        <v>1</v>
      </c>
      <c r="AG1189" s="7">
        <v>575000</v>
      </c>
      <c r="AH1189" s="7">
        <v>0</v>
      </c>
      <c r="AI1189" s="7">
        <v>575000</v>
      </c>
      <c r="AJ1189" t="s">
        <v>27</v>
      </c>
    </row>
    <row r="1190" spans="14:36" x14ac:dyDescent="0.3">
      <c r="N1190" s="8">
        <v>2026</v>
      </c>
      <c r="O1190" s="8">
        <v>5</v>
      </c>
      <c r="P1190" s="9">
        <v>46158</v>
      </c>
      <c r="Q1190" t="s">
        <v>238</v>
      </c>
      <c r="R1190" t="s">
        <v>396</v>
      </c>
      <c r="S1190" t="s">
        <v>397</v>
      </c>
      <c r="T1190" t="s">
        <v>1287</v>
      </c>
      <c r="U1190" t="s">
        <v>4015</v>
      </c>
      <c r="V1190" t="s">
        <v>249</v>
      </c>
      <c r="W1190" t="s">
        <v>244</v>
      </c>
      <c r="X1190" t="s">
        <v>1288</v>
      </c>
      <c r="Y1190" t="s">
        <v>168</v>
      </c>
      <c r="Z1190" t="s">
        <v>171</v>
      </c>
      <c r="AA1190" t="s">
        <v>173</v>
      </c>
      <c r="AB1190" t="s">
        <v>26</v>
      </c>
      <c r="AC1190" t="s">
        <v>24</v>
      </c>
      <c r="AD1190" t="s">
        <v>25</v>
      </c>
      <c r="AE1190" s="7">
        <v>555000</v>
      </c>
      <c r="AF1190" s="7">
        <v>1</v>
      </c>
      <c r="AG1190" s="7">
        <v>555000</v>
      </c>
      <c r="AH1190" s="7">
        <v>0</v>
      </c>
      <c r="AI1190" s="7">
        <v>555000</v>
      </c>
      <c r="AJ1190" t="s">
        <v>24</v>
      </c>
    </row>
    <row r="1191" spans="14:36" x14ac:dyDescent="0.3">
      <c r="N1191" s="8">
        <v>2026</v>
      </c>
      <c r="O1191" s="8">
        <v>5</v>
      </c>
      <c r="P1191" s="9">
        <v>46158</v>
      </c>
      <c r="Q1191" t="s">
        <v>238</v>
      </c>
      <c r="R1191" t="s">
        <v>415</v>
      </c>
      <c r="S1191" t="s">
        <v>416</v>
      </c>
      <c r="T1191" t="s">
        <v>1196</v>
      </c>
      <c r="U1191" t="s">
        <v>451</v>
      </c>
      <c r="V1191" t="s">
        <v>246</v>
      </c>
      <c r="W1191" t="s">
        <v>244</v>
      </c>
      <c r="X1191" t="s">
        <v>1290</v>
      </c>
      <c r="Y1191" t="s">
        <v>191</v>
      </c>
      <c r="Z1191" t="s">
        <v>335</v>
      </c>
      <c r="AA1191" t="s">
        <v>336</v>
      </c>
      <c r="AB1191" t="s">
        <v>1146</v>
      </c>
      <c r="AC1191" t="s">
        <v>1147</v>
      </c>
      <c r="AD1191" t="s">
        <v>1148</v>
      </c>
      <c r="AE1191" s="7">
        <v>99000</v>
      </c>
      <c r="AF1191" s="7">
        <v>1</v>
      </c>
      <c r="AG1191" s="7">
        <v>99000</v>
      </c>
      <c r="AH1191" s="7">
        <v>44550</v>
      </c>
      <c r="AI1191" s="7">
        <v>54450</v>
      </c>
      <c r="AJ1191" t="s">
        <v>1147</v>
      </c>
    </row>
    <row r="1192" spans="14:36" x14ac:dyDescent="0.3">
      <c r="N1192" s="8">
        <v>2026</v>
      </c>
      <c r="O1192" s="8">
        <v>5</v>
      </c>
      <c r="P1192" s="9">
        <v>46158</v>
      </c>
      <c r="Q1192" t="s">
        <v>238</v>
      </c>
      <c r="R1192" t="s">
        <v>425</v>
      </c>
      <c r="S1192" t="s">
        <v>426</v>
      </c>
      <c r="T1192" t="s">
        <v>1291</v>
      </c>
      <c r="U1192" t="s">
        <v>296</v>
      </c>
      <c r="V1192" t="s">
        <v>246</v>
      </c>
      <c r="W1192" t="s">
        <v>244</v>
      </c>
      <c r="X1192" t="s">
        <v>1292</v>
      </c>
      <c r="Y1192" t="s">
        <v>191</v>
      </c>
      <c r="Z1192" t="s">
        <v>335</v>
      </c>
      <c r="AA1192" t="s">
        <v>337</v>
      </c>
      <c r="AB1192" t="s">
        <v>348</v>
      </c>
      <c r="AC1192" t="s">
        <v>349</v>
      </c>
      <c r="AD1192" t="s">
        <v>350</v>
      </c>
      <c r="AE1192" s="7">
        <v>76000</v>
      </c>
      <c r="AF1192" s="7">
        <v>1</v>
      </c>
      <c r="AG1192" s="7">
        <v>76000</v>
      </c>
      <c r="AH1192" s="7">
        <v>0</v>
      </c>
      <c r="AI1192" s="7">
        <v>76000</v>
      </c>
      <c r="AJ1192" t="s">
        <v>349</v>
      </c>
    </row>
    <row r="1193" spans="14:36" x14ac:dyDescent="0.3">
      <c r="N1193" s="8">
        <v>2026</v>
      </c>
      <c r="O1193" s="8">
        <v>5</v>
      </c>
      <c r="P1193" s="9">
        <v>46158</v>
      </c>
      <c r="Q1193" t="s">
        <v>238</v>
      </c>
      <c r="R1193" t="s">
        <v>425</v>
      </c>
      <c r="S1193" t="s">
        <v>426</v>
      </c>
      <c r="T1193" t="s">
        <v>1293</v>
      </c>
      <c r="U1193" t="s">
        <v>324</v>
      </c>
      <c r="V1193" t="s">
        <v>246</v>
      </c>
      <c r="W1193" t="s">
        <v>244</v>
      </c>
      <c r="X1193" t="s">
        <v>1294</v>
      </c>
      <c r="Y1193" t="s">
        <v>168</v>
      </c>
      <c r="Z1193" t="s">
        <v>171</v>
      </c>
      <c r="AA1193" t="s">
        <v>174</v>
      </c>
      <c r="AB1193" t="s">
        <v>32</v>
      </c>
      <c r="AC1193" t="s">
        <v>30</v>
      </c>
      <c r="AD1193" t="s">
        <v>31</v>
      </c>
      <c r="AE1193" s="7">
        <v>455000</v>
      </c>
      <c r="AF1193" s="7">
        <v>1</v>
      </c>
      <c r="AG1193" s="7">
        <v>455000</v>
      </c>
      <c r="AH1193" s="7">
        <v>0</v>
      </c>
      <c r="AI1193" s="7">
        <v>455000</v>
      </c>
      <c r="AJ1193" t="s">
        <v>30</v>
      </c>
    </row>
    <row r="1194" spans="14:36" x14ac:dyDescent="0.3">
      <c r="N1194" s="8">
        <v>2026</v>
      </c>
      <c r="O1194" s="8">
        <v>5</v>
      </c>
      <c r="P1194" s="9">
        <v>46158</v>
      </c>
      <c r="Q1194" t="s">
        <v>238</v>
      </c>
      <c r="R1194" t="s">
        <v>425</v>
      </c>
      <c r="S1194" t="s">
        <v>426</v>
      </c>
      <c r="T1194" t="s">
        <v>1295</v>
      </c>
      <c r="U1194" t="s">
        <v>385</v>
      </c>
      <c r="V1194" t="s">
        <v>249</v>
      </c>
      <c r="W1194" t="s">
        <v>244</v>
      </c>
      <c r="X1194" t="s">
        <v>1296</v>
      </c>
      <c r="Y1194" t="s">
        <v>194</v>
      </c>
      <c r="Z1194" t="s">
        <v>200</v>
      </c>
      <c r="AA1194" t="s">
        <v>201</v>
      </c>
      <c r="AB1194" t="s">
        <v>80</v>
      </c>
      <c r="AC1194" t="s">
        <v>78</v>
      </c>
      <c r="AD1194" t="s">
        <v>79</v>
      </c>
      <c r="AE1194" s="7">
        <v>14000</v>
      </c>
      <c r="AF1194" s="7">
        <v>1</v>
      </c>
      <c r="AG1194" s="7">
        <v>14000</v>
      </c>
      <c r="AH1194" s="7">
        <v>0</v>
      </c>
      <c r="AI1194" s="7">
        <v>14000</v>
      </c>
      <c r="AJ1194" t="s">
        <v>78</v>
      </c>
    </row>
    <row r="1195" spans="14:36" x14ac:dyDescent="0.3">
      <c r="N1195" s="8">
        <v>2026</v>
      </c>
      <c r="O1195" s="8">
        <v>5</v>
      </c>
      <c r="P1195" s="9">
        <v>46157</v>
      </c>
      <c r="Q1195" t="s">
        <v>238</v>
      </c>
      <c r="R1195" t="s">
        <v>239</v>
      </c>
      <c r="S1195" t="s">
        <v>240</v>
      </c>
      <c r="T1195" t="s">
        <v>1297</v>
      </c>
      <c r="U1195" t="s">
        <v>1298</v>
      </c>
      <c r="V1195" t="s">
        <v>246</v>
      </c>
      <c r="W1195" t="s">
        <v>244</v>
      </c>
      <c r="X1195" t="s">
        <v>1299</v>
      </c>
      <c r="Y1195" t="s">
        <v>168</v>
      </c>
      <c r="Z1195" t="s">
        <v>171</v>
      </c>
      <c r="AA1195" t="s">
        <v>175</v>
      </c>
      <c r="AB1195" t="s">
        <v>44</v>
      </c>
      <c r="AC1195" t="s">
        <v>42</v>
      </c>
      <c r="AD1195" t="s">
        <v>43</v>
      </c>
      <c r="AE1195" s="7">
        <v>294000</v>
      </c>
      <c r="AF1195" s="7">
        <v>1</v>
      </c>
      <c r="AG1195" s="7">
        <v>294000</v>
      </c>
      <c r="AH1195" s="7">
        <v>0</v>
      </c>
      <c r="AI1195" s="7">
        <v>294000</v>
      </c>
      <c r="AJ1195" t="s">
        <v>42</v>
      </c>
    </row>
    <row r="1196" spans="14:36" x14ac:dyDescent="0.3">
      <c r="N1196" s="8">
        <v>2026</v>
      </c>
      <c r="O1196" s="8">
        <v>5</v>
      </c>
      <c r="P1196" s="9">
        <v>46157</v>
      </c>
      <c r="Q1196" t="s">
        <v>238</v>
      </c>
      <c r="R1196" t="s">
        <v>239</v>
      </c>
      <c r="S1196" t="s">
        <v>240</v>
      </c>
      <c r="T1196" t="s">
        <v>1301</v>
      </c>
      <c r="U1196" t="s">
        <v>3987</v>
      </c>
      <c r="V1196" t="s">
        <v>246</v>
      </c>
      <c r="W1196" t="s">
        <v>244</v>
      </c>
      <c r="X1196" t="s">
        <v>1302</v>
      </c>
      <c r="Y1196" t="s">
        <v>194</v>
      </c>
      <c r="Z1196" t="s">
        <v>195</v>
      </c>
      <c r="AA1196" t="s">
        <v>196</v>
      </c>
      <c r="AB1196" t="s">
        <v>56</v>
      </c>
      <c r="AC1196" t="s">
        <v>54</v>
      </c>
      <c r="AD1196" t="s">
        <v>55</v>
      </c>
      <c r="AE1196" s="7">
        <v>295000</v>
      </c>
      <c r="AF1196" s="7">
        <v>1</v>
      </c>
      <c r="AG1196" s="7">
        <v>295000</v>
      </c>
      <c r="AH1196" s="7">
        <v>0</v>
      </c>
      <c r="AI1196" s="7">
        <v>295000</v>
      </c>
      <c r="AJ1196" t="s">
        <v>54</v>
      </c>
    </row>
    <row r="1197" spans="14:36" x14ac:dyDescent="0.3">
      <c r="N1197" s="8">
        <v>2026</v>
      </c>
      <c r="O1197" s="8">
        <v>5</v>
      </c>
      <c r="P1197" s="9">
        <v>46157</v>
      </c>
      <c r="Q1197" t="s">
        <v>238</v>
      </c>
      <c r="R1197" t="s">
        <v>279</v>
      </c>
      <c r="S1197" t="s">
        <v>280</v>
      </c>
      <c r="T1197" t="s">
        <v>1303</v>
      </c>
      <c r="U1197" t="s">
        <v>4025</v>
      </c>
      <c r="V1197" t="s">
        <v>246</v>
      </c>
      <c r="W1197" t="s">
        <v>244</v>
      </c>
      <c r="X1197" t="s">
        <v>1304</v>
      </c>
      <c r="Y1197" t="s">
        <v>191</v>
      </c>
      <c r="Z1197" t="s">
        <v>192</v>
      </c>
      <c r="AA1197" t="s">
        <v>193</v>
      </c>
      <c r="AB1197" t="s">
        <v>119</v>
      </c>
      <c r="AC1197" t="s">
        <v>117</v>
      </c>
      <c r="AD1197" t="s">
        <v>118</v>
      </c>
      <c r="AE1197" s="7">
        <v>235000</v>
      </c>
      <c r="AF1197" s="7">
        <v>1</v>
      </c>
      <c r="AG1197" s="7">
        <v>235000</v>
      </c>
      <c r="AH1197" s="7">
        <v>0</v>
      </c>
      <c r="AI1197" s="7">
        <v>235000</v>
      </c>
      <c r="AJ1197" t="s">
        <v>117</v>
      </c>
    </row>
    <row r="1198" spans="14:36" x14ac:dyDescent="0.3">
      <c r="N1198" s="8">
        <v>2026</v>
      </c>
      <c r="O1198" s="8">
        <v>5</v>
      </c>
      <c r="P1198" s="9">
        <v>46157</v>
      </c>
      <c r="Q1198" t="s">
        <v>238</v>
      </c>
      <c r="R1198" t="s">
        <v>303</v>
      </c>
      <c r="S1198" t="s">
        <v>304</v>
      </c>
      <c r="T1198" t="s">
        <v>1305</v>
      </c>
      <c r="U1198" t="s">
        <v>4026</v>
      </c>
      <c r="V1198" t="s">
        <v>246</v>
      </c>
      <c r="W1198" t="s">
        <v>244</v>
      </c>
      <c r="X1198" t="s">
        <v>1306</v>
      </c>
      <c r="Y1198" t="s">
        <v>168</v>
      </c>
      <c r="Z1198" t="s">
        <v>171</v>
      </c>
      <c r="AA1198" t="s">
        <v>175</v>
      </c>
      <c r="AB1198" t="s">
        <v>44</v>
      </c>
      <c r="AC1198" t="s">
        <v>42</v>
      </c>
      <c r="AD1198" t="s">
        <v>43</v>
      </c>
      <c r="AE1198" s="7">
        <v>294000</v>
      </c>
      <c r="AF1198" s="7">
        <v>1</v>
      </c>
      <c r="AG1198" s="7">
        <v>294000</v>
      </c>
      <c r="AH1198" s="7">
        <v>35000</v>
      </c>
      <c r="AI1198" s="7">
        <v>259000</v>
      </c>
      <c r="AJ1198" t="s">
        <v>42</v>
      </c>
    </row>
    <row r="1199" spans="14:36" x14ac:dyDescent="0.3">
      <c r="N1199" s="8">
        <v>2026</v>
      </c>
      <c r="O1199" s="8">
        <v>5</v>
      </c>
      <c r="P1199" s="9">
        <v>46157</v>
      </c>
      <c r="Q1199" t="s">
        <v>238</v>
      </c>
      <c r="R1199" t="s">
        <v>303</v>
      </c>
      <c r="S1199" t="s">
        <v>304</v>
      </c>
      <c r="T1199" t="s">
        <v>1307</v>
      </c>
      <c r="U1199" t="s">
        <v>324</v>
      </c>
      <c r="V1199" t="s">
        <v>249</v>
      </c>
      <c r="W1199" t="s">
        <v>244</v>
      </c>
      <c r="X1199" t="s">
        <v>1308</v>
      </c>
      <c r="Y1199" t="s">
        <v>191</v>
      </c>
      <c r="Z1199" t="s">
        <v>192</v>
      </c>
      <c r="AA1199" t="s">
        <v>193</v>
      </c>
      <c r="AB1199" t="s">
        <v>107</v>
      </c>
      <c r="AC1199" t="s">
        <v>105</v>
      </c>
      <c r="AD1199" t="s">
        <v>106</v>
      </c>
      <c r="AE1199" s="7">
        <v>235000</v>
      </c>
      <c r="AF1199" s="7">
        <v>1</v>
      </c>
      <c r="AG1199" s="7">
        <v>235000</v>
      </c>
      <c r="AH1199" s="7">
        <v>0</v>
      </c>
      <c r="AI1199" s="7">
        <v>235000</v>
      </c>
      <c r="AJ1199" t="s">
        <v>105</v>
      </c>
    </row>
    <row r="1200" spans="14:36" x14ac:dyDescent="0.3">
      <c r="N1200" s="8">
        <v>2026</v>
      </c>
      <c r="O1200" s="8">
        <v>5</v>
      </c>
      <c r="P1200" s="9">
        <v>46157</v>
      </c>
      <c r="Q1200" t="s">
        <v>238</v>
      </c>
      <c r="R1200" t="s">
        <v>303</v>
      </c>
      <c r="S1200" t="s">
        <v>304</v>
      </c>
      <c r="T1200" t="s">
        <v>1309</v>
      </c>
      <c r="U1200" t="s">
        <v>3946</v>
      </c>
      <c r="V1200" t="s">
        <v>246</v>
      </c>
      <c r="W1200" t="s">
        <v>244</v>
      </c>
      <c r="X1200" t="s">
        <v>1310</v>
      </c>
      <c r="Y1200" t="s">
        <v>191</v>
      </c>
      <c r="Z1200" t="s">
        <v>192</v>
      </c>
      <c r="AA1200" t="s">
        <v>193</v>
      </c>
      <c r="AB1200" t="s">
        <v>110</v>
      </c>
      <c r="AC1200" t="s">
        <v>108</v>
      </c>
      <c r="AD1200" t="s">
        <v>109</v>
      </c>
      <c r="AE1200" s="7">
        <v>235000</v>
      </c>
      <c r="AF1200" s="7">
        <v>3</v>
      </c>
      <c r="AG1200" s="7">
        <v>705000</v>
      </c>
      <c r="AH1200" s="7">
        <v>0</v>
      </c>
      <c r="AI1200" s="7">
        <v>705000</v>
      </c>
      <c r="AJ1200" t="s">
        <v>108</v>
      </c>
    </row>
    <row r="1201" spans="14:36" x14ac:dyDescent="0.3">
      <c r="N1201" s="8">
        <v>2026</v>
      </c>
      <c r="O1201" s="8">
        <v>5</v>
      </c>
      <c r="P1201" s="9">
        <v>46157</v>
      </c>
      <c r="Q1201" t="s">
        <v>238</v>
      </c>
      <c r="R1201" t="s">
        <v>351</v>
      </c>
      <c r="S1201" t="s">
        <v>352</v>
      </c>
      <c r="T1201" t="s">
        <v>1311</v>
      </c>
      <c r="U1201" t="s">
        <v>1312</v>
      </c>
      <c r="V1201" t="s">
        <v>246</v>
      </c>
      <c r="W1201" t="s">
        <v>244</v>
      </c>
      <c r="X1201" t="s">
        <v>1313</v>
      </c>
      <c r="Y1201" t="s">
        <v>194</v>
      </c>
      <c r="Z1201" t="s">
        <v>200</v>
      </c>
      <c r="AA1201" t="s">
        <v>201</v>
      </c>
      <c r="AB1201" t="s">
        <v>89</v>
      </c>
      <c r="AC1201" t="s">
        <v>87</v>
      </c>
      <c r="AD1201" t="s">
        <v>88</v>
      </c>
      <c r="AE1201" s="7">
        <v>46000</v>
      </c>
      <c r="AF1201" s="7">
        <v>1</v>
      </c>
      <c r="AG1201" s="7">
        <v>46000</v>
      </c>
      <c r="AH1201" s="7">
        <v>0</v>
      </c>
      <c r="AI1201" s="7">
        <v>46000</v>
      </c>
      <c r="AJ1201" t="s">
        <v>87</v>
      </c>
    </row>
    <row r="1202" spans="14:36" x14ac:dyDescent="0.3">
      <c r="N1202" s="8">
        <v>2026</v>
      </c>
      <c r="O1202" s="8">
        <v>5</v>
      </c>
      <c r="P1202" s="9">
        <v>46157</v>
      </c>
      <c r="Q1202" t="s">
        <v>238</v>
      </c>
      <c r="R1202" t="s">
        <v>351</v>
      </c>
      <c r="S1202" t="s">
        <v>352</v>
      </c>
      <c r="T1202" t="s">
        <v>1311</v>
      </c>
      <c r="U1202" t="s">
        <v>1312</v>
      </c>
      <c r="V1202" t="s">
        <v>246</v>
      </c>
      <c r="W1202" t="s">
        <v>244</v>
      </c>
      <c r="X1202" t="s">
        <v>1313</v>
      </c>
      <c r="Y1202" t="s">
        <v>194</v>
      </c>
      <c r="Z1202" t="s">
        <v>200</v>
      </c>
      <c r="AA1202" t="s">
        <v>201</v>
      </c>
      <c r="AB1202" t="s">
        <v>77</v>
      </c>
      <c r="AC1202" t="s">
        <v>75</v>
      </c>
      <c r="AD1202" t="s">
        <v>76</v>
      </c>
      <c r="AE1202" s="7">
        <v>52000</v>
      </c>
      <c r="AF1202" s="7">
        <v>1</v>
      </c>
      <c r="AG1202" s="7">
        <v>52000</v>
      </c>
      <c r="AH1202" s="7">
        <v>0</v>
      </c>
      <c r="AI1202" s="7">
        <v>52000</v>
      </c>
      <c r="AJ1202" t="s">
        <v>75</v>
      </c>
    </row>
    <row r="1203" spans="14:36" x14ac:dyDescent="0.3">
      <c r="N1203" s="8">
        <v>2026</v>
      </c>
      <c r="O1203" s="8">
        <v>5</v>
      </c>
      <c r="P1203" s="9">
        <v>46157</v>
      </c>
      <c r="Q1203" t="s">
        <v>238</v>
      </c>
      <c r="R1203" t="s">
        <v>374</v>
      </c>
      <c r="S1203" t="s">
        <v>375</v>
      </c>
      <c r="T1203" t="s">
        <v>990</v>
      </c>
      <c r="U1203" t="s">
        <v>671</v>
      </c>
      <c r="V1203" t="s">
        <v>246</v>
      </c>
      <c r="W1203" t="s">
        <v>244</v>
      </c>
      <c r="X1203" t="s">
        <v>1314</v>
      </c>
      <c r="Y1203" t="s">
        <v>194</v>
      </c>
      <c r="Z1203" t="s">
        <v>200</v>
      </c>
      <c r="AA1203" t="s">
        <v>201</v>
      </c>
      <c r="AB1203" t="s">
        <v>80</v>
      </c>
      <c r="AC1203" t="s">
        <v>78</v>
      </c>
      <c r="AD1203" t="s">
        <v>79</v>
      </c>
      <c r="AE1203" s="7">
        <v>14000</v>
      </c>
      <c r="AF1203" s="7">
        <v>1</v>
      </c>
      <c r="AG1203" s="7">
        <v>14000</v>
      </c>
      <c r="AH1203" s="7">
        <v>0</v>
      </c>
      <c r="AI1203" s="7">
        <v>14000</v>
      </c>
      <c r="AJ1203" t="s">
        <v>78</v>
      </c>
    </row>
    <row r="1204" spans="14:36" x14ac:dyDescent="0.3">
      <c r="N1204" s="8">
        <v>2026</v>
      </c>
      <c r="O1204" s="8">
        <v>5</v>
      </c>
      <c r="P1204" s="9">
        <v>46157</v>
      </c>
      <c r="Q1204" t="s">
        <v>238</v>
      </c>
      <c r="R1204" t="s">
        <v>374</v>
      </c>
      <c r="S1204" t="s">
        <v>375</v>
      </c>
      <c r="T1204" t="s">
        <v>713</v>
      </c>
      <c r="U1204" t="s">
        <v>3766</v>
      </c>
      <c r="V1204" t="s">
        <v>246</v>
      </c>
      <c r="W1204" t="s">
        <v>244</v>
      </c>
      <c r="X1204" t="s">
        <v>1317</v>
      </c>
      <c r="Y1204" t="s">
        <v>194</v>
      </c>
      <c r="Z1204" t="s">
        <v>200</v>
      </c>
      <c r="AA1204" t="s">
        <v>201</v>
      </c>
      <c r="AB1204" t="s">
        <v>86</v>
      </c>
      <c r="AC1204" t="s">
        <v>84</v>
      </c>
      <c r="AD1204" t="s">
        <v>85</v>
      </c>
      <c r="AE1204" s="7">
        <v>49000</v>
      </c>
      <c r="AF1204" s="7">
        <v>1</v>
      </c>
      <c r="AG1204" s="7">
        <v>49000</v>
      </c>
      <c r="AH1204" s="7">
        <v>0</v>
      </c>
      <c r="AI1204" s="7">
        <v>49000</v>
      </c>
      <c r="AJ1204" t="s">
        <v>84</v>
      </c>
    </row>
    <row r="1205" spans="14:36" x14ac:dyDescent="0.3">
      <c r="N1205" s="8">
        <v>2026</v>
      </c>
      <c r="O1205" s="8">
        <v>5</v>
      </c>
      <c r="P1205" s="9">
        <v>46157</v>
      </c>
      <c r="Q1205" t="s">
        <v>238</v>
      </c>
      <c r="R1205" t="s">
        <v>374</v>
      </c>
      <c r="S1205" t="s">
        <v>375</v>
      </c>
      <c r="T1205" t="s">
        <v>1318</v>
      </c>
      <c r="U1205" t="s">
        <v>4027</v>
      </c>
      <c r="V1205" t="s">
        <v>249</v>
      </c>
      <c r="W1205" t="s">
        <v>244</v>
      </c>
      <c r="X1205" t="s">
        <v>1319</v>
      </c>
      <c r="Y1205" t="s">
        <v>168</v>
      </c>
      <c r="Z1205" t="s">
        <v>171</v>
      </c>
      <c r="AA1205" t="s">
        <v>172</v>
      </c>
      <c r="AB1205" t="s">
        <v>14</v>
      </c>
      <c r="AC1205" t="s">
        <v>12</v>
      </c>
      <c r="AD1205" t="s">
        <v>13</v>
      </c>
      <c r="AE1205" s="7">
        <v>135000</v>
      </c>
      <c r="AF1205" s="7">
        <v>1</v>
      </c>
      <c r="AG1205" s="7">
        <v>135000</v>
      </c>
      <c r="AH1205" s="7">
        <v>0</v>
      </c>
      <c r="AI1205" s="7">
        <v>135000</v>
      </c>
      <c r="AJ1205" t="s">
        <v>12</v>
      </c>
    </row>
    <row r="1206" spans="14:36" x14ac:dyDescent="0.3">
      <c r="N1206" s="8">
        <v>2026</v>
      </c>
      <c r="O1206" s="8">
        <v>5</v>
      </c>
      <c r="P1206" s="9">
        <v>46157</v>
      </c>
      <c r="Q1206" t="s">
        <v>238</v>
      </c>
      <c r="R1206" t="s">
        <v>396</v>
      </c>
      <c r="S1206" t="s">
        <v>397</v>
      </c>
      <c r="T1206" t="s">
        <v>398</v>
      </c>
      <c r="U1206" t="s">
        <v>399</v>
      </c>
      <c r="V1206" t="s">
        <v>243</v>
      </c>
      <c r="W1206" t="s">
        <v>244</v>
      </c>
      <c r="X1206" t="s">
        <v>1320</v>
      </c>
      <c r="Y1206" t="s">
        <v>183</v>
      </c>
      <c r="Z1206" t="s">
        <v>189</v>
      </c>
      <c r="AA1206" t="s">
        <v>190</v>
      </c>
      <c r="AB1206" t="s">
        <v>92</v>
      </c>
      <c r="AC1206" t="s">
        <v>90</v>
      </c>
      <c r="AD1206" t="s">
        <v>91</v>
      </c>
      <c r="AE1206" s="7">
        <v>52000</v>
      </c>
      <c r="AF1206" s="7">
        <v>1</v>
      </c>
      <c r="AG1206" s="7">
        <v>52000</v>
      </c>
      <c r="AH1206" s="7">
        <v>0</v>
      </c>
      <c r="AI1206" s="7">
        <v>52000</v>
      </c>
      <c r="AJ1206" t="s">
        <v>90</v>
      </c>
    </row>
    <row r="1207" spans="14:36" x14ac:dyDescent="0.3">
      <c r="N1207" s="8">
        <v>2026</v>
      </c>
      <c r="O1207" s="8">
        <v>5</v>
      </c>
      <c r="P1207" s="9">
        <v>46157</v>
      </c>
      <c r="Q1207" t="s">
        <v>238</v>
      </c>
      <c r="R1207" t="s">
        <v>415</v>
      </c>
      <c r="S1207" t="s">
        <v>416</v>
      </c>
      <c r="T1207" t="s">
        <v>821</v>
      </c>
      <c r="U1207" t="s">
        <v>4028</v>
      </c>
      <c r="V1207" t="s">
        <v>246</v>
      </c>
      <c r="W1207" t="s">
        <v>244</v>
      </c>
      <c r="X1207" t="s">
        <v>1324</v>
      </c>
      <c r="Y1207" t="s">
        <v>191</v>
      </c>
      <c r="Z1207" t="s">
        <v>335</v>
      </c>
      <c r="AA1207" t="s">
        <v>336</v>
      </c>
      <c r="AB1207" t="s">
        <v>1146</v>
      </c>
      <c r="AC1207" t="s">
        <v>1147</v>
      </c>
      <c r="AD1207" t="s">
        <v>1148</v>
      </c>
      <c r="AE1207" s="7">
        <v>99000</v>
      </c>
      <c r="AF1207" s="7">
        <v>1</v>
      </c>
      <c r="AG1207" s="7">
        <v>99000</v>
      </c>
      <c r="AH1207" s="7">
        <v>44550</v>
      </c>
      <c r="AI1207" s="7">
        <v>54450</v>
      </c>
      <c r="AJ1207" t="s">
        <v>1147</v>
      </c>
    </row>
    <row r="1208" spans="14:36" x14ac:dyDescent="0.3">
      <c r="N1208" s="8">
        <v>2026</v>
      </c>
      <c r="O1208" s="8">
        <v>5</v>
      </c>
      <c r="P1208" s="9">
        <v>46157</v>
      </c>
      <c r="Q1208" t="s">
        <v>238</v>
      </c>
      <c r="R1208" t="s">
        <v>415</v>
      </c>
      <c r="S1208" t="s">
        <v>416</v>
      </c>
      <c r="T1208" t="s">
        <v>1325</v>
      </c>
      <c r="U1208" t="s">
        <v>706</v>
      </c>
      <c r="V1208" t="s">
        <v>246</v>
      </c>
      <c r="W1208" t="s">
        <v>244</v>
      </c>
      <c r="X1208" t="s">
        <v>1326</v>
      </c>
      <c r="Y1208" t="s">
        <v>183</v>
      </c>
      <c r="Z1208" t="s">
        <v>186</v>
      </c>
      <c r="AA1208" t="s">
        <v>188</v>
      </c>
      <c r="AB1208" t="s">
        <v>98</v>
      </c>
      <c r="AC1208" t="s">
        <v>96</v>
      </c>
      <c r="AD1208" t="s">
        <v>97</v>
      </c>
      <c r="AE1208" s="7">
        <v>239000</v>
      </c>
      <c r="AF1208" s="7">
        <v>1</v>
      </c>
      <c r="AG1208" s="7">
        <v>239000</v>
      </c>
      <c r="AH1208" s="7">
        <v>11950</v>
      </c>
      <c r="AI1208" s="7">
        <v>227050</v>
      </c>
      <c r="AJ1208" t="s">
        <v>96</v>
      </c>
    </row>
    <row r="1209" spans="14:36" x14ac:dyDescent="0.3">
      <c r="N1209" s="8">
        <v>2026</v>
      </c>
      <c r="O1209" s="8">
        <v>5</v>
      </c>
      <c r="P1209" s="9">
        <v>46157</v>
      </c>
      <c r="Q1209" t="s">
        <v>238</v>
      </c>
      <c r="R1209" t="s">
        <v>415</v>
      </c>
      <c r="S1209" t="s">
        <v>416</v>
      </c>
      <c r="T1209" t="s">
        <v>1325</v>
      </c>
      <c r="U1209" t="s">
        <v>706</v>
      </c>
      <c r="V1209" t="s">
        <v>246</v>
      </c>
      <c r="W1209" t="s">
        <v>244</v>
      </c>
      <c r="X1209" t="s">
        <v>1326</v>
      </c>
      <c r="Y1209" t="s">
        <v>183</v>
      </c>
      <c r="Z1209" t="s">
        <v>186</v>
      </c>
      <c r="AA1209" t="s">
        <v>188</v>
      </c>
      <c r="AB1209" t="s">
        <v>95</v>
      </c>
      <c r="AC1209" t="s">
        <v>93</v>
      </c>
      <c r="AD1209" t="s">
        <v>94</v>
      </c>
      <c r="AE1209" s="7">
        <v>239000</v>
      </c>
      <c r="AF1209" s="7">
        <v>2</v>
      </c>
      <c r="AG1209" s="7">
        <v>478000</v>
      </c>
      <c r="AH1209" s="7">
        <v>23900</v>
      </c>
      <c r="AI1209" s="7">
        <v>454100</v>
      </c>
      <c r="AJ1209" t="s">
        <v>93</v>
      </c>
    </row>
    <row r="1210" spans="14:36" x14ac:dyDescent="0.3">
      <c r="N1210" s="8">
        <v>2026</v>
      </c>
      <c r="O1210" s="8">
        <v>5</v>
      </c>
      <c r="P1210" s="9">
        <v>46157</v>
      </c>
      <c r="Q1210" t="s">
        <v>238</v>
      </c>
      <c r="R1210" t="s">
        <v>425</v>
      </c>
      <c r="S1210" t="s">
        <v>426</v>
      </c>
      <c r="T1210" t="s">
        <v>946</v>
      </c>
      <c r="U1210" t="s">
        <v>4029</v>
      </c>
      <c r="V1210" t="s">
        <v>246</v>
      </c>
      <c r="W1210" t="s">
        <v>244</v>
      </c>
      <c r="X1210" t="s">
        <v>1327</v>
      </c>
      <c r="Y1210" t="s">
        <v>191</v>
      </c>
      <c r="Z1210" t="s">
        <v>192</v>
      </c>
      <c r="AA1210" t="s">
        <v>193</v>
      </c>
      <c r="AB1210" t="s">
        <v>107</v>
      </c>
      <c r="AC1210" t="s">
        <v>105</v>
      </c>
      <c r="AD1210" t="s">
        <v>106</v>
      </c>
      <c r="AE1210" s="7">
        <v>235000</v>
      </c>
      <c r="AF1210" s="7">
        <v>1</v>
      </c>
      <c r="AG1210" s="7">
        <v>235000</v>
      </c>
      <c r="AH1210" s="7">
        <v>0</v>
      </c>
      <c r="AI1210" s="7">
        <v>235000</v>
      </c>
      <c r="AJ1210" t="s">
        <v>105</v>
      </c>
    </row>
    <row r="1211" spans="14:36" x14ac:dyDescent="0.3">
      <c r="N1211" s="8">
        <v>2026</v>
      </c>
      <c r="O1211" s="8">
        <v>5</v>
      </c>
      <c r="P1211" s="9">
        <v>46157</v>
      </c>
      <c r="Q1211" t="s">
        <v>238</v>
      </c>
      <c r="R1211" t="s">
        <v>425</v>
      </c>
      <c r="S1211" t="s">
        <v>426</v>
      </c>
      <c r="T1211" t="s">
        <v>431</v>
      </c>
      <c r="U1211" t="s">
        <v>432</v>
      </c>
      <c r="V1211" t="s">
        <v>243</v>
      </c>
      <c r="W1211" t="s">
        <v>244</v>
      </c>
      <c r="X1211" t="s">
        <v>1329</v>
      </c>
      <c r="Y1211" t="s">
        <v>183</v>
      </c>
      <c r="Z1211" t="s">
        <v>184</v>
      </c>
      <c r="AA1211" t="s">
        <v>185</v>
      </c>
      <c r="AB1211" t="s">
        <v>47</v>
      </c>
      <c r="AC1211" t="s">
        <v>45</v>
      </c>
      <c r="AD1211" t="s">
        <v>46</v>
      </c>
      <c r="AE1211" s="7">
        <v>52000</v>
      </c>
      <c r="AF1211" s="7">
        <v>1</v>
      </c>
      <c r="AG1211" s="7">
        <v>52000</v>
      </c>
      <c r="AH1211" s="7">
        <v>0</v>
      </c>
      <c r="AI1211" s="7">
        <v>52000</v>
      </c>
      <c r="AJ1211" t="s">
        <v>45</v>
      </c>
    </row>
    <row r="1212" spans="14:36" x14ac:dyDescent="0.3">
      <c r="N1212" s="8">
        <v>2026</v>
      </c>
      <c r="O1212" s="8">
        <v>5</v>
      </c>
      <c r="P1212" s="9">
        <v>46157</v>
      </c>
      <c r="Q1212" t="s">
        <v>238</v>
      </c>
      <c r="R1212" t="s">
        <v>425</v>
      </c>
      <c r="S1212" t="s">
        <v>426</v>
      </c>
      <c r="T1212" t="s">
        <v>1330</v>
      </c>
      <c r="U1212" t="s">
        <v>3551</v>
      </c>
      <c r="V1212" t="s">
        <v>246</v>
      </c>
      <c r="W1212" t="s">
        <v>244</v>
      </c>
      <c r="X1212" t="s">
        <v>1331</v>
      </c>
      <c r="Y1212" t="s">
        <v>191</v>
      </c>
      <c r="Z1212" t="s">
        <v>192</v>
      </c>
      <c r="AA1212" t="s">
        <v>193</v>
      </c>
      <c r="AB1212" t="s">
        <v>104</v>
      </c>
      <c r="AC1212" t="s">
        <v>102</v>
      </c>
      <c r="AD1212" t="s">
        <v>103</v>
      </c>
      <c r="AE1212" s="7">
        <v>235000</v>
      </c>
      <c r="AF1212" s="7">
        <v>1</v>
      </c>
      <c r="AG1212" s="7">
        <v>235000</v>
      </c>
      <c r="AH1212" s="7">
        <v>0</v>
      </c>
      <c r="AI1212" s="7">
        <v>235000</v>
      </c>
      <c r="AJ1212" t="s">
        <v>102</v>
      </c>
    </row>
    <row r="1213" spans="14:36" x14ac:dyDescent="0.3">
      <c r="N1213" s="8">
        <v>2026</v>
      </c>
      <c r="O1213" s="8">
        <v>5</v>
      </c>
      <c r="P1213" s="9">
        <v>46157</v>
      </c>
      <c r="Q1213" t="s">
        <v>238</v>
      </c>
      <c r="R1213" t="s">
        <v>425</v>
      </c>
      <c r="S1213" t="s">
        <v>426</v>
      </c>
      <c r="T1213" t="s">
        <v>1332</v>
      </c>
      <c r="U1213" t="s">
        <v>1333</v>
      </c>
      <c r="V1213" t="s">
        <v>246</v>
      </c>
      <c r="W1213" t="s">
        <v>244</v>
      </c>
      <c r="X1213" t="s">
        <v>1334</v>
      </c>
      <c r="Y1213" t="s">
        <v>194</v>
      </c>
      <c r="Z1213" t="s">
        <v>195</v>
      </c>
      <c r="AA1213" t="s">
        <v>196</v>
      </c>
      <c r="AB1213" t="s">
        <v>68</v>
      </c>
      <c r="AC1213" t="s">
        <v>66</v>
      </c>
      <c r="AD1213" t="s">
        <v>67</v>
      </c>
      <c r="AE1213" s="7">
        <v>360000</v>
      </c>
      <c r="AF1213" s="7">
        <v>1</v>
      </c>
      <c r="AG1213" s="7">
        <v>360000</v>
      </c>
      <c r="AH1213" s="7">
        <v>0</v>
      </c>
      <c r="AI1213" s="7">
        <v>360000</v>
      </c>
      <c r="AJ1213" t="s">
        <v>66</v>
      </c>
    </row>
    <row r="1214" spans="14:36" x14ac:dyDescent="0.3">
      <c r="N1214" s="8">
        <v>2026</v>
      </c>
      <c r="O1214" s="8">
        <v>5</v>
      </c>
      <c r="P1214" s="9">
        <v>46156</v>
      </c>
      <c r="Q1214" t="s">
        <v>238</v>
      </c>
      <c r="R1214" t="s">
        <v>239</v>
      </c>
      <c r="S1214" t="s">
        <v>240</v>
      </c>
      <c r="T1214" t="s">
        <v>902</v>
      </c>
      <c r="U1214" t="s">
        <v>333</v>
      </c>
      <c r="V1214" t="s">
        <v>246</v>
      </c>
      <c r="W1214" t="s">
        <v>244</v>
      </c>
      <c r="X1214" t="s">
        <v>1339</v>
      </c>
      <c r="Y1214" t="s">
        <v>191</v>
      </c>
      <c r="Z1214" t="s">
        <v>192</v>
      </c>
      <c r="AA1214" t="s">
        <v>193</v>
      </c>
      <c r="AB1214" t="s">
        <v>113</v>
      </c>
      <c r="AC1214" t="s">
        <v>111</v>
      </c>
      <c r="AD1214" t="s">
        <v>112</v>
      </c>
      <c r="AE1214" s="7">
        <v>235000</v>
      </c>
      <c r="AF1214" s="7">
        <v>1</v>
      </c>
      <c r="AG1214" s="7">
        <v>235000</v>
      </c>
      <c r="AH1214" s="7">
        <v>0</v>
      </c>
      <c r="AI1214" s="7">
        <v>235000</v>
      </c>
      <c r="AJ1214" t="s">
        <v>111</v>
      </c>
    </row>
    <row r="1215" spans="14:36" x14ac:dyDescent="0.3">
      <c r="N1215" s="8">
        <v>2026</v>
      </c>
      <c r="O1215" s="8">
        <v>5</v>
      </c>
      <c r="P1215" s="9">
        <v>46156</v>
      </c>
      <c r="Q1215" t="s">
        <v>238</v>
      </c>
      <c r="R1215" t="s">
        <v>239</v>
      </c>
      <c r="S1215" t="s">
        <v>240</v>
      </c>
      <c r="T1215" t="s">
        <v>1340</v>
      </c>
      <c r="U1215" t="s">
        <v>4030</v>
      </c>
      <c r="V1215" t="s">
        <v>246</v>
      </c>
      <c r="W1215" t="s">
        <v>244</v>
      </c>
      <c r="X1215" t="s">
        <v>1341</v>
      </c>
      <c r="Y1215" t="s">
        <v>194</v>
      </c>
      <c r="Z1215" t="s">
        <v>195</v>
      </c>
      <c r="AA1215" t="s">
        <v>196</v>
      </c>
      <c r="AB1215" t="s">
        <v>56</v>
      </c>
      <c r="AC1215" t="s">
        <v>54</v>
      </c>
      <c r="AD1215" t="s">
        <v>55</v>
      </c>
      <c r="AE1215" s="7">
        <v>295000</v>
      </c>
      <c r="AF1215" s="7">
        <v>1</v>
      </c>
      <c r="AG1215" s="7">
        <v>295000</v>
      </c>
      <c r="AH1215" s="7">
        <v>0</v>
      </c>
      <c r="AI1215" s="7">
        <v>295000</v>
      </c>
      <c r="AJ1215" t="s">
        <v>54</v>
      </c>
    </row>
    <row r="1216" spans="14:36" x14ac:dyDescent="0.3">
      <c r="N1216" s="8">
        <v>2026</v>
      </c>
      <c r="O1216" s="8">
        <v>5</v>
      </c>
      <c r="P1216" s="9">
        <v>46156</v>
      </c>
      <c r="Q1216" t="s">
        <v>238</v>
      </c>
      <c r="R1216" t="s">
        <v>239</v>
      </c>
      <c r="S1216" t="s">
        <v>240</v>
      </c>
      <c r="T1216" t="s">
        <v>1342</v>
      </c>
      <c r="U1216" t="s">
        <v>1343</v>
      </c>
      <c r="V1216" t="s">
        <v>246</v>
      </c>
      <c r="W1216" t="s">
        <v>244</v>
      </c>
      <c r="X1216" t="s">
        <v>1344</v>
      </c>
      <c r="Y1216" t="s">
        <v>191</v>
      </c>
      <c r="Z1216" t="s">
        <v>335</v>
      </c>
      <c r="AA1216" t="s">
        <v>336</v>
      </c>
      <c r="AB1216" t="s">
        <v>606</v>
      </c>
      <c r="AC1216" t="s">
        <v>607</v>
      </c>
      <c r="AD1216" t="s">
        <v>608</v>
      </c>
      <c r="AE1216" s="7">
        <v>105000</v>
      </c>
      <c r="AF1216" s="7">
        <v>1</v>
      </c>
      <c r="AG1216" s="7">
        <v>105000</v>
      </c>
      <c r="AH1216" s="7">
        <v>0</v>
      </c>
      <c r="AI1216" s="7">
        <v>105000</v>
      </c>
      <c r="AJ1216" t="s">
        <v>607</v>
      </c>
    </row>
    <row r="1217" spans="14:36" x14ac:dyDescent="0.3">
      <c r="N1217" s="8">
        <v>2026</v>
      </c>
      <c r="O1217" s="8">
        <v>5</v>
      </c>
      <c r="P1217" s="9">
        <v>46156</v>
      </c>
      <c r="Q1217" t="s">
        <v>238</v>
      </c>
      <c r="R1217" t="s">
        <v>279</v>
      </c>
      <c r="S1217" t="s">
        <v>280</v>
      </c>
      <c r="T1217" t="s">
        <v>1346</v>
      </c>
      <c r="U1217" t="s">
        <v>1347</v>
      </c>
      <c r="V1217" t="s">
        <v>249</v>
      </c>
      <c r="W1217" t="s">
        <v>244</v>
      </c>
      <c r="X1217" t="s">
        <v>1348</v>
      </c>
      <c r="Y1217" t="s">
        <v>191</v>
      </c>
      <c r="Z1217" t="s">
        <v>192</v>
      </c>
      <c r="AA1217" t="s">
        <v>193</v>
      </c>
      <c r="AB1217" t="s">
        <v>119</v>
      </c>
      <c r="AC1217" t="s">
        <v>117</v>
      </c>
      <c r="AD1217" t="s">
        <v>118</v>
      </c>
      <c r="AE1217" s="7">
        <v>235000</v>
      </c>
      <c r="AF1217" s="7">
        <v>1</v>
      </c>
      <c r="AG1217" s="7">
        <v>235000</v>
      </c>
      <c r="AH1217" s="7">
        <v>0</v>
      </c>
      <c r="AI1217" s="7">
        <v>235000</v>
      </c>
      <c r="AJ1217" t="s">
        <v>117</v>
      </c>
    </row>
    <row r="1218" spans="14:36" x14ac:dyDescent="0.3">
      <c r="N1218" s="8">
        <v>2026</v>
      </c>
      <c r="O1218" s="8">
        <v>5</v>
      </c>
      <c r="P1218" s="9">
        <v>46156</v>
      </c>
      <c r="Q1218" t="s">
        <v>238</v>
      </c>
      <c r="R1218" t="s">
        <v>279</v>
      </c>
      <c r="S1218" t="s">
        <v>280</v>
      </c>
      <c r="T1218" t="s">
        <v>1351</v>
      </c>
      <c r="U1218" t="s">
        <v>4021</v>
      </c>
      <c r="V1218" t="s">
        <v>246</v>
      </c>
      <c r="W1218" t="s">
        <v>244</v>
      </c>
      <c r="X1218" t="s">
        <v>1352</v>
      </c>
      <c r="Y1218" t="s">
        <v>191</v>
      </c>
      <c r="Z1218" t="s">
        <v>192</v>
      </c>
      <c r="AA1218" t="s">
        <v>193</v>
      </c>
      <c r="AB1218" t="s">
        <v>104</v>
      </c>
      <c r="AC1218" t="s">
        <v>102</v>
      </c>
      <c r="AD1218" t="s">
        <v>103</v>
      </c>
      <c r="AE1218" s="7">
        <v>235000</v>
      </c>
      <c r="AF1218" s="7">
        <v>1</v>
      </c>
      <c r="AG1218" s="7">
        <v>235000</v>
      </c>
      <c r="AH1218" s="7">
        <v>0</v>
      </c>
      <c r="AI1218" s="7">
        <v>235000</v>
      </c>
      <c r="AJ1218" t="s">
        <v>102</v>
      </c>
    </row>
    <row r="1219" spans="14:36" x14ac:dyDescent="0.3">
      <c r="N1219" s="8">
        <v>2026</v>
      </c>
      <c r="O1219" s="8">
        <v>5</v>
      </c>
      <c r="P1219" s="9">
        <v>46156</v>
      </c>
      <c r="Q1219" t="s">
        <v>238</v>
      </c>
      <c r="R1219" t="s">
        <v>279</v>
      </c>
      <c r="S1219" t="s">
        <v>280</v>
      </c>
      <c r="T1219" t="s">
        <v>1351</v>
      </c>
      <c r="U1219" t="s">
        <v>4021</v>
      </c>
      <c r="V1219" t="s">
        <v>246</v>
      </c>
      <c r="W1219" t="s">
        <v>244</v>
      </c>
      <c r="X1219" t="s">
        <v>1352</v>
      </c>
      <c r="Y1219" t="s">
        <v>191</v>
      </c>
      <c r="Z1219" t="s">
        <v>335</v>
      </c>
      <c r="AA1219" t="s">
        <v>337</v>
      </c>
      <c r="AB1219" t="s">
        <v>864</v>
      </c>
      <c r="AC1219" t="s">
        <v>865</v>
      </c>
      <c r="AD1219" t="s">
        <v>866</v>
      </c>
      <c r="AE1219" s="7">
        <v>139000</v>
      </c>
      <c r="AF1219" s="7">
        <v>1</v>
      </c>
      <c r="AG1219" s="7">
        <v>139000</v>
      </c>
      <c r="AH1219" s="7">
        <v>0</v>
      </c>
      <c r="AI1219" s="7">
        <v>139000</v>
      </c>
      <c r="AJ1219" t="s">
        <v>865</v>
      </c>
    </row>
    <row r="1220" spans="14:36" x14ac:dyDescent="0.3">
      <c r="N1220" s="8">
        <v>2026</v>
      </c>
      <c r="O1220" s="8">
        <v>5</v>
      </c>
      <c r="P1220" s="9">
        <v>46156</v>
      </c>
      <c r="Q1220" t="s">
        <v>238</v>
      </c>
      <c r="R1220" t="s">
        <v>279</v>
      </c>
      <c r="S1220" t="s">
        <v>280</v>
      </c>
      <c r="T1220" t="s">
        <v>1353</v>
      </c>
      <c r="U1220" t="s">
        <v>4008</v>
      </c>
      <c r="V1220" t="s">
        <v>246</v>
      </c>
      <c r="W1220" t="s">
        <v>244</v>
      </c>
      <c r="X1220" t="s">
        <v>1354</v>
      </c>
      <c r="Y1220" t="s">
        <v>168</v>
      </c>
      <c r="Z1220" t="s">
        <v>171</v>
      </c>
      <c r="AA1220" t="s">
        <v>173</v>
      </c>
      <c r="AB1220" t="s">
        <v>17</v>
      </c>
      <c r="AC1220" t="s">
        <v>15</v>
      </c>
      <c r="AD1220" t="s">
        <v>16</v>
      </c>
      <c r="AE1220" s="7">
        <v>435000</v>
      </c>
      <c r="AF1220" s="7">
        <v>1</v>
      </c>
      <c r="AG1220" s="7">
        <v>435000</v>
      </c>
      <c r="AH1220" s="7">
        <v>0</v>
      </c>
      <c r="AI1220" s="7">
        <v>435000</v>
      </c>
      <c r="AJ1220" t="s">
        <v>15</v>
      </c>
    </row>
    <row r="1221" spans="14:36" x14ac:dyDescent="0.3">
      <c r="N1221" s="8">
        <v>2026</v>
      </c>
      <c r="O1221" s="8">
        <v>5</v>
      </c>
      <c r="P1221" s="9">
        <v>46156</v>
      </c>
      <c r="Q1221" t="s">
        <v>238</v>
      </c>
      <c r="R1221" t="s">
        <v>279</v>
      </c>
      <c r="S1221" t="s">
        <v>280</v>
      </c>
      <c r="T1221" t="s">
        <v>1353</v>
      </c>
      <c r="U1221" t="s">
        <v>4008</v>
      </c>
      <c r="V1221" t="s">
        <v>246</v>
      </c>
      <c r="W1221" t="s">
        <v>244</v>
      </c>
      <c r="X1221" t="s">
        <v>1354</v>
      </c>
      <c r="Y1221" t="s">
        <v>191</v>
      </c>
      <c r="Z1221" t="s">
        <v>192</v>
      </c>
      <c r="AA1221" t="s">
        <v>193</v>
      </c>
      <c r="AB1221" t="s">
        <v>107</v>
      </c>
      <c r="AC1221" t="s">
        <v>105</v>
      </c>
      <c r="AD1221" t="s">
        <v>106</v>
      </c>
      <c r="AE1221" s="7">
        <v>235000</v>
      </c>
      <c r="AF1221" s="7">
        <v>1</v>
      </c>
      <c r="AG1221" s="7">
        <v>235000</v>
      </c>
      <c r="AH1221" s="7">
        <v>0</v>
      </c>
      <c r="AI1221" s="7">
        <v>235000</v>
      </c>
      <c r="AJ1221" t="s">
        <v>105</v>
      </c>
    </row>
    <row r="1222" spans="14:36" x14ac:dyDescent="0.3">
      <c r="N1222" s="8">
        <v>2026</v>
      </c>
      <c r="O1222" s="8">
        <v>5</v>
      </c>
      <c r="P1222" s="9">
        <v>46156</v>
      </c>
      <c r="Q1222" t="s">
        <v>238</v>
      </c>
      <c r="R1222" t="s">
        <v>303</v>
      </c>
      <c r="S1222" t="s">
        <v>304</v>
      </c>
      <c r="T1222" t="s">
        <v>1356</v>
      </c>
      <c r="U1222" t="s">
        <v>4003</v>
      </c>
      <c r="V1222" t="s">
        <v>246</v>
      </c>
      <c r="W1222" t="s">
        <v>244</v>
      </c>
      <c r="X1222" t="s">
        <v>1357</v>
      </c>
      <c r="Y1222" t="s">
        <v>194</v>
      </c>
      <c r="Z1222" t="s">
        <v>200</v>
      </c>
      <c r="AA1222" t="s">
        <v>201</v>
      </c>
      <c r="AB1222" t="s">
        <v>89</v>
      </c>
      <c r="AC1222" t="s">
        <v>87</v>
      </c>
      <c r="AD1222" t="s">
        <v>88</v>
      </c>
      <c r="AE1222" s="7">
        <v>46000</v>
      </c>
      <c r="AF1222" s="7">
        <v>1</v>
      </c>
      <c r="AG1222" s="7">
        <v>46000</v>
      </c>
      <c r="AH1222" s="7">
        <v>0</v>
      </c>
      <c r="AI1222" s="7">
        <v>46000</v>
      </c>
      <c r="AJ1222" t="s">
        <v>87</v>
      </c>
    </row>
    <row r="1223" spans="14:36" x14ac:dyDescent="0.3">
      <c r="N1223" s="8">
        <v>2026</v>
      </c>
      <c r="O1223" s="8">
        <v>5</v>
      </c>
      <c r="P1223" s="9">
        <v>46156</v>
      </c>
      <c r="Q1223" t="s">
        <v>238</v>
      </c>
      <c r="R1223" t="s">
        <v>374</v>
      </c>
      <c r="S1223" t="s">
        <v>375</v>
      </c>
      <c r="T1223" t="s">
        <v>1359</v>
      </c>
      <c r="U1223" t="s">
        <v>3915</v>
      </c>
      <c r="V1223" t="s">
        <v>246</v>
      </c>
      <c r="W1223" t="s">
        <v>244</v>
      </c>
      <c r="X1223" t="s">
        <v>1360</v>
      </c>
      <c r="Y1223" t="s">
        <v>191</v>
      </c>
      <c r="Z1223" t="s">
        <v>192</v>
      </c>
      <c r="AA1223" t="s">
        <v>193</v>
      </c>
      <c r="AB1223" t="s">
        <v>107</v>
      </c>
      <c r="AC1223" t="s">
        <v>105</v>
      </c>
      <c r="AD1223" t="s">
        <v>106</v>
      </c>
      <c r="AE1223" s="7">
        <v>235000</v>
      </c>
      <c r="AF1223" s="7">
        <v>1</v>
      </c>
      <c r="AG1223" s="7">
        <v>235000</v>
      </c>
      <c r="AH1223" s="7">
        <v>0</v>
      </c>
      <c r="AI1223" s="7">
        <v>235000</v>
      </c>
      <c r="AJ1223" t="s">
        <v>105</v>
      </c>
    </row>
    <row r="1224" spans="14:36" x14ac:dyDescent="0.3">
      <c r="N1224" s="8">
        <v>2026</v>
      </c>
      <c r="O1224" s="8">
        <v>5</v>
      </c>
      <c r="P1224" s="9">
        <v>46156</v>
      </c>
      <c r="Q1224" t="s">
        <v>238</v>
      </c>
      <c r="R1224" t="s">
        <v>396</v>
      </c>
      <c r="S1224" t="s">
        <v>397</v>
      </c>
      <c r="T1224" t="s">
        <v>1363</v>
      </c>
      <c r="U1224" t="s">
        <v>1364</v>
      </c>
      <c r="V1224" t="s">
        <v>246</v>
      </c>
      <c r="W1224" t="s">
        <v>244</v>
      </c>
      <c r="X1224" t="s">
        <v>1365</v>
      </c>
      <c r="Y1224" t="s">
        <v>191</v>
      </c>
      <c r="Z1224" t="s">
        <v>335</v>
      </c>
      <c r="AA1224" t="s">
        <v>337</v>
      </c>
      <c r="AB1224" t="s">
        <v>656</v>
      </c>
      <c r="AC1224" t="s">
        <v>657</v>
      </c>
      <c r="AD1224" t="s">
        <v>658</v>
      </c>
      <c r="AE1224" s="7">
        <v>35000</v>
      </c>
      <c r="AF1224" s="7">
        <v>1</v>
      </c>
      <c r="AG1224" s="7">
        <v>35000</v>
      </c>
      <c r="AH1224" s="7">
        <v>0</v>
      </c>
      <c r="AI1224" s="7">
        <v>35000</v>
      </c>
      <c r="AJ1224" t="s">
        <v>657</v>
      </c>
    </row>
    <row r="1225" spans="14:36" x14ac:dyDescent="0.3">
      <c r="N1225" s="8">
        <v>2026</v>
      </c>
      <c r="O1225" s="8">
        <v>5</v>
      </c>
      <c r="P1225" s="9">
        <v>46156</v>
      </c>
      <c r="Q1225" t="s">
        <v>238</v>
      </c>
      <c r="R1225" t="s">
        <v>396</v>
      </c>
      <c r="S1225" t="s">
        <v>397</v>
      </c>
      <c r="T1225" t="s">
        <v>1363</v>
      </c>
      <c r="U1225" t="s">
        <v>1364</v>
      </c>
      <c r="V1225" t="s">
        <v>246</v>
      </c>
      <c r="W1225" t="s">
        <v>244</v>
      </c>
      <c r="X1225" t="s">
        <v>1365</v>
      </c>
      <c r="Y1225" t="s">
        <v>191</v>
      </c>
      <c r="Z1225" t="s">
        <v>335</v>
      </c>
      <c r="AA1225" t="s">
        <v>337</v>
      </c>
      <c r="AB1225" t="s">
        <v>348</v>
      </c>
      <c r="AC1225" t="s">
        <v>349</v>
      </c>
      <c r="AD1225" t="s">
        <v>350</v>
      </c>
      <c r="AE1225" s="7">
        <v>76000</v>
      </c>
      <c r="AF1225" s="7">
        <v>1</v>
      </c>
      <c r="AG1225" s="7">
        <v>76000</v>
      </c>
      <c r="AH1225" s="7">
        <v>0</v>
      </c>
      <c r="AI1225" s="7">
        <v>76000</v>
      </c>
      <c r="AJ1225" t="s">
        <v>349</v>
      </c>
    </row>
    <row r="1226" spans="14:36" x14ac:dyDescent="0.3">
      <c r="N1226" s="8">
        <v>2026</v>
      </c>
      <c r="O1226" s="8">
        <v>5</v>
      </c>
      <c r="P1226" s="9">
        <v>46155</v>
      </c>
      <c r="Q1226" t="s">
        <v>238</v>
      </c>
      <c r="R1226" t="s">
        <v>279</v>
      </c>
      <c r="S1226" t="s">
        <v>280</v>
      </c>
      <c r="T1226" t="s">
        <v>281</v>
      </c>
      <c r="U1226" t="s">
        <v>282</v>
      </c>
      <c r="V1226" t="s">
        <v>243</v>
      </c>
      <c r="W1226" t="s">
        <v>244</v>
      </c>
      <c r="X1226" t="s">
        <v>1368</v>
      </c>
      <c r="Y1226" t="s">
        <v>191</v>
      </c>
      <c r="Z1226" t="s">
        <v>192</v>
      </c>
      <c r="AA1226" t="s">
        <v>193</v>
      </c>
      <c r="AB1226" t="s">
        <v>104</v>
      </c>
      <c r="AC1226" t="s">
        <v>102</v>
      </c>
      <c r="AD1226" t="s">
        <v>103</v>
      </c>
      <c r="AE1226" s="7">
        <v>235000</v>
      </c>
      <c r="AF1226" s="7">
        <v>1</v>
      </c>
      <c r="AG1226" s="7">
        <v>235000</v>
      </c>
      <c r="AH1226" s="7">
        <v>0</v>
      </c>
      <c r="AI1226" s="7">
        <v>235000</v>
      </c>
      <c r="AJ1226" t="s">
        <v>102</v>
      </c>
    </row>
    <row r="1227" spans="14:36" x14ac:dyDescent="0.3">
      <c r="N1227" s="8">
        <v>2026</v>
      </c>
      <c r="O1227" s="8">
        <v>5</v>
      </c>
      <c r="P1227" s="9">
        <v>46155</v>
      </c>
      <c r="Q1227" t="s">
        <v>238</v>
      </c>
      <c r="R1227" t="s">
        <v>351</v>
      </c>
      <c r="S1227" t="s">
        <v>352</v>
      </c>
      <c r="T1227" t="s">
        <v>356</v>
      </c>
      <c r="U1227" t="s">
        <v>357</v>
      </c>
      <c r="V1227" t="s">
        <v>243</v>
      </c>
      <c r="W1227" t="s">
        <v>244</v>
      </c>
      <c r="X1227" t="s">
        <v>1371</v>
      </c>
      <c r="Y1227" t="s">
        <v>194</v>
      </c>
      <c r="Z1227" t="s">
        <v>200</v>
      </c>
      <c r="AA1227" t="s">
        <v>201</v>
      </c>
      <c r="AB1227" t="s">
        <v>80</v>
      </c>
      <c r="AC1227" t="s">
        <v>78</v>
      </c>
      <c r="AD1227" t="s">
        <v>79</v>
      </c>
      <c r="AE1227" s="7">
        <v>14000</v>
      </c>
      <c r="AF1227" s="7">
        <v>1</v>
      </c>
      <c r="AG1227" s="7">
        <v>14000</v>
      </c>
      <c r="AH1227" s="7">
        <v>0</v>
      </c>
      <c r="AI1227" s="7">
        <v>14000</v>
      </c>
      <c r="AJ1227" t="s">
        <v>78</v>
      </c>
    </row>
    <row r="1228" spans="14:36" x14ac:dyDescent="0.3">
      <c r="N1228" s="8">
        <v>2026</v>
      </c>
      <c r="O1228" s="8">
        <v>5</v>
      </c>
      <c r="P1228" s="9">
        <v>46155</v>
      </c>
      <c r="Q1228" t="s">
        <v>238</v>
      </c>
      <c r="R1228" t="s">
        <v>374</v>
      </c>
      <c r="S1228" t="s">
        <v>375</v>
      </c>
      <c r="T1228" t="s">
        <v>382</v>
      </c>
      <c r="U1228" t="s">
        <v>383</v>
      </c>
      <c r="V1228" t="s">
        <v>243</v>
      </c>
      <c r="W1228" t="s">
        <v>244</v>
      </c>
      <c r="X1228" t="s">
        <v>1375</v>
      </c>
      <c r="Y1228" t="s">
        <v>194</v>
      </c>
      <c r="Z1228" t="s">
        <v>195</v>
      </c>
      <c r="AA1228" t="s">
        <v>196</v>
      </c>
      <c r="AB1228" t="s">
        <v>56</v>
      </c>
      <c r="AC1228" t="s">
        <v>54</v>
      </c>
      <c r="AD1228" t="s">
        <v>55</v>
      </c>
      <c r="AE1228" s="7">
        <v>295000</v>
      </c>
      <c r="AF1228" s="7">
        <v>1</v>
      </c>
      <c r="AG1228" s="7">
        <v>295000</v>
      </c>
      <c r="AH1228" s="7">
        <v>0</v>
      </c>
      <c r="AI1228" s="7">
        <v>295000</v>
      </c>
      <c r="AJ1228" t="s">
        <v>54</v>
      </c>
    </row>
    <row r="1229" spans="14:36" x14ac:dyDescent="0.3">
      <c r="N1229" s="8">
        <v>2026</v>
      </c>
      <c r="O1229" s="8">
        <v>5</v>
      </c>
      <c r="P1229" s="9">
        <v>46155</v>
      </c>
      <c r="Q1229" t="s">
        <v>238</v>
      </c>
      <c r="R1229" t="s">
        <v>396</v>
      </c>
      <c r="S1229" t="s">
        <v>397</v>
      </c>
      <c r="T1229" t="s">
        <v>610</v>
      </c>
      <c r="U1229" t="s">
        <v>611</v>
      </c>
      <c r="V1229" t="s">
        <v>246</v>
      </c>
      <c r="W1229" t="s">
        <v>244</v>
      </c>
      <c r="X1229" t="s">
        <v>1381</v>
      </c>
      <c r="Y1229" t="s">
        <v>183</v>
      </c>
      <c r="Z1229" t="s">
        <v>186</v>
      </c>
      <c r="AA1229" t="s">
        <v>187</v>
      </c>
      <c r="AB1229" t="s">
        <v>152</v>
      </c>
      <c r="AC1229" t="s">
        <v>150</v>
      </c>
      <c r="AD1229" t="s">
        <v>1382</v>
      </c>
      <c r="AE1229" s="7">
        <v>199000</v>
      </c>
      <c r="AF1229" s="7">
        <v>1</v>
      </c>
      <c r="AG1229" s="7">
        <v>199000</v>
      </c>
      <c r="AH1229" s="7">
        <v>9950</v>
      </c>
      <c r="AI1229" s="7">
        <v>189050</v>
      </c>
      <c r="AJ1229" t="s">
        <v>150</v>
      </c>
    </row>
    <row r="1230" spans="14:36" x14ac:dyDescent="0.3">
      <c r="N1230" s="8">
        <v>2026</v>
      </c>
      <c r="O1230" s="8">
        <v>5</v>
      </c>
      <c r="P1230" s="9">
        <v>46155</v>
      </c>
      <c r="Q1230" t="s">
        <v>238</v>
      </c>
      <c r="R1230" t="s">
        <v>396</v>
      </c>
      <c r="S1230" t="s">
        <v>397</v>
      </c>
      <c r="T1230" t="s">
        <v>610</v>
      </c>
      <c r="U1230" t="s">
        <v>611</v>
      </c>
      <c r="V1230" t="s">
        <v>246</v>
      </c>
      <c r="W1230" t="s">
        <v>244</v>
      </c>
      <c r="X1230" t="s">
        <v>1381</v>
      </c>
      <c r="Y1230" t="s">
        <v>183</v>
      </c>
      <c r="Z1230" t="s">
        <v>186</v>
      </c>
      <c r="AA1230" t="s">
        <v>188</v>
      </c>
      <c r="AB1230" t="s">
        <v>95</v>
      </c>
      <c r="AC1230" t="s">
        <v>93</v>
      </c>
      <c r="AD1230" t="s">
        <v>94</v>
      </c>
      <c r="AE1230" s="7">
        <v>239000</v>
      </c>
      <c r="AF1230" s="7">
        <v>1</v>
      </c>
      <c r="AG1230" s="7">
        <v>239000</v>
      </c>
      <c r="AH1230" s="7">
        <v>11950</v>
      </c>
      <c r="AI1230" s="7">
        <v>227050</v>
      </c>
      <c r="AJ1230" t="s">
        <v>93</v>
      </c>
    </row>
    <row r="1231" spans="14:36" x14ac:dyDescent="0.3">
      <c r="N1231" s="8">
        <v>2026</v>
      </c>
      <c r="O1231" s="8">
        <v>5</v>
      </c>
      <c r="P1231" s="9">
        <v>46155</v>
      </c>
      <c r="Q1231" t="s">
        <v>238</v>
      </c>
      <c r="R1231" t="s">
        <v>396</v>
      </c>
      <c r="S1231" t="s">
        <v>397</v>
      </c>
      <c r="T1231" t="s">
        <v>1383</v>
      </c>
      <c r="U1231" t="s">
        <v>381</v>
      </c>
      <c r="V1231" t="s">
        <v>246</v>
      </c>
      <c r="W1231" t="s">
        <v>244</v>
      </c>
      <c r="X1231" t="s">
        <v>1384</v>
      </c>
      <c r="Y1231" t="s">
        <v>191</v>
      </c>
      <c r="Z1231" t="s">
        <v>335</v>
      </c>
      <c r="AA1231" t="s">
        <v>336</v>
      </c>
      <c r="AB1231" t="s">
        <v>606</v>
      </c>
      <c r="AC1231" t="s">
        <v>607</v>
      </c>
      <c r="AD1231" t="s">
        <v>608</v>
      </c>
      <c r="AE1231" s="7">
        <v>105000</v>
      </c>
      <c r="AF1231" s="7">
        <v>1</v>
      </c>
      <c r="AG1231" s="7">
        <v>105000</v>
      </c>
      <c r="AH1231" s="7">
        <v>0</v>
      </c>
      <c r="AI1231" s="7">
        <v>105000</v>
      </c>
      <c r="AJ1231" t="s">
        <v>607</v>
      </c>
    </row>
    <row r="1232" spans="14:36" x14ac:dyDescent="0.3">
      <c r="N1232" s="8">
        <v>2026</v>
      </c>
      <c r="O1232" s="8">
        <v>5</v>
      </c>
      <c r="P1232" s="9">
        <v>46154</v>
      </c>
      <c r="Q1232" t="s">
        <v>238</v>
      </c>
      <c r="R1232" t="s">
        <v>239</v>
      </c>
      <c r="S1232" t="s">
        <v>240</v>
      </c>
      <c r="T1232" t="s">
        <v>1385</v>
      </c>
      <c r="U1232" t="s">
        <v>492</v>
      </c>
      <c r="V1232" t="s">
        <v>246</v>
      </c>
      <c r="W1232" t="s">
        <v>244</v>
      </c>
      <c r="X1232" t="s">
        <v>1386</v>
      </c>
      <c r="Y1232" t="s">
        <v>194</v>
      </c>
      <c r="Z1232" t="s">
        <v>200</v>
      </c>
      <c r="AA1232" t="s">
        <v>201</v>
      </c>
      <c r="AB1232" t="s">
        <v>80</v>
      </c>
      <c r="AC1232" t="s">
        <v>78</v>
      </c>
      <c r="AD1232" t="s">
        <v>79</v>
      </c>
      <c r="AE1232" s="7">
        <v>14000</v>
      </c>
      <c r="AF1232" s="7">
        <v>1</v>
      </c>
      <c r="AG1232" s="7">
        <v>14000</v>
      </c>
      <c r="AH1232" s="7">
        <v>0</v>
      </c>
      <c r="AI1232" s="7">
        <v>14000</v>
      </c>
      <c r="AJ1232" t="s">
        <v>78</v>
      </c>
    </row>
    <row r="1233" spans="14:36" x14ac:dyDescent="0.3">
      <c r="N1233" s="8">
        <v>2026</v>
      </c>
      <c r="O1233" s="8">
        <v>5</v>
      </c>
      <c r="P1233" s="9">
        <v>46154</v>
      </c>
      <c r="Q1233" t="s">
        <v>238</v>
      </c>
      <c r="R1233" t="s">
        <v>239</v>
      </c>
      <c r="S1233" t="s">
        <v>240</v>
      </c>
      <c r="T1233" t="s">
        <v>1388</v>
      </c>
      <c r="U1233" t="s">
        <v>1389</v>
      </c>
      <c r="V1233" t="s">
        <v>246</v>
      </c>
      <c r="W1233" t="s">
        <v>244</v>
      </c>
      <c r="X1233" t="s">
        <v>1390</v>
      </c>
      <c r="Y1233" t="s">
        <v>191</v>
      </c>
      <c r="Z1233" t="s">
        <v>192</v>
      </c>
      <c r="AA1233" t="s">
        <v>193</v>
      </c>
      <c r="AB1233" t="s">
        <v>107</v>
      </c>
      <c r="AC1233" t="s">
        <v>105</v>
      </c>
      <c r="AD1233" t="s">
        <v>106</v>
      </c>
      <c r="AE1233" s="7">
        <v>235000</v>
      </c>
      <c r="AF1233" s="7">
        <v>1</v>
      </c>
      <c r="AG1233" s="7">
        <v>235000</v>
      </c>
      <c r="AH1233" s="7">
        <v>0</v>
      </c>
      <c r="AI1233" s="7">
        <v>235000</v>
      </c>
      <c r="AJ1233" t="s">
        <v>105</v>
      </c>
    </row>
    <row r="1234" spans="14:36" x14ac:dyDescent="0.3">
      <c r="N1234" s="8">
        <v>2026</v>
      </c>
      <c r="O1234" s="8">
        <v>5</v>
      </c>
      <c r="P1234" s="9">
        <v>46154</v>
      </c>
      <c r="Q1234" t="s">
        <v>238</v>
      </c>
      <c r="R1234" t="s">
        <v>239</v>
      </c>
      <c r="S1234" t="s">
        <v>240</v>
      </c>
      <c r="T1234" t="s">
        <v>1392</v>
      </c>
      <c r="U1234" t="s">
        <v>4020</v>
      </c>
      <c r="V1234" t="s">
        <v>246</v>
      </c>
      <c r="W1234" t="s">
        <v>244</v>
      </c>
      <c r="X1234" t="s">
        <v>1393</v>
      </c>
      <c r="Y1234" t="s">
        <v>194</v>
      </c>
      <c r="Z1234" t="s">
        <v>195</v>
      </c>
      <c r="AA1234" t="s">
        <v>196</v>
      </c>
      <c r="AB1234" t="s">
        <v>65</v>
      </c>
      <c r="AC1234" t="s">
        <v>63</v>
      </c>
      <c r="AD1234" t="s">
        <v>64</v>
      </c>
      <c r="AE1234" s="7">
        <v>390000</v>
      </c>
      <c r="AF1234" s="7">
        <v>1</v>
      </c>
      <c r="AG1234" s="7">
        <v>390000</v>
      </c>
      <c r="AH1234" s="7">
        <v>0</v>
      </c>
      <c r="AI1234" s="7">
        <v>390000</v>
      </c>
      <c r="AJ1234" t="s">
        <v>63</v>
      </c>
    </row>
    <row r="1235" spans="14:36" x14ac:dyDescent="0.3">
      <c r="N1235" s="8">
        <v>2026</v>
      </c>
      <c r="O1235" s="8">
        <v>5</v>
      </c>
      <c r="P1235" s="9">
        <v>46154</v>
      </c>
      <c r="Q1235" t="s">
        <v>238</v>
      </c>
      <c r="R1235" t="s">
        <v>279</v>
      </c>
      <c r="S1235" t="s">
        <v>280</v>
      </c>
      <c r="T1235" t="s">
        <v>1192</v>
      </c>
      <c r="U1235" t="s">
        <v>438</v>
      </c>
      <c r="V1235" t="s">
        <v>246</v>
      </c>
      <c r="W1235" t="s">
        <v>244</v>
      </c>
      <c r="X1235" t="s">
        <v>1397</v>
      </c>
      <c r="Y1235" t="s">
        <v>191</v>
      </c>
      <c r="Z1235" t="s">
        <v>192</v>
      </c>
      <c r="AA1235" t="s">
        <v>193</v>
      </c>
      <c r="AB1235" t="s">
        <v>119</v>
      </c>
      <c r="AC1235" t="s">
        <v>117</v>
      </c>
      <c r="AD1235" t="s">
        <v>118</v>
      </c>
      <c r="AE1235" s="7">
        <v>235000</v>
      </c>
      <c r="AF1235" s="7">
        <v>1</v>
      </c>
      <c r="AG1235" s="7">
        <v>235000</v>
      </c>
      <c r="AH1235" s="7">
        <v>0</v>
      </c>
      <c r="AI1235" s="7">
        <v>235000</v>
      </c>
      <c r="AJ1235" t="s">
        <v>117</v>
      </c>
    </row>
    <row r="1236" spans="14:36" x14ac:dyDescent="0.3">
      <c r="N1236" s="8">
        <v>2026</v>
      </c>
      <c r="O1236" s="8">
        <v>5</v>
      </c>
      <c r="P1236" s="9">
        <v>46154</v>
      </c>
      <c r="Q1236" t="s">
        <v>238</v>
      </c>
      <c r="R1236" t="s">
        <v>279</v>
      </c>
      <c r="S1236" t="s">
        <v>280</v>
      </c>
      <c r="T1236" t="s">
        <v>1398</v>
      </c>
      <c r="U1236" t="s">
        <v>4031</v>
      </c>
      <c r="V1236" t="s">
        <v>246</v>
      </c>
      <c r="W1236" t="s">
        <v>244</v>
      </c>
      <c r="X1236" t="s">
        <v>1399</v>
      </c>
      <c r="Y1236" t="s">
        <v>191</v>
      </c>
      <c r="Z1236" t="s">
        <v>192</v>
      </c>
      <c r="AA1236" t="s">
        <v>193</v>
      </c>
      <c r="AB1236" t="s">
        <v>104</v>
      </c>
      <c r="AC1236" t="s">
        <v>102</v>
      </c>
      <c r="AD1236" t="s">
        <v>103</v>
      </c>
      <c r="AE1236" s="7">
        <v>235000</v>
      </c>
      <c r="AF1236" s="7">
        <v>1</v>
      </c>
      <c r="AG1236" s="7">
        <v>235000</v>
      </c>
      <c r="AH1236" s="7">
        <v>0</v>
      </c>
      <c r="AI1236" s="7">
        <v>235000</v>
      </c>
      <c r="AJ1236" t="s">
        <v>102</v>
      </c>
    </row>
    <row r="1237" spans="14:36" x14ac:dyDescent="0.3">
      <c r="N1237" s="8">
        <v>2026</v>
      </c>
      <c r="O1237" s="8">
        <v>5</v>
      </c>
      <c r="P1237" s="9">
        <v>46154</v>
      </c>
      <c r="Q1237" t="s">
        <v>238</v>
      </c>
      <c r="R1237" t="s">
        <v>279</v>
      </c>
      <c r="S1237" t="s">
        <v>280</v>
      </c>
      <c r="T1237" t="s">
        <v>1400</v>
      </c>
      <c r="U1237" t="s">
        <v>3881</v>
      </c>
      <c r="V1237" t="s">
        <v>246</v>
      </c>
      <c r="W1237" t="s">
        <v>244</v>
      </c>
      <c r="X1237" t="s">
        <v>1401</v>
      </c>
      <c r="Y1237" t="s">
        <v>191</v>
      </c>
      <c r="Z1237" t="s">
        <v>192</v>
      </c>
      <c r="AA1237" t="s">
        <v>193</v>
      </c>
      <c r="AB1237" t="s">
        <v>113</v>
      </c>
      <c r="AC1237" t="s">
        <v>111</v>
      </c>
      <c r="AD1237" t="s">
        <v>112</v>
      </c>
      <c r="AE1237" s="7">
        <v>235000</v>
      </c>
      <c r="AF1237" s="7">
        <v>1</v>
      </c>
      <c r="AG1237" s="7">
        <v>235000</v>
      </c>
      <c r="AH1237" s="7">
        <v>0</v>
      </c>
      <c r="AI1237" s="7">
        <v>235000</v>
      </c>
      <c r="AJ1237" t="s">
        <v>111</v>
      </c>
    </row>
    <row r="1238" spans="14:36" x14ac:dyDescent="0.3">
      <c r="N1238" s="8">
        <v>2026</v>
      </c>
      <c r="O1238" s="8">
        <v>5</v>
      </c>
      <c r="P1238" s="9">
        <v>46154</v>
      </c>
      <c r="Q1238" t="s">
        <v>238</v>
      </c>
      <c r="R1238" t="s">
        <v>303</v>
      </c>
      <c r="S1238" t="s">
        <v>304</v>
      </c>
      <c r="T1238" t="s">
        <v>1404</v>
      </c>
      <c r="U1238" t="s">
        <v>539</v>
      </c>
      <c r="V1238" t="s">
        <v>246</v>
      </c>
      <c r="W1238" t="s">
        <v>244</v>
      </c>
      <c r="X1238" t="s">
        <v>1405</v>
      </c>
      <c r="Y1238" t="s">
        <v>191</v>
      </c>
      <c r="Z1238" t="s">
        <v>335</v>
      </c>
      <c r="AA1238" t="s">
        <v>337</v>
      </c>
      <c r="AB1238" t="s">
        <v>719</v>
      </c>
      <c r="AC1238" t="s">
        <v>720</v>
      </c>
      <c r="AD1238" t="s">
        <v>721</v>
      </c>
      <c r="AE1238" s="7">
        <v>104000</v>
      </c>
      <c r="AF1238" s="7">
        <v>1</v>
      </c>
      <c r="AG1238" s="7">
        <v>104000</v>
      </c>
      <c r="AH1238" s="7">
        <v>0</v>
      </c>
      <c r="AI1238" s="7">
        <v>104000</v>
      </c>
      <c r="AJ1238" t="s">
        <v>720</v>
      </c>
    </row>
    <row r="1239" spans="14:36" x14ac:dyDescent="0.3">
      <c r="N1239" s="8">
        <v>2026</v>
      </c>
      <c r="O1239" s="8">
        <v>5</v>
      </c>
      <c r="P1239" s="9">
        <v>46154</v>
      </c>
      <c r="Q1239" t="s">
        <v>238</v>
      </c>
      <c r="R1239" t="s">
        <v>303</v>
      </c>
      <c r="S1239" t="s">
        <v>304</v>
      </c>
      <c r="T1239" t="s">
        <v>1407</v>
      </c>
      <c r="U1239" t="s">
        <v>4032</v>
      </c>
      <c r="V1239" t="s">
        <v>246</v>
      </c>
      <c r="W1239" t="s">
        <v>244</v>
      </c>
      <c r="X1239" t="s">
        <v>1408</v>
      </c>
      <c r="Y1239" t="s">
        <v>183</v>
      </c>
      <c r="Z1239" t="s">
        <v>184</v>
      </c>
      <c r="AA1239" t="s">
        <v>185</v>
      </c>
      <c r="AB1239" t="s">
        <v>47</v>
      </c>
      <c r="AC1239" t="s">
        <v>45</v>
      </c>
      <c r="AD1239" t="s">
        <v>46</v>
      </c>
      <c r="AE1239" s="7">
        <v>52000</v>
      </c>
      <c r="AF1239" s="7">
        <v>1</v>
      </c>
      <c r="AG1239" s="7">
        <v>52000</v>
      </c>
      <c r="AH1239" s="7">
        <v>0</v>
      </c>
      <c r="AI1239" s="7">
        <v>52000</v>
      </c>
      <c r="AJ1239" t="s">
        <v>45</v>
      </c>
    </row>
    <row r="1240" spans="14:36" x14ac:dyDescent="0.3">
      <c r="N1240" s="8">
        <v>2026</v>
      </c>
      <c r="O1240" s="8">
        <v>5</v>
      </c>
      <c r="P1240" s="9">
        <v>46154</v>
      </c>
      <c r="Q1240" t="s">
        <v>238</v>
      </c>
      <c r="R1240" t="s">
        <v>351</v>
      </c>
      <c r="S1240" t="s">
        <v>352</v>
      </c>
      <c r="T1240" t="s">
        <v>803</v>
      </c>
      <c r="U1240" t="s">
        <v>562</v>
      </c>
      <c r="V1240" t="s">
        <v>246</v>
      </c>
      <c r="W1240" t="s">
        <v>244</v>
      </c>
      <c r="X1240" t="s">
        <v>1410</v>
      </c>
      <c r="Y1240" t="s">
        <v>194</v>
      </c>
      <c r="Z1240" t="s">
        <v>200</v>
      </c>
      <c r="AA1240" t="s">
        <v>201</v>
      </c>
      <c r="AB1240" t="s">
        <v>89</v>
      </c>
      <c r="AC1240" t="s">
        <v>87</v>
      </c>
      <c r="AD1240" t="s">
        <v>88</v>
      </c>
      <c r="AE1240" s="7">
        <v>46000</v>
      </c>
      <c r="AF1240" s="7">
        <v>1</v>
      </c>
      <c r="AG1240" s="7">
        <v>46000</v>
      </c>
      <c r="AH1240" s="7">
        <v>0</v>
      </c>
      <c r="AI1240" s="7">
        <v>46000</v>
      </c>
      <c r="AJ1240" t="s">
        <v>87</v>
      </c>
    </row>
    <row r="1241" spans="14:36" x14ac:dyDescent="0.3">
      <c r="N1241" s="8">
        <v>2026</v>
      </c>
      <c r="O1241" s="8">
        <v>5</v>
      </c>
      <c r="P1241" s="9">
        <v>46154</v>
      </c>
      <c r="Q1241" t="s">
        <v>238</v>
      </c>
      <c r="R1241" t="s">
        <v>374</v>
      </c>
      <c r="S1241" t="s">
        <v>375</v>
      </c>
      <c r="T1241" t="s">
        <v>1415</v>
      </c>
      <c r="U1241" t="s">
        <v>1416</v>
      </c>
      <c r="V1241" t="s">
        <v>246</v>
      </c>
      <c r="W1241" t="s">
        <v>244</v>
      </c>
      <c r="X1241" t="s">
        <v>1417</v>
      </c>
      <c r="Y1241" t="s">
        <v>194</v>
      </c>
      <c r="Z1241" t="s">
        <v>200</v>
      </c>
      <c r="AA1241" t="s">
        <v>201</v>
      </c>
      <c r="AB1241" t="s">
        <v>80</v>
      </c>
      <c r="AC1241" t="s">
        <v>78</v>
      </c>
      <c r="AD1241" t="s">
        <v>79</v>
      </c>
      <c r="AE1241" s="7">
        <v>14000</v>
      </c>
      <c r="AF1241" s="7">
        <v>1</v>
      </c>
      <c r="AG1241" s="7">
        <v>14000</v>
      </c>
      <c r="AH1241" s="7">
        <v>0</v>
      </c>
      <c r="AI1241" s="7">
        <v>14000</v>
      </c>
      <c r="AJ1241" t="s">
        <v>78</v>
      </c>
    </row>
    <row r="1242" spans="14:36" x14ac:dyDescent="0.3">
      <c r="N1242" s="8">
        <v>2026</v>
      </c>
      <c r="O1242" s="8">
        <v>5</v>
      </c>
      <c r="P1242" s="9">
        <v>46154</v>
      </c>
      <c r="Q1242" t="s">
        <v>238</v>
      </c>
      <c r="R1242" t="s">
        <v>374</v>
      </c>
      <c r="S1242" t="s">
        <v>375</v>
      </c>
      <c r="T1242" t="s">
        <v>1418</v>
      </c>
      <c r="U1242" t="s">
        <v>1419</v>
      </c>
      <c r="V1242" t="s">
        <v>246</v>
      </c>
      <c r="W1242" t="s">
        <v>244</v>
      </c>
      <c r="X1242" t="s">
        <v>1420</v>
      </c>
      <c r="Y1242" t="s">
        <v>168</v>
      </c>
      <c r="Z1242" t="s">
        <v>171</v>
      </c>
      <c r="AA1242" t="s">
        <v>172</v>
      </c>
      <c r="AB1242" t="s">
        <v>14</v>
      </c>
      <c r="AC1242" t="s">
        <v>12</v>
      </c>
      <c r="AD1242" t="s">
        <v>13</v>
      </c>
      <c r="AE1242" s="7">
        <v>135000</v>
      </c>
      <c r="AF1242" s="7">
        <v>1</v>
      </c>
      <c r="AG1242" s="7">
        <v>135000</v>
      </c>
      <c r="AH1242" s="7">
        <v>0</v>
      </c>
      <c r="AI1242" s="7">
        <v>135000</v>
      </c>
      <c r="AJ1242" t="s">
        <v>12</v>
      </c>
    </row>
    <row r="1243" spans="14:36" x14ac:dyDescent="0.3">
      <c r="N1243" s="8">
        <v>2026</v>
      </c>
      <c r="O1243" s="8">
        <v>5</v>
      </c>
      <c r="P1243" s="9">
        <v>46154</v>
      </c>
      <c r="Q1243" t="s">
        <v>238</v>
      </c>
      <c r="R1243" t="s">
        <v>374</v>
      </c>
      <c r="S1243" t="s">
        <v>375</v>
      </c>
      <c r="T1243" t="s">
        <v>1421</v>
      </c>
      <c r="U1243" t="s">
        <v>3987</v>
      </c>
      <c r="V1243" t="s">
        <v>246</v>
      </c>
      <c r="W1243" t="s">
        <v>244</v>
      </c>
      <c r="X1243" t="s">
        <v>1422</v>
      </c>
      <c r="Y1243" t="s">
        <v>183</v>
      </c>
      <c r="Z1243" t="s">
        <v>186</v>
      </c>
      <c r="AA1243" t="s">
        <v>188</v>
      </c>
      <c r="AB1243" t="s">
        <v>101</v>
      </c>
      <c r="AC1243" t="s">
        <v>99</v>
      </c>
      <c r="AD1243" t="s">
        <v>100</v>
      </c>
      <c r="AE1243" s="7">
        <v>199000</v>
      </c>
      <c r="AF1243" s="7">
        <v>1</v>
      </c>
      <c r="AG1243" s="7">
        <v>199000</v>
      </c>
      <c r="AH1243" s="7">
        <v>9950</v>
      </c>
      <c r="AI1243" s="7">
        <v>189050</v>
      </c>
      <c r="AJ1243" t="s">
        <v>99</v>
      </c>
    </row>
    <row r="1244" spans="14:36" x14ac:dyDescent="0.3">
      <c r="N1244" s="8">
        <v>2026</v>
      </c>
      <c r="O1244" s="8">
        <v>5</v>
      </c>
      <c r="P1244" s="9">
        <v>46154</v>
      </c>
      <c r="Q1244" t="s">
        <v>238</v>
      </c>
      <c r="R1244" t="s">
        <v>396</v>
      </c>
      <c r="S1244" t="s">
        <v>397</v>
      </c>
      <c r="T1244" t="s">
        <v>1423</v>
      </c>
      <c r="U1244" t="s">
        <v>1424</v>
      </c>
      <c r="V1244" t="s">
        <v>246</v>
      </c>
      <c r="W1244" t="s">
        <v>244</v>
      </c>
      <c r="X1244" t="s">
        <v>1425</v>
      </c>
      <c r="Y1244" t="s">
        <v>191</v>
      </c>
      <c r="Z1244" t="s">
        <v>192</v>
      </c>
      <c r="AA1244" t="s">
        <v>193</v>
      </c>
      <c r="AB1244" t="s">
        <v>104</v>
      </c>
      <c r="AC1244" t="s">
        <v>102</v>
      </c>
      <c r="AD1244" t="s">
        <v>103</v>
      </c>
      <c r="AE1244" s="7">
        <v>235000</v>
      </c>
      <c r="AF1244" s="7">
        <v>1</v>
      </c>
      <c r="AG1244" s="7">
        <v>235000</v>
      </c>
      <c r="AH1244" s="7">
        <v>0</v>
      </c>
      <c r="AI1244" s="7">
        <v>235000</v>
      </c>
      <c r="AJ1244" t="s">
        <v>102</v>
      </c>
    </row>
    <row r="1245" spans="14:36" x14ac:dyDescent="0.3">
      <c r="N1245" s="8">
        <v>2026</v>
      </c>
      <c r="O1245" s="8">
        <v>5</v>
      </c>
      <c r="P1245" s="9">
        <v>46154</v>
      </c>
      <c r="Q1245" t="s">
        <v>238</v>
      </c>
      <c r="R1245" t="s">
        <v>396</v>
      </c>
      <c r="S1245" t="s">
        <v>397</v>
      </c>
      <c r="T1245" t="s">
        <v>1423</v>
      </c>
      <c r="U1245" t="s">
        <v>1424</v>
      </c>
      <c r="V1245" t="s">
        <v>246</v>
      </c>
      <c r="W1245" t="s">
        <v>244</v>
      </c>
      <c r="X1245" t="s">
        <v>1425</v>
      </c>
      <c r="Y1245" t="s">
        <v>191</v>
      </c>
      <c r="Z1245" t="s">
        <v>192</v>
      </c>
      <c r="AA1245" t="s">
        <v>193</v>
      </c>
      <c r="AB1245" t="s">
        <v>110</v>
      </c>
      <c r="AC1245" t="s">
        <v>108</v>
      </c>
      <c r="AD1245" t="s">
        <v>109</v>
      </c>
      <c r="AE1245" s="7">
        <v>235000</v>
      </c>
      <c r="AF1245" s="7">
        <v>1</v>
      </c>
      <c r="AG1245" s="7">
        <v>235000</v>
      </c>
      <c r="AH1245" s="7">
        <v>0</v>
      </c>
      <c r="AI1245" s="7">
        <v>235000</v>
      </c>
      <c r="AJ1245" t="s">
        <v>108</v>
      </c>
    </row>
    <row r="1246" spans="14:36" x14ac:dyDescent="0.3">
      <c r="N1246" s="8">
        <v>2026</v>
      </c>
      <c r="O1246" s="8">
        <v>5</v>
      </c>
      <c r="P1246" s="9">
        <v>46154</v>
      </c>
      <c r="Q1246" t="s">
        <v>238</v>
      </c>
      <c r="R1246" t="s">
        <v>415</v>
      </c>
      <c r="S1246" t="s">
        <v>416</v>
      </c>
      <c r="T1246" t="s">
        <v>1427</v>
      </c>
      <c r="U1246" t="s">
        <v>4033</v>
      </c>
      <c r="V1246" t="s">
        <v>246</v>
      </c>
      <c r="W1246" t="s">
        <v>244</v>
      </c>
      <c r="X1246" t="s">
        <v>1428</v>
      </c>
      <c r="Y1246" t="s">
        <v>191</v>
      </c>
      <c r="Z1246" t="s">
        <v>335</v>
      </c>
      <c r="AA1246" t="s">
        <v>336</v>
      </c>
      <c r="AB1246" t="s">
        <v>1146</v>
      </c>
      <c r="AC1246" t="s">
        <v>1147</v>
      </c>
      <c r="AD1246" t="s">
        <v>1148</v>
      </c>
      <c r="AE1246" s="7">
        <v>99000</v>
      </c>
      <c r="AF1246" s="7">
        <v>2</v>
      </c>
      <c r="AG1246" s="7">
        <v>198000</v>
      </c>
      <c r="AH1246" s="7">
        <v>89100</v>
      </c>
      <c r="AI1246" s="7">
        <v>108900</v>
      </c>
      <c r="AJ1246" t="s">
        <v>1147</v>
      </c>
    </row>
    <row r="1247" spans="14:36" x14ac:dyDescent="0.3">
      <c r="N1247" s="8">
        <v>2026</v>
      </c>
      <c r="O1247" s="8">
        <v>5</v>
      </c>
      <c r="P1247" s="9">
        <v>46154</v>
      </c>
      <c r="Q1247" t="s">
        <v>238</v>
      </c>
      <c r="R1247" t="s">
        <v>425</v>
      </c>
      <c r="S1247" t="s">
        <v>426</v>
      </c>
      <c r="T1247" t="s">
        <v>686</v>
      </c>
      <c r="U1247" t="s">
        <v>687</v>
      </c>
      <c r="V1247" t="s">
        <v>246</v>
      </c>
      <c r="W1247" t="s">
        <v>244</v>
      </c>
      <c r="X1247" t="s">
        <v>1429</v>
      </c>
      <c r="Y1247" t="s">
        <v>191</v>
      </c>
      <c r="Z1247" t="s">
        <v>335</v>
      </c>
      <c r="AA1247" t="s">
        <v>336</v>
      </c>
      <c r="AB1247" t="s">
        <v>606</v>
      </c>
      <c r="AC1247" t="s">
        <v>607</v>
      </c>
      <c r="AD1247" t="s">
        <v>608</v>
      </c>
      <c r="AE1247" s="7">
        <v>105000</v>
      </c>
      <c r="AF1247" s="7">
        <v>1</v>
      </c>
      <c r="AG1247" s="7">
        <v>105000</v>
      </c>
      <c r="AH1247" s="7">
        <v>0</v>
      </c>
      <c r="AI1247" s="7">
        <v>105000</v>
      </c>
      <c r="AJ1247" t="s">
        <v>607</v>
      </c>
    </row>
    <row r="1248" spans="14:36" x14ac:dyDescent="0.3">
      <c r="N1248" s="8">
        <v>2026</v>
      </c>
      <c r="O1248" s="8">
        <v>5</v>
      </c>
      <c r="P1248" s="9">
        <v>46154</v>
      </c>
      <c r="Q1248" t="s">
        <v>238</v>
      </c>
      <c r="R1248" t="s">
        <v>425</v>
      </c>
      <c r="S1248" t="s">
        <v>426</v>
      </c>
      <c r="T1248" t="s">
        <v>1430</v>
      </c>
      <c r="U1248" t="s">
        <v>4034</v>
      </c>
      <c r="V1248" t="s">
        <v>246</v>
      </c>
      <c r="W1248" t="s">
        <v>244</v>
      </c>
      <c r="X1248" t="s">
        <v>1431</v>
      </c>
      <c r="Y1248" t="s">
        <v>194</v>
      </c>
      <c r="Z1248" t="s">
        <v>195</v>
      </c>
      <c r="AA1248" t="s">
        <v>196</v>
      </c>
      <c r="AB1248" t="s">
        <v>65</v>
      </c>
      <c r="AC1248" t="s">
        <v>63</v>
      </c>
      <c r="AD1248" t="s">
        <v>64</v>
      </c>
      <c r="AE1248" s="7">
        <v>390000</v>
      </c>
      <c r="AF1248" s="7">
        <v>2</v>
      </c>
      <c r="AG1248" s="7">
        <v>780000</v>
      </c>
      <c r="AH1248" s="7">
        <v>0</v>
      </c>
      <c r="AI1248" s="7">
        <v>780000</v>
      </c>
      <c r="AJ1248" t="s">
        <v>63</v>
      </c>
    </row>
    <row r="1249" spans="14:36" x14ac:dyDescent="0.3">
      <c r="N1249" s="8">
        <v>2026</v>
      </c>
      <c r="O1249" s="8">
        <v>5</v>
      </c>
      <c r="P1249" s="9">
        <v>46153</v>
      </c>
      <c r="Q1249" t="s">
        <v>238</v>
      </c>
      <c r="R1249" t="s">
        <v>239</v>
      </c>
      <c r="S1249" t="s">
        <v>240</v>
      </c>
      <c r="T1249" t="s">
        <v>1436</v>
      </c>
      <c r="U1249" t="s">
        <v>4035</v>
      </c>
      <c r="V1249" t="s">
        <v>246</v>
      </c>
      <c r="W1249" t="s">
        <v>244</v>
      </c>
      <c r="X1249" t="s">
        <v>1437</v>
      </c>
      <c r="Y1249" t="s">
        <v>183</v>
      </c>
      <c r="Z1249" t="s">
        <v>189</v>
      </c>
      <c r="AA1249" t="s">
        <v>190</v>
      </c>
      <c r="AB1249" t="s">
        <v>92</v>
      </c>
      <c r="AC1249" t="s">
        <v>90</v>
      </c>
      <c r="AD1249" t="s">
        <v>91</v>
      </c>
      <c r="AE1249" s="7">
        <v>52000</v>
      </c>
      <c r="AF1249" s="7">
        <v>1</v>
      </c>
      <c r="AG1249" s="7">
        <v>52000</v>
      </c>
      <c r="AH1249" s="7">
        <v>0</v>
      </c>
      <c r="AI1249" s="7">
        <v>52000</v>
      </c>
      <c r="AJ1249" t="s">
        <v>90</v>
      </c>
    </row>
    <row r="1250" spans="14:36" x14ac:dyDescent="0.3">
      <c r="N1250" s="8">
        <v>2026</v>
      </c>
      <c r="O1250" s="8">
        <v>5</v>
      </c>
      <c r="P1250" s="9">
        <v>46153</v>
      </c>
      <c r="Q1250" t="s">
        <v>238</v>
      </c>
      <c r="R1250" t="s">
        <v>239</v>
      </c>
      <c r="S1250" t="s">
        <v>240</v>
      </c>
      <c r="T1250" t="s">
        <v>1438</v>
      </c>
      <c r="U1250" t="s">
        <v>284</v>
      </c>
      <c r="V1250" t="s">
        <v>249</v>
      </c>
      <c r="W1250" t="s">
        <v>244</v>
      </c>
      <c r="X1250" t="s">
        <v>1439</v>
      </c>
      <c r="Y1250" t="s">
        <v>183</v>
      </c>
      <c r="Z1250" t="s">
        <v>189</v>
      </c>
      <c r="AA1250" t="s">
        <v>190</v>
      </c>
      <c r="AB1250" t="s">
        <v>92</v>
      </c>
      <c r="AC1250" t="s">
        <v>90</v>
      </c>
      <c r="AD1250" t="s">
        <v>91</v>
      </c>
      <c r="AE1250" s="7">
        <v>52000</v>
      </c>
      <c r="AF1250" s="7">
        <v>1</v>
      </c>
      <c r="AG1250" s="7">
        <v>52000</v>
      </c>
      <c r="AH1250" s="7">
        <v>0</v>
      </c>
      <c r="AI1250" s="7">
        <v>52000</v>
      </c>
      <c r="AJ1250" t="s">
        <v>90</v>
      </c>
    </row>
    <row r="1251" spans="14:36" x14ac:dyDescent="0.3">
      <c r="N1251" s="8">
        <v>2026</v>
      </c>
      <c r="O1251" s="8">
        <v>5</v>
      </c>
      <c r="P1251" s="9">
        <v>46153</v>
      </c>
      <c r="Q1251" t="s">
        <v>238</v>
      </c>
      <c r="R1251" t="s">
        <v>239</v>
      </c>
      <c r="S1251" t="s">
        <v>240</v>
      </c>
      <c r="T1251" t="s">
        <v>1387</v>
      </c>
      <c r="U1251" t="s">
        <v>3975</v>
      </c>
      <c r="V1251" t="s">
        <v>246</v>
      </c>
      <c r="W1251" t="s">
        <v>244</v>
      </c>
      <c r="X1251" t="s">
        <v>1442</v>
      </c>
      <c r="Y1251" t="s">
        <v>194</v>
      </c>
      <c r="Z1251" t="s">
        <v>195</v>
      </c>
      <c r="AA1251" t="s">
        <v>196</v>
      </c>
      <c r="AB1251" t="s">
        <v>65</v>
      </c>
      <c r="AC1251" t="s">
        <v>63</v>
      </c>
      <c r="AD1251" t="s">
        <v>64</v>
      </c>
      <c r="AE1251" s="7">
        <v>390000</v>
      </c>
      <c r="AF1251" s="7">
        <v>1</v>
      </c>
      <c r="AG1251" s="7">
        <v>390000</v>
      </c>
      <c r="AH1251" s="7">
        <v>0</v>
      </c>
      <c r="AI1251" s="7">
        <v>390000</v>
      </c>
      <c r="AJ1251" t="s">
        <v>63</v>
      </c>
    </row>
    <row r="1252" spans="14:36" x14ac:dyDescent="0.3">
      <c r="N1252" s="8">
        <v>2026</v>
      </c>
      <c r="O1252" s="8">
        <v>5</v>
      </c>
      <c r="P1252" s="9">
        <v>46153</v>
      </c>
      <c r="Q1252" t="s">
        <v>238</v>
      </c>
      <c r="R1252" t="s">
        <v>239</v>
      </c>
      <c r="S1252" t="s">
        <v>240</v>
      </c>
      <c r="T1252" t="s">
        <v>1443</v>
      </c>
      <c r="U1252" t="s">
        <v>4036</v>
      </c>
      <c r="V1252" t="s">
        <v>246</v>
      </c>
      <c r="W1252" t="s">
        <v>244</v>
      </c>
      <c r="X1252" t="s">
        <v>1444</v>
      </c>
      <c r="Y1252" t="s">
        <v>183</v>
      </c>
      <c r="Z1252" t="s">
        <v>189</v>
      </c>
      <c r="AA1252" t="s">
        <v>190</v>
      </c>
      <c r="AB1252" t="s">
        <v>92</v>
      </c>
      <c r="AC1252" t="s">
        <v>90</v>
      </c>
      <c r="AD1252" t="s">
        <v>91</v>
      </c>
      <c r="AE1252" s="7">
        <v>52000</v>
      </c>
      <c r="AF1252" s="7">
        <v>1</v>
      </c>
      <c r="AG1252" s="7">
        <v>52000</v>
      </c>
      <c r="AH1252" s="7">
        <v>0</v>
      </c>
      <c r="AI1252" s="7">
        <v>52000</v>
      </c>
      <c r="AJ1252" t="s">
        <v>90</v>
      </c>
    </row>
    <row r="1253" spans="14:36" x14ac:dyDescent="0.3">
      <c r="N1253" s="8">
        <v>2026</v>
      </c>
      <c r="O1253" s="8">
        <v>5</v>
      </c>
      <c r="P1253" s="9">
        <v>46153</v>
      </c>
      <c r="Q1253" t="s">
        <v>238</v>
      </c>
      <c r="R1253" t="s">
        <v>303</v>
      </c>
      <c r="S1253" t="s">
        <v>304</v>
      </c>
      <c r="T1253" t="s">
        <v>1447</v>
      </c>
      <c r="U1253" t="s">
        <v>4015</v>
      </c>
      <c r="V1253" t="s">
        <v>246</v>
      </c>
      <c r="W1253" t="s">
        <v>244</v>
      </c>
      <c r="X1253" t="s">
        <v>1448</v>
      </c>
      <c r="Y1253" t="s">
        <v>191</v>
      </c>
      <c r="Z1253" t="s">
        <v>192</v>
      </c>
      <c r="AA1253" t="s">
        <v>193</v>
      </c>
      <c r="AB1253" t="s">
        <v>110</v>
      </c>
      <c r="AC1253" t="s">
        <v>108</v>
      </c>
      <c r="AD1253" t="s">
        <v>109</v>
      </c>
      <c r="AE1253" s="7">
        <v>235000</v>
      </c>
      <c r="AF1253" s="7">
        <v>1</v>
      </c>
      <c r="AG1253" s="7">
        <v>235000</v>
      </c>
      <c r="AH1253" s="7">
        <v>0</v>
      </c>
      <c r="AI1253" s="7">
        <v>235000</v>
      </c>
      <c r="AJ1253" t="s">
        <v>108</v>
      </c>
    </row>
    <row r="1254" spans="14:36" x14ac:dyDescent="0.3">
      <c r="N1254" s="8">
        <v>2026</v>
      </c>
      <c r="O1254" s="8">
        <v>5</v>
      </c>
      <c r="P1254" s="9">
        <v>46153</v>
      </c>
      <c r="Q1254" t="s">
        <v>238</v>
      </c>
      <c r="R1254" t="s">
        <v>303</v>
      </c>
      <c r="S1254" t="s">
        <v>304</v>
      </c>
      <c r="T1254" t="s">
        <v>1449</v>
      </c>
      <c r="U1254" t="s">
        <v>1450</v>
      </c>
      <c r="V1254" t="s">
        <v>246</v>
      </c>
      <c r="W1254" t="s">
        <v>244</v>
      </c>
      <c r="X1254" t="s">
        <v>1451</v>
      </c>
      <c r="Y1254" t="s">
        <v>191</v>
      </c>
      <c r="Z1254" t="s">
        <v>192</v>
      </c>
      <c r="AA1254" t="s">
        <v>193</v>
      </c>
      <c r="AB1254" t="s">
        <v>104</v>
      </c>
      <c r="AC1254" t="s">
        <v>102</v>
      </c>
      <c r="AD1254" t="s">
        <v>103</v>
      </c>
      <c r="AE1254" s="7">
        <v>235000</v>
      </c>
      <c r="AF1254" s="7">
        <v>1</v>
      </c>
      <c r="AG1254" s="7">
        <v>235000</v>
      </c>
      <c r="AH1254" s="7">
        <v>0</v>
      </c>
      <c r="AI1254" s="7">
        <v>235000</v>
      </c>
      <c r="AJ1254" t="s">
        <v>102</v>
      </c>
    </row>
    <row r="1255" spans="14:36" x14ac:dyDescent="0.3">
      <c r="N1255" s="8">
        <v>2026</v>
      </c>
      <c r="O1255" s="8">
        <v>5</v>
      </c>
      <c r="P1255" s="9">
        <v>46153</v>
      </c>
      <c r="Q1255" t="s">
        <v>238</v>
      </c>
      <c r="R1255" t="s">
        <v>303</v>
      </c>
      <c r="S1255" t="s">
        <v>304</v>
      </c>
      <c r="T1255" t="s">
        <v>1452</v>
      </c>
      <c r="U1255" t="s">
        <v>3661</v>
      </c>
      <c r="V1255" t="s">
        <v>246</v>
      </c>
      <c r="W1255" t="s">
        <v>244</v>
      </c>
      <c r="X1255" t="s">
        <v>1453</v>
      </c>
      <c r="Y1255" t="s">
        <v>183</v>
      </c>
      <c r="Z1255" t="s">
        <v>186</v>
      </c>
      <c r="AA1255" t="s">
        <v>188</v>
      </c>
      <c r="AB1255" t="s">
        <v>101</v>
      </c>
      <c r="AC1255" t="s">
        <v>99</v>
      </c>
      <c r="AD1255" t="s">
        <v>100</v>
      </c>
      <c r="AE1255" s="7">
        <v>199000</v>
      </c>
      <c r="AF1255" s="7">
        <v>1</v>
      </c>
      <c r="AG1255" s="7">
        <v>199000</v>
      </c>
      <c r="AH1255" s="7">
        <v>9950</v>
      </c>
      <c r="AI1255" s="7">
        <v>189050</v>
      </c>
      <c r="AJ1255" t="s">
        <v>99</v>
      </c>
    </row>
    <row r="1256" spans="14:36" x14ac:dyDescent="0.3">
      <c r="N1256" s="8">
        <v>2026</v>
      </c>
      <c r="O1256" s="8">
        <v>5</v>
      </c>
      <c r="P1256" s="9">
        <v>46153</v>
      </c>
      <c r="Q1256" t="s">
        <v>238</v>
      </c>
      <c r="R1256" t="s">
        <v>303</v>
      </c>
      <c r="S1256" t="s">
        <v>304</v>
      </c>
      <c r="T1256" t="s">
        <v>1457</v>
      </c>
      <c r="U1256" t="s">
        <v>3905</v>
      </c>
      <c r="V1256" t="s">
        <v>246</v>
      </c>
      <c r="W1256" t="s">
        <v>244</v>
      </c>
      <c r="X1256" t="s">
        <v>1458</v>
      </c>
      <c r="Y1256" t="s">
        <v>194</v>
      </c>
      <c r="Z1256" t="s">
        <v>200</v>
      </c>
      <c r="AA1256" t="s">
        <v>201</v>
      </c>
      <c r="AB1256" t="s">
        <v>89</v>
      </c>
      <c r="AC1256" t="s">
        <v>87</v>
      </c>
      <c r="AD1256" t="s">
        <v>88</v>
      </c>
      <c r="AE1256" s="7">
        <v>46000</v>
      </c>
      <c r="AF1256" s="7">
        <v>1</v>
      </c>
      <c r="AG1256" s="7">
        <v>46000</v>
      </c>
      <c r="AH1256" s="7">
        <v>0</v>
      </c>
      <c r="AI1256" s="7">
        <v>46000</v>
      </c>
      <c r="AJ1256" t="s">
        <v>87</v>
      </c>
    </row>
    <row r="1257" spans="14:36" x14ac:dyDescent="0.3">
      <c r="N1257" s="8">
        <v>2026</v>
      </c>
      <c r="O1257" s="8">
        <v>5</v>
      </c>
      <c r="P1257" s="9">
        <v>46153</v>
      </c>
      <c r="Q1257" t="s">
        <v>238</v>
      </c>
      <c r="R1257" t="s">
        <v>374</v>
      </c>
      <c r="S1257" t="s">
        <v>375</v>
      </c>
      <c r="T1257" t="s">
        <v>1463</v>
      </c>
      <c r="U1257" t="s">
        <v>1464</v>
      </c>
      <c r="V1257" t="s">
        <v>246</v>
      </c>
      <c r="W1257" t="s">
        <v>244</v>
      </c>
      <c r="X1257" t="s">
        <v>1465</v>
      </c>
      <c r="Y1257" t="s">
        <v>194</v>
      </c>
      <c r="Z1257" t="s">
        <v>200</v>
      </c>
      <c r="AA1257" t="s">
        <v>201</v>
      </c>
      <c r="AB1257" t="s">
        <v>86</v>
      </c>
      <c r="AC1257" t="s">
        <v>84</v>
      </c>
      <c r="AD1257" t="s">
        <v>85</v>
      </c>
      <c r="AE1257" s="7">
        <v>49000</v>
      </c>
      <c r="AF1257" s="7">
        <v>1</v>
      </c>
      <c r="AG1257" s="7">
        <v>49000</v>
      </c>
      <c r="AH1257" s="7">
        <v>0</v>
      </c>
      <c r="AI1257" s="7">
        <v>49000</v>
      </c>
      <c r="AJ1257" t="s">
        <v>84</v>
      </c>
    </row>
    <row r="1258" spans="14:36" x14ac:dyDescent="0.3">
      <c r="N1258" s="8">
        <v>2026</v>
      </c>
      <c r="O1258" s="8">
        <v>5</v>
      </c>
      <c r="P1258" s="9">
        <v>46153</v>
      </c>
      <c r="Q1258" t="s">
        <v>238</v>
      </c>
      <c r="R1258" t="s">
        <v>374</v>
      </c>
      <c r="S1258" t="s">
        <v>375</v>
      </c>
      <c r="T1258" t="s">
        <v>1413</v>
      </c>
      <c r="U1258" t="s">
        <v>1414</v>
      </c>
      <c r="V1258" t="s">
        <v>246</v>
      </c>
      <c r="W1258" t="s">
        <v>244</v>
      </c>
      <c r="X1258" t="s">
        <v>1466</v>
      </c>
      <c r="Y1258" t="s">
        <v>191</v>
      </c>
      <c r="Z1258" t="s">
        <v>335</v>
      </c>
      <c r="AA1258" t="s">
        <v>337</v>
      </c>
      <c r="AB1258" t="s">
        <v>348</v>
      </c>
      <c r="AC1258" t="s">
        <v>349</v>
      </c>
      <c r="AD1258" t="s">
        <v>350</v>
      </c>
      <c r="AE1258" s="7">
        <v>76000</v>
      </c>
      <c r="AF1258" s="7">
        <v>4</v>
      </c>
      <c r="AG1258" s="7">
        <v>304000</v>
      </c>
      <c r="AH1258" s="7">
        <v>0</v>
      </c>
      <c r="AI1258" s="7">
        <v>304000</v>
      </c>
      <c r="AJ1258" t="s">
        <v>349</v>
      </c>
    </row>
    <row r="1259" spans="14:36" x14ac:dyDescent="0.3">
      <c r="N1259" s="8">
        <v>2026</v>
      </c>
      <c r="O1259" s="8">
        <v>5</v>
      </c>
      <c r="P1259" s="9">
        <v>46153</v>
      </c>
      <c r="Q1259" t="s">
        <v>238</v>
      </c>
      <c r="R1259" t="s">
        <v>374</v>
      </c>
      <c r="S1259" t="s">
        <v>375</v>
      </c>
      <c r="T1259" t="s">
        <v>1469</v>
      </c>
      <c r="U1259" t="s">
        <v>4037</v>
      </c>
      <c r="V1259" t="s">
        <v>246</v>
      </c>
      <c r="W1259" t="s">
        <v>244</v>
      </c>
      <c r="X1259" t="s">
        <v>1470</v>
      </c>
      <c r="Y1259" t="s">
        <v>191</v>
      </c>
      <c r="Z1259" t="s">
        <v>192</v>
      </c>
      <c r="AA1259" t="s">
        <v>193</v>
      </c>
      <c r="AB1259" t="s">
        <v>110</v>
      </c>
      <c r="AC1259" t="s">
        <v>108</v>
      </c>
      <c r="AD1259" t="s">
        <v>109</v>
      </c>
      <c r="AE1259" s="7">
        <v>235000</v>
      </c>
      <c r="AF1259" s="7">
        <v>1</v>
      </c>
      <c r="AG1259" s="7">
        <v>235000</v>
      </c>
      <c r="AH1259" s="7">
        <v>0</v>
      </c>
      <c r="AI1259" s="7">
        <v>235000</v>
      </c>
      <c r="AJ1259" t="s">
        <v>108</v>
      </c>
    </row>
    <row r="1260" spans="14:36" x14ac:dyDescent="0.3">
      <c r="N1260" s="8">
        <v>2026</v>
      </c>
      <c r="O1260" s="8">
        <v>5</v>
      </c>
      <c r="P1260" s="9">
        <v>46153</v>
      </c>
      <c r="Q1260" t="s">
        <v>238</v>
      </c>
      <c r="R1260" t="s">
        <v>396</v>
      </c>
      <c r="S1260" t="s">
        <v>397</v>
      </c>
      <c r="T1260" t="s">
        <v>983</v>
      </c>
      <c r="U1260" t="s">
        <v>4002</v>
      </c>
      <c r="V1260" t="s">
        <v>246</v>
      </c>
      <c r="W1260" t="s">
        <v>244</v>
      </c>
      <c r="X1260" t="s">
        <v>1471</v>
      </c>
      <c r="Y1260" t="s">
        <v>191</v>
      </c>
      <c r="Z1260" t="s">
        <v>192</v>
      </c>
      <c r="AA1260" t="s">
        <v>193</v>
      </c>
      <c r="AB1260" t="s">
        <v>110</v>
      </c>
      <c r="AC1260" t="s">
        <v>108</v>
      </c>
      <c r="AD1260" t="s">
        <v>109</v>
      </c>
      <c r="AE1260" s="7">
        <v>235000</v>
      </c>
      <c r="AF1260" s="7">
        <v>1</v>
      </c>
      <c r="AG1260" s="7">
        <v>235000</v>
      </c>
      <c r="AH1260" s="7">
        <v>0</v>
      </c>
      <c r="AI1260" s="7">
        <v>235000</v>
      </c>
      <c r="AJ1260" t="s">
        <v>108</v>
      </c>
    </row>
    <row r="1261" spans="14:36" x14ac:dyDescent="0.3">
      <c r="N1261" s="8">
        <v>2026</v>
      </c>
      <c r="O1261" s="8">
        <v>5</v>
      </c>
      <c r="P1261" s="9">
        <v>46153</v>
      </c>
      <c r="Q1261" t="s">
        <v>238</v>
      </c>
      <c r="R1261" t="s">
        <v>396</v>
      </c>
      <c r="S1261" t="s">
        <v>397</v>
      </c>
      <c r="T1261" t="s">
        <v>983</v>
      </c>
      <c r="U1261" t="s">
        <v>4002</v>
      </c>
      <c r="V1261" t="s">
        <v>246</v>
      </c>
      <c r="W1261" t="s">
        <v>244</v>
      </c>
      <c r="X1261" t="s">
        <v>1471</v>
      </c>
      <c r="Y1261" t="s">
        <v>191</v>
      </c>
      <c r="Z1261" t="s">
        <v>192</v>
      </c>
      <c r="AA1261" t="s">
        <v>193</v>
      </c>
      <c r="AB1261" t="s">
        <v>107</v>
      </c>
      <c r="AC1261" t="s">
        <v>105</v>
      </c>
      <c r="AD1261" t="s">
        <v>106</v>
      </c>
      <c r="AE1261" s="7">
        <v>235000</v>
      </c>
      <c r="AF1261" s="7">
        <v>1</v>
      </c>
      <c r="AG1261" s="7">
        <v>235000</v>
      </c>
      <c r="AH1261" s="7">
        <v>0</v>
      </c>
      <c r="AI1261" s="7">
        <v>235000</v>
      </c>
      <c r="AJ1261" t="s">
        <v>105</v>
      </c>
    </row>
    <row r="1262" spans="14:36" x14ac:dyDescent="0.3">
      <c r="N1262" s="8">
        <v>2026</v>
      </c>
      <c r="O1262" s="8">
        <v>5</v>
      </c>
      <c r="P1262" s="9">
        <v>46153</v>
      </c>
      <c r="Q1262" t="s">
        <v>238</v>
      </c>
      <c r="R1262" t="s">
        <v>396</v>
      </c>
      <c r="S1262" t="s">
        <v>397</v>
      </c>
      <c r="T1262" t="s">
        <v>1473</v>
      </c>
      <c r="U1262" t="s">
        <v>311</v>
      </c>
      <c r="V1262" t="s">
        <v>246</v>
      </c>
      <c r="W1262" t="s">
        <v>244</v>
      </c>
      <c r="X1262" t="s">
        <v>1474</v>
      </c>
      <c r="Y1262" t="s">
        <v>168</v>
      </c>
      <c r="Z1262" t="s">
        <v>171</v>
      </c>
      <c r="AA1262" t="s">
        <v>173</v>
      </c>
      <c r="AB1262" t="s">
        <v>26</v>
      </c>
      <c r="AC1262" t="s">
        <v>24</v>
      </c>
      <c r="AD1262" t="s">
        <v>25</v>
      </c>
      <c r="AE1262" s="7">
        <v>555000</v>
      </c>
      <c r="AF1262" s="7">
        <v>1</v>
      </c>
      <c r="AG1262" s="7">
        <v>555000</v>
      </c>
      <c r="AH1262" s="7">
        <v>0</v>
      </c>
      <c r="AI1262" s="7">
        <v>555000</v>
      </c>
      <c r="AJ1262" t="s">
        <v>24</v>
      </c>
    </row>
    <row r="1263" spans="14:36" x14ac:dyDescent="0.3">
      <c r="N1263" s="8">
        <v>2026</v>
      </c>
      <c r="O1263" s="8">
        <v>5</v>
      </c>
      <c r="P1263" s="9">
        <v>46153</v>
      </c>
      <c r="Q1263" t="s">
        <v>238</v>
      </c>
      <c r="R1263" t="s">
        <v>425</v>
      </c>
      <c r="S1263" t="s">
        <v>426</v>
      </c>
      <c r="T1263" t="s">
        <v>1056</v>
      </c>
      <c r="U1263" t="s">
        <v>4021</v>
      </c>
      <c r="V1263" t="s">
        <v>246</v>
      </c>
      <c r="W1263" t="s">
        <v>244</v>
      </c>
      <c r="X1263" t="s">
        <v>1477</v>
      </c>
      <c r="Y1263" t="s">
        <v>183</v>
      </c>
      <c r="Z1263" t="s">
        <v>189</v>
      </c>
      <c r="AA1263" t="s">
        <v>190</v>
      </c>
      <c r="AB1263" t="s">
        <v>92</v>
      </c>
      <c r="AC1263" t="s">
        <v>90</v>
      </c>
      <c r="AD1263" t="s">
        <v>91</v>
      </c>
      <c r="AE1263" s="7">
        <v>52000</v>
      </c>
      <c r="AF1263" s="7">
        <v>1</v>
      </c>
      <c r="AG1263" s="7">
        <v>52000</v>
      </c>
      <c r="AH1263" s="7">
        <v>0</v>
      </c>
      <c r="AI1263" s="7">
        <v>52000</v>
      </c>
      <c r="AJ1263" t="s">
        <v>90</v>
      </c>
    </row>
    <row r="1264" spans="14:36" x14ac:dyDescent="0.3">
      <c r="N1264" s="8">
        <v>2026</v>
      </c>
      <c r="O1264" s="8">
        <v>5</v>
      </c>
      <c r="P1264" s="9">
        <v>46152</v>
      </c>
      <c r="Q1264" t="s">
        <v>238</v>
      </c>
      <c r="R1264" t="s">
        <v>239</v>
      </c>
      <c r="S1264" t="s">
        <v>240</v>
      </c>
      <c r="T1264" t="s">
        <v>1482</v>
      </c>
      <c r="U1264" t="s">
        <v>316</v>
      </c>
      <c r="V1264" t="s">
        <v>246</v>
      </c>
      <c r="W1264" t="s">
        <v>244</v>
      </c>
      <c r="X1264" t="s">
        <v>1483</v>
      </c>
      <c r="Y1264" t="s">
        <v>194</v>
      </c>
      <c r="Z1264" t="s">
        <v>200</v>
      </c>
      <c r="AA1264" t="s">
        <v>201</v>
      </c>
      <c r="AB1264" t="s">
        <v>89</v>
      </c>
      <c r="AC1264" t="s">
        <v>87</v>
      </c>
      <c r="AD1264" t="s">
        <v>88</v>
      </c>
      <c r="AE1264" s="7">
        <v>46000</v>
      </c>
      <c r="AF1264" s="7">
        <v>1</v>
      </c>
      <c r="AG1264" s="7">
        <v>46000</v>
      </c>
      <c r="AH1264" s="7">
        <v>0</v>
      </c>
      <c r="AI1264" s="7">
        <v>46000</v>
      </c>
      <c r="AJ1264" t="s">
        <v>87</v>
      </c>
    </row>
    <row r="1265" spans="14:36" x14ac:dyDescent="0.3">
      <c r="N1265" s="8">
        <v>2026</v>
      </c>
      <c r="O1265" s="8">
        <v>5</v>
      </c>
      <c r="P1265" s="9">
        <v>46152</v>
      </c>
      <c r="Q1265" t="s">
        <v>238</v>
      </c>
      <c r="R1265" t="s">
        <v>279</v>
      </c>
      <c r="S1265" t="s">
        <v>280</v>
      </c>
      <c r="T1265" t="s">
        <v>281</v>
      </c>
      <c r="U1265" t="s">
        <v>282</v>
      </c>
      <c r="V1265" t="s">
        <v>243</v>
      </c>
      <c r="W1265" t="s">
        <v>244</v>
      </c>
      <c r="X1265" t="s">
        <v>1484</v>
      </c>
      <c r="Y1265" t="s">
        <v>191</v>
      </c>
      <c r="Z1265" t="s">
        <v>192</v>
      </c>
      <c r="AA1265" t="s">
        <v>193</v>
      </c>
      <c r="AB1265" t="s">
        <v>107</v>
      </c>
      <c r="AC1265" t="s">
        <v>105</v>
      </c>
      <c r="AD1265" t="s">
        <v>106</v>
      </c>
      <c r="AE1265" s="7">
        <v>235000</v>
      </c>
      <c r="AF1265" s="7">
        <v>1</v>
      </c>
      <c r="AG1265" s="7">
        <v>235000</v>
      </c>
      <c r="AH1265" s="7">
        <v>0</v>
      </c>
      <c r="AI1265" s="7">
        <v>235000</v>
      </c>
      <c r="AJ1265" t="s">
        <v>105</v>
      </c>
    </row>
    <row r="1266" spans="14:36" x14ac:dyDescent="0.3">
      <c r="N1266" s="8">
        <v>2026</v>
      </c>
      <c r="O1266" s="8">
        <v>5</v>
      </c>
      <c r="P1266" s="9">
        <v>46152</v>
      </c>
      <c r="Q1266" t="s">
        <v>238</v>
      </c>
      <c r="R1266" t="s">
        <v>279</v>
      </c>
      <c r="S1266" t="s">
        <v>280</v>
      </c>
      <c r="T1266" t="s">
        <v>1488</v>
      </c>
      <c r="U1266" t="s">
        <v>1489</v>
      </c>
      <c r="V1266" t="s">
        <v>246</v>
      </c>
      <c r="W1266" t="s">
        <v>244</v>
      </c>
      <c r="X1266" t="s">
        <v>1490</v>
      </c>
      <c r="Y1266" t="s">
        <v>168</v>
      </c>
      <c r="Z1266" t="s">
        <v>171</v>
      </c>
      <c r="AA1266" t="s">
        <v>175</v>
      </c>
      <c r="AB1266" t="s">
        <v>44</v>
      </c>
      <c r="AC1266" t="s">
        <v>42</v>
      </c>
      <c r="AD1266" t="s">
        <v>43</v>
      </c>
      <c r="AE1266" s="7">
        <v>294000</v>
      </c>
      <c r="AF1266" s="7">
        <v>1</v>
      </c>
      <c r="AG1266" s="7">
        <v>294000</v>
      </c>
      <c r="AH1266" s="7">
        <v>0</v>
      </c>
      <c r="AI1266" s="7">
        <v>294000</v>
      </c>
      <c r="AJ1266" t="s">
        <v>42</v>
      </c>
    </row>
    <row r="1267" spans="14:36" x14ac:dyDescent="0.3">
      <c r="N1267" s="8">
        <v>2026</v>
      </c>
      <c r="O1267" s="8">
        <v>5</v>
      </c>
      <c r="P1267" s="9">
        <v>46152</v>
      </c>
      <c r="Q1267" t="s">
        <v>238</v>
      </c>
      <c r="R1267" t="s">
        <v>303</v>
      </c>
      <c r="S1267" t="s">
        <v>304</v>
      </c>
      <c r="T1267" t="s">
        <v>1493</v>
      </c>
      <c r="U1267" t="s">
        <v>4038</v>
      </c>
      <c r="V1267" t="s">
        <v>249</v>
      </c>
      <c r="W1267" t="s">
        <v>244</v>
      </c>
      <c r="X1267" t="s">
        <v>1494</v>
      </c>
      <c r="Y1267" t="s">
        <v>183</v>
      </c>
      <c r="Z1267" t="s">
        <v>184</v>
      </c>
      <c r="AA1267" t="s">
        <v>185</v>
      </c>
      <c r="AB1267" t="s">
        <v>47</v>
      </c>
      <c r="AC1267" t="s">
        <v>45</v>
      </c>
      <c r="AD1267" t="s">
        <v>46</v>
      </c>
      <c r="AE1267" s="7">
        <v>52000</v>
      </c>
      <c r="AF1267" s="7">
        <v>1</v>
      </c>
      <c r="AG1267" s="7">
        <v>52000</v>
      </c>
      <c r="AH1267" s="7">
        <v>0</v>
      </c>
      <c r="AI1267" s="7">
        <v>52000</v>
      </c>
      <c r="AJ1267" t="s">
        <v>45</v>
      </c>
    </row>
    <row r="1268" spans="14:36" x14ac:dyDescent="0.3">
      <c r="N1268" s="8">
        <v>2026</v>
      </c>
      <c r="O1268" s="8">
        <v>5</v>
      </c>
      <c r="P1268" s="9">
        <v>46152</v>
      </c>
      <c r="Q1268" t="s">
        <v>238</v>
      </c>
      <c r="R1268" t="s">
        <v>303</v>
      </c>
      <c r="S1268" t="s">
        <v>304</v>
      </c>
      <c r="T1268" t="s">
        <v>1370</v>
      </c>
      <c r="U1268" t="s">
        <v>3969</v>
      </c>
      <c r="V1268" t="s">
        <v>246</v>
      </c>
      <c r="W1268" t="s">
        <v>244</v>
      </c>
      <c r="X1268" t="s">
        <v>1495</v>
      </c>
      <c r="Y1268" t="s">
        <v>168</v>
      </c>
      <c r="Z1268" t="s">
        <v>181</v>
      </c>
      <c r="AA1268" t="s">
        <v>182</v>
      </c>
      <c r="AB1268" t="s">
        <v>50</v>
      </c>
      <c r="AC1268" t="s">
        <v>48</v>
      </c>
      <c r="AD1268" t="s">
        <v>49</v>
      </c>
      <c r="AE1268" s="7">
        <v>49000</v>
      </c>
      <c r="AF1268" s="7">
        <v>1</v>
      </c>
      <c r="AG1268" s="7">
        <v>49000</v>
      </c>
      <c r="AH1268" s="7">
        <v>0</v>
      </c>
      <c r="AI1268" s="7">
        <v>49000</v>
      </c>
      <c r="AJ1268" t="s">
        <v>48</v>
      </c>
    </row>
    <row r="1269" spans="14:36" x14ac:dyDescent="0.3">
      <c r="N1269" s="8">
        <v>2026</v>
      </c>
      <c r="O1269" s="8">
        <v>5</v>
      </c>
      <c r="P1269" s="9">
        <v>46152</v>
      </c>
      <c r="Q1269" t="s">
        <v>238</v>
      </c>
      <c r="R1269" t="s">
        <v>303</v>
      </c>
      <c r="S1269" t="s">
        <v>304</v>
      </c>
      <c r="T1269" t="s">
        <v>1370</v>
      </c>
      <c r="U1269" t="s">
        <v>3969</v>
      </c>
      <c r="V1269" t="s">
        <v>246</v>
      </c>
      <c r="W1269" t="s">
        <v>244</v>
      </c>
      <c r="X1269" t="s">
        <v>1495</v>
      </c>
      <c r="Y1269" t="s">
        <v>183</v>
      </c>
      <c r="Z1269" t="s">
        <v>184</v>
      </c>
      <c r="AA1269" t="s">
        <v>185</v>
      </c>
      <c r="AB1269" t="s">
        <v>47</v>
      </c>
      <c r="AC1269" t="s">
        <v>45</v>
      </c>
      <c r="AD1269" t="s">
        <v>46</v>
      </c>
      <c r="AE1269" s="7">
        <v>52000</v>
      </c>
      <c r="AF1269" s="7">
        <v>1</v>
      </c>
      <c r="AG1269" s="7">
        <v>52000</v>
      </c>
      <c r="AH1269" s="7">
        <v>0</v>
      </c>
      <c r="AI1269" s="7">
        <v>52000</v>
      </c>
      <c r="AJ1269" t="s">
        <v>45</v>
      </c>
    </row>
    <row r="1270" spans="14:36" x14ac:dyDescent="0.3">
      <c r="N1270" s="8">
        <v>2026</v>
      </c>
      <c r="O1270" s="8">
        <v>5</v>
      </c>
      <c r="P1270" s="9">
        <v>46152</v>
      </c>
      <c r="Q1270" t="s">
        <v>238</v>
      </c>
      <c r="R1270" t="s">
        <v>351</v>
      </c>
      <c r="S1270" t="s">
        <v>352</v>
      </c>
      <c r="T1270" t="s">
        <v>356</v>
      </c>
      <c r="U1270" t="s">
        <v>357</v>
      </c>
      <c r="V1270" t="s">
        <v>243</v>
      </c>
      <c r="W1270" t="s">
        <v>244</v>
      </c>
      <c r="X1270" t="s">
        <v>1496</v>
      </c>
      <c r="Y1270" t="s">
        <v>168</v>
      </c>
      <c r="Z1270" t="s">
        <v>171</v>
      </c>
      <c r="AA1270" t="s">
        <v>173</v>
      </c>
      <c r="AB1270" t="s">
        <v>29</v>
      </c>
      <c r="AC1270" t="s">
        <v>27</v>
      </c>
      <c r="AD1270" t="s">
        <v>28</v>
      </c>
      <c r="AE1270" s="7">
        <v>575000</v>
      </c>
      <c r="AF1270" s="7">
        <v>1</v>
      </c>
      <c r="AG1270" s="7">
        <v>575000</v>
      </c>
      <c r="AH1270" s="7">
        <v>0</v>
      </c>
      <c r="AI1270" s="7">
        <v>575000</v>
      </c>
      <c r="AJ1270" t="s">
        <v>27</v>
      </c>
    </row>
    <row r="1271" spans="14:36" x14ac:dyDescent="0.3">
      <c r="N1271" s="8">
        <v>2026</v>
      </c>
      <c r="O1271" s="8">
        <v>5</v>
      </c>
      <c r="P1271" s="9">
        <v>46152</v>
      </c>
      <c r="Q1271" t="s">
        <v>238</v>
      </c>
      <c r="R1271" t="s">
        <v>351</v>
      </c>
      <c r="S1271" t="s">
        <v>352</v>
      </c>
      <c r="T1271" t="s">
        <v>1497</v>
      </c>
      <c r="U1271" t="s">
        <v>343</v>
      </c>
      <c r="V1271" t="s">
        <v>246</v>
      </c>
      <c r="W1271" t="s">
        <v>244</v>
      </c>
      <c r="X1271" t="s">
        <v>1498</v>
      </c>
      <c r="Y1271" t="s">
        <v>168</v>
      </c>
      <c r="Z1271" t="s">
        <v>171</v>
      </c>
      <c r="AA1271" t="s">
        <v>173</v>
      </c>
      <c r="AB1271" t="s">
        <v>29</v>
      </c>
      <c r="AC1271" t="s">
        <v>27</v>
      </c>
      <c r="AD1271" t="s">
        <v>28</v>
      </c>
      <c r="AE1271" s="7">
        <v>575000</v>
      </c>
      <c r="AF1271" s="7">
        <v>1</v>
      </c>
      <c r="AG1271" s="7">
        <v>575000</v>
      </c>
      <c r="AH1271" s="7">
        <v>0</v>
      </c>
      <c r="AI1271" s="7">
        <v>575000</v>
      </c>
      <c r="AJ1271" t="s">
        <v>27</v>
      </c>
    </row>
    <row r="1272" spans="14:36" x14ac:dyDescent="0.3">
      <c r="N1272" s="8">
        <v>2026</v>
      </c>
      <c r="O1272" s="8">
        <v>5</v>
      </c>
      <c r="P1272" s="9">
        <v>46152</v>
      </c>
      <c r="Q1272" t="s">
        <v>238</v>
      </c>
      <c r="R1272" t="s">
        <v>374</v>
      </c>
      <c r="S1272" t="s">
        <v>375</v>
      </c>
      <c r="T1272" t="s">
        <v>1499</v>
      </c>
      <c r="U1272" t="s">
        <v>361</v>
      </c>
      <c r="V1272" t="s">
        <v>246</v>
      </c>
      <c r="W1272" t="s">
        <v>244</v>
      </c>
      <c r="X1272" t="s">
        <v>1500</v>
      </c>
      <c r="Y1272" t="s">
        <v>194</v>
      </c>
      <c r="Z1272" t="s">
        <v>200</v>
      </c>
      <c r="AA1272" t="s">
        <v>201</v>
      </c>
      <c r="AB1272" t="s">
        <v>80</v>
      </c>
      <c r="AC1272" t="s">
        <v>78</v>
      </c>
      <c r="AD1272" t="s">
        <v>79</v>
      </c>
      <c r="AE1272" s="7">
        <v>14000</v>
      </c>
      <c r="AF1272" s="7">
        <v>2</v>
      </c>
      <c r="AG1272" s="7">
        <v>28000</v>
      </c>
      <c r="AH1272" s="7">
        <v>0</v>
      </c>
      <c r="AI1272" s="7">
        <v>28000</v>
      </c>
      <c r="AJ1272" t="s">
        <v>78</v>
      </c>
    </row>
    <row r="1273" spans="14:36" x14ac:dyDescent="0.3">
      <c r="N1273" s="8">
        <v>2026</v>
      </c>
      <c r="O1273" s="8">
        <v>5</v>
      </c>
      <c r="P1273" s="9">
        <v>46152</v>
      </c>
      <c r="Q1273" t="s">
        <v>238</v>
      </c>
      <c r="R1273" t="s">
        <v>374</v>
      </c>
      <c r="S1273" t="s">
        <v>375</v>
      </c>
      <c r="T1273" t="s">
        <v>382</v>
      </c>
      <c r="U1273" t="s">
        <v>383</v>
      </c>
      <c r="V1273" t="s">
        <v>243</v>
      </c>
      <c r="W1273" t="s">
        <v>244</v>
      </c>
      <c r="X1273" t="s">
        <v>1501</v>
      </c>
      <c r="Y1273" t="s">
        <v>191</v>
      </c>
      <c r="Z1273" t="s">
        <v>192</v>
      </c>
      <c r="AA1273" t="s">
        <v>193</v>
      </c>
      <c r="AB1273" t="s">
        <v>110</v>
      </c>
      <c r="AC1273" t="s">
        <v>108</v>
      </c>
      <c r="AD1273" t="s">
        <v>109</v>
      </c>
      <c r="AE1273" s="7">
        <v>235000</v>
      </c>
      <c r="AF1273" s="7">
        <v>1</v>
      </c>
      <c r="AG1273" s="7">
        <v>235000</v>
      </c>
      <c r="AH1273" s="7">
        <v>0</v>
      </c>
      <c r="AI1273" s="7">
        <v>235000</v>
      </c>
      <c r="AJ1273" t="s">
        <v>108</v>
      </c>
    </row>
    <row r="1274" spans="14:36" x14ac:dyDescent="0.3">
      <c r="N1274" s="8">
        <v>2026</v>
      </c>
      <c r="O1274" s="8">
        <v>5</v>
      </c>
      <c r="P1274" s="9">
        <v>46152</v>
      </c>
      <c r="Q1274" t="s">
        <v>238</v>
      </c>
      <c r="R1274" t="s">
        <v>374</v>
      </c>
      <c r="S1274" t="s">
        <v>375</v>
      </c>
      <c r="T1274" t="s">
        <v>1502</v>
      </c>
      <c r="U1274" t="s">
        <v>3666</v>
      </c>
      <c r="V1274" t="s">
        <v>246</v>
      </c>
      <c r="W1274" t="s">
        <v>244</v>
      </c>
      <c r="X1274" t="s">
        <v>1503</v>
      </c>
      <c r="Y1274" t="s">
        <v>194</v>
      </c>
      <c r="Z1274" t="s">
        <v>200</v>
      </c>
      <c r="AA1274" t="s">
        <v>201</v>
      </c>
      <c r="AB1274" t="s">
        <v>89</v>
      </c>
      <c r="AC1274" t="s">
        <v>87</v>
      </c>
      <c r="AD1274" t="s">
        <v>88</v>
      </c>
      <c r="AE1274" s="7">
        <v>46000</v>
      </c>
      <c r="AF1274" s="7">
        <v>1</v>
      </c>
      <c r="AG1274" s="7">
        <v>46000</v>
      </c>
      <c r="AH1274" s="7">
        <v>0</v>
      </c>
      <c r="AI1274" s="7">
        <v>46000</v>
      </c>
      <c r="AJ1274" t="s">
        <v>87</v>
      </c>
    </row>
    <row r="1275" spans="14:36" x14ac:dyDescent="0.3">
      <c r="N1275" s="8">
        <v>2026</v>
      </c>
      <c r="O1275" s="8">
        <v>5</v>
      </c>
      <c r="P1275" s="9">
        <v>46152</v>
      </c>
      <c r="Q1275" t="s">
        <v>238</v>
      </c>
      <c r="R1275" t="s">
        <v>374</v>
      </c>
      <c r="S1275" t="s">
        <v>375</v>
      </c>
      <c r="T1275" t="s">
        <v>1504</v>
      </c>
      <c r="U1275" t="s">
        <v>4039</v>
      </c>
      <c r="V1275" t="s">
        <v>246</v>
      </c>
      <c r="W1275" t="s">
        <v>244</v>
      </c>
      <c r="X1275" t="s">
        <v>1505</v>
      </c>
      <c r="Y1275" t="s">
        <v>194</v>
      </c>
      <c r="Z1275" t="s">
        <v>195</v>
      </c>
      <c r="AA1275" t="s">
        <v>196</v>
      </c>
      <c r="AB1275" t="s">
        <v>65</v>
      </c>
      <c r="AC1275" t="s">
        <v>63</v>
      </c>
      <c r="AD1275" t="s">
        <v>64</v>
      </c>
      <c r="AE1275" s="7">
        <v>390000</v>
      </c>
      <c r="AF1275" s="7">
        <v>1</v>
      </c>
      <c r="AG1275" s="7">
        <v>390000</v>
      </c>
      <c r="AH1275" s="7">
        <v>0</v>
      </c>
      <c r="AI1275" s="7">
        <v>390000</v>
      </c>
      <c r="AJ1275" t="s">
        <v>63</v>
      </c>
    </row>
    <row r="1276" spans="14:36" x14ac:dyDescent="0.3">
      <c r="N1276" s="8">
        <v>2026</v>
      </c>
      <c r="O1276" s="8">
        <v>5</v>
      </c>
      <c r="P1276" s="9">
        <v>46152</v>
      </c>
      <c r="Q1276" t="s">
        <v>238</v>
      </c>
      <c r="R1276" t="s">
        <v>374</v>
      </c>
      <c r="S1276" t="s">
        <v>375</v>
      </c>
      <c r="T1276" t="s">
        <v>1506</v>
      </c>
      <c r="U1276" t="s">
        <v>4015</v>
      </c>
      <c r="V1276" t="s">
        <v>246</v>
      </c>
      <c r="W1276" t="s">
        <v>244</v>
      </c>
      <c r="X1276" t="s">
        <v>1507</v>
      </c>
      <c r="Y1276" t="s">
        <v>191</v>
      </c>
      <c r="Z1276" t="s">
        <v>192</v>
      </c>
      <c r="AA1276" t="s">
        <v>193</v>
      </c>
      <c r="AB1276" t="s">
        <v>116</v>
      </c>
      <c r="AC1276" t="s">
        <v>114</v>
      </c>
      <c r="AD1276" t="s">
        <v>115</v>
      </c>
      <c r="AE1276" s="7">
        <v>235000</v>
      </c>
      <c r="AF1276" s="7">
        <v>1</v>
      </c>
      <c r="AG1276" s="7">
        <v>235000</v>
      </c>
      <c r="AH1276" s="7">
        <v>0</v>
      </c>
      <c r="AI1276" s="7">
        <v>235000</v>
      </c>
      <c r="AJ1276" t="s">
        <v>114</v>
      </c>
    </row>
    <row r="1277" spans="14:36" x14ac:dyDescent="0.3">
      <c r="N1277" s="8">
        <v>2026</v>
      </c>
      <c r="O1277" s="8">
        <v>5</v>
      </c>
      <c r="P1277" s="9">
        <v>46152</v>
      </c>
      <c r="Q1277" t="s">
        <v>238</v>
      </c>
      <c r="R1277" t="s">
        <v>396</v>
      </c>
      <c r="S1277" t="s">
        <v>397</v>
      </c>
      <c r="T1277" t="s">
        <v>1509</v>
      </c>
      <c r="U1277" t="s">
        <v>327</v>
      </c>
      <c r="V1277" t="s">
        <v>246</v>
      </c>
      <c r="W1277" t="s">
        <v>244</v>
      </c>
      <c r="X1277" t="s">
        <v>1510</v>
      </c>
      <c r="Y1277" t="s">
        <v>191</v>
      </c>
      <c r="Z1277" t="s">
        <v>192</v>
      </c>
      <c r="AA1277" t="s">
        <v>193</v>
      </c>
      <c r="AB1277" t="s">
        <v>113</v>
      </c>
      <c r="AC1277" t="s">
        <v>111</v>
      </c>
      <c r="AD1277" t="s">
        <v>112</v>
      </c>
      <c r="AE1277" s="7">
        <v>235000</v>
      </c>
      <c r="AF1277" s="7">
        <v>1</v>
      </c>
      <c r="AG1277" s="7">
        <v>235000</v>
      </c>
      <c r="AH1277" s="7">
        <v>0</v>
      </c>
      <c r="AI1277" s="7">
        <v>235000</v>
      </c>
      <c r="AJ1277" t="s">
        <v>111</v>
      </c>
    </row>
    <row r="1278" spans="14:36" x14ac:dyDescent="0.3">
      <c r="N1278" s="8">
        <v>2026</v>
      </c>
      <c r="O1278" s="8">
        <v>5</v>
      </c>
      <c r="P1278" s="9">
        <v>46152</v>
      </c>
      <c r="Q1278" t="s">
        <v>238</v>
      </c>
      <c r="R1278" t="s">
        <v>396</v>
      </c>
      <c r="S1278" t="s">
        <v>397</v>
      </c>
      <c r="T1278" t="s">
        <v>1509</v>
      </c>
      <c r="U1278" t="s">
        <v>327</v>
      </c>
      <c r="V1278" t="s">
        <v>246</v>
      </c>
      <c r="W1278" t="s">
        <v>244</v>
      </c>
      <c r="X1278" t="s">
        <v>1510</v>
      </c>
      <c r="Y1278" t="s">
        <v>191</v>
      </c>
      <c r="Z1278" t="s">
        <v>192</v>
      </c>
      <c r="AA1278" t="s">
        <v>193</v>
      </c>
      <c r="AB1278" t="s">
        <v>107</v>
      </c>
      <c r="AC1278" t="s">
        <v>105</v>
      </c>
      <c r="AD1278" t="s">
        <v>106</v>
      </c>
      <c r="AE1278" s="7">
        <v>235000</v>
      </c>
      <c r="AF1278" s="7">
        <v>1</v>
      </c>
      <c r="AG1278" s="7">
        <v>235000</v>
      </c>
      <c r="AH1278" s="7">
        <v>0</v>
      </c>
      <c r="AI1278" s="7">
        <v>235000</v>
      </c>
      <c r="AJ1278" t="s">
        <v>105</v>
      </c>
    </row>
    <row r="1279" spans="14:36" x14ac:dyDescent="0.3">
      <c r="N1279" s="8">
        <v>2026</v>
      </c>
      <c r="O1279" s="8">
        <v>5</v>
      </c>
      <c r="P1279" s="9">
        <v>46152</v>
      </c>
      <c r="Q1279" t="s">
        <v>238</v>
      </c>
      <c r="R1279" t="s">
        <v>396</v>
      </c>
      <c r="S1279" t="s">
        <v>397</v>
      </c>
      <c r="T1279" t="s">
        <v>1054</v>
      </c>
      <c r="U1279" t="s">
        <v>1055</v>
      </c>
      <c r="V1279" t="s">
        <v>246</v>
      </c>
      <c r="W1279" t="s">
        <v>244</v>
      </c>
      <c r="X1279" t="s">
        <v>1511</v>
      </c>
      <c r="Y1279" t="s">
        <v>191</v>
      </c>
      <c r="Z1279" t="s">
        <v>192</v>
      </c>
      <c r="AA1279" t="s">
        <v>193</v>
      </c>
      <c r="AB1279" t="s">
        <v>119</v>
      </c>
      <c r="AC1279" t="s">
        <v>117</v>
      </c>
      <c r="AD1279" t="s">
        <v>118</v>
      </c>
      <c r="AE1279" s="7">
        <v>235000</v>
      </c>
      <c r="AF1279" s="7">
        <v>1</v>
      </c>
      <c r="AG1279" s="7">
        <v>235000</v>
      </c>
      <c r="AH1279" s="7">
        <v>0</v>
      </c>
      <c r="AI1279" s="7">
        <v>235000</v>
      </c>
      <c r="AJ1279" t="s">
        <v>117</v>
      </c>
    </row>
    <row r="1280" spans="14:36" x14ac:dyDescent="0.3">
      <c r="N1280" s="8">
        <v>2026</v>
      </c>
      <c r="O1280" s="8">
        <v>5</v>
      </c>
      <c r="P1280" s="9">
        <v>46152</v>
      </c>
      <c r="Q1280" t="s">
        <v>238</v>
      </c>
      <c r="R1280" t="s">
        <v>396</v>
      </c>
      <c r="S1280" t="s">
        <v>397</v>
      </c>
      <c r="T1280" t="s">
        <v>1054</v>
      </c>
      <c r="U1280" t="s">
        <v>1055</v>
      </c>
      <c r="V1280" t="s">
        <v>246</v>
      </c>
      <c r="W1280" t="s">
        <v>244</v>
      </c>
      <c r="X1280" t="s">
        <v>1511</v>
      </c>
      <c r="Y1280" t="s">
        <v>191</v>
      </c>
      <c r="Z1280" t="s">
        <v>192</v>
      </c>
      <c r="AA1280" t="s">
        <v>193</v>
      </c>
      <c r="AB1280" t="s">
        <v>110</v>
      </c>
      <c r="AC1280" t="s">
        <v>108</v>
      </c>
      <c r="AD1280" t="s">
        <v>109</v>
      </c>
      <c r="AE1280" s="7">
        <v>235000</v>
      </c>
      <c r="AF1280" s="7">
        <v>1</v>
      </c>
      <c r="AG1280" s="7">
        <v>235000</v>
      </c>
      <c r="AH1280" s="7">
        <v>0</v>
      </c>
      <c r="AI1280" s="7">
        <v>235000</v>
      </c>
      <c r="AJ1280" t="s">
        <v>108</v>
      </c>
    </row>
    <row r="1281" spans="14:36" x14ac:dyDescent="0.3">
      <c r="N1281" s="8">
        <v>2026</v>
      </c>
      <c r="O1281" s="8">
        <v>5</v>
      </c>
      <c r="P1281" s="9">
        <v>46152</v>
      </c>
      <c r="Q1281" t="s">
        <v>238</v>
      </c>
      <c r="R1281" t="s">
        <v>396</v>
      </c>
      <c r="S1281" t="s">
        <v>397</v>
      </c>
      <c r="T1281" t="s">
        <v>1512</v>
      </c>
      <c r="U1281" t="s">
        <v>1513</v>
      </c>
      <c r="V1281" t="s">
        <v>246</v>
      </c>
      <c r="W1281" t="s">
        <v>244</v>
      </c>
      <c r="X1281" t="s">
        <v>1514</v>
      </c>
      <c r="Y1281" t="s">
        <v>191</v>
      </c>
      <c r="Z1281" t="s">
        <v>335</v>
      </c>
      <c r="AA1281" t="s">
        <v>337</v>
      </c>
      <c r="AB1281" t="s">
        <v>864</v>
      </c>
      <c r="AC1281" t="s">
        <v>865</v>
      </c>
      <c r="AD1281" t="s">
        <v>866</v>
      </c>
      <c r="AE1281" s="7">
        <v>139000</v>
      </c>
      <c r="AF1281" s="7">
        <v>1</v>
      </c>
      <c r="AG1281" s="7">
        <v>139000</v>
      </c>
      <c r="AH1281" s="7">
        <v>0</v>
      </c>
      <c r="AI1281" s="7">
        <v>139000</v>
      </c>
      <c r="AJ1281" t="s">
        <v>865</v>
      </c>
    </row>
    <row r="1282" spans="14:36" x14ac:dyDescent="0.3">
      <c r="N1282" s="8">
        <v>2026</v>
      </c>
      <c r="O1282" s="8">
        <v>5</v>
      </c>
      <c r="P1282" s="9">
        <v>46152</v>
      </c>
      <c r="Q1282" t="s">
        <v>238</v>
      </c>
      <c r="R1282" t="s">
        <v>425</v>
      </c>
      <c r="S1282" t="s">
        <v>426</v>
      </c>
      <c r="T1282" t="s">
        <v>829</v>
      </c>
      <c r="U1282" t="s">
        <v>464</v>
      </c>
      <c r="V1282" t="s">
        <v>246</v>
      </c>
      <c r="W1282" t="s">
        <v>244</v>
      </c>
      <c r="X1282" t="s">
        <v>1515</v>
      </c>
      <c r="Y1282" t="s">
        <v>168</v>
      </c>
      <c r="Z1282" t="s">
        <v>171</v>
      </c>
      <c r="AA1282" t="s">
        <v>173</v>
      </c>
      <c r="AB1282" t="s">
        <v>29</v>
      </c>
      <c r="AC1282" t="s">
        <v>27</v>
      </c>
      <c r="AD1282" t="s">
        <v>28</v>
      </c>
      <c r="AE1282" s="7">
        <v>575000</v>
      </c>
      <c r="AF1282" s="7">
        <v>1</v>
      </c>
      <c r="AG1282" s="7">
        <v>575000</v>
      </c>
      <c r="AH1282" s="7">
        <v>0</v>
      </c>
      <c r="AI1282" s="7">
        <v>575000</v>
      </c>
      <c r="AJ1282" t="s">
        <v>27</v>
      </c>
    </row>
    <row r="1283" spans="14:36" x14ac:dyDescent="0.3">
      <c r="N1283" s="8">
        <v>2026</v>
      </c>
      <c r="O1283" s="8">
        <v>5</v>
      </c>
      <c r="P1283" s="9">
        <v>46152</v>
      </c>
      <c r="Q1283" t="s">
        <v>238</v>
      </c>
      <c r="R1283" t="s">
        <v>425</v>
      </c>
      <c r="S1283" t="s">
        <v>426</v>
      </c>
      <c r="T1283" t="s">
        <v>1516</v>
      </c>
      <c r="U1283" t="s">
        <v>4040</v>
      </c>
      <c r="V1283" t="s">
        <v>246</v>
      </c>
      <c r="W1283" t="s">
        <v>244</v>
      </c>
      <c r="X1283" t="s">
        <v>1517</v>
      </c>
      <c r="Y1283" t="s">
        <v>191</v>
      </c>
      <c r="Z1283" t="s">
        <v>335</v>
      </c>
      <c r="AA1283" t="s">
        <v>336</v>
      </c>
      <c r="AB1283" t="s">
        <v>1518</v>
      </c>
      <c r="AC1283" t="s">
        <v>1519</v>
      </c>
      <c r="AD1283" t="s">
        <v>1520</v>
      </c>
      <c r="AE1283" s="7">
        <v>99000</v>
      </c>
      <c r="AF1283" s="7">
        <v>1</v>
      </c>
      <c r="AG1283" s="7">
        <v>99000</v>
      </c>
      <c r="AH1283" s="7">
        <v>44550</v>
      </c>
      <c r="AI1283" s="7">
        <v>54450</v>
      </c>
      <c r="AJ1283" t="s">
        <v>1519</v>
      </c>
    </row>
    <row r="1284" spans="14:36" x14ac:dyDescent="0.3">
      <c r="N1284" s="8">
        <v>2026</v>
      </c>
      <c r="O1284" s="8">
        <v>5</v>
      </c>
      <c r="P1284" s="9">
        <v>46152</v>
      </c>
      <c r="Q1284" t="s">
        <v>238</v>
      </c>
      <c r="R1284" t="s">
        <v>425</v>
      </c>
      <c r="S1284" t="s">
        <v>426</v>
      </c>
      <c r="T1284" t="s">
        <v>1521</v>
      </c>
      <c r="U1284" t="s">
        <v>4041</v>
      </c>
      <c r="V1284" t="s">
        <v>246</v>
      </c>
      <c r="W1284" t="s">
        <v>244</v>
      </c>
      <c r="X1284" t="s">
        <v>1522</v>
      </c>
      <c r="Y1284" t="s">
        <v>194</v>
      </c>
      <c r="Z1284" t="s">
        <v>200</v>
      </c>
      <c r="AA1284" t="s">
        <v>201</v>
      </c>
      <c r="AB1284" t="s">
        <v>80</v>
      </c>
      <c r="AC1284" t="s">
        <v>78</v>
      </c>
      <c r="AD1284" t="s">
        <v>79</v>
      </c>
      <c r="AE1284" s="7">
        <v>14000</v>
      </c>
      <c r="AF1284" s="7">
        <v>1</v>
      </c>
      <c r="AG1284" s="7">
        <v>14000</v>
      </c>
      <c r="AH1284" s="7">
        <v>0</v>
      </c>
      <c r="AI1284" s="7">
        <v>14000</v>
      </c>
      <c r="AJ1284" t="s">
        <v>78</v>
      </c>
    </row>
    <row r="1285" spans="14:36" x14ac:dyDescent="0.3">
      <c r="N1285" s="8">
        <v>2026</v>
      </c>
      <c r="O1285" s="8">
        <v>5</v>
      </c>
      <c r="P1285" s="9">
        <v>46151</v>
      </c>
      <c r="Q1285" t="s">
        <v>238</v>
      </c>
      <c r="R1285" t="s">
        <v>239</v>
      </c>
      <c r="S1285" t="s">
        <v>240</v>
      </c>
      <c r="T1285" t="s">
        <v>241</v>
      </c>
      <c r="U1285" t="s">
        <v>242</v>
      </c>
      <c r="V1285" t="s">
        <v>243</v>
      </c>
      <c r="W1285" t="s">
        <v>244</v>
      </c>
      <c r="X1285" t="s">
        <v>1523</v>
      </c>
      <c r="Y1285" t="s">
        <v>168</v>
      </c>
      <c r="Z1285" t="s">
        <v>181</v>
      </c>
      <c r="AA1285" t="s">
        <v>182</v>
      </c>
      <c r="AB1285" t="s">
        <v>50</v>
      </c>
      <c r="AC1285" t="s">
        <v>48</v>
      </c>
      <c r="AD1285" t="s">
        <v>49</v>
      </c>
      <c r="AE1285" s="7">
        <v>49000</v>
      </c>
      <c r="AF1285" s="7">
        <v>2</v>
      </c>
      <c r="AG1285" s="7">
        <v>98000</v>
      </c>
      <c r="AH1285" s="7">
        <v>0</v>
      </c>
      <c r="AI1285" s="7">
        <v>98000</v>
      </c>
      <c r="AJ1285" t="s">
        <v>48</v>
      </c>
    </row>
    <row r="1286" spans="14:36" x14ac:dyDescent="0.3">
      <c r="N1286" s="8">
        <v>2026</v>
      </c>
      <c r="O1286" s="8">
        <v>5</v>
      </c>
      <c r="P1286" s="9">
        <v>46151</v>
      </c>
      <c r="Q1286" t="s">
        <v>238</v>
      </c>
      <c r="R1286" t="s">
        <v>279</v>
      </c>
      <c r="S1286" t="s">
        <v>280</v>
      </c>
      <c r="T1286" t="s">
        <v>1533</v>
      </c>
      <c r="U1286" t="s">
        <v>333</v>
      </c>
      <c r="V1286" t="s">
        <v>249</v>
      </c>
      <c r="W1286" t="s">
        <v>244</v>
      </c>
      <c r="X1286" t="s">
        <v>1534</v>
      </c>
      <c r="Y1286" t="s">
        <v>194</v>
      </c>
      <c r="Z1286" t="s">
        <v>200</v>
      </c>
      <c r="AA1286" t="s">
        <v>201</v>
      </c>
      <c r="AB1286" t="s">
        <v>83</v>
      </c>
      <c r="AC1286" t="s">
        <v>81</v>
      </c>
      <c r="AD1286" t="s">
        <v>82</v>
      </c>
      <c r="AE1286" s="7">
        <v>46000</v>
      </c>
      <c r="AF1286" s="7">
        <v>1</v>
      </c>
      <c r="AG1286" s="7">
        <v>46000</v>
      </c>
      <c r="AH1286" s="7">
        <v>0</v>
      </c>
      <c r="AI1286" s="7">
        <v>46000</v>
      </c>
      <c r="AJ1286" t="s">
        <v>81</v>
      </c>
    </row>
    <row r="1287" spans="14:36" x14ac:dyDescent="0.3">
      <c r="N1287" s="8">
        <v>2026</v>
      </c>
      <c r="O1287" s="8">
        <v>5</v>
      </c>
      <c r="P1287" s="9">
        <v>46151</v>
      </c>
      <c r="Q1287" t="s">
        <v>238</v>
      </c>
      <c r="R1287" t="s">
        <v>279</v>
      </c>
      <c r="S1287" t="s">
        <v>280</v>
      </c>
      <c r="T1287" t="s">
        <v>1541</v>
      </c>
      <c r="U1287" t="s">
        <v>1414</v>
      </c>
      <c r="V1287" t="s">
        <v>246</v>
      </c>
      <c r="W1287" t="s">
        <v>244</v>
      </c>
      <c r="X1287" t="s">
        <v>1542</v>
      </c>
      <c r="Y1287" t="s">
        <v>191</v>
      </c>
      <c r="Z1287" t="s">
        <v>335</v>
      </c>
      <c r="AA1287" t="s">
        <v>337</v>
      </c>
      <c r="AB1287" t="s">
        <v>719</v>
      </c>
      <c r="AC1287" t="s">
        <v>720</v>
      </c>
      <c r="AD1287" t="s">
        <v>721</v>
      </c>
      <c r="AE1287" s="7">
        <v>104000</v>
      </c>
      <c r="AF1287" s="7">
        <v>1</v>
      </c>
      <c r="AG1287" s="7">
        <v>104000</v>
      </c>
      <c r="AH1287" s="7">
        <v>0</v>
      </c>
      <c r="AI1287" s="7">
        <v>104000</v>
      </c>
      <c r="AJ1287" t="s">
        <v>720</v>
      </c>
    </row>
    <row r="1288" spans="14:36" x14ac:dyDescent="0.3">
      <c r="N1288" s="8">
        <v>2026</v>
      </c>
      <c r="O1288" s="8">
        <v>5</v>
      </c>
      <c r="P1288" s="9">
        <v>46151</v>
      </c>
      <c r="Q1288" t="s">
        <v>238</v>
      </c>
      <c r="R1288" t="s">
        <v>279</v>
      </c>
      <c r="S1288" t="s">
        <v>280</v>
      </c>
      <c r="T1288" t="s">
        <v>1543</v>
      </c>
      <c r="U1288" t="s">
        <v>531</v>
      </c>
      <c r="V1288" t="s">
        <v>246</v>
      </c>
      <c r="W1288" t="s">
        <v>244</v>
      </c>
      <c r="X1288" t="s">
        <v>1544</v>
      </c>
      <c r="Y1288" t="s">
        <v>168</v>
      </c>
      <c r="Z1288" t="s">
        <v>171</v>
      </c>
      <c r="AA1288" t="s">
        <v>173</v>
      </c>
      <c r="AB1288" t="s">
        <v>29</v>
      </c>
      <c r="AC1288" t="s">
        <v>27</v>
      </c>
      <c r="AD1288" t="s">
        <v>28</v>
      </c>
      <c r="AE1288" s="7">
        <v>575000</v>
      </c>
      <c r="AF1288" s="7">
        <v>1</v>
      </c>
      <c r="AG1288" s="7">
        <v>575000</v>
      </c>
      <c r="AH1288" s="7">
        <v>0</v>
      </c>
      <c r="AI1288" s="7">
        <v>575000</v>
      </c>
      <c r="AJ1288" t="s">
        <v>27</v>
      </c>
    </row>
    <row r="1289" spans="14:36" x14ac:dyDescent="0.3">
      <c r="N1289" s="8">
        <v>2026</v>
      </c>
      <c r="O1289" s="8">
        <v>5</v>
      </c>
      <c r="P1289" s="9">
        <v>46151</v>
      </c>
      <c r="Q1289" t="s">
        <v>238</v>
      </c>
      <c r="R1289" t="s">
        <v>279</v>
      </c>
      <c r="S1289" t="s">
        <v>280</v>
      </c>
      <c r="T1289" t="s">
        <v>1545</v>
      </c>
      <c r="U1289" t="s">
        <v>859</v>
      </c>
      <c r="V1289" t="s">
        <v>246</v>
      </c>
      <c r="W1289" t="s">
        <v>244</v>
      </c>
      <c r="X1289" t="s">
        <v>1546</v>
      </c>
      <c r="Y1289" t="s">
        <v>191</v>
      </c>
      <c r="Z1289" t="s">
        <v>192</v>
      </c>
      <c r="AA1289" t="s">
        <v>193</v>
      </c>
      <c r="AB1289" t="s">
        <v>119</v>
      </c>
      <c r="AC1289" t="s">
        <v>117</v>
      </c>
      <c r="AD1289" t="s">
        <v>118</v>
      </c>
      <c r="AE1289" s="7">
        <v>235000</v>
      </c>
      <c r="AF1289" s="7">
        <v>1</v>
      </c>
      <c r="AG1289" s="7">
        <v>235000</v>
      </c>
      <c r="AH1289" s="7">
        <v>0</v>
      </c>
      <c r="AI1289" s="7">
        <v>235000</v>
      </c>
      <c r="AJ1289" t="s">
        <v>117</v>
      </c>
    </row>
    <row r="1290" spans="14:36" x14ac:dyDescent="0.3">
      <c r="N1290" s="8">
        <v>2026</v>
      </c>
      <c r="O1290" s="8">
        <v>5</v>
      </c>
      <c r="P1290" s="9">
        <v>46151</v>
      </c>
      <c r="Q1290" t="s">
        <v>238</v>
      </c>
      <c r="R1290" t="s">
        <v>303</v>
      </c>
      <c r="S1290" t="s">
        <v>304</v>
      </c>
      <c r="T1290" t="s">
        <v>1550</v>
      </c>
      <c r="U1290" t="s">
        <v>359</v>
      </c>
      <c r="V1290" t="s">
        <v>249</v>
      </c>
      <c r="W1290" t="s">
        <v>244</v>
      </c>
      <c r="X1290" t="s">
        <v>1551</v>
      </c>
      <c r="Y1290" t="s">
        <v>183</v>
      </c>
      <c r="Z1290" t="s">
        <v>184</v>
      </c>
      <c r="AA1290" t="s">
        <v>185</v>
      </c>
      <c r="AB1290" t="s">
        <v>47</v>
      </c>
      <c r="AC1290" t="s">
        <v>45</v>
      </c>
      <c r="AD1290" t="s">
        <v>46</v>
      </c>
      <c r="AE1290" s="7">
        <v>52000</v>
      </c>
      <c r="AF1290" s="7">
        <v>1</v>
      </c>
      <c r="AG1290" s="7">
        <v>52000</v>
      </c>
      <c r="AH1290" s="7">
        <v>0</v>
      </c>
      <c r="AI1290" s="7">
        <v>52000</v>
      </c>
      <c r="AJ1290" t="s">
        <v>45</v>
      </c>
    </row>
    <row r="1291" spans="14:36" x14ac:dyDescent="0.3">
      <c r="N1291" s="8">
        <v>2026</v>
      </c>
      <c r="O1291" s="8">
        <v>5</v>
      </c>
      <c r="P1291" s="9">
        <v>46151</v>
      </c>
      <c r="Q1291" t="s">
        <v>238</v>
      </c>
      <c r="R1291" t="s">
        <v>303</v>
      </c>
      <c r="S1291" t="s">
        <v>304</v>
      </c>
      <c r="T1291" t="s">
        <v>1550</v>
      </c>
      <c r="U1291" t="s">
        <v>359</v>
      </c>
      <c r="V1291" t="s">
        <v>249</v>
      </c>
      <c r="W1291" t="s">
        <v>244</v>
      </c>
      <c r="X1291" t="s">
        <v>1551</v>
      </c>
      <c r="Y1291" t="s">
        <v>191</v>
      </c>
      <c r="Z1291" t="s">
        <v>192</v>
      </c>
      <c r="AA1291" t="s">
        <v>193</v>
      </c>
      <c r="AB1291" t="s">
        <v>113</v>
      </c>
      <c r="AC1291" t="s">
        <v>111</v>
      </c>
      <c r="AD1291" t="s">
        <v>112</v>
      </c>
      <c r="AE1291" s="7">
        <v>235000</v>
      </c>
      <c r="AF1291" s="7">
        <v>1</v>
      </c>
      <c r="AG1291" s="7">
        <v>235000</v>
      </c>
      <c r="AH1291" s="7">
        <v>0</v>
      </c>
      <c r="AI1291" s="7">
        <v>235000</v>
      </c>
      <c r="AJ1291" t="s">
        <v>111</v>
      </c>
    </row>
    <row r="1292" spans="14:36" x14ac:dyDescent="0.3">
      <c r="N1292" s="8">
        <v>2026</v>
      </c>
      <c r="O1292" s="8">
        <v>5</v>
      </c>
      <c r="P1292" s="9">
        <v>46151</v>
      </c>
      <c r="Q1292" t="s">
        <v>238</v>
      </c>
      <c r="R1292" t="s">
        <v>303</v>
      </c>
      <c r="S1292" t="s">
        <v>304</v>
      </c>
      <c r="T1292" t="s">
        <v>1553</v>
      </c>
      <c r="U1292" t="s">
        <v>1554</v>
      </c>
      <c r="V1292" t="s">
        <v>249</v>
      </c>
      <c r="W1292" t="s">
        <v>244</v>
      </c>
      <c r="X1292" t="s">
        <v>1555</v>
      </c>
      <c r="Y1292" t="s">
        <v>168</v>
      </c>
      <c r="Z1292" t="s">
        <v>181</v>
      </c>
      <c r="AA1292" t="s">
        <v>182</v>
      </c>
      <c r="AB1292" t="s">
        <v>50</v>
      </c>
      <c r="AC1292" t="s">
        <v>48</v>
      </c>
      <c r="AD1292" t="s">
        <v>49</v>
      </c>
      <c r="AE1292" s="7">
        <v>49000</v>
      </c>
      <c r="AF1292" s="7">
        <v>1</v>
      </c>
      <c r="AG1292" s="7">
        <v>49000</v>
      </c>
      <c r="AH1292" s="7">
        <v>0</v>
      </c>
      <c r="AI1292" s="7">
        <v>49000</v>
      </c>
      <c r="AJ1292" t="s">
        <v>48</v>
      </c>
    </row>
    <row r="1293" spans="14:36" x14ac:dyDescent="0.3">
      <c r="N1293" s="8">
        <v>2026</v>
      </c>
      <c r="O1293" s="8">
        <v>5</v>
      </c>
      <c r="P1293" s="9">
        <v>46151</v>
      </c>
      <c r="Q1293" t="s">
        <v>238</v>
      </c>
      <c r="R1293" t="s">
        <v>303</v>
      </c>
      <c r="S1293" t="s">
        <v>304</v>
      </c>
      <c r="T1293" t="s">
        <v>1556</v>
      </c>
      <c r="U1293" t="s">
        <v>1557</v>
      </c>
      <c r="V1293" t="s">
        <v>246</v>
      </c>
      <c r="W1293" t="s">
        <v>244</v>
      </c>
      <c r="X1293" t="s">
        <v>1558</v>
      </c>
      <c r="Y1293" t="s">
        <v>191</v>
      </c>
      <c r="Z1293" t="s">
        <v>192</v>
      </c>
      <c r="AA1293" t="s">
        <v>193</v>
      </c>
      <c r="AB1293" t="s">
        <v>119</v>
      </c>
      <c r="AC1293" t="s">
        <v>117</v>
      </c>
      <c r="AD1293" t="s">
        <v>118</v>
      </c>
      <c r="AE1293" s="7">
        <v>235000</v>
      </c>
      <c r="AF1293" s="7">
        <v>1</v>
      </c>
      <c r="AG1293" s="7">
        <v>235000</v>
      </c>
      <c r="AH1293" s="7">
        <v>0</v>
      </c>
      <c r="AI1293" s="7">
        <v>235000</v>
      </c>
      <c r="AJ1293" t="s">
        <v>117</v>
      </c>
    </row>
    <row r="1294" spans="14:36" x14ac:dyDescent="0.3">
      <c r="N1294" s="8">
        <v>2026</v>
      </c>
      <c r="O1294" s="8">
        <v>5</v>
      </c>
      <c r="P1294" s="9">
        <v>46151</v>
      </c>
      <c r="Q1294" t="s">
        <v>238</v>
      </c>
      <c r="R1294" t="s">
        <v>303</v>
      </c>
      <c r="S1294" t="s">
        <v>304</v>
      </c>
      <c r="T1294" t="s">
        <v>1556</v>
      </c>
      <c r="U1294" t="s">
        <v>1557</v>
      </c>
      <c r="V1294" t="s">
        <v>246</v>
      </c>
      <c r="W1294" t="s">
        <v>244</v>
      </c>
      <c r="X1294" t="s">
        <v>1558</v>
      </c>
      <c r="Y1294" t="s">
        <v>191</v>
      </c>
      <c r="Z1294" t="s">
        <v>192</v>
      </c>
      <c r="AA1294" t="s">
        <v>193</v>
      </c>
      <c r="AB1294" t="s">
        <v>107</v>
      </c>
      <c r="AC1294" t="s">
        <v>105</v>
      </c>
      <c r="AD1294" t="s">
        <v>106</v>
      </c>
      <c r="AE1294" s="7">
        <v>235000</v>
      </c>
      <c r="AF1294" s="7">
        <v>1</v>
      </c>
      <c r="AG1294" s="7">
        <v>235000</v>
      </c>
      <c r="AH1294" s="7">
        <v>0</v>
      </c>
      <c r="AI1294" s="7">
        <v>235000</v>
      </c>
      <c r="AJ1294" t="s">
        <v>105</v>
      </c>
    </row>
    <row r="1295" spans="14:36" x14ac:dyDescent="0.3">
      <c r="N1295" s="8">
        <v>2026</v>
      </c>
      <c r="O1295" s="8">
        <v>5</v>
      </c>
      <c r="P1295" s="9">
        <v>46151</v>
      </c>
      <c r="Q1295" t="s">
        <v>238</v>
      </c>
      <c r="R1295" t="s">
        <v>303</v>
      </c>
      <c r="S1295" t="s">
        <v>304</v>
      </c>
      <c r="T1295" t="s">
        <v>1560</v>
      </c>
      <c r="U1295" t="s">
        <v>4042</v>
      </c>
      <c r="V1295" t="s">
        <v>246</v>
      </c>
      <c r="W1295" t="s">
        <v>244</v>
      </c>
      <c r="X1295" t="s">
        <v>1561</v>
      </c>
      <c r="Y1295" t="s">
        <v>191</v>
      </c>
      <c r="Z1295" t="s">
        <v>335</v>
      </c>
      <c r="AA1295" t="s">
        <v>337</v>
      </c>
      <c r="AB1295" t="s">
        <v>656</v>
      </c>
      <c r="AC1295" t="s">
        <v>657</v>
      </c>
      <c r="AD1295" t="s">
        <v>658</v>
      </c>
      <c r="AE1295" s="7">
        <v>35000</v>
      </c>
      <c r="AF1295" s="7">
        <v>1</v>
      </c>
      <c r="AG1295" s="7">
        <v>35000</v>
      </c>
      <c r="AH1295" s="7">
        <v>0</v>
      </c>
      <c r="AI1295" s="7">
        <v>35000</v>
      </c>
      <c r="AJ1295" t="s">
        <v>657</v>
      </c>
    </row>
    <row r="1296" spans="14:36" x14ac:dyDescent="0.3">
      <c r="N1296" s="8">
        <v>2026</v>
      </c>
      <c r="O1296" s="8">
        <v>5</v>
      </c>
      <c r="P1296" s="9">
        <v>46151</v>
      </c>
      <c r="Q1296" t="s">
        <v>238</v>
      </c>
      <c r="R1296" t="s">
        <v>351</v>
      </c>
      <c r="S1296" t="s">
        <v>352</v>
      </c>
      <c r="T1296" t="s">
        <v>1564</v>
      </c>
      <c r="U1296" t="s">
        <v>4043</v>
      </c>
      <c r="V1296" t="s">
        <v>249</v>
      </c>
      <c r="W1296" t="s">
        <v>244</v>
      </c>
      <c r="X1296" t="s">
        <v>1565</v>
      </c>
      <c r="Y1296" t="s">
        <v>194</v>
      </c>
      <c r="Z1296" t="s">
        <v>200</v>
      </c>
      <c r="AA1296" t="s">
        <v>201</v>
      </c>
      <c r="AB1296" t="s">
        <v>83</v>
      </c>
      <c r="AC1296" t="s">
        <v>81</v>
      </c>
      <c r="AD1296" t="s">
        <v>82</v>
      </c>
      <c r="AE1296" s="7">
        <v>46000</v>
      </c>
      <c r="AF1296" s="7">
        <v>1</v>
      </c>
      <c r="AG1296" s="7">
        <v>46000</v>
      </c>
      <c r="AH1296" s="7">
        <v>0</v>
      </c>
      <c r="AI1296" s="7">
        <v>46000</v>
      </c>
      <c r="AJ1296" t="s">
        <v>81</v>
      </c>
    </row>
    <row r="1297" spans="14:36" x14ac:dyDescent="0.3">
      <c r="N1297" s="8">
        <v>2026</v>
      </c>
      <c r="O1297" s="8">
        <v>5</v>
      </c>
      <c r="P1297" s="9">
        <v>46151</v>
      </c>
      <c r="Q1297" t="s">
        <v>238</v>
      </c>
      <c r="R1297" t="s">
        <v>374</v>
      </c>
      <c r="S1297" t="s">
        <v>375</v>
      </c>
      <c r="T1297" t="s">
        <v>376</v>
      </c>
      <c r="U1297" t="s">
        <v>377</v>
      </c>
      <c r="V1297" t="s">
        <v>243</v>
      </c>
      <c r="W1297" t="s">
        <v>244</v>
      </c>
      <c r="X1297" t="s">
        <v>1567</v>
      </c>
      <c r="Y1297" t="s">
        <v>194</v>
      </c>
      <c r="Z1297" t="s">
        <v>200</v>
      </c>
      <c r="AA1297" t="s">
        <v>201</v>
      </c>
      <c r="AB1297" t="s">
        <v>80</v>
      </c>
      <c r="AC1297" t="s">
        <v>78</v>
      </c>
      <c r="AD1297" t="s">
        <v>79</v>
      </c>
      <c r="AE1297" s="7">
        <v>14000</v>
      </c>
      <c r="AF1297" s="7">
        <v>2</v>
      </c>
      <c r="AG1297" s="7">
        <v>28000</v>
      </c>
      <c r="AH1297" s="7">
        <v>0</v>
      </c>
      <c r="AI1297" s="7">
        <v>28000</v>
      </c>
      <c r="AJ1297" t="s">
        <v>78</v>
      </c>
    </row>
    <row r="1298" spans="14:36" x14ac:dyDescent="0.3">
      <c r="N1298" s="8">
        <v>2026</v>
      </c>
      <c r="O1298" s="8">
        <v>5</v>
      </c>
      <c r="P1298" s="9">
        <v>46151</v>
      </c>
      <c r="Q1298" t="s">
        <v>238</v>
      </c>
      <c r="R1298" t="s">
        <v>374</v>
      </c>
      <c r="S1298" t="s">
        <v>375</v>
      </c>
      <c r="T1298" t="s">
        <v>376</v>
      </c>
      <c r="U1298" t="s">
        <v>377</v>
      </c>
      <c r="V1298" t="s">
        <v>243</v>
      </c>
      <c r="W1298" t="s">
        <v>244</v>
      </c>
      <c r="X1298" t="s">
        <v>1568</v>
      </c>
      <c r="Y1298" t="s">
        <v>168</v>
      </c>
      <c r="Z1298" t="s">
        <v>181</v>
      </c>
      <c r="AA1298" t="s">
        <v>182</v>
      </c>
      <c r="AB1298" t="s">
        <v>50</v>
      </c>
      <c r="AC1298" t="s">
        <v>48</v>
      </c>
      <c r="AD1298" t="s">
        <v>49</v>
      </c>
      <c r="AE1298" s="7">
        <v>49000</v>
      </c>
      <c r="AF1298" s="7">
        <v>1</v>
      </c>
      <c r="AG1298" s="7">
        <v>49000</v>
      </c>
      <c r="AH1298" s="7">
        <v>0</v>
      </c>
      <c r="AI1298" s="7">
        <v>49000</v>
      </c>
      <c r="AJ1298" t="s">
        <v>48</v>
      </c>
    </row>
    <row r="1299" spans="14:36" x14ac:dyDescent="0.3">
      <c r="N1299" s="8">
        <v>2026</v>
      </c>
      <c r="O1299" s="8">
        <v>5</v>
      </c>
      <c r="P1299" s="9">
        <v>46151</v>
      </c>
      <c r="Q1299" t="s">
        <v>238</v>
      </c>
      <c r="R1299" t="s">
        <v>374</v>
      </c>
      <c r="S1299" t="s">
        <v>375</v>
      </c>
      <c r="T1299" t="s">
        <v>1569</v>
      </c>
      <c r="U1299" t="s">
        <v>4044</v>
      </c>
      <c r="V1299" t="s">
        <v>249</v>
      </c>
      <c r="W1299" t="s">
        <v>244</v>
      </c>
      <c r="X1299" t="s">
        <v>1570</v>
      </c>
      <c r="Y1299" t="s">
        <v>194</v>
      </c>
      <c r="Z1299" t="s">
        <v>200</v>
      </c>
      <c r="AA1299" t="s">
        <v>201</v>
      </c>
      <c r="AB1299" t="s">
        <v>86</v>
      </c>
      <c r="AC1299" t="s">
        <v>84</v>
      </c>
      <c r="AD1299" t="s">
        <v>85</v>
      </c>
      <c r="AE1299" s="7">
        <v>49000</v>
      </c>
      <c r="AF1299" s="7">
        <v>1</v>
      </c>
      <c r="AG1299" s="7">
        <v>49000</v>
      </c>
      <c r="AH1299" s="7">
        <v>0</v>
      </c>
      <c r="AI1299" s="7">
        <v>49000</v>
      </c>
      <c r="AJ1299" t="s">
        <v>84</v>
      </c>
    </row>
    <row r="1300" spans="14:36" x14ac:dyDescent="0.3">
      <c r="N1300" s="8">
        <v>2026</v>
      </c>
      <c r="O1300" s="8">
        <v>5</v>
      </c>
      <c r="P1300" s="9">
        <v>46151</v>
      </c>
      <c r="Q1300" t="s">
        <v>238</v>
      </c>
      <c r="R1300" t="s">
        <v>374</v>
      </c>
      <c r="S1300" t="s">
        <v>375</v>
      </c>
      <c r="T1300" t="s">
        <v>1569</v>
      </c>
      <c r="U1300" t="s">
        <v>4044</v>
      </c>
      <c r="V1300" t="s">
        <v>249</v>
      </c>
      <c r="W1300" t="s">
        <v>244</v>
      </c>
      <c r="X1300" t="s">
        <v>1570</v>
      </c>
      <c r="Y1300" t="s">
        <v>191</v>
      </c>
      <c r="Z1300" t="s">
        <v>335</v>
      </c>
      <c r="AA1300" t="s">
        <v>336</v>
      </c>
      <c r="AB1300" t="s">
        <v>606</v>
      </c>
      <c r="AC1300" t="s">
        <v>607</v>
      </c>
      <c r="AD1300" t="s">
        <v>608</v>
      </c>
      <c r="AE1300" s="7">
        <v>105000</v>
      </c>
      <c r="AF1300" s="7">
        <v>1</v>
      </c>
      <c r="AG1300" s="7">
        <v>105000</v>
      </c>
      <c r="AH1300" s="7">
        <v>0</v>
      </c>
      <c r="AI1300" s="7">
        <v>105000</v>
      </c>
      <c r="AJ1300" t="s">
        <v>607</v>
      </c>
    </row>
    <row r="1301" spans="14:36" x14ac:dyDescent="0.3">
      <c r="N1301" s="8">
        <v>2026</v>
      </c>
      <c r="O1301" s="8">
        <v>5</v>
      </c>
      <c r="P1301" s="9">
        <v>46151</v>
      </c>
      <c r="Q1301" t="s">
        <v>238</v>
      </c>
      <c r="R1301" t="s">
        <v>374</v>
      </c>
      <c r="S1301" t="s">
        <v>375</v>
      </c>
      <c r="T1301" t="s">
        <v>870</v>
      </c>
      <c r="U1301" t="s">
        <v>871</v>
      </c>
      <c r="V1301" t="s">
        <v>246</v>
      </c>
      <c r="W1301" t="s">
        <v>244</v>
      </c>
      <c r="X1301" t="s">
        <v>1571</v>
      </c>
      <c r="Y1301" t="s">
        <v>191</v>
      </c>
      <c r="Z1301" t="s">
        <v>335</v>
      </c>
      <c r="AA1301" t="s">
        <v>337</v>
      </c>
      <c r="AB1301" t="s">
        <v>348</v>
      </c>
      <c r="AC1301" t="s">
        <v>349</v>
      </c>
      <c r="AD1301" t="s">
        <v>350</v>
      </c>
      <c r="AE1301" s="7">
        <v>76000</v>
      </c>
      <c r="AF1301" s="7">
        <v>1</v>
      </c>
      <c r="AG1301" s="7">
        <v>76000</v>
      </c>
      <c r="AH1301" s="7">
        <v>0</v>
      </c>
      <c r="AI1301" s="7">
        <v>76000</v>
      </c>
      <c r="AJ1301" t="s">
        <v>349</v>
      </c>
    </row>
    <row r="1302" spans="14:36" x14ac:dyDescent="0.3">
      <c r="N1302" s="8">
        <v>2026</v>
      </c>
      <c r="O1302" s="8">
        <v>5</v>
      </c>
      <c r="P1302" s="9">
        <v>46151</v>
      </c>
      <c r="Q1302" t="s">
        <v>238</v>
      </c>
      <c r="R1302" t="s">
        <v>374</v>
      </c>
      <c r="S1302" t="s">
        <v>375</v>
      </c>
      <c r="T1302" t="s">
        <v>991</v>
      </c>
      <c r="U1302" t="s">
        <v>4045</v>
      </c>
      <c r="V1302" t="s">
        <v>246</v>
      </c>
      <c r="W1302" t="s">
        <v>244</v>
      </c>
      <c r="X1302" t="s">
        <v>1572</v>
      </c>
      <c r="Y1302" t="s">
        <v>168</v>
      </c>
      <c r="Z1302" t="s">
        <v>171</v>
      </c>
      <c r="AA1302" t="s">
        <v>175</v>
      </c>
      <c r="AB1302" t="s">
        <v>44</v>
      </c>
      <c r="AC1302" t="s">
        <v>42</v>
      </c>
      <c r="AD1302" t="s">
        <v>43</v>
      </c>
      <c r="AE1302" s="7">
        <v>294000</v>
      </c>
      <c r="AF1302" s="7">
        <v>1</v>
      </c>
      <c r="AG1302" s="7">
        <v>294000</v>
      </c>
      <c r="AH1302" s="7">
        <v>0</v>
      </c>
      <c r="AI1302" s="7">
        <v>294000</v>
      </c>
      <c r="AJ1302" t="s">
        <v>42</v>
      </c>
    </row>
    <row r="1303" spans="14:36" x14ac:dyDescent="0.3">
      <c r="N1303" s="8">
        <v>2026</v>
      </c>
      <c r="O1303" s="8">
        <v>5</v>
      </c>
      <c r="P1303" s="9">
        <v>46151</v>
      </c>
      <c r="Q1303" t="s">
        <v>238</v>
      </c>
      <c r="R1303" t="s">
        <v>396</v>
      </c>
      <c r="S1303" t="s">
        <v>397</v>
      </c>
      <c r="T1303" t="s">
        <v>398</v>
      </c>
      <c r="U1303" t="s">
        <v>399</v>
      </c>
      <c r="V1303" t="s">
        <v>243</v>
      </c>
      <c r="W1303" t="s">
        <v>244</v>
      </c>
      <c r="X1303" t="s">
        <v>1575</v>
      </c>
      <c r="Y1303" t="s">
        <v>191</v>
      </c>
      <c r="Z1303" t="s">
        <v>335</v>
      </c>
      <c r="AA1303" t="s">
        <v>336</v>
      </c>
      <c r="AB1303" t="s">
        <v>1576</v>
      </c>
      <c r="AC1303" t="s">
        <v>1577</v>
      </c>
      <c r="AD1303" t="s">
        <v>1578</v>
      </c>
      <c r="AE1303" s="7">
        <v>47000</v>
      </c>
      <c r="AF1303" s="7">
        <v>2</v>
      </c>
      <c r="AG1303" s="7">
        <v>94000</v>
      </c>
      <c r="AH1303" s="7">
        <v>0</v>
      </c>
      <c r="AI1303" s="7">
        <v>94000</v>
      </c>
      <c r="AJ1303" t="s">
        <v>1577</v>
      </c>
    </row>
    <row r="1304" spans="14:36" x14ac:dyDescent="0.3">
      <c r="N1304" s="8">
        <v>2026</v>
      </c>
      <c r="O1304" s="8">
        <v>5</v>
      </c>
      <c r="P1304" s="9">
        <v>46151</v>
      </c>
      <c r="Q1304" t="s">
        <v>238</v>
      </c>
      <c r="R1304" t="s">
        <v>396</v>
      </c>
      <c r="S1304" t="s">
        <v>397</v>
      </c>
      <c r="T1304" t="s">
        <v>398</v>
      </c>
      <c r="U1304" t="s">
        <v>399</v>
      </c>
      <c r="V1304" t="s">
        <v>243</v>
      </c>
      <c r="W1304" t="s">
        <v>244</v>
      </c>
      <c r="X1304" t="s">
        <v>1575</v>
      </c>
      <c r="Y1304" t="s">
        <v>191</v>
      </c>
      <c r="Z1304" t="s">
        <v>335</v>
      </c>
      <c r="AA1304" t="s">
        <v>337</v>
      </c>
      <c r="AB1304" t="s">
        <v>719</v>
      </c>
      <c r="AC1304" t="s">
        <v>720</v>
      </c>
      <c r="AD1304" t="s">
        <v>721</v>
      </c>
      <c r="AE1304" s="7">
        <v>104000</v>
      </c>
      <c r="AF1304" s="7">
        <v>1</v>
      </c>
      <c r="AG1304" s="7">
        <v>104000</v>
      </c>
      <c r="AH1304" s="7">
        <v>0</v>
      </c>
      <c r="AI1304" s="7">
        <v>104000</v>
      </c>
      <c r="AJ1304" t="s">
        <v>720</v>
      </c>
    </row>
    <row r="1305" spans="14:36" x14ac:dyDescent="0.3">
      <c r="N1305" s="8">
        <v>2026</v>
      </c>
      <c r="O1305" s="8">
        <v>5</v>
      </c>
      <c r="P1305" s="9">
        <v>46151</v>
      </c>
      <c r="Q1305" t="s">
        <v>238</v>
      </c>
      <c r="R1305" t="s">
        <v>396</v>
      </c>
      <c r="S1305" t="s">
        <v>397</v>
      </c>
      <c r="T1305" t="s">
        <v>1475</v>
      </c>
      <c r="U1305" t="s">
        <v>1476</v>
      </c>
      <c r="V1305" t="s">
        <v>246</v>
      </c>
      <c r="W1305" t="s">
        <v>244</v>
      </c>
      <c r="X1305" t="s">
        <v>1580</v>
      </c>
      <c r="Y1305" t="s">
        <v>191</v>
      </c>
      <c r="Z1305" t="s">
        <v>335</v>
      </c>
      <c r="AA1305" t="s">
        <v>336</v>
      </c>
      <c r="AB1305" t="s">
        <v>1576</v>
      </c>
      <c r="AC1305" t="s">
        <v>1577</v>
      </c>
      <c r="AD1305" t="s">
        <v>1578</v>
      </c>
      <c r="AE1305" s="7">
        <v>47000</v>
      </c>
      <c r="AF1305" s="7">
        <v>1</v>
      </c>
      <c r="AG1305" s="7">
        <v>47000</v>
      </c>
      <c r="AH1305" s="7">
        <v>0</v>
      </c>
      <c r="AI1305" s="7">
        <v>47000</v>
      </c>
      <c r="AJ1305" t="s">
        <v>1577</v>
      </c>
    </row>
    <row r="1306" spans="14:36" x14ac:dyDescent="0.3">
      <c r="N1306" s="8">
        <v>2026</v>
      </c>
      <c r="O1306" s="8">
        <v>5</v>
      </c>
      <c r="P1306" s="9">
        <v>46151</v>
      </c>
      <c r="Q1306" t="s">
        <v>238</v>
      </c>
      <c r="R1306" t="s">
        <v>415</v>
      </c>
      <c r="S1306" t="s">
        <v>416</v>
      </c>
      <c r="T1306" t="s">
        <v>1582</v>
      </c>
      <c r="U1306" t="s">
        <v>1583</v>
      </c>
      <c r="V1306" t="s">
        <v>249</v>
      </c>
      <c r="W1306" t="s">
        <v>244</v>
      </c>
      <c r="X1306" t="s">
        <v>1584</v>
      </c>
      <c r="Y1306" t="s">
        <v>168</v>
      </c>
      <c r="Z1306" t="s">
        <v>171</v>
      </c>
      <c r="AA1306" t="s">
        <v>173</v>
      </c>
      <c r="AB1306" t="s">
        <v>29</v>
      </c>
      <c r="AC1306" t="s">
        <v>27</v>
      </c>
      <c r="AD1306" t="s">
        <v>28</v>
      </c>
      <c r="AE1306" s="7">
        <v>575000</v>
      </c>
      <c r="AF1306" s="7">
        <v>1</v>
      </c>
      <c r="AG1306" s="7">
        <v>575000</v>
      </c>
      <c r="AH1306" s="7">
        <v>0</v>
      </c>
      <c r="AI1306" s="7">
        <v>575000</v>
      </c>
      <c r="AJ1306" t="s">
        <v>27</v>
      </c>
    </row>
    <row r="1307" spans="14:36" x14ac:dyDescent="0.3">
      <c r="N1307" s="8">
        <v>2026</v>
      </c>
      <c r="O1307" s="8">
        <v>5</v>
      </c>
      <c r="P1307" s="9">
        <v>46151</v>
      </c>
      <c r="Q1307" t="s">
        <v>238</v>
      </c>
      <c r="R1307" t="s">
        <v>425</v>
      </c>
      <c r="S1307" t="s">
        <v>426</v>
      </c>
      <c r="T1307" t="s">
        <v>1585</v>
      </c>
      <c r="U1307" t="s">
        <v>4046</v>
      </c>
      <c r="V1307" t="s">
        <v>246</v>
      </c>
      <c r="W1307" t="s">
        <v>244</v>
      </c>
      <c r="X1307" t="s">
        <v>1586</v>
      </c>
      <c r="Y1307" t="s">
        <v>191</v>
      </c>
      <c r="Z1307" t="s">
        <v>335</v>
      </c>
      <c r="AA1307" t="s">
        <v>337</v>
      </c>
      <c r="AB1307" t="s">
        <v>656</v>
      </c>
      <c r="AC1307" t="s">
        <v>657</v>
      </c>
      <c r="AD1307" t="s">
        <v>658</v>
      </c>
      <c r="AE1307" s="7">
        <v>35000</v>
      </c>
      <c r="AF1307" s="7">
        <v>1</v>
      </c>
      <c r="AG1307" s="7">
        <v>35000</v>
      </c>
      <c r="AH1307" s="7">
        <v>0</v>
      </c>
      <c r="AI1307" s="7">
        <v>35000</v>
      </c>
      <c r="AJ1307" t="s">
        <v>657</v>
      </c>
    </row>
    <row r="1308" spans="14:36" x14ac:dyDescent="0.3">
      <c r="N1308" s="8">
        <v>2026</v>
      </c>
      <c r="O1308" s="8">
        <v>5</v>
      </c>
      <c r="P1308" s="9">
        <v>46150</v>
      </c>
      <c r="Q1308" t="s">
        <v>238</v>
      </c>
      <c r="R1308" t="s">
        <v>239</v>
      </c>
      <c r="S1308" t="s">
        <v>240</v>
      </c>
      <c r="T1308" t="s">
        <v>1591</v>
      </c>
      <c r="U1308" t="s">
        <v>1592</v>
      </c>
      <c r="V1308" t="s">
        <v>246</v>
      </c>
      <c r="W1308" t="s">
        <v>244</v>
      </c>
      <c r="X1308" t="s">
        <v>1593</v>
      </c>
      <c r="Y1308" t="s">
        <v>194</v>
      </c>
      <c r="Z1308" t="s">
        <v>195</v>
      </c>
      <c r="AA1308" t="s">
        <v>196</v>
      </c>
      <c r="AB1308" t="s">
        <v>71</v>
      </c>
      <c r="AC1308" t="s">
        <v>69</v>
      </c>
      <c r="AD1308" t="s">
        <v>70</v>
      </c>
      <c r="AE1308" s="7">
        <v>275000</v>
      </c>
      <c r="AF1308" s="7">
        <v>1</v>
      </c>
      <c r="AG1308" s="7">
        <v>275000</v>
      </c>
      <c r="AH1308" s="7">
        <v>0</v>
      </c>
      <c r="AI1308" s="7">
        <v>275000</v>
      </c>
      <c r="AJ1308" t="s">
        <v>69</v>
      </c>
    </row>
    <row r="1309" spans="14:36" x14ac:dyDescent="0.3">
      <c r="N1309" s="8">
        <v>2026</v>
      </c>
      <c r="O1309" s="8">
        <v>5</v>
      </c>
      <c r="P1309" s="9">
        <v>46150</v>
      </c>
      <c r="Q1309" t="s">
        <v>238</v>
      </c>
      <c r="R1309" t="s">
        <v>239</v>
      </c>
      <c r="S1309" t="s">
        <v>240</v>
      </c>
      <c r="T1309" t="s">
        <v>1300</v>
      </c>
      <c r="U1309" t="s">
        <v>4047</v>
      </c>
      <c r="V1309" t="s">
        <v>246</v>
      </c>
      <c r="W1309" t="s">
        <v>244</v>
      </c>
      <c r="X1309" t="s">
        <v>1594</v>
      </c>
      <c r="Y1309" t="s">
        <v>191</v>
      </c>
      <c r="Z1309" t="s">
        <v>192</v>
      </c>
      <c r="AA1309" t="s">
        <v>193</v>
      </c>
      <c r="AB1309" t="s">
        <v>107</v>
      </c>
      <c r="AC1309" t="s">
        <v>105</v>
      </c>
      <c r="AD1309" t="s">
        <v>106</v>
      </c>
      <c r="AE1309" s="7">
        <v>235000</v>
      </c>
      <c r="AF1309" s="7">
        <v>1</v>
      </c>
      <c r="AG1309" s="7">
        <v>235000</v>
      </c>
      <c r="AH1309" s="7">
        <v>0</v>
      </c>
      <c r="AI1309" s="7">
        <v>235000</v>
      </c>
      <c r="AJ1309" t="s">
        <v>105</v>
      </c>
    </row>
    <row r="1310" spans="14:36" x14ac:dyDescent="0.3">
      <c r="N1310" s="8">
        <v>2026</v>
      </c>
      <c r="O1310" s="8">
        <v>5</v>
      </c>
      <c r="P1310" s="9">
        <v>46150</v>
      </c>
      <c r="Q1310" t="s">
        <v>238</v>
      </c>
      <c r="R1310" t="s">
        <v>239</v>
      </c>
      <c r="S1310" t="s">
        <v>240</v>
      </c>
      <c r="T1310" t="s">
        <v>1019</v>
      </c>
      <c r="U1310" t="s">
        <v>4002</v>
      </c>
      <c r="V1310" t="s">
        <v>246</v>
      </c>
      <c r="W1310" t="s">
        <v>244</v>
      </c>
      <c r="X1310" t="s">
        <v>1595</v>
      </c>
      <c r="Y1310" t="s">
        <v>194</v>
      </c>
      <c r="Z1310" t="s">
        <v>200</v>
      </c>
      <c r="AA1310" t="s">
        <v>201</v>
      </c>
      <c r="AB1310" t="s">
        <v>80</v>
      </c>
      <c r="AC1310" t="s">
        <v>78</v>
      </c>
      <c r="AD1310" t="s">
        <v>79</v>
      </c>
      <c r="AE1310" s="7">
        <v>14000</v>
      </c>
      <c r="AF1310" s="7">
        <v>1</v>
      </c>
      <c r="AG1310" s="7">
        <v>14000</v>
      </c>
      <c r="AH1310" s="7">
        <v>0</v>
      </c>
      <c r="AI1310" s="7">
        <v>14000</v>
      </c>
      <c r="AJ1310" t="s">
        <v>78</v>
      </c>
    </row>
    <row r="1311" spans="14:36" x14ac:dyDescent="0.3">
      <c r="N1311" s="8">
        <v>2026</v>
      </c>
      <c r="O1311" s="8">
        <v>5</v>
      </c>
      <c r="P1311" s="9">
        <v>46150</v>
      </c>
      <c r="Q1311" t="s">
        <v>238</v>
      </c>
      <c r="R1311" t="s">
        <v>239</v>
      </c>
      <c r="S1311" t="s">
        <v>240</v>
      </c>
      <c r="T1311" t="s">
        <v>907</v>
      </c>
      <c r="U1311" t="s">
        <v>4048</v>
      </c>
      <c r="V1311" t="s">
        <v>246</v>
      </c>
      <c r="W1311" t="s">
        <v>244</v>
      </c>
      <c r="X1311" t="s">
        <v>1596</v>
      </c>
      <c r="Y1311" t="s">
        <v>194</v>
      </c>
      <c r="Z1311" t="s">
        <v>195</v>
      </c>
      <c r="AA1311" t="s">
        <v>196</v>
      </c>
      <c r="AB1311" t="s">
        <v>56</v>
      </c>
      <c r="AC1311" t="s">
        <v>54</v>
      </c>
      <c r="AD1311" t="s">
        <v>55</v>
      </c>
      <c r="AE1311" s="7">
        <v>295000</v>
      </c>
      <c r="AF1311" s="7">
        <v>1</v>
      </c>
      <c r="AG1311" s="7">
        <v>295000</v>
      </c>
      <c r="AH1311" s="7">
        <v>0</v>
      </c>
      <c r="AI1311" s="7">
        <v>295000</v>
      </c>
      <c r="AJ1311" t="s">
        <v>54</v>
      </c>
    </row>
    <row r="1312" spans="14:36" x14ac:dyDescent="0.3">
      <c r="N1312" s="8">
        <v>2026</v>
      </c>
      <c r="O1312" s="8">
        <v>5</v>
      </c>
      <c r="P1312" s="9">
        <v>46150</v>
      </c>
      <c r="Q1312" t="s">
        <v>238</v>
      </c>
      <c r="R1312" t="s">
        <v>303</v>
      </c>
      <c r="S1312" t="s">
        <v>304</v>
      </c>
      <c r="T1312" t="s">
        <v>305</v>
      </c>
      <c r="U1312" t="s">
        <v>306</v>
      </c>
      <c r="V1312" t="s">
        <v>243</v>
      </c>
      <c r="W1312" t="s">
        <v>244</v>
      </c>
      <c r="X1312" t="s">
        <v>1598</v>
      </c>
      <c r="Y1312" t="s">
        <v>194</v>
      </c>
      <c r="Z1312" t="s">
        <v>200</v>
      </c>
      <c r="AA1312" t="s">
        <v>201</v>
      </c>
      <c r="AB1312" t="s">
        <v>80</v>
      </c>
      <c r="AC1312" t="s">
        <v>78</v>
      </c>
      <c r="AD1312" t="s">
        <v>79</v>
      </c>
      <c r="AE1312" s="7">
        <v>14000</v>
      </c>
      <c r="AF1312" s="7">
        <v>1</v>
      </c>
      <c r="AG1312" s="7">
        <v>14000</v>
      </c>
      <c r="AH1312" s="7">
        <v>0</v>
      </c>
      <c r="AI1312" s="7">
        <v>14000</v>
      </c>
      <c r="AJ1312" t="s">
        <v>78</v>
      </c>
    </row>
    <row r="1313" spans="14:36" x14ac:dyDescent="0.3">
      <c r="N1313" s="8">
        <v>2026</v>
      </c>
      <c r="O1313" s="8">
        <v>5</v>
      </c>
      <c r="P1313" s="9">
        <v>46150</v>
      </c>
      <c r="Q1313" t="s">
        <v>238</v>
      </c>
      <c r="R1313" t="s">
        <v>303</v>
      </c>
      <c r="S1313" t="s">
        <v>304</v>
      </c>
      <c r="T1313" t="s">
        <v>1599</v>
      </c>
      <c r="U1313" t="s">
        <v>3945</v>
      </c>
      <c r="V1313" t="s">
        <v>246</v>
      </c>
      <c r="W1313" t="s">
        <v>244</v>
      </c>
      <c r="X1313" t="s">
        <v>1600</v>
      </c>
      <c r="Y1313" t="s">
        <v>191</v>
      </c>
      <c r="Z1313" t="s">
        <v>192</v>
      </c>
      <c r="AA1313" t="s">
        <v>193</v>
      </c>
      <c r="AB1313" t="s">
        <v>110</v>
      </c>
      <c r="AC1313" t="s">
        <v>108</v>
      </c>
      <c r="AD1313" t="s">
        <v>109</v>
      </c>
      <c r="AE1313" s="7">
        <v>235000</v>
      </c>
      <c r="AF1313" s="7">
        <v>1</v>
      </c>
      <c r="AG1313" s="7">
        <v>235000</v>
      </c>
      <c r="AH1313" s="7">
        <v>0</v>
      </c>
      <c r="AI1313" s="7">
        <v>235000</v>
      </c>
      <c r="AJ1313" t="s">
        <v>108</v>
      </c>
    </row>
    <row r="1314" spans="14:36" x14ac:dyDescent="0.3">
      <c r="N1314" s="8">
        <v>2026</v>
      </c>
      <c r="O1314" s="8">
        <v>5</v>
      </c>
      <c r="P1314" s="9">
        <v>46150</v>
      </c>
      <c r="Q1314" t="s">
        <v>238</v>
      </c>
      <c r="R1314" t="s">
        <v>303</v>
      </c>
      <c r="S1314" t="s">
        <v>304</v>
      </c>
      <c r="T1314" t="s">
        <v>1080</v>
      </c>
      <c r="U1314" t="s">
        <v>544</v>
      </c>
      <c r="V1314" t="s">
        <v>249</v>
      </c>
      <c r="W1314" t="s">
        <v>244</v>
      </c>
      <c r="X1314" t="s">
        <v>1601</v>
      </c>
      <c r="Y1314" t="s">
        <v>183</v>
      </c>
      <c r="Z1314" t="s">
        <v>189</v>
      </c>
      <c r="AA1314" t="s">
        <v>190</v>
      </c>
      <c r="AB1314" t="s">
        <v>92</v>
      </c>
      <c r="AC1314" t="s">
        <v>90</v>
      </c>
      <c r="AD1314" t="s">
        <v>91</v>
      </c>
      <c r="AE1314" s="7">
        <v>52000</v>
      </c>
      <c r="AF1314" s="7">
        <v>1</v>
      </c>
      <c r="AG1314" s="7">
        <v>52000</v>
      </c>
      <c r="AH1314" s="7">
        <v>0</v>
      </c>
      <c r="AI1314" s="7">
        <v>52000</v>
      </c>
      <c r="AJ1314" t="s">
        <v>90</v>
      </c>
    </row>
    <row r="1315" spans="14:36" x14ac:dyDescent="0.3">
      <c r="N1315" s="8">
        <v>2026</v>
      </c>
      <c r="O1315" s="8">
        <v>5</v>
      </c>
      <c r="P1315" s="9">
        <v>46150</v>
      </c>
      <c r="Q1315" t="s">
        <v>238</v>
      </c>
      <c r="R1315" t="s">
        <v>374</v>
      </c>
      <c r="S1315" t="s">
        <v>375</v>
      </c>
      <c r="T1315" t="s">
        <v>376</v>
      </c>
      <c r="U1315" t="s">
        <v>377</v>
      </c>
      <c r="V1315" t="s">
        <v>243</v>
      </c>
      <c r="W1315" t="s">
        <v>244</v>
      </c>
      <c r="X1315" t="s">
        <v>1607</v>
      </c>
      <c r="Y1315" t="s">
        <v>191</v>
      </c>
      <c r="Z1315" t="s">
        <v>335</v>
      </c>
      <c r="AA1315" t="s">
        <v>337</v>
      </c>
      <c r="AB1315" t="s">
        <v>348</v>
      </c>
      <c r="AC1315" t="s">
        <v>349</v>
      </c>
      <c r="AD1315" t="s">
        <v>350</v>
      </c>
      <c r="AE1315" s="7">
        <v>76000</v>
      </c>
      <c r="AF1315" s="7">
        <v>1</v>
      </c>
      <c r="AG1315" s="7">
        <v>76000</v>
      </c>
      <c r="AH1315" s="7">
        <v>0</v>
      </c>
      <c r="AI1315" s="7">
        <v>76000</v>
      </c>
      <c r="AJ1315" t="s">
        <v>349</v>
      </c>
    </row>
    <row r="1316" spans="14:36" x14ac:dyDescent="0.3">
      <c r="N1316" s="8">
        <v>2026</v>
      </c>
      <c r="O1316" s="8">
        <v>5</v>
      </c>
      <c r="P1316" s="9">
        <v>46150</v>
      </c>
      <c r="Q1316" t="s">
        <v>238</v>
      </c>
      <c r="R1316" t="s">
        <v>374</v>
      </c>
      <c r="S1316" t="s">
        <v>375</v>
      </c>
      <c r="T1316" t="s">
        <v>1181</v>
      </c>
      <c r="U1316" t="s">
        <v>3982</v>
      </c>
      <c r="V1316" t="s">
        <v>246</v>
      </c>
      <c r="W1316" t="s">
        <v>244</v>
      </c>
      <c r="X1316" t="s">
        <v>1609</v>
      </c>
      <c r="Y1316" t="s">
        <v>168</v>
      </c>
      <c r="Z1316" t="s">
        <v>181</v>
      </c>
      <c r="AA1316" t="s">
        <v>182</v>
      </c>
      <c r="AB1316" t="s">
        <v>50</v>
      </c>
      <c r="AC1316" t="s">
        <v>48</v>
      </c>
      <c r="AD1316" t="s">
        <v>49</v>
      </c>
      <c r="AE1316" s="7">
        <v>49000</v>
      </c>
      <c r="AF1316" s="7">
        <v>1</v>
      </c>
      <c r="AG1316" s="7">
        <v>49000</v>
      </c>
      <c r="AH1316" s="7">
        <v>0</v>
      </c>
      <c r="AI1316" s="7">
        <v>49000</v>
      </c>
      <c r="AJ1316" t="s">
        <v>48</v>
      </c>
    </row>
    <row r="1317" spans="14:36" x14ac:dyDescent="0.3">
      <c r="N1317" s="8">
        <v>2026</v>
      </c>
      <c r="O1317" s="8">
        <v>5</v>
      </c>
      <c r="P1317" s="9">
        <v>46150</v>
      </c>
      <c r="Q1317" t="s">
        <v>238</v>
      </c>
      <c r="R1317" t="s">
        <v>415</v>
      </c>
      <c r="S1317" t="s">
        <v>416</v>
      </c>
      <c r="T1317" t="s">
        <v>1612</v>
      </c>
      <c r="U1317" t="s">
        <v>4049</v>
      </c>
      <c r="V1317" t="s">
        <v>246</v>
      </c>
      <c r="W1317" t="s">
        <v>244</v>
      </c>
      <c r="X1317" t="s">
        <v>1613</v>
      </c>
      <c r="Y1317" t="s">
        <v>191</v>
      </c>
      <c r="Z1317" t="s">
        <v>335</v>
      </c>
      <c r="AA1317" t="s">
        <v>337</v>
      </c>
      <c r="AB1317" t="s">
        <v>348</v>
      </c>
      <c r="AC1317" t="s">
        <v>349</v>
      </c>
      <c r="AD1317" t="s">
        <v>350</v>
      </c>
      <c r="AE1317" s="7">
        <v>76000</v>
      </c>
      <c r="AF1317" s="7">
        <v>1</v>
      </c>
      <c r="AG1317" s="7">
        <v>76000</v>
      </c>
      <c r="AH1317" s="7">
        <v>0</v>
      </c>
      <c r="AI1317" s="7">
        <v>76000</v>
      </c>
      <c r="AJ1317" t="s">
        <v>349</v>
      </c>
    </row>
    <row r="1318" spans="14:36" x14ac:dyDescent="0.3">
      <c r="N1318" s="8">
        <v>2026</v>
      </c>
      <c r="O1318" s="8">
        <v>5</v>
      </c>
      <c r="P1318" s="9">
        <v>46150</v>
      </c>
      <c r="Q1318" t="s">
        <v>238</v>
      </c>
      <c r="R1318" t="s">
        <v>425</v>
      </c>
      <c r="S1318" t="s">
        <v>426</v>
      </c>
      <c r="T1318" t="s">
        <v>1587</v>
      </c>
      <c r="U1318" t="s">
        <v>1588</v>
      </c>
      <c r="V1318" t="s">
        <v>246</v>
      </c>
      <c r="W1318" t="s">
        <v>244</v>
      </c>
      <c r="X1318" t="s">
        <v>1614</v>
      </c>
      <c r="Y1318" t="s">
        <v>194</v>
      </c>
      <c r="Z1318" t="s">
        <v>200</v>
      </c>
      <c r="AA1318" t="s">
        <v>201</v>
      </c>
      <c r="AB1318" t="s">
        <v>80</v>
      </c>
      <c r="AC1318" t="s">
        <v>78</v>
      </c>
      <c r="AD1318" t="s">
        <v>79</v>
      </c>
      <c r="AE1318" s="7">
        <v>14000</v>
      </c>
      <c r="AF1318" s="7">
        <v>2</v>
      </c>
      <c r="AG1318" s="7">
        <v>28000</v>
      </c>
      <c r="AH1318" s="7">
        <v>0</v>
      </c>
      <c r="AI1318" s="7">
        <v>28000</v>
      </c>
      <c r="AJ1318" t="s">
        <v>78</v>
      </c>
    </row>
    <row r="1319" spans="14:36" x14ac:dyDescent="0.3">
      <c r="N1319" s="8">
        <v>2026</v>
      </c>
      <c r="O1319" s="8">
        <v>5</v>
      </c>
      <c r="P1319" s="9">
        <v>46150</v>
      </c>
      <c r="Q1319" t="s">
        <v>238</v>
      </c>
      <c r="R1319" t="s">
        <v>425</v>
      </c>
      <c r="S1319" t="s">
        <v>426</v>
      </c>
      <c r="T1319" t="s">
        <v>1330</v>
      </c>
      <c r="U1319" t="s">
        <v>3551</v>
      </c>
      <c r="V1319" t="s">
        <v>246</v>
      </c>
      <c r="W1319" t="s">
        <v>244</v>
      </c>
      <c r="X1319" t="s">
        <v>1617</v>
      </c>
      <c r="Y1319" t="s">
        <v>191</v>
      </c>
      <c r="Z1319" t="s">
        <v>192</v>
      </c>
      <c r="AA1319" t="s">
        <v>193</v>
      </c>
      <c r="AB1319" t="s">
        <v>119</v>
      </c>
      <c r="AC1319" t="s">
        <v>117</v>
      </c>
      <c r="AD1319" t="s">
        <v>118</v>
      </c>
      <c r="AE1319" s="7">
        <v>235000</v>
      </c>
      <c r="AF1319" s="7">
        <v>1</v>
      </c>
      <c r="AG1319" s="7">
        <v>235000</v>
      </c>
      <c r="AH1319" s="7">
        <v>0</v>
      </c>
      <c r="AI1319" s="7">
        <v>235000</v>
      </c>
      <c r="AJ1319" t="s">
        <v>117</v>
      </c>
    </row>
    <row r="1320" spans="14:36" x14ac:dyDescent="0.3">
      <c r="N1320" s="8">
        <v>2026</v>
      </c>
      <c r="O1320" s="8">
        <v>5</v>
      </c>
      <c r="P1320" s="9">
        <v>46149</v>
      </c>
      <c r="Q1320" t="s">
        <v>238</v>
      </c>
      <c r="R1320" t="s">
        <v>279</v>
      </c>
      <c r="S1320" t="s">
        <v>280</v>
      </c>
      <c r="T1320" t="s">
        <v>1619</v>
      </c>
      <c r="U1320" t="s">
        <v>1620</v>
      </c>
      <c r="V1320" t="s">
        <v>246</v>
      </c>
      <c r="W1320" t="s">
        <v>244</v>
      </c>
      <c r="X1320" t="s">
        <v>1621</v>
      </c>
      <c r="Y1320" t="s">
        <v>191</v>
      </c>
      <c r="Z1320" t="s">
        <v>335</v>
      </c>
      <c r="AA1320" t="s">
        <v>337</v>
      </c>
      <c r="AB1320" t="s">
        <v>541</v>
      </c>
      <c r="AC1320" t="s">
        <v>542</v>
      </c>
      <c r="AD1320" t="s">
        <v>543</v>
      </c>
      <c r="AE1320" s="7">
        <v>69000</v>
      </c>
      <c r="AF1320" s="7">
        <v>1</v>
      </c>
      <c r="AG1320" s="7">
        <v>69000</v>
      </c>
      <c r="AH1320" s="7">
        <v>0</v>
      </c>
      <c r="AI1320" s="7">
        <v>69000</v>
      </c>
      <c r="AJ1320" t="s">
        <v>542</v>
      </c>
    </row>
    <row r="1321" spans="14:36" x14ac:dyDescent="0.3">
      <c r="N1321" s="8">
        <v>2026</v>
      </c>
      <c r="O1321" s="8">
        <v>5</v>
      </c>
      <c r="P1321" s="9">
        <v>46149</v>
      </c>
      <c r="Q1321" t="s">
        <v>238</v>
      </c>
      <c r="R1321" t="s">
        <v>279</v>
      </c>
      <c r="S1321" t="s">
        <v>280</v>
      </c>
      <c r="T1321" t="s">
        <v>1622</v>
      </c>
      <c r="U1321" t="s">
        <v>4050</v>
      </c>
      <c r="V1321" t="s">
        <v>246</v>
      </c>
      <c r="W1321" t="s">
        <v>244</v>
      </c>
      <c r="X1321" t="s">
        <v>1623</v>
      </c>
      <c r="Y1321" t="s">
        <v>191</v>
      </c>
      <c r="Z1321" t="s">
        <v>192</v>
      </c>
      <c r="AA1321" t="s">
        <v>193</v>
      </c>
      <c r="AB1321" t="s">
        <v>110</v>
      </c>
      <c r="AC1321" t="s">
        <v>108</v>
      </c>
      <c r="AD1321" t="s">
        <v>109</v>
      </c>
      <c r="AE1321" s="7">
        <v>235000</v>
      </c>
      <c r="AF1321" s="7">
        <v>1</v>
      </c>
      <c r="AG1321" s="7">
        <v>235000</v>
      </c>
      <c r="AH1321" s="7">
        <v>0</v>
      </c>
      <c r="AI1321" s="7">
        <v>235000</v>
      </c>
      <c r="AJ1321" t="s">
        <v>108</v>
      </c>
    </row>
    <row r="1322" spans="14:36" x14ac:dyDescent="0.3">
      <c r="N1322" s="8">
        <v>2026</v>
      </c>
      <c r="O1322" s="8">
        <v>5</v>
      </c>
      <c r="P1322" s="9">
        <v>46149</v>
      </c>
      <c r="Q1322" t="s">
        <v>238</v>
      </c>
      <c r="R1322" t="s">
        <v>279</v>
      </c>
      <c r="S1322" t="s">
        <v>280</v>
      </c>
      <c r="T1322" t="s">
        <v>1539</v>
      </c>
      <c r="U1322" t="s">
        <v>1540</v>
      </c>
      <c r="V1322" t="s">
        <v>246</v>
      </c>
      <c r="W1322" t="s">
        <v>244</v>
      </c>
      <c r="X1322" t="s">
        <v>1625</v>
      </c>
      <c r="Y1322" t="s">
        <v>191</v>
      </c>
      <c r="Z1322" t="s">
        <v>192</v>
      </c>
      <c r="AA1322" t="s">
        <v>193</v>
      </c>
      <c r="AB1322" t="s">
        <v>104</v>
      </c>
      <c r="AC1322" t="s">
        <v>102</v>
      </c>
      <c r="AD1322" t="s">
        <v>103</v>
      </c>
      <c r="AE1322" s="7">
        <v>235000</v>
      </c>
      <c r="AF1322" s="7">
        <v>1</v>
      </c>
      <c r="AG1322" s="7">
        <v>235000</v>
      </c>
      <c r="AH1322" s="7">
        <v>0</v>
      </c>
      <c r="AI1322" s="7">
        <v>235000</v>
      </c>
      <c r="AJ1322" t="s">
        <v>102</v>
      </c>
    </row>
    <row r="1323" spans="14:36" x14ac:dyDescent="0.3">
      <c r="N1323" s="8">
        <v>2026</v>
      </c>
      <c r="O1323" s="8">
        <v>5</v>
      </c>
      <c r="P1323" s="9">
        <v>46149</v>
      </c>
      <c r="Q1323" t="s">
        <v>238</v>
      </c>
      <c r="R1323" t="s">
        <v>303</v>
      </c>
      <c r="S1323" t="s">
        <v>304</v>
      </c>
      <c r="T1323" t="s">
        <v>1631</v>
      </c>
      <c r="U1323" t="s">
        <v>464</v>
      </c>
      <c r="V1323" t="s">
        <v>246</v>
      </c>
      <c r="W1323" t="s">
        <v>244</v>
      </c>
      <c r="X1323" t="s">
        <v>1632</v>
      </c>
      <c r="Y1323" t="s">
        <v>191</v>
      </c>
      <c r="Z1323" t="s">
        <v>192</v>
      </c>
      <c r="AA1323" t="s">
        <v>193</v>
      </c>
      <c r="AB1323" t="s">
        <v>113</v>
      </c>
      <c r="AC1323" t="s">
        <v>111</v>
      </c>
      <c r="AD1323" t="s">
        <v>112</v>
      </c>
      <c r="AE1323" s="7">
        <v>235000</v>
      </c>
      <c r="AF1323" s="7">
        <v>1</v>
      </c>
      <c r="AG1323" s="7">
        <v>235000</v>
      </c>
      <c r="AH1323" s="7">
        <v>0</v>
      </c>
      <c r="AI1323" s="7">
        <v>235000</v>
      </c>
      <c r="AJ1323" t="s">
        <v>111</v>
      </c>
    </row>
    <row r="1324" spans="14:36" x14ac:dyDescent="0.3">
      <c r="N1324" s="8">
        <v>2026</v>
      </c>
      <c r="O1324" s="8">
        <v>5</v>
      </c>
      <c r="P1324" s="9">
        <v>46149</v>
      </c>
      <c r="Q1324" t="s">
        <v>238</v>
      </c>
      <c r="R1324" t="s">
        <v>351</v>
      </c>
      <c r="S1324" t="s">
        <v>352</v>
      </c>
      <c r="T1324" t="s">
        <v>1173</v>
      </c>
      <c r="U1324" t="s">
        <v>1174</v>
      </c>
      <c r="V1324" t="s">
        <v>246</v>
      </c>
      <c r="W1324" t="s">
        <v>244</v>
      </c>
      <c r="X1324" t="s">
        <v>1633</v>
      </c>
      <c r="Y1324" t="s">
        <v>191</v>
      </c>
      <c r="Z1324" t="s">
        <v>335</v>
      </c>
      <c r="AA1324" t="s">
        <v>337</v>
      </c>
      <c r="AB1324" t="s">
        <v>656</v>
      </c>
      <c r="AC1324" t="s">
        <v>657</v>
      </c>
      <c r="AD1324" t="s">
        <v>658</v>
      </c>
      <c r="AE1324" s="7">
        <v>35000</v>
      </c>
      <c r="AF1324" s="7">
        <v>1</v>
      </c>
      <c r="AG1324" s="7">
        <v>35000</v>
      </c>
      <c r="AH1324" s="7">
        <v>0</v>
      </c>
      <c r="AI1324" s="7">
        <v>35000</v>
      </c>
      <c r="AJ1324" t="s">
        <v>657</v>
      </c>
    </row>
    <row r="1325" spans="14:36" x14ac:dyDescent="0.3">
      <c r="N1325" s="8">
        <v>2026</v>
      </c>
      <c r="O1325" s="8">
        <v>5</v>
      </c>
      <c r="P1325" s="9">
        <v>46149</v>
      </c>
      <c r="Q1325" t="s">
        <v>238</v>
      </c>
      <c r="R1325" t="s">
        <v>351</v>
      </c>
      <c r="S1325" t="s">
        <v>352</v>
      </c>
      <c r="T1325" t="s">
        <v>1173</v>
      </c>
      <c r="U1325" t="s">
        <v>1174</v>
      </c>
      <c r="V1325" t="s">
        <v>246</v>
      </c>
      <c r="W1325" t="s">
        <v>244</v>
      </c>
      <c r="X1325" t="s">
        <v>1633</v>
      </c>
      <c r="Y1325" t="s">
        <v>191</v>
      </c>
      <c r="Z1325" t="s">
        <v>335</v>
      </c>
      <c r="AA1325" t="s">
        <v>337</v>
      </c>
      <c r="AB1325" t="s">
        <v>348</v>
      </c>
      <c r="AC1325" t="s">
        <v>349</v>
      </c>
      <c r="AD1325" t="s">
        <v>350</v>
      </c>
      <c r="AE1325" s="7">
        <v>76000</v>
      </c>
      <c r="AF1325" s="7">
        <v>1</v>
      </c>
      <c r="AG1325" s="7">
        <v>76000</v>
      </c>
      <c r="AH1325" s="7">
        <v>0</v>
      </c>
      <c r="AI1325" s="7">
        <v>76000</v>
      </c>
      <c r="AJ1325" t="s">
        <v>349</v>
      </c>
    </row>
    <row r="1326" spans="14:36" x14ac:dyDescent="0.3">
      <c r="N1326" s="8">
        <v>2026</v>
      </c>
      <c r="O1326" s="8">
        <v>5</v>
      </c>
      <c r="P1326" s="9">
        <v>46149</v>
      </c>
      <c r="Q1326" t="s">
        <v>238</v>
      </c>
      <c r="R1326" t="s">
        <v>351</v>
      </c>
      <c r="S1326" t="s">
        <v>352</v>
      </c>
      <c r="T1326" t="s">
        <v>1634</v>
      </c>
      <c r="U1326" t="s">
        <v>4012</v>
      </c>
      <c r="V1326" t="s">
        <v>246</v>
      </c>
      <c r="W1326" t="s">
        <v>244</v>
      </c>
      <c r="X1326" t="s">
        <v>1635</v>
      </c>
      <c r="Y1326" t="s">
        <v>191</v>
      </c>
      <c r="Z1326" t="s">
        <v>192</v>
      </c>
      <c r="AA1326" t="s">
        <v>193</v>
      </c>
      <c r="AB1326" t="s">
        <v>119</v>
      </c>
      <c r="AC1326" t="s">
        <v>117</v>
      </c>
      <c r="AD1326" t="s">
        <v>118</v>
      </c>
      <c r="AE1326" s="7">
        <v>235000</v>
      </c>
      <c r="AF1326" s="7">
        <v>1</v>
      </c>
      <c r="AG1326" s="7">
        <v>235000</v>
      </c>
      <c r="AH1326" s="7">
        <v>0</v>
      </c>
      <c r="AI1326" s="7">
        <v>235000</v>
      </c>
      <c r="AJ1326" t="s">
        <v>117</v>
      </c>
    </row>
    <row r="1327" spans="14:36" x14ac:dyDescent="0.3">
      <c r="N1327" s="8">
        <v>2026</v>
      </c>
      <c r="O1327" s="8">
        <v>5</v>
      </c>
      <c r="P1327" s="9">
        <v>46149</v>
      </c>
      <c r="Q1327" t="s">
        <v>238</v>
      </c>
      <c r="R1327" t="s">
        <v>351</v>
      </c>
      <c r="S1327" t="s">
        <v>352</v>
      </c>
      <c r="T1327" t="s">
        <v>1636</v>
      </c>
      <c r="U1327" t="s">
        <v>4051</v>
      </c>
      <c r="V1327" t="s">
        <v>246</v>
      </c>
      <c r="W1327" t="s">
        <v>244</v>
      </c>
      <c r="X1327" t="s">
        <v>1637</v>
      </c>
      <c r="Y1327" t="s">
        <v>191</v>
      </c>
      <c r="Z1327" t="s">
        <v>192</v>
      </c>
      <c r="AA1327" t="s">
        <v>193</v>
      </c>
      <c r="AB1327" t="s">
        <v>110</v>
      </c>
      <c r="AC1327" t="s">
        <v>108</v>
      </c>
      <c r="AD1327" t="s">
        <v>109</v>
      </c>
      <c r="AE1327" s="7">
        <v>235000</v>
      </c>
      <c r="AF1327" s="7">
        <v>1</v>
      </c>
      <c r="AG1327" s="7">
        <v>235000</v>
      </c>
      <c r="AH1327" s="7">
        <v>0</v>
      </c>
      <c r="AI1327" s="7">
        <v>235000</v>
      </c>
      <c r="AJ1327" t="s">
        <v>108</v>
      </c>
    </row>
    <row r="1328" spans="14:36" x14ac:dyDescent="0.3">
      <c r="N1328" s="8">
        <v>2026</v>
      </c>
      <c r="O1328" s="8">
        <v>5</v>
      </c>
      <c r="P1328" s="9">
        <v>46149</v>
      </c>
      <c r="Q1328" t="s">
        <v>238</v>
      </c>
      <c r="R1328" t="s">
        <v>374</v>
      </c>
      <c r="S1328" t="s">
        <v>375</v>
      </c>
      <c r="T1328" t="s">
        <v>1638</v>
      </c>
      <c r="U1328" t="s">
        <v>4043</v>
      </c>
      <c r="V1328" t="s">
        <v>246</v>
      </c>
      <c r="W1328" t="s">
        <v>244</v>
      </c>
      <c r="X1328" t="s">
        <v>1639</v>
      </c>
      <c r="Y1328" t="s">
        <v>183</v>
      </c>
      <c r="Z1328" t="s">
        <v>186</v>
      </c>
      <c r="AA1328" t="s">
        <v>187</v>
      </c>
      <c r="AB1328" t="s">
        <v>152</v>
      </c>
      <c r="AC1328" t="s">
        <v>150</v>
      </c>
      <c r="AD1328" t="s">
        <v>1382</v>
      </c>
      <c r="AE1328" s="7">
        <v>199000</v>
      </c>
      <c r="AF1328" s="7">
        <v>1</v>
      </c>
      <c r="AG1328" s="7">
        <v>199000</v>
      </c>
      <c r="AH1328" s="7">
        <v>9950</v>
      </c>
      <c r="AI1328" s="7">
        <v>189050</v>
      </c>
      <c r="AJ1328" t="s">
        <v>150</v>
      </c>
    </row>
    <row r="1329" spans="14:36" x14ac:dyDescent="0.3">
      <c r="N1329" s="8">
        <v>2026</v>
      </c>
      <c r="O1329" s="8">
        <v>5</v>
      </c>
      <c r="P1329" s="9">
        <v>46149</v>
      </c>
      <c r="Q1329" t="s">
        <v>238</v>
      </c>
      <c r="R1329" t="s">
        <v>374</v>
      </c>
      <c r="S1329" t="s">
        <v>375</v>
      </c>
      <c r="T1329" t="s">
        <v>870</v>
      </c>
      <c r="U1329" t="s">
        <v>871</v>
      </c>
      <c r="V1329" t="s">
        <v>246</v>
      </c>
      <c r="W1329" t="s">
        <v>244</v>
      </c>
      <c r="X1329" t="s">
        <v>1640</v>
      </c>
      <c r="Y1329" t="s">
        <v>191</v>
      </c>
      <c r="Z1329" t="s">
        <v>335</v>
      </c>
      <c r="AA1329" t="s">
        <v>337</v>
      </c>
      <c r="AB1329" t="s">
        <v>719</v>
      </c>
      <c r="AC1329" t="s">
        <v>720</v>
      </c>
      <c r="AD1329" t="s">
        <v>721</v>
      </c>
      <c r="AE1329" s="7">
        <v>104000</v>
      </c>
      <c r="AF1329" s="7">
        <v>1</v>
      </c>
      <c r="AG1329" s="7">
        <v>104000</v>
      </c>
      <c r="AH1329" s="7">
        <v>0</v>
      </c>
      <c r="AI1329" s="7">
        <v>104000</v>
      </c>
      <c r="AJ1329" t="s">
        <v>720</v>
      </c>
    </row>
    <row r="1330" spans="14:36" x14ac:dyDescent="0.3">
      <c r="N1330" s="8">
        <v>2026</v>
      </c>
      <c r="O1330" s="8">
        <v>5</v>
      </c>
      <c r="P1330" s="9">
        <v>46149</v>
      </c>
      <c r="Q1330" t="s">
        <v>238</v>
      </c>
      <c r="R1330" t="s">
        <v>374</v>
      </c>
      <c r="S1330" t="s">
        <v>375</v>
      </c>
      <c r="T1330" t="s">
        <v>1641</v>
      </c>
      <c r="U1330" t="s">
        <v>4052</v>
      </c>
      <c r="V1330" t="s">
        <v>249</v>
      </c>
      <c r="W1330" t="s">
        <v>244</v>
      </c>
      <c r="X1330" t="s">
        <v>1642</v>
      </c>
      <c r="Y1330" t="s">
        <v>183</v>
      </c>
      <c r="Z1330" t="s">
        <v>189</v>
      </c>
      <c r="AA1330" t="s">
        <v>190</v>
      </c>
      <c r="AB1330" t="s">
        <v>92</v>
      </c>
      <c r="AC1330" t="s">
        <v>90</v>
      </c>
      <c r="AD1330" t="s">
        <v>91</v>
      </c>
      <c r="AE1330" s="7">
        <v>52000</v>
      </c>
      <c r="AF1330" s="7">
        <v>1</v>
      </c>
      <c r="AG1330" s="7">
        <v>52000</v>
      </c>
      <c r="AH1330" s="7">
        <v>0</v>
      </c>
      <c r="AI1330" s="7">
        <v>52000</v>
      </c>
      <c r="AJ1330" t="s">
        <v>90</v>
      </c>
    </row>
    <row r="1331" spans="14:36" x14ac:dyDescent="0.3">
      <c r="N1331" s="8">
        <v>2026</v>
      </c>
      <c r="O1331" s="8">
        <v>5</v>
      </c>
      <c r="P1331" s="9">
        <v>46149</v>
      </c>
      <c r="Q1331" t="s">
        <v>238</v>
      </c>
      <c r="R1331" t="s">
        <v>374</v>
      </c>
      <c r="S1331" t="s">
        <v>375</v>
      </c>
      <c r="T1331" t="s">
        <v>1641</v>
      </c>
      <c r="U1331" t="s">
        <v>4052</v>
      </c>
      <c r="V1331" t="s">
        <v>249</v>
      </c>
      <c r="W1331" t="s">
        <v>244</v>
      </c>
      <c r="X1331" t="s">
        <v>1642</v>
      </c>
      <c r="Y1331" t="s">
        <v>183</v>
      </c>
      <c r="Z1331" t="s">
        <v>184</v>
      </c>
      <c r="AA1331" t="s">
        <v>185</v>
      </c>
      <c r="AB1331" t="s">
        <v>53</v>
      </c>
      <c r="AC1331" t="s">
        <v>51</v>
      </c>
      <c r="AD1331" t="s">
        <v>52</v>
      </c>
      <c r="AE1331" s="7">
        <v>45000</v>
      </c>
      <c r="AF1331" s="7">
        <v>1</v>
      </c>
      <c r="AG1331" s="7">
        <v>45000</v>
      </c>
      <c r="AH1331" s="7">
        <v>0</v>
      </c>
      <c r="AI1331" s="7">
        <v>45000</v>
      </c>
      <c r="AJ1331" t="s">
        <v>51</v>
      </c>
    </row>
    <row r="1332" spans="14:36" x14ac:dyDescent="0.3">
      <c r="N1332" s="8">
        <v>2026</v>
      </c>
      <c r="O1332" s="8">
        <v>5</v>
      </c>
      <c r="P1332" s="9">
        <v>46149</v>
      </c>
      <c r="Q1332" t="s">
        <v>238</v>
      </c>
      <c r="R1332" t="s">
        <v>374</v>
      </c>
      <c r="S1332" t="s">
        <v>375</v>
      </c>
      <c r="T1332" t="s">
        <v>1641</v>
      </c>
      <c r="U1332" t="s">
        <v>4052</v>
      </c>
      <c r="V1332" t="s">
        <v>249</v>
      </c>
      <c r="W1332" t="s">
        <v>244</v>
      </c>
      <c r="X1332" t="s">
        <v>1642</v>
      </c>
      <c r="Y1332" t="s">
        <v>191</v>
      </c>
      <c r="Z1332" t="s">
        <v>192</v>
      </c>
      <c r="AA1332" t="s">
        <v>193</v>
      </c>
      <c r="AB1332" t="s">
        <v>110</v>
      </c>
      <c r="AC1332" t="s">
        <v>108</v>
      </c>
      <c r="AD1332" t="s">
        <v>109</v>
      </c>
      <c r="AE1332" s="7">
        <v>235000</v>
      </c>
      <c r="AF1332" s="7">
        <v>1</v>
      </c>
      <c r="AG1332" s="7">
        <v>235000</v>
      </c>
      <c r="AH1332" s="7">
        <v>0</v>
      </c>
      <c r="AI1332" s="7">
        <v>235000</v>
      </c>
      <c r="AJ1332" t="s">
        <v>108</v>
      </c>
    </row>
    <row r="1333" spans="14:36" x14ac:dyDescent="0.3">
      <c r="N1333" s="8">
        <v>2026</v>
      </c>
      <c r="O1333" s="8">
        <v>5</v>
      </c>
      <c r="P1333" s="9">
        <v>46149</v>
      </c>
      <c r="Q1333" t="s">
        <v>238</v>
      </c>
      <c r="R1333" t="s">
        <v>396</v>
      </c>
      <c r="S1333" t="s">
        <v>397</v>
      </c>
      <c r="T1333" t="s">
        <v>1097</v>
      </c>
      <c r="U1333" t="s">
        <v>323</v>
      </c>
      <c r="V1333" t="s">
        <v>246</v>
      </c>
      <c r="W1333" t="s">
        <v>244</v>
      </c>
      <c r="X1333" t="s">
        <v>1643</v>
      </c>
      <c r="Y1333" t="s">
        <v>168</v>
      </c>
      <c r="Z1333" t="s">
        <v>171</v>
      </c>
      <c r="AA1333" t="s">
        <v>173</v>
      </c>
      <c r="AB1333" t="s">
        <v>29</v>
      </c>
      <c r="AC1333" t="s">
        <v>27</v>
      </c>
      <c r="AD1333" t="s">
        <v>28</v>
      </c>
      <c r="AE1333" s="7">
        <v>575000</v>
      </c>
      <c r="AF1333" s="7">
        <v>1</v>
      </c>
      <c r="AG1333" s="7">
        <v>575000</v>
      </c>
      <c r="AH1333" s="7">
        <v>0</v>
      </c>
      <c r="AI1333" s="7">
        <v>575000</v>
      </c>
      <c r="AJ1333" t="s">
        <v>27</v>
      </c>
    </row>
    <row r="1334" spans="14:36" x14ac:dyDescent="0.3">
      <c r="N1334" s="8">
        <v>2026</v>
      </c>
      <c r="O1334" s="8">
        <v>5</v>
      </c>
      <c r="P1334" s="9">
        <v>46149</v>
      </c>
      <c r="Q1334" t="s">
        <v>238</v>
      </c>
      <c r="R1334" t="s">
        <v>415</v>
      </c>
      <c r="S1334" t="s">
        <v>416</v>
      </c>
      <c r="T1334" t="s">
        <v>1105</v>
      </c>
      <c r="U1334" t="s">
        <v>3666</v>
      </c>
      <c r="V1334" t="s">
        <v>246</v>
      </c>
      <c r="W1334" t="s">
        <v>244</v>
      </c>
      <c r="X1334" t="s">
        <v>1647</v>
      </c>
      <c r="Y1334" t="s">
        <v>183</v>
      </c>
      <c r="Z1334" t="s">
        <v>186</v>
      </c>
      <c r="AA1334" t="s">
        <v>188</v>
      </c>
      <c r="AB1334" t="s">
        <v>98</v>
      </c>
      <c r="AC1334" t="s">
        <v>96</v>
      </c>
      <c r="AD1334" t="s">
        <v>97</v>
      </c>
      <c r="AE1334" s="7">
        <v>239000</v>
      </c>
      <c r="AF1334" s="7">
        <v>2</v>
      </c>
      <c r="AG1334" s="7">
        <v>478000</v>
      </c>
      <c r="AH1334" s="7">
        <v>23900</v>
      </c>
      <c r="AI1334" s="7">
        <v>454100</v>
      </c>
      <c r="AJ1334" t="s">
        <v>96</v>
      </c>
    </row>
    <row r="1335" spans="14:36" x14ac:dyDescent="0.3">
      <c r="N1335" s="8">
        <v>2026</v>
      </c>
      <c r="O1335" s="8">
        <v>5</v>
      </c>
      <c r="P1335" s="9">
        <v>46148</v>
      </c>
      <c r="Q1335" t="s">
        <v>238</v>
      </c>
      <c r="R1335" t="s">
        <v>239</v>
      </c>
      <c r="S1335" t="s">
        <v>240</v>
      </c>
      <c r="T1335" t="s">
        <v>435</v>
      </c>
      <c r="U1335" t="s">
        <v>436</v>
      </c>
      <c r="V1335" t="s">
        <v>246</v>
      </c>
      <c r="W1335" t="s">
        <v>244</v>
      </c>
      <c r="X1335" t="s">
        <v>1648</v>
      </c>
      <c r="Y1335" t="s">
        <v>194</v>
      </c>
      <c r="Z1335" t="s">
        <v>195</v>
      </c>
      <c r="AA1335" t="s">
        <v>196</v>
      </c>
      <c r="AB1335" t="s">
        <v>56</v>
      </c>
      <c r="AC1335" t="s">
        <v>54</v>
      </c>
      <c r="AD1335" t="s">
        <v>55</v>
      </c>
      <c r="AE1335" s="7">
        <v>295000</v>
      </c>
      <c r="AF1335" s="7">
        <v>1</v>
      </c>
      <c r="AG1335" s="7">
        <v>295000</v>
      </c>
      <c r="AH1335" s="7">
        <v>0</v>
      </c>
      <c r="AI1335" s="7">
        <v>295000</v>
      </c>
      <c r="AJ1335" t="s">
        <v>54</v>
      </c>
    </row>
    <row r="1336" spans="14:36" x14ac:dyDescent="0.3">
      <c r="N1336" s="8">
        <v>2026</v>
      </c>
      <c r="O1336" s="8">
        <v>5</v>
      </c>
      <c r="P1336" s="9">
        <v>46148</v>
      </c>
      <c r="Q1336" t="s">
        <v>238</v>
      </c>
      <c r="R1336" t="s">
        <v>303</v>
      </c>
      <c r="S1336" t="s">
        <v>304</v>
      </c>
      <c r="T1336" t="s">
        <v>1649</v>
      </c>
      <c r="U1336" t="s">
        <v>1650</v>
      </c>
      <c r="V1336" t="s">
        <v>246</v>
      </c>
      <c r="W1336" t="s">
        <v>244</v>
      </c>
      <c r="X1336" t="s">
        <v>1651</v>
      </c>
      <c r="Y1336" t="s">
        <v>191</v>
      </c>
      <c r="Z1336" t="s">
        <v>192</v>
      </c>
      <c r="AA1336" t="s">
        <v>193</v>
      </c>
      <c r="AB1336" t="s">
        <v>104</v>
      </c>
      <c r="AC1336" t="s">
        <v>102</v>
      </c>
      <c r="AD1336" t="s">
        <v>103</v>
      </c>
      <c r="AE1336" s="7">
        <v>235000</v>
      </c>
      <c r="AF1336" s="7">
        <v>1</v>
      </c>
      <c r="AG1336" s="7">
        <v>235000</v>
      </c>
      <c r="AH1336" s="7">
        <v>0</v>
      </c>
      <c r="AI1336" s="7">
        <v>235000</v>
      </c>
      <c r="AJ1336" t="s">
        <v>102</v>
      </c>
    </row>
    <row r="1337" spans="14:36" x14ac:dyDescent="0.3">
      <c r="N1337" s="8">
        <v>2026</v>
      </c>
      <c r="O1337" s="8">
        <v>5</v>
      </c>
      <c r="P1337" s="9">
        <v>46148</v>
      </c>
      <c r="Q1337" t="s">
        <v>238</v>
      </c>
      <c r="R1337" t="s">
        <v>303</v>
      </c>
      <c r="S1337" t="s">
        <v>304</v>
      </c>
      <c r="T1337" t="s">
        <v>1652</v>
      </c>
      <c r="U1337" t="s">
        <v>645</v>
      </c>
      <c r="V1337" t="s">
        <v>246</v>
      </c>
      <c r="W1337" t="s">
        <v>244</v>
      </c>
      <c r="X1337" t="s">
        <v>1653</v>
      </c>
      <c r="Y1337" t="s">
        <v>191</v>
      </c>
      <c r="Z1337" t="s">
        <v>335</v>
      </c>
      <c r="AA1337" t="s">
        <v>336</v>
      </c>
      <c r="AB1337" t="s">
        <v>1518</v>
      </c>
      <c r="AC1337" t="s">
        <v>1519</v>
      </c>
      <c r="AD1337" t="s">
        <v>1520</v>
      </c>
      <c r="AE1337" s="7">
        <v>99000</v>
      </c>
      <c r="AF1337" s="7">
        <v>1</v>
      </c>
      <c r="AG1337" s="7">
        <v>99000</v>
      </c>
      <c r="AH1337" s="7">
        <v>44550</v>
      </c>
      <c r="AI1337" s="7">
        <v>54450</v>
      </c>
      <c r="AJ1337" t="s">
        <v>1519</v>
      </c>
    </row>
    <row r="1338" spans="14:36" x14ac:dyDescent="0.3">
      <c r="N1338" s="8">
        <v>2026</v>
      </c>
      <c r="O1338" s="8">
        <v>5</v>
      </c>
      <c r="P1338" s="9">
        <v>46148</v>
      </c>
      <c r="Q1338" t="s">
        <v>238</v>
      </c>
      <c r="R1338" t="s">
        <v>303</v>
      </c>
      <c r="S1338" t="s">
        <v>304</v>
      </c>
      <c r="T1338" t="s">
        <v>1654</v>
      </c>
      <c r="U1338" t="s">
        <v>1655</v>
      </c>
      <c r="V1338" t="s">
        <v>246</v>
      </c>
      <c r="W1338" t="s">
        <v>244</v>
      </c>
      <c r="X1338" t="s">
        <v>1656</v>
      </c>
      <c r="Y1338" t="s">
        <v>191</v>
      </c>
      <c r="Z1338" t="s">
        <v>335</v>
      </c>
      <c r="AA1338" t="s">
        <v>336</v>
      </c>
      <c r="AB1338" t="s">
        <v>1146</v>
      </c>
      <c r="AC1338" t="s">
        <v>1147</v>
      </c>
      <c r="AD1338" t="s">
        <v>1148</v>
      </c>
      <c r="AE1338" s="7">
        <v>99000</v>
      </c>
      <c r="AF1338" s="7">
        <v>1</v>
      </c>
      <c r="AG1338" s="7">
        <v>99000</v>
      </c>
      <c r="AH1338" s="7">
        <v>44550</v>
      </c>
      <c r="AI1338" s="7">
        <v>54450</v>
      </c>
      <c r="AJ1338" t="s">
        <v>1147</v>
      </c>
    </row>
    <row r="1339" spans="14:36" x14ac:dyDescent="0.3">
      <c r="N1339" s="8">
        <v>2026</v>
      </c>
      <c r="O1339" s="8">
        <v>5</v>
      </c>
      <c r="P1339" s="9">
        <v>46148</v>
      </c>
      <c r="Q1339" t="s">
        <v>238</v>
      </c>
      <c r="R1339" t="s">
        <v>303</v>
      </c>
      <c r="S1339" t="s">
        <v>304</v>
      </c>
      <c r="T1339" t="s">
        <v>1167</v>
      </c>
      <c r="U1339" t="s">
        <v>1168</v>
      </c>
      <c r="V1339" t="s">
        <v>246</v>
      </c>
      <c r="W1339" t="s">
        <v>244</v>
      </c>
      <c r="X1339" t="s">
        <v>1658</v>
      </c>
      <c r="Y1339" t="s">
        <v>191</v>
      </c>
      <c r="Z1339" t="s">
        <v>335</v>
      </c>
      <c r="AA1339" t="s">
        <v>336</v>
      </c>
      <c r="AB1339" t="s">
        <v>1146</v>
      </c>
      <c r="AC1339" t="s">
        <v>1147</v>
      </c>
      <c r="AD1339" t="s">
        <v>1148</v>
      </c>
      <c r="AE1339" s="7">
        <v>99000</v>
      </c>
      <c r="AF1339" s="7">
        <v>1</v>
      </c>
      <c r="AG1339" s="7">
        <v>99000</v>
      </c>
      <c r="AH1339" s="7">
        <v>44550</v>
      </c>
      <c r="AI1339" s="7">
        <v>54450</v>
      </c>
      <c r="AJ1339" t="s">
        <v>1147</v>
      </c>
    </row>
    <row r="1340" spans="14:36" x14ac:dyDescent="0.3">
      <c r="N1340" s="8">
        <v>2026</v>
      </c>
      <c r="O1340" s="8">
        <v>5</v>
      </c>
      <c r="P1340" s="9">
        <v>46148</v>
      </c>
      <c r="Q1340" t="s">
        <v>238</v>
      </c>
      <c r="R1340" t="s">
        <v>374</v>
      </c>
      <c r="S1340" t="s">
        <v>375</v>
      </c>
      <c r="T1340" t="s">
        <v>376</v>
      </c>
      <c r="U1340" t="s">
        <v>377</v>
      </c>
      <c r="V1340" t="s">
        <v>243</v>
      </c>
      <c r="W1340" t="s">
        <v>244</v>
      </c>
      <c r="X1340" t="s">
        <v>1659</v>
      </c>
      <c r="Y1340" t="s">
        <v>191</v>
      </c>
      <c r="Z1340" t="s">
        <v>192</v>
      </c>
      <c r="AA1340" t="s">
        <v>193</v>
      </c>
      <c r="AB1340" t="s">
        <v>104</v>
      </c>
      <c r="AC1340" t="s">
        <v>102</v>
      </c>
      <c r="AD1340" t="s">
        <v>103</v>
      </c>
      <c r="AE1340" s="7">
        <v>235000</v>
      </c>
      <c r="AF1340" s="7">
        <v>1</v>
      </c>
      <c r="AG1340" s="7">
        <v>235000</v>
      </c>
      <c r="AH1340" s="7">
        <v>0</v>
      </c>
      <c r="AI1340" s="7">
        <v>235000</v>
      </c>
      <c r="AJ1340" t="s">
        <v>102</v>
      </c>
    </row>
    <row r="1341" spans="14:36" x14ac:dyDescent="0.3">
      <c r="N1341" s="8">
        <v>2026</v>
      </c>
      <c r="O1341" s="8">
        <v>5</v>
      </c>
      <c r="P1341" s="9">
        <v>46148</v>
      </c>
      <c r="Q1341" t="s">
        <v>238</v>
      </c>
      <c r="R1341" t="s">
        <v>374</v>
      </c>
      <c r="S1341" t="s">
        <v>375</v>
      </c>
      <c r="T1341" t="s">
        <v>376</v>
      </c>
      <c r="U1341" t="s">
        <v>377</v>
      </c>
      <c r="V1341" t="s">
        <v>243</v>
      </c>
      <c r="W1341" t="s">
        <v>244</v>
      </c>
      <c r="X1341" t="s">
        <v>1660</v>
      </c>
      <c r="Y1341" t="s">
        <v>194</v>
      </c>
      <c r="Z1341" t="s">
        <v>200</v>
      </c>
      <c r="AA1341" t="s">
        <v>201</v>
      </c>
      <c r="AB1341" t="s">
        <v>80</v>
      </c>
      <c r="AC1341" t="s">
        <v>78</v>
      </c>
      <c r="AD1341" t="s">
        <v>79</v>
      </c>
      <c r="AE1341" s="7">
        <v>14000</v>
      </c>
      <c r="AF1341" s="7">
        <v>1</v>
      </c>
      <c r="AG1341" s="7">
        <v>14000</v>
      </c>
      <c r="AH1341" s="7">
        <v>0</v>
      </c>
      <c r="AI1341" s="7">
        <v>14000</v>
      </c>
      <c r="AJ1341" t="s">
        <v>78</v>
      </c>
    </row>
    <row r="1342" spans="14:36" x14ac:dyDescent="0.3">
      <c r="N1342" s="8">
        <v>2026</v>
      </c>
      <c r="O1342" s="8">
        <v>5</v>
      </c>
      <c r="P1342" s="9">
        <v>46148</v>
      </c>
      <c r="Q1342" t="s">
        <v>238</v>
      </c>
      <c r="R1342" t="s">
        <v>374</v>
      </c>
      <c r="S1342" t="s">
        <v>375</v>
      </c>
      <c r="T1342" t="s">
        <v>1661</v>
      </c>
      <c r="U1342" t="s">
        <v>4053</v>
      </c>
      <c r="V1342" t="s">
        <v>249</v>
      </c>
      <c r="W1342" t="s">
        <v>244</v>
      </c>
      <c r="X1342" t="s">
        <v>1662</v>
      </c>
      <c r="Y1342" t="s">
        <v>168</v>
      </c>
      <c r="Z1342" t="s">
        <v>171</v>
      </c>
      <c r="AA1342" t="s">
        <v>172</v>
      </c>
      <c r="AB1342" t="s">
        <v>14</v>
      </c>
      <c r="AC1342" t="s">
        <v>12</v>
      </c>
      <c r="AD1342" t="s">
        <v>13</v>
      </c>
      <c r="AE1342" s="7">
        <v>135000</v>
      </c>
      <c r="AF1342" s="7">
        <v>2</v>
      </c>
      <c r="AG1342" s="7">
        <v>270000</v>
      </c>
      <c r="AH1342" s="7">
        <v>0</v>
      </c>
      <c r="AI1342" s="7">
        <v>270000</v>
      </c>
      <c r="AJ1342" t="s">
        <v>12</v>
      </c>
    </row>
    <row r="1343" spans="14:36" x14ac:dyDescent="0.3">
      <c r="N1343" s="8">
        <v>2026</v>
      </c>
      <c r="O1343" s="8">
        <v>5</v>
      </c>
      <c r="P1343" s="9">
        <v>46148</v>
      </c>
      <c r="Q1343" t="s">
        <v>238</v>
      </c>
      <c r="R1343" t="s">
        <v>396</v>
      </c>
      <c r="S1343" t="s">
        <v>397</v>
      </c>
      <c r="T1343" t="s">
        <v>1665</v>
      </c>
      <c r="U1343" t="s">
        <v>859</v>
      </c>
      <c r="V1343" t="s">
        <v>246</v>
      </c>
      <c r="W1343" t="s">
        <v>244</v>
      </c>
      <c r="X1343" t="s">
        <v>1666</v>
      </c>
      <c r="Y1343" t="s">
        <v>191</v>
      </c>
      <c r="Z1343" t="s">
        <v>335</v>
      </c>
      <c r="AA1343" t="s">
        <v>337</v>
      </c>
      <c r="AB1343" t="s">
        <v>348</v>
      </c>
      <c r="AC1343" t="s">
        <v>349</v>
      </c>
      <c r="AD1343" t="s">
        <v>350</v>
      </c>
      <c r="AE1343" s="7">
        <v>76000</v>
      </c>
      <c r="AF1343" s="7">
        <v>1</v>
      </c>
      <c r="AG1343" s="7">
        <v>76000</v>
      </c>
      <c r="AH1343" s="7">
        <v>0</v>
      </c>
      <c r="AI1343" s="7">
        <v>76000</v>
      </c>
      <c r="AJ1343" t="s">
        <v>349</v>
      </c>
    </row>
    <row r="1344" spans="14:36" x14ac:dyDescent="0.3">
      <c r="N1344" s="8">
        <v>2026</v>
      </c>
      <c r="O1344" s="8">
        <v>5</v>
      </c>
      <c r="P1344" s="9">
        <v>46148</v>
      </c>
      <c r="Q1344" t="s">
        <v>238</v>
      </c>
      <c r="R1344" t="s">
        <v>396</v>
      </c>
      <c r="S1344" t="s">
        <v>397</v>
      </c>
      <c r="T1344" t="s">
        <v>1669</v>
      </c>
      <c r="U1344" t="s">
        <v>1670</v>
      </c>
      <c r="V1344" t="s">
        <v>246</v>
      </c>
      <c r="W1344" t="s">
        <v>244</v>
      </c>
      <c r="X1344" t="s">
        <v>1671</v>
      </c>
      <c r="Y1344" t="s">
        <v>191</v>
      </c>
      <c r="Z1344" t="s">
        <v>192</v>
      </c>
      <c r="AA1344" t="s">
        <v>193</v>
      </c>
      <c r="AB1344" t="s">
        <v>110</v>
      </c>
      <c r="AC1344" t="s">
        <v>108</v>
      </c>
      <c r="AD1344" t="s">
        <v>109</v>
      </c>
      <c r="AE1344" s="7">
        <v>235000</v>
      </c>
      <c r="AF1344" s="7">
        <v>1</v>
      </c>
      <c r="AG1344" s="7">
        <v>235000</v>
      </c>
      <c r="AH1344" s="7">
        <v>0</v>
      </c>
      <c r="AI1344" s="7">
        <v>235000</v>
      </c>
      <c r="AJ1344" t="s">
        <v>108</v>
      </c>
    </row>
    <row r="1345" spans="14:36" x14ac:dyDescent="0.3">
      <c r="N1345" s="8">
        <v>2026</v>
      </c>
      <c r="O1345" s="8">
        <v>5</v>
      </c>
      <c r="P1345" s="9">
        <v>46148</v>
      </c>
      <c r="Q1345" t="s">
        <v>238</v>
      </c>
      <c r="R1345" t="s">
        <v>396</v>
      </c>
      <c r="S1345" t="s">
        <v>397</v>
      </c>
      <c r="T1345" t="s">
        <v>1672</v>
      </c>
      <c r="U1345" t="s">
        <v>4054</v>
      </c>
      <c r="V1345" t="s">
        <v>249</v>
      </c>
      <c r="W1345" t="s">
        <v>244</v>
      </c>
      <c r="X1345" t="s">
        <v>1673</v>
      </c>
      <c r="Y1345" t="s">
        <v>191</v>
      </c>
      <c r="Z1345" t="s">
        <v>335</v>
      </c>
      <c r="AA1345" t="s">
        <v>336</v>
      </c>
      <c r="AB1345" t="s">
        <v>1518</v>
      </c>
      <c r="AC1345" t="s">
        <v>1519</v>
      </c>
      <c r="AD1345" t="s">
        <v>1520</v>
      </c>
      <c r="AE1345" s="7">
        <v>99000</v>
      </c>
      <c r="AF1345" s="7">
        <v>1</v>
      </c>
      <c r="AG1345" s="7">
        <v>99000</v>
      </c>
      <c r="AH1345" s="7">
        <v>44550</v>
      </c>
      <c r="AI1345" s="7">
        <v>54450</v>
      </c>
      <c r="AJ1345" t="s">
        <v>1519</v>
      </c>
    </row>
    <row r="1346" spans="14:36" x14ac:dyDescent="0.3">
      <c r="N1346" s="8">
        <v>2026</v>
      </c>
      <c r="O1346" s="8">
        <v>5</v>
      </c>
      <c r="P1346" s="9">
        <v>46148</v>
      </c>
      <c r="Q1346" t="s">
        <v>238</v>
      </c>
      <c r="R1346" t="s">
        <v>425</v>
      </c>
      <c r="S1346" t="s">
        <v>426</v>
      </c>
      <c r="T1346" t="s">
        <v>1675</v>
      </c>
      <c r="U1346" t="s">
        <v>523</v>
      </c>
      <c r="V1346" t="s">
        <v>246</v>
      </c>
      <c r="W1346" t="s">
        <v>244</v>
      </c>
      <c r="X1346" t="s">
        <v>1676</v>
      </c>
      <c r="Y1346" t="s">
        <v>191</v>
      </c>
      <c r="Z1346" t="s">
        <v>335</v>
      </c>
      <c r="AA1346" t="s">
        <v>336</v>
      </c>
      <c r="AB1346" t="s">
        <v>1146</v>
      </c>
      <c r="AC1346" t="s">
        <v>1147</v>
      </c>
      <c r="AD1346" t="s">
        <v>1148</v>
      </c>
      <c r="AE1346" s="7">
        <v>99000</v>
      </c>
      <c r="AF1346" s="7">
        <v>1</v>
      </c>
      <c r="AG1346" s="7">
        <v>99000</v>
      </c>
      <c r="AH1346" s="7">
        <v>44550</v>
      </c>
      <c r="AI1346" s="7">
        <v>54450</v>
      </c>
      <c r="AJ1346" t="s">
        <v>1147</v>
      </c>
    </row>
    <row r="1347" spans="14:36" x14ac:dyDescent="0.3">
      <c r="N1347" s="8">
        <v>2026</v>
      </c>
      <c r="O1347" s="8">
        <v>5</v>
      </c>
      <c r="P1347" s="9">
        <v>46148</v>
      </c>
      <c r="Q1347" t="s">
        <v>238</v>
      </c>
      <c r="R1347" t="s">
        <v>425</v>
      </c>
      <c r="S1347" t="s">
        <v>426</v>
      </c>
      <c r="T1347" t="s">
        <v>1677</v>
      </c>
      <c r="U1347" t="s">
        <v>3986</v>
      </c>
      <c r="V1347" t="s">
        <v>246</v>
      </c>
      <c r="W1347" t="s">
        <v>244</v>
      </c>
      <c r="X1347" t="s">
        <v>1678</v>
      </c>
      <c r="Y1347" t="s">
        <v>168</v>
      </c>
      <c r="Z1347" t="s">
        <v>171</v>
      </c>
      <c r="AA1347" t="s">
        <v>173</v>
      </c>
      <c r="AB1347" t="s">
        <v>29</v>
      </c>
      <c r="AC1347" t="s">
        <v>27</v>
      </c>
      <c r="AD1347" t="s">
        <v>28</v>
      </c>
      <c r="AE1347" s="7">
        <v>575000</v>
      </c>
      <c r="AF1347" s="7">
        <v>1</v>
      </c>
      <c r="AG1347" s="7">
        <v>575000</v>
      </c>
      <c r="AH1347" s="7">
        <v>0</v>
      </c>
      <c r="AI1347" s="7">
        <v>575000</v>
      </c>
      <c r="AJ1347" t="s">
        <v>27</v>
      </c>
    </row>
    <row r="1348" spans="14:36" x14ac:dyDescent="0.3">
      <c r="N1348" s="8">
        <v>2026</v>
      </c>
      <c r="O1348" s="8">
        <v>5</v>
      </c>
      <c r="P1348" s="9">
        <v>46148</v>
      </c>
      <c r="Q1348" t="s">
        <v>238</v>
      </c>
      <c r="R1348" t="s">
        <v>425</v>
      </c>
      <c r="S1348" t="s">
        <v>426</v>
      </c>
      <c r="T1348" t="s">
        <v>1680</v>
      </c>
      <c r="U1348" t="s">
        <v>4055</v>
      </c>
      <c r="V1348" t="s">
        <v>246</v>
      </c>
      <c r="W1348" t="s">
        <v>244</v>
      </c>
      <c r="X1348" t="s">
        <v>1681</v>
      </c>
      <c r="Y1348" t="s">
        <v>191</v>
      </c>
      <c r="Z1348" t="s">
        <v>335</v>
      </c>
      <c r="AA1348" t="s">
        <v>336</v>
      </c>
      <c r="AB1348" t="s">
        <v>606</v>
      </c>
      <c r="AC1348" t="s">
        <v>607</v>
      </c>
      <c r="AD1348" t="s">
        <v>608</v>
      </c>
      <c r="AE1348" s="7">
        <v>105000</v>
      </c>
      <c r="AF1348" s="7">
        <v>1</v>
      </c>
      <c r="AG1348" s="7">
        <v>105000</v>
      </c>
      <c r="AH1348" s="7">
        <v>0</v>
      </c>
      <c r="AI1348" s="7">
        <v>105000</v>
      </c>
      <c r="AJ1348" t="s">
        <v>607</v>
      </c>
    </row>
    <row r="1349" spans="14:36" x14ac:dyDescent="0.3">
      <c r="N1349" s="8">
        <v>2026</v>
      </c>
      <c r="O1349" s="8">
        <v>5</v>
      </c>
      <c r="P1349" s="9">
        <v>46147</v>
      </c>
      <c r="Q1349" t="s">
        <v>238</v>
      </c>
      <c r="R1349" t="s">
        <v>239</v>
      </c>
      <c r="S1349" t="s">
        <v>240</v>
      </c>
      <c r="T1349" t="s">
        <v>733</v>
      </c>
      <c r="U1349" t="s">
        <v>734</v>
      </c>
      <c r="V1349" t="s">
        <v>246</v>
      </c>
      <c r="W1349" t="s">
        <v>244</v>
      </c>
      <c r="X1349" t="s">
        <v>1682</v>
      </c>
      <c r="Y1349" t="s">
        <v>191</v>
      </c>
      <c r="Z1349" t="s">
        <v>335</v>
      </c>
      <c r="AA1349" t="s">
        <v>337</v>
      </c>
      <c r="AB1349" t="s">
        <v>348</v>
      </c>
      <c r="AC1349" t="s">
        <v>349</v>
      </c>
      <c r="AD1349" t="s">
        <v>350</v>
      </c>
      <c r="AE1349" s="7">
        <v>76000</v>
      </c>
      <c r="AF1349" s="7">
        <v>1</v>
      </c>
      <c r="AG1349" s="7">
        <v>76000</v>
      </c>
      <c r="AH1349" s="7">
        <v>0</v>
      </c>
      <c r="AI1349" s="7">
        <v>76000</v>
      </c>
      <c r="AJ1349" t="s">
        <v>349</v>
      </c>
    </row>
    <row r="1350" spans="14:36" x14ac:dyDescent="0.3">
      <c r="N1350" s="8">
        <v>2026</v>
      </c>
      <c r="O1350" s="8">
        <v>5</v>
      </c>
      <c r="P1350" s="9">
        <v>46147</v>
      </c>
      <c r="Q1350" t="s">
        <v>238</v>
      </c>
      <c r="R1350" t="s">
        <v>279</v>
      </c>
      <c r="S1350" t="s">
        <v>280</v>
      </c>
      <c r="T1350" t="s">
        <v>1685</v>
      </c>
      <c r="U1350" t="s">
        <v>1686</v>
      </c>
      <c r="V1350" t="s">
        <v>246</v>
      </c>
      <c r="W1350" t="s">
        <v>244</v>
      </c>
      <c r="X1350" t="s">
        <v>1687</v>
      </c>
      <c r="Y1350" t="s">
        <v>194</v>
      </c>
      <c r="Z1350" t="s">
        <v>200</v>
      </c>
      <c r="AA1350" t="s">
        <v>201</v>
      </c>
      <c r="AB1350" t="s">
        <v>80</v>
      </c>
      <c r="AC1350" t="s">
        <v>78</v>
      </c>
      <c r="AD1350" t="s">
        <v>79</v>
      </c>
      <c r="AE1350" s="7">
        <v>14000</v>
      </c>
      <c r="AF1350" s="7">
        <v>3</v>
      </c>
      <c r="AG1350" s="7">
        <v>42000</v>
      </c>
      <c r="AH1350" s="7">
        <v>0</v>
      </c>
      <c r="AI1350" s="7">
        <v>42000</v>
      </c>
      <c r="AJ1350" t="s">
        <v>78</v>
      </c>
    </row>
    <row r="1351" spans="14:36" x14ac:dyDescent="0.3">
      <c r="N1351" s="8">
        <v>2026</v>
      </c>
      <c r="O1351" s="8">
        <v>5</v>
      </c>
      <c r="P1351" s="9">
        <v>46147</v>
      </c>
      <c r="Q1351" t="s">
        <v>238</v>
      </c>
      <c r="R1351" t="s">
        <v>279</v>
      </c>
      <c r="S1351" t="s">
        <v>280</v>
      </c>
      <c r="T1351" t="s">
        <v>1685</v>
      </c>
      <c r="U1351" t="s">
        <v>1686</v>
      </c>
      <c r="V1351" t="s">
        <v>246</v>
      </c>
      <c r="W1351" t="s">
        <v>244</v>
      </c>
      <c r="X1351" t="s">
        <v>1687</v>
      </c>
      <c r="Y1351" t="s">
        <v>194</v>
      </c>
      <c r="Z1351" t="s">
        <v>200</v>
      </c>
      <c r="AA1351" t="s">
        <v>201</v>
      </c>
      <c r="AB1351" t="s">
        <v>86</v>
      </c>
      <c r="AC1351" t="s">
        <v>84</v>
      </c>
      <c r="AD1351" t="s">
        <v>85</v>
      </c>
      <c r="AE1351" s="7">
        <v>49000</v>
      </c>
      <c r="AF1351" s="7">
        <v>1</v>
      </c>
      <c r="AG1351" s="7">
        <v>49000</v>
      </c>
      <c r="AH1351" s="7">
        <v>0</v>
      </c>
      <c r="AI1351" s="7">
        <v>49000</v>
      </c>
      <c r="AJ1351" t="s">
        <v>84</v>
      </c>
    </row>
    <row r="1352" spans="14:36" x14ac:dyDescent="0.3">
      <c r="N1352" s="8">
        <v>2026</v>
      </c>
      <c r="O1352" s="8">
        <v>5</v>
      </c>
      <c r="P1352" s="9">
        <v>46147</v>
      </c>
      <c r="Q1352" t="s">
        <v>238</v>
      </c>
      <c r="R1352" t="s">
        <v>279</v>
      </c>
      <c r="S1352" t="s">
        <v>280</v>
      </c>
      <c r="T1352" t="s">
        <v>1691</v>
      </c>
      <c r="U1352" t="s">
        <v>4056</v>
      </c>
      <c r="V1352" t="s">
        <v>246</v>
      </c>
      <c r="W1352" t="s">
        <v>244</v>
      </c>
      <c r="X1352" t="s">
        <v>1692</v>
      </c>
      <c r="Y1352" t="s">
        <v>191</v>
      </c>
      <c r="Z1352" t="s">
        <v>192</v>
      </c>
      <c r="AA1352" t="s">
        <v>193</v>
      </c>
      <c r="AB1352" t="s">
        <v>104</v>
      </c>
      <c r="AC1352" t="s">
        <v>102</v>
      </c>
      <c r="AD1352" t="s">
        <v>103</v>
      </c>
      <c r="AE1352" s="7">
        <v>235000</v>
      </c>
      <c r="AF1352" s="7">
        <v>1</v>
      </c>
      <c r="AG1352" s="7">
        <v>235000</v>
      </c>
      <c r="AH1352" s="7">
        <v>0</v>
      </c>
      <c r="AI1352" s="7">
        <v>235000</v>
      </c>
      <c r="AJ1352" t="s">
        <v>102</v>
      </c>
    </row>
    <row r="1353" spans="14:36" x14ac:dyDescent="0.3">
      <c r="N1353" s="8">
        <v>2026</v>
      </c>
      <c r="O1353" s="8">
        <v>5</v>
      </c>
      <c r="P1353" s="9">
        <v>46147</v>
      </c>
      <c r="Q1353" t="s">
        <v>238</v>
      </c>
      <c r="R1353" t="s">
        <v>303</v>
      </c>
      <c r="S1353" t="s">
        <v>304</v>
      </c>
      <c r="T1353" t="s">
        <v>1695</v>
      </c>
      <c r="U1353" t="s">
        <v>1696</v>
      </c>
      <c r="V1353" t="s">
        <v>246</v>
      </c>
      <c r="W1353" t="s">
        <v>244</v>
      </c>
      <c r="X1353" t="s">
        <v>1697</v>
      </c>
      <c r="Y1353" t="s">
        <v>168</v>
      </c>
      <c r="Z1353" t="s">
        <v>171</v>
      </c>
      <c r="AA1353" t="s">
        <v>172</v>
      </c>
      <c r="AB1353" t="s">
        <v>11</v>
      </c>
      <c r="AC1353" t="s">
        <v>9</v>
      </c>
      <c r="AD1353" t="s">
        <v>10</v>
      </c>
      <c r="AE1353" s="7">
        <v>129000</v>
      </c>
      <c r="AF1353" s="7">
        <v>1</v>
      </c>
      <c r="AG1353" s="7">
        <v>129000</v>
      </c>
      <c r="AH1353" s="7">
        <v>0</v>
      </c>
      <c r="AI1353" s="7">
        <v>129000</v>
      </c>
      <c r="AJ1353" t="s">
        <v>9</v>
      </c>
    </row>
    <row r="1354" spans="14:36" x14ac:dyDescent="0.3">
      <c r="N1354" s="8">
        <v>2026</v>
      </c>
      <c r="O1354" s="8">
        <v>5</v>
      </c>
      <c r="P1354" s="9">
        <v>46147</v>
      </c>
      <c r="Q1354" t="s">
        <v>238</v>
      </c>
      <c r="R1354" t="s">
        <v>303</v>
      </c>
      <c r="S1354" t="s">
        <v>304</v>
      </c>
      <c r="T1354" t="s">
        <v>751</v>
      </c>
      <c r="U1354" t="s">
        <v>752</v>
      </c>
      <c r="V1354" t="s">
        <v>246</v>
      </c>
      <c r="W1354" t="s">
        <v>244</v>
      </c>
      <c r="X1354" t="s">
        <v>1701</v>
      </c>
      <c r="Y1354" t="s">
        <v>168</v>
      </c>
      <c r="Z1354" t="s">
        <v>171</v>
      </c>
      <c r="AA1354" t="s">
        <v>175</v>
      </c>
      <c r="AB1354" t="s">
        <v>44</v>
      </c>
      <c r="AC1354" t="s">
        <v>42</v>
      </c>
      <c r="AD1354" t="s">
        <v>43</v>
      </c>
      <c r="AE1354" s="7">
        <v>294000</v>
      </c>
      <c r="AF1354" s="7">
        <v>1</v>
      </c>
      <c r="AG1354" s="7">
        <v>294000</v>
      </c>
      <c r="AH1354" s="7">
        <v>0</v>
      </c>
      <c r="AI1354" s="7">
        <v>294000</v>
      </c>
      <c r="AJ1354" t="s">
        <v>42</v>
      </c>
    </row>
    <row r="1355" spans="14:36" x14ac:dyDescent="0.3">
      <c r="N1355" s="8">
        <v>2026</v>
      </c>
      <c r="O1355" s="8">
        <v>5</v>
      </c>
      <c r="P1355" s="9">
        <v>46147</v>
      </c>
      <c r="Q1355" t="s">
        <v>238</v>
      </c>
      <c r="R1355" t="s">
        <v>351</v>
      </c>
      <c r="S1355" t="s">
        <v>352</v>
      </c>
      <c r="T1355" t="s">
        <v>1706</v>
      </c>
      <c r="U1355" t="s">
        <v>4008</v>
      </c>
      <c r="V1355" t="s">
        <v>246</v>
      </c>
      <c r="W1355" t="s">
        <v>244</v>
      </c>
      <c r="X1355" t="s">
        <v>1707</v>
      </c>
      <c r="Y1355" t="s">
        <v>191</v>
      </c>
      <c r="Z1355" t="s">
        <v>192</v>
      </c>
      <c r="AA1355" t="s">
        <v>193</v>
      </c>
      <c r="AB1355" t="s">
        <v>110</v>
      </c>
      <c r="AC1355" t="s">
        <v>108</v>
      </c>
      <c r="AD1355" t="s">
        <v>109</v>
      </c>
      <c r="AE1355" s="7">
        <v>235000</v>
      </c>
      <c r="AF1355" s="7">
        <v>1</v>
      </c>
      <c r="AG1355" s="7">
        <v>235000</v>
      </c>
      <c r="AH1355" s="7">
        <v>0</v>
      </c>
      <c r="AI1355" s="7">
        <v>235000</v>
      </c>
      <c r="AJ1355" t="s">
        <v>108</v>
      </c>
    </row>
    <row r="1356" spans="14:36" x14ac:dyDescent="0.3">
      <c r="N1356" s="8">
        <v>2026</v>
      </c>
      <c r="O1356" s="8">
        <v>5</v>
      </c>
      <c r="P1356" s="9">
        <v>46147</v>
      </c>
      <c r="Q1356" t="s">
        <v>238</v>
      </c>
      <c r="R1356" t="s">
        <v>374</v>
      </c>
      <c r="S1356" t="s">
        <v>375</v>
      </c>
      <c r="T1356" t="s">
        <v>376</v>
      </c>
      <c r="U1356" t="s">
        <v>377</v>
      </c>
      <c r="V1356" t="s">
        <v>243</v>
      </c>
      <c r="W1356" t="s">
        <v>244</v>
      </c>
      <c r="X1356" t="s">
        <v>1710</v>
      </c>
      <c r="Y1356" t="s">
        <v>194</v>
      </c>
      <c r="Z1356" t="s">
        <v>200</v>
      </c>
      <c r="AA1356" t="s">
        <v>201</v>
      </c>
      <c r="AB1356" t="s">
        <v>80</v>
      </c>
      <c r="AC1356" t="s">
        <v>78</v>
      </c>
      <c r="AD1356" t="s">
        <v>79</v>
      </c>
      <c r="AE1356" s="7">
        <v>14000</v>
      </c>
      <c r="AF1356" s="7">
        <v>2</v>
      </c>
      <c r="AG1356" s="7">
        <v>28000</v>
      </c>
      <c r="AH1356" s="7">
        <v>0</v>
      </c>
      <c r="AI1356" s="7">
        <v>28000</v>
      </c>
      <c r="AJ1356" t="s">
        <v>78</v>
      </c>
    </row>
    <row r="1357" spans="14:36" x14ac:dyDescent="0.3">
      <c r="N1357" s="8">
        <v>2026</v>
      </c>
      <c r="O1357" s="8">
        <v>5</v>
      </c>
      <c r="P1357" s="9">
        <v>46147</v>
      </c>
      <c r="Q1357" t="s">
        <v>238</v>
      </c>
      <c r="R1357" t="s">
        <v>374</v>
      </c>
      <c r="S1357" t="s">
        <v>375</v>
      </c>
      <c r="T1357" t="s">
        <v>376</v>
      </c>
      <c r="U1357" t="s">
        <v>377</v>
      </c>
      <c r="V1357" t="s">
        <v>243</v>
      </c>
      <c r="W1357" t="s">
        <v>244</v>
      </c>
      <c r="X1357" t="s">
        <v>1710</v>
      </c>
      <c r="Y1357" t="s">
        <v>183</v>
      </c>
      <c r="Z1357" t="s">
        <v>184</v>
      </c>
      <c r="AA1357" t="s">
        <v>185</v>
      </c>
      <c r="AB1357" t="s">
        <v>53</v>
      </c>
      <c r="AC1357" t="s">
        <v>51</v>
      </c>
      <c r="AD1357" t="s">
        <v>52</v>
      </c>
      <c r="AE1357" s="7">
        <v>45000</v>
      </c>
      <c r="AF1357" s="7">
        <v>2</v>
      </c>
      <c r="AG1357" s="7">
        <v>90000</v>
      </c>
      <c r="AH1357" s="7">
        <v>0</v>
      </c>
      <c r="AI1357" s="7">
        <v>90000</v>
      </c>
      <c r="AJ1357" t="s">
        <v>51</v>
      </c>
    </row>
    <row r="1358" spans="14:36" x14ac:dyDescent="0.3">
      <c r="N1358" s="8">
        <v>2026</v>
      </c>
      <c r="O1358" s="8">
        <v>5</v>
      </c>
      <c r="P1358" s="9">
        <v>46147</v>
      </c>
      <c r="Q1358" t="s">
        <v>238</v>
      </c>
      <c r="R1358" t="s">
        <v>374</v>
      </c>
      <c r="S1358" t="s">
        <v>375</v>
      </c>
      <c r="T1358" t="s">
        <v>1713</v>
      </c>
      <c r="U1358" t="s">
        <v>3938</v>
      </c>
      <c r="V1358" t="s">
        <v>246</v>
      </c>
      <c r="W1358" t="s">
        <v>244</v>
      </c>
      <c r="X1358" t="s">
        <v>1714</v>
      </c>
      <c r="Y1358" t="s">
        <v>168</v>
      </c>
      <c r="Z1358" t="s">
        <v>171</v>
      </c>
      <c r="AA1358" t="s">
        <v>175</v>
      </c>
      <c r="AB1358" t="s">
        <v>44</v>
      </c>
      <c r="AC1358" t="s">
        <v>42</v>
      </c>
      <c r="AD1358" t="s">
        <v>43</v>
      </c>
      <c r="AE1358" s="7">
        <v>294000</v>
      </c>
      <c r="AF1358" s="7">
        <v>1</v>
      </c>
      <c r="AG1358" s="7">
        <v>294000</v>
      </c>
      <c r="AH1358" s="7">
        <v>0</v>
      </c>
      <c r="AI1358" s="7">
        <v>294000</v>
      </c>
      <c r="AJ1358" t="s">
        <v>42</v>
      </c>
    </row>
    <row r="1359" spans="14:36" x14ac:dyDescent="0.3">
      <c r="N1359" s="8">
        <v>2026</v>
      </c>
      <c r="O1359" s="8">
        <v>5</v>
      </c>
      <c r="P1359" s="9">
        <v>46147</v>
      </c>
      <c r="Q1359" t="s">
        <v>238</v>
      </c>
      <c r="R1359" t="s">
        <v>374</v>
      </c>
      <c r="S1359" t="s">
        <v>375</v>
      </c>
      <c r="T1359" t="s">
        <v>1713</v>
      </c>
      <c r="U1359" t="s">
        <v>3938</v>
      </c>
      <c r="V1359" t="s">
        <v>246</v>
      </c>
      <c r="W1359" t="s">
        <v>244</v>
      </c>
      <c r="X1359" t="s">
        <v>1714</v>
      </c>
      <c r="Y1359" t="s">
        <v>183</v>
      </c>
      <c r="Z1359" t="s">
        <v>189</v>
      </c>
      <c r="AA1359" t="s">
        <v>190</v>
      </c>
      <c r="AB1359" t="s">
        <v>92</v>
      </c>
      <c r="AC1359" t="s">
        <v>90</v>
      </c>
      <c r="AD1359" t="s">
        <v>91</v>
      </c>
      <c r="AE1359" s="7">
        <v>52000</v>
      </c>
      <c r="AF1359" s="7">
        <v>1</v>
      </c>
      <c r="AG1359" s="7">
        <v>52000</v>
      </c>
      <c r="AH1359" s="7">
        <v>0</v>
      </c>
      <c r="AI1359" s="7">
        <v>52000</v>
      </c>
      <c r="AJ1359" t="s">
        <v>90</v>
      </c>
    </row>
    <row r="1360" spans="14:36" x14ac:dyDescent="0.3">
      <c r="N1360" s="8">
        <v>2026</v>
      </c>
      <c r="O1360" s="8">
        <v>5</v>
      </c>
      <c r="P1360" s="9">
        <v>46147</v>
      </c>
      <c r="Q1360" t="s">
        <v>238</v>
      </c>
      <c r="R1360" t="s">
        <v>425</v>
      </c>
      <c r="S1360" t="s">
        <v>426</v>
      </c>
      <c r="T1360" t="s">
        <v>1715</v>
      </c>
      <c r="U1360" t="s">
        <v>461</v>
      </c>
      <c r="V1360" t="s">
        <v>249</v>
      </c>
      <c r="W1360" t="s">
        <v>244</v>
      </c>
      <c r="X1360" t="s">
        <v>1716</v>
      </c>
      <c r="Y1360" t="s">
        <v>194</v>
      </c>
      <c r="Z1360" t="s">
        <v>200</v>
      </c>
      <c r="AA1360" t="s">
        <v>201</v>
      </c>
      <c r="AB1360" t="s">
        <v>80</v>
      </c>
      <c r="AC1360" t="s">
        <v>78</v>
      </c>
      <c r="AD1360" t="s">
        <v>79</v>
      </c>
      <c r="AE1360" s="7">
        <v>14000</v>
      </c>
      <c r="AF1360" s="7">
        <v>1</v>
      </c>
      <c r="AG1360" s="7">
        <v>14000</v>
      </c>
      <c r="AH1360" s="7">
        <v>0</v>
      </c>
      <c r="AI1360" s="7">
        <v>14000</v>
      </c>
      <c r="AJ1360" t="s">
        <v>78</v>
      </c>
    </row>
    <row r="1361" spans="14:36" x14ac:dyDescent="0.3">
      <c r="N1361" s="8">
        <v>2026</v>
      </c>
      <c r="O1361" s="8">
        <v>5</v>
      </c>
      <c r="P1361" s="9">
        <v>46147</v>
      </c>
      <c r="Q1361" t="s">
        <v>238</v>
      </c>
      <c r="R1361" t="s">
        <v>425</v>
      </c>
      <c r="S1361" t="s">
        <v>426</v>
      </c>
      <c r="T1361" t="s">
        <v>1717</v>
      </c>
      <c r="U1361" t="s">
        <v>4055</v>
      </c>
      <c r="V1361" t="s">
        <v>246</v>
      </c>
      <c r="W1361" t="s">
        <v>244</v>
      </c>
      <c r="X1361" t="s">
        <v>1718</v>
      </c>
      <c r="Y1361" t="s">
        <v>191</v>
      </c>
      <c r="Z1361" t="s">
        <v>335</v>
      </c>
      <c r="AA1361" t="s">
        <v>336</v>
      </c>
      <c r="AB1361" t="s">
        <v>1146</v>
      </c>
      <c r="AC1361" t="s">
        <v>1147</v>
      </c>
      <c r="AD1361" t="s">
        <v>1148</v>
      </c>
      <c r="AE1361" s="7">
        <v>99000</v>
      </c>
      <c r="AF1361" s="7">
        <v>1</v>
      </c>
      <c r="AG1361" s="7">
        <v>99000</v>
      </c>
      <c r="AH1361" s="7">
        <v>44550</v>
      </c>
      <c r="AI1361" s="7">
        <v>54450</v>
      </c>
      <c r="AJ1361" t="s">
        <v>1147</v>
      </c>
    </row>
    <row r="1362" spans="14:36" x14ac:dyDescent="0.3">
      <c r="N1362" s="8">
        <v>2026</v>
      </c>
      <c r="O1362" s="8">
        <v>5</v>
      </c>
      <c r="P1362" s="9">
        <v>46146</v>
      </c>
      <c r="Q1362" t="s">
        <v>238</v>
      </c>
      <c r="R1362" t="s">
        <v>239</v>
      </c>
      <c r="S1362" t="s">
        <v>240</v>
      </c>
      <c r="T1362" t="s">
        <v>1719</v>
      </c>
      <c r="U1362" t="s">
        <v>4057</v>
      </c>
      <c r="V1362" t="s">
        <v>249</v>
      </c>
      <c r="W1362" t="s">
        <v>244</v>
      </c>
      <c r="X1362" t="s">
        <v>1720</v>
      </c>
      <c r="Y1362" t="s">
        <v>191</v>
      </c>
      <c r="Z1362" t="s">
        <v>335</v>
      </c>
      <c r="AA1362" t="s">
        <v>337</v>
      </c>
      <c r="AB1362" t="s">
        <v>656</v>
      </c>
      <c r="AC1362" t="s">
        <v>657</v>
      </c>
      <c r="AD1362" t="s">
        <v>658</v>
      </c>
      <c r="AE1362" s="7">
        <v>35000</v>
      </c>
      <c r="AF1362" s="7">
        <v>1</v>
      </c>
      <c r="AG1362" s="7">
        <v>35000</v>
      </c>
      <c r="AH1362" s="7">
        <v>0</v>
      </c>
      <c r="AI1362" s="7">
        <v>35000</v>
      </c>
      <c r="AJ1362" t="s">
        <v>657</v>
      </c>
    </row>
    <row r="1363" spans="14:36" x14ac:dyDescent="0.3">
      <c r="N1363" s="8">
        <v>2026</v>
      </c>
      <c r="O1363" s="8">
        <v>5</v>
      </c>
      <c r="P1363" s="9">
        <v>46146</v>
      </c>
      <c r="Q1363" t="s">
        <v>238</v>
      </c>
      <c r="R1363" t="s">
        <v>239</v>
      </c>
      <c r="S1363" t="s">
        <v>240</v>
      </c>
      <c r="T1363" t="s">
        <v>691</v>
      </c>
      <c r="U1363" t="s">
        <v>692</v>
      </c>
      <c r="V1363" t="s">
        <v>246</v>
      </c>
      <c r="W1363" t="s">
        <v>244</v>
      </c>
      <c r="X1363" t="s">
        <v>1721</v>
      </c>
      <c r="Y1363" t="s">
        <v>168</v>
      </c>
      <c r="Z1363" t="s">
        <v>171</v>
      </c>
      <c r="AA1363" t="s">
        <v>172</v>
      </c>
      <c r="AB1363" t="s">
        <v>14</v>
      </c>
      <c r="AC1363" t="s">
        <v>12</v>
      </c>
      <c r="AD1363" t="s">
        <v>13</v>
      </c>
      <c r="AE1363" s="7">
        <v>135000</v>
      </c>
      <c r="AF1363" s="7">
        <v>1</v>
      </c>
      <c r="AG1363" s="7">
        <v>135000</v>
      </c>
      <c r="AH1363" s="7">
        <v>0</v>
      </c>
      <c r="AI1363" s="7">
        <v>135000</v>
      </c>
      <c r="AJ1363" t="s">
        <v>12</v>
      </c>
    </row>
    <row r="1364" spans="14:36" x14ac:dyDescent="0.3">
      <c r="N1364" s="8">
        <v>2026</v>
      </c>
      <c r="O1364" s="8">
        <v>5</v>
      </c>
      <c r="P1364" s="9">
        <v>46146</v>
      </c>
      <c r="Q1364" t="s">
        <v>238</v>
      </c>
      <c r="R1364" t="s">
        <v>279</v>
      </c>
      <c r="S1364" t="s">
        <v>280</v>
      </c>
      <c r="T1364" t="s">
        <v>1528</v>
      </c>
      <c r="U1364" t="s">
        <v>4018</v>
      </c>
      <c r="V1364" t="s">
        <v>246</v>
      </c>
      <c r="W1364" t="s">
        <v>244</v>
      </c>
      <c r="X1364" t="s">
        <v>1722</v>
      </c>
      <c r="Y1364" t="s">
        <v>191</v>
      </c>
      <c r="Z1364" t="s">
        <v>335</v>
      </c>
      <c r="AA1364" t="s">
        <v>337</v>
      </c>
      <c r="AB1364" t="s">
        <v>656</v>
      </c>
      <c r="AC1364" t="s">
        <v>657</v>
      </c>
      <c r="AD1364" t="s">
        <v>658</v>
      </c>
      <c r="AE1364" s="7">
        <v>35000</v>
      </c>
      <c r="AF1364" s="7">
        <v>2</v>
      </c>
      <c r="AG1364" s="7">
        <v>70000</v>
      </c>
      <c r="AH1364" s="7">
        <v>0</v>
      </c>
      <c r="AI1364" s="7">
        <v>70000</v>
      </c>
      <c r="AJ1364" t="s">
        <v>657</v>
      </c>
    </row>
    <row r="1365" spans="14:36" x14ac:dyDescent="0.3">
      <c r="N1365" s="8">
        <v>2026</v>
      </c>
      <c r="O1365" s="8">
        <v>5</v>
      </c>
      <c r="P1365" s="9">
        <v>46146</v>
      </c>
      <c r="Q1365" t="s">
        <v>238</v>
      </c>
      <c r="R1365" t="s">
        <v>279</v>
      </c>
      <c r="S1365" t="s">
        <v>280</v>
      </c>
      <c r="T1365" t="s">
        <v>1528</v>
      </c>
      <c r="U1365" t="s">
        <v>4018</v>
      </c>
      <c r="V1365" t="s">
        <v>246</v>
      </c>
      <c r="W1365" t="s">
        <v>244</v>
      </c>
      <c r="X1365" t="s">
        <v>1722</v>
      </c>
      <c r="Y1365" t="s">
        <v>191</v>
      </c>
      <c r="Z1365" t="s">
        <v>335</v>
      </c>
      <c r="AA1365" t="s">
        <v>337</v>
      </c>
      <c r="AB1365" t="s">
        <v>348</v>
      </c>
      <c r="AC1365" t="s">
        <v>349</v>
      </c>
      <c r="AD1365" t="s">
        <v>350</v>
      </c>
      <c r="AE1365" s="7">
        <v>76000</v>
      </c>
      <c r="AF1365" s="7">
        <v>1</v>
      </c>
      <c r="AG1365" s="7">
        <v>76000</v>
      </c>
      <c r="AH1365" s="7">
        <v>0</v>
      </c>
      <c r="AI1365" s="7">
        <v>76000</v>
      </c>
      <c r="AJ1365" t="s">
        <v>349</v>
      </c>
    </row>
    <row r="1366" spans="14:36" x14ac:dyDescent="0.3">
      <c r="N1366" s="8">
        <v>2026</v>
      </c>
      <c r="O1366" s="8">
        <v>5</v>
      </c>
      <c r="P1366" s="9">
        <v>46146</v>
      </c>
      <c r="Q1366" t="s">
        <v>238</v>
      </c>
      <c r="R1366" t="s">
        <v>279</v>
      </c>
      <c r="S1366" t="s">
        <v>280</v>
      </c>
      <c r="T1366" t="s">
        <v>1724</v>
      </c>
      <c r="U1366" t="s">
        <v>1369</v>
      </c>
      <c r="V1366" t="s">
        <v>249</v>
      </c>
      <c r="W1366" t="s">
        <v>244</v>
      </c>
      <c r="X1366" t="s">
        <v>1725</v>
      </c>
      <c r="Y1366" t="s">
        <v>191</v>
      </c>
      <c r="Z1366" t="s">
        <v>192</v>
      </c>
      <c r="AA1366" t="s">
        <v>193</v>
      </c>
      <c r="AB1366" t="s">
        <v>110</v>
      </c>
      <c r="AC1366" t="s">
        <v>108</v>
      </c>
      <c r="AD1366" t="s">
        <v>109</v>
      </c>
      <c r="AE1366" s="7">
        <v>235000</v>
      </c>
      <c r="AF1366" s="7">
        <v>1</v>
      </c>
      <c r="AG1366" s="7">
        <v>235000</v>
      </c>
      <c r="AH1366" s="7">
        <v>0</v>
      </c>
      <c r="AI1366" s="7">
        <v>235000</v>
      </c>
      <c r="AJ1366" t="s">
        <v>108</v>
      </c>
    </row>
    <row r="1367" spans="14:36" x14ac:dyDescent="0.3">
      <c r="N1367" s="8">
        <v>2026</v>
      </c>
      <c r="O1367" s="8">
        <v>5</v>
      </c>
      <c r="P1367" s="9">
        <v>46146</v>
      </c>
      <c r="Q1367" t="s">
        <v>238</v>
      </c>
      <c r="R1367" t="s">
        <v>303</v>
      </c>
      <c r="S1367" t="s">
        <v>304</v>
      </c>
      <c r="T1367" t="s">
        <v>1726</v>
      </c>
      <c r="U1367" t="s">
        <v>765</v>
      </c>
      <c r="V1367" t="s">
        <v>246</v>
      </c>
      <c r="W1367" t="s">
        <v>244</v>
      </c>
      <c r="X1367" t="s">
        <v>1727</v>
      </c>
      <c r="Y1367" t="s">
        <v>168</v>
      </c>
      <c r="Z1367" t="s">
        <v>171</v>
      </c>
      <c r="AA1367" t="s">
        <v>173</v>
      </c>
      <c r="AB1367" t="s">
        <v>29</v>
      </c>
      <c r="AC1367" t="s">
        <v>27</v>
      </c>
      <c r="AD1367" t="s">
        <v>28</v>
      </c>
      <c r="AE1367" s="7">
        <v>575000</v>
      </c>
      <c r="AF1367" s="7">
        <v>1</v>
      </c>
      <c r="AG1367" s="7">
        <v>575000</v>
      </c>
      <c r="AH1367" s="7">
        <v>0</v>
      </c>
      <c r="AI1367" s="7">
        <v>575000</v>
      </c>
      <c r="AJ1367" t="s">
        <v>27</v>
      </c>
    </row>
    <row r="1368" spans="14:36" x14ac:dyDescent="0.3">
      <c r="N1368" s="8">
        <v>2026</v>
      </c>
      <c r="O1368" s="8">
        <v>5</v>
      </c>
      <c r="P1368" s="9">
        <v>46146</v>
      </c>
      <c r="Q1368" t="s">
        <v>238</v>
      </c>
      <c r="R1368" t="s">
        <v>303</v>
      </c>
      <c r="S1368" t="s">
        <v>304</v>
      </c>
      <c r="T1368" t="s">
        <v>1730</v>
      </c>
      <c r="U1368" t="s">
        <v>1731</v>
      </c>
      <c r="V1368" t="s">
        <v>246</v>
      </c>
      <c r="W1368" t="s">
        <v>244</v>
      </c>
      <c r="X1368" t="s">
        <v>1732</v>
      </c>
      <c r="Y1368" t="s">
        <v>191</v>
      </c>
      <c r="Z1368" t="s">
        <v>335</v>
      </c>
      <c r="AA1368" t="s">
        <v>336</v>
      </c>
      <c r="AB1368" t="s">
        <v>1518</v>
      </c>
      <c r="AC1368" t="s">
        <v>1519</v>
      </c>
      <c r="AD1368" t="s">
        <v>1520</v>
      </c>
      <c r="AE1368" s="7">
        <v>99000</v>
      </c>
      <c r="AF1368" s="7">
        <v>1</v>
      </c>
      <c r="AG1368" s="7">
        <v>99000</v>
      </c>
      <c r="AH1368" s="7">
        <v>0</v>
      </c>
      <c r="AI1368" s="7">
        <v>99000</v>
      </c>
      <c r="AJ1368" t="s">
        <v>1519</v>
      </c>
    </row>
    <row r="1369" spans="14:36" x14ac:dyDescent="0.3">
      <c r="N1369" s="8">
        <v>2026</v>
      </c>
      <c r="O1369" s="8">
        <v>5</v>
      </c>
      <c r="P1369" s="9">
        <v>46146</v>
      </c>
      <c r="Q1369" t="s">
        <v>238</v>
      </c>
      <c r="R1369" t="s">
        <v>351</v>
      </c>
      <c r="S1369" t="s">
        <v>352</v>
      </c>
      <c r="T1369" t="s">
        <v>1739</v>
      </c>
      <c r="U1369" t="s">
        <v>4058</v>
      </c>
      <c r="V1369" t="s">
        <v>246</v>
      </c>
      <c r="W1369" t="s">
        <v>244</v>
      </c>
      <c r="X1369" t="s">
        <v>1740</v>
      </c>
      <c r="Y1369" t="s">
        <v>191</v>
      </c>
      <c r="Z1369" t="s">
        <v>335</v>
      </c>
      <c r="AA1369" t="s">
        <v>337</v>
      </c>
      <c r="AB1369" t="s">
        <v>348</v>
      </c>
      <c r="AC1369" t="s">
        <v>349</v>
      </c>
      <c r="AD1369" t="s">
        <v>350</v>
      </c>
      <c r="AE1369" s="7">
        <v>76000</v>
      </c>
      <c r="AF1369" s="7">
        <v>1</v>
      </c>
      <c r="AG1369" s="7">
        <v>76000</v>
      </c>
      <c r="AH1369" s="7">
        <v>0</v>
      </c>
      <c r="AI1369" s="7">
        <v>76000</v>
      </c>
      <c r="AJ1369" t="s">
        <v>349</v>
      </c>
    </row>
    <row r="1370" spans="14:36" x14ac:dyDescent="0.3">
      <c r="N1370" s="8">
        <v>2026</v>
      </c>
      <c r="O1370" s="8">
        <v>5</v>
      </c>
      <c r="P1370" s="9">
        <v>46146</v>
      </c>
      <c r="Q1370" t="s">
        <v>238</v>
      </c>
      <c r="R1370" t="s">
        <v>374</v>
      </c>
      <c r="S1370" t="s">
        <v>375</v>
      </c>
      <c r="T1370" t="s">
        <v>376</v>
      </c>
      <c r="U1370" t="s">
        <v>377</v>
      </c>
      <c r="V1370" t="s">
        <v>243</v>
      </c>
      <c r="W1370" t="s">
        <v>244</v>
      </c>
      <c r="X1370" t="s">
        <v>1741</v>
      </c>
      <c r="Y1370" t="s">
        <v>168</v>
      </c>
      <c r="Z1370" t="s">
        <v>171</v>
      </c>
      <c r="AA1370" t="s">
        <v>172</v>
      </c>
      <c r="AB1370" t="s">
        <v>11</v>
      </c>
      <c r="AC1370" t="s">
        <v>9</v>
      </c>
      <c r="AD1370" t="s">
        <v>10</v>
      </c>
      <c r="AE1370" s="7">
        <v>129000</v>
      </c>
      <c r="AF1370" s="7">
        <v>1</v>
      </c>
      <c r="AG1370" s="7">
        <v>129000</v>
      </c>
      <c r="AH1370" s="7">
        <v>0</v>
      </c>
      <c r="AI1370" s="7">
        <v>129000</v>
      </c>
      <c r="AJ1370" t="s">
        <v>9</v>
      </c>
    </row>
    <row r="1371" spans="14:36" x14ac:dyDescent="0.3">
      <c r="N1371" s="8">
        <v>2026</v>
      </c>
      <c r="O1371" s="8">
        <v>5</v>
      </c>
      <c r="P1371" s="9">
        <v>46146</v>
      </c>
      <c r="Q1371" t="s">
        <v>238</v>
      </c>
      <c r="R1371" t="s">
        <v>374</v>
      </c>
      <c r="S1371" t="s">
        <v>375</v>
      </c>
      <c r="T1371" t="s">
        <v>1742</v>
      </c>
      <c r="U1371" t="s">
        <v>4059</v>
      </c>
      <c r="V1371" t="s">
        <v>249</v>
      </c>
      <c r="W1371" t="s">
        <v>244</v>
      </c>
      <c r="X1371" t="s">
        <v>1743</v>
      </c>
      <c r="Y1371" t="s">
        <v>191</v>
      </c>
      <c r="Z1371" t="s">
        <v>192</v>
      </c>
      <c r="AA1371" t="s">
        <v>193</v>
      </c>
      <c r="AB1371" t="s">
        <v>110</v>
      </c>
      <c r="AC1371" t="s">
        <v>108</v>
      </c>
      <c r="AD1371" t="s">
        <v>109</v>
      </c>
      <c r="AE1371" s="7">
        <v>235000</v>
      </c>
      <c r="AF1371" s="7">
        <v>1</v>
      </c>
      <c r="AG1371" s="7">
        <v>235000</v>
      </c>
      <c r="AH1371" s="7">
        <v>0</v>
      </c>
      <c r="AI1371" s="7">
        <v>235000</v>
      </c>
      <c r="AJ1371" t="s">
        <v>108</v>
      </c>
    </row>
    <row r="1372" spans="14:36" x14ac:dyDescent="0.3">
      <c r="N1372" s="8">
        <v>2026</v>
      </c>
      <c r="O1372" s="8">
        <v>5</v>
      </c>
      <c r="P1372" s="9">
        <v>46145</v>
      </c>
      <c r="Q1372" t="s">
        <v>238</v>
      </c>
      <c r="R1372" t="s">
        <v>239</v>
      </c>
      <c r="S1372" t="s">
        <v>240</v>
      </c>
      <c r="T1372" t="s">
        <v>1752</v>
      </c>
      <c r="U1372" t="s">
        <v>1753</v>
      </c>
      <c r="V1372" t="s">
        <v>246</v>
      </c>
      <c r="W1372" t="s">
        <v>244</v>
      </c>
      <c r="X1372" t="s">
        <v>1754</v>
      </c>
      <c r="Y1372" t="s">
        <v>191</v>
      </c>
      <c r="Z1372" t="s">
        <v>335</v>
      </c>
      <c r="AA1372" t="s">
        <v>337</v>
      </c>
      <c r="AB1372" t="s">
        <v>348</v>
      </c>
      <c r="AC1372" t="s">
        <v>349</v>
      </c>
      <c r="AD1372" t="s">
        <v>350</v>
      </c>
      <c r="AE1372" s="7">
        <v>76000</v>
      </c>
      <c r="AF1372" s="7">
        <v>1</v>
      </c>
      <c r="AG1372" s="7">
        <v>76000</v>
      </c>
      <c r="AH1372" s="7">
        <v>0</v>
      </c>
      <c r="AI1372" s="7">
        <v>76000</v>
      </c>
      <c r="AJ1372" t="s">
        <v>349</v>
      </c>
    </row>
    <row r="1373" spans="14:36" x14ac:dyDescent="0.3">
      <c r="N1373" s="8">
        <v>2026</v>
      </c>
      <c r="O1373" s="8">
        <v>5</v>
      </c>
      <c r="P1373" s="9">
        <v>46145</v>
      </c>
      <c r="Q1373" t="s">
        <v>238</v>
      </c>
      <c r="R1373" t="s">
        <v>239</v>
      </c>
      <c r="S1373" t="s">
        <v>240</v>
      </c>
      <c r="T1373" t="s">
        <v>722</v>
      </c>
      <c r="U1373" t="s">
        <v>723</v>
      </c>
      <c r="V1373" t="s">
        <v>246</v>
      </c>
      <c r="W1373" t="s">
        <v>244</v>
      </c>
      <c r="X1373" t="s">
        <v>1755</v>
      </c>
      <c r="Y1373" t="s">
        <v>191</v>
      </c>
      <c r="Z1373" t="s">
        <v>192</v>
      </c>
      <c r="AA1373" t="s">
        <v>193</v>
      </c>
      <c r="AB1373" t="s">
        <v>110</v>
      </c>
      <c r="AC1373" t="s">
        <v>108</v>
      </c>
      <c r="AD1373" t="s">
        <v>109</v>
      </c>
      <c r="AE1373" s="7">
        <v>235000</v>
      </c>
      <c r="AF1373" s="7">
        <v>1</v>
      </c>
      <c r="AG1373" s="7">
        <v>235000</v>
      </c>
      <c r="AH1373" s="7">
        <v>0</v>
      </c>
      <c r="AI1373" s="7">
        <v>235000</v>
      </c>
      <c r="AJ1373" t="s">
        <v>108</v>
      </c>
    </row>
    <row r="1374" spans="14:36" x14ac:dyDescent="0.3">
      <c r="N1374" s="8">
        <v>2026</v>
      </c>
      <c r="O1374" s="8">
        <v>5</v>
      </c>
      <c r="P1374" s="9">
        <v>46145</v>
      </c>
      <c r="Q1374" t="s">
        <v>238</v>
      </c>
      <c r="R1374" t="s">
        <v>239</v>
      </c>
      <c r="S1374" t="s">
        <v>240</v>
      </c>
      <c r="T1374" t="s">
        <v>840</v>
      </c>
      <c r="U1374" t="s">
        <v>3996</v>
      </c>
      <c r="V1374" t="s">
        <v>246</v>
      </c>
      <c r="W1374" t="s">
        <v>244</v>
      </c>
      <c r="X1374" t="s">
        <v>1758</v>
      </c>
      <c r="Y1374" t="s">
        <v>194</v>
      </c>
      <c r="Z1374" t="s">
        <v>200</v>
      </c>
      <c r="AA1374" t="s">
        <v>201</v>
      </c>
      <c r="AB1374" t="s">
        <v>80</v>
      </c>
      <c r="AC1374" t="s">
        <v>78</v>
      </c>
      <c r="AD1374" t="s">
        <v>79</v>
      </c>
      <c r="AE1374" s="7">
        <v>14000</v>
      </c>
      <c r="AF1374" s="7">
        <v>3</v>
      </c>
      <c r="AG1374" s="7">
        <v>42000</v>
      </c>
      <c r="AH1374" s="7">
        <v>0</v>
      </c>
      <c r="AI1374" s="7">
        <v>42000</v>
      </c>
      <c r="AJ1374" t="s">
        <v>78</v>
      </c>
    </row>
    <row r="1375" spans="14:36" x14ac:dyDescent="0.3">
      <c r="N1375" s="8">
        <v>2026</v>
      </c>
      <c r="O1375" s="8">
        <v>5</v>
      </c>
      <c r="P1375" s="9">
        <v>46145</v>
      </c>
      <c r="Q1375" t="s">
        <v>238</v>
      </c>
      <c r="R1375" t="s">
        <v>279</v>
      </c>
      <c r="S1375" t="s">
        <v>280</v>
      </c>
      <c r="T1375" t="s">
        <v>842</v>
      </c>
      <c r="U1375" t="s">
        <v>3987</v>
      </c>
      <c r="V1375" t="s">
        <v>246</v>
      </c>
      <c r="W1375" t="s">
        <v>244</v>
      </c>
      <c r="X1375" t="s">
        <v>1761</v>
      </c>
      <c r="Y1375" t="s">
        <v>191</v>
      </c>
      <c r="Z1375" t="s">
        <v>192</v>
      </c>
      <c r="AA1375" t="s">
        <v>193</v>
      </c>
      <c r="AB1375" t="s">
        <v>110</v>
      </c>
      <c r="AC1375" t="s">
        <v>108</v>
      </c>
      <c r="AD1375" t="s">
        <v>109</v>
      </c>
      <c r="AE1375" s="7">
        <v>235000</v>
      </c>
      <c r="AF1375" s="7">
        <v>1</v>
      </c>
      <c r="AG1375" s="7">
        <v>235000</v>
      </c>
      <c r="AH1375" s="7">
        <v>0</v>
      </c>
      <c r="AI1375" s="7">
        <v>235000</v>
      </c>
      <c r="AJ1375" t="s">
        <v>108</v>
      </c>
    </row>
    <row r="1376" spans="14:36" x14ac:dyDescent="0.3">
      <c r="N1376" s="8">
        <v>2026</v>
      </c>
      <c r="O1376" s="8">
        <v>5</v>
      </c>
      <c r="P1376" s="9">
        <v>46145</v>
      </c>
      <c r="Q1376" t="s">
        <v>238</v>
      </c>
      <c r="R1376" t="s">
        <v>303</v>
      </c>
      <c r="S1376" t="s">
        <v>304</v>
      </c>
      <c r="T1376" t="s">
        <v>1698</v>
      </c>
      <c r="U1376" t="s">
        <v>4060</v>
      </c>
      <c r="V1376" t="s">
        <v>249</v>
      </c>
      <c r="W1376" t="s">
        <v>244</v>
      </c>
      <c r="X1376" t="s">
        <v>1762</v>
      </c>
      <c r="Y1376" t="s">
        <v>168</v>
      </c>
      <c r="Z1376" t="s">
        <v>181</v>
      </c>
      <c r="AA1376" t="s">
        <v>182</v>
      </c>
      <c r="AB1376" t="s">
        <v>50</v>
      </c>
      <c r="AC1376" t="s">
        <v>48</v>
      </c>
      <c r="AD1376" t="s">
        <v>49</v>
      </c>
      <c r="AE1376" s="7">
        <v>49000</v>
      </c>
      <c r="AF1376" s="7">
        <v>1</v>
      </c>
      <c r="AG1376" s="7">
        <v>49000</v>
      </c>
      <c r="AH1376" s="7">
        <v>0</v>
      </c>
      <c r="AI1376" s="7">
        <v>49000</v>
      </c>
      <c r="AJ1376" t="s">
        <v>48</v>
      </c>
    </row>
    <row r="1377" spans="14:36" x14ac:dyDescent="0.3">
      <c r="N1377" s="8">
        <v>2026</v>
      </c>
      <c r="O1377" s="8">
        <v>5</v>
      </c>
      <c r="P1377" s="9">
        <v>46145</v>
      </c>
      <c r="Q1377" t="s">
        <v>238</v>
      </c>
      <c r="R1377" t="s">
        <v>303</v>
      </c>
      <c r="S1377" t="s">
        <v>304</v>
      </c>
      <c r="T1377" t="s">
        <v>1763</v>
      </c>
      <c r="U1377" t="s">
        <v>3984</v>
      </c>
      <c r="V1377" t="s">
        <v>249</v>
      </c>
      <c r="W1377" t="s">
        <v>244</v>
      </c>
      <c r="X1377" t="s">
        <v>1764</v>
      </c>
      <c r="Y1377" t="s">
        <v>191</v>
      </c>
      <c r="Z1377" t="s">
        <v>192</v>
      </c>
      <c r="AA1377" t="s">
        <v>193</v>
      </c>
      <c r="AB1377" t="s">
        <v>110</v>
      </c>
      <c r="AC1377" t="s">
        <v>108</v>
      </c>
      <c r="AD1377" t="s">
        <v>109</v>
      </c>
      <c r="AE1377" s="7">
        <v>235000</v>
      </c>
      <c r="AF1377" s="7">
        <v>2</v>
      </c>
      <c r="AG1377" s="7">
        <v>470000</v>
      </c>
      <c r="AH1377" s="7">
        <v>0</v>
      </c>
      <c r="AI1377" s="7">
        <v>470000</v>
      </c>
      <c r="AJ1377" t="s">
        <v>108</v>
      </c>
    </row>
    <row r="1378" spans="14:36" x14ac:dyDescent="0.3">
      <c r="N1378" s="8">
        <v>2026</v>
      </c>
      <c r="O1378" s="8">
        <v>5</v>
      </c>
      <c r="P1378" s="9">
        <v>46145</v>
      </c>
      <c r="Q1378" t="s">
        <v>238</v>
      </c>
      <c r="R1378" t="s">
        <v>303</v>
      </c>
      <c r="S1378" t="s">
        <v>304</v>
      </c>
      <c r="T1378" t="s">
        <v>1763</v>
      </c>
      <c r="U1378" t="s">
        <v>3984</v>
      </c>
      <c r="V1378" t="s">
        <v>249</v>
      </c>
      <c r="W1378" t="s">
        <v>244</v>
      </c>
      <c r="X1378" t="s">
        <v>1764</v>
      </c>
      <c r="Y1378" t="s">
        <v>191</v>
      </c>
      <c r="Z1378" t="s">
        <v>192</v>
      </c>
      <c r="AA1378" t="s">
        <v>193</v>
      </c>
      <c r="AB1378" t="s">
        <v>107</v>
      </c>
      <c r="AC1378" t="s">
        <v>105</v>
      </c>
      <c r="AD1378" t="s">
        <v>106</v>
      </c>
      <c r="AE1378" s="7">
        <v>235000</v>
      </c>
      <c r="AF1378" s="7">
        <v>1</v>
      </c>
      <c r="AG1378" s="7">
        <v>235000</v>
      </c>
      <c r="AH1378" s="7">
        <v>0</v>
      </c>
      <c r="AI1378" s="7">
        <v>235000</v>
      </c>
      <c r="AJ1378" t="s">
        <v>105</v>
      </c>
    </row>
    <row r="1379" spans="14:36" x14ac:dyDescent="0.3">
      <c r="N1379" s="8">
        <v>2026</v>
      </c>
      <c r="O1379" s="8">
        <v>5</v>
      </c>
      <c r="P1379" s="9">
        <v>46145</v>
      </c>
      <c r="Q1379" t="s">
        <v>238</v>
      </c>
      <c r="R1379" t="s">
        <v>303</v>
      </c>
      <c r="S1379" t="s">
        <v>304</v>
      </c>
      <c r="T1379" t="s">
        <v>857</v>
      </c>
      <c r="U1379" t="s">
        <v>858</v>
      </c>
      <c r="V1379" t="s">
        <v>246</v>
      </c>
      <c r="W1379" t="s">
        <v>244</v>
      </c>
      <c r="X1379" t="s">
        <v>1765</v>
      </c>
      <c r="Y1379" t="s">
        <v>183</v>
      </c>
      <c r="Z1379" t="s">
        <v>184</v>
      </c>
      <c r="AA1379" t="s">
        <v>185</v>
      </c>
      <c r="AB1379" t="s">
        <v>47</v>
      </c>
      <c r="AC1379" t="s">
        <v>45</v>
      </c>
      <c r="AD1379" t="s">
        <v>46</v>
      </c>
      <c r="AE1379" s="7">
        <v>52000</v>
      </c>
      <c r="AF1379" s="7">
        <v>1</v>
      </c>
      <c r="AG1379" s="7">
        <v>52000</v>
      </c>
      <c r="AH1379" s="7">
        <v>0</v>
      </c>
      <c r="AI1379" s="7">
        <v>52000</v>
      </c>
      <c r="AJ1379" t="s">
        <v>45</v>
      </c>
    </row>
    <row r="1380" spans="14:36" x14ac:dyDescent="0.3">
      <c r="N1380" s="8">
        <v>2026</v>
      </c>
      <c r="O1380" s="8">
        <v>5</v>
      </c>
      <c r="P1380" s="9">
        <v>46145</v>
      </c>
      <c r="Q1380" t="s">
        <v>238</v>
      </c>
      <c r="R1380" t="s">
        <v>374</v>
      </c>
      <c r="S1380" t="s">
        <v>375</v>
      </c>
      <c r="T1380" t="s">
        <v>382</v>
      </c>
      <c r="U1380" t="s">
        <v>383</v>
      </c>
      <c r="V1380" t="s">
        <v>243</v>
      </c>
      <c r="W1380" t="s">
        <v>244</v>
      </c>
      <c r="X1380" t="s">
        <v>1767</v>
      </c>
      <c r="Y1380" t="s">
        <v>194</v>
      </c>
      <c r="Z1380" t="s">
        <v>200</v>
      </c>
      <c r="AA1380" t="s">
        <v>201</v>
      </c>
      <c r="AB1380" t="s">
        <v>80</v>
      </c>
      <c r="AC1380" t="s">
        <v>78</v>
      </c>
      <c r="AD1380" t="s">
        <v>79</v>
      </c>
      <c r="AE1380" s="7">
        <v>14000</v>
      </c>
      <c r="AF1380" s="7">
        <v>1</v>
      </c>
      <c r="AG1380" s="7">
        <v>14000</v>
      </c>
      <c r="AH1380" s="7">
        <v>0</v>
      </c>
      <c r="AI1380" s="7">
        <v>14000</v>
      </c>
      <c r="AJ1380" t="s">
        <v>78</v>
      </c>
    </row>
    <row r="1381" spans="14:36" x14ac:dyDescent="0.3">
      <c r="N1381" s="8">
        <v>2026</v>
      </c>
      <c r="O1381" s="8">
        <v>5</v>
      </c>
      <c r="P1381" s="9">
        <v>46145</v>
      </c>
      <c r="Q1381" t="s">
        <v>238</v>
      </c>
      <c r="R1381" t="s">
        <v>374</v>
      </c>
      <c r="S1381" t="s">
        <v>375</v>
      </c>
      <c r="T1381" t="s">
        <v>1768</v>
      </c>
      <c r="U1381" t="s">
        <v>1769</v>
      </c>
      <c r="V1381" t="s">
        <v>249</v>
      </c>
      <c r="W1381" t="s">
        <v>244</v>
      </c>
      <c r="X1381" t="s">
        <v>1770</v>
      </c>
      <c r="Y1381" t="s">
        <v>194</v>
      </c>
      <c r="Z1381" t="s">
        <v>200</v>
      </c>
      <c r="AA1381" t="s">
        <v>201</v>
      </c>
      <c r="AB1381" t="s">
        <v>83</v>
      </c>
      <c r="AC1381" t="s">
        <v>81</v>
      </c>
      <c r="AD1381" t="s">
        <v>82</v>
      </c>
      <c r="AE1381" s="7">
        <v>46000</v>
      </c>
      <c r="AF1381" s="7">
        <v>1</v>
      </c>
      <c r="AG1381" s="7">
        <v>46000</v>
      </c>
      <c r="AH1381" s="7">
        <v>0</v>
      </c>
      <c r="AI1381" s="7">
        <v>46000</v>
      </c>
      <c r="AJ1381" t="s">
        <v>81</v>
      </c>
    </row>
    <row r="1382" spans="14:36" x14ac:dyDescent="0.3">
      <c r="N1382" s="8">
        <v>2026</v>
      </c>
      <c r="O1382" s="8">
        <v>5</v>
      </c>
      <c r="P1382" s="9">
        <v>46145</v>
      </c>
      <c r="Q1382" t="s">
        <v>238</v>
      </c>
      <c r="R1382" t="s">
        <v>374</v>
      </c>
      <c r="S1382" t="s">
        <v>375</v>
      </c>
      <c r="T1382" t="s">
        <v>1771</v>
      </c>
      <c r="U1382" t="s">
        <v>1772</v>
      </c>
      <c r="V1382" t="s">
        <v>246</v>
      </c>
      <c r="W1382" t="s">
        <v>244</v>
      </c>
      <c r="X1382" t="s">
        <v>1773</v>
      </c>
      <c r="Y1382" t="s">
        <v>183</v>
      </c>
      <c r="Z1382" t="s">
        <v>184</v>
      </c>
      <c r="AA1382" t="s">
        <v>185</v>
      </c>
      <c r="AB1382" t="s">
        <v>53</v>
      </c>
      <c r="AC1382" t="s">
        <v>51</v>
      </c>
      <c r="AD1382" t="s">
        <v>52</v>
      </c>
      <c r="AE1382" s="7">
        <v>45000</v>
      </c>
      <c r="AF1382" s="7">
        <v>1</v>
      </c>
      <c r="AG1382" s="7">
        <v>45000</v>
      </c>
      <c r="AH1382" s="7">
        <v>0</v>
      </c>
      <c r="AI1382" s="7">
        <v>45000</v>
      </c>
      <c r="AJ1382" t="s">
        <v>51</v>
      </c>
    </row>
    <row r="1383" spans="14:36" x14ac:dyDescent="0.3">
      <c r="N1383" s="8">
        <v>2026</v>
      </c>
      <c r="O1383" s="8">
        <v>5</v>
      </c>
      <c r="P1383" s="9">
        <v>46145</v>
      </c>
      <c r="Q1383" t="s">
        <v>238</v>
      </c>
      <c r="R1383" t="s">
        <v>374</v>
      </c>
      <c r="S1383" t="s">
        <v>375</v>
      </c>
      <c r="T1383" t="s">
        <v>1232</v>
      </c>
      <c r="U1383" t="s">
        <v>772</v>
      </c>
      <c r="V1383" t="s">
        <v>249</v>
      </c>
      <c r="W1383" t="s">
        <v>244</v>
      </c>
      <c r="X1383" t="s">
        <v>1774</v>
      </c>
      <c r="Y1383" t="s">
        <v>194</v>
      </c>
      <c r="Z1383" t="s">
        <v>195</v>
      </c>
      <c r="AA1383" t="s">
        <v>196</v>
      </c>
      <c r="AB1383" t="s">
        <v>56</v>
      </c>
      <c r="AC1383" t="s">
        <v>54</v>
      </c>
      <c r="AD1383" t="s">
        <v>55</v>
      </c>
      <c r="AE1383" s="7">
        <v>295000</v>
      </c>
      <c r="AF1383" s="7">
        <v>1</v>
      </c>
      <c r="AG1383" s="7">
        <v>295000</v>
      </c>
      <c r="AH1383" s="7">
        <v>0</v>
      </c>
      <c r="AI1383" s="7">
        <v>295000</v>
      </c>
      <c r="AJ1383" t="s">
        <v>54</v>
      </c>
    </row>
    <row r="1384" spans="14:36" x14ac:dyDescent="0.3">
      <c r="N1384" s="8">
        <v>2026</v>
      </c>
      <c r="O1384" s="8">
        <v>5</v>
      </c>
      <c r="P1384" s="9">
        <v>46145</v>
      </c>
      <c r="Q1384" t="s">
        <v>238</v>
      </c>
      <c r="R1384" t="s">
        <v>396</v>
      </c>
      <c r="S1384" t="s">
        <v>397</v>
      </c>
      <c r="T1384" t="s">
        <v>1775</v>
      </c>
      <c r="U1384" t="s">
        <v>1562</v>
      </c>
      <c r="V1384" t="s">
        <v>246</v>
      </c>
      <c r="W1384" t="s">
        <v>244</v>
      </c>
      <c r="X1384" t="s">
        <v>1776</v>
      </c>
      <c r="Y1384" t="s">
        <v>191</v>
      </c>
      <c r="Z1384" t="s">
        <v>192</v>
      </c>
      <c r="AA1384" t="s">
        <v>193</v>
      </c>
      <c r="AB1384" t="s">
        <v>104</v>
      </c>
      <c r="AC1384" t="s">
        <v>102</v>
      </c>
      <c r="AD1384" t="s">
        <v>103</v>
      </c>
      <c r="AE1384" s="7">
        <v>235000</v>
      </c>
      <c r="AF1384" s="7">
        <v>1</v>
      </c>
      <c r="AG1384" s="7">
        <v>235000</v>
      </c>
      <c r="AH1384" s="7">
        <v>0</v>
      </c>
      <c r="AI1384" s="7">
        <v>235000</v>
      </c>
      <c r="AJ1384" t="s">
        <v>102</v>
      </c>
    </row>
    <row r="1385" spans="14:36" x14ac:dyDescent="0.3">
      <c r="N1385" s="8">
        <v>2026</v>
      </c>
      <c r="O1385" s="8">
        <v>5</v>
      </c>
      <c r="P1385" s="9">
        <v>46145</v>
      </c>
      <c r="Q1385" t="s">
        <v>238</v>
      </c>
      <c r="R1385" t="s">
        <v>396</v>
      </c>
      <c r="S1385" t="s">
        <v>397</v>
      </c>
      <c r="T1385" t="s">
        <v>1280</v>
      </c>
      <c r="U1385" t="s">
        <v>3666</v>
      </c>
      <c r="V1385" t="s">
        <v>246</v>
      </c>
      <c r="W1385" t="s">
        <v>244</v>
      </c>
      <c r="X1385" t="s">
        <v>1777</v>
      </c>
      <c r="Y1385" t="s">
        <v>191</v>
      </c>
      <c r="Z1385" t="s">
        <v>192</v>
      </c>
      <c r="AA1385" t="s">
        <v>193</v>
      </c>
      <c r="AB1385" t="s">
        <v>110</v>
      </c>
      <c r="AC1385" t="s">
        <v>108</v>
      </c>
      <c r="AD1385" t="s">
        <v>109</v>
      </c>
      <c r="AE1385" s="7">
        <v>235000</v>
      </c>
      <c r="AF1385" s="7">
        <v>1</v>
      </c>
      <c r="AG1385" s="7">
        <v>235000</v>
      </c>
      <c r="AH1385" s="7">
        <v>0</v>
      </c>
      <c r="AI1385" s="7">
        <v>235000</v>
      </c>
      <c r="AJ1385" t="s">
        <v>108</v>
      </c>
    </row>
    <row r="1386" spans="14:36" x14ac:dyDescent="0.3">
      <c r="N1386" s="8">
        <v>2026</v>
      </c>
      <c r="O1386" s="8">
        <v>5</v>
      </c>
      <c r="P1386" s="9">
        <v>46145</v>
      </c>
      <c r="Q1386" t="s">
        <v>238</v>
      </c>
      <c r="R1386" t="s">
        <v>415</v>
      </c>
      <c r="S1386" t="s">
        <v>416</v>
      </c>
      <c r="T1386" t="s">
        <v>1247</v>
      </c>
      <c r="U1386" t="s">
        <v>4061</v>
      </c>
      <c r="V1386" t="s">
        <v>246</v>
      </c>
      <c r="W1386" t="s">
        <v>244</v>
      </c>
      <c r="X1386" t="s">
        <v>1779</v>
      </c>
      <c r="Y1386" t="s">
        <v>191</v>
      </c>
      <c r="Z1386" t="s">
        <v>335</v>
      </c>
      <c r="AA1386" t="s">
        <v>337</v>
      </c>
      <c r="AB1386" t="s">
        <v>656</v>
      </c>
      <c r="AC1386" t="s">
        <v>657</v>
      </c>
      <c r="AD1386" t="s">
        <v>658</v>
      </c>
      <c r="AE1386" s="7">
        <v>35000</v>
      </c>
      <c r="AF1386" s="7">
        <v>1</v>
      </c>
      <c r="AG1386" s="7">
        <v>35000</v>
      </c>
      <c r="AH1386" s="7">
        <v>0</v>
      </c>
      <c r="AI1386" s="7">
        <v>35000</v>
      </c>
      <c r="AJ1386" t="s">
        <v>657</v>
      </c>
    </row>
    <row r="1387" spans="14:36" x14ac:dyDescent="0.3">
      <c r="N1387" s="8">
        <v>2026</v>
      </c>
      <c r="O1387" s="8">
        <v>5</v>
      </c>
      <c r="P1387" s="9">
        <v>46145</v>
      </c>
      <c r="Q1387" t="s">
        <v>238</v>
      </c>
      <c r="R1387" t="s">
        <v>415</v>
      </c>
      <c r="S1387" t="s">
        <v>416</v>
      </c>
      <c r="T1387" t="s">
        <v>825</v>
      </c>
      <c r="U1387" t="s">
        <v>4003</v>
      </c>
      <c r="V1387" t="s">
        <v>246</v>
      </c>
      <c r="W1387" t="s">
        <v>244</v>
      </c>
      <c r="X1387" t="s">
        <v>1780</v>
      </c>
      <c r="Y1387" t="s">
        <v>191</v>
      </c>
      <c r="Z1387" t="s">
        <v>335</v>
      </c>
      <c r="AA1387" t="s">
        <v>337</v>
      </c>
      <c r="AB1387" t="s">
        <v>719</v>
      </c>
      <c r="AC1387" t="s">
        <v>720</v>
      </c>
      <c r="AD1387" t="s">
        <v>721</v>
      </c>
      <c r="AE1387" s="7">
        <v>104000</v>
      </c>
      <c r="AF1387" s="7">
        <v>1</v>
      </c>
      <c r="AG1387" s="7">
        <v>104000</v>
      </c>
      <c r="AH1387" s="7">
        <v>0</v>
      </c>
      <c r="AI1387" s="7">
        <v>104000</v>
      </c>
      <c r="AJ1387" t="s">
        <v>720</v>
      </c>
    </row>
    <row r="1388" spans="14:36" x14ac:dyDescent="0.3">
      <c r="N1388" s="8">
        <v>2026</v>
      </c>
      <c r="O1388" s="8">
        <v>5</v>
      </c>
      <c r="P1388" s="9">
        <v>46145</v>
      </c>
      <c r="Q1388" t="s">
        <v>238</v>
      </c>
      <c r="R1388" t="s">
        <v>425</v>
      </c>
      <c r="S1388" t="s">
        <v>426</v>
      </c>
      <c r="T1388" t="s">
        <v>1291</v>
      </c>
      <c r="U1388" t="s">
        <v>296</v>
      </c>
      <c r="V1388" t="s">
        <v>246</v>
      </c>
      <c r="W1388" t="s">
        <v>244</v>
      </c>
      <c r="X1388" t="s">
        <v>1781</v>
      </c>
      <c r="Y1388" t="s">
        <v>191</v>
      </c>
      <c r="Z1388" t="s">
        <v>335</v>
      </c>
      <c r="AA1388" t="s">
        <v>337</v>
      </c>
      <c r="AB1388" t="s">
        <v>348</v>
      </c>
      <c r="AC1388" t="s">
        <v>349</v>
      </c>
      <c r="AD1388" t="s">
        <v>350</v>
      </c>
      <c r="AE1388" s="7">
        <v>76000</v>
      </c>
      <c r="AF1388" s="7">
        <v>1</v>
      </c>
      <c r="AG1388" s="7">
        <v>76000</v>
      </c>
      <c r="AH1388" s="7">
        <v>0</v>
      </c>
      <c r="AI1388" s="7">
        <v>76000</v>
      </c>
      <c r="AJ1388" t="s">
        <v>349</v>
      </c>
    </row>
    <row r="1389" spans="14:36" x14ac:dyDescent="0.3">
      <c r="N1389" s="8">
        <v>2026</v>
      </c>
      <c r="O1389" s="8">
        <v>5</v>
      </c>
      <c r="P1389" s="9">
        <v>46145</v>
      </c>
      <c r="Q1389" t="s">
        <v>238</v>
      </c>
      <c r="R1389" t="s">
        <v>425</v>
      </c>
      <c r="S1389" t="s">
        <v>426</v>
      </c>
      <c r="T1389" t="s">
        <v>1782</v>
      </c>
      <c r="U1389" t="s">
        <v>4062</v>
      </c>
      <c r="V1389" t="s">
        <v>246</v>
      </c>
      <c r="W1389" t="s">
        <v>244</v>
      </c>
      <c r="X1389" t="s">
        <v>1783</v>
      </c>
      <c r="Y1389" t="s">
        <v>191</v>
      </c>
      <c r="Z1389" t="s">
        <v>335</v>
      </c>
      <c r="AA1389" t="s">
        <v>336</v>
      </c>
      <c r="AB1389" t="s">
        <v>1518</v>
      </c>
      <c r="AC1389" t="s">
        <v>1519</v>
      </c>
      <c r="AD1389" t="s">
        <v>1520</v>
      </c>
      <c r="AE1389" s="7">
        <v>54450</v>
      </c>
      <c r="AF1389" s="7">
        <v>1</v>
      </c>
      <c r="AG1389" s="7">
        <v>54450</v>
      </c>
      <c r="AH1389" s="7">
        <v>0</v>
      </c>
      <c r="AI1389" s="7">
        <v>54450</v>
      </c>
      <c r="AJ1389" t="s">
        <v>1519</v>
      </c>
    </row>
    <row r="1390" spans="14:36" x14ac:dyDescent="0.3">
      <c r="N1390" s="8">
        <v>2026</v>
      </c>
      <c r="O1390" s="8">
        <v>5</v>
      </c>
      <c r="P1390" s="9">
        <v>46145</v>
      </c>
      <c r="Q1390" t="s">
        <v>238</v>
      </c>
      <c r="R1390" t="s">
        <v>425</v>
      </c>
      <c r="S1390" t="s">
        <v>426</v>
      </c>
      <c r="T1390" t="s">
        <v>1782</v>
      </c>
      <c r="U1390" t="s">
        <v>4062</v>
      </c>
      <c r="V1390" t="s">
        <v>246</v>
      </c>
      <c r="W1390" t="s">
        <v>244</v>
      </c>
      <c r="X1390" t="s">
        <v>1783</v>
      </c>
      <c r="Y1390" t="s">
        <v>191</v>
      </c>
      <c r="Z1390" t="s">
        <v>335</v>
      </c>
      <c r="AA1390" t="s">
        <v>336</v>
      </c>
      <c r="AB1390" t="s">
        <v>1284</v>
      </c>
      <c r="AC1390" t="s">
        <v>1285</v>
      </c>
      <c r="AD1390" t="s">
        <v>1286</v>
      </c>
      <c r="AE1390" s="7">
        <v>54450</v>
      </c>
      <c r="AF1390" s="7">
        <v>1</v>
      </c>
      <c r="AG1390" s="7">
        <v>54450</v>
      </c>
      <c r="AH1390" s="7">
        <v>0</v>
      </c>
      <c r="AI1390" s="7">
        <v>54450</v>
      </c>
      <c r="AJ1390" t="s">
        <v>1285</v>
      </c>
    </row>
    <row r="1391" spans="14:36" x14ac:dyDescent="0.3">
      <c r="N1391" s="8">
        <v>2026</v>
      </c>
      <c r="O1391" s="8">
        <v>5</v>
      </c>
      <c r="P1391" s="9">
        <v>46145</v>
      </c>
      <c r="Q1391" t="s">
        <v>238</v>
      </c>
      <c r="R1391" t="s">
        <v>425</v>
      </c>
      <c r="S1391" t="s">
        <v>426</v>
      </c>
      <c r="T1391" t="s">
        <v>1784</v>
      </c>
      <c r="U1391" t="s">
        <v>395</v>
      </c>
      <c r="V1391" t="s">
        <v>246</v>
      </c>
      <c r="W1391" t="s">
        <v>244</v>
      </c>
      <c r="X1391" t="s">
        <v>1785</v>
      </c>
      <c r="Y1391" t="s">
        <v>194</v>
      </c>
      <c r="Z1391" t="s">
        <v>195</v>
      </c>
      <c r="AA1391" t="s">
        <v>196</v>
      </c>
      <c r="AB1391" t="s">
        <v>65</v>
      </c>
      <c r="AC1391" t="s">
        <v>63</v>
      </c>
      <c r="AD1391" t="s">
        <v>64</v>
      </c>
      <c r="AE1391" s="7">
        <v>390000</v>
      </c>
      <c r="AF1391" s="7">
        <v>1</v>
      </c>
      <c r="AG1391" s="7">
        <v>390000</v>
      </c>
      <c r="AH1391" s="7">
        <v>0</v>
      </c>
      <c r="AI1391" s="7">
        <v>390000</v>
      </c>
      <c r="AJ1391" t="s">
        <v>63</v>
      </c>
    </row>
    <row r="1392" spans="14:36" x14ac:dyDescent="0.3">
      <c r="N1392" s="8">
        <v>2026</v>
      </c>
      <c r="O1392" s="8">
        <v>5</v>
      </c>
      <c r="P1392" s="9">
        <v>46145</v>
      </c>
      <c r="Q1392" t="s">
        <v>238</v>
      </c>
      <c r="R1392" t="s">
        <v>425</v>
      </c>
      <c r="S1392" t="s">
        <v>426</v>
      </c>
      <c r="T1392" t="s">
        <v>1786</v>
      </c>
      <c r="U1392" t="s">
        <v>1787</v>
      </c>
      <c r="V1392" t="s">
        <v>246</v>
      </c>
      <c r="W1392" t="s">
        <v>244</v>
      </c>
      <c r="X1392" t="s">
        <v>1788</v>
      </c>
      <c r="Y1392" t="s">
        <v>191</v>
      </c>
      <c r="Z1392" t="s">
        <v>335</v>
      </c>
      <c r="AA1392" t="s">
        <v>337</v>
      </c>
      <c r="AB1392" t="s">
        <v>348</v>
      </c>
      <c r="AC1392" t="s">
        <v>349</v>
      </c>
      <c r="AD1392" t="s">
        <v>350</v>
      </c>
      <c r="AE1392" s="7">
        <v>76000</v>
      </c>
      <c r="AF1392" s="7">
        <v>1</v>
      </c>
      <c r="AG1392" s="7">
        <v>76000</v>
      </c>
      <c r="AH1392" s="7">
        <v>0</v>
      </c>
      <c r="AI1392" s="7">
        <v>76000</v>
      </c>
      <c r="AJ1392" t="s">
        <v>349</v>
      </c>
    </row>
    <row r="1393" spans="14:36" x14ac:dyDescent="0.3">
      <c r="N1393" s="8">
        <v>2026</v>
      </c>
      <c r="O1393" s="8">
        <v>5</v>
      </c>
      <c r="P1393" s="9">
        <v>46145</v>
      </c>
      <c r="Q1393" t="s">
        <v>238</v>
      </c>
      <c r="R1393" t="s">
        <v>425</v>
      </c>
      <c r="S1393" t="s">
        <v>426</v>
      </c>
      <c r="T1393" t="s">
        <v>1786</v>
      </c>
      <c r="U1393" t="s">
        <v>1787</v>
      </c>
      <c r="V1393" t="s">
        <v>246</v>
      </c>
      <c r="W1393" t="s">
        <v>244</v>
      </c>
      <c r="X1393" t="s">
        <v>1789</v>
      </c>
      <c r="Y1393" t="s">
        <v>191</v>
      </c>
      <c r="Z1393" t="s">
        <v>335</v>
      </c>
      <c r="AA1393" t="s">
        <v>337</v>
      </c>
      <c r="AB1393" t="s">
        <v>719</v>
      </c>
      <c r="AC1393" t="s">
        <v>720</v>
      </c>
      <c r="AD1393" t="s">
        <v>721</v>
      </c>
      <c r="AE1393" s="7">
        <v>104000</v>
      </c>
      <c r="AF1393" s="7">
        <v>1</v>
      </c>
      <c r="AG1393" s="7">
        <v>104000</v>
      </c>
      <c r="AH1393" s="7">
        <v>0</v>
      </c>
      <c r="AI1393" s="7">
        <v>104000</v>
      </c>
      <c r="AJ1393" t="s">
        <v>720</v>
      </c>
    </row>
    <row r="1394" spans="14:36" x14ac:dyDescent="0.3">
      <c r="N1394" s="8">
        <v>2026</v>
      </c>
      <c r="O1394" s="8">
        <v>5</v>
      </c>
      <c r="P1394" s="9">
        <v>46144</v>
      </c>
      <c r="Q1394" t="s">
        <v>238</v>
      </c>
      <c r="R1394" t="s">
        <v>239</v>
      </c>
      <c r="S1394" t="s">
        <v>240</v>
      </c>
      <c r="T1394" t="s">
        <v>1790</v>
      </c>
      <c r="U1394" t="s">
        <v>4063</v>
      </c>
      <c r="V1394" t="s">
        <v>246</v>
      </c>
      <c r="W1394" t="s">
        <v>244</v>
      </c>
      <c r="X1394" t="s">
        <v>1791</v>
      </c>
      <c r="Y1394" t="s">
        <v>183</v>
      </c>
      <c r="Z1394" t="s">
        <v>184</v>
      </c>
      <c r="AA1394" t="s">
        <v>185</v>
      </c>
      <c r="AB1394" t="s">
        <v>53</v>
      </c>
      <c r="AC1394" t="s">
        <v>51</v>
      </c>
      <c r="AD1394" t="s">
        <v>52</v>
      </c>
      <c r="AE1394" s="7">
        <v>45000</v>
      </c>
      <c r="AF1394" s="7">
        <v>1</v>
      </c>
      <c r="AG1394" s="7">
        <v>45000</v>
      </c>
      <c r="AH1394" s="7">
        <v>0</v>
      </c>
      <c r="AI1394" s="7">
        <v>45000</v>
      </c>
      <c r="AJ1394" t="s">
        <v>51</v>
      </c>
    </row>
    <row r="1395" spans="14:36" x14ac:dyDescent="0.3">
      <c r="N1395" s="8">
        <v>2026</v>
      </c>
      <c r="O1395" s="8">
        <v>5</v>
      </c>
      <c r="P1395" s="9">
        <v>46144</v>
      </c>
      <c r="Q1395" t="s">
        <v>238</v>
      </c>
      <c r="R1395" t="s">
        <v>239</v>
      </c>
      <c r="S1395" t="s">
        <v>240</v>
      </c>
      <c r="T1395" t="s">
        <v>263</v>
      </c>
      <c r="U1395" t="s">
        <v>264</v>
      </c>
      <c r="V1395" t="s">
        <v>246</v>
      </c>
      <c r="W1395" t="s">
        <v>244</v>
      </c>
      <c r="X1395" t="s">
        <v>1792</v>
      </c>
      <c r="Y1395" t="s">
        <v>194</v>
      </c>
      <c r="Z1395" t="s">
        <v>200</v>
      </c>
      <c r="AA1395" t="s">
        <v>201</v>
      </c>
      <c r="AB1395" t="s">
        <v>89</v>
      </c>
      <c r="AC1395" t="s">
        <v>87</v>
      </c>
      <c r="AD1395" t="s">
        <v>88</v>
      </c>
      <c r="AE1395" s="7">
        <v>46000</v>
      </c>
      <c r="AF1395" s="7">
        <v>1</v>
      </c>
      <c r="AG1395" s="7">
        <v>46000</v>
      </c>
      <c r="AH1395" s="7">
        <v>0</v>
      </c>
      <c r="AI1395" s="7">
        <v>46000</v>
      </c>
      <c r="AJ1395" t="s">
        <v>87</v>
      </c>
    </row>
    <row r="1396" spans="14:36" x14ac:dyDescent="0.3">
      <c r="N1396" s="8">
        <v>2026</v>
      </c>
      <c r="O1396" s="8">
        <v>5</v>
      </c>
      <c r="P1396" s="9">
        <v>46144</v>
      </c>
      <c r="Q1396" t="s">
        <v>238</v>
      </c>
      <c r="R1396" t="s">
        <v>279</v>
      </c>
      <c r="S1396" t="s">
        <v>280</v>
      </c>
      <c r="T1396" t="s">
        <v>1793</v>
      </c>
      <c r="U1396" t="s">
        <v>547</v>
      </c>
      <c r="V1396" t="s">
        <v>246</v>
      </c>
      <c r="W1396" t="s">
        <v>244</v>
      </c>
      <c r="X1396" t="s">
        <v>1794</v>
      </c>
      <c r="Y1396" t="s">
        <v>191</v>
      </c>
      <c r="Z1396" t="s">
        <v>192</v>
      </c>
      <c r="AA1396" t="s">
        <v>193</v>
      </c>
      <c r="AB1396" t="s">
        <v>107</v>
      </c>
      <c r="AC1396" t="s">
        <v>105</v>
      </c>
      <c r="AD1396" t="s">
        <v>106</v>
      </c>
      <c r="AE1396" s="7">
        <v>235000</v>
      </c>
      <c r="AF1396" s="7">
        <v>1</v>
      </c>
      <c r="AG1396" s="7">
        <v>235000</v>
      </c>
      <c r="AH1396" s="7">
        <v>0</v>
      </c>
      <c r="AI1396" s="7">
        <v>235000</v>
      </c>
      <c r="AJ1396" t="s">
        <v>105</v>
      </c>
    </row>
    <row r="1397" spans="14:36" x14ac:dyDescent="0.3">
      <c r="N1397" s="8">
        <v>2026</v>
      </c>
      <c r="O1397" s="8">
        <v>5</v>
      </c>
      <c r="P1397" s="9">
        <v>46144</v>
      </c>
      <c r="Q1397" t="s">
        <v>238</v>
      </c>
      <c r="R1397" t="s">
        <v>303</v>
      </c>
      <c r="S1397" t="s">
        <v>304</v>
      </c>
      <c r="T1397" t="s">
        <v>1796</v>
      </c>
      <c r="U1397" t="s">
        <v>1797</v>
      </c>
      <c r="V1397" t="s">
        <v>246</v>
      </c>
      <c r="W1397" t="s">
        <v>244</v>
      </c>
      <c r="X1397" t="s">
        <v>1798</v>
      </c>
      <c r="Y1397" t="s">
        <v>191</v>
      </c>
      <c r="Z1397" t="s">
        <v>335</v>
      </c>
      <c r="AA1397" t="s">
        <v>337</v>
      </c>
      <c r="AB1397" t="s">
        <v>348</v>
      </c>
      <c r="AC1397" t="s">
        <v>349</v>
      </c>
      <c r="AD1397" t="s">
        <v>350</v>
      </c>
      <c r="AE1397" s="7">
        <v>76000</v>
      </c>
      <c r="AF1397" s="7">
        <v>2</v>
      </c>
      <c r="AG1397" s="7">
        <v>152000</v>
      </c>
      <c r="AH1397" s="7">
        <v>0</v>
      </c>
      <c r="AI1397" s="7">
        <v>152000</v>
      </c>
      <c r="AJ1397" t="s">
        <v>349</v>
      </c>
    </row>
    <row r="1398" spans="14:36" x14ac:dyDescent="0.3">
      <c r="N1398" s="8">
        <v>2026</v>
      </c>
      <c r="O1398" s="8">
        <v>5</v>
      </c>
      <c r="P1398" s="9">
        <v>46144</v>
      </c>
      <c r="Q1398" t="s">
        <v>238</v>
      </c>
      <c r="R1398" t="s">
        <v>303</v>
      </c>
      <c r="S1398" t="s">
        <v>304</v>
      </c>
      <c r="T1398" t="s">
        <v>1802</v>
      </c>
      <c r="U1398" t="s">
        <v>296</v>
      </c>
      <c r="V1398" t="s">
        <v>246</v>
      </c>
      <c r="W1398" t="s">
        <v>244</v>
      </c>
      <c r="X1398" t="s">
        <v>1803</v>
      </c>
      <c r="Y1398" t="s">
        <v>168</v>
      </c>
      <c r="Z1398" t="s">
        <v>181</v>
      </c>
      <c r="AA1398" t="s">
        <v>182</v>
      </c>
      <c r="AB1398" t="s">
        <v>50</v>
      </c>
      <c r="AC1398" t="s">
        <v>48</v>
      </c>
      <c r="AD1398" t="s">
        <v>49</v>
      </c>
      <c r="AE1398" s="7">
        <v>49000</v>
      </c>
      <c r="AF1398" s="7">
        <v>1</v>
      </c>
      <c r="AG1398" s="7">
        <v>49000</v>
      </c>
      <c r="AH1398" s="7">
        <v>0</v>
      </c>
      <c r="AI1398" s="7">
        <v>49000</v>
      </c>
      <c r="AJ1398" t="s">
        <v>48</v>
      </c>
    </row>
    <row r="1399" spans="14:36" x14ac:dyDescent="0.3">
      <c r="N1399" s="8">
        <v>2026</v>
      </c>
      <c r="O1399" s="8">
        <v>5</v>
      </c>
      <c r="P1399" s="9">
        <v>46144</v>
      </c>
      <c r="Q1399" t="s">
        <v>238</v>
      </c>
      <c r="R1399" t="s">
        <v>303</v>
      </c>
      <c r="S1399" t="s">
        <v>304</v>
      </c>
      <c r="T1399" t="s">
        <v>322</v>
      </c>
      <c r="U1399" t="s">
        <v>323</v>
      </c>
      <c r="V1399" t="s">
        <v>246</v>
      </c>
      <c r="W1399" t="s">
        <v>244</v>
      </c>
      <c r="X1399" t="s">
        <v>1804</v>
      </c>
      <c r="Y1399" t="s">
        <v>183</v>
      </c>
      <c r="Z1399" t="s">
        <v>184</v>
      </c>
      <c r="AA1399" t="s">
        <v>185</v>
      </c>
      <c r="AB1399" t="s">
        <v>53</v>
      </c>
      <c r="AC1399" t="s">
        <v>51</v>
      </c>
      <c r="AD1399" t="s">
        <v>52</v>
      </c>
      <c r="AE1399" s="7">
        <v>45000</v>
      </c>
      <c r="AF1399" s="7">
        <v>1</v>
      </c>
      <c r="AG1399" s="7">
        <v>45000</v>
      </c>
      <c r="AH1399" s="7">
        <v>0</v>
      </c>
      <c r="AI1399" s="7">
        <v>45000</v>
      </c>
      <c r="AJ1399" t="s">
        <v>51</v>
      </c>
    </row>
    <row r="1400" spans="14:36" x14ac:dyDescent="0.3">
      <c r="N1400" s="8">
        <v>2026</v>
      </c>
      <c r="O1400" s="8">
        <v>5</v>
      </c>
      <c r="P1400" s="9">
        <v>46144</v>
      </c>
      <c r="Q1400" t="s">
        <v>238</v>
      </c>
      <c r="R1400" t="s">
        <v>303</v>
      </c>
      <c r="S1400" t="s">
        <v>304</v>
      </c>
      <c r="T1400" t="s">
        <v>1805</v>
      </c>
      <c r="U1400" t="s">
        <v>4029</v>
      </c>
      <c r="V1400" t="s">
        <v>246</v>
      </c>
      <c r="W1400" t="s">
        <v>244</v>
      </c>
      <c r="X1400" t="s">
        <v>1806</v>
      </c>
      <c r="Y1400" t="s">
        <v>168</v>
      </c>
      <c r="Z1400" t="s">
        <v>181</v>
      </c>
      <c r="AA1400" t="s">
        <v>182</v>
      </c>
      <c r="AB1400" t="s">
        <v>50</v>
      </c>
      <c r="AC1400" t="s">
        <v>48</v>
      </c>
      <c r="AD1400" t="s">
        <v>49</v>
      </c>
      <c r="AE1400" s="7">
        <v>49000</v>
      </c>
      <c r="AF1400" s="7">
        <v>1</v>
      </c>
      <c r="AG1400" s="7">
        <v>49000</v>
      </c>
      <c r="AH1400" s="7">
        <v>0</v>
      </c>
      <c r="AI1400" s="7">
        <v>49000</v>
      </c>
      <c r="AJ1400" t="s">
        <v>48</v>
      </c>
    </row>
    <row r="1401" spans="14:36" x14ac:dyDescent="0.3">
      <c r="N1401" s="8">
        <v>2026</v>
      </c>
      <c r="O1401" s="8">
        <v>5</v>
      </c>
      <c r="P1401" s="9">
        <v>46144</v>
      </c>
      <c r="Q1401" t="s">
        <v>238</v>
      </c>
      <c r="R1401" t="s">
        <v>303</v>
      </c>
      <c r="S1401" t="s">
        <v>304</v>
      </c>
      <c r="T1401" t="s">
        <v>1807</v>
      </c>
      <c r="U1401" t="s">
        <v>1688</v>
      </c>
      <c r="V1401" t="s">
        <v>249</v>
      </c>
      <c r="W1401" t="s">
        <v>244</v>
      </c>
      <c r="X1401" t="s">
        <v>1808</v>
      </c>
      <c r="Y1401" t="s">
        <v>191</v>
      </c>
      <c r="Z1401" t="s">
        <v>192</v>
      </c>
      <c r="AA1401" t="s">
        <v>193</v>
      </c>
      <c r="AB1401" t="s">
        <v>110</v>
      </c>
      <c r="AC1401" t="s">
        <v>108</v>
      </c>
      <c r="AD1401" t="s">
        <v>109</v>
      </c>
      <c r="AE1401" s="7">
        <v>235000</v>
      </c>
      <c r="AF1401" s="7">
        <v>1</v>
      </c>
      <c r="AG1401" s="7">
        <v>235000</v>
      </c>
      <c r="AH1401" s="7">
        <v>0</v>
      </c>
      <c r="AI1401" s="7">
        <v>235000</v>
      </c>
      <c r="AJ1401" t="s">
        <v>108</v>
      </c>
    </row>
    <row r="1402" spans="14:36" x14ac:dyDescent="0.3">
      <c r="N1402" s="8">
        <v>2026</v>
      </c>
      <c r="O1402" s="8">
        <v>5</v>
      </c>
      <c r="P1402" s="9">
        <v>46144</v>
      </c>
      <c r="Q1402" t="s">
        <v>238</v>
      </c>
      <c r="R1402" t="s">
        <v>351</v>
      </c>
      <c r="S1402" t="s">
        <v>352</v>
      </c>
      <c r="T1402" t="s">
        <v>356</v>
      </c>
      <c r="U1402" t="s">
        <v>357</v>
      </c>
      <c r="V1402" t="s">
        <v>243</v>
      </c>
      <c r="W1402" t="s">
        <v>244</v>
      </c>
      <c r="X1402" t="s">
        <v>1809</v>
      </c>
      <c r="Y1402" t="s">
        <v>191</v>
      </c>
      <c r="Z1402" t="s">
        <v>335</v>
      </c>
      <c r="AA1402" t="s">
        <v>337</v>
      </c>
      <c r="AB1402" t="s">
        <v>656</v>
      </c>
      <c r="AC1402" t="s">
        <v>657</v>
      </c>
      <c r="AD1402" t="s">
        <v>658</v>
      </c>
      <c r="AE1402" s="7">
        <v>35000</v>
      </c>
      <c r="AF1402" s="7">
        <v>3</v>
      </c>
      <c r="AG1402" s="7">
        <v>105000</v>
      </c>
      <c r="AH1402" s="7">
        <v>0</v>
      </c>
      <c r="AI1402" s="7">
        <v>105000</v>
      </c>
      <c r="AJ1402" t="s">
        <v>657</v>
      </c>
    </row>
    <row r="1403" spans="14:36" x14ac:dyDescent="0.3">
      <c r="N1403" s="8">
        <v>2026</v>
      </c>
      <c r="O1403" s="8">
        <v>5</v>
      </c>
      <c r="P1403" s="9">
        <v>46144</v>
      </c>
      <c r="Q1403" t="s">
        <v>238</v>
      </c>
      <c r="R1403" t="s">
        <v>351</v>
      </c>
      <c r="S1403" t="s">
        <v>352</v>
      </c>
      <c r="T1403" t="s">
        <v>1810</v>
      </c>
      <c r="U1403" t="s">
        <v>4064</v>
      </c>
      <c r="V1403" t="s">
        <v>246</v>
      </c>
      <c r="W1403" t="s">
        <v>244</v>
      </c>
      <c r="X1403" t="s">
        <v>1811</v>
      </c>
      <c r="Y1403" t="s">
        <v>191</v>
      </c>
      <c r="Z1403" t="s">
        <v>335</v>
      </c>
      <c r="AA1403" t="s">
        <v>337</v>
      </c>
      <c r="AB1403" t="s">
        <v>656</v>
      </c>
      <c r="AC1403" t="s">
        <v>657</v>
      </c>
      <c r="AD1403" t="s">
        <v>658</v>
      </c>
      <c r="AE1403" s="7">
        <v>35000</v>
      </c>
      <c r="AF1403" s="7">
        <v>3</v>
      </c>
      <c r="AG1403" s="7">
        <v>105000</v>
      </c>
      <c r="AH1403" s="7">
        <v>0</v>
      </c>
      <c r="AI1403" s="7">
        <v>105000</v>
      </c>
      <c r="AJ1403" t="s">
        <v>657</v>
      </c>
    </row>
    <row r="1404" spans="14:36" x14ac:dyDescent="0.3">
      <c r="N1404" s="8">
        <v>2026</v>
      </c>
      <c r="O1404" s="8">
        <v>5</v>
      </c>
      <c r="P1404" s="9">
        <v>46144</v>
      </c>
      <c r="Q1404" t="s">
        <v>238</v>
      </c>
      <c r="R1404" t="s">
        <v>351</v>
      </c>
      <c r="S1404" t="s">
        <v>352</v>
      </c>
      <c r="T1404" t="s">
        <v>1812</v>
      </c>
      <c r="U1404" t="s">
        <v>3997</v>
      </c>
      <c r="V1404" t="s">
        <v>249</v>
      </c>
      <c r="W1404" t="s">
        <v>244</v>
      </c>
      <c r="X1404" t="s">
        <v>1813</v>
      </c>
      <c r="Y1404" t="s">
        <v>168</v>
      </c>
      <c r="Z1404" t="s">
        <v>171</v>
      </c>
      <c r="AA1404" t="s">
        <v>175</v>
      </c>
      <c r="AB1404" t="s">
        <v>44</v>
      </c>
      <c r="AC1404" t="s">
        <v>42</v>
      </c>
      <c r="AD1404" t="s">
        <v>43</v>
      </c>
      <c r="AE1404" s="7">
        <v>294000</v>
      </c>
      <c r="AF1404" s="7">
        <v>3</v>
      </c>
      <c r="AG1404" s="7">
        <v>882000</v>
      </c>
      <c r="AH1404" s="7">
        <v>0</v>
      </c>
      <c r="AI1404" s="7">
        <v>882000</v>
      </c>
      <c r="AJ1404" t="s">
        <v>42</v>
      </c>
    </row>
    <row r="1405" spans="14:36" x14ac:dyDescent="0.3">
      <c r="N1405" s="8">
        <v>2026</v>
      </c>
      <c r="O1405" s="8">
        <v>5</v>
      </c>
      <c r="P1405" s="9">
        <v>46144</v>
      </c>
      <c r="Q1405" t="s">
        <v>238</v>
      </c>
      <c r="R1405" t="s">
        <v>396</v>
      </c>
      <c r="S1405" t="s">
        <v>397</v>
      </c>
      <c r="T1405" t="s">
        <v>1380</v>
      </c>
      <c r="U1405" t="s">
        <v>464</v>
      </c>
      <c r="V1405" t="s">
        <v>246</v>
      </c>
      <c r="W1405" t="s">
        <v>244</v>
      </c>
      <c r="X1405" t="s">
        <v>1817</v>
      </c>
      <c r="Y1405" t="s">
        <v>191</v>
      </c>
      <c r="Z1405" t="s">
        <v>192</v>
      </c>
      <c r="AA1405" t="s">
        <v>193</v>
      </c>
      <c r="AB1405" t="s">
        <v>110</v>
      </c>
      <c r="AC1405" t="s">
        <v>108</v>
      </c>
      <c r="AD1405" t="s">
        <v>109</v>
      </c>
      <c r="AE1405" s="7">
        <v>235000</v>
      </c>
      <c r="AF1405" s="7">
        <v>1</v>
      </c>
      <c r="AG1405" s="7">
        <v>235000</v>
      </c>
      <c r="AH1405" s="7">
        <v>0</v>
      </c>
      <c r="AI1405" s="7">
        <v>235000</v>
      </c>
      <c r="AJ1405" t="s">
        <v>108</v>
      </c>
    </row>
    <row r="1406" spans="14:36" x14ac:dyDescent="0.3">
      <c r="N1406" s="8">
        <v>2026</v>
      </c>
      <c r="O1406" s="8">
        <v>5</v>
      </c>
      <c r="P1406" s="9">
        <v>46144</v>
      </c>
      <c r="Q1406" t="s">
        <v>238</v>
      </c>
      <c r="R1406" t="s">
        <v>415</v>
      </c>
      <c r="S1406" t="s">
        <v>416</v>
      </c>
      <c r="T1406" t="s">
        <v>1818</v>
      </c>
      <c r="U1406" t="s">
        <v>1819</v>
      </c>
      <c r="V1406" t="s">
        <v>246</v>
      </c>
      <c r="W1406" t="s">
        <v>244</v>
      </c>
      <c r="X1406" t="s">
        <v>1820</v>
      </c>
      <c r="Y1406" t="s">
        <v>191</v>
      </c>
      <c r="Z1406" t="s">
        <v>335</v>
      </c>
      <c r="AA1406" t="s">
        <v>336</v>
      </c>
      <c r="AB1406" t="s">
        <v>1146</v>
      </c>
      <c r="AC1406" t="s">
        <v>1147</v>
      </c>
      <c r="AD1406" t="s">
        <v>1148</v>
      </c>
      <c r="AE1406" s="7">
        <v>54450</v>
      </c>
      <c r="AF1406" s="7">
        <v>1</v>
      </c>
      <c r="AG1406" s="7">
        <v>54450</v>
      </c>
      <c r="AH1406" s="7">
        <v>0</v>
      </c>
      <c r="AI1406" s="7">
        <v>54450</v>
      </c>
      <c r="AJ1406" t="s">
        <v>1147</v>
      </c>
    </row>
    <row r="1407" spans="14:36" x14ac:dyDescent="0.3">
      <c r="N1407" s="8">
        <v>2026</v>
      </c>
      <c r="O1407" s="8">
        <v>5</v>
      </c>
      <c r="P1407" s="9">
        <v>46144</v>
      </c>
      <c r="Q1407" t="s">
        <v>238</v>
      </c>
      <c r="R1407" t="s">
        <v>425</v>
      </c>
      <c r="S1407" t="s">
        <v>426</v>
      </c>
      <c r="T1407" t="s">
        <v>1589</v>
      </c>
      <c r="U1407" t="s">
        <v>3862</v>
      </c>
      <c r="V1407" t="s">
        <v>246</v>
      </c>
      <c r="W1407" t="s">
        <v>244</v>
      </c>
      <c r="X1407" t="s">
        <v>1823</v>
      </c>
      <c r="Y1407" t="s">
        <v>183</v>
      </c>
      <c r="Z1407" t="s">
        <v>189</v>
      </c>
      <c r="AA1407" t="s">
        <v>190</v>
      </c>
      <c r="AB1407" t="s">
        <v>92</v>
      </c>
      <c r="AC1407" t="s">
        <v>90</v>
      </c>
      <c r="AD1407" t="s">
        <v>91</v>
      </c>
      <c r="AE1407" s="7">
        <v>52000</v>
      </c>
      <c r="AF1407" s="7">
        <v>2</v>
      </c>
      <c r="AG1407" s="7">
        <v>104000</v>
      </c>
      <c r="AH1407" s="7">
        <v>0</v>
      </c>
      <c r="AI1407" s="7">
        <v>104000</v>
      </c>
      <c r="AJ1407" t="s">
        <v>90</v>
      </c>
    </row>
    <row r="1408" spans="14:36" x14ac:dyDescent="0.3">
      <c r="N1408" s="8">
        <v>2026</v>
      </c>
      <c r="O1408" s="8">
        <v>5</v>
      </c>
      <c r="P1408" s="9">
        <v>46144</v>
      </c>
      <c r="Q1408" t="s">
        <v>238</v>
      </c>
      <c r="R1408" t="s">
        <v>425</v>
      </c>
      <c r="S1408" t="s">
        <v>426</v>
      </c>
      <c r="T1408" t="s">
        <v>786</v>
      </c>
      <c r="U1408" t="s">
        <v>495</v>
      </c>
      <c r="V1408" t="s">
        <v>246</v>
      </c>
      <c r="W1408" t="s">
        <v>244</v>
      </c>
      <c r="X1408" t="s">
        <v>1824</v>
      </c>
      <c r="Y1408" t="s">
        <v>194</v>
      </c>
      <c r="Z1408" t="s">
        <v>200</v>
      </c>
      <c r="AA1408" t="s">
        <v>201</v>
      </c>
      <c r="AB1408" t="s">
        <v>80</v>
      </c>
      <c r="AC1408" t="s">
        <v>78</v>
      </c>
      <c r="AD1408" t="s">
        <v>79</v>
      </c>
      <c r="AE1408" s="7">
        <v>14000</v>
      </c>
      <c r="AF1408" s="7">
        <v>5</v>
      </c>
      <c r="AG1408" s="7">
        <v>70000</v>
      </c>
      <c r="AH1408" s="7">
        <v>0</v>
      </c>
      <c r="AI1408" s="7">
        <v>70000</v>
      </c>
      <c r="AJ1408" t="s">
        <v>78</v>
      </c>
    </row>
    <row r="1409" spans="14:36" x14ac:dyDescent="0.3">
      <c r="N1409" s="8">
        <v>2026</v>
      </c>
      <c r="O1409" s="8">
        <v>5</v>
      </c>
      <c r="P1409" s="9">
        <v>46144</v>
      </c>
      <c r="Q1409" t="s">
        <v>238</v>
      </c>
      <c r="R1409" t="s">
        <v>425</v>
      </c>
      <c r="S1409" t="s">
        <v>426</v>
      </c>
      <c r="T1409" t="s">
        <v>1616</v>
      </c>
      <c r="U1409" t="s">
        <v>318</v>
      </c>
      <c r="V1409" t="s">
        <v>246</v>
      </c>
      <c r="W1409" t="s">
        <v>244</v>
      </c>
      <c r="X1409" t="s">
        <v>1825</v>
      </c>
      <c r="Y1409" t="s">
        <v>183</v>
      </c>
      <c r="Z1409" t="s">
        <v>184</v>
      </c>
      <c r="AA1409" t="s">
        <v>185</v>
      </c>
      <c r="AB1409" t="s">
        <v>47</v>
      </c>
      <c r="AC1409" t="s">
        <v>45</v>
      </c>
      <c r="AD1409" t="s">
        <v>46</v>
      </c>
      <c r="AE1409" s="7">
        <v>52000</v>
      </c>
      <c r="AF1409" s="7">
        <v>2</v>
      </c>
      <c r="AG1409" s="7">
        <v>104000</v>
      </c>
      <c r="AH1409" s="7">
        <v>0</v>
      </c>
      <c r="AI1409" s="7">
        <v>104000</v>
      </c>
      <c r="AJ1409" t="s">
        <v>45</v>
      </c>
    </row>
    <row r="1410" spans="14:36" x14ac:dyDescent="0.3">
      <c r="N1410" s="8">
        <v>2026</v>
      </c>
      <c r="O1410" s="8">
        <v>5</v>
      </c>
      <c r="P1410" s="9">
        <v>46144</v>
      </c>
      <c r="Q1410" t="s">
        <v>238</v>
      </c>
      <c r="R1410" t="s">
        <v>425</v>
      </c>
      <c r="S1410" t="s">
        <v>426</v>
      </c>
      <c r="T1410" t="s">
        <v>1616</v>
      </c>
      <c r="U1410" t="s">
        <v>318</v>
      </c>
      <c r="V1410" t="s">
        <v>246</v>
      </c>
      <c r="W1410" t="s">
        <v>244</v>
      </c>
      <c r="X1410" t="s">
        <v>1825</v>
      </c>
      <c r="Y1410" t="s">
        <v>183</v>
      </c>
      <c r="Z1410" t="s">
        <v>184</v>
      </c>
      <c r="AA1410" t="s">
        <v>185</v>
      </c>
      <c r="AB1410" t="s">
        <v>53</v>
      </c>
      <c r="AC1410" t="s">
        <v>51</v>
      </c>
      <c r="AD1410" t="s">
        <v>52</v>
      </c>
      <c r="AE1410" s="7">
        <v>45000</v>
      </c>
      <c r="AF1410" s="7">
        <v>6</v>
      </c>
      <c r="AG1410" s="7">
        <v>270000</v>
      </c>
      <c r="AH1410" s="7">
        <v>0</v>
      </c>
      <c r="AI1410" s="7">
        <v>270000</v>
      </c>
      <c r="AJ1410" t="s">
        <v>51</v>
      </c>
    </row>
    <row r="1411" spans="14:36" x14ac:dyDescent="0.3">
      <c r="N1411" s="8">
        <v>2026</v>
      </c>
      <c r="O1411" s="8">
        <v>5</v>
      </c>
      <c r="P1411" s="9">
        <v>46143</v>
      </c>
      <c r="Q1411" t="s">
        <v>238</v>
      </c>
      <c r="R1411" t="s">
        <v>239</v>
      </c>
      <c r="S1411" t="s">
        <v>240</v>
      </c>
      <c r="T1411" t="s">
        <v>1828</v>
      </c>
      <c r="U1411" t="s">
        <v>329</v>
      </c>
      <c r="V1411" t="s">
        <v>246</v>
      </c>
      <c r="W1411" t="s">
        <v>244</v>
      </c>
      <c r="X1411" t="s">
        <v>1829</v>
      </c>
      <c r="Y1411" t="s">
        <v>191</v>
      </c>
      <c r="Z1411" t="s">
        <v>335</v>
      </c>
      <c r="AA1411" t="s">
        <v>337</v>
      </c>
      <c r="AB1411" t="s">
        <v>348</v>
      </c>
      <c r="AC1411" t="s">
        <v>349</v>
      </c>
      <c r="AD1411" t="s">
        <v>350</v>
      </c>
      <c r="AE1411" s="7">
        <v>76000</v>
      </c>
      <c r="AF1411" s="7">
        <v>2</v>
      </c>
      <c r="AG1411" s="7">
        <v>152000</v>
      </c>
      <c r="AH1411" s="7">
        <v>0</v>
      </c>
      <c r="AI1411" s="7">
        <v>152000</v>
      </c>
      <c r="AJ1411" t="s">
        <v>349</v>
      </c>
    </row>
    <row r="1412" spans="14:36" x14ac:dyDescent="0.3">
      <c r="N1412" s="8">
        <v>2026</v>
      </c>
      <c r="O1412" s="8">
        <v>5</v>
      </c>
      <c r="P1412" s="9">
        <v>46143</v>
      </c>
      <c r="Q1412" t="s">
        <v>238</v>
      </c>
      <c r="R1412" t="s">
        <v>239</v>
      </c>
      <c r="S1412" t="s">
        <v>240</v>
      </c>
      <c r="T1412" t="s">
        <v>1830</v>
      </c>
      <c r="U1412" t="s">
        <v>4065</v>
      </c>
      <c r="V1412" t="s">
        <v>246</v>
      </c>
      <c r="W1412" t="s">
        <v>244</v>
      </c>
      <c r="X1412" t="s">
        <v>1831</v>
      </c>
      <c r="Y1412" t="s">
        <v>183</v>
      </c>
      <c r="Z1412" t="s">
        <v>184</v>
      </c>
      <c r="AA1412" t="s">
        <v>185</v>
      </c>
      <c r="AB1412" t="s">
        <v>47</v>
      </c>
      <c r="AC1412" t="s">
        <v>45</v>
      </c>
      <c r="AD1412" t="s">
        <v>46</v>
      </c>
      <c r="AE1412" s="7">
        <v>52000</v>
      </c>
      <c r="AF1412" s="7">
        <v>1</v>
      </c>
      <c r="AG1412" s="7">
        <v>52000</v>
      </c>
      <c r="AH1412" s="7">
        <v>0</v>
      </c>
      <c r="AI1412" s="7">
        <v>52000</v>
      </c>
      <c r="AJ1412" t="s">
        <v>45</v>
      </c>
    </row>
    <row r="1413" spans="14:36" x14ac:dyDescent="0.3">
      <c r="N1413" s="8">
        <v>2026</v>
      </c>
      <c r="O1413" s="8">
        <v>5</v>
      </c>
      <c r="P1413" s="9">
        <v>46143</v>
      </c>
      <c r="Q1413" t="s">
        <v>238</v>
      </c>
      <c r="R1413" t="s">
        <v>303</v>
      </c>
      <c r="S1413" t="s">
        <v>304</v>
      </c>
      <c r="T1413" t="s">
        <v>1833</v>
      </c>
      <c r="U1413" t="s">
        <v>1834</v>
      </c>
      <c r="V1413" t="s">
        <v>246</v>
      </c>
      <c r="W1413" t="s">
        <v>244</v>
      </c>
      <c r="X1413" t="s">
        <v>1835</v>
      </c>
      <c r="Y1413" t="s">
        <v>191</v>
      </c>
      <c r="Z1413" t="s">
        <v>192</v>
      </c>
      <c r="AA1413" t="s">
        <v>193</v>
      </c>
      <c r="AB1413" t="s">
        <v>110</v>
      </c>
      <c r="AC1413" t="s">
        <v>108</v>
      </c>
      <c r="AD1413" t="s">
        <v>109</v>
      </c>
      <c r="AE1413" s="7">
        <v>235000</v>
      </c>
      <c r="AF1413" s="7">
        <v>1</v>
      </c>
      <c r="AG1413" s="7">
        <v>235000</v>
      </c>
      <c r="AH1413" s="7">
        <v>0</v>
      </c>
      <c r="AI1413" s="7">
        <v>235000</v>
      </c>
      <c r="AJ1413" t="s">
        <v>108</v>
      </c>
    </row>
    <row r="1414" spans="14:36" x14ac:dyDescent="0.3">
      <c r="N1414" s="8">
        <v>2026</v>
      </c>
      <c r="O1414" s="8">
        <v>5</v>
      </c>
      <c r="P1414" s="9">
        <v>46143</v>
      </c>
      <c r="Q1414" t="s">
        <v>238</v>
      </c>
      <c r="R1414" t="s">
        <v>303</v>
      </c>
      <c r="S1414" t="s">
        <v>304</v>
      </c>
      <c r="T1414" t="s">
        <v>1836</v>
      </c>
      <c r="U1414" t="s">
        <v>1837</v>
      </c>
      <c r="V1414" t="s">
        <v>246</v>
      </c>
      <c r="W1414" t="s">
        <v>244</v>
      </c>
      <c r="X1414" t="s">
        <v>1838</v>
      </c>
      <c r="Y1414" t="s">
        <v>168</v>
      </c>
      <c r="Z1414" t="s">
        <v>171</v>
      </c>
      <c r="AA1414" t="s">
        <v>175</v>
      </c>
      <c r="AB1414" t="s">
        <v>44</v>
      </c>
      <c r="AC1414" t="s">
        <v>42</v>
      </c>
      <c r="AD1414" t="s">
        <v>43</v>
      </c>
      <c r="AE1414" s="7">
        <v>294000</v>
      </c>
      <c r="AF1414" s="7">
        <v>1</v>
      </c>
      <c r="AG1414" s="7">
        <v>294000</v>
      </c>
      <c r="AH1414" s="7">
        <v>0</v>
      </c>
      <c r="AI1414" s="7">
        <v>294000</v>
      </c>
      <c r="AJ1414" t="s">
        <v>42</v>
      </c>
    </row>
    <row r="1415" spans="14:36" x14ac:dyDescent="0.3">
      <c r="N1415" s="8">
        <v>2026</v>
      </c>
      <c r="O1415" s="8">
        <v>5</v>
      </c>
      <c r="P1415" s="9">
        <v>46143</v>
      </c>
      <c r="Q1415" t="s">
        <v>238</v>
      </c>
      <c r="R1415" t="s">
        <v>351</v>
      </c>
      <c r="S1415" t="s">
        <v>352</v>
      </c>
      <c r="T1415" t="s">
        <v>1839</v>
      </c>
      <c r="U1415" t="s">
        <v>4066</v>
      </c>
      <c r="V1415" t="s">
        <v>246</v>
      </c>
      <c r="W1415" t="s">
        <v>244</v>
      </c>
      <c r="X1415" t="s">
        <v>1840</v>
      </c>
      <c r="Y1415" t="s">
        <v>191</v>
      </c>
      <c r="Z1415" t="s">
        <v>192</v>
      </c>
      <c r="AA1415" t="s">
        <v>193</v>
      </c>
      <c r="AB1415" t="s">
        <v>107</v>
      </c>
      <c r="AC1415" t="s">
        <v>105</v>
      </c>
      <c r="AD1415" t="s">
        <v>106</v>
      </c>
      <c r="AE1415" s="7">
        <v>235000</v>
      </c>
      <c r="AF1415" s="7">
        <v>1</v>
      </c>
      <c r="AG1415" s="7">
        <v>235000</v>
      </c>
      <c r="AH1415" s="7">
        <v>0</v>
      </c>
      <c r="AI1415" s="7">
        <v>235000</v>
      </c>
      <c r="AJ1415" t="s">
        <v>105</v>
      </c>
    </row>
    <row r="1416" spans="14:36" x14ac:dyDescent="0.3">
      <c r="N1416" s="8">
        <v>2026</v>
      </c>
      <c r="O1416" s="8">
        <v>5</v>
      </c>
      <c r="P1416" s="9">
        <v>46143</v>
      </c>
      <c r="Q1416" t="s">
        <v>238</v>
      </c>
      <c r="R1416" t="s">
        <v>374</v>
      </c>
      <c r="S1416" t="s">
        <v>375</v>
      </c>
      <c r="T1416" t="s">
        <v>376</v>
      </c>
      <c r="U1416" t="s">
        <v>377</v>
      </c>
      <c r="V1416" t="s">
        <v>243</v>
      </c>
      <c r="W1416" t="s">
        <v>244</v>
      </c>
      <c r="X1416" t="s">
        <v>1841</v>
      </c>
      <c r="Y1416" t="s">
        <v>168</v>
      </c>
      <c r="Z1416" t="s">
        <v>171</v>
      </c>
      <c r="AA1416" t="s">
        <v>172</v>
      </c>
      <c r="AB1416" t="s">
        <v>11</v>
      </c>
      <c r="AC1416" t="s">
        <v>9</v>
      </c>
      <c r="AD1416" t="s">
        <v>10</v>
      </c>
      <c r="AE1416" s="7">
        <v>129000</v>
      </c>
      <c r="AF1416" s="7">
        <v>1</v>
      </c>
      <c r="AG1416" s="7">
        <v>129000</v>
      </c>
      <c r="AH1416" s="7">
        <v>0</v>
      </c>
      <c r="AI1416" s="7">
        <v>129000</v>
      </c>
      <c r="AJ1416" t="s">
        <v>9</v>
      </c>
    </row>
    <row r="1417" spans="14:36" x14ac:dyDescent="0.3">
      <c r="N1417" s="8">
        <v>2026</v>
      </c>
      <c r="O1417" s="8">
        <v>5</v>
      </c>
      <c r="P1417" s="9">
        <v>46143</v>
      </c>
      <c r="Q1417" t="s">
        <v>238</v>
      </c>
      <c r="R1417" t="s">
        <v>374</v>
      </c>
      <c r="S1417" t="s">
        <v>375</v>
      </c>
      <c r="T1417" t="s">
        <v>382</v>
      </c>
      <c r="U1417" t="s">
        <v>383</v>
      </c>
      <c r="V1417" t="s">
        <v>243</v>
      </c>
      <c r="W1417" t="s">
        <v>244</v>
      </c>
      <c r="X1417" t="s">
        <v>1842</v>
      </c>
      <c r="Y1417" t="s">
        <v>194</v>
      </c>
      <c r="Z1417" t="s">
        <v>200</v>
      </c>
      <c r="AA1417" t="s">
        <v>201</v>
      </c>
      <c r="AB1417" t="s">
        <v>83</v>
      </c>
      <c r="AC1417" t="s">
        <v>81</v>
      </c>
      <c r="AD1417" t="s">
        <v>82</v>
      </c>
      <c r="AE1417" s="7">
        <v>46000</v>
      </c>
      <c r="AF1417" s="7">
        <v>1</v>
      </c>
      <c r="AG1417" s="7">
        <v>46000</v>
      </c>
      <c r="AH1417" s="7">
        <v>0</v>
      </c>
      <c r="AI1417" s="7">
        <v>46000</v>
      </c>
      <c r="AJ1417" t="s">
        <v>81</v>
      </c>
    </row>
    <row r="1418" spans="14:36" x14ac:dyDescent="0.3">
      <c r="N1418" s="8">
        <v>2026</v>
      </c>
      <c r="O1418" s="8">
        <v>5</v>
      </c>
      <c r="P1418" s="9">
        <v>46143</v>
      </c>
      <c r="Q1418" t="s">
        <v>238</v>
      </c>
      <c r="R1418" t="s">
        <v>374</v>
      </c>
      <c r="S1418" t="s">
        <v>375</v>
      </c>
      <c r="T1418" t="s">
        <v>1843</v>
      </c>
      <c r="U1418" t="s">
        <v>1844</v>
      </c>
      <c r="V1418" t="s">
        <v>246</v>
      </c>
      <c r="W1418" t="s">
        <v>244</v>
      </c>
      <c r="X1418" t="s">
        <v>1845</v>
      </c>
      <c r="Y1418" t="s">
        <v>191</v>
      </c>
      <c r="Z1418" t="s">
        <v>192</v>
      </c>
      <c r="AA1418" t="s">
        <v>193</v>
      </c>
      <c r="AB1418" t="s">
        <v>104</v>
      </c>
      <c r="AC1418" t="s">
        <v>102</v>
      </c>
      <c r="AD1418" t="s">
        <v>103</v>
      </c>
      <c r="AE1418" s="7">
        <v>235000</v>
      </c>
      <c r="AF1418" s="7">
        <v>1</v>
      </c>
      <c r="AG1418" s="7">
        <v>235000</v>
      </c>
      <c r="AH1418" s="7">
        <v>0</v>
      </c>
      <c r="AI1418" s="7">
        <v>235000</v>
      </c>
      <c r="AJ1418" t="s">
        <v>102</v>
      </c>
    </row>
    <row r="1419" spans="14:36" x14ac:dyDescent="0.3">
      <c r="N1419" s="8">
        <v>2026</v>
      </c>
      <c r="O1419" s="8">
        <v>5</v>
      </c>
      <c r="P1419" s="9">
        <v>46143</v>
      </c>
      <c r="Q1419" t="s">
        <v>238</v>
      </c>
      <c r="R1419" t="s">
        <v>374</v>
      </c>
      <c r="S1419" t="s">
        <v>375</v>
      </c>
      <c r="T1419" t="s">
        <v>1846</v>
      </c>
      <c r="U1419" t="s">
        <v>4067</v>
      </c>
      <c r="V1419" t="s">
        <v>246</v>
      </c>
      <c r="W1419" t="s">
        <v>244</v>
      </c>
      <c r="X1419" t="s">
        <v>1847</v>
      </c>
      <c r="Y1419" t="s">
        <v>191</v>
      </c>
      <c r="Z1419" t="s">
        <v>335</v>
      </c>
      <c r="AA1419" t="s">
        <v>337</v>
      </c>
      <c r="AB1419" t="s">
        <v>719</v>
      </c>
      <c r="AC1419" t="s">
        <v>720</v>
      </c>
      <c r="AD1419" t="s">
        <v>721</v>
      </c>
      <c r="AE1419" s="7">
        <v>104000</v>
      </c>
      <c r="AF1419" s="7">
        <v>1</v>
      </c>
      <c r="AG1419" s="7">
        <v>104000</v>
      </c>
      <c r="AH1419" s="7">
        <v>0</v>
      </c>
      <c r="AI1419" s="7">
        <v>104000</v>
      </c>
      <c r="AJ1419" t="s">
        <v>720</v>
      </c>
    </row>
    <row r="1420" spans="14:36" x14ac:dyDescent="0.3">
      <c r="N1420" s="8">
        <v>2026</v>
      </c>
      <c r="O1420" s="8">
        <v>5</v>
      </c>
      <c r="P1420" s="9">
        <v>46143</v>
      </c>
      <c r="Q1420" t="s">
        <v>238</v>
      </c>
      <c r="R1420" t="s">
        <v>374</v>
      </c>
      <c r="S1420" t="s">
        <v>375</v>
      </c>
      <c r="T1420" t="s">
        <v>1846</v>
      </c>
      <c r="U1420" t="s">
        <v>4067</v>
      </c>
      <c r="V1420" t="s">
        <v>246</v>
      </c>
      <c r="W1420" t="s">
        <v>244</v>
      </c>
      <c r="X1420" t="s">
        <v>1847</v>
      </c>
      <c r="Y1420" t="s">
        <v>191</v>
      </c>
      <c r="Z1420" t="s">
        <v>335</v>
      </c>
      <c r="AA1420" t="s">
        <v>337</v>
      </c>
      <c r="AB1420" t="s">
        <v>348</v>
      </c>
      <c r="AC1420" t="s">
        <v>349</v>
      </c>
      <c r="AD1420" t="s">
        <v>350</v>
      </c>
      <c r="AE1420" s="7">
        <v>76000</v>
      </c>
      <c r="AF1420" s="7">
        <v>1</v>
      </c>
      <c r="AG1420" s="7">
        <v>76000</v>
      </c>
      <c r="AH1420" s="7">
        <v>0</v>
      </c>
      <c r="AI1420" s="7">
        <v>76000</v>
      </c>
      <c r="AJ1420" t="s">
        <v>349</v>
      </c>
    </row>
    <row r="1421" spans="14:36" x14ac:dyDescent="0.3">
      <c r="N1421" s="8">
        <v>2026</v>
      </c>
      <c r="O1421" s="8">
        <v>5</v>
      </c>
      <c r="P1421" s="9">
        <v>46143</v>
      </c>
      <c r="Q1421" t="s">
        <v>238</v>
      </c>
      <c r="R1421" t="s">
        <v>374</v>
      </c>
      <c r="S1421" t="s">
        <v>375</v>
      </c>
      <c r="T1421" t="s">
        <v>713</v>
      </c>
      <c r="U1421" t="s">
        <v>3766</v>
      </c>
      <c r="V1421" t="s">
        <v>246</v>
      </c>
      <c r="W1421" t="s">
        <v>244</v>
      </c>
      <c r="X1421" t="s">
        <v>1848</v>
      </c>
      <c r="Y1421" t="s">
        <v>168</v>
      </c>
      <c r="Z1421" t="s">
        <v>181</v>
      </c>
      <c r="AA1421" t="s">
        <v>182</v>
      </c>
      <c r="AB1421" t="s">
        <v>50</v>
      </c>
      <c r="AC1421" t="s">
        <v>48</v>
      </c>
      <c r="AD1421" t="s">
        <v>49</v>
      </c>
      <c r="AE1421" s="7">
        <v>49000</v>
      </c>
      <c r="AF1421" s="7">
        <v>1</v>
      </c>
      <c r="AG1421" s="7">
        <v>49000</v>
      </c>
      <c r="AH1421" s="7">
        <v>0</v>
      </c>
      <c r="AI1421" s="7">
        <v>49000</v>
      </c>
      <c r="AJ1421" t="s">
        <v>48</v>
      </c>
    </row>
    <row r="1422" spans="14:36" x14ac:dyDescent="0.3">
      <c r="N1422" s="8">
        <v>2026</v>
      </c>
      <c r="O1422" s="8">
        <v>5</v>
      </c>
      <c r="P1422" s="9">
        <v>46143</v>
      </c>
      <c r="Q1422" t="s">
        <v>238</v>
      </c>
      <c r="R1422" t="s">
        <v>415</v>
      </c>
      <c r="S1422" t="s">
        <v>416</v>
      </c>
      <c r="T1422" t="s">
        <v>944</v>
      </c>
      <c r="U1422" t="s">
        <v>945</v>
      </c>
      <c r="V1422" t="s">
        <v>246</v>
      </c>
      <c r="W1422" t="s">
        <v>244</v>
      </c>
      <c r="X1422" t="s">
        <v>1852</v>
      </c>
      <c r="Y1422" t="s">
        <v>191</v>
      </c>
      <c r="Z1422" t="s">
        <v>335</v>
      </c>
      <c r="AA1422" t="s">
        <v>336</v>
      </c>
      <c r="AB1422" t="s">
        <v>1146</v>
      </c>
      <c r="AC1422" t="s">
        <v>1147</v>
      </c>
      <c r="AD1422" t="s">
        <v>1148</v>
      </c>
      <c r="AE1422" s="7">
        <v>54450</v>
      </c>
      <c r="AF1422" s="7">
        <v>1</v>
      </c>
      <c r="AG1422" s="7">
        <v>54450</v>
      </c>
      <c r="AH1422" s="7">
        <v>0</v>
      </c>
      <c r="AI1422" s="7">
        <v>54450</v>
      </c>
      <c r="AJ1422" t="s">
        <v>1147</v>
      </c>
    </row>
    <row r="1423" spans="14:36" x14ac:dyDescent="0.3">
      <c r="N1423" s="8">
        <v>2026</v>
      </c>
      <c r="O1423" s="8">
        <v>5</v>
      </c>
      <c r="P1423" s="9">
        <v>46143</v>
      </c>
      <c r="Q1423" t="s">
        <v>238</v>
      </c>
      <c r="R1423" t="s">
        <v>425</v>
      </c>
      <c r="S1423" t="s">
        <v>426</v>
      </c>
      <c r="T1423" t="s">
        <v>1358</v>
      </c>
      <c r="U1423" t="s">
        <v>4068</v>
      </c>
      <c r="V1423" t="s">
        <v>246</v>
      </c>
      <c r="W1423" t="s">
        <v>244</v>
      </c>
      <c r="X1423" t="s">
        <v>1854</v>
      </c>
      <c r="Y1423" t="s">
        <v>191</v>
      </c>
      <c r="Z1423" t="s">
        <v>335</v>
      </c>
      <c r="AA1423" t="s">
        <v>336</v>
      </c>
      <c r="AB1423" t="s">
        <v>1146</v>
      </c>
      <c r="AC1423" t="s">
        <v>1147</v>
      </c>
      <c r="AD1423" t="s">
        <v>1148</v>
      </c>
      <c r="AE1423" s="7">
        <v>54450</v>
      </c>
      <c r="AF1423" s="7">
        <v>1</v>
      </c>
      <c r="AG1423" s="7">
        <v>54450</v>
      </c>
      <c r="AH1423" s="7">
        <v>0</v>
      </c>
      <c r="AI1423" s="7">
        <v>54450</v>
      </c>
      <c r="AJ1423" t="s">
        <v>1147</v>
      </c>
    </row>
    <row r="1424" spans="14:36" x14ac:dyDescent="0.3">
      <c r="N1424" s="8">
        <v>2026</v>
      </c>
      <c r="O1424" s="8">
        <v>5</v>
      </c>
      <c r="P1424" s="9">
        <v>46143</v>
      </c>
      <c r="Q1424" t="s">
        <v>238</v>
      </c>
      <c r="R1424" t="s">
        <v>425</v>
      </c>
      <c r="S1424" t="s">
        <v>426</v>
      </c>
      <c r="T1424" t="s">
        <v>1855</v>
      </c>
      <c r="U1424" t="s">
        <v>296</v>
      </c>
      <c r="V1424" t="s">
        <v>246</v>
      </c>
      <c r="W1424" t="s">
        <v>244</v>
      </c>
      <c r="X1424" t="s">
        <v>1856</v>
      </c>
      <c r="Y1424" t="s">
        <v>191</v>
      </c>
      <c r="Z1424" t="s">
        <v>192</v>
      </c>
      <c r="AA1424" t="s">
        <v>193</v>
      </c>
      <c r="AB1424" t="s">
        <v>113</v>
      </c>
      <c r="AC1424" t="s">
        <v>111</v>
      </c>
      <c r="AD1424" t="s">
        <v>112</v>
      </c>
      <c r="AE1424" s="7">
        <v>235000</v>
      </c>
      <c r="AF1424" s="7">
        <v>1</v>
      </c>
      <c r="AG1424" s="7">
        <v>235000</v>
      </c>
      <c r="AH1424" s="7">
        <v>0</v>
      </c>
      <c r="AI1424" s="7">
        <v>235000</v>
      </c>
      <c r="AJ1424" t="s">
        <v>111</v>
      </c>
    </row>
    <row r="1425" spans="14:36" x14ac:dyDescent="0.3">
      <c r="N1425" s="8">
        <v>2026</v>
      </c>
      <c r="O1425" s="8">
        <v>4</v>
      </c>
      <c r="P1425" s="9">
        <v>46142</v>
      </c>
      <c r="Q1425" t="s">
        <v>238</v>
      </c>
      <c r="R1425" t="s">
        <v>239</v>
      </c>
      <c r="S1425" t="s">
        <v>240</v>
      </c>
      <c r="T1425" t="s">
        <v>1857</v>
      </c>
      <c r="U1425" t="s">
        <v>1566</v>
      </c>
      <c r="V1425" t="s">
        <v>246</v>
      </c>
      <c r="W1425" t="s">
        <v>244</v>
      </c>
      <c r="X1425" t="s">
        <v>1858</v>
      </c>
      <c r="Y1425" t="s">
        <v>183</v>
      </c>
      <c r="Z1425" t="s">
        <v>189</v>
      </c>
      <c r="AA1425" t="s">
        <v>190</v>
      </c>
      <c r="AB1425" t="s">
        <v>92</v>
      </c>
      <c r="AC1425" t="s">
        <v>90</v>
      </c>
      <c r="AD1425" t="s">
        <v>91</v>
      </c>
      <c r="AE1425" s="7">
        <v>52000</v>
      </c>
      <c r="AF1425" s="7">
        <v>1</v>
      </c>
      <c r="AG1425" s="7">
        <v>52000</v>
      </c>
      <c r="AH1425" s="7">
        <v>0</v>
      </c>
      <c r="AI1425" s="7">
        <v>52000</v>
      </c>
      <c r="AJ1425" t="s">
        <v>90</v>
      </c>
    </row>
    <row r="1426" spans="14:36" x14ac:dyDescent="0.3">
      <c r="N1426" s="8">
        <v>2026</v>
      </c>
      <c r="O1426" s="8">
        <v>4</v>
      </c>
      <c r="P1426" s="9">
        <v>46142</v>
      </c>
      <c r="Q1426" t="s">
        <v>238</v>
      </c>
      <c r="R1426" t="s">
        <v>303</v>
      </c>
      <c r="S1426" t="s">
        <v>304</v>
      </c>
      <c r="T1426" t="s">
        <v>1163</v>
      </c>
      <c r="U1426" t="s">
        <v>3855</v>
      </c>
      <c r="V1426" t="s">
        <v>246</v>
      </c>
      <c r="W1426" t="s">
        <v>244</v>
      </c>
      <c r="X1426" t="s">
        <v>1860</v>
      </c>
      <c r="Y1426" t="s">
        <v>191</v>
      </c>
      <c r="Z1426" t="s">
        <v>335</v>
      </c>
      <c r="AA1426" t="s">
        <v>336</v>
      </c>
      <c r="AB1426" t="s">
        <v>1146</v>
      </c>
      <c r="AC1426" t="s">
        <v>1147</v>
      </c>
      <c r="AD1426" t="s">
        <v>1148</v>
      </c>
      <c r="AE1426" s="7">
        <v>99000</v>
      </c>
      <c r="AF1426" s="7">
        <v>2</v>
      </c>
      <c r="AG1426" s="7">
        <v>198000</v>
      </c>
      <c r="AH1426" s="7">
        <v>0</v>
      </c>
      <c r="AI1426" s="7">
        <v>198000</v>
      </c>
      <c r="AJ1426" t="s">
        <v>1147</v>
      </c>
    </row>
    <row r="1427" spans="14:36" x14ac:dyDescent="0.3">
      <c r="N1427" s="8">
        <v>2026</v>
      </c>
      <c r="O1427" s="8">
        <v>4</v>
      </c>
      <c r="P1427" s="9">
        <v>46142</v>
      </c>
      <c r="Q1427" t="s">
        <v>238</v>
      </c>
      <c r="R1427" t="s">
        <v>303</v>
      </c>
      <c r="S1427" t="s">
        <v>304</v>
      </c>
      <c r="T1427" t="s">
        <v>640</v>
      </c>
      <c r="U1427" t="s">
        <v>641</v>
      </c>
      <c r="V1427" t="s">
        <v>246</v>
      </c>
      <c r="W1427" t="s">
        <v>244</v>
      </c>
      <c r="X1427" t="s">
        <v>1861</v>
      </c>
      <c r="Y1427" t="s">
        <v>191</v>
      </c>
      <c r="Z1427" t="s">
        <v>335</v>
      </c>
      <c r="AA1427" t="s">
        <v>336</v>
      </c>
      <c r="AB1427" t="s">
        <v>1146</v>
      </c>
      <c r="AC1427" t="s">
        <v>1147</v>
      </c>
      <c r="AD1427" t="s">
        <v>1148</v>
      </c>
      <c r="AE1427" s="7">
        <v>99000</v>
      </c>
      <c r="AF1427" s="7">
        <v>2</v>
      </c>
      <c r="AG1427" s="7">
        <v>198000</v>
      </c>
      <c r="AH1427" s="7">
        <v>0</v>
      </c>
      <c r="AI1427" s="7">
        <v>198000</v>
      </c>
      <c r="AJ1427" t="s">
        <v>1147</v>
      </c>
    </row>
    <row r="1428" spans="14:36" x14ac:dyDescent="0.3">
      <c r="N1428" s="8">
        <v>2026</v>
      </c>
      <c r="O1428" s="8">
        <v>4</v>
      </c>
      <c r="P1428" s="9">
        <v>46142</v>
      </c>
      <c r="Q1428" t="s">
        <v>238</v>
      </c>
      <c r="R1428" t="s">
        <v>303</v>
      </c>
      <c r="S1428" t="s">
        <v>304</v>
      </c>
      <c r="T1428" t="s">
        <v>1263</v>
      </c>
      <c r="U1428" t="s">
        <v>1264</v>
      </c>
      <c r="V1428" t="s">
        <v>246</v>
      </c>
      <c r="W1428" t="s">
        <v>244</v>
      </c>
      <c r="X1428" t="s">
        <v>1863</v>
      </c>
      <c r="Y1428" t="s">
        <v>191</v>
      </c>
      <c r="Z1428" t="s">
        <v>192</v>
      </c>
      <c r="AA1428" t="s">
        <v>193</v>
      </c>
      <c r="AB1428" t="s">
        <v>113</v>
      </c>
      <c r="AC1428" t="s">
        <v>111</v>
      </c>
      <c r="AD1428" t="s">
        <v>112</v>
      </c>
      <c r="AE1428" s="7">
        <v>235000</v>
      </c>
      <c r="AF1428" s="7">
        <v>1</v>
      </c>
      <c r="AG1428" s="7">
        <v>235000</v>
      </c>
      <c r="AH1428" s="7">
        <v>0</v>
      </c>
      <c r="AI1428" s="7">
        <v>235000</v>
      </c>
      <c r="AJ1428" t="s">
        <v>111</v>
      </c>
    </row>
    <row r="1429" spans="14:36" x14ac:dyDescent="0.3">
      <c r="N1429" s="8">
        <v>2026</v>
      </c>
      <c r="O1429" s="8">
        <v>4</v>
      </c>
      <c r="P1429" s="9">
        <v>46142</v>
      </c>
      <c r="Q1429" t="s">
        <v>238</v>
      </c>
      <c r="R1429" t="s">
        <v>351</v>
      </c>
      <c r="S1429" t="s">
        <v>352</v>
      </c>
      <c r="T1429" t="s">
        <v>1866</v>
      </c>
      <c r="U1429" t="s">
        <v>1867</v>
      </c>
      <c r="V1429" t="s">
        <v>246</v>
      </c>
      <c r="W1429" t="s">
        <v>244</v>
      </c>
      <c r="X1429" t="s">
        <v>1868</v>
      </c>
      <c r="Y1429" t="s">
        <v>168</v>
      </c>
      <c r="Z1429" t="s">
        <v>171</v>
      </c>
      <c r="AA1429" t="s">
        <v>175</v>
      </c>
      <c r="AB1429" t="s">
        <v>44</v>
      </c>
      <c r="AC1429" t="s">
        <v>42</v>
      </c>
      <c r="AD1429" t="s">
        <v>43</v>
      </c>
      <c r="AE1429" s="7">
        <v>294000</v>
      </c>
      <c r="AF1429" s="7">
        <v>1</v>
      </c>
      <c r="AG1429" s="7">
        <v>294000</v>
      </c>
      <c r="AH1429" s="7">
        <v>0</v>
      </c>
      <c r="AI1429" s="7">
        <v>294000</v>
      </c>
      <c r="AJ1429" t="s">
        <v>42</v>
      </c>
    </row>
    <row r="1430" spans="14:36" x14ac:dyDescent="0.3">
      <c r="N1430" s="8">
        <v>2026</v>
      </c>
      <c r="O1430" s="8">
        <v>4</v>
      </c>
      <c r="P1430" s="9">
        <v>46142</v>
      </c>
      <c r="Q1430" t="s">
        <v>238</v>
      </c>
      <c r="R1430" t="s">
        <v>374</v>
      </c>
      <c r="S1430" t="s">
        <v>375</v>
      </c>
      <c r="T1430" t="s">
        <v>376</v>
      </c>
      <c r="U1430" t="s">
        <v>377</v>
      </c>
      <c r="V1430" t="s">
        <v>243</v>
      </c>
      <c r="W1430" t="s">
        <v>244</v>
      </c>
      <c r="X1430" t="s">
        <v>1869</v>
      </c>
      <c r="Y1430" t="s">
        <v>194</v>
      </c>
      <c r="Z1430" t="s">
        <v>200</v>
      </c>
      <c r="AA1430" t="s">
        <v>201</v>
      </c>
      <c r="AB1430" t="s">
        <v>80</v>
      </c>
      <c r="AC1430" t="s">
        <v>78</v>
      </c>
      <c r="AD1430" t="s">
        <v>79</v>
      </c>
      <c r="AE1430" s="7">
        <v>14000</v>
      </c>
      <c r="AF1430" s="7">
        <v>1</v>
      </c>
      <c r="AG1430" s="7">
        <v>14000</v>
      </c>
      <c r="AH1430" s="7">
        <v>0</v>
      </c>
      <c r="AI1430" s="7">
        <v>14000</v>
      </c>
      <c r="AJ1430" t="s">
        <v>78</v>
      </c>
    </row>
    <row r="1431" spans="14:36" x14ac:dyDescent="0.3">
      <c r="N1431" s="8">
        <v>2026</v>
      </c>
      <c r="O1431" s="8">
        <v>4</v>
      </c>
      <c r="P1431" s="9">
        <v>46142</v>
      </c>
      <c r="Q1431" t="s">
        <v>238</v>
      </c>
      <c r="R1431" t="s">
        <v>374</v>
      </c>
      <c r="S1431" t="s">
        <v>375</v>
      </c>
      <c r="T1431" t="s">
        <v>376</v>
      </c>
      <c r="U1431" t="s">
        <v>377</v>
      </c>
      <c r="V1431" t="s">
        <v>243</v>
      </c>
      <c r="W1431" t="s">
        <v>244</v>
      </c>
      <c r="X1431" t="s">
        <v>1869</v>
      </c>
      <c r="Y1431" t="s">
        <v>194</v>
      </c>
      <c r="Z1431" t="s">
        <v>200</v>
      </c>
      <c r="AA1431" t="s">
        <v>201</v>
      </c>
      <c r="AB1431" t="s">
        <v>86</v>
      </c>
      <c r="AC1431" t="s">
        <v>84</v>
      </c>
      <c r="AD1431" t="s">
        <v>85</v>
      </c>
      <c r="AE1431" s="7">
        <v>49000</v>
      </c>
      <c r="AF1431" s="7">
        <v>1</v>
      </c>
      <c r="AG1431" s="7">
        <v>49000</v>
      </c>
      <c r="AH1431" s="7">
        <v>0</v>
      </c>
      <c r="AI1431" s="7">
        <v>49000</v>
      </c>
      <c r="AJ1431" t="s">
        <v>84</v>
      </c>
    </row>
    <row r="1432" spans="14:36" x14ac:dyDescent="0.3">
      <c r="N1432" s="8">
        <v>2026</v>
      </c>
      <c r="O1432" s="8">
        <v>4</v>
      </c>
      <c r="P1432" s="9">
        <v>46142</v>
      </c>
      <c r="Q1432" t="s">
        <v>238</v>
      </c>
      <c r="R1432" t="s">
        <v>374</v>
      </c>
      <c r="S1432" t="s">
        <v>375</v>
      </c>
      <c r="T1432" t="s">
        <v>382</v>
      </c>
      <c r="U1432" t="s">
        <v>383</v>
      </c>
      <c r="V1432" t="s">
        <v>243</v>
      </c>
      <c r="W1432" t="s">
        <v>244</v>
      </c>
      <c r="X1432" t="s">
        <v>1870</v>
      </c>
      <c r="Y1432" t="s">
        <v>168</v>
      </c>
      <c r="Z1432" t="s">
        <v>171</v>
      </c>
      <c r="AA1432" t="s">
        <v>172</v>
      </c>
      <c r="AB1432" t="s">
        <v>14</v>
      </c>
      <c r="AC1432" t="s">
        <v>12</v>
      </c>
      <c r="AD1432" t="s">
        <v>13</v>
      </c>
      <c r="AE1432" s="7">
        <v>135000</v>
      </c>
      <c r="AF1432" s="7">
        <v>1</v>
      </c>
      <c r="AG1432" s="7">
        <v>135000</v>
      </c>
      <c r="AH1432" s="7">
        <v>0</v>
      </c>
      <c r="AI1432" s="7">
        <v>135000</v>
      </c>
      <c r="AJ1432" t="s">
        <v>12</v>
      </c>
    </row>
    <row r="1433" spans="14:36" x14ac:dyDescent="0.3">
      <c r="N1433" s="8">
        <v>2026</v>
      </c>
      <c r="O1433" s="8">
        <v>4</v>
      </c>
      <c r="P1433" s="9">
        <v>46142</v>
      </c>
      <c r="Q1433" t="s">
        <v>238</v>
      </c>
      <c r="R1433" t="s">
        <v>374</v>
      </c>
      <c r="S1433" t="s">
        <v>375</v>
      </c>
      <c r="T1433" t="s">
        <v>1871</v>
      </c>
      <c r="U1433" t="s">
        <v>1872</v>
      </c>
      <c r="V1433" t="s">
        <v>246</v>
      </c>
      <c r="W1433" t="s">
        <v>244</v>
      </c>
      <c r="X1433" t="s">
        <v>1873</v>
      </c>
      <c r="Y1433" t="s">
        <v>183</v>
      </c>
      <c r="Z1433" t="s">
        <v>189</v>
      </c>
      <c r="AA1433" t="s">
        <v>190</v>
      </c>
      <c r="AB1433" t="s">
        <v>92</v>
      </c>
      <c r="AC1433" t="s">
        <v>90</v>
      </c>
      <c r="AD1433" t="s">
        <v>91</v>
      </c>
      <c r="AE1433" s="7">
        <v>52000</v>
      </c>
      <c r="AF1433" s="7">
        <v>1</v>
      </c>
      <c r="AG1433" s="7">
        <v>52000</v>
      </c>
      <c r="AH1433" s="7">
        <v>0</v>
      </c>
      <c r="AI1433" s="7">
        <v>52000</v>
      </c>
      <c r="AJ1433" t="s">
        <v>90</v>
      </c>
    </row>
    <row r="1434" spans="14:36" x14ac:dyDescent="0.3">
      <c r="N1434" s="8">
        <v>2026</v>
      </c>
      <c r="O1434" s="8">
        <v>4</v>
      </c>
      <c r="P1434" s="9">
        <v>46142</v>
      </c>
      <c r="Q1434" t="s">
        <v>238</v>
      </c>
      <c r="R1434" t="s">
        <v>374</v>
      </c>
      <c r="S1434" t="s">
        <v>375</v>
      </c>
      <c r="T1434" t="s">
        <v>1874</v>
      </c>
      <c r="U1434" t="s">
        <v>311</v>
      </c>
      <c r="V1434" t="s">
        <v>246</v>
      </c>
      <c r="W1434" t="s">
        <v>244</v>
      </c>
      <c r="X1434" t="s">
        <v>1875</v>
      </c>
      <c r="Y1434" t="s">
        <v>191</v>
      </c>
      <c r="Z1434" t="s">
        <v>192</v>
      </c>
      <c r="AA1434" t="s">
        <v>193</v>
      </c>
      <c r="AB1434" t="s">
        <v>113</v>
      </c>
      <c r="AC1434" t="s">
        <v>111</v>
      </c>
      <c r="AD1434" t="s">
        <v>112</v>
      </c>
      <c r="AE1434" s="7">
        <v>235000</v>
      </c>
      <c r="AF1434" s="7">
        <v>1</v>
      </c>
      <c r="AG1434" s="7">
        <v>235000</v>
      </c>
      <c r="AH1434" s="7">
        <v>0</v>
      </c>
      <c r="AI1434" s="7">
        <v>235000</v>
      </c>
      <c r="AJ1434" t="s">
        <v>111</v>
      </c>
    </row>
    <row r="1435" spans="14:36" x14ac:dyDescent="0.3">
      <c r="N1435" s="8">
        <v>2026</v>
      </c>
      <c r="O1435" s="8">
        <v>4</v>
      </c>
      <c r="P1435" s="9">
        <v>46142</v>
      </c>
      <c r="Q1435" t="s">
        <v>238</v>
      </c>
      <c r="R1435" t="s">
        <v>374</v>
      </c>
      <c r="S1435" t="s">
        <v>375</v>
      </c>
      <c r="T1435" t="s">
        <v>1876</v>
      </c>
      <c r="U1435" t="s">
        <v>3878</v>
      </c>
      <c r="V1435" t="s">
        <v>249</v>
      </c>
      <c r="W1435" t="s">
        <v>244</v>
      </c>
      <c r="X1435" t="s">
        <v>1877</v>
      </c>
      <c r="Y1435" t="s">
        <v>191</v>
      </c>
      <c r="Z1435" t="s">
        <v>192</v>
      </c>
      <c r="AA1435" t="s">
        <v>283</v>
      </c>
      <c r="AB1435" t="s">
        <v>110</v>
      </c>
      <c r="AC1435" t="s">
        <v>108</v>
      </c>
      <c r="AD1435" t="s">
        <v>109</v>
      </c>
      <c r="AE1435" s="7">
        <v>235000</v>
      </c>
      <c r="AF1435" s="7">
        <v>1</v>
      </c>
      <c r="AG1435" s="7">
        <v>235000</v>
      </c>
      <c r="AH1435" s="7">
        <v>0</v>
      </c>
      <c r="AI1435" s="7">
        <v>235000</v>
      </c>
      <c r="AJ1435" t="s">
        <v>108</v>
      </c>
    </row>
    <row r="1436" spans="14:36" x14ac:dyDescent="0.3">
      <c r="N1436" s="8">
        <v>2026</v>
      </c>
      <c r="O1436" s="8">
        <v>4</v>
      </c>
      <c r="P1436" s="9">
        <v>46142</v>
      </c>
      <c r="Q1436" t="s">
        <v>238</v>
      </c>
      <c r="R1436" t="s">
        <v>374</v>
      </c>
      <c r="S1436" t="s">
        <v>375</v>
      </c>
      <c r="T1436" t="s">
        <v>1816</v>
      </c>
      <c r="U1436" t="s">
        <v>4069</v>
      </c>
      <c r="V1436" t="s">
        <v>246</v>
      </c>
      <c r="W1436" t="s">
        <v>244</v>
      </c>
      <c r="X1436" t="s">
        <v>1878</v>
      </c>
      <c r="Y1436" t="s">
        <v>191</v>
      </c>
      <c r="Z1436" t="s">
        <v>192</v>
      </c>
      <c r="AA1436" t="s">
        <v>193</v>
      </c>
      <c r="AB1436" t="s">
        <v>119</v>
      </c>
      <c r="AC1436" t="s">
        <v>117</v>
      </c>
      <c r="AD1436" t="s">
        <v>118</v>
      </c>
      <c r="AE1436" s="7">
        <v>235000</v>
      </c>
      <c r="AF1436" s="7">
        <v>1</v>
      </c>
      <c r="AG1436" s="7">
        <v>235000</v>
      </c>
      <c r="AH1436" s="7">
        <v>0</v>
      </c>
      <c r="AI1436" s="7">
        <v>235000</v>
      </c>
      <c r="AJ1436" t="s">
        <v>117</v>
      </c>
    </row>
    <row r="1437" spans="14:36" x14ac:dyDescent="0.3">
      <c r="N1437" s="8">
        <v>2026</v>
      </c>
      <c r="O1437" s="8">
        <v>4</v>
      </c>
      <c r="P1437" s="9">
        <v>46142</v>
      </c>
      <c r="Q1437" t="s">
        <v>238</v>
      </c>
      <c r="R1437" t="s">
        <v>396</v>
      </c>
      <c r="S1437" t="s">
        <v>397</v>
      </c>
      <c r="T1437" t="s">
        <v>874</v>
      </c>
      <c r="U1437" t="s">
        <v>4070</v>
      </c>
      <c r="V1437" t="s">
        <v>246</v>
      </c>
      <c r="W1437" t="s">
        <v>244</v>
      </c>
      <c r="X1437" t="s">
        <v>1879</v>
      </c>
      <c r="Y1437" t="s">
        <v>191</v>
      </c>
      <c r="Z1437" t="s">
        <v>192</v>
      </c>
      <c r="AA1437" t="s">
        <v>283</v>
      </c>
      <c r="AB1437" t="s">
        <v>110</v>
      </c>
      <c r="AC1437" t="s">
        <v>108</v>
      </c>
      <c r="AD1437" t="s">
        <v>109</v>
      </c>
      <c r="AE1437" s="7">
        <v>235000</v>
      </c>
      <c r="AF1437" s="7">
        <v>1</v>
      </c>
      <c r="AG1437" s="7">
        <v>235000</v>
      </c>
      <c r="AH1437" s="7">
        <v>0</v>
      </c>
      <c r="AI1437" s="7">
        <v>235000</v>
      </c>
      <c r="AJ1437" t="s">
        <v>108</v>
      </c>
    </row>
    <row r="1438" spans="14:36" x14ac:dyDescent="0.3">
      <c r="N1438" s="8">
        <v>2026</v>
      </c>
      <c r="O1438" s="8">
        <v>4</v>
      </c>
      <c r="P1438" s="9">
        <v>46142</v>
      </c>
      <c r="Q1438" t="s">
        <v>238</v>
      </c>
      <c r="R1438" t="s">
        <v>396</v>
      </c>
      <c r="S1438" t="s">
        <v>397</v>
      </c>
      <c r="T1438" t="s">
        <v>874</v>
      </c>
      <c r="U1438" t="s">
        <v>4070</v>
      </c>
      <c r="V1438" t="s">
        <v>246</v>
      </c>
      <c r="W1438" t="s">
        <v>244</v>
      </c>
      <c r="X1438" t="s">
        <v>1879</v>
      </c>
      <c r="Y1438" t="s">
        <v>191</v>
      </c>
      <c r="Z1438" t="s">
        <v>192</v>
      </c>
      <c r="AA1438" t="s">
        <v>283</v>
      </c>
      <c r="AB1438" t="s">
        <v>107</v>
      </c>
      <c r="AC1438" t="s">
        <v>105</v>
      </c>
      <c r="AD1438" t="s">
        <v>106</v>
      </c>
      <c r="AE1438" s="7">
        <v>235000</v>
      </c>
      <c r="AF1438" s="7">
        <v>1</v>
      </c>
      <c r="AG1438" s="7">
        <v>235000</v>
      </c>
      <c r="AH1438" s="7">
        <v>0</v>
      </c>
      <c r="AI1438" s="7">
        <v>235000</v>
      </c>
      <c r="AJ1438" t="s">
        <v>105</v>
      </c>
    </row>
    <row r="1439" spans="14:36" x14ac:dyDescent="0.3">
      <c r="N1439" s="8">
        <v>2026</v>
      </c>
      <c r="O1439" s="8">
        <v>4</v>
      </c>
      <c r="P1439" s="9">
        <v>46142</v>
      </c>
      <c r="Q1439" t="s">
        <v>238</v>
      </c>
      <c r="R1439" t="s">
        <v>396</v>
      </c>
      <c r="S1439" t="s">
        <v>397</v>
      </c>
      <c r="T1439" t="s">
        <v>1880</v>
      </c>
      <c r="U1439" t="s">
        <v>497</v>
      </c>
      <c r="V1439" t="s">
        <v>246</v>
      </c>
      <c r="W1439" t="s">
        <v>244</v>
      </c>
      <c r="X1439" t="s">
        <v>1881</v>
      </c>
      <c r="Y1439" t="s">
        <v>191</v>
      </c>
      <c r="Z1439" t="s">
        <v>335</v>
      </c>
      <c r="AA1439" t="s">
        <v>336</v>
      </c>
      <c r="AB1439" t="s">
        <v>606</v>
      </c>
      <c r="AC1439" t="s">
        <v>607</v>
      </c>
      <c r="AD1439" t="s">
        <v>608</v>
      </c>
      <c r="AE1439" s="7">
        <v>105000</v>
      </c>
      <c r="AF1439" s="7">
        <v>1</v>
      </c>
      <c r="AG1439" s="7">
        <v>105000</v>
      </c>
      <c r="AH1439" s="7">
        <v>0</v>
      </c>
      <c r="AI1439" s="7">
        <v>105000</v>
      </c>
      <c r="AJ1439" t="s">
        <v>607</v>
      </c>
    </row>
    <row r="1440" spans="14:36" x14ac:dyDescent="0.3">
      <c r="N1440" s="8">
        <v>2026</v>
      </c>
      <c r="O1440" s="8">
        <v>4</v>
      </c>
      <c r="P1440" s="9">
        <v>46142</v>
      </c>
      <c r="Q1440" t="s">
        <v>238</v>
      </c>
      <c r="R1440" t="s">
        <v>425</v>
      </c>
      <c r="S1440" t="s">
        <v>426</v>
      </c>
      <c r="T1440" t="s">
        <v>779</v>
      </c>
      <c r="U1440" t="s">
        <v>3862</v>
      </c>
      <c r="V1440" t="s">
        <v>246</v>
      </c>
      <c r="W1440" t="s">
        <v>244</v>
      </c>
      <c r="X1440" t="s">
        <v>1884</v>
      </c>
      <c r="Y1440" t="s">
        <v>191</v>
      </c>
      <c r="Z1440" t="s">
        <v>192</v>
      </c>
      <c r="AA1440" t="s">
        <v>193</v>
      </c>
      <c r="AB1440" t="s">
        <v>119</v>
      </c>
      <c r="AC1440" t="s">
        <v>117</v>
      </c>
      <c r="AD1440" t="s">
        <v>118</v>
      </c>
      <c r="AE1440" s="7">
        <v>235000</v>
      </c>
      <c r="AF1440" s="7">
        <v>1</v>
      </c>
      <c r="AG1440" s="7">
        <v>235000</v>
      </c>
      <c r="AH1440" s="7">
        <v>0</v>
      </c>
      <c r="AI1440" s="7">
        <v>235000</v>
      </c>
      <c r="AJ1440" t="s">
        <v>117</v>
      </c>
    </row>
    <row r="1441" spans="14:36" x14ac:dyDescent="0.3">
      <c r="N1441" s="8">
        <v>2026</v>
      </c>
      <c r="O1441" s="8">
        <v>4</v>
      </c>
      <c r="P1441" s="9">
        <v>46142</v>
      </c>
      <c r="Q1441" t="s">
        <v>238</v>
      </c>
      <c r="R1441" t="s">
        <v>425</v>
      </c>
      <c r="S1441" t="s">
        <v>426</v>
      </c>
      <c r="T1441" t="s">
        <v>1885</v>
      </c>
      <c r="U1441" t="s">
        <v>4063</v>
      </c>
      <c r="V1441" t="s">
        <v>246</v>
      </c>
      <c r="W1441" t="s">
        <v>244</v>
      </c>
      <c r="X1441" t="s">
        <v>1886</v>
      </c>
      <c r="Y1441" t="s">
        <v>168</v>
      </c>
      <c r="Z1441" t="s">
        <v>181</v>
      </c>
      <c r="AA1441" t="s">
        <v>182</v>
      </c>
      <c r="AB1441" t="s">
        <v>47</v>
      </c>
      <c r="AC1441" t="s">
        <v>45</v>
      </c>
      <c r="AD1441" t="s">
        <v>46</v>
      </c>
      <c r="AE1441" s="7">
        <v>52000</v>
      </c>
      <c r="AF1441" s="7">
        <v>1</v>
      </c>
      <c r="AG1441" s="7">
        <v>52000</v>
      </c>
      <c r="AH1441" s="7">
        <v>0</v>
      </c>
      <c r="AI1441" s="7">
        <v>52000</v>
      </c>
      <c r="AJ1441" t="s">
        <v>45</v>
      </c>
    </row>
    <row r="1442" spans="14:36" x14ac:dyDescent="0.3">
      <c r="N1442" s="8">
        <v>2026</v>
      </c>
      <c r="O1442" s="8">
        <v>4</v>
      </c>
      <c r="P1442" s="9">
        <v>46142</v>
      </c>
      <c r="Q1442" t="s">
        <v>238</v>
      </c>
      <c r="R1442" t="s">
        <v>425</v>
      </c>
      <c r="S1442" t="s">
        <v>426</v>
      </c>
      <c r="T1442" t="s">
        <v>1888</v>
      </c>
      <c r="U1442" t="s">
        <v>4071</v>
      </c>
      <c r="V1442" t="s">
        <v>246</v>
      </c>
      <c r="W1442" t="s">
        <v>244</v>
      </c>
      <c r="X1442" t="s">
        <v>1889</v>
      </c>
      <c r="Y1442" t="s">
        <v>194</v>
      </c>
      <c r="Z1442" t="s">
        <v>200</v>
      </c>
      <c r="AA1442" t="s">
        <v>201</v>
      </c>
      <c r="AB1442" t="s">
        <v>80</v>
      </c>
      <c r="AC1442" t="s">
        <v>78</v>
      </c>
      <c r="AD1442" t="s">
        <v>79</v>
      </c>
      <c r="AE1442" s="7">
        <v>14000</v>
      </c>
      <c r="AF1442" s="7">
        <v>1</v>
      </c>
      <c r="AG1442" s="7">
        <v>14000</v>
      </c>
      <c r="AH1442" s="7">
        <v>0</v>
      </c>
      <c r="AI1442" s="7">
        <v>14000</v>
      </c>
      <c r="AJ1442" t="s">
        <v>78</v>
      </c>
    </row>
    <row r="1443" spans="14:36" x14ac:dyDescent="0.3">
      <c r="N1443" s="8">
        <v>2026</v>
      </c>
      <c r="O1443" s="8">
        <v>4</v>
      </c>
      <c r="P1443" s="9">
        <v>46141</v>
      </c>
      <c r="Q1443" t="s">
        <v>238</v>
      </c>
      <c r="R1443" t="s">
        <v>239</v>
      </c>
      <c r="S1443" t="s">
        <v>240</v>
      </c>
      <c r="T1443" t="s">
        <v>1478</v>
      </c>
      <c r="U1443" t="s">
        <v>811</v>
      </c>
      <c r="V1443" t="s">
        <v>246</v>
      </c>
      <c r="W1443" t="s">
        <v>244</v>
      </c>
      <c r="X1443" t="s">
        <v>1890</v>
      </c>
      <c r="Y1443" t="s">
        <v>191</v>
      </c>
      <c r="Z1443" t="s">
        <v>335</v>
      </c>
      <c r="AA1443" t="s">
        <v>337</v>
      </c>
      <c r="AB1443" t="s">
        <v>348</v>
      </c>
      <c r="AC1443" t="s">
        <v>349</v>
      </c>
      <c r="AD1443" t="s">
        <v>350</v>
      </c>
      <c r="AE1443" s="7">
        <v>76000</v>
      </c>
      <c r="AF1443" s="7">
        <v>1</v>
      </c>
      <c r="AG1443" s="7">
        <v>76000</v>
      </c>
      <c r="AH1443" s="7">
        <v>0</v>
      </c>
      <c r="AI1443" s="7">
        <v>76000</v>
      </c>
      <c r="AJ1443" t="s">
        <v>349</v>
      </c>
    </row>
    <row r="1444" spans="14:36" x14ac:dyDescent="0.3">
      <c r="N1444" s="8">
        <v>2026</v>
      </c>
      <c r="O1444" s="8">
        <v>4</v>
      </c>
      <c r="P1444" s="9">
        <v>46141</v>
      </c>
      <c r="Q1444" t="s">
        <v>238</v>
      </c>
      <c r="R1444" t="s">
        <v>239</v>
      </c>
      <c r="S1444" t="s">
        <v>240</v>
      </c>
      <c r="T1444" t="s">
        <v>1891</v>
      </c>
      <c r="U1444" t="s">
        <v>1892</v>
      </c>
      <c r="V1444" t="s">
        <v>246</v>
      </c>
      <c r="W1444" t="s">
        <v>244</v>
      </c>
      <c r="X1444" t="s">
        <v>1893</v>
      </c>
      <c r="Y1444" t="s">
        <v>191</v>
      </c>
      <c r="Z1444" t="s">
        <v>335</v>
      </c>
      <c r="AA1444" t="s">
        <v>336</v>
      </c>
      <c r="AB1444" t="s">
        <v>1146</v>
      </c>
      <c r="AC1444" t="s">
        <v>1147</v>
      </c>
      <c r="AD1444" t="s">
        <v>1148</v>
      </c>
      <c r="AE1444" s="7">
        <v>99000</v>
      </c>
      <c r="AF1444" s="7">
        <v>1</v>
      </c>
      <c r="AG1444" s="7">
        <v>99000</v>
      </c>
      <c r="AH1444" s="7">
        <v>0</v>
      </c>
      <c r="AI1444" s="7">
        <v>99000</v>
      </c>
      <c r="AJ1444" t="s">
        <v>1147</v>
      </c>
    </row>
    <row r="1445" spans="14:36" x14ac:dyDescent="0.3">
      <c r="N1445" s="8">
        <v>2026</v>
      </c>
      <c r="O1445" s="8">
        <v>4</v>
      </c>
      <c r="P1445" s="9">
        <v>46141</v>
      </c>
      <c r="Q1445" t="s">
        <v>238</v>
      </c>
      <c r="R1445" t="s">
        <v>279</v>
      </c>
      <c r="S1445" t="s">
        <v>280</v>
      </c>
      <c r="T1445" t="s">
        <v>1894</v>
      </c>
      <c r="U1445" t="s">
        <v>4072</v>
      </c>
      <c r="V1445" t="s">
        <v>249</v>
      </c>
      <c r="W1445" t="s">
        <v>244</v>
      </c>
      <c r="X1445" t="s">
        <v>1895</v>
      </c>
      <c r="Y1445" t="s">
        <v>191</v>
      </c>
      <c r="Z1445" t="s">
        <v>192</v>
      </c>
      <c r="AA1445" t="s">
        <v>283</v>
      </c>
      <c r="AB1445" t="s">
        <v>107</v>
      </c>
      <c r="AC1445" t="s">
        <v>105</v>
      </c>
      <c r="AD1445" t="s">
        <v>106</v>
      </c>
      <c r="AE1445" s="7">
        <v>235000</v>
      </c>
      <c r="AF1445" s="7">
        <v>1</v>
      </c>
      <c r="AG1445" s="7">
        <v>235000</v>
      </c>
      <c r="AH1445" s="7">
        <v>0</v>
      </c>
      <c r="AI1445" s="7">
        <v>235000</v>
      </c>
      <c r="AJ1445" t="s">
        <v>105</v>
      </c>
    </row>
    <row r="1446" spans="14:36" x14ac:dyDescent="0.3">
      <c r="N1446" s="8">
        <v>2026</v>
      </c>
      <c r="O1446" s="8">
        <v>4</v>
      </c>
      <c r="P1446" s="9">
        <v>46141</v>
      </c>
      <c r="Q1446" t="s">
        <v>238</v>
      </c>
      <c r="R1446" t="s">
        <v>279</v>
      </c>
      <c r="S1446" t="s">
        <v>280</v>
      </c>
      <c r="T1446" t="s">
        <v>1896</v>
      </c>
      <c r="U1446" t="s">
        <v>4073</v>
      </c>
      <c r="V1446" t="s">
        <v>246</v>
      </c>
      <c r="W1446" t="s">
        <v>244</v>
      </c>
      <c r="X1446" t="s">
        <v>1897</v>
      </c>
      <c r="Y1446" t="s">
        <v>191</v>
      </c>
      <c r="Z1446" t="s">
        <v>335</v>
      </c>
      <c r="AA1446" t="s">
        <v>336</v>
      </c>
      <c r="AB1446" t="s">
        <v>1146</v>
      </c>
      <c r="AC1446" t="s">
        <v>1147</v>
      </c>
      <c r="AD1446" t="s">
        <v>1148</v>
      </c>
      <c r="AE1446" s="7">
        <v>54450</v>
      </c>
      <c r="AF1446" s="7">
        <v>1</v>
      </c>
      <c r="AG1446" s="7">
        <v>54450</v>
      </c>
      <c r="AH1446" s="7">
        <v>0</v>
      </c>
      <c r="AI1446" s="7">
        <v>54450</v>
      </c>
      <c r="AJ1446" t="s">
        <v>1147</v>
      </c>
    </row>
    <row r="1447" spans="14:36" x14ac:dyDescent="0.3">
      <c r="N1447" s="8">
        <v>2026</v>
      </c>
      <c r="O1447" s="8">
        <v>4</v>
      </c>
      <c r="P1447" s="9">
        <v>46141</v>
      </c>
      <c r="Q1447" t="s">
        <v>238</v>
      </c>
      <c r="R1447" t="s">
        <v>303</v>
      </c>
      <c r="S1447" t="s">
        <v>304</v>
      </c>
      <c r="T1447" t="s">
        <v>1355</v>
      </c>
      <c r="U1447" t="s">
        <v>4074</v>
      </c>
      <c r="V1447" t="s">
        <v>246</v>
      </c>
      <c r="W1447" t="s">
        <v>244</v>
      </c>
      <c r="X1447" t="s">
        <v>1898</v>
      </c>
      <c r="Y1447" t="s">
        <v>168</v>
      </c>
      <c r="Z1447" t="s">
        <v>171</v>
      </c>
      <c r="AA1447" t="s">
        <v>175</v>
      </c>
      <c r="AB1447" t="s">
        <v>38</v>
      </c>
      <c r="AC1447" t="s">
        <v>36</v>
      </c>
      <c r="AD1447" t="s">
        <v>37</v>
      </c>
      <c r="AE1447" s="7">
        <v>290000</v>
      </c>
      <c r="AF1447" s="7">
        <v>1</v>
      </c>
      <c r="AG1447" s="7">
        <v>290000</v>
      </c>
      <c r="AH1447" s="7">
        <v>0</v>
      </c>
      <c r="AI1447" s="7">
        <v>290000</v>
      </c>
      <c r="AJ1447" t="s">
        <v>36</v>
      </c>
    </row>
    <row r="1448" spans="14:36" x14ac:dyDescent="0.3">
      <c r="N1448" s="8">
        <v>2026</v>
      </c>
      <c r="O1448" s="8">
        <v>4</v>
      </c>
      <c r="P1448" s="9">
        <v>46141</v>
      </c>
      <c r="Q1448" t="s">
        <v>238</v>
      </c>
      <c r="R1448" t="s">
        <v>303</v>
      </c>
      <c r="S1448" t="s">
        <v>304</v>
      </c>
      <c r="T1448" t="s">
        <v>1899</v>
      </c>
      <c r="U1448" t="s">
        <v>321</v>
      </c>
      <c r="V1448" t="s">
        <v>249</v>
      </c>
      <c r="W1448" t="s">
        <v>244</v>
      </c>
      <c r="X1448" t="s">
        <v>1900</v>
      </c>
      <c r="Y1448" t="s">
        <v>191</v>
      </c>
      <c r="Z1448" t="s">
        <v>192</v>
      </c>
      <c r="AA1448" t="s">
        <v>193</v>
      </c>
      <c r="AB1448" t="s">
        <v>119</v>
      </c>
      <c r="AC1448" t="s">
        <v>117</v>
      </c>
      <c r="AD1448" t="s">
        <v>118</v>
      </c>
      <c r="AE1448" s="7">
        <v>235000</v>
      </c>
      <c r="AF1448" s="7">
        <v>1</v>
      </c>
      <c r="AG1448" s="7">
        <v>235000</v>
      </c>
      <c r="AH1448" s="7">
        <v>0</v>
      </c>
      <c r="AI1448" s="7">
        <v>235000</v>
      </c>
      <c r="AJ1448" t="s">
        <v>117</v>
      </c>
    </row>
    <row r="1449" spans="14:36" x14ac:dyDescent="0.3">
      <c r="N1449" s="8">
        <v>2026</v>
      </c>
      <c r="O1449" s="8">
        <v>4</v>
      </c>
      <c r="P1449" s="9">
        <v>46141</v>
      </c>
      <c r="Q1449" t="s">
        <v>238</v>
      </c>
      <c r="R1449" t="s">
        <v>303</v>
      </c>
      <c r="S1449" t="s">
        <v>304</v>
      </c>
      <c r="T1449" t="s">
        <v>1903</v>
      </c>
      <c r="U1449" t="s">
        <v>1904</v>
      </c>
      <c r="V1449" t="s">
        <v>246</v>
      </c>
      <c r="W1449" t="s">
        <v>244</v>
      </c>
      <c r="X1449" t="s">
        <v>1905</v>
      </c>
      <c r="Y1449" t="s">
        <v>168</v>
      </c>
      <c r="Z1449" t="s">
        <v>171</v>
      </c>
      <c r="AA1449" t="s">
        <v>175</v>
      </c>
      <c r="AB1449" t="s">
        <v>44</v>
      </c>
      <c r="AC1449" t="s">
        <v>42</v>
      </c>
      <c r="AD1449" t="s">
        <v>43</v>
      </c>
      <c r="AE1449" s="7">
        <v>294000</v>
      </c>
      <c r="AF1449" s="7">
        <v>1</v>
      </c>
      <c r="AG1449" s="7">
        <v>294000</v>
      </c>
      <c r="AH1449" s="7">
        <v>0</v>
      </c>
      <c r="AI1449" s="7">
        <v>294000</v>
      </c>
      <c r="AJ1449" t="s">
        <v>42</v>
      </c>
    </row>
    <row r="1450" spans="14:36" x14ac:dyDescent="0.3">
      <c r="N1450" s="8">
        <v>2026</v>
      </c>
      <c r="O1450" s="8">
        <v>4</v>
      </c>
      <c r="P1450" s="9">
        <v>46141</v>
      </c>
      <c r="Q1450" t="s">
        <v>238</v>
      </c>
      <c r="R1450" t="s">
        <v>351</v>
      </c>
      <c r="S1450" t="s">
        <v>352</v>
      </c>
      <c r="T1450" t="s">
        <v>1091</v>
      </c>
      <c r="U1450" t="s">
        <v>1092</v>
      </c>
      <c r="V1450" t="s">
        <v>246</v>
      </c>
      <c r="W1450" t="s">
        <v>244</v>
      </c>
      <c r="X1450" t="s">
        <v>1908</v>
      </c>
      <c r="Y1450" t="s">
        <v>191</v>
      </c>
      <c r="Z1450" t="s">
        <v>335</v>
      </c>
      <c r="AA1450" t="s">
        <v>336</v>
      </c>
      <c r="AB1450" t="s">
        <v>1146</v>
      </c>
      <c r="AC1450" t="s">
        <v>1147</v>
      </c>
      <c r="AD1450" t="s">
        <v>1148</v>
      </c>
      <c r="AE1450" s="7">
        <v>54450</v>
      </c>
      <c r="AF1450" s="7">
        <v>4</v>
      </c>
      <c r="AG1450" s="7">
        <v>217800</v>
      </c>
      <c r="AH1450" s="7">
        <v>0</v>
      </c>
      <c r="AI1450" s="7">
        <v>217800</v>
      </c>
      <c r="AJ1450" t="s">
        <v>1147</v>
      </c>
    </row>
    <row r="1451" spans="14:36" x14ac:dyDescent="0.3">
      <c r="N1451" s="8">
        <v>2026</v>
      </c>
      <c r="O1451" s="8">
        <v>4</v>
      </c>
      <c r="P1451" s="9">
        <v>46141</v>
      </c>
      <c r="Q1451" t="s">
        <v>238</v>
      </c>
      <c r="R1451" t="s">
        <v>351</v>
      </c>
      <c r="S1451" t="s">
        <v>352</v>
      </c>
      <c r="T1451" t="s">
        <v>1091</v>
      </c>
      <c r="U1451" t="s">
        <v>1092</v>
      </c>
      <c r="V1451" t="s">
        <v>246</v>
      </c>
      <c r="W1451" t="s">
        <v>244</v>
      </c>
      <c r="X1451" t="s">
        <v>1908</v>
      </c>
      <c r="Y1451" t="s">
        <v>191</v>
      </c>
      <c r="Z1451" t="s">
        <v>335</v>
      </c>
      <c r="AA1451" t="s">
        <v>337</v>
      </c>
      <c r="AB1451" t="s">
        <v>719</v>
      </c>
      <c r="AC1451" t="s">
        <v>720</v>
      </c>
      <c r="AD1451" t="s">
        <v>721</v>
      </c>
      <c r="AE1451" s="7">
        <v>104000</v>
      </c>
      <c r="AF1451" s="7">
        <v>2</v>
      </c>
      <c r="AG1451" s="7">
        <v>208000</v>
      </c>
      <c r="AH1451" s="7">
        <v>0</v>
      </c>
      <c r="AI1451" s="7">
        <v>208000</v>
      </c>
      <c r="AJ1451" t="s">
        <v>720</v>
      </c>
    </row>
    <row r="1452" spans="14:36" x14ac:dyDescent="0.3">
      <c r="N1452" s="8">
        <v>2026</v>
      </c>
      <c r="O1452" s="8">
        <v>4</v>
      </c>
      <c r="P1452" s="9">
        <v>46141</v>
      </c>
      <c r="Q1452" t="s">
        <v>238</v>
      </c>
      <c r="R1452" t="s">
        <v>374</v>
      </c>
      <c r="S1452" t="s">
        <v>375</v>
      </c>
      <c r="T1452" t="s">
        <v>376</v>
      </c>
      <c r="U1452" t="s">
        <v>377</v>
      </c>
      <c r="V1452" t="s">
        <v>243</v>
      </c>
      <c r="W1452" t="s">
        <v>244</v>
      </c>
      <c r="X1452" t="s">
        <v>1909</v>
      </c>
      <c r="Y1452" t="s">
        <v>191</v>
      </c>
      <c r="Z1452" t="s">
        <v>192</v>
      </c>
      <c r="AA1452" t="s">
        <v>193</v>
      </c>
      <c r="AB1452" t="s">
        <v>119</v>
      </c>
      <c r="AC1452" t="s">
        <v>117</v>
      </c>
      <c r="AD1452" t="s">
        <v>118</v>
      </c>
      <c r="AE1452" s="7">
        <v>235000</v>
      </c>
      <c r="AF1452" s="7">
        <v>1</v>
      </c>
      <c r="AG1452" s="7">
        <v>235000</v>
      </c>
      <c r="AH1452" s="7">
        <v>0</v>
      </c>
      <c r="AI1452" s="7">
        <v>235000</v>
      </c>
      <c r="AJ1452" t="s">
        <v>117</v>
      </c>
    </row>
    <row r="1453" spans="14:36" x14ac:dyDescent="0.3">
      <c r="N1453" s="8">
        <v>2026</v>
      </c>
      <c r="O1453" s="8">
        <v>4</v>
      </c>
      <c r="P1453" s="9">
        <v>46141</v>
      </c>
      <c r="Q1453" t="s">
        <v>238</v>
      </c>
      <c r="R1453" t="s">
        <v>374</v>
      </c>
      <c r="S1453" t="s">
        <v>375</v>
      </c>
      <c r="T1453" t="s">
        <v>382</v>
      </c>
      <c r="U1453" t="s">
        <v>383</v>
      </c>
      <c r="V1453" t="s">
        <v>243</v>
      </c>
      <c r="W1453" t="s">
        <v>244</v>
      </c>
      <c r="X1453" t="s">
        <v>1910</v>
      </c>
      <c r="Y1453" t="s">
        <v>191</v>
      </c>
      <c r="Z1453" t="s">
        <v>192</v>
      </c>
      <c r="AA1453" t="s">
        <v>283</v>
      </c>
      <c r="AB1453" t="s">
        <v>107</v>
      </c>
      <c r="AC1453" t="s">
        <v>105</v>
      </c>
      <c r="AD1453" t="s">
        <v>106</v>
      </c>
      <c r="AE1453" s="7">
        <v>235000</v>
      </c>
      <c r="AF1453" s="7">
        <v>1</v>
      </c>
      <c r="AG1453" s="7">
        <v>235000</v>
      </c>
      <c r="AH1453" s="7">
        <v>0</v>
      </c>
      <c r="AI1453" s="7">
        <v>235000</v>
      </c>
      <c r="AJ1453" t="s">
        <v>105</v>
      </c>
    </row>
    <row r="1454" spans="14:36" x14ac:dyDescent="0.3">
      <c r="N1454" s="8">
        <v>2026</v>
      </c>
      <c r="O1454" s="8">
        <v>4</v>
      </c>
      <c r="P1454" s="9">
        <v>46141</v>
      </c>
      <c r="Q1454" t="s">
        <v>238</v>
      </c>
      <c r="R1454" t="s">
        <v>374</v>
      </c>
      <c r="S1454" t="s">
        <v>375</v>
      </c>
      <c r="T1454" t="s">
        <v>763</v>
      </c>
      <c r="U1454" t="s">
        <v>764</v>
      </c>
      <c r="V1454" t="s">
        <v>246</v>
      </c>
      <c r="W1454" t="s">
        <v>244</v>
      </c>
      <c r="X1454" t="s">
        <v>1911</v>
      </c>
      <c r="Y1454" t="s">
        <v>183</v>
      </c>
      <c r="Z1454" t="s">
        <v>189</v>
      </c>
      <c r="AA1454" t="s">
        <v>190</v>
      </c>
      <c r="AB1454" t="s">
        <v>92</v>
      </c>
      <c r="AC1454" t="s">
        <v>90</v>
      </c>
      <c r="AD1454" t="s">
        <v>91</v>
      </c>
      <c r="AE1454" s="7">
        <v>52000</v>
      </c>
      <c r="AF1454" s="7">
        <v>1</v>
      </c>
      <c r="AG1454" s="7">
        <v>52000</v>
      </c>
      <c r="AH1454" s="7">
        <v>0</v>
      </c>
      <c r="AI1454" s="7">
        <v>52000</v>
      </c>
      <c r="AJ1454" t="s">
        <v>90</v>
      </c>
    </row>
    <row r="1455" spans="14:36" x14ac:dyDescent="0.3">
      <c r="N1455" s="8">
        <v>2026</v>
      </c>
      <c r="O1455" s="8">
        <v>4</v>
      </c>
      <c r="P1455" s="9">
        <v>46141</v>
      </c>
      <c r="Q1455" t="s">
        <v>238</v>
      </c>
      <c r="R1455" t="s">
        <v>374</v>
      </c>
      <c r="S1455" t="s">
        <v>375</v>
      </c>
      <c r="T1455" t="s">
        <v>1912</v>
      </c>
      <c r="U1455" t="s">
        <v>4075</v>
      </c>
      <c r="V1455" t="s">
        <v>246</v>
      </c>
      <c r="W1455" t="s">
        <v>244</v>
      </c>
      <c r="X1455" t="s">
        <v>1913</v>
      </c>
      <c r="Y1455" t="s">
        <v>168</v>
      </c>
      <c r="Z1455" t="s">
        <v>181</v>
      </c>
      <c r="AA1455" t="s">
        <v>182</v>
      </c>
      <c r="AB1455" t="s">
        <v>53</v>
      </c>
      <c r="AC1455" t="s">
        <v>51</v>
      </c>
      <c r="AD1455" t="s">
        <v>52</v>
      </c>
      <c r="AE1455" s="7">
        <v>45000</v>
      </c>
      <c r="AF1455" s="7">
        <v>1</v>
      </c>
      <c r="AG1455" s="7">
        <v>45000</v>
      </c>
      <c r="AH1455" s="7">
        <v>0</v>
      </c>
      <c r="AI1455" s="7">
        <v>45000</v>
      </c>
      <c r="AJ1455" t="s">
        <v>51</v>
      </c>
    </row>
    <row r="1456" spans="14:36" x14ac:dyDescent="0.3">
      <c r="N1456" s="8">
        <v>2026</v>
      </c>
      <c r="O1456" s="8">
        <v>4</v>
      </c>
      <c r="P1456" s="9">
        <v>46141</v>
      </c>
      <c r="Q1456" t="s">
        <v>238</v>
      </c>
      <c r="R1456" t="s">
        <v>396</v>
      </c>
      <c r="S1456" t="s">
        <v>397</v>
      </c>
      <c r="T1456" t="s">
        <v>1849</v>
      </c>
      <c r="U1456" t="s">
        <v>1850</v>
      </c>
      <c r="V1456" t="s">
        <v>246</v>
      </c>
      <c r="W1456" t="s">
        <v>244</v>
      </c>
      <c r="X1456" t="s">
        <v>1914</v>
      </c>
      <c r="Y1456" t="s">
        <v>191</v>
      </c>
      <c r="Z1456" t="s">
        <v>335</v>
      </c>
      <c r="AA1456" t="s">
        <v>337</v>
      </c>
      <c r="AB1456" t="s">
        <v>656</v>
      </c>
      <c r="AC1456" t="s">
        <v>657</v>
      </c>
      <c r="AD1456" t="s">
        <v>658</v>
      </c>
      <c r="AE1456" s="7">
        <v>35000</v>
      </c>
      <c r="AF1456" s="7">
        <v>2</v>
      </c>
      <c r="AG1456" s="7">
        <v>70000</v>
      </c>
      <c r="AH1456" s="7">
        <v>0</v>
      </c>
      <c r="AI1456" s="7">
        <v>70000</v>
      </c>
      <c r="AJ1456" t="s">
        <v>657</v>
      </c>
    </row>
    <row r="1457" spans="14:36" x14ac:dyDescent="0.3">
      <c r="N1457" s="8">
        <v>2026</v>
      </c>
      <c r="O1457" s="8">
        <v>4</v>
      </c>
      <c r="P1457" s="9">
        <v>46141</v>
      </c>
      <c r="Q1457" t="s">
        <v>238</v>
      </c>
      <c r="R1457" t="s">
        <v>396</v>
      </c>
      <c r="S1457" t="s">
        <v>397</v>
      </c>
      <c r="T1457" t="s">
        <v>1361</v>
      </c>
      <c r="U1457" t="s">
        <v>1362</v>
      </c>
      <c r="V1457" t="s">
        <v>246</v>
      </c>
      <c r="W1457" t="s">
        <v>244</v>
      </c>
      <c r="X1457" t="s">
        <v>1915</v>
      </c>
      <c r="Y1457" t="s">
        <v>191</v>
      </c>
      <c r="Z1457" t="s">
        <v>192</v>
      </c>
      <c r="AA1457" t="s">
        <v>193</v>
      </c>
      <c r="AB1457" t="s">
        <v>113</v>
      </c>
      <c r="AC1457" t="s">
        <v>111</v>
      </c>
      <c r="AD1457" t="s">
        <v>112</v>
      </c>
      <c r="AE1457" s="7">
        <v>235000</v>
      </c>
      <c r="AF1457" s="7">
        <v>1</v>
      </c>
      <c r="AG1457" s="7">
        <v>235000</v>
      </c>
      <c r="AH1457" s="7">
        <v>0</v>
      </c>
      <c r="AI1457" s="7">
        <v>235000</v>
      </c>
      <c r="AJ1457" t="s">
        <v>111</v>
      </c>
    </row>
    <row r="1458" spans="14:36" x14ac:dyDescent="0.3">
      <c r="N1458" s="8">
        <v>2026</v>
      </c>
      <c r="O1458" s="8">
        <v>4</v>
      </c>
      <c r="P1458" s="9">
        <v>46141</v>
      </c>
      <c r="Q1458" t="s">
        <v>238</v>
      </c>
      <c r="R1458" t="s">
        <v>396</v>
      </c>
      <c r="S1458" t="s">
        <v>397</v>
      </c>
      <c r="T1458" t="s">
        <v>1916</v>
      </c>
      <c r="U1458" t="s">
        <v>1917</v>
      </c>
      <c r="V1458" t="s">
        <v>246</v>
      </c>
      <c r="W1458" t="s">
        <v>244</v>
      </c>
      <c r="X1458" t="s">
        <v>1918</v>
      </c>
      <c r="Y1458" t="s">
        <v>191</v>
      </c>
      <c r="Z1458" t="s">
        <v>192</v>
      </c>
      <c r="AA1458" t="s">
        <v>283</v>
      </c>
      <c r="AB1458" t="s">
        <v>110</v>
      </c>
      <c r="AC1458" t="s">
        <v>108</v>
      </c>
      <c r="AD1458" t="s">
        <v>109</v>
      </c>
      <c r="AE1458" s="7">
        <v>235000</v>
      </c>
      <c r="AF1458" s="7">
        <v>1</v>
      </c>
      <c r="AG1458" s="7">
        <v>235000</v>
      </c>
      <c r="AH1458" s="7">
        <v>0</v>
      </c>
      <c r="AI1458" s="7">
        <v>235000</v>
      </c>
      <c r="AJ1458" t="s">
        <v>108</v>
      </c>
    </row>
    <row r="1459" spans="14:36" x14ac:dyDescent="0.3">
      <c r="N1459" s="8">
        <v>2026</v>
      </c>
      <c r="O1459" s="8">
        <v>4</v>
      </c>
      <c r="P1459" s="9">
        <v>46141</v>
      </c>
      <c r="Q1459" t="s">
        <v>238</v>
      </c>
      <c r="R1459" t="s">
        <v>396</v>
      </c>
      <c r="S1459" t="s">
        <v>397</v>
      </c>
      <c r="T1459" t="s">
        <v>1778</v>
      </c>
      <c r="U1459" t="s">
        <v>1100</v>
      </c>
      <c r="V1459" t="s">
        <v>246</v>
      </c>
      <c r="W1459" t="s">
        <v>244</v>
      </c>
      <c r="X1459" t="s">
        <v>1919</v>
      </c>
      <c r="Y1459" t="s">
        <v>191</v>
      </c>
      <c r="Z1459" t="s">
        <v>192</v>
      </c>
      <c r="AA1459" t="s">
        <v>283</v>
      </c>
      <c r="AB1459" t="s">
        <v>110</v>
      </c>
      <c r="AC1459" t="s">
        <v>108</v>
      </c>
      <c r="AD1459" t="s">
        <v>109</v>
      </c>
      <c r="AE1459" s="7">
        <v>235000</v>
      </c>
      <c r="AF1459" s="7">
        <v>1</v>
      </c>
      <c r="AG1459" s="7">
        <v>235000</v>
      </c>
      <c r="AH1459" s="7">
        <v>0</v>
      </c>
      <c r="AI1459" s="7">
        <v>235000</v>
      </c>
      <c r="AJ1459" t="s">
        <v>108</v>
      </c>
    </row>
    <row r="1460" spans="14:36" x14ac:dyDescent="0.3">
      <c r="N1460" s="8">
        <v>2026</v>
      </c>
      <c r="O1460" s="8">
        <v>4</v>
      </c>
      <c r="P1460" s="9">
        <v>46141</v>
      </c>
      <c r="Q1460" t="s">
        <v>238</v>
      </c>
      <c r="R1460" t="s">
        <v>415</v>
      </c>
      <c r="S1460" t="s">
        <v>416</v>
      </c>
      <c r="T1460" t="s">
        <v>1920</v>
      </c>
      <c r="U1460" t="s">
        <v>427</v>
      </c>
      <c r="V1460" t="s">
        <v>246</v>
      </c>
      <c r="W1460" t="s">
        <v>244</v>
      </c>
      <c r="X1460" t="s">
        <v>1921</v>
      </c>
      <c r="Y1460" t="s">
        <v>168</v>
      </c>
      <c r="Z1460" t="s">
        <v>171</v>
      </c>
      <c r="AA1460" t="s">
        <v>175</v>
      </c>
      <c r="AB1460" t="s">
        <v>44</v>
      </c>
      <c r="AC1460" t="s">
        <v>42</v>
      </c>
      <c r="AD1460" t="s">
        <v>43</v>
      </c>
      <c r="AE1460" s="7">
        <v>294000</v>
      </c>
      <c r="AF1460" s="7">
        <v>1</v>
      </c>
      <c r="AG1460" s="7">
        <v>294000</v>
      </c>
      <c r="AH1460" s="7">
        <v>0</v>
      </c>
      <c r="AI1460" s="7">
        <v>294000</v>
      </c>
      <c r="AJ1460" t="s">
        <v>42</v>
      </c>
    </row>
    <row r="1461" spans="14:36" x14ac:dyDescent="0.3">
      <c r="N1461" s="8">
        <v>2026</v>
      </c>
      <c r="O1461" s="8">
        <v>4</v>
      </c>
      <c r="P1461" s="9">
        <v>46140</v>
      </c>
      <c r="Q1461" t="s">
        <v>238</v>
      </c>
      <c r="R1461" t="s">
        <v>239</v>
      </c>
      <c r="S1461" t="s">
        <v>240</v>
      </c>
      <c r="T1461" t="s">
        <v>252</v>
      </c>
      <c r="U1461" t="s">
        <v>253</v>
      </c>
      <c r="V1461" t="s">
        <v>246</v>
      </c>
      <c r="W1461" t="s">
        <v>244</v>
      </c>
      <c r="X1461" t="s">
        <v>1927</v>
      </c>
      <c r="Y1461" t="s">
        <v>191</v>
      </c>
      <c r="Z1461" t="s">
        <v>192</v>
      </c>
      <c r="AA1461" t="s">
        <v>193</v>
      </c>
      <c r="AB1461" t="s">
        <v>119</v>
      </c>
      <c r="AC1461" t="s">
        <v>117</v>
      </c>
      <c r="AD1461" t="s">
        <v>118</v>
      </c>
      <c r="AE1461" s="7">
        <v>235000</v>
      </c>
      <c r="AF1461" s="7">
        <v>2</v>
      </c>
      <c r="AG1461" s="7">
        <v>470000</v>
      </c>
      <c r="AH1461" s="7">
        <v>0</v>
      </c>
      <c r="AI1461" s="7">
        <v>470000</v>
      </c>
      <c r="AJ1461" t="s">
        <v>117</v>
      </c>
    </row>
    <row r="1462" spans="14:36" x14ac:dyDescent="0.3">
      <c r="N1462" s="8">
        <v>2026</v>
      </c>
      <c r="O1462" s="8">
        <v>4</v>
      </c>
      <c r="P1462" s="9">
        <v>46140</v>
      </c>
      <c r="Q1462" t="s">
        <v>238</v>
      </c>
      <c r="R1462" t="s">
        <v>239</v>
      </c>
      <c r="S1462" t="s">
        <v>240</v>
      </c>
      <c r="T1462" t="s">
        <v>1928</v>
      </c>
      <c r="U1462" t="s">
        <v>3866</v>
      </c>
      <c r="V1462" t="s">
        <v>246</v>
      </c>
      <c r="W1462" t="s">
        <v>244</v>
      </c>
      <c r="X1462" t="s">
        <v>1929</v>
      </c>
      <c r="Y1462" t="s">
        <v>194</v>
      </c>
      <c r="Z1462" t="s">
        <v>200</v>
      </c>
      <c r="AA1462" t="s">
        <v>201</v>
      </c>
      <c r="AB1462" t="s">
        <v>86</v>
      </c>
      <c r="AC1462" t="s">
        <v>84</v>
      </c>
      <c r="AD1462" t="s">
        <v>85</v>
      </c>
      <c r="AE1462" s="7">
        <v>49000</v>
      </c>
      <c r="AF1462" s="7">
        <v>1</v>
      </c>
      <c r="AG1462" s="7">
        <v>49000</v>
      </c>
      <c r="AH1462" s="7">
        <v>0</v>
      </c>
      <c r="AI1462" s="7">
        <v>49000</v>
      </c>
      <c r="AJ1462" t="s">
        <v>84</v>
      </c>
    </row>
    <row r="1463" spans="14:36" x14ac:dyDescent="0.3">
      <c r="N1463" s="8">
        <v>2026</v>
      </c>
      <c r="O1463" s="8">
        <v>4</v>
      </c>
      <c r="P1463" s="9">
        <v>46140</v>
      </c>
      <c r="Q1463" t="s">
        <v>238</v>
      </c>
      <c r="R1463" t="s">
        <v>239</v>
      </c>
      <c r="S1463" t="s">
        <v>240</v>
      </c>
      <c r="T1463" t="s">
        <v>1931</v>
      </c>
      <c r="U1463" t="s">
        <v>3954</v>
      </c>
      <c r="V1463" t="s">
        <v>246</v>
      </c>
      <c r="W1463" t="s">
        <v>244</v>
      </c>
      <c r="X1463" t="s">
        <v>1932</v>
      </c>
      <c r="Y1463" t="s">
        <v>191</v>
      </c>
      <c r="Z1463" t="s">
        <v>335</v>
      </c>
      <c r="AA1463" t="s">
        <v>336</v>
      </c>
      <c r="AB1463" t="s">
        <v>1146</v>
      </c>
      <c r="AC1463" t="s">
        <v>1147</v>
      </c>
      <c r="AD1463" t="s">
        <v>1148</v>
      </c>
      <c r="AE1463" s="7">
        <v>99000</v>
      </c>
      <c r="AF1463" s="7">
        <v>3</v>
      </c>
      <c r="AG1463" s="7">
        <v>297000</v>
      </c>
      <c r="AH1463" s="7">
        <v>0</v>
      </c>
      <c r="AI1463" s="7">
        <v>297000</v>
      </c>
      <c r="AJ1463" t="s">
        <v>1147</v>
      </c>
    </row>
    <row r="1464" spans="14:36" x14ac:dyDescent="0.3">
      <c r="N1464" s="8">
        <v>2026</v>
      </c>
      <c r="O1464" s="8">
        <v>4</v>
      </c>
      <c r="P1464" s="9">
        <v>46140</v>
      </c>
      <c r="Q1464" t="s">
        <v>238</v>
      </c>
      <c r="R1464" t="s">
        <v>303</v>
      </c>
      <c r="S1464" t="s">
        <v>304</v>
      </c>
      <c r="T1464" t="s">
        <v>1934</v>
      </c>
      <c r="U1464" t="s">
        <v>1935</v>
      </c>
      <c r="V1464" t="s">
        <v>246</v>
      </c>
      <c r="W1464" t="s">
        <v>244</v>
      </c>
      <c r="X1464" t="s">
        <v>1936</v>
      </c>
      <c r="Y1464" t="s">
        <v>168</v>
      </c>
      <c r="Z1464" t="s">
        <v>181</v>
      </c>
      <c r="AA1464" t="s">
        <v>182</v>
      </c>
      <c r="AB1464" t="s">
        <v>53</v>
      </c>
      <c r="AC1464" t="s">
        <v>51</v>
      </c>
      <c r="AD1464" t="s">
        <v>52</v>
      </c>
      <c r="AE1464" s="7">
        <v>45000</v>
      </c>
      <c r="AF1464" s="7">
        <v>1</v>
      </c>
      <c r="AG1464" s="7">
        <v>45000</v>
      </c>
      <c r="AH1464" s="7">
        <v>0</v>
      </c>
      <c r="AI1464" s="7">
        <v>45000</v>
      </c>
      <c r="AJ1464" t="s">
        <v>51</v>
      </c>
    </row>
    <row r="1465" spans="14:36" x14ac:dyDescent="0.3">
      <c r="N1465" s="8">
        <v>2026</v>
      </c>
      <c r="O1465" s="8">
        <v>4</v>
      </c>
      <c r="P1465" s="9">
        <v>46140</v>
      </c>
      <c r="Q1465" t="s">
        <v>238</v>
      </c>
      <c r="R1465" t="s">
        <v>303</v>
      </c>
      <c r="S1465" t="s">
        <v>304</v>
      </c>
      <c r="T1465" t="s">
        <v>1937</v>
      </c>
      <c r="U1465" t="s">
        <v>4076</v>
      </c>
      <c r="V1465" t="s">
        <v>246</v>
      </c>
      <c r="W1465" t="s">
        <v>244</v>
      </c>
      <c r="X1465" t="s">
        <v>1938</v>
      </c>
      <c r="Y1465" t="s">
        <v>168</v>
      </c>
      <c r="Z1465" t="s">
        <v>181</v>
      </c>
      <c r="AA1465" t="s">
        <v>182</v>
      </c>
      <c r="AB1465" t="s">
        <v>50</v>
      </c>
      <c r="AC1465" t="s">
        <v>48</v>
      </c>
      <c r="AD1465" t="s">
        <v>49</v>
      </c>
      <c r="AE1465" s="7">
        <v>49000</v>
      </c>
      <c r="AF1465" s="7">
        <v>1</v>
      </c>
      <c r="AG1465" s="7">
        <v>49000</v>
      </c>
      <c r="AH1465" s="7">
        <v>0</v>
      </c>
      <c r="AI1465" s="7">
        <v>49000</v>
      </c>
      <c r="AJ1465" t="s">
        <v>48</v>
      </c>
    </row>
    <row r="1466" spans="14:36" x14ac:dyDescent="0.3">
      <c r="N1466" s="8">
        <v>2026</v>
      </c>
      <c r="O1466" s="8">
        <v>4</v>
      </c>
      <c r="P1466" s="9">
        <v>46140</v>
      </c>
      <c r="Q1466" t="s">
        <v>238</v>
      </c>
      <c r="R1466" t="s">
        <v>351</v>
      </c>
      <c r="S1466" t="s">
        <v>352</v>
      </c>
      <c r="T1466" t="s">
        <v>1940</v>
      </c>
      <c r="U1466" t="s">
        <v>371</v>
      </c>
      <c r="V1466" t="s">
        <v>246</v>
      </c>
      <c r="W1466" t="s">
        <v>244</v>
      </c>
      <c r="X1466" t="s">
        <v>1941</v>
      </c>
      <c r="Y1466" t="s">
        <v>191</v>
      </c>
      <c r="Z1466" t="s">
        <v>335</v>
      </c>
      <c r="AA1466" t="s">
        <v>337</v>
      </c>
      <c r="AB1466" t="s">
        <v>348</v>
      </c>
      <c r="AC1466" t="s">
        <v>349</v>
      </c>
      <c r="AD1466" t="s">
        <v>350</v>
      </c>
      <c r="AE1466" s="7">
        <v>76000</v>
      </c>
      <c r="AF1466" s="7">
        <v>1</v>
      </c>
      <c r="AG1466" s="7">
        <v>76000</v>
      </c>
      <c r="AH1466" s="7">
        <v>0</v>
      </c>
      <c r="AI1466" s="7">
        <v>76000</v>
      </c>
      <c r="AJ1466" t="s">
        <v>349</v>
      </c>
    </row>
    <row r="1467" spans="14:36" x14ac:dyDescent="0.3">
      <c r="N1467" s="8">
        <v>2026</v>
      </c>
      <c r="O1467" s="8">
        <v>4</v>
      </c>
      <c r="P1467" s="9">
        <v>46140</v>
      </c>
      <c r="Q1467" t="s">
        <v>238</v>
      </c>
      <c r="R1467" t="s">
        <v>374</v>
      </c>
      <c r="S1467" t="s">
        <v>375</v>
      </c>
      <c r="T1467" t="s">
        <v>376</v>
      </c>
      <c r="U1467" t="s">
        <v>377</v>
      </c>
      <c r="V1467" t="s">
        <v>243</v>
      </c>
      <c r="W1467" t="s">
        <v>244</v>
      </c>
      <c r="X1467" t="s">
        <v>1942</v>
      </c>
      <c r="Y1467" t="s">
        <v>194</v>
      </c>
      <c r="Z1467" t="s">
        <v>200</v>
      </c>
      <c r="AA1467" t="s">
        <v>201</v>
      </c>
      <c r="AB1467" t="s">
        <v>80</v>
      </c>
      <c r="AC1467" t="s">
        <v>78</v>
      </c>
      <c r="AD1467" t="s">
        <v>79</v>
      </c>
      <c r="AE1467" s="7">
        <v>14000</v>
      </c>
      <c r="AF1467" s="7">
        <v>1</v>
      </c>
      <c r="AG1467" s="7">
        <v>14000</v>
      </c>
      <c r="AH1467" s="7">
        <v>0</v>
      </c>
      <c r="AI1467" s="7">
        <v>14000</v>
      </c>
      <c r="AJ1467" t="s">
        <v>78</v>
      </c>
    </row>
    <row r="1468" spans="14:36" x14ac:dyDescent="0.3">
      <c r="N1468" s="8">
        <v>2026</v>
      </c>
      <c r="O1468" s="8">
        <v>4</v>
      </c>
      <c r="P1468" s="9">
        <v>46140</v>
      </c>
      <c r="Q1468" t="s">
        <v>238</v>
      </c>
      <c r="R1468" t="s">
        <v>415</v>
      </c>
      <c r="S1468" t="s">
        <v>416</v>
      </c>
      <c r="T1468" t="s">
        <v>417</v>
      </c>
      <c r="U1468" t="s">
        <v>418</v>
      </c>
      <c r="V1468" t="s">
        <v>243</v>
      </c>
      <c r="W1468" t="s">
        <v>244</v>
      </c>
      <c r="X1468" t="s">
        <v>1943</v>
      </c>
      <c r="Y1468" t="s">
        <v>191</v>
      </c>
      <c r="Z1468" t="s">
        <v>335</v>
      </c>
      <c r="AA1468" t="s">
        <v>337</v>
      </c>
      <c r="AB1468" t="s">
        <v>348</v>
      </c>
      <c r="AC1468" t="s">
        <v>349</v>
      </c>
      <c r="AD1468" t="s">
        <v>350</v>
      </c>
      <c r="AE1468" s="7">
        <v>76000</v>
      </c>
      <c r="AF1468" s="7">
        <v>1</v>
      </c>
      <c r="AG1468" s="7">
        <v>76000</v>
      </c>
      <c r="AH1468" s="7">
        <v>0</v>
      </c>
      <c r="AI1468" s="7">
        <v>76000</v>
      </c>
      <c r="AJ1468" t="s">
        <v>349</v>
      </c>
    </row>
    <row r="1469" spans="14:36" x14ac:dyDescent="0.3">
      <c r="N1469" s="8">
        <v>2026</v>
      </c>
      <c r="O1469" s="8">
        <v>4</v>
      </c>
      <c r="P1469" s="9">
        <v>46140</v>
      </c>
      <c r="Q1469" t="s">
        <v>238</v>
      </c>
      <c r="R1469" t="s">
        <v>415</v>
      </c>
      <c r="S1469" t="s">
        <v>416</v>
      </c>
      <c r="T1469" t="s">
        <v>617</v>
      </c>
      <c r="U1469" t="s">
        <v>600</v>
      </c>
      <c r="V1469" t="s">
        <v>246</v>
      </c>
      <c r="W1469" t="s">
        <v>244</v>
      </c>
      <c r="X1469" t="s">
        <v>1944</v>
      </c>
      <c r="Y1469" t="s">
        <v>191</v>
      </c>
      <c r="Z1469" t="s">
        <v>335</v>
      </c>
      <c r="AA1469" t="s">
        <v>337</v>
      </c>
      <c r="AB1469" t="s">
        <v>541</v>
      </c>
      <c r="AC1469" t="s">
        <v>542</v>
      </c>
      <c r="AD1469" t="s">
        <v>543</v>
      </c>
      <c r="AE1469" s="7">
        <v>69000</v>
      </c>
      <c r="AF1469" s="7">
        <v>1</v>
      </c>
      <c r="AG1469" s="7">
        <v>69000</v>
      </c>
      <c r="AH1469" s="7">
        <v>0</v>
      </c>
      <c r="AI1469" s="7">
        <v>69000</v>
      </c>
      <c r="AJ1469" t="s">
        <v>542</v>
      </c>
    </row>
    <row r="1470" spans="14:36" x14ac:dyDescent="0.3">
      <c r="N1470" s="8">
        <v>2026</v>
      </c>
      <c r="O1470" s="8">
        <v>4</v>
      </c>
      <c r="P1470" s="9">
        <v>46140</v>
      </c>
      <c r="Q1470" t="s">
        <v>238</v>
      </c>
      <c r="R1470" t="s">
        <v>425</v>
      </c>
      <c r="S1470" t="s">
        <v>426</v>
      </c>
      <c r="T1470" t="s">
        <v>1616</v>
      </c>
      <c r="U1470" t="s">
        <v>4077</v>
      </c>
      <c r="V1470" t="s">
        <v>246</v>
      </c>
      <c r="W1470" t="s">
        <v>244</v>
      </c>
      <c r="X1470" t="s">
        <v>1945</v>
      </c>
      <c r="Y1470" t="s">
        <v>168</v>
      </c>
      <c r="Z1470" t="s">
        <v>181</v>
      </c>
      <c r="AA1470" t="s">
        <v>182</v>
      </c>
      <c r="AB1470" t="s">
        <v>53</v>
      </c>
      <c r="AC1470" t="s">
        <v>51</v>
      </c>
      <c r="AD1470" t="s">
        <v>52</v>
      </c>
      <c r="AE1470" s="7">
        <v>45000</v>
      </c>
      <c r="AF1470" s="7">
        <v>1</v>
      </c>
      <c r="AG1470" s="7">
        <v>45000</v>
      </c>
      <c r="AH1470" s="7">
        <v>0</v>
      </c>
      <c r="AI1470" s="7">
        <v>45000</v>
      </c>
      <c r="AJ1470" t="s">
        <v>51</v>
      </c>
    </row>
    <row r="1471" spans="14:36" x14ac:dyDescent="0.3">
      <c r="N1471" s="8">
        <v>2026</v>
      </c>
      <c r="O1471" s="8">
        <v>4</v>
      </c>
      <c r="P1471" s="9">
        <v>46139</v>
      </c>
      <c r="Q1471" t="s">
        <v>238</v>
      </c>
      <c r="R1471" t="s">
        <v>239</v>
      </c>
      <c r="S1471" t="s">
        <v>240</v>
      </c>
      <c r="T1471" t="s">
        <v>1946</v>
      </c>
      <c r="U1471" t="s">
        <v>1947</v>
      </c>
      <c r="V1471" t="s">
        <v>246</v>
      </c>
      <c r="W1471" t="s">
        <v>244</v>
      </c>
      <c r="X1471" t="s">
        <v>1948</v>
      </c>
      <c r="Y1471" t="s">
        <v>191</v>
      </c>
      <c r="Z1471" t="s">
        <v>335</v>
      </c>
      <c r="AA1471" t="s">
        <v>336</v>
      </c>
      <c r="AB1471" t="s">
        <v>1146</v>
      </c>
      <c r="AC1471" t="s">
        <v>1147</v>
      </c>
      <c r="AD1471" t="s">
        <v>1148</v>
      </c>
      <c r="AE1471" s="7">
        <v>54450</v>
      </c>
      <c r="AF1471" s="7">
        <v>1</v>
      </c>
      <c r="AG1471" s="7">
        <v>54450</v>
      </c>
      <c r="AH1471" s="7">
        <v>0</v>
      </c>
      <c r="AI1471" s="7">
        <v>54450</v>
      </c>
      <c r="AJ1471" t="s">
        <v>1147</v>
      </c>
    </row>
    <row r="1472" spans="14:36" x14ac:dyDescent="0.3">
      <c r="N1472" s="8">
        <v>2026</v>
      </c>
      <c r="O1472" s="8">
        <v>4</v>
      </c>
      <c r="P1472" s="9">
        <v>46139</v>
      </c>
      <c r="Q1472" t="s">
        <v>238</v>
      </c>
      <c r="R1472" t="s">
        <v>239</v>
      </c>
      <c r="S1472" t="s">
        <v>240</v>
      </c>
      <c r="T1472" t="s">
        <v>1930</v>
      </c>
      <c r="U1472" t="s">
        <v>3987</v>
      </c>
      <c r="V1472" t="s">
        <v>246</v>
      </c>
      <c r="W1472" t="s">
        <v>244</v>
      </c>
      <c r="X1472" t="s">
        <v>1949</v>
      </c>
      <c r="Y1472" t="s">
        <v>191</v>
      </c>
      <c r="Z1472" t="s">
        <v>192</v>
      </c>
      <c r="AA1472" t="s">
        <v>283</v>
      </c>
      <c r="AB1472" t="s">
        <v>110</v>
      </c>
      <c r="AC1472" t="s">
        <v>108</v>
      </c>
      <c r="AD1472" t="s">
        <v>109</v>
      </c>
      <c r="AE1472" s="7">
        <v>235000</v>
      </c>
      <c r="AF1472" s="7">
        <v>1</v>
      </c>
      <c r="AG1472" s="7">
        <v>235000</v>
      </c>
      <c r="AH1472" s="7">
        <v>0</v>
      </c>
      <c r="AI1472" s="7">
        <v>235000</v>
      </c>
      <c r="AJ1472" t="s">
        <v>108</v>
      </c>
    </row>
    <row r="1473" spans="14:36" x14ac:dyDescent="0.3">
      <c r="N1473" s="8">
        <v>2026</v>
      </c>
      <c r="O1473" s="8">
        <v>4</v>
      </c>
      <c r="P1473" s="9">
        <v>46139</v>
      </c>
      <c r="Q1473" t="s">
        <v>238</v>
      </c>
      <c r="R1473" t="s">
        <v>239</v>
      </c>
      <c r="S1473" t="s">
        <v>240</v>
      </c>
      <c r="T1473" t="s">
        <v>1255</v>
      </c>
      <c r="U1473" t="s">
        <v>4078</v>
      </c>
      <c r="V1473" t="s">
        <v>246</v>
      </c>
      <c r="W1473" t="s">
        <v>244</v>
      </c>
      <c r="X1473" t="s">
        <v>1950</v>
      </c>
      <c r="Y1473" t="s">
        <v>191</v>
      </c>
      <c r="Z1473" t="s">
        <v>192</v>
      </c>
      <c r="AA1473" t="s">
        <v>283</v>
      </c>
      <c r="AB1473" t="s">
        <v>110</v>
      </c>
      <c r="AC1473" t="s">
        <v>108</v>
      </c>
      <c r="AD1473" t="s">
        <v>109</v>
      </c>
      <c r="AE1473" s="7">
        <v>235000</v>
      </c>
      <c r="AF1473" s="7">
        <v>1</v>
      </c>
      <c r="AG1473" s="7">
        <v>235000</v>
      </c>
      <c r="AH1473" s="7">
        <v>0</v>
      </c>
      <c r="AI1473" s="7">
        <v>235000</v>
      </c>
      <c r="AJ1473" t="s">
        <v>108</v>
      </c>
    </row>
    <row r="1474" spans="14:36" x14ac:dyDescent="0.3">
      <c r="N1474" s="8">
        <v>2026</v>
      </c>
      <c r="O1474" s="8">
        <v>4</v>
      </c>
      <c r="P1474" s="9">
        <v>46139</v>
      </c>
      <c r="Q1474" t="s">
        <v>238</v>
      </c>
      <c r="R1474" t="s">
        <v>239</v>
      </c>
      <c r="S1474" t="s">
        <v>240</v>
      </c>
      <c r="T1474" t="s">
        <v>958</v>
      </c>
      <c r="U1474" t="s">
        <v>569</v>
      </c>
      <c r="V1474" t="s">
        <v>246</v>
      </c>
      <c r="W1474" t="s">
        <v>244</v>
      </c>
      <c r="X1474" t="s">
        <v>1951</v>
      </c>
      <c r="Y1474" t="s">
        <v>168</v>
      </c>
      <c r="Z1474" t="s">
        <v>171</v>
      </c>
      <c r="AA1474" t="s">
        <v>175</v>
      </c>
      <c r="AB1474" t="s">
        <v>38</v>
      </c>
      <c r="AC1474" t="s">
        <v>36</v>
      </c>
      <c r="AD1474" t="s">
        <v>37</v>
      </c>
      <c r="AE1474" s="7">
        <v>575000</v>
      </c>
      <c r="AF1474" s="7">
        <v>1</v>
      </c>
      <c r="AG1474" s="7">
        <v>575000</v>
      </c>
      <c r="AH1474" s="7">
        <v>0</v>
      </c>
      <c r="AI1474" s="7">
        <v>575000</v>
      </c>
      <c r="AJ1474" t="s">
        <v>36</v>
      </c>
    </row>
    <row r="1475" spans="14:36" x14ac:dyDescent="0.3">
      <c r="N1475" s="8">
        <v>2026</v>
      </c>
      <c r="O1475" s="8">
        <v>4</v>
      </c>
      <c r="P1475" s="9">
        <v>46139</v>
      </c>
      <c r="Q1475" t="s">
        <v>238</v>
      </c>
      <c r="R1475" t="s">
        <v>279</v>
      </c>
      <c r="S1475" t="s">
        <v>280</v>
      </c>
      <c r="T1475" t="s">
        <v>1952</v>
      </c>
      <c r="U1475" t="s">
        <v>522</v>
      </c>
      <c r="V1475" t="s">
        <v>246</v>
      </c>
      <c r="W1475" t="s">
        <v>244</v>
      </c>
      <c r="X1475" t="s">
        <v>1953</v>
      </c>
      <c r="Y1475" t="s">
        <v>191</v>
      </c>
      <c r="Z1475" t="s">
        <v>192</v>
      </c>
      <c r="AA1475" t="s">
        <v>283</v>
      </c>
      <c r="AB1475" t="s">
        <v>110</v>
      </c>
      <c r="AC1475" t="s">
        <v>108</v>
      </c>
      <c r="AD1475" t="s">
        <v>109</v>
      </c>
      <c r="AE1475" s="7">
        <v>235000</v>
      </c>
      <c r="AF1475" s="7">
        <v>1</v>
      </c>
      <c r="AG1475" s="7">
        <v>235000</v>
      </c>
      <c r="AH1475" s="7">
        <v>0</v>
      </c>
      <c r="AI1475" s="7">
        <v>235000</v>
      </c>
      <c r="AJ1475" t="s">
        <v>108</v>
      </c>
    </row>
    <row r="1476" spans="14:36" x14ac:dyDescent="0.3">
      <c r="N1476" s="8">
        <v>2026</v>
      </c>
      <c r="O1476" s="8">
        <v>4</v>
      </c>
      <c r="P1476" s="9">
        <v>46139</v>
      </c>
      <c r="Q1476" t="s">
        <v>238</v>
      </c>
      <c r="R1476" t="s">
        <v>279</v>
      </c>
      <c r="S1476" t="s">
        <v>280</v>
      </c>
      <c r="T1476" t="s">
        <v>1958</v>
      </c>
      <c r="U1476" t="s">
        <v>1959</v>
      </c>
      <c r="V1476" t="s">
        <v>246</v>
      </c>
      <c r="W1476" t="s">
        <v>244</v>
      </c>
      <c r="X1476" t="s">
        <v>1960</v>
      </c>
      <c r="Y1476" t="s">
        <v>191</v>
      </c>
      <c r="Z1476" t="s">
        <v>335</v>
      </c>
      <c r="AA1476" t="s">
        <v>336</v>
      </c>
      <c r="AB1476" t="s">
        <v>1146</v>
      </c>
      <c r="AC1476" t="s">
        <v>1147</v>
      </c>
      <c r="AD1476" t="s">
        <v>1148</v>
      </c>
      <c r="AE1476" s="7">
        <v>99000</v>
      </c>
      <c r="AF1476" s="7">
        <v>2</v>
      </c>
      <c r="AG1476" s="7">
        <v>198000</v>
      </c>
      <c r="AH1476" s="7">
        <v>0</v>
      </c>
      <c r="AI1476" s="7">
        <v>198000</v>
      </c>
      <c r="AJ1476" t="s">
        <v>1147</v>
      </c>
    </row>
    <row r="1477" spans="14:36" x14ac:dyDescent="0.3">
      <c r="N1477" s="8">
        <v>2026</v>
      </c>
      <c r="O1477" s="8">
        <v>4</v>
      </c>
      <c r="P1477" s="9">
        <v>46139</v>
      </c>
      <c r="Q1477" t="s">
        <v>238</v>
      </c>
      <c r="R1477" t="s">
        <v>303</v>
      </c>
      <c r="S1477" t="s">
        <v>304</v>
      </c>
      <c r="T1477" t="s">
        <v>1962</v>
      </c>
      <c r="U1477" t="s">
        <v>363</v>
      </c>
      <c r="V1477" t="s">
        <v>249</v>
      </c>
      <c r="W1477" t="s">
        <v>244</v>
      </c>
      <c r="X1477" t="s">
        <v>1963</v>
      </c>
      <c r="Y1477" t="s">
        <v>168</v>
      </c>
      <c r="Z1477" t="s">
        <v>181</v>
      </c>
      <c r="AA1477" t="s">
        <v>182</v>
      </c>
      <c r="AB1477" t="s">
        <v>50</v>
      </c>
      <c r="AC1477" t="s">
        <v>48</v>
      </c>
      <c r="AD1477" t="s">
        <v>49</v>
      </c>
      <c r="AE1477" s="7">
        <v>49000</v>
      </c>
      <c r="AF1477" s="7">
        <v>1</v>
      </c>
      <c r="AG1477" s="7">
        <v>49000</v>
      </c>
      <c r="AH1477" s="7">
        <v>0</v>
      </c>
      <c r="AI1477" s="7">
        <v>49000</v>
      </c>
      <c r="AJ1477" t="s">
        <v>48</v>
      </c>
    </row>
    <row r="1478" spans="14:36" x14ac:dyDescent="0.3">
      <c r="N1478" s="8">
        <v>2026</v>
      </c>
      <c r="O1478" s="8">
        <v>4</v>
      </c>
      <c r="P1478" s="9">
        <v>46139</v>
      </c>
      <c r="Q1478" t="s">
        <v>238</v>
      </c>
      <c r="R1478" t="s">
        <v>303</v>
      </c>
      <c r="S1478" t="s">
        <v>304</v>
      </c>
      <c r="T1478" t="s">
        <v>1962</v>
      </c>
      <c r="U1478" t="s">
        <v>363</v>
      </c>
      <c r="V1478" t="s">
        <v>249</v>
      </c>
      <c r="W1478" t="s">
        <v>244</v>
      </c>
      <c r="X1478" t="s">
        <v>1963</v>
      </c>
      <c r="Y1478" t="s">
        <v>168</v>
      </c>
      <c r="Z1478" t="s">
        <v>181</v>
      </c>
      <c r="AA1478" t="s">
        <v>182</v>
      </c>
      <c r="AB1478" t="s">
        <v>47</v>
      </c>
      <c r="AC1478" t="s">
        <v>45</v>
      </c>
      <c r="AD1478" t="s">
        <v>46</v>
      </c>
      <c r="AE1478" s="7">
        <v>52000</v>
      </c>
      <c r="AF1478" s="7">
        <v>1</v>
      </c>
      <c r="AG1478" s="7">
        <v>52000</v>
      </c>
      <c r="AH1478" s="7">
        <v>0</v>
      </c>
      <c r="AI1478" s="7">
        <v>52000</v>
      </c>
      <c r="AJ1478" t="s">
        <v>45</v>
      </c>
    </row>
    <row r="1479" spans="14:36" x14ac:dyDescent="0.3">
      <c r="N1479" s="8">
        <v>2026</v>
      </c>
      <c r="O1479" s="8">
        <v>4</v>
      </c>
      <c r="P1479" s="9">
        <v>46139</v>
      </c>
      <c r="Q1479" t="s">
        <v>238</v>
      </c>
      <c r="R1479" t="s">
        <v>303</v>
      </c>
      <c r="S1479" t="s">
        <v>304</v>
      </c>
      <c r="T1479" t="s">
        <v>1964</v>
      </c>
      <c r="U1479" t="s">
        <v>569</v>
      </c>
      <c r="V1479" t="s">
        <v>246</v>
      </c>
      <c r="W1479" t="s">
        <v>244</v>
      </c>
      <c r="X1479" t="s">
        <v>1965</v>
      </c>
      <c r="Y1479" t="s">
        <v>183</v>
      </c>
      <c r="Z1479" t="s">
        <v>189</v>
      </c>
      <c r="AA1479" t="s">
        <v>190</v>
      </c>
      <c r="AB1479" t="s">
        <v>92</v>
      </c>
      <c r="AC1479" t="s">
        <v>90</v>
      </c>
      <c r="AD1479" t="s">
        <v>91</v>
      </c>
      <c r="AE1479" s="7">
        <v>52000</v>
      </c>
      <c r="AF1479" s="7">
        <v>1</v>
      </c>
      <c r="AG1479" s="7">
        <v>52000</v>
      </c>
      <c r="AH1479" s="7">
        <v>0</v>
      </c>
      <c r="AI1479" s="7">
        <v>52000</v>
      </c>
      <c r="AJ1479" t="s">
        <v>90</v>
      </c>
    </row>
    <row r="1480" spans="14:36" x14ac:dyDescent="0.3">
      <c r="N1480" s="8">
        <v>2026</v>
      </c>
      <c r="O1480" s="8">
        <v>4</v>
      </c>
      <c r="P1480" s="9">
        <v>46139</v>
      </c>
      <c r="Q1480" t="s">
        <v>238</v>
      </c>
      <c r="R1480" t="s">
        <v>303</v>
      </c>
      <c r="S1480" t="s">
        <v>304</v>
      </c>
      <c r="T1480" t="s">
        <v>1966</v>
      </c>
      <c r="U1480" t="s">
        <v>4024</v>
      </c>
      <c r="V1480" t="s">
        <v>246</v>
      </c>
      <c r="W1480" t="s">
        <v>244</v>
      </c>
      <c r="X1480" t="s">
        <v>1967</v>
      </c>
      <c r="Y1480" t="s">
        <v>191</v>
      </c>
      <c r="Z1480" t="s">
        <v>192</v>
      </c>
      <c r="AA1480" t="s">
        <v>283</v>
      </c>
      <c r="AB1480" t="s">
        <v>104</v>
      </c>
      <c r="AC1480" t="s">
        <v>102</v>
      </c>
      <c r="AD1480" t="s">
        <v>103</v>
      </c>
      <c r="AE1480" s="7">
        <v>235000</v>
      </c>
      <c r="AF1480" s="7">
        <v>1</v>
      </c>
      <c r="AG1480" s="7">
        <v>235000</v>
      </c>
      <c r="AH1480" s="7">
        <v>0</v>
      </c>
      <c r="AI1480" s="7">
        <v>235000</v>
      </c>
      <c r="AJ1480" t="s">
        <v>102</v>
      </c>
    </row>
    <row r="1481" spans="14:36" x14ac:dyDescent="0.3">
      <c r="N1481" s="8">
        <v>2026</v>
      </c>
      <c r="O1481" s="8">
        <v>4</v>
      </c>
      <c r="P1481" s="9">
        <v>46139</v>
      </c>
      <c r="Q1481" t="s">
        <v>238</v>
      </c>
      <c r="R1481" t="s">
        <v>303</v>
      </c>
      <c r="S1481" t="s">
        <v>304</v>
      </c>
      <c r="T1481" t="s">
        <v>1966</v>
      </c>
      <c r="U1481" t="s">
        <v>4024</v>
      </c>
      <c r="V1481" t="s">
        <v>246</v>
      </c>
      <c r="W1481" t="s">
        <v>244</v>
      </c>
      <c r="X1481" t="s">
        <v>1967</v>
      </c>
      <c r="Y1481" t="s">
        <v>191</v>
      </c>
      <c r="Z1481" t="s">
        <v>192</v>
      </c>
      <c r="AA1481" t="s">
        <v>283</v>
      </c>
      <c r="AB1481" t="s">
        <v>110</v>
      </c>
      <c r="AC1481" t="s">
        <v>108</v>
      </c>
      <c r="AD1481" t="s">
        <v>109</v>
      </c>
      <c r="AE1481" s="7">
        <v>235000</v>
      </c>
      <c r="AF1481" s="7">
        <v>1</v>
      </c>
      <c r="AG1481" s="7">
        <v>235000</v>
      </c>
      <c r="AH1481" s="7">
        <v>0</v>
      </c>
      <c r="AI1481" s="7">
        <v>235000</v>
      </c>
      <c r="AJ1481" t="s">
        <v>108</v>
      </c>
    </row>
    <row r="1482" spans="14:36" x14ac:dyDescent="0.3">
      <c r="N1482" s="8">
        <v>2026</v>
      </c>
      <c r="O1482" s="8">
        <v>4</v>
      </c>
      <c r="P1482" s="9">
        <v>46139</v>
      </c>
      <c r="Q1482" t="s">
        <v>238</v>
      </c>
      <c r="R1482" t="s">
        <v>351</v>
      </c>
      <c r="S1482" t="s">
        <v>352</v>
      </c>
      <c r="T1482" t="s">
        <v>1968</v>
      </c>
      <c r="U1482" t="s">
        <v>422</v>
      </c>
      <c r="V1482" t="s">
        <v>246</v>
      </c>
      <c r="W1482" t="s">
        <v>244</v>
      </c>
      <c r="X1482" t="s">
        <v>1969</v>
      </c>
      <c r="Y1482" t="s">
        <v>191</v>
      </c>
      <c r="Z1482" t="s">
        <v>335</v>
      </c>
      <c r="AA1482" t="s">
        <v>336</v>
      </c>
      <c r="AB1482" t="s">
        <v>1146</v>
      </c>
      <c r="AC1482" t="s">
        <v>1147</v>
      </c>
      <c r="AD1482" t="s">
        <v>1148</v>
      </c>
      <c r="AE1482" s="7">
        <v>54450</v>
      </c>
      <c r="AF1482" s="7">
        <v>1</v>
      </c>
      <c r="AG1482" s="7">
        <v>54450</v>
      </c>
      <c r="AH1482" s="7">
        <v>0</v>
      </c>
      <c r="AI1482" s="7">
        <v>54450</v>
      </c>
      <c r="AJ1482" t="s">
        <v>1147</v>
      </c>
    </row>
    <row r="1483" spans="14:36" x14ac:dyDescent="0.3">
      <c r="N1483" s="8">
        <v>2026</v>
      </c>
      <c r="O1483" s="8">
        <v>4</v>
      </c>
      <c r="P1483" s="9">
        <v>46139</v>
      </c>
      <c r="Q1483" t="s">
        <v>238</v>
      </c>
      <c r="R1483" t="s">
        <v>374</v>
      </c>
      <c r="S1483" t="s">
        <v>375</v>
      </c>
      <c r="T1483" t="s">
        <v>376</v>
      </c>
      <c r="U1483" t="s">
        <v>377</v>
      </c>
      <c r="V1483" t="s">
        <v>243</v>
      </c>
      <c r="W1483" t="s">
        <v>244</v>
      </c>
      <c r="X1483" t="s">
        <v>1970</v>
      </c>
      <c r="Y1483" t="s">
        <v>194</v>
      </c>
      <c r="Z1483" t="s">
        <v>200</v>
      </c>
      <c r="AA1483" t="s">
        <v>201</v>
      </c>
      <c r="AB1483" t="s">
        <v>89</v>
      </c>
      <c r="AC1483" t="s">
        <v>87</v>
      </c>
      <c r="AD1483" t="s">
        <v>88</v>
      </c>
      <c r="AE1483" s="7">
        <v>46000</v>
      </c>
      <c r="AF1483" s="7">
        <v>1</v>
      </c>
      <c r="AG1483" s="7">
        <v>46000</v>
      </c>
      <c r="AH1483" s="7">
        <v>0</v>
      </c>
      <c r="AI1483" s="7">
        <v>46000</v>
      </c>
      <c r="AJ1483" t="s">
        <v>87</v>
      </c>
    </row>
    <row r="1484" spans="14:36" x14ac:dyDescent="0.3">
      <c r="N1484" s="8">
        <v>2026</v>
      </c>
      <c r="O1484" s="8">
        <v>4</v>
      </c>
      <c r="P1484" s="9">
        <v>46139</v>
      </c>
      <c r="Q1484" t="s">
        <v>238</v>
      </c>
      <c r="R1484" t="s">
        <v>374</v>
      </c>
      <c r="S1484" t="s">
        <v>375</v>
      </c>
      <c r="T1484" t="s">
        <v>1971</v>
      </c>
      <c r="U1484" t="s">
        <v>4079</v>
      </c>
      <c r="V1484" t="s">
        <v>246</v>
      </c>
      <c r="W1484" t="s">
        <v>244</v>
      </c>
      <c r="X1484" t="s">
        <v>1972</v>
      </c>
      <c r="Y1484" t="s">
        <v>168</v>
      </c>
      <c r="Z1484" t="s">
        <v>181</v>
      </c>
      <c r="AA1484" t="s">
        <v>182</v>
      </c>
      <c r="AB1484" t="s">
        <v>50</v>
      </c>
      <c r="AC1484" t="s">
        <v>48</v>
      </c>
      <c r="AD1484" t="s">
        <v>49</v>
      </c>
      <c r="AE1484" s="7">
        <v>49000</v>
      </c>
      <c r="AF1484" s="7">
        <v>1</v>
      </c>
      <c r="AG1484" s="7">
        <v>49000</v>
      </c>
      <c r="AH1484" s="7">
        <v>0</v>
      </c>
      <c r="AI1484" s="7">
        <v>49000</v>
      </c>
      <c r="AJ1484" t="s">
        <v>48</v>
      </c>
    </row>
    <row r="1485" spans="14:36" x14ac:dyDescent="0.3">
      <c r="N1485" s="8">
        <v>2026</v>
      </c>
      <c r="O1485" s="8">
        <v>4</v>
      </c>
      <c r="P1485" s="9">
        <v>46139</v>
      </c>
      <c r="Q1485" t="s">
        <v>238</v>
      </c>
      <c r="R1485" t="s">
        <v>374</v>
      </c>
      <c r="S1485" t="s">
        <v>375</v>
      </c>
      <c r="T1485" t="s">
        <v>1413</v>
      </c>
      <c r="U1485" t="s">
        <v>4080</v>
      </c>
      <c r="V1485" t="s">
        <v>246</v>
      </c>
      <c r="W1485" t="s">
        <v>244</v>
      </c>
      <c r="X1485" t="s">
        <v>1973</v>
      </c>
      <c r="Y1485" t="s">
        <v>191</v>
      </c>
      <c r="Z1485" t="s">
        <v>335</v>
      </c>
      <c r="AA1485" t="s">
        <v>337</v>
      </c>
      <c r="AB1485" t="s">
        <v>348</v>
      </c>
      <c r="AC1485" t="s">
        <v>349</v>
      </c>
      <c r="AD1485" t="s">
        <v>350</v>
      </c>
      <c r="AE1485" s="7">
        <v>76000</v>
      </c>
      <c r="AF1485" s="7">
        <v>1</v>
      </c>
      <c r="AG1485" s="7">
        <v>76000</v>
      </c>
      <c r="AH1485" s="7">
        <v>0</v>
      </c>
      <c r="AI1485" s="7">
        <v>76000</v>
      </c>
      <c r="AJ1485" t="s">
        <v>349</v>
      </c>
    </row>
    <row r="1486" spans="14:36" x14ac:dyDescent="0.3">
      <c r="N1486" s="8">
        <v>2026</v>
      </c>
      <c r="O1486" s="8">
        <v>4</v>
      </c>
      <c r="P1486" s="9">
        <v>46139</v>
      </c>
      <c r="Q1486" t="s">
        <v>238</v>
      </c>
      <c r="R1486" t="s">
        <v>374</v>
      </c>
      <c r="S1486" t="s">
        <v>375</v>
      </c>
      <c r="T1486" t="s">
        <v>1974</v>
      </c>
      <c r="U1486" t="s">
        <v>4081</v>
      </c>
      <c r="V1486" t="s">
        <v>246</v>
      </c>
      <c r="W1486" t="s">
        <v>244</v>
      </c>
      <c r="X1486" t="s">
        <v>1975</v>
      </c>
      <c r="Y1486" t="s">
        <v>168</v>
      </c>
      <c r="Z1486" t="s">
        <v>181</v>
      </c>
      <c r="AA1486" t="s">
        <v>182</v>
      </c>
      <c r="AB1486" t="s">
        <v>53</v>
      </c>
      <c r="AC1486" t="s">
        <v>51</v>
      </c>
      <c r="AD1486" t="s">
        <v>52</v>
      </c>
      <c r="AE1486" s="7">
        <v>45000</v>
      </c>
      <c r="AF1486" s="7">
        <v>1</v>
      </c>
      <c r="AG1486" s="7">
        <v>45000</v>
      </c>
      <c r="AH1486" s="7">
        <v>0</v>
      </c>
      <c r="AI1486" s="7">
        <v>45000</v>
      </c>
      <c r="AJ1486" t="s">
        <v>51</v>
      </c>
    </row>
    <row r="1487" spans="14:36" x14ac:dyDescent="0.3">
      <c r="N1487" s="8">
        <v>2026</v>
      </c>
      <c r="O1487" s="8">
        <v>4</v>
      </c>
      <c r="P1487" s="9">
        <v>46139</v>
      </c>
      <c r="Q1487" t="s">
        <v>238</v>
      </c>
      <c r="R1487" t="s">
        <v>374</v>
      </c>
      <c r="S1487" t="s">
        <v>375</v>
      </c>
      <c r="T1487" t="s">
        <v>1976</v>
      </c>
      <c r="U1487" t="s">
        <v>3887</v>
      </c>
      <c r="V1487" t="s">
        <v>246</v>
      </c>
      <c r="W1487" t="s">
        <v>244</v>
      </c>
      <c r="X1487" t="s">
        <v>1977</v>
      </c>
      <c r="Y1487" t="s">
        <v>194</v>
      </c>
      <c r="Z1487" t="s">
        <v>200</v>
      </c>
      <c r="AA1487" t="s">
        <v>201</v>
      </c>
      <c r="AB1487" t="s">
        <v>89</v>
      </c>
      <c r="AC1487" t="s">
        <v>87</v>
      </c>
      <c r="AD1487" t="s">
        <v>88</v>
      </c>
      <c r="AE1487" s="7">
        <v>46000</v>
      </c>
      <c r="AF1487" s="7">
        <v>1</v>
      </c>
      <c r="AG1487" s="7">
        <v>46000</v>
      </c>
      <c r="AH1487" s="7">
        <v>0</v>
      </c>
      <c r="AI1487" s="7">
        <v>46000</v>
      </c>
      <c r="AJ1487" t="s">
        <v>87</v>
      </c>
    </row>
    <row r="1488" spans="14:36" x14ac:dyDescent="0.3">
      <c r="N1488" s="8">
        <v>2026</v>
      </c>
      <c r="O1488" s="8">
        <v>4</v>
      </c>
      <c r="P1488" s="9">
        <v>46139</v>
      </c>
      <c r="Q1488" t="s">
        <v>238</v>
      </c>
      <c r="R1488" t="s">
        <v>396</v>
      </c>
      <c r="S1488" t="s">
        <v>397</v>
      </c>
      <c r="T1488" t="s">
        <v>1882</v>
      </c>
      <c r="U1488" t="s">
        <v>1883</v>
      </c>
      <c r="V1488" t="s">
        <v>246</v>
      </c>
      <c r="W1488" t="s">
        <v>244</v>
      </c>
      <c r="X1488" t="s">
        <v>1978</v>
      </c>
      <c r="Y1488" t="s">
        <v>191</v>
      </c>
      <c r="Z1488" t="s">
        <v>192</v>
      </c>
      <c r="AA1488" t="s">
        <v>283</v>
      </c>
      <c r="AB1488" t="s">
        <v>110</v>
      </c>
      <c r="AC1488" t="s">
        <v>108</v>
      </c>
      <c r="AD1488" t="s">
        <v>109</v>
      </c>
      <c r="AE1488" s="7">
        <v>235000</v>
      </c>
      <c r="AF1488" s="7">
        <v>1</v>
      </c>
      <c r="AG1488" s="7">
        <v>235000</v>
      </c>
      <c r="AH1488" s="7">
        <v>0</v>
      </c>
      <c r="AI1488" s="7">
        <v>235000</v>
      </c>
      <c r="AJ1488" t="s">
        <v>108</v>
      </c>
    </row>
    <row r="1489" spans="14:36" x14ac:dyDescent="0.3">
      <c r="N1489" s="8">
        <v>2026</v>
      </c>
      <c r="O1489" s="8">
        <v>4</v>
      </c>
      <c r="P1489" s="9">
        <v>46139</v>
      </c>
      <c r="Q1489" t="s">
        <v>238</v>
      </c>
      <c r="R1489" t="s">
        <v>415</v>
      </c>
      <c r="S1489" t="s">
        <v>416</v>
      </c>
      <c r="T1489" t="s">
        <v>682</v>
      </c>
      <c r="U1489" t="s">
        <v>464</v>
      </c>
      <c r="V1489" t="s">
        <v>246</v>
      </c>
      <c r="W1489" t="s">
        <v>244</v>
      </c>
      <c r="X1489" t="s">
        <v>1979</v>
      </c>
      <c r="Y1489" t="s">
        <v>191</v>
      </c>
      <c r="Z1489" t="s">
        <v>335</v>
      </c>
      <c r="AA1489" t="s">
        <v>337</v>
      </c>
      <c r="AB1489" t="s">
        <v>348</v>
      </c>
      <c r="AC1489" t="s">
        <v>349</v>
      </c>
      <c r="AD1489" t="s">
        <v>350</v>
      </c>
      <c r="AE1489" s="7">
        <v>76000</v>
      </c>
      <c r="AF1489" s="7">
        <v>1</v>
      </c>
      <c r="AG1489" s="7">
        <v>76000</v>
      </c>
      <c r="AH1489" s="7">
        <v>0</v>
      </c>
      <c r="AI1489" s="7">
        <v>76000</v>
      </c>
      <c r="AJ1489" t="s">
        <v>349</v>
      </c>
    </row>
    <row r="1490" spans="14:36" x14ac:dyDescent="0.3">
      <c r="N1490" s="8">
        <v>2026</v>
      </c>
      <c r="O1490" s="8">
        <v>4</v>
      </c>
      <c r="P1490" s="9">
        <v>46139</v>
      </c>
      <c r="Q1490" t="s">
        <v>238</v>
      </c>
      <c r="R1490" t="s">
        <v>415</v>
      </c>
      <c r="S1490" t="s">
        <v>416</v>
      </c>
      <c r="T1490" t="s">
        <v>1289</v>
      </c>
      <c r="U1490" t="s">
        <v>3866</v>
      </c>
      <c r="V1490" t="s">
        <v>246</v>
      </c>
      <c r="W1490" t="s">
        <v>244</v>
      </c>
      <c r="X1490" t="s">
        <v>1980</v>
      </c>
      <c r="Y1490" t="s">
        <v>183</v>
      </c>
      <c r="Z1490" t="s">
        <v>186</v>
      </c>
      <c r="AA1490" t="s">
        <v>188</v>
      </c>
      <c r="AB1490" t="s">
        <v>95</v>
      </c>
      <c r="AC1490" t="s">
        <v>93</v>
      </c>
      <c r="AD1490" t="s">
        <v>94</v>
      </c>
      <c r="AE1490" s="7">
        <v>239000</v>
      </c>
      <c r="AF1490" s="7">
        <v>1</v>
      </c>
      <c r="AG1490" s="7">
        <v>239000</v>
      </c>
      <c r="AH1490" s="7">
        <v>0</v>
      </c>
      <c r="AI1490" s="7">
        <v>239000</v>
      </c>
      <c r="AJ1490" t="s">
        <v>93</v>
      </c>
    </row>
    <row r="1491" spans="14:36" x14ac:dyDescent="0.3">
      <c r="N1491" s="8">
        <v>2026</v>
      </c>
      <c r="O1491" s="8">
        <v>4</v>
      </c>
      <c r="P1491" s="9">
        <v>46139</v>
      </c>
      <c r="Q1491" t="s">
        <v>238</v>
      </c>
      <c r="R1491" t="s">
        <v>425</v>
      </c>
      <c r="S1491" t="s">
        <v>426</v>
      </c>
      <c r="T1491" t="s">
        <v>1982</v>
      </c>
      <c r="U1491" t="s">
        <v>4082</v>
      </c>
      <c r="V1491" t="s">
        <v>246</v>
      </c>
      <c r="W1491" t="s">
        <v>244</v>
      </c>
      <c r="X1491" t="s">
        <v>1983</v>
      </c>
      <c r="Y1491" t="s">
        <v>194</v>
      </c>
      <c r="Z1491" t="s">
        <v>200</v>
      </c>
      <c r="AA1491" t="s">
        <v>201</v>
      </c>
      <c r="AB1491" t="s">
        <v>83</v>
      </c>
      <c r="AC1491" t="s">
        <v>81</v>
      </c>
      <c r="AD1491" t="s">
        <v>82</v>
      </c>
      <c r="AE1491" s="7">
        <v>46000</v>
      </c>
      <c r="AF1491" s="7">
        <v>1</v>
      </c>
      <c r="AG1491" s="7">
        <v>46000</v>
      </c>
      <c r="AH1491" s="7">
        <v>0</v>
      </c>
      <c r="AI1491" s="7">
        <v>46000</v>
      </c>
      <c r="AJ1491" t="s">
        <v>81</v>
      </c>
    </row>
    <row r="1492" spans="14:36" x14ac:dyDescent="0.3">
      <c r="N1492" s="8">
        <v>2026</v>
      </c>
      <c r="O1492" s="8">
        <v>4</v>
      </c>
      <c r="P1492" s="9">
        <v>46139</v>
      </c>
      <c r="Q1492" t="s">
        <v>238</v>
      </c>
      <c r="R1492" t="s">
        <v>425</v>
      </c>
      <c r="S1492" t="s">
        <v>426</v>
      </c>
      <c r="T1492" t="s">
        <v>1984</v>
      </c>
      <c r="U1492" t="s">
        <v>4003</v>
      </c>
      <c r="V1492" t="s">
        <v>246</v>
      </c>
      <c r="W1492" t="s">
        <v>244</v>
      </c>
      <c r="X1492" t="s">
        <v>1985</v>
      </c>
      <c r="Y1492" t="s">
        <v>191</v>
      </c>
      <c r="Z1492" t="s">
        <v>192</v>
      </c>
      <c r="AA1492" t="s">
        <v>283</v>
      </c>
      <c r="AB1492" t="s">
        <v>110</v>
      </c>
      <c r="AC1492" t="s">
        <v>108</v>
      </c>
      <c r="AD1492" t="s">
        <v>109</v>
      </c>
      <c r="AE1492" s="7">
        <v>235000</v>
      </c>
      <c r="AF1492" s="7">
        <v>1</v>
      </c>
      <c r="AG1492" s="7">
        <v>235000</v>
      </c>
      <c r="AH1492" s="7">
        <v>0</v>
      </c>
      <c r="AI1492" s="7">
        <v>235000</v>
      </c>
      <c r="AJ1492" t="s">
        <v>108</v>
      </c>
    </row>
    <row r="1493" spans="14:36" x14ac:dyDescent="0.3">
      <c r="N1493" s="8">
        <v>2026</v>
      </c>
      <c r="O1493" s="8">
        <v>4</v>
      </c>
      <c r="P1493" s="9">
        <v>46139</v>
      </c>
      <c r="Q1493" t="s">
        <v>238</v>
      </c>
      <c r="R1493" t="s">
        <v>425</v>
      </c>
      <c r="S1493" t="s">
        <v>426</v>
      </c>
      <c r="T1493" t="s">
        <v>1984</v>
      </c>
      <c r="U1493" t="s">
        <v>4003</v>
      </c>
      <c r="V1493" t="s">
        <v>246</v>
      </c>
      <c r="W1493" t="s">
        <v>244</v>
      </c>
      <c r="X1493" t="s">
        <v>1985</v>
      </c>
      <c r="Y1493" t="s">
        <v>191</v>
      </c>
      <c r="Z1493" t="s">
        <v>192</v>
      </c>
      <c r="AA1493" t="s">
        <v>283</v>
      </c>
      <c r="AB1493" t="s">
        <v>107</v>
      </c>
      <c r="AC1493" t="s">
        <v>105</v>
      </c>
      <c r="AD1493" t="s">
        <v>106</v>
      </c>
      <c r="AE1493" s="7">
        <v>235000</v>
      </c>
      <c r="AF1493" s="7">
        <v>1</v>
      </c>
      <c r="AG1493" s="7">
        <v>235000</v>
      </c>
      <c r="AH1493" s="7">
        <v>0</v>
      </c>
      <c r="AI1493" s="7">
        <v>235000</v>
      </c>
      <c r="AJ1493" t="s">
        <v>105</v>
      </c>
    </row>
    <row r="1494" spans="14:36" x14ac:dyDescent="0.3">
      <c r="N1494" s="8">
        <v>2026</v>
      </c>
      <c r="O1494" s="8">
        <v>4</v>
      </c>
      <c r="P1494" s="9">
        <v>46138</v>
      </c>
      <c r="Q1494" t="s">
        <v>238</v>
      </c>
      <c r="R1494" t="s">
        <v>239</v>
      </c>
      <c r="S1494" t="s">
        <v>240</v>
      </c>
      <c r="T1494" t="s">
        <v>1035</v>
      </c>
      <c r="U1494" t="s">
        <v>507</v>
      </c>
      <c r="V1494" t="s">
        <v>246</v>
      </c>
      <c r="W1494" t="s">
        <v>244</v>
      </c>
      <c r="X1494" t="s">
        <v>1986</v>
      </c>
      <c r="Y1494" t="s">
        <v>194</v>
      </c>
      <c r="Z1494" t="s">
        <v>200</v>
      </c>
      <c r="AA1494" t="s">
        <v>201</v>
      </c>
      <c r="AB1494" t="s">
        <v>83</v>
      </c>
      <c r="AC1494" t="s">
        <v>81</v>
      </c>
      <c r="AD1494" t="s">
        <v>82</v>
      </c>
      <c r="AE1494" s="7">
        <v>46000</v>
      </c>
      <c r="AF1494" s="7">
        <v>1</v>
      </c>
      <c r="AG1494" s="7">
        <v>46000</v>
      </c>
      <c r="AH1494" s="7">
        <v>0</v>
      </c>
      <c r="AI1494" s="7">
        <v>46000</v>
      </c>
      <c r="AJ1494" t="s">
        <v>81</v>
      </c>
    </row>
    <row r="1495" spans="14:36" x14ac:dyDescent="0.3">
      <c r="N1495" s="8">
        <v>2026</v>
      </c>
      <c r="O1495" s="8">
        <v>4</v>
      </c>
      <c r="P1495" s="9">
        <v>46138</v>
      </c>
      <c r="Q1495" t="s">
        <v>238</v>
      </c>
      <c r="R1495" t="s">
        <v>239</v>
      </c>
      <c r="S1495" t="s">
        <v>240</v>
      </c>
      <c r="T1495" t="s">
        <v>725</v>
      </c>
      <c r="U1495" t="s">
        <v>259</v>
      </c>
      <c r="V1495" t="s">
        <v>246</v>
      </c>
      <c r="W1495" t="s">
        <v>244</v>
      </c>
      <c r="X1495" t="s">
        <v>1987</v>
      </c>
      <c r="Y1495" t="s">
        <v>191</v>
      </c>
      <c r="Z1495" t="s">
        <v>192</v>
      </c>
      <c r="AA1495" t="s">
        <v>283</v>
      </c>
      <c r="AB1495" t="s">
        <v>110</v>
      </c>
      <c r="AC1495" t="s">
        <v>108</v>
      </c>
      <c r="AD1495" t="s">
        <v>109</v>
      </c>
      <c r="AE1495" s="7">
        <v>235000</v>
      </c>
      <c r="AF1495" s="7">
        <v>1</v>
      </c>
      <c r="AG1495" s="7">
        <v>235000</v>
      </c>
      <c r="AH1495" s="7">
        <v>0</v>
      </c>
      <c r="AI1495" s="7">
        <v>235000</v>
      </c>
      <c r="AJ1495" t="s">
        <v>108</v>
      </c>
    </row>
    <row r="1496" spans="14:36" x14ac:dyDescent="0.3">
      <c r="N1496" s="8">
        <v>2026</v>
      </c>
      <c r="O1496" s="8">
        <v>4</v>
      </c>
      <c r="P1496" s="9">
        <v>46138</v>
      </c>
      <c r="Q1496" t="s">
        <v>238</v>
      </c>
      <c r="R1496" t="s">
        <v>239</v>
      </c>
      <c r="S1496" t="s">
        <v>240</v>
      </c>
      <c r="T1496" t="s">
        <v>1988</v>
      </c>
      <c r="U1496" t="s">
        <v>4063</v>
      </c>
      <c r="V1496" t="s">
        <v>246</v>
      </c>
      <c r="W1496" t="s">
        <v>244</v>
      </c>
      <c r="X1496" t="s">
        <v>1989</v>
      </c>
      <c r="Y1496" t="s">
        <v>191</v>
      </c>
      <c r="Z1496" t="s">
        <v>335</v>
      </c>
      <c r="AA1496" t="s">
        <v>336</v>
      </c>
      <c r="AB1496" t="s">
        <v>1146</v>
      </c>
      <c r="AC1496" t="s">
        <v>1147</v>
      </c>
      <c r="AD1496" t="s">
        <v>1148</v>
      </c>
      <c r="AE1496" s="7">
        <v>54450</v>
      </c>
      <c r="AF1496" s="7">
        <v>1</v>
      </c>
      <c r="AG1496" s="7">
        <v>54450</v>
      </c>
      <c r="AH1496" s="7">
        <v>0</v>
      </c>
      <c r="AI1496" s="7">
        <v>54450</v>
      </c>
      <c r="AJ1496" t="s">
        <v>1147</v>
      </c>
    </row>
    <row r="1497" spans="14:36" x14ac:dyDescent="0.3">
      <c r="N1497" s="8">
        <v>2026</v>
      </c>
      <c r="O1497" s="8">
        <v>4</v>
      </c>
      <c r="P1497" s="9">
        <v>46138</v>
      </c>
      <c r="Q1497" t="s">
        <v>238</v>
      </c>
      <c r="R1497" t="s">
        <v>239</v>
      </c>
      <c r="S1497" t="s">
        <v>240</v>
      </c>
      <c r="T1497" t="s">
        <v>1201</v>
      </c>
      <c r="U1497" t="s">
        <v>4075</v>
      </c>
      <c r="V1497" t="s">
        <v>246</v>
      </c>
      <c r="W1497" t="s">
        <v>244</v>
      </c>
      <c r="X1497" t="s">
        <v>1990</v>
      </c>
      <c r="Y1497" t="s">
        <v>194</v>
      </c>
      <c r="Z1497" t="s">
        <v>200</v>
      </c>
      <c r="AA1497" t="s">
        <v>201</v>
      </c>
      <c r="AB1497" t="s">
        <v>80</v>
      </c>
      <c r="AC1497" t="s">
        <v>78</v>
      </c>
      <c r="AD1497" t="s">
        <v>79</v>
      </c>
      <c r="AE1497" s="7">
        <v>14000</v>
      </c>
      <c r="AF1497" s="7">
        <v>2</v>
      </c>
      <c r="AG1497" s="7">
        <v>28000</v>
      </c>
      <c r="AH1497" s="7">
        <v>0</v>
      </c>
      <c r="AI1497" s="7">
        <v>28000</v>
      </c>
      <c r="AJ1497" t="s">
        <v>78</v>
      </c>
    </row>
    <row r="1498" spans="14:36" x14ac:dyDescent="0.3">
      <c r="N1498" s="8">
        <v>2026</v>
      </c>
      <c r="O1498" s="8">
        <v>4</v>
      </c>
      <c r="P1498" s="9">
        <v>46138</v>
      </c>
      <c r="Q1498" t="s">
        <v>238</v>
      </c>
      <c r="R1498" t="s">
        <v>279</v>
      </c>
      <c r="S1498" t="s">
        <v>280</v>
      </c>
      <c r="T1498" t="s">
        <v>547</v>
      </c>
      <c r="U1498" t="s">
        <v>1376</v>
      </c>
      <c r="V1498" t="s">
        <v>243</v>
      </c>
      <c r="W1498" t="s">
        <v>244</v>
      </c>
      <c r="X1498" t="s">
        <v>1991</v>
      </c>
      <c r="Y1498" t="s">
        <v>191</v>
      </c>
      <c r="Z1498" t="s">
        <v>192</v>
      </c>
      <c r="AA1498" t="s">
        <v>283</v>
      </c>
      <c r="AB1498" t="s">
        <v>110</v>
      </c>
      <c r="AC1498" t="s">
        <v>108</v>
      </c>
      <c r="AD1498" t="s">
        <v>109</v>
      </c>
      <c r="AE1498" s="7">
        <v>235000</v>
      </c>
      <c r="AF1498" s="7">
        <v>1</v>
      </c>
      <c r="AG1498" s="7">
        <v>235000</v>
      </c>
      <c r="AH1498" s="7">
        <v>0</v>
      </c>
      <c r="AI1498" s="7">
        <v>235000</v>
      </c>
      <c r="AJ1498" t="s">
        <v>108</v>
      </c>
    </row>
    <row r="1499" spans="14:36" x14ac:dyDescent="0.3">
      <c r="N1499" s="8">
        <v>2026</v>
      </c>
      <c r="O1499" s="8">
        <v>4</v>
      </c>
      <c r="P1499" s="9">
        <v>46138</v>
      </c>
      <c r="Q1499" t="s">
        <v>238</v>
      </c>
      <c r="R1499" t="s">
        <v>279</v>
      </c>
      <c r="S1499" t="s">
        <v>280</v>
      </c>
      <c r="T1499" t="s">
        <v>281</v>
      </c>
      <c r="U1499" t="s">
        <v>282</v>
      </c>
      <c r="V1499" t="s">
        <v>243</v>
      </c>
      <c r="W1499" t="s">
        <v>244</v>
      </c>
      <c r="X1499" t="s">
        <v>1992</v>
      </c>
      <c r="Y1499" t="s">
        <v>191</v>
      </c>
      <c r="Z1499" t="s">
        <v>335</v>
      </c>
      <c r="AA1499" t="s">
        <v>337</v>
      </c>
      <c r="AB1499" t="s">
        <v>656</v>
      </c>
      <c r="AC1499" t="s">
        <v>657</v>
      </c>
      <c r="AD1499" t="s">
        <v>658</v>
      </c>
      <c r="AE1499" s="7">
        <v>35000</v>
      </c>
      <c r="AF1499" s="7">
        <v>1</v>
      </c>
      <c r="AG1499" s="7">
        <v>35000</v>
      </c>
      <c r="AH1499" s="7">
        <v>0</v>
      </c>
      <c r="AI1499" s="7">
        <v>35000</v>
      </c>
      <c r="AJ1499" t="s">
        <v>657</v>
      </c>
    </row>
    <row r="1500" spans="14:36" x14ac:dyDescent="0.3">
      <c r="N1500" s="8">
        <v>2026</v>
      </c>
      <c r="O1500" s="8">
        <v>4</v>
      </c>
      <c r="P1500" s="9">
        <v>46138</v>
      </c>
      <c r="Q1500" t="s">
        <v>238</v>
      </c>
      <c r="R1500" t="s">
        <v>279</v>
      </c>
      <c r="S1500" t="s">
        <v>280</v>
      </c>
      <c r="T1500" t="s">
        <v>1993</v>
      </c>
      <c r="U1500" t="s">
        <v>4024</v>
      </c>
      <c r="V1500" t="s">
        <v>249</v>
      </c>
      <c r="W1500" t="s">
        <v>244</v>
      </c>
      <c r="X1500" t="s">
        <v>1994</v>
      </c>
      <c r="Y1500" t="s">
        <v>191</v>
      </c>
      <c r="Z1500" t="s">
        <v>192</v>
      </c>
      <c r="AA1500" t="s">
        <v>283</v>
      </c>
      <c r="AB1500" t="s">
        <v>107</v>
      </c>
      <c r="AC1500" t="s">
        <v>105</v>
      </c>
      <c r="AD1500" t="s">
        <v>106</v>
      </c>
      <c r="AE1500" s="7">
        <v>235000</v>
      </c>
      <c r="AF1500" s="7">
        <v>1</v>
      </c>
      <c r="AG1500" s="7">
        <v>235000</v>
      </c>
      <c r="AH1500" s="7">
        <v>0</v>
      </c>
      <c r="AI1500" s="7">
        <v>235000</v>
      </c>
      <c r="AJ1500" t="s">
        <v>105</v>
      </c>
    </row>
    <row r="1501" spans="14:36" x14ac:dyDescent="0.3">
      <c r="N1501" s="8">
        <v>2026</v>
      </c>
      <c r="O1501" s="8">
        <v>4</v>
      </c>
      <c r="P1501" s="9">
        <v>46138</v>
      </c>
      <c r="Q1501" t="s">
        <v>238</v>
      </c>
      <c r="R1501" t="s">
        <v>303</v>
      </c>
      <c r="S1501" t="s">
        <v>304</v>
      </c>
      <c r="T1501" t="s">
        <v>305</v>
      </c>
      <c r="U1501" t="s">
        <v>306</v>
      </c>
      <c r="V1501" t="s">
        <v>243</v>
      </c>
      <c r="W1501" t="s">
        <v>244</v>
      </c>
      <c r="X1501" t="s">
        <v>1996</v>
      </c>
      <c r="Y1501" t="s">
        <v>168</v>
      </c>
      <c r="Z1501" t="s">
        <v>181</v>
      </c>
      <c r="AA1501" t="s">
        <v>182</v>
      </c>
      <c r="AB1501" t="s">
        <v>47</v>
      </c>
      <c r="AC1501" t="s">
        <v>45</v>
      </c>
      <c r="AD1501" t="s">
        <v>46</v>
      </c>
      <c r="AE1501" s="7">
        <v>52000</v>
      </c>
      <c r="AF1501" s="7">
        <v>1</v>
      </c>
      <c r="AG1501" s="7">
        <v>52000</v>
      </c>
      <c r="AH1501" s="7">
        <v>0</v>
      </c>
      <c r="AI1501" s="7">
        <v>52000</v>
      </c>
      <c r="AJ1501" t="s">
        <v>45</v>
      </c>
    </row>
    <row r="1502" spans="14:36" x14ac:dyDescent="0.3">
      <c r="N1502" s="8">
        <v>2026</v>
      </c>
      <c r="O1502" s="8">
        <v>4</v>
      </c>
      <c r="P1502" s="9">
        <v>46138</v>
      </c>
      <c r="Q1502" t="s">
        <v>238</v>
      </c>
      <c r="R1502" t="s">
        <v>303</v>
      </c>
      <c r="S1502" t="s">
        <v>304</v>
      </c>
      <c r="T1502" t="s">
        <v>1261</v>
      </c>
      <c r="U1502" t="s">
        <v>3863</v>
      </c>
      <c r="V1502" t="s">
        <v>246</v>
      </c>
      <c r="W1502" t="s">
        <v>244</v>
      </c>
      <c r="X1502" t="s">
        <v>1999</v>
      </c>
      <c r="Y1502" t="s">
        <v>168</v>
      </c>
      <c r="Z1502" t="s">
        <v>181</v>
      </c>
      <c r="AA1502" t="s">
        <v>182</v>
      </c>
      <c r="AB1502" t="s">
        <v>50</v>
      </c>
      <c r="AC1502" t="s">
        <v>48</v>
      </c>
      <c r="AD1502" t="s">
        <v>49</v>
      </c>
      <c r="AE1502" s="7">
        <v>49000</v>
      </c>
      <c r="AF1502" s="7">
        <v>1</v>
      </c>
      <c r="AG1502" s="7">
        <v>49000</v>
      </c>
      <c r="AH1502" s="7">
        <v>0</v>
      </c>
      <c r="AI1502" s="7">
        <v>49000</v>
      </c>
      <c r="AJ1502" t="s">
        <v>48</v>
      </c>
    </row>
    <row r="1503" spans="14:36" x14ac:dyDescent="0.3">
      <c r="N1503" s="8">
        <v>2026</v>
      </c>
      <c r="O1503" s="8">
        <v>4</v>
      </c>
      <c r="P1503" s="9">
        <v>46138</v>
      </c>
      <c r="Q1503" t="s">
        <v>238</v>
      </c>
      <c r="R1503" t="s">
        <v>351</v>
      </c>
      <c r="S1503" t="s">
        <v>352</v>
      </c>
      <c r="T1503" t="s">
        <v>1563</v>
      </c>
      <c r="U1503" t="s">
        <v>4083</v>
      </c>
      <c r="V1503" t="s">
        <v>246</v>
      </c>
      <c r="W1503" t="s">
        <v>244</v>
      </c>
      <c r="X1503" t="s">
        <v>2003</v>
      </c>
      <c r="Y1503" t="s">
        <v>191</v>
      </c>
      <c r="Z1503" t="s">
        <v>335</v>
      </c>
      <c r="AA1503" t="s">
        <v>336</v>
      </c>
      <c r="AB1503" t="s">
        <v>1146</v>
      </c>
      <c r="AC1503" t="s">
        <v>1147</v>
      </c>
      <c r="AD1503" t="s">
        <v>1148</v>
      </c>
      <c r="AE1503" s="7">
        <v>54450</v>
      </c>
      <c r="AF1503" s="7">
        <v>1</v>
      </c>
      <c r="AG1503" s="7">
        <v>54450</v>
      </c>
      <c r="AH1503" s="7">
        <v>0</v>
      </c>
      <c r="AI1503" s="7">
        <v>54450</v>
      </c>
      <c r="AJ1503" t="s">
        <v>1147</v>
      </c>
    </row>
    <row r="1504" spans="14:36" x14ac:dyDescent="0.3">
      <c r="N1504" s="8">
        <v>2026</v>
      </c>
      <c r="O1504" s="8">
        <v>4</v>
      </c>
      <c r="P1504" s="9">
        <v>46138</v>
      </c>
      <c r="Q1504" t="s">
        <v>238</v>
      </c>
      <c r="R1504" t="s">
        <v>374</v>
      </c>
      <c r="S1504" t="s">
        <v>375</v>
      </c>
      <c r="T1504" t="s">
        <v>376</v>
      </c>
      <c r="U1504" t="s">
        <v>377</v>
      </c>
      <c r="V1504" t="s">
        <v>243</v>
      </c>
      <c r="W1504" t="s">
        <v>244</v>
      </c>
      <c r="X1504" t="s">
        <v>2004</v>
      </c>
      <c r="Y1504" t="s">
        <v>194</v>
      </c>
      <c r="Z1504" t="s">
        <v>200</v>
      </c>
      <c r="AA1504" t="s">
        <v>201</v>
      </c>
      <c r="AB1504" t="s">
        <v>83</v>
      </c>
      <c r="AC1504" t="s">
        <v>81</v>
      </c>
      <c r="AD1504" t="s">
        <v>82</v>
      </c>
      <c r="AE1504" s="7">
        <v>46000</v>
      </c>
      <c r="AF1504" s="7">
        <v>1</v>
      </c>
      <c r="AG1504" s="7">
        <v>46000</v>
      </c>
      <c r="AH1504" s="7">
        <v>0</v>
      </c>
      <c r="AI1504" s="7">
        <v>46000</v>
      </c>
      <c r="AJ1504" t="s">
        <v>81</v>
      </c>
    </row>
    <row r="1505" spans="14:36" x14ac:dyDescent="0.3">
      <c r="N1505" s="8">
        <v>2026</v>
      </c>
      <c r="O1505" s="8">
        <v>4</v>
      </c>
      <c r="P1505" s="9">
        <v>46138</v>
      </c>
      <c r="Q1505" t="s">
        <v>238</v>
      </c>
      <c r="R1505" t="s">
        <v>374</v>
      </c>
      <c r="S1505" t="s">
        <v>375</v>
      </c>
      <c r="T1505" t="s">
        <v>2005</v>
      </c>
      <c r="U1505" t="s">
        <v>999</v>
      </c>
      <c r="V1505" t="s">
        <v>246</v>
      </c>
      <c r="W1505" t="s">
        <v>244</v>
      </c>
      <c r="X1505" t="s">
        <v>2006</v>
      </c>
      <c r="Y1505" t="s">
        <v>191</v>
      </c>
      <c r="Z1505" t="s">
        <v>192</v>
      </c>
      <c r="AA1505" t="s">
        <v>193</v>
      </c>
      <c r="AB1505" t="s">
        <v>116</v>
      </c>
      <c r="AC1505" t="s">
        <v>114</v>
      </c>
      <c r="AD1505" t="s">
        <v>115</v>
      </c>
      <c r="AE1505" s="7">
        <v>235000</v>
      </c>
      <c r="AF1505" s="7">
        <v>1</v>
      </c>
      <c r="AG1505" s="7">
        <v>235000</v>
      </c>
      <c r="AH1505" s="7">
        <v>0</v>
      </c>
      <c r="AI1505" s="7">
        <v>235000</v>
      </c>
      <c r="AJ1505" t="s">
        <v>114</v>
      </c>
    </row>
    <row r="1506" spans="14:36" x14ac:dyDescent="0.3">
      <c r="N1506" s="8">
        <v>2026</v>
      </c>
      <c r="O1506" s="8">
        <v>4</v>
      </c>
      <c r="P1506" s="9">
        <v>46138</v>
      </c>
      <c r="Q1506" t="s">
        <v>238</v>
      </c>
      <c r="R1506" t="s">
        <v>374</v>
      </c>
      <c r="S1506" t="s">
        <v>375</v>
      </c>
      <c r="T1506" t="s">
        <v>2009</v>
      </c>
      <c r="U1506" t="s">
        <v>4084</v>
      </c>
      <c r="V1506" t="s">
        <v>246</v>
      </c>
      <c r="W1506" t="s">
        <v>244</v>
      </c>
      <c r="X1506" t="s">
        <v>2010</v>
      </c>
      <c r="Y1506" t="s">
        <v>191</v>
      </c>
      <c r="Z1506" t="s">
        <v>192</v>
      </c>
      <c r="AA1506" t="s">
        <v>283</v>
      </c>
      <c r="AB1506" t="s">
        <v>107</v>
      </c>
      <c r="AC1506" t="s">
        <v>105</v>
      </c>
      <c r="AD1506" t="s">
        <v>106</v>
      </c>
      <c r="AE1506" s="7">
        <v>235000</v>
      </c>
      <c r="AF1506" s="7">
        <v>1</v>
      </c>
      <c r="AG1506" s="7">
        <v>235000</v>
      </c>
      <c r="AH1506" s="7">
        <v>0</v>
      </c>
      <c r="AI1506" s="7">
        <v>235000</v>
      </c>
      <c r="AJ1506" t="s">
        <v>105</v>
      </c>
    </row>
    <row r="1507" spans="14:36" x14ac:dyDescent="0.3">
      <c r="N1507" s="8">
        <v>2026</v>
      </c>
      <c r="O1507" s="8">
        <v>4</v>
      </c>
      <c r="P1507" s="9">
        <v>46138</v>
      </c>
      <c r="Q1507" t="s">
        <v>238</v>
      </c>
      <c r="R1507" t="s">
        <v>396</v>
      </c>
      <c r="S1507" t="s">
        <v>397</v>
      </c>
      <c r="T1507" t="s">
        <v>2013</v>
      </c>
      <c r="U1507" t="s">
        <v>4015</v>
      </c>
      <c r="V1507" t="s">
        <v>246</v>
      </c>
      <c r="W1507" t="s">
        <v>244</v>
      </c>
      <c r="X1507" t="s">
        <v>2014</v>
      </c>
      <c r="Y1507" t="s">
        <v>191</v>
      </c>
      <c r="Z1507" t="s">
        <v>192</v>
      </c>
      <c r="AA1507" t="s">
        <v>193</v>
      </c>
      <c r="AB1507" t="s">
        <v>119</v>
      </c>
      <c r="AC1507" t="s">
        <v>117</v>
      </c>
      <c r="AD1507" t="s">
        <v>118</v>
      </c>
      <c r="AE1507" s="7">
        <v>235000</v>
      </c>
      <c r="AF1507" s="7">
        <v>1</v>
      </c>
      <c r="AG1507" s="7">
        <v>235000</v>
      </c>
      <c r="AH1507" s="7">
        <v>0</v>
      </c>
      <c r="AI1507" s="7">
        <v>235000</v>
      </c>
      <c r="AJ1507" t="s">
        <v>117</v>
      </c>
    </row>
    <row r="1508" spans="14:36" x14ac:dyDescent="0.3">
      <c r="N1508" s="8">
        <v>2026</v>
      </c>
      <c r="O1508" s="8">
        <v>4</v>
      </c>
      <c r="P1508" s="9">
        <v>46138</v>
      </c>
      <c r="Q1508" t="s">
        <v>238</v>
      </c>
      <c r="R1508" t="s">
        <v>415</v>
      </c>
      <c r="S1508" t="s">
        <v>416</v>
      </c>
      <c r="T1508" t="s">
        <v>417</v>
      </c>
      <c r="U1508" t="s">
        <v>418</v>
      </c>
      <c r="V1508" t="s">
        <v>243</v>
      </c>
      <c r="W1508" t="s">
        <v>244</v>
      </c>
      <c r="X1508" t="s">
        <v>2016</v>
      </c>
      <c r="Y1508" t="s">
        <v>191</v>
      </c>
      <c r="Z1508" t="s">
        <v>335</v>
      </c>
      <c r="AA1508" t="s">
        <v>336</v>
      </c>
      <c r="AB1508" t="s">
        <v>606</v>
      </c>
      <c r="AC1508" t="s">
        <v>607</v>
      </c>
      <c r="AD1508" t="s">
        <v>608</v>
      </c>
      <c r="AE1508" s="7">
        <v>105000</v>
      </c>
      <c r="AF1508" s="7">
        <v>1</v>
      </c>
      <c r="AG1508" s="7">
        <v>105000</v>
      </c>
      <c r="AH1508" s="7">
        <v>0</v>
      </c>
      <c r="AI1508" s="7">
        <v>105000</v>
      </c>
      <c r="AJ1508" t="s">
        <v>607</v>
      </c>
    </row>
    <row r="1509" spans="14:36" x14ac:dyDescent="0.3">
      <c r="N1509" s="8">
        <v>2026</v>
      </c>
      <c r="O1509" s="8">
        <v>4</v>
      </c>
      <c r="P1509" s="9">
        <v>46138</v>
      </c>
      <c r="Q1509" t="s">
        <v>238</v>
      </c>
      <c r="R1509" t="s">
        <v>415</v>
      </c>
      <c r="S1509" t="s">
        <v>416</v>
      </c>
      <c r="T1509" t="s">
        <v>2018</v>
      </c>
      <c r="U1509" t="s">
        <v>2019</v>
      </c>
      <c r="V1509" t="s">
        <v>246</v>
      </c>
      <c r="W1509" t="s">
        <v>244</v>
      </c>
      <c r="X1509" t="s">
        <v>2020</v>
      </c>
      <c r="Y1509" t="s">
        <v>191</v>
      </c>
      <c r="Z1509" t="s">
        <v>335</v>
      </c>
      <c r="AA1509" t="s">
        <v>337</v>
      </c>
      <c r="AB1509" t="s">
        <v>348</v>
      </c>
      <c r="AC1509" t="s">
        <v>349</v>
      </c>
      <c r="AD1509" t="s">
        <v>350</v>
      </c>
      <c r="AE1509" s="7">
        <v>76000</v>
      </c>
      <c r="AF1509" s="7">
        <v>1</v>
      </c>
      <c r="AG1509" s="7">
        <v>76000</v>
      </c>
      <c r="AH1509" s="7">
        <v>0</v>
      </c>
      <c r="AI1509" s="7">
        <v>76000</v>
      </c>
      <c r="AJ1509" t="s">
        <v>349</v>
      </c>
    </row>
    <row r="1510" spans="14:36" x14ac:dyDescent="0.3">
      <c r="N1510" s="8">
        <v>2026</v>
      </c>
      <c r="O1510" s="8">
        <v>4</v>
      </c>
      <c r="P1510" s="9">
        <v>46138</v>
      </c>
      <c r="Q1510" t="s">
        <v>238</v>
      </c>
      <c r="R1510" t="s">
        <v>425</v>
      </c>
      <c r="S1510" t="s">
        <v>426</v>
      </c>
      <c r="T1510" t="s">
        <v>2021</v>
      </c>
      <c r="U1510" t="s">
        <v>645</v>
      </c>
      <c r="V1510" t="s">
        <v>246</v>
      </c>
      <c r="W1510" t="s">
        <v>244</v>
      </c>
      <c r="X1510" t="s">
        <v>2022</v>
      </c>
      <c r="Y1510" t="s">
        <v>194</v>
      </c>
      <c r="Z1510" t="s">
        <v>200</v>
      </c>
      <c r="AA1510" t="s">
        <v>201</v>
      </c>
      <c r="AB1510" t="s">
        <v>80</v>
      </c>
      <c r="AC1510" t="s">
        <v>78</v>
      </c>
      <c r="AD1510" t="s">
        <v>79</v>
      </c>
      <c r="AE1510" s="7">
        <v>14000</v>
      </c>
      <c r="AF1510" s="7">
        <v>2</v>
      </c>
      <c r="AG1510" s="7">
        <v>28000</v>
      </c>
      <c r="AH1510" s="7">
        <v>0</v>
      </c>
      <c r="AI1510" s="7">
        <v>28000</v>
      </c>
      <c r="AJ1510" t="s">
        <v>78</v>
      </c>
    </row>
    <row r="1511" spans="14:36" x14ac:dyDescent="0.3">
      <c r="N1511" s="8">
        <v>2026</v>
      </c>
      <c r="O1511" s="8">
        <v>4</v>
      </c>
      <c r="P1511" s="9">
        <v>46137</v>
      </c>
      <c r="Q1511" t="s">
        <v>238</v>
      </c>
      <c r="R1511" t="s">
        <v>239</v>
      </c>
      <c r="S1511" t="s">
        <v>240</v>
      </c>
      <c r="T1511" t="s">
        <v>2023</v>
      </c>
      <c r="U1511" t="s">
        <v>2024</v>
      </c>
      <c r="V1511" t="s">
        <v>246</v>
      </c>
      <c r="W1511" t="s">
        <v>244</v>
      </c>
      <c r="X1511" t="s">
        <v>2025</v>
      </c>
      <c r="Y1511" t="s">
        <v>168</v>
      </c>
      <c r="Z1511" t="s">
        <v>181</v>
      </c>
      <c r="AA1511" t="s">
        <v>182</v>
      </c>
      <c r="AB1511" t="s">
        <v>53</v>
      </c>
      <c r="AC1511" t="s">
        <v>51</v>
      </c>
      <c r="AD1511" t="s">
        <v>52</v>
      </c>
      <c r="AE1511" s="7">
        <v>45000</v>
      </c>
      <c r="AF1511" s="7">
        <v>1</v>
      </c>
      <c r="AG1511" s="7">
        <v>45000</v>
      </c>
      <c r="AH1511" s="7">
        <v>0</v>
      </c>
      <c r="AI1511" s="7">
        <v>45000</v>
      </c>
      <c r="AJ1511" t="s">
        <v>51</v>
      </c>
    </row>
    <row r="1512" spans="14:36" x14ac:dyDescent="0.3">
      <c r="N1512" s="8">
        <v>2026</v>
      </c>
      <c r="O1512" s="8">
        <v>4</v>
      </c>
      <c r="P1512" s="9">
        <v>46137</v>
      </c>
      <c r="Q1512" t="s">
        <v>238</v>
      </c>
      <c r="R1512" t="s">
        <v>239</v>
      </c>
      <c r="S1512" t="s">
        <v>240</v>
      </c>
      <c r="T1512" t="s">
        <v>2023</v>
      </c>
      <c r="U1512" t="s">
        <v>2024</v>
      </c>
      <c r="V1512" t="s">
        <v>246</v>
      </c>
      <c r="W1512" t="s">
        <v>244</v>
      </c>
      <c r="X1512" t="s">
        <v>2025</v>
      </c>
      <c r="Y1512" t="s">
        <v>183</v>
      </c>
      <c r="Z1512" t="s">
        <v>189</v>
      </c>
      <c r="AA1512" t="s">
        <v>190</v>
      </c>
      <c r="AB1512" t="s">
        <v>92</v>
      </c>
      <c r="AC1512" t="s">
        <v>90</v>
      </c>
      <c r="AD1512" t="s">
        <v>91</v>
      </c>
      <c r="AE1512" s="7">
        <v>52000</v>
      </c>
      <c r="AF1512" s="7">
        <v>1</v>
      </c>
      <c r="AG1512" s="7">
        <v>52000</v>
      </c>
      <c r="AH1512" s="7">
        <v>0</v>
      </c>
      <c r="AI1512" s="7">
        <v>52000</v>
      </c>
      <c r="AJ1512" t="s">
        <v>90</v>
      </c>
    </row>
    <row r="1513" spans="14:36" x14ac:dyDescent="0.3">
      <c r="N1513" s="8">
        <v>2026</v>
      </c>
      <c r="O1513" s="8">
        <v>4</v>
      </c>
      <c r="P1513" s="9">
        <v>46137</v>
      </c>
      <c r="Q1513" t="s">
        <v>238</v>
      </c>
      <c r="R1513" t="s">
        <v>239</v>
      </c>
      <c r="S1513" t="s">
        <v>240</v>
      </c>
      <c r="T1513" t="s">
        <v>1345</v>
      </c>
      <c r="U1513" t="s">
        <v>4085</v>
      </c>
      <c r="V1513" t="s">
        <v>246</v>
      </c>
      <c r="W1513" t="s">
        <v>244</v>
      </c>
      <c r="X1513" t="s">
        <v>2027</v>
      </c>
      <c r="Y1513" t="s">
        <v>191</v>
      </c>
      <c r="Z1513" t="s">
        <v>192</v>
      </c>
      <c r="AA1513" t="s">
        <v>283</v>
      </c>
      <c r="AB1513" t="s">
        <v>104</v>
      </c>
      <c r="AC1513" t="s">
        <v>102</v>
      </c>
      <c r="AD1513" t="s">
        <v>103</v>
      </c>
      <c r="AE1513" s="7">
        <v>235000</v>
      </c>
      <c r="AF1513" s="7">
        <v>1</v>
      </c>
      <c r="AG1513" s="7">
        <v>235000</v>
      </c>
      <c r="AH1513" s="7">
        <v>0</v>
      </c>
      <c r="AI1513" s="7">
        <v>235000</v>
      </c>
      <c r="AJ1513" t="s">
        <v>102</v>
      </c>
    </row>
    <row r="1514" spans="14:36" x14ac:dyDescent="0.3">
      <c r="N1514" s="8">
        <v>2026</v>
      </c>
      <c r="O1514" s="8">
        <v>4</v>
      </c>
      <c r="P1514" s="9">
        <v>46137</v>
      </c>
      <c r="Q1514" t="s">
        <v>238</v>
      </c>
      <c r="R1514" t="s">
        <v>239</v>
      </c>
      <c r="S1514" t="s">
        <v>240</v>
      </c>
      <c r="T1514" t="s">
        <v>1345</v>
      </c>
      <c r="U1514" t="s">
        <v>4085</v>
      </c>
      <c r="V1514" t="s">
        <v>246</v>
      </c>
      <c r="W1514" t="s">
        <v>244</v>
      </c>
      <c r="X1514" t="s">
        <v>2027</v>
      </c>
      <c r="Y1514" t="s">
        <v>191</v>
      </c>
      <c r="Z1514" t="s">
        <v>192</v>
      </c>
      <c r="AA1514" t="s">
        <v>283</v>
      </c>
      <c r="AB1514" t="s">
        <v>110</v>
      </c>
      <c r="AC1514" t="s">
        <v>108</v>
      </c>
      <c r="AD1514" t="s">
        <v>109</v>
      </c>
      <c r="AE1514" s="7">
        <v>235000</v>
      </c>
      <c r="AF1514" s="7">
        <v>1</v>
      </c>
      <c r="AG1514" s="7">
        <v>235000</v>
      </c>
      <c r="AH1514" s="7">
        <v>0</v>
      </c>
      <c r="AI1514" s="7">
        <v>235000</v>
      </c>
      <c r="AJ1514" t="s">
        <v>108</v>
      </c>
    </row>
    <row r="1515" spans="14:36" x14ac:dyDescent="0.3">
      <c r="N1515" s="8">
        <v>2026</v>
      </c>
      <c r="O1515" s="8">
        <v>4</v>
      </c>
      <c r="P1515" s="9">
        <v>46137</v>
      </c>
      <c r="Q1515" t="s">
        <v>238</v>
      </c>
      <c r="R1515" t="s">
        <v>279</v>
      </c>
      <c r="S1515" t="s">
        <v>280</v>
      </c>
      <c r="T1515" t="s">
        <v>532</v>
      </c>
      <c r="U1515" t="s">
        <v>533</v>
      </c>
      <c r="V1515" t="s">
        <v>246</v>
      </c>
      <c r="W1515" t="s">
        <v>244</v>
      </c>
      <c r="X1515" t="s">
        <v>2028</v>
      </c>
      <c r="Y1515" t="s">
        <v>191</v>
      </c>
      <c r="Z1515" t="s">
        <v>335</v>
      </c>
      <c r="AA1515" t="s">
        <v>337</v>
      </c>
      <c r="AB1515" t="s">
        <v>864</v>
      </c>
      <c r="AC1515" t="s">
        <v>865</v>
      </c>
      <c r="AD1515" t="s">
        <v>866</v>
      </c>
      <c r="AE1515" s="7">
        <v>139000</v>
      </c>
      <c r="AF1515" s="7">
        <v>1</v>
      </c>
      <c r="AG1515" s="7">
        <v>139000</v>
      </c>
      <c r="AH1515" s="7">
        <v>0</v>
      </c>
      <c r="AI1515" s="7">
        <v>139000</v>
      </c>
      <c r="AJ1515" t="s">
        <v>865</v>
      </c>
    </row>
    <row r="1516" spans="14:36" x14ac:dyDescent="0.3">
      <c r="N1516" s="8">
        <v>2026</v>
      </c>
      <c r="O1516" s="8">
        <v>4</v>
      </c>
      <c r="P1516" s="9">
        <v>46137</v>
      </c>
      <c r="Q1516" t="s">
        <v>238</v>
      </c>
      <c r="R1516" t="s">
        <v>279</v>
      </c>
      <c r="S1516" t="s">
        <v>280</v>
      </c>
      <c r="T1516" t="s">
        <v>1216</v>
      </c>
      <c r="U1516" t="s">
        <v>456</v>
      </c>
      <c r="V1516" t="s">
        <v>246</v>
      </c>
      <c r="W1516" t="s">
        <v>244</v>
      </c>
      <c r="X1516" t="s">
        <v>2029</v>
      </c>
      <c r="Y1516" t="s">
        <v>191</v>
      </c>
      <c r="Z1516" t="s">
        <v>335</v>
      </c>
      <c r="AA1516" t="s">
        <v>336</v>
      </c>
      <c r="AB1516" t="s">
        <v>1146</v>
      </c>
      <c r="AC1516" t="s">
        <v>1147</v>
      </c>
      <c r="AD1516" t="s">
        <v>1148</v>
      </c>
      <c r="AE1516" s="7">
        <v>54450</v>
      </c>
      <c r="AF1516" s="7">
        <v>2</v>
      </c>
      <c r="AG1516" s="7">
        <v>108900</v>
      </c>
      <c r="AH1516" s="7">
        <v>0</v>
      </c>
      <c r="AI1516" s="7">
        <v>108900</v>
      </c>
      <c r="AJ1516" t="s">
        <v>1147</v>
      </c>
    </row>
    <row r="1517" spans="14:36" x14ac:dyDescent="0.3">
      <c r="N1517" s="8">
        <v>2026</v>
      </c>
      <c r="O1517" s="8">
        <v>4</v>
      </c>
      <c r="P1517" s="9">
        <v>46137</v>
      </c>
      <c r="Q1517" t="s">
        <v>238</v>
      </c>
      <c r="R1517" t="s">
        <v>279</v>
      </c>
      <c r="S1517" t="s">
        <v>280</v>
      </c>
      <c r="T1517" t="s">
        <v>1529</v>
      </c>
      <c r="U1517" t="s">
        <v>1530</v>
      </c>
      <c r="V1517" t="s">
        <v>246</v>
      </c>
      <c r="W1517" t="s">
        <v>244</v>
      </c>
      <c r="X1517" t="s">
        <v>2030</v>
      </c>
      <c r="Y1517" t="s">
        <v>191</v>
      </c>
      <c r="Z1517" t="s">
        <v>192</v>
      </c>
      <c r="AA1517" t="s">
        <v>283</v>
      </c>
      <c r="AB1517" t="s">
        <v>110</v>
      </c>
      <c r="AC1517" t="s">
        <v>108</v>
      </c>
      <c r="AD1517" t="s">
        <v>109</v>
      </c>
      <c r="AE1517" s="7">
        <v>235000</v>
      </c>
      <c r="AF1517" s="7">
        <v>1</v>
      </c>
      <c r="AG1517" s="7">
        <v>235000</v>
      </c>
      <c r="AH1517" s="7">
        <v>0</v>
      </c>
      <c r="AI1517" s="7">
        <v>235000</v>
      </c>
      <c r="AJ1517" t="s">
        <v>108</v>
      </c>
    </row>
    <row r="1518" spans="14:36" x14ac:dyDescent="0.3">
      <c r="N1518" s="8">
        <v>2026</v>
      </c>
      <c r="O1518" s="8">
        <v>4</v>
      </c>
      <c r="P1518" s="9">
        <v>46137</v>
      </c>
      <c r="Q1518" t="s">
        <v>238</v>
      </c>
      <c r="R1518" t="s">
        <v>303</v>
      </c>
      <c r="S1518" t="s">
        <v>304</v>
      </c>
      <c r="T1518" t="s">
        <v>1933</v>
      </c>
      <c r="U1518" t="s">
        <v>3856</v>
      </c>
      <c r="V1518" t="s">
        <v>246</v>
      </c>
      <c r="W1518" t="s">
        <v>244</v>
      </c>
      <c r="X1518" t="s">
        <v>2031</v>
      </c>
      <c r="Y1518" t="s">
        <v>191</v>
      </c>
      <c r="Z1518" t="s">
        <v>192</v>
      </c>
      <c r="AA1518" t="s">
        <v>283</v>
      </c>
      <c r="AB1518" t="s">
        <v>110</v>
      </c>
      <c r="AC1518" t="s">
        <v>108</v>
      </c>
      <c r="AD1518" t="s">
        <v>109</v>
      </c>
      <c r="AE1518" s="7">
        <v>235000</v>
      </c>
      <c r="AF1518" s="7">
        <v>1</v>
      </c>
      <c r="AG1518" s="7">
        <v>235000</v>
      </c>
      <c r="AH1518" s="7">
        <v>0</v>
      </c>
      <c r="AI1518" s="7">
        <v>235000</v>
      </c>
      <c r="AJ1518" t="s">
        <v>108</v>
      </c>
    </row>
    <row r="1519" spans="14:36" x14ac:dyDescent="0.3">
      <c r="N1519" s="8">
        <v>2026</v>
      </c>
      <c r="O1519" s="8">
        <v>4</v>
      </c>
      <c r="P1519" s="9">
        <v>46137</v>
      </c>
      <c r="Q1519" t="s">
        <v>238</v>
      </c>
      <c r="R1519" t="s">
        <v>303</v>
      </c>
      <c r="S1519" t="s">
        <v>304</v>
      </c>
      <c r="T1519" t="s">
        <v>1933</v>
      </c>
      <c r="U1519" t="s">
        <v>3856</v>
      </c>
      <c r="V1519" t="s">
        <v>246</v>
      </c>
      <c r="W1519" t="s">
        <v>244</v>
      </c>
      <c r="X1519" t="s">
        <v>2031</v>
      </c>
      <c r="Y1519" t="s">
        <v>191</v>
      </c>
      <c r="Z1519" t="s">
        <v>192</v>
      </c>
      <c r="AA1519" t="s">
        <v>283</v>
      </c>
      <c r="AB1519" t="s">
        <v>107</v>
      </c>
      <c r="AC1519" t="s">
        <v>105</v>
      </c>
      <c r="AD1519" t="s">
        <v>106</v>
      </c>
      <c r="AE1519" s="7">
        <v>235000</v>
      </c>
      <c r="AF1519" s="7">
        <v>1</v>
      </c>
      <c r="AG1519" s="7">
        <v>235000</v>
      </c>
      <c r="AH1519" s="7">
        <v>0</v>
      </c>
      <c r="AI1519" s="7">
        <v>235000</v>
      </c>
      <c r="AJ1519" t="s">
        <v>105</v>
      </c>
    </row>
    <row r="1520" spans="14:36" x14ac:dyDescent="0.3">
      <c r="N1520" s="8">
        <v>2026</v>
      </c>
      <c r="O1520" s="8">
        <v>4</v>
      </c>
      <c r="P1520" s="9">
        <v>46137</v>
      </c>
      <c r="Q1520" t="s">
        <v>238</v>
      </c>
      <c r="R1520" t="s">
        <v>303</v>
      </c>
      <c r="S1520" t="s">
        <v>304</v>
      </c>
      <c r="T1520" t="s">
        <v>2032</v>
      </c>
      <c r="U1520" t="s">
        <v>2033</v>
      </c>
      <c r="V1520" t="s">
        <v>246</v>
      </c>
      <c r="W1520" t="s">
        <v>244</v>
      </c>
      <c r="X1520" t="s">
        <v>2034</v>
      </c>
      <c r="Y1520" t="s">
        <v>191</v>
      </c>
      <c r="Z1520" t="s">
        <v>335</v>
      </c>
      <c r="AA1520" t="s">
        <v>337</v>
      </c>
      <c r="AB1520" t="s">
        <v>656</v>
      </c>
      <c r="AC1520" t="s">
        <v>657</v>
      </c>
      <c r="AD1520" t="s">
        <v>658</v>
      </c>
      <c r="AE1520" s="7">
        <v>35000</v>
      </c>
      <c r="AF1520" s="7">
        <v>2</v>
      </c>
      <c r="AG1520" s="7">
        <v>70000</v>
      </c>
      <c r="AH1520" s="7">
        <v>0</v>
      </c>
      <c r="AI1520" s="7">
        <v>70000</v>
      </c>
      <c r="AJ1520" t="s">
        <v>657</v>
      </c>
    </row>
    <row r="1521" spans="14:36" x14ac:dyDescent="0.3">
      <c r="N1521" s="8">
        <v>2026</v>
      </c>
      <c r="O1521" s="8">
        <v>4</v>
      </c>
      <c r="P1521" s="9">
        <v>46137</v>
      </c>
      <c r="Q1521" t="s">
        <v>238</v>
      </c>
      <c r="R1521" t="s">
        <v>303</v>
      </c>
      <c r="S1521" t="s">
        <v>304</v>
      </c>
      <c r="T1521" t="s">
        <v>2035</v>
      </c>
      <c r="U1521" t="s">
        <v>464</v>
      </c>
      <c r="V1521" t="s">
        <v>246</v>
      </c>
      <c r="W1521" t="s">
        <v>244</v>
      </c>
      <c r="X1521" t="s">
        <v>2036</v>
      </c>
      <c r="Y1521" t="s">
        <v>168</v>
      </c>
      <c r="Z1521" t="s">
        <v>181</v>
      </c>
      <c r="AA1521" t="s">
        <v>182</v>
      </c>
      <c r="AB1521" t="s">
        <v>47</v>
      </c>
      <c r="AC1521" t="s">
        <v>45</v>
      </c>
      <c r="AD1521" t="s">
        <v>46</v>
      </c>
      <c r="AE1521" s="7">
        <v>52000</v>
      </c>
      <c r="AF1521" s="7">
        <v>1</v>
      </c>
      <c r="AG1521" s="7">
        <v>52000</v>
      </c>
      <c r="AH1521" s="7">
        <v>0</v>
      </c>
      <c r="AI1521" s="7">
        <v>52000</v>
      </c>
      <c r="AJ1521" t="s">
        <v>45</v>
      </c>
    </row>
    <row r="1522" spans="14:36" x14ac:dyDescent="0.3">
      <c r="N1522" s="8">
        <v>2026</v>
      </c>
      <c r="O1522" s="8">
        <v>4</v>
      </c>
      <c r="P1522" s="9">
        <v>46137</v>
      </c>
      <c r="Q1522" t="s">
        <v>238</v>
      </c>
      <c r="R1522" t="s">
        <v>303</v>
      </c>
      <c r="S1522" t="s">
        <v>304</v>
      </c>
      <c r="T1522" t="s">
        <v>747</v>
      </c>
      <c r="U1522" t="s">
        <v>258</v>
      </c>
      <c r="V1522" t="s">
        <v>246</v>
      </c>
      <c r="W1522" t="s">
        <v>244</v>
      </c>
      <c r="X1522" t="s">
        <v>2037</v>
      </c>
      <c r="Y1522" t="s">
        <v>168</v>
      </c>
      <c r="Z1522" t="s">
        <v>171</v>
      </c>
      <c r="AA1522" t="s">
        <v>172</v>
      </c>
      <c r="AB1522" t="s">
        <v>11</v>
      </c>
      <c r="AC1522" t="s">
        <v>9</v>
      </c>
      <c r="AD1522" t="s">
        <v>10</v>
      </c>
      <c r="AE1522" s="7">
        <v>129000</v>
      </c>
      <c r="AF1522" s="7">
        <v>1</v>
      </c>
      <c r="AG1522" s="7">
        <v>129000</v>
      </c>
      <c r="AH1522" s="7">
        <v>0</v>
      </c>
      <c r="AI1522" s="7">
        <v>129000</v>
      </c>
      <c r="AJ1522" t="s">
        <v>9</v>
      </c>
    </row>
    <row r="1523" spans="14:36" x14ac:dyDescent="0.3">
      <c r="N1523" s="8">
        <v>2026</v>
      </c>
      <c r="O1523" s="8">
        <v>4</v>
      </c>
      <c r="P1523" s="9">
        <v>46137</v>
      </c>
      <c r="Q1523" t="s">
        <v>238</v>
      </c>
      <c r="R1523" t="s">
        <v>303</v>
      </c>
      <c r="S1523" t="s">
        <v>304</v>
      </c>
      <c r="T1523" t="s">
        <v>2038</v>
      </c>
      <c r="U1523" t="s">
        <v>2039</v>
      </c>
      <c r="V1523" t="s">
        <v>246</v>
      </c>
      <c r="W1523" t="s">
        <v>244</v>
      </c>
      <c r="X1523" t="s">
        <v>2040</v>
      </c>
      <c r="Y1523" t="s">
        <v>168</v>
      </c>
      <c r="Z1523" t="s">
        <v>181</v>
      </c>
      <c r="AA1523" t="s">
        <v>182</v>
      </c>
      <c r="AB1523" t="s">
        <v>47</v>
      </c>
      <c r="AC1523" t="s">
        <v>45</v>
      </c>
      <c r="AD1523" t="s">
        <v>46</v>
      </c>
      <c r="AE1523" s="7">
        <v>52000</v>
      </c>
      <c r="AF1523" s="7">
        <v>1</v>
      </c>
      <c r="AG1523" s="7">
        <v>52000</v>
      </c>
      <c r="AH1523" s="7">
        <v>0</v>
      </c>
      <c r="AI1523" s="7">
        <v>52000</v>
      </c>
      <c r="AJ1523" t="s">
        <v>45</v>
      </c>
    </row>
    <row r="1524" spans="14:36" x14ac:dyDescent="0.3">
      <c r="N1524" s="8">
        <v>2026</v>
      </c>
      <c r="O1524" s="8">
        <v>4</v>
      </c>
      <c r="P1524" s="9">
        <v>46137</v>
      </c>
      <c r="Q1524" t="s">
        <v>238</v>
      </c>
      <c r="R1524" t="s">
        <v>303</v>
      </c>
      <c r="S1524" t="s">
        <v>304</v>
      </c>
      <c r="T1524" t="s">
        <v>2041</v>
      </c>
      <c r="U1524" t="s">
        <v>2042</v>
      </c>
      <c r="V1524" t="s">
        <v>246</v>
      </c>
      <c r="W1524" t="s">
        <v>244</v>
      </c>
      <c r="X1524" t="s">
        <v>2043</v>
      </c>
      <c r="Y1524" t="s">
        <v>191</v>
      </c>
      <c r="Z1524" t="s">
        <v>335</v>
      </c>
      <c r="AA1524" t="s">
        <v>337</v>
      </c>
      <c r="AB1524" t="s">
        <v>541</v>
      </c>
      <c r="AC1524" t="s">
        <v>542</v>
      </c>
      <c r="AD1524" t="s">
        <v>543</v>
      </c>
      <c r="AE1524" s="7">
        <v>69000</v>
      </c>
      <c r="AF1524" s="7">
        <v>2</v>
      </c>
      <c r="AG1524" s="7">
        <v>138000</v>
      </c>
      <c r="AH1524" s="7">
        <v>0</v>
      </c>
      <c r="AI1524" s="7">
        <v>138000</v>
      </c>
      <c r="AJ1524" t="s">
        <v>542</v>
      </c>
    </row>
    <row r="1525" spans="14:36" x14ac:dyDescent="0.3">
      <c r="N1525" s="8">
        <v>2026</v>
      </c>
      <c r="O1525" s="8">
        <v>4</v>
      </c>
      <c r="P1525" s="9">
        <v>46137</v>
      </c>
      <c r="Q1525" t="s">
        <v>238</v>
      </c>
      <c r="R1525" t="s">
        <v>303</v>
      </c>
      <c r="S1525" t="s">
        <v>304</v>
      </c>
      <c r="T1525" t="s">
        <v>2044</v>
      </c>
      <c r="U1525" t="s">
        <v>629</v>
      </c>
      <c r="V1525" t="s">
        <v>246</v>
      </c>
      <c r="W1525" t="s">
        <v>244</v>
      </c>
      <c r="X1525" t="s">
        <v>2045</v>
      </c>
      <c r="Y1525" t="s">
        <v>191</v>
      </c>
      <c r="Z1525" t="s">
        <v>335</v>
      </c>
      <c r="AA1525" t="s">
        <v>337</v>
      </c>
      <c r="AB1525" t="s">
        <v>864</v>
      </c>
      <c r="AC1525" t="s">
        <v>865</v>
      </c>
      <c r="AD1525" t="s">
        <v>866</v>
      </c>
      <c r="AE1525" s="7">
        <v>139000</v>
      </c>
      <c r="AF1525" s="7">
        <v>1</v>
      </c>
      <c r="AG1525" s="7">
        <v>139000</v>
      </c>
      <c r="AH1525" s="7">
        <v>0</v>
      </c>
      <c r="AI1525" s="7">
        <v>139000</v>
      </c>
      <c r="AJ1525" t="s">
        <v>865</v>
      </c>
    </row>
    <row r="1526" spans="14:36" x14ac:dyDescent="0.3">
      <c r="N1526" s="8">
        <v>2026</v>
      </c>
      <c r="O1526" s="8">
        <v>4</v>
      </c>
      <c r="P1526" s="9">
        <v>46137</v>
      </c>
      <c r="Q1526" t="s">
        <v>238</v>
      </c>
      <c r="R1526" t="s">
        <v>303</v>
      </c>
      <c r="S1526" t="s">
        <v>304</v>
      </c>
      <c r="T1526" t="s">
        <v>855</v>
      </c>
      <c r="U1526" t="s">
        <v>4086</v>
      </c>
      <c r="V1526" t="s">
        <v>246</v>
      </c>
      <c r="W1526" t="s">
        <v>244</v>
      </c>
      <c r="X1526" t="s">
        <v>2046</v>
      </c>
      <c r="Y1526" t="s">
        <v>168</v>
      </c>
      <c r="Z1526" t="s">
        <v>171</v>
      </c>
      <c r="AA1526" t="s">
        <v>175</v>
      </c>
      <c r="AB1526" t="s">
        <v>44</v>
      </c>
      <c r="AC1526" t="s">
        <v>42</v>
      </c>
      <c r="AD1526" t="s">
        <v>43</v>
      </c>
      <c r="AE1526" s="7">
        <v>294000</v>
      </c>
      <c r="AF1526" s="7">
        <v>1</v>
      </c>
      <c r="AG1526" s="7">
        <v>294000</v>
      </c>
      <c r="AH1526" s="7">
        <v>0</v>
      </c>
      <c r="AI1526" s="7">
        <v>294000</v>
      </c>
      <c r="AJ1526" t="s">
        <v>42</v>
      </c>
    </row>
    <row r="1527" spans="14:36" x14ac:dyDescent="0.3">
      <c r="N1527" s="8">
        <v>2026</v>
      </c>
      <c r="O1527" s="8">
        <v>4</v>
      </c>
      <c r="P1527" s="9">
        <v>46137</v>
      </c>
      <c r="Q1527" t="s">
        <v>238</v>
      </c>
      <c r="R1527" t="s">
        <v>303</v>
      </c>
      <c r="S1527" t="s">
        <v>304</v>
      </c>
      <c r="T1527" t="s">
        <v>338</v>
      </c>
      <c r="U1527" t="s">
        <v>339</v>
      </c>
      <c r="V1527" t="s">
        <v>246</v>
      </c>
      <c r="W1527" t="s">
        <v>244</v>
      </c>
      <c r="X1527" t="s">
        <v>2047</v>
      </c>
      <c r="Y1527" t="s">
        <v>168</v>
      </c>
      <c r="Z1527" t="s">
        <v>171</v>
      </c>
      <c r="AA1527" t="s">
        <v>172</v>
      </c>
      <c r="AB1527" t="s">
        <v>11</v>
      </c>
      <c r="AC1527" t="s">
        <v>9</v>
      </c>
      <c r="AD1527" t="s">
        <v>10</v>
      </c>
      <c r="AE1527" s="7">
        <v>129000</v>
      </c>
      <c r="AF1527" s="7">
        <v>1</v>
      </c>
      <c r="AG1527" s="7">
        <v>129000</v>
      </c>
      <c r="AH1527" s="7">
        <v>0</v>
      </c>
      <c r="AI1527" s="7">
        <v>129000</v>
      </c>
      <c r="AJ1527" t="s">
        <v>9</v>
      </c>
    </row>
    <row r="1528" spans="14:36" x14ac:dyDescent="0.3">
      <c r="N1528" s="8">
        <v>2026</v>
      </c>
      <c r="O1528" s="8">
        <v>4</v>
      </c>
      <c r="P1528" s="9">
        <v>46137</v>
      </c>
      <c r="Q1528" t="s">
        <v>238</v>
      </c>
      <c r="R1528" t="s">
        <v>303</v>
      </c>
      <c r="S1528" t="s">
        <v>304</v>
      </c>
      <c r="T1528" t="s">
        <v>2050</v>
      </c>
      <c r="U1528" t="s">
        <v>3543</v>
      </c>
      <c r="V1528" t="s">
        <v>246</v>
      </c>
      <c r="W1528" t="s">
        <v>244</v>
      </c>
      <c r="X1528" t="s">
        <v>2051</v>
      </c>
      <c r="Y1528" t="s">
        <v>168</v>
      </c>
      <c r="Z1528" t="s">
        <v>171</v>
      </c>
      <c r="AA1528" t="s">
        <v>172</v>
      </c>
      <c r="AB1528" t="s">
        <v>11</v>
      </c>
      <c r="AC1528" t="s">
        <v>9</v>
      </c>
      <c r="AD1528" t="s">
        <v>10</v>
      </c>
      <c r="AE1528" s="7">
        <v>129000</v>
      </c>
      <c r="AF1528" s="7">
        <v>1</v>
      </c>
      <c r="AG1528" s="7">
        <v>129000</v>
      </c>
      <c r="AH1528" s="7">
        <v>0</v>
      </c>
      <c r="AI1528" s="7">
        <v>129000</v>
      </c>
      <c r="AJ1528" t="s">
        <v>9</v>
      </c>
    </row>
    <row r="1529" spans="14:36" x14ac:dyDescent="0.3">
      <c r="N1529" s="8">
        <v>2026</v>
      </c>
      <c r="O1529" s="8">
        <v>4</v>
      </c>
      <c r="P1529" s="9">
        <v>46137</v>
      </c>
      <c r="Q1529" t="s">
        <v>238</v>
      </c>
      <c r="R1529" t="s">
        <v>303</v>
      </c>
      <c r="S1529" t="s">
        <v>304</v>
      </c>
      <c r="T1529" t="s">
        <v>2052</v>
      </c>
      <c r="U1529" t="s">
        <v>4087</v>
      </c>
      <c r="V1529" t="s">
        <v>246</v>
      </c>
      <c r="W1529" t="s">
        <v>244</v>
      </c>
      <c r="X1529" t="s">
        <v>2053</v>
      </c>
      <c r="Y1529" t="s">
        <v>191</v>
      </c>
      <c r="Z1529" t="s">
        <v>192</v>
      </c>
      <c r="AA1529" t="s">
        <v>193</v>
      </c>
      <c r="AB1529" t="s">
        <v>119</v>
      </c>
      <c r="AC1529" t="s">
        <v>117</v>
      </c>
      <c r="AD1529" t="s">
        <v>118</v>
      </c>
      <c r="AE1529" s="7">
        <v>235000</v>
      </c>
      <c r="AF1529" s="7">
        <v>1</v>
      </c>
      <c r="AG1529" s="7">
        <v>235000</v>
      </c>
      <c r="AH1529" s="7">
        <v>0</v>
      </c>
      <c r="AI1529" s="7">
        <v>235000</v>
      </c>
      <c r="AJ1529" t="s">
        <v>117</v>
      </c>
    </row>
    <row r="1530" spans="14:36" x14ac:dyDescent="0.3">
      <c r="N1530" s="8">
        <v>2026</v>
      </c>
      <c r="O1530" s="8">
        <v>4</v>
      </c>
      <c r="P1530" s="9">
        <v>46137</v>
      </c>
      <c r="Q1530" t="s">
        <v>238</v>
      </c>
      <c r="R1530" t="s">
        <v>351</v>
      </c>
      <c r="S1530" t="s">
        <v>352</v>
      </c>
      <c r="T1530" t="s">
        <v>665</v>
      </c>
      <c r="U1530" t="s">
        <v>666</v>
      </c>
      <c r="V1530" t="s">
        <v>246</v>
      </c>
      <c r="W1530" t="s">
        <v>244</v>
      </c>
      <c r="X1530" t="s">
        <v>2054</v>
      </c>
      <c r="Y1530" t="s">
        <v>191</v>
      </c>
      <c r="Z1530" t="s">
        <v>335</v>
      </c>
      <c r="AA1530" t="s">
        <v>336</v>
      </c>
      <c r="AB1530" t="s">
        <v>1146</v>
      </c>
      <c r="AC1530" t="s">
        <v>1147</v>
      </c>
      <c r="AD1530" t="s">
        <v>1148</v>
      </c>
      <c r="AE1530" s="7">
        <v>54450</v>
      </c>
      <c r="AF1530" s="7">
        <v>1</v>
      </c>
      <c r="AG1530" s="7">
        <v>54450</v>
      </c>
      <c r="AH1530" s="7">
        <v>0</v>
      </c>
      <c r="AI1530" s="7">
        <v>54450</v>
      </c>
      <c r="AJ1530" t="s">
        <v>1147</v>
      </c>
    </row>
    <row r="1531" spans="14:36" x14ac:dyDescent="0.3">
      <c r="N1531" s="8">
        <v>2026</v>
      </c>
      <c r="O1531" s="8">
        <v>4</v>
      </c>
      <c r="P1531" s="9">
        <v>46137</v>
      </c>
      <c r="Q1531" t="s">
        <v>238</v>
      </c>
      <c r="R1531" t="s">
        <v>351</v>
      </c>
      <c r="S1531" t="s">
        <v>352</v>
      </c>
      <c r="T1531" t="s">
        <v>2055</v>
      </c>
      <c r="U1531" t="s">
        <v>4088</v>
      </c>
      <c r="V1531" t="s">
        <v>246</v>
      </c>
      <c r="W1531" t="s">
        <v>244</v>
      </c>
      <c r="X1531" t="s">
        <v>2056</v>
      </c>
      <c r="Y1531" t="s">
        <v>191</v>
      </c>
      <c r="Z1531" t="s">
        <v>335</v>
      </c>
      <c r="AA1531" t="s">
        <v>336</v>
      </c>
      <c r="AB1531" t="s">
        <v>1146</v>
      </c>
      <c r="AC1531" t="s">
        <v>1147</v>
      </c>
      <c r="AD1531" t="s">
        <v>1148</v>
      </c>
      <c r="AE1531" s="7">
        <v>54450</v>
      </c>
      <c r="AF1531" s="7">
        <v>1</v>
      </c>
      <c r="AG1531" s="7">
        <v>54450</v>
      </c>
      <c r="AH1531" s="7">
        <v>0</v>
      </c>
      <c r="AI1531" s="7">
        <v>54450</v>
      </c>
      <c r="AJ1531" t="s">
        <v>1147</v>
      </c>
    </row>
    <row r="1532" spans="14:36" x14ac:dyDescent="0.3">
      <c r="N1532" s="8">
        <v>2026</v>
      </c>
      <c r="O1532" s="8">
        <v>4</v>
      </c>
      <c r="P1532" s="9">
        <v>46137</v>
      </c>
      <c r="Q1532" t="s">
        <v>238</v>
      </c>
      <c r="R1532" t="s">
        <v>351</v>
      </c>
      <c r="S1532" t="s">
        <v>352</v>
      </c>
      <c r="T1532" t="s">
        <v>585</v>
      </c>
      <c r="U1532" t="s">
        <v>4089</v>
      </c>
      <c r="V1532" t="s">
        <v>246</v>
      </c>
      <c r="W1532" t="s">
        <v>244</v>
      </c>
      <c r="X1532" t="s">
        <v>2057</v>
      </c>
      <c r="Y1532" t="s">
        <v>191</v>
      </c>
      <c r="Z1532" t="s">
        <v>335</v>
      </c>
      <c r="AA1532" t="s">
        <v>336</v>
      </c>
      <c r="AB1532" t="s">
        <v>1146</v>
      </c>
      <c r="AC1532" t="s">
        <v>1147</v>
      </c>
      <c r="AD1532" t="s">
        <v>1148</v>
      </c>
      <c r="AE1532" s="7">
        <v>54450</v>
      </c>
      <c r="AF1532" s="7">
        <v>3</v>
      </c>
      <c r="AG1532" s="7">
        <v>163350</v>
      </c>
      <c r="AH1532" s="7">
        <v>0</v>
      </c>
      <c r="AI1532" s="7">
        <v>163350</v>
      </c>
      <c r="AJ1532" t="s">
        <v>1147</v>
      </c>
    </row>
    <row r="1533" spans="14:36" x14ac:dyDescent="0.3">
      <c r="N1533" s="8">
        <v>2026</v>
      </c>
      <c r="O1533" s="8">
        <v>4</v>
      </c>
      <c r="P1533" s="9">
        <v>46137</v>
      </c>
      <c r="Q1533" t="s">
        <v>238</v>
      </c>
      <c r="R1533" t="s">
        <v>351</v>
      </c>
      <c r="S1533" t="s">
        <v>352</v>
      </c>
      <c r="T1533" t="s">
        <v>2058</v>
      </c>
      <c r="U1533" t="s">
        <v>1801</v>
      </c>
      <c r="V1533" t="s">
        <v>246</v>
      </c>
      <c r="W1533" t="s">
        <v>244</v>
      </c>
      <c r="X1533" t="s">
        <v>2059</v>
      </c>
      <c r="Y1533" t="s">
        <v>191</v>
      </c>
      <c r="Z1533" t="s">
        <v>335</v>
      </c>
      <c r="AA1533" t="s">
        <v>336</v>
      </c>
      <c r="AB1533" t="s">
        <v>1146</v>
      </c>
      <c r="AC1533" t="s">
        <v>1147</v>
      </c>
      <c r="AD1533" t="s">
        <v>1148</v>
      </c>
      <c r="AE1533" s="7">
        <v>54450</v>
      </c>
      <c r="AF1533" s="7">
        <v>1</v>
      </c>
      <c r="AG1533" s="7">
        <v>54450</v>
      </c>
      <c r="AH1533" s="7">
        <v>0</v>
      </c>
      <c r="AI1533" s="7">
        <v>54450</v>
      </c>
      <c r="AJ1533" t="s">
        <v>1147</v>
      </c>
    </row>
    <row r="1534" spans="14:36" x14ac:dyDescent="0.3">
      <c r="N1534" s="8">
        <v>2026</v>
      </c>
      <c r="O1534" s="8">
        <v>4</v>
      </c>
      <c r="P1534" s="9">
        <v>46137</v>
      </c>
      <c r="Q1534" t="s">
        <v>238</v>
      </c>
      <c r="R1534" t="s">
        <v>374</v>
      </c>
      <c r="S1534" t="s">
        <v>375</v>
      </c>
      <c r="T1534" t="s">
        <v>376</v>
      </c>
      <c r="U1534" t="s">
        <v>377</v>
      </c>
      <c r="V1534" t="s">
        <v>243</v>
      </c>
      <c r="W1534" t="s">
        <v>244</v>
      </c>
      <c r="X1534" t="s">
        <v>2060</v>
      </c>
      <c r="Y1534" t="s">
        <v>194</v>
      </c>
      <c r="Z1534" t="s">
        <v>200</v>
      </c>
      <c r="AA1534" t="s">
        <v>201</v>
      </c>
      <c r="AB1534" t="s">
        <v>80</v>
      </c>
      <c r="AC1534" t="s">
        <v>78</v>
      </c>
      <c r="AD1534" t="s">
        <v>79</v>
      </c>
      <c r="AE1534" s="7">
        <v>14000</v>
      </c>
      <c r="AF1534" s="7">
        <v>1</v>
      </c>
      <c r="AG1534" s="7">
        <v>14000</v>
      </c>
      <c r="AH1534" s="7">
        <v>0</v>
      </c>
      <c r="AI1534" s="7">
        <v>14000</v>
      </c>
      <c r="AJ1534" t="s">
        <v>78</v>
      </c>
    </row>
    <row r="1535" spans="14:36" x14ac:dyDescent="0.3">
      <c r="N1535" s="8">
        <v>2026</v>
      </c>
      <c r="O1535" s="8">
        <v>4</v>
      </c>
      <c r="P1535" s="9">
        <v>46137</v>
      </c>
      <c r="Q1535" t="s">
        <v>238</v>
      </c>
      <c r="R1535" t="s">
        <v>415</v>
      </c>
      <c r="S1535" t="s">
        <v>416</v>
      </c>
      <c r="T1535" t="s">
        <v>2061</v>
      </c>
      <c r="U1535" t="s">
        <v>2062</v>
      </c>
      <c r="V1535" t="s">
        <v>246</v>
      </c>
      <c r="W1535" t="s">
        <v>244</v>
      </c>
      <c r="X1535" t="s">
        <v>2063</v>
      </c>
      <c r="Y1535" t="s">
        <v>191</v>
      </c>
      <c r="Z1535" t="s">
        <v>335</v>
      </c>
      <c r="AA1535" t="s">
        <v>336</v>
      </c>
      <c r="AB1535" t="s">
        <v>606</v>
      </c>
      <c r="AC1535" t="s">
        <v>607</v>
      </c>
      <c r="AD1535" t="s">
        <v>608</v>
      </c>
      <c r="AE1535" s="7">
        <v>105000</v>
      </c>
      <c r="AF1535" s="7">
        <v>2</v>
      </c>
      <c r="AG1535" s="7">
        <v>210000</v>
      </c>
      <c r="AH1535" s="7">
        <v>0</v>
      </c>
      <c r="AI1535" s="7">
        <v>210000</v>
      </c>
      <c r="AJ1535" t="s">
        <v>607</v>
      </c>
    </row>
    <row r="1536" spans="14:36" x14ac:dyDescent="0.3">
      <c r="N1536" s="8">
        <v>2026</v>
      </c>
      <c r="O1536" s="8">
        <v>4</v>
      </c>
      <c r="P1536" s="9">
        <v>46137</v>
      </c>
      <c r="Q1536" t="s">
        <v>238</v>
      </c>
      <c r="R1536" t="s">
        <v>425</v>
      </c>
      <c r="S1536" t="s">
        <v>426</v>
      </c>
      <c r="T1536" t="s">
        <v>2066</v>
      </c>
      <c r="U1536" t="s">
        <v>4024</v>
      </c>
      <c r="V1536" t="s">
        <v>246</v>
      </c>
      <c r="W1536" t="s">
        <v>244</v>
      </c>
      <c r="X1536" t="s">
        <v>2067</v>
      </c>
      <c r="Y1536" t="s">
        <v>191</v>
      </c>
      <c r="Z1536" t="s">
        <v>192</v>
      </c>
      <c r="AA1536" t="s">
        <v>283</v>
      </c>
      <c r="AB1536" t="s">
        <v>110</v>
      </c>
      <c r="AC1536" t="s">
        <v>108</v>
      </c>
      <c r="AD1536" t="s">
        <v>109</v>
      </c>
      <c r="AE1536" s="7">
        <v>235000</v>
      </c>
      <c r="AF1536" s="7">
        <v>1</v>
      </c>
      <c r="AG1536" s="7">
        <v>235000</v>
      </c>
      <c r="AH1536" s="7">
        <v>0</v>
      </c>
      <c r="AI1536" s="7">
        <v>235000</v>
      </c>
      <c r="AJ1536" t="s">
        <v>108</v>
      </c>
    </row>
    <row r="1537" spans="14:36" x14ac:dyDescent="0.3">
      <c r="N1537" s="8">
        <v>2026</v>
      </c>
      <c r="O1537" s="8">
        <v>4</v>
      </c>
      <c r="P1537" s="9">
        <v>46137</v>
      </c>
      <c r="Q1537" t="s">
        <v>238</v>
      </c>
      <c r="R1537" t="s">
        <v>425</v>
      </c>
      <c r="S1537" t="s">
        <v>426</v>
      </c>
      <c r="T1537" t="s">
        <v>1112</v>
      </c>
      <c r="U1537" t="s">
        <v>1113</v>
      </c>
      <c r="V1537" t="s">
        <v>246</v>
      </c>
      <c r="W1537" t="s">
        <v>244</v>
      </c>
      <c r="X1537" t="s">
        <v>2068</v>
      </c>
      <c r="Y1537" t="s">
        <v>191</v>
      </c>
      <c r="Z1537" t="s">
        <v>335</v>
      </c>
      <c r="AA1537" t="s">
        <v>336</v>
      </c>
      <c r="AB1537" t="s">
        <v>1146</v>
      </c>
      <c r="AC1537" t="s">
        <v>1147</v>
      </c>
      <c r="AD1537" t="s">
        <v>1148</v>
      </c>
      <c r="AE1537" s="7">
        <v>54450</v>
      </c>
      <c r="AF1537" s="7">
        <v>1</v>
      </c>
      <c r="AG1537" s="7">
        <v>54450</v>
      </c>
      <c r="AH1537" s="7">
        <v>0</v>
      </c>
      <c r="AI1537" s="7">
        <v>54450</v>
      </c>
      <c r="AJ1537" t="s">
        <v>1147</v>
      </c>
    </row>
    <row r="1538" spans="14:36" x14ac:dyDescent="0.3">
      <c r="N1538" s="8">
        <v>2026</v>
      </c>
      <c r="O1538" s="8">
        <v>4</v>
      </c>
      <c r="P1538" s="9">
        <v>46136</v>
      </c>
      <c r="Q1538" t="s">
        <v>238</v>
      </c>
      <c r="R1538" t="s">
        <v>239</v>
      </c>
      <c r="S1538" t="s">
        <v>240</v>
      </c>
      <c r="T1538" t="s">
        <v>251</v>
      </c>
      <c r="U1538" t="s">
        <v>4003</v>
      </c>
      <c r="V1538" t="s">
        <v>246</v>
      </c>
      <c r="W1538" t="s">
        <v>244</v>
      </c>
      <c r="X1538" t="s">
        <v>2069</v>
      </c>
      <c r="Y1538" t="s">
        <v>194</v>
      </c>
      <c r="Z1538" t="s">
        <v>200</v>
      </c>
      <c r="AA1538" t="s">
        <v>201</v>
      </c>
      <c r="AB1538" t="s">
        <v>80</v>
      </c>
      <c r="AC1538" t="s">
        <v>78</v>
      </c>
      <c r="AD1538" t="s">
        <v>79</v>
      </c>
      <c r="AE1538" s="7">
        <v>14000</v>
      </c>
      <c r="AF1538" s="7">
        <v>1</v>
      </c>
      <c r="AG1538" s="7">
        <v>14000</v>
      </c>
      <c r="AH1538" s="7">
        <v>0</v>
      </c>
      <c r="AI1538" s="7">
        <v>14000</v>
      </c>
      <c r="AJ1538" t="s">
        <v>78</v>
      </c>
    </row>
    <row r="1539" spans="14:36" x14ac:dyDescent="0.3">
      <c r="N1539" s="8">
        <v>2026</v>
      </c>
      <c r="O1539" s="8">
        <v>4</v>
      </c>
      <c r="P1539" s="9">
        <v>46136</v>
      </c>
      <c r="Q1539" t="s">
        <v>238</v>
      </c>
      <c r="R1539" t="s">
        <v>239</v>
      </c>
      <c r="S1539" t="s">
        <v>240</v>
      </c>
      <c r="T1539" t="s">
        <v>832</v>
      </c>
      <c r="U1539" t="s">
        <v>4090</v>
      </c>
      <c r="V1539" t="s">
        <v>246</v>
      </c>
      <c r="W1539" t="s">
        <v>244</v>
      </c>
      <c r="X1539" t="s">
        <v>2070</v>
      </c>
      <c r="Y1539" t="s">
        <v>168</v>
      </c>
      <c r="Z1539" t="s">
        <v>181</v>
      </c>
      <c r="AA1539" t="s">
        <v>182</v>
      </c>
      <c r="AB1539" t="s">
        <v>53</v>
      </c>
      <c r="AC1539" t="s">
        <v>51</v>
      </c>
      <c r="AD1539" t="s">
        <v>52</v>
      </c>
      <c r="AE1539" s="7">
        <v>45000</v>
      </c>
      <c r="AF1539" s="7">
        <v>1</v>
      </c>
      <c r="AG1539" s="7">
        <v>45000</v>
      </c>
      <c r="AH1539" s="7">
        <v>0</v>
      </c>
      <c r="AI1539" s="7">
        <v>45000</v>
      </c>
      <c r="AJ1539" t="s">
        <v>51</v>
      </c>
    </row>
    <row r="1540" spans="14:36" x14ac:dyDescent="0.3">
      <c r="N1540" s="8">
        <v>2026</v>
      </c>
      <c r="O1540" s="8">
        <v>4</v>
      </c>
      <c r="P1540" s="9">
        <v>46136</v>
      </c>
      <c r="Q1540" t="s">
        <v>238</v>
      </c>
      <c r="R1540" t="s">
        <v>239</v>
      </c>
      <c r="S1540" t="s">
        <v>240</v>
      </c>
      <c r="T1540" t="s">
        <v>724</v>
      </c>
      <c r="U1540" t="s">
        <v>3866</v>
      </c>
      <c r="V1540" t="s">
        <v>246</v>
      </c>
      <c r="W1540" t="s">
        <v>244</v>
      </c>
      <c r="X1540" t="s">
        <v>2071</v>
      </c>
      <c r="Y1540" t="s">
        <v>194</v>
      </c>
      <c r="Z1540" t="s">
        <v>200</v>
      </c>
      <c r="AA1540" t="s">
        <v>201</v>
      </c>
      <c r="AB1540" t="s">
        <v>89</v>
      </c>
      <c r="AC1540" t="s">
        <v>87</v>
      </c>
      <c r="AD1540" t="s">
        <v>88</v>
      </c>
      <c r="AE1540" s="7">
        <v>46000</v>
      </c>
      <c r="AF1540" s="7">
        <v>1</v>
      </c>
      <c r="AG1540" s="7">
        <v>46000</v>
      </c>
      <c r="AH1540" s="7">
        <v>0</v>
      </c>
      <c r="AI1540" s="7">
        <v>46000</v>
      </c>
      <c r="AJ1540" t="s">
        <v>87</v>
      </c>
    </row>
    <row r="1541" spans="14:36" x14ac:dyDescent="0.3">
      <c r="N1541" s="8">
        <v>2026</v>
      </c>
      <c r="O1541" s="8">
        <v>4</v>
      </c>
      <c r="P1541" s="9">
        <v>46136</v>
      </c>
      <c r="Q1541" t="s">
        <v>238</v>
      </c>
      <c r="R1541" t="s">
        <v>279</v>
      </c>
      <c r="S1541" t="s">
        <v>280</v>
      </c>
      <c r="T1541" t="s">
        <v>2072</v>
      </c>
      <c r="U1541" t="s">
        <v>4091</v>
      </c>
      <c r="V1541" t="s">
        <v>246</v>
      </c>
      <c r="W1541" t="s">
        <v>244</v>
      </c>
      <c r="X1541" t="s">
        <v>2073</v>
      </c>
      <c r="Y1541" t="s">
        <v>191</v>
      </c>
      <c r="Z1541" t="s">
        <v>192</v>
      </c>
      <c r="AA1541" t="s">
        <v>283</v>
      </c>
      <c r="AB1541" t="s">
        <v>107</v>
      </c>
      <c r="AC1541" t="s">
        <v>105</v>
      </c>
      <c r="AD1541" t="s">
        <v>106</v>
      </c>
      <c r="AE1541" s="7">
        <v>235000</v>
      </c>
      <c r="AF1541" s="7">
        <v>1</v>
      </c>
      <c r="AG1541" s="7">
        <v>235000</v>
      </c>
      <c r="AH1541" s="7">
        <v>0</v>
      </c>
      <c r="AI1541" s="7">
        <v>235000</v>
      </c>
      <c r="AJ1541" t="s">
        <v>105</v>
      </c>
    </row>
    <row r="1542" spans="14:36" x14ac:dyDescent="0.3">
      <c r="N1542" s="8">
        <v>2026</v>
      </c>
      <c r="O1542" s="8">
        <v>4</v>
      </c>
      <c r="P1542" s="9">
        <v>46136</v>
      </c>
      <c r="Q1542" t="s">
        <v>238</v>
      </c>
      <c r="R1542" t="s">
        <v>279</v>
      </c>
      <c r="S1542" t="s">
        <v>280</v>
      </c>
      <c r="T1542" t="s">
        <v>2076</v>
      </c>
      <c r="U1542" t="s">
        <v>4027</v>
      </c>
      <c r="V1542" t="s">
        <v>246</v>
      </c>
      <c r="W1542" t="s">
        <v>244</v>
      </c>
      <c r="X1542" t="s">
        <v>2077</v>
      </c>
      <c r="Y1542" t="s">
        <v>191</v>
      </c>
      <c r="Z1542" t="s">
        <v>335</v>
      </c>
      <c r="AA1542" t="s">
        <v>336</v>
      </c>
      <c r="AB1542" t="s">
        <v>1146</v>
      </c>
      <c r="AC1542" t="s">
        <v>1147</v>
      </c>
      <c r="AD1542" t="s">
        <v>1148</v>
      </c>
      <c r="AE1542" s="7">
        <v>54450</v>
      </c>
      <c r="AF1542" s="7">
        <v>2</v>
      </c>
      <c r="AG1542" s="7">
        <v>108900</v>
      </c>
      <c r="AH1542" s="7">
        <v>0</v>
      </c>
      <c r="AI1542" s="7">
        <v>108900</v>
      </c>
      <c r="AJ1542" t="s">
        <v>1147</v>
      </c>
    </row>
    <row r="1543" spans="14:36" x14ac:dyDescent="0.3">
      <c r="N1543" s="8">
        <v>2026</v>
      </c>
      <c r="O1543" s="8">
        <v>4</v>
      </c>
      <c r="P1543" s="9">
        <v>46136</v>
      </c>
      <c r="Q1543" t="s">
        <v>238</v>
      </c>
      <c r="R1543" t="s">
        <v>303</v>
      </c>
      <c r="S1543" t="s">
        <v>304</v>
      </c>
      <c r="T1543" t="s">
        <v>2078</v>
      </c>
      <c r="U1543" t="s">
        <v>4092</v>
      </c>
      <c r="V1543" t="s">
        <v>246</v>
      </c>
      <c r="W1543" t="s">
        <v>244</v>
      </c>
      <c r="X1543" t="s">
        <v>2079</v>
      </c>
      <c r="Y1543" t="s">
        <v>191</v>
      </c>
      <c r="Z1543" t="s">
        <v>192</v>
      </c>
      <c r="AA1543" t="s">
        <v>193</v>
      </c>
      <c r="AB1543" t="s">
        <v>116</v>
      </c>
      <c r="AC1543" t="s">
        <v>114</v>
      </c>
      <c r="AD1543" t="s">
        <v>115</v>
      </c>
      <c r="AE1543" s="7">
        <v>235000</v>
      </c>
      <c r="AF1543" s="7">
        <v>1</v>
      </c>
      <c r="AG1543" s="7">
        <v>235000</v>
      </c>
      <c r="AH1543" s="7">
        <v>0</v>
      </c>
      <c r="AI1543" s="7">
        <v>235000</v>
      </c>
      <c r="AJ1543" t="s">
        <v>114</v>
      </c>
    </row>
    <row r="1544" spans="14:36" x14ac:dyDescent="0.3">
      <c r="N1544" s="8">
        <v>2026</v>
      </c>
      <c r="O1544" s="8">
        <v>4</v>
      </c>
      <c r="P1544" s="9">
        <v>46136</v>
      </c>
      <c r="Q1544" t="s">
        <v>238</v>
      </c>
      <c r="R1544" t="s">
        <v>303</v>
      </c>
      <c r="S1544" t="s">
        <v>304</v>
      </c>
      <c r="T1544" t="s">
        <v>2080</v>
      </c>
      <c r="U1544" t="s">
        <v>1853</v>
      </c>
      <c r="V1544" t="s">
        <v>246</v>
      </c>
      <c r="W1544" t="s">
        <v>244</v>
      </c>
      <c r="X1544" t="s">
        <v>2081</v>
      </c>
      <c r="Y1544" t="s">
        <v>191</v>
      </c>
      <c r="Z1544" t="s">
        <v>192</v>
      </c>
      <c r="AA1544" t="s">
        <v>283</v>
      </c>
      <c r="AB1544" t="s">
        <v>110</v>
      </c>
      <c r="AC1544" t="s">
        <v>108</v>
      </c>
      <c r="AD1544" t="s">
        <v>109</v>
      </c>
      <c r="AE1544" s="7">
        <v>235000</v>
      </c>
      <c r="AF1544" s="7">
        <v>1</v>
      </c>
      <c r="AG1544" s="7">
        <v>235000</v>
      </c>
      <c r="AH1544" s="7">
        <v>0</v>
      </c>
      <c r="AI1544" s="7">
        <v>235000</v>
      </c>
      <c r="AJ1544" t="s">
        <v>108</v>
      </c>
    </row>
    <row r="1545" spans="14:36" x14ac:dyDescent="0.3">
      <c r="N1545" s="8">
        <v>2026</v>
      </c>
      <c r="O1545" s="8">
        <v>4</v>
      </c>
      <c r="P1545" s="9">
        <v>46136</v>
      </c>
      <c r="Q1545" t="s">
        <v>238</v>
      </c>
      <c r="R1545" t="s">
        <v>351</v>
      </c>
      <c r="S1545" t="s">
        <v>352</v>
      </c>
      <c r="T1545" t="s">
        <v>2083</v>
      </c>
      <c r="U1545" t="s">
        <v>2084</v>
      </c>
      <c r="V1545" t="s">
        <v>246</v>
      </c>
      <c r="W1545" t="s">
        <v>244</v>
      </c>
      <c r="X1545" t="s">
        <v>2085</v>
      </c>
      <c r="Y1545" t="s">
        <v>191</v>
      </c>
      <c r="Z1545" t="s">
        <v>335</v>
      </c>
      <c r="AA1545" t="s">
        <v>336</v>
      </c>
      <c r="AB1545" t="s">
        <v>1146</v>
      </c>
      <c r="AC1545" t="s">
        <v>1147</v>
      </c>
      <c r="AD1545" t="s">
        <v>1148</v>
      </c>
      <c r="AE1545" s="7">
        <v>54450</v>
      </c>
      <c r="AF1545" s="7">
        <v>1</v>
      </c>
      <c r="AG1545" s="7">
        <v>54450</v>
      </c>
      <c r="AH1545" s="7">
        <v>0</v>
      </c>
      <c r="AI1545" s="7">
        <v>54450</v>
      </c>
      <c r="AJ1545" t="s">
        <v>1147</v>
      </c>
    </row>
    <row r="1546" spans="14:36" x14ac:dyDescent="0.3">
      <c r="N1546" s="8">
        <v>2026</v>
      </c>
      <c r="O1546" s="8">
        <v>4</v>
      </c>
      <c r="P1546" s="9">
        <v>46136</v>
      </c>
      <c r="Q1546" t="s">
        <v>238</v>
      </c>
      <c r="R1546" t="s">
        <v>351</v>
      </c>
      <c r="S1546" t="s">
        <v>352</v>
      </c>
      <c r="T1546" t="s">
        <v>2086</v>
      </c>
      <c r="U1546" t="s">
        <v>481</v>
      </c>
      <c r="V1546" t="s">
        <v>246</v>
      </c>
      <c r="W1546" t="s">
        <v>244</v>
      </c>
      <c r="X1546" t="s">
        <v>2087</v>
      </c>
      <c r="Y1546" t="s">
        <v>191</v>
      </c>
      <c r="Z1546" t="s">
        <v>335</v>
      </c>
      <c r="AA1546" t="s">
        <v>336</v>
      </c>
      <c r="AB1546" t="s">
        <v>1146</v>
      </c>
      <c r="AC1546" t="s">
        <v>1147</v>
      </c>
      <c r="AD1546" t="s">
        <v>1148</v>
      </c>
      <c r="AE1546" s="7">
        <v>54450</v>
      </c>
      <c r="AF1546" s="7">
        <v>1</v>
      </c>
      <c r="AG1546" s="7">
        <v>54450</v>
      </c>
      <c r="AH1546" s="7">
        <v>0</v>
      </c>
      <c r="AI1546" s="7">
        <v>54450</v>
      </c>
      <c r="AJ1546" t="s">
        <v>1147</v>
      </c>
    </row>
    <row r="1547" spans="14:36" x14ac:dyDescent="0.3">
      <c r="N1547" s="8">
        <v>2026</v>
      </c>
      <c r="O1547" s="8">
        <v>4</v>
      </c>
      <c r="P1547" s="9">
        <v>46136</v>
      </c>
      <c r="Q1547" t="s">
        <v>238</v>
      </c>
      <c r="R1547" t="s">
        <v>374</v>
      </c>
      <c r="S1547" t="s">
        <v>375</v>
      </c>
      <c r="T1547" t="s">
        <v>1610</v>
      </c>
      <c r="U1547" t="s">
        <v>4093</v>
      </c>
      <c r="V1547" t="s">
        <v>246</v>
      </c>
      <c r="W1547" t="s">
        <v>244</v>
      </c>
      <c r="X1547" t="s">
        <v>2089</v>
      </c>
      <c r="Y1547" t="s">
        <v>168</v>
      </c>
      <c r="Z1547" t="s">
        <v>181</v>
      </c>
      <c r="AA1547" t="s">
        <v>182</v>
      </c>
      <c r="AB1547" t="s">
        <v>53</v>
      </c>
      <c r="AC1547" t="s">
        <v>51</v>
      </c>
      <c r="AD1547" t="s">
        <v>52</v>
      </c>
      <c r="AE1547" s="7">
        <v>45000</v>
      </c>
      <c r="AF1547" s="7">
        <v>1</v>
      </c>
      <c r="AG1547" s="7">
        <v>45000</v>
      </c>
      <c r="AH1547" s="7">
        <v>0</v>
      </c>
      <c r="AI1547" s="7">
        <v>45000</v>
      </c>
      <c r="AJ1547" t="s">
        <v>51</v>
      </c>
    </row>
    <row r="1548" spans="14:36" x14ac:dyDescent="0.3">
      <c r="N1548" s="8">
        <v>2026</v>
      </c>
      <c r="O1548" s="8">
        <v>4</v>
      </c>
      <c r="P1548" s="9">
        <v>46136</v>
      </c>
      <c r="Q1548" t="s">
        <v>238</v>
      </c>
      <c r="R1548" t="s">
        <v>374</v>
      </c>
      <c r="S1548" t="s">
        <v>375</v>
      </c>
      <c r="T1548" t="s">
        <v>2090</v>
      </c>
      <c r="U1548" t="s">
        <v>353</v>
      </c>
      <c r="V1548" t="s">
        <v>246</v>
      </c>
      <c r="W1548" t="s">
        <v>244</v>
      </c>
      <c r="X1548" t="s">
        <v>2091</v>
      </c>
      <c r="Y1548" t="s">
        <v>191</v>
      </c>
      <c r="Z1548" t="s">
        <v>192</v>
      </c>
      <c r="AA1548" t="s">
        <v>193</v>
      </c>
      <c r="AB1548" t="s">
        <v>119</v>
      </c>
      <c r="AC1548" t="s">
        <v>117</v>
      </c>
      <c r="AD1548" t="s">
        <v>118</v>
      </c>
      <c r="AE1548" s="7">
        <v>235000</v>
      </c>
      <c r="AF1548" s="7">
        <v>1</v>
      </c>
      <c r="AG1548" s="7">
        <v>235000</v>
      </c>
      <c r="AH1548" s="7">
        <v>0</v>
      </c>
      <c r="AI1548" s="7">
        <v>235000</v>
      </c>
      <c r="AJ1548" t="s">
        <v>117</v>
      </c>
    </row>
    <row r="1549" spans="14:36" x14ac:dyDescent="0.3">
      <c r="N1549" s="8">
        <v>2026</v>
      </c>
      <c r="O1549" s="8">
        <v>4</v>
      </c>
      <c r="P1549" s="9">
        <v>46136</v>
      </c>
      <c r="Q1549" t="s">
        <v>238</v>
      </c>
      <c r="R1549" t="s">
        <v>396</v>
      </c>
      <c r="S1549" t="s">
        <v>397</v>
      </c>
      <c r="T1549" t="s">
        <v>845</v>
      </c>
      <c r="U1549" t="s">
        <v>846</v>
      </c>
      <c r="V1549" t="s">
        <v>246</v>
      </c>
      <c r="W1549" t="s">
        <v>244</v>
      </c>
      <c r="X1549" t="s">
        <v>2092</v>
      </c>
      <c r="Y1549" t="s">
        <v>183</v>
      </c>
      <c r="Z1549" t="s">
        <v>186</v>
      </c>
      <c r="AA1549" t="s">
        <v>188</v>
      </c>
      <c r="AB1549" t="s">
        <v>98</v>
      </c>
      <c r="AC1549" t="s">
        <v>96</v>
      </c>
      <c r="AD1549" t="s">
        <v>97</v>
      </c>
      <c r="AE1549" s="7">
        <v>239000</v>
      </c>
      <c r="AF1549" s="7">
        <v>1</v>
      </c>
      <c r="AG1549" s="7">
        <v>239000</v>
      </c>
      <c r="AH1549" s="7">
        <v>0</v>
      </c>
      <c r="AI1549" s="7">
        <v>239000</v>
      </c>
      <c r="AJ1549" t="s">
        <v>96</v>
      </c>
    </row>
    <row r="1550" spans="14:36" x14ac:dyDescent="0.3">
      <c r="N1550" s="8">
        <v>2026</v>
      </c>
      <c r="O1550" s="8">
        <v>4</v>
      </c>
      <c r="P1550" s="9">
        <v>46136</v>
      </c>
      <c r="Q1550" t="s">
        <v>238</v>
      </c>
      <c r="R1550" t="s">
        <v>396</v>
      </c>
      <c r="S1550" t="s">
        <v>397</v>
      </c>
      <c r="T1550" t="s">
        <v>845</v>
      </c>
      <c r="U1550" t="s">
        <v>846</v>
      </c>
      <c r="V1550" t="s">
        <v>246</v>
      </c>
      <c r="W1550" t="s">
        <v>244</v>
      </c>
      <c r="X1550" t="s">
        <v>2092</v>
      </c>
      <c r="Y1550" t="s">
        <v>183</v>
      </c>
      <c r="Z1550" t="s">
        <v>186</v>
      </c>
      <c r="AA1550" t="s">
        <v>188</v>
      </c>
      <c r="AB1550" t="s">
        <v>95</v>
      </c>
      <c r="AC1550" t="s">
        <v>93</v>
      </c>
      <c r="AD1550" t="s">
        <v>94</v>
      </c>
      <c r="AE1550" s="7">
        <v>239000</v>
      </c>
      <c r="AF1550" s="7">
        <v>1</v>
      </c>
      <c r="AG1550" s="7">
        <v>239000</v>
      </c>
      <c r="AH1550" s="7">
        <v>0</v>
      </c>
      <c r="AI1550" s="7">
        <v>239000</v>
      </c>
      <c r="AJ1550" t="s">
        <v>93</v>
      </c>
    </row>
    <row r="1551" spans="14:36" x14ac:dyDescent="0.3">
      <c r="N1551" s="8">
        <v>2026</v>
      </c>
      <c r="O1551" s="8">
        <v>4</v>
      </c>
      <c r="P1551" s="9">
        <v>46136</v>
      </c>
      <c r="Q1551" t="s">
        <v>238</v>
      </c>
      <c r="R1551" t="s">
        <v>396</v>
      </c>
      <c r="S1551" t="s">
        <v>397</v>
      </c>
      <c r="T1551" t="s">
        <v>2094</v>
      </c>
      <c r="U1551" t="s">
        <v>2095</v>
      </c>
      <c r="V1551" t="s">
        <v>246</v>
      </c>
      <c r="W1551" t="s">
        <v>244</v>
      </c>
      <c r="X1551" t="s">
        <v>2096</v>
      </c>
      <c r="Y1551" t="s">
        <v>191</v>
      </c>
      <c r="Z1551" t="s">
        <v>192</v>
      </c>
      <c r="AA1551" t="s">
        <v>283</v>
      </c>
      <c r="AB1551" t="s">
        <v>104</v>
      </c>
      <c r="AC1551" t="s">
        <v>102</v>
      </c>
      <c r="AD1551" t="s">
        <v>103</v>
      </c>
      <c r="AE1551" s="7">
        <v>235000</v>
      </c>
      <c r="AF1551" s="7">
        <v>1</v>
      </c>
      <c r="AG1551" s="7">
        <v>235000</v>
      </c>
      <c r="AH1551" s="7">
        <v>0</v>
      </c>
      <c r="AI1551" s="7">
        <v>235000</v>
      </c>
      <c r="AJ1551" t="s">
        <v>102</v>
      </c>
    </row>
    <row r="1552" spans="14:36" x14ac:dyDescent="0.3">
      <c r="N1552" s="8">
        <v>2026</v>
      </c>
      <c r="O1552" s="8">
        <v>4</v>
      </c>
      <c r="P1552" s="9">
        <v>46136</v>
      </c>
      <c r="Q1552" t="s">
        <v>238</v>
      </c>
      <c r="R1552" t="s">
        <v>396</v>
      </c>
      <c r="S1552" t="s">
        <v>397</v>
      </c>
      <c r="T1552" t="s">
        <v>2094</v>
      </c>
      <c r="U1552" t="s">
        <v>2095</v>
      </c>
      <c r="V1552" t="s">
        <v>246</v>
      </c>
      <c r="W1552" t="s">
        <v>244</v>
      </c>
      <c r="X1552" t="s">
        <v>2096</v>
      </c>
      <c r="Y1552" t="s">
        <v>191</v>
      </c>
      <c r="Z1552" t="s">
        <v>192</v>
      </c>
      <c r="AA1552" t="s">
        <v>283</v>
      </c>
      <c r="AB1552" t="s">
        <v>110</v>
      </c>
      <c r="AC1552" t="s">
        <v>108</v>
      </c>
      <c r="AD1552" t="s">
        <v>109</v>
      </c>
      <c r="AE1552" s="7">
        <v>235000</v>
      </c>
      <c r="AF1552" s="7">
        <v>1</v>
      </c>
      <c r="AG1552" s="7">
        <v>235000</v>
      </c>
      <c r="AH1552" s="7">
        <v>0</v>
      </c>
      <c r="AI1552" s="7">
        <v>235000</v>
      </c>
      <c r="AJ1552" t="s">
        <v>108</v>
      </c>
    </row>
    <row r="1553" spans="14:36" x14ac:dyDescent="0.3">
      <c r="N1553" s="8">
        <v>2026</v>
      </c>
      <c r="O1553" s="8">
        <v>4</v>
      </c>
      <c r="P1553" s="9">
        <v>46136</v>
      </c>
      <c r="Q1553" t="s">
        <v>238</v>
      </c>
      <c r="R1553" t="s">
        <v>425</v>
      </c>
      <c r="S1553" t="s">
        <v>426</v>
      </c>
      <c r="T1553" t="s">
        <v>2098</v>
      </c>
      <c r="U1553" t="s">
        <v>4071</v>
      </c>
      <c r="V1553" t="s">
        <v>246</v>
      </c>
      <c r="W1553" t="s">
        <v>244</v>
      </c>
      <c r="X1553" t="s">
        <v>2099</v>
      </c>
      <c r="Y1553" t="s">
        <v>194</v>
      </c>
      <c r="Z1553" t="s">
        <v>200</v>
      </c>
      <c r="AA1553" t="s">
        <v>201</v>
      </c>
      <c r="AB1553" t="s">
        <v>80</v>
      </c>
      <c r="AC1553" t="s">
        <v>78</v>
      </c>
      <c r="AD1553" t="s">
        <v>79</v>
      </c>
      <c r="AE1553" s="7">
        <v>14000</v>
      </c>
      <c r="AF1553" s="7">
        <v>1</v>
      </c>
      <c r="AG1553" s="7">
        <v>14000</v>
      </c>
      <c r="AH1553" s="7">
        <v>0</v>
      </c>
      <c r="AI1553" s="7">
        <v>14000</v>
      </c>
      <c r="AJ1553" t="s">
        <v>78</v>
      </c>
    </row>
    <row r="1554" spans="14:36" x14ac:dyDescent="0.3">
      <c r="N1554" s="8">
        <v>2026</v>
      </c>
      <c r="O1554" s="8">
        <v>4</v>
      </c>
      <c r="P1554" s="9">
        <v>46136</v>
      </c>
      <c r="Q1554" t="s">
        <v>238</v>
      </c>
      <c r="R1554" t="s">
        <v>425</v>
      </c>
      <c r="S1554" t="s">
        <v>426</v>
      </c>
      <c r="T1554" t="s">
        <v>2100</v>
      </c>
      <c r="U1554" t="s">
        <v>2101</v>
      </c>
      <c r="V1554" t="s">
        <v>246</v>
      </c>
      <c r="W1554" t="s">
        <v>244</v>
      </c>
      <c r="X1554" t="s">
        <v>2102</v>
      </c>
      <c r="Y1554" t="s">
        <v>168</v>
      </c>
      <c r="Z1554" t="s">
        <v>181</v>
      </c>
      <c r="AA1554" t="s">
        <v>182</v>
      </c>
      <c r="AB1554" t="s">
        <v>53</v>
      </c>
      <c r="AC1554" t="s">
        <v>51</v>
      </c>
      <c r="AD1554" t="s">
        <v>52</v>
      </c>
      <c r="AE1554" s="7">
        <v>45000</v>
      </c>
      <c r="AF1554" s="7">
        <v>1</v>
      </c>
      <c r="AG1554" s="7">
        <v>45000</v>
      </c>
      <c r="AH1554" s="7">
        <v>0</v>
      </c>
      <c r="AI1554" s="7">
        <v>45000</v>
      </c>
      <c r="AJ1554" t="s">
        <v>51</v>
      </c>
    </row>
    <row r="1555" spans="14:36" x14ac:dyDescent="0.3">
      <c r="N1555" s="8">
        <v>2026</v>
      </c>
      <c r="O1555" s="8">
        <v>4</v>
      </c>
      <c r="P1555" s="9">
        <v>46136</v>
      </c>
      <c r="Q1555" t="s">
        <v>238</v>
      </c>
      <c r="R1555" t="s">
        <v>425</v>
      </c>
      <c r="S1555" t="s">
        <v>426</v>
      </c>
      <c r="T1555" t="s">
        <v>2103</v>
      </c>
      <c r="U1555" t="s">
        <v>311</v>
      </c>
      <c r="V1555" t="s">
        <v>249</v>
      </c>
      <c r="W1555" t="s">
        <v>244</v>
      </c>
      <c r="X1555" t="s">
        <v>2104</v>
      </c>
      <c r="Y1555" t="s">
        <v>191</v>
      </c>
      <c r="Z1555" t="s">
        <v>335</v>
      </c>
      <c r="AA1555" t="s">
        <v>336</v>
      </c>
      <c r="AB1555" t="s">
        <v>1146</v>
      </c>
      <c r="AC1555" t="s">
        <v>1147</v>
      </c>
      <c r="AD1555" t="s">
        <v>1148</v>
      </c>
      <c r="AE1555" s="7">
        <v>54450</v>
      </c>
      <c r="AF1555" s="7">
        <v>1</v>
      </c>
      <c r="AG1555" s="7">
        <v>54450</v>
      </c>
      <c r="AH1555" s="7">
        <v>0</v>
      </c>
      <c r="AI1555" s="7">
        <v>54450</v>
      </c>
      <c r="AJ1555" t="s">
        <v>1147</v>
      </c>
    </row>
    <row r="1556" spans="14:36" x14ac:dyDescent="0.3">
      <c r="N1556" s="8">
        <v>2026</v>
      </c>
      <c r="O1556" s="8">
        <v>4</v>
      </c>
      <c r="P1556" s="9">
        <v>46136</v>
      </c>
      <c r="Q1556" t="s">
        <v>238</v>
      </c>
      <c r="R1556" t="s">
        <v>425</v>
      </c>
      <c r="S1556" t="s">
        <v>426</v>
      </c>
      <c r="T1556" t="s">
        <v>2105</v>
      </c>
      <c r="U1556" t="s">
        <v>4094</v>
      </c>
      <c r="V1556" t="s">
        <v>246</v>
      </c>
      <c r="W1556" t="s">
        <v>244</v>
      </c>
      <c r="X1556" t="s">
        <v>2106</v>
      </c>
      <c r="Y1556" t="s">
        <v>191</v>
      </c>
      <c r="Z1556" t="s">
        <v>335</v>
      </c>
      <c r="AA1556" t="s">
        <v>336</v>
      </c>
      <c r="AB1556" t="s">
        <v>1518</v>
      </c>
      <c r="AC1556" t="s">
        <v>1519</v>
      </c>
      <c r="AD1556" t="s">
        <v>1520</v>
      </c>
      <c r="AE1556" s="7">
        <v>54450</v>
      </c>
      <c r="AF1556" s="7">
        <v>1</v>
      </c>
      <c r="AG1556" s="7">
        <v>54450</v>
      </c>
      <c r="AH1556" s="7">
        <v>0</v>
      </c>
      <c r="AI1556" s="7">
        <v>54450</v>
      </c>
      <c r="AJ1556" t="s">
        <v>1519</v>
      </c>
    </row>
    <row r="1557" spans="14:36" x14ac:dyDescent="0.3">
      <c r="N1557" s="8">
        <v>2026</v>
      </c>
      <c r="O1557" s="8">
        <v>4</v>
      </c>
      <c r="P1557" s="9">
        <v>46136</v>
      </c>
      <c r="Q1557" t="s">
        <v>238</v>
      </c>
      <c r="R1557" t="s">
        <v>425</v>
      </c>
      <c r="S1557" t="s">
        <v>426</v>
      </c>
      <c r="T1557" t="s">
        <v>2107</v>
      </c>
      <c r="U1557" t="s">
        <v>1379</v>
      </c>
      <c r="V1557" t="s">
        <v>246</v>
      </c>
      <c r="W1557" t="s">
        <v>244</v>
      </c>
      <c r="X1557" t="s">
        <v>2108</v>
      </c>
      <c r="Y1557" t="s">
        <v>191</v>
      </c>
      <c r="Z1557" t="s">
        <v>335</v>
      </c>
      <c r="AA1557" t="s">
        <v>336</v>
      </c>
      <c r="AB1557" t="s">
        <v>1146</v>
      </c>
      <c r="AC1557" t="s">
        <v>1147</v>
      </c>
      <c r="AD1557" t="s">
        <v>1148</v>
      </c>
      <c r="AE1557" s="7">
        <v>54450</v>
      </c>
      <c r="AF1557" s="7">
        <v>1</v>
      </c>
      <c r="AG1557" s="7">
        <v>54450</v>
      </c>
      <c r="AH1557" s="7">
        <v>0</v>
      </c>
      <c r="AI1557" s="7">
        <v>54450</v>
      </c>
      <c r="AJ1557" t="s">
        <v>1147</v>
      </c>
    </row>
    <row r="1558" spans="14:36" x14ac:dyDescent="0.3">
      <c r="N1558" s="8">
        <v>2026</v>
      </c>
      <c r="O1558" s="8">
        <v>4</v>
      </c>
      <c r="P1558" s="9">
        <v>46135</v>
      </c>
      <c r="Q1558" t="s">
        <v>238</v>
      </c>
      <c r="R1558" t="s">
        <v>239</v>
      </c>
      <c r="S1558" t="s">
        <v>240</v>
      </c>
      <c r="T1558" t="s">
        <v>2109</v>
      </c>
      <c r="U1558" t="s">
        <v>4095</v>
      </c>
      <c r="V1558" t="s">
        <v>246</v>
      </c>
      <c r="W1558" t="s">
        <v>244</v>
      </c>
      <c r="X1558" t="s">
        <v>2110</v>
      </c>
      <c r="Y1558" t="s">
        <v>191</v>
      </c>
      <c r="Z1558" t="s">
        <v>192</v>
      </c>
      <c r="AA1558" t="s">
        <v>283</v>
      </c>
      <c r="AB1558" t="s">
        <v>104</v>
      </c>
      <c r="AC1558" t="s">
        <v>102</v>
      </c>
      <c r="AD1558" t="s">
        <v>103</v>
      </c>
      <c r="AE1558" s="7">
        <v>235000</v>
      </c>
      <c r="AF1558" s="7">
        <v>1</v>
      </c>
      <c r="AG1558" s="7">
        <v>235000</v>
      </c>
      <c r="AH1558" s="7">
        <v>0</v>
      </c>
      <c r="AI1558" s="7">
        <v>235000</v>
      </c>
      <c r="AJ1558" t="s">
        <v>102</v>
      </c>
    </row>
    <row r="1559" spans="14:36" x14ac:dyDescent="0.3">
      <c r="N1559" s="8">
        <v>2026</v>
      </c>
      <c r="O1559" s="8">
        <v>4</v>
      </c>
      <c r="P1559" s="9">
        <v>46135</v>
      </c>
      <c r="Q1559" t="s">
        <v>238</v>
      </c>
      <c r="R1559" t="s">
        <v>239</v>
      </c>
      <c r="S1559" t="s">
        <v>240</v>
      </c>
      <c r="T1559" t="s">
        <v>1010</v>
      </c>
      <c r="U1559" t="s">
        <v>4008</v>
      </c>
      <c r="V1559" t="s">
        <v>246</v>
      </c>
      <c r="W1559" t="s">
        <v>244</v>
      </c>
      <c r="X1559" t="s">
        <v>2111</v>
      </c>
      <c r="Y1559" t="s">
        <v>168</v>
      </c>
      <c r="Z1559" t="s">
        <v>181</v>
      </c>
      <c r="AA1559" t="s">
        <v>182</v>
      </c>
      <c r="AB1559" t="s">
        <v>47</v>
      </c>
      <c r="AC1559" t="s">
        <v>45</v>
      </c>
      <c r="AD1559" t="s">
        <v>46</v>
      </c>
      <c r="AE1559" s="7">
        <v>52000</v>
      </c>
      <c r="AF1559" s="7">
        <v>1</v>
      </c>
      <c r="AG1559" s="7">
        <v>52000</v>
      </c>
      <c r="AH1559" s="7">
        <v>0</v>
      </c>
      <c r="AI1559" s="7">
        <v>52000</v>
      </c>
      <c r="AJ1559" t="s">
        <v>45</v>
      </c>
    </row>
    <row r="1560" spans="14:36" x14ac:dyDescent="0.3">
      <c r="N1560" s="8">
        <v>2026</v>
      </c>
      <c r="O1560" s="8">
        <v>4</v>
      </c>
      <c r="P1560" s="9">
        <v>46135</v>
      </c>
      <c r="Q1560" t="s">
        <v>238</v>
      </c>
      <c r="R1560" t="s">
        <v>239</v>
      </c>
      <c r="S1560" t="s">
        <v>240</v>
      </c>
      <c r="T1560" t="s">
        <v>951</v>
      </c>
      <c r="U1560" t="s">
        <v>952</v>
      </c>
      <c r="V1560" t="s">
        <v>246</v>
      </c>
      <c r="W1560" t="s">
        <v>244</v>
      </c>
      <c r="X1560" t="s">
        <v>2112</v>
      </c>
      <c r="Y1560" t="s">
        <v>191</v>
      </c>
      <c r="Z1560" t="s">
        <v>335</v>
      </c>
      <c r="AA1560" t="s">
        <v>336</v>
      </c>
      <c r="AB1560" t="s">
        <v>1146</v>
      </c>
      <c r="AC1560" t="s">
        <v>1147</v>
      </c>
      <c r="AD1560" t="s">
        <v>1148</v>
      </c>
      <c r="AE1560" s="7">
        <v>54450</v>
      </c>
      <c r="AF1560" s="7">
        <v>1</v>
      </c>
      <c r="AG1560" s="7">
        <v>54450</v>
      </c>
      <c r="AH1560" s="7">
        <v>0</v>
      </c>
      <c r="AI1560" s="7">
        <v>54450</v>
      </c>
      <c r="AJ1560" t="s">
        <v>1147</v>
      </c>
    </row>
    <row r="1561" spans="14:36" x14ac:dyDescent="0.3">
      <c r="N1561" s="8">
        <v>2026</v>
      </c>
      <c r="O1561" s="8">
        <v>4</v>
      </c>
      <c r="P1561" s="9">
        <v>46135</v>
      </c>
      <c r="Q1561" t="s">
        <v>238</v>
      </c>
      <c r="R1561" t="s">
        <v>279</v>
      </c>
      <c r="S1561" t="s">
        <v>280</v>
      </c>
      <c r="T1561" t="s">
        <v>1445</v>
      </c>
      <c r="U1561" t="s">
        <v>1446</v>
      </c>
      <c r="V1561" t="s">
        <v>246</v>
      </c>
      <c r="W1561" t="s">
        <v>244</v>
      </c>
      <c r="X1561" t="s">
        <v>2116</v>
      </c>
      <c r="Y1561" t="s">
        <v>191</v>
      </c>
      <c r="Z1561" t="s">
        <v>192</v>
      </c>
      <c r="AA1561" t="s">
        <v>283</v>
      </c>
      <c r="AB1561" t="s">
        <v>110</v>
      </c>
      <c r="AC1561" t="s">
        <v>108</v>
      </c>
      <c r="AD1561" t="s">
        <v>109</v>
      </c>
      <c r="AE1561" s="7">
        <v>235000</v>
      </c>
      <c r="AF1561" s="7">
        <v>1</v>
      </c>
      <c r="AG1561" s="7">
        <v>235000</v>
      </c>
      <c r="AH1561" s="7">
        <v>0</v>
      </c>
      <c r="AI1561" s="7">
        <v>235000</v>
      </c>
      <c r="AJ1561" t="s">
        <v>108</v>
      </c>
    </row>
    <row r="1562" spans="14:36" x14ac:dyDescent="0.3">
      <c r="N1562" s="8">
        <v>2026</v>
      </c>
      <c r="O1562" s="8">
        <v>4</v>
      </c>
      <c r="P1562" s="9">
        <v>46135</v>
      </c>
      <c r="Q1562" t="s">
        <v>238</v>
      </c>
      <c r="R1562" t="s">
        <v>279</v>
      </c>
      <c r="S1562" t="s">
        <v>280</v>
      </c>
      <c r="T1562" t="s">
        <v>1402</v>
      </c>
      <c r="U1562" t="s">
        <v>3999</v>
      </c>
      <c r="V1562" t="s">
        <v>246</v>
      </c>
      <c r="W1562" t="s">
        <v>244</v>
      </c>
      <c r="X1562" t="s">
        <v>2117</v>
      </c>
      <c r="Y1562" t="s">
        <v>191</v>
      </c>
      <c r="Z1562" t="s">
        <v>192</v>
      </c>
      <c r="AA1562" t="s">
        <v>283</v>
      </c>
      <c r="AB1562" t="s">
        <v>110</v>
      </c>
      <c r="AC1562" t="s">
        <v>108</v>
      </c>
      <c r="AD1562" t="s">
        <v>109</v>
      </c>
      <c r="AE1562" s="7">
        <v>235000</v>
      </c>
      <c r="AF1562" s="7">
        <v>1</v>
      </c>
      <c r="AG1562" s="7">
        <v>235000</v>
      </c>
      <c r="AH1562" s="7">
        <v>0</v>
      </c>
      <c r="AI1562" s="7">
        <v>235000</v>
      </c>
      <c r="AJ1562" t="s">
        <v>108</v>
      </c>
    </row>
    <row r="1563" spans="14:36" x14ac:dyDescent="0.3">
      <c r="N1563" s="8">
        <v>2026</v>
      </c>
      <c r="O1563" s="8">
        <v>4</v>
      </c>
      <c r="P1563" s="9">
        <v>46135</v>
      </c>
      <c r="Q1563" t="s">
        <v>238</v>
      </c>
      <c r="R1563" t="s">
        <v>303</v>
      </c>
      <c r="S1563" t="s">
        <v>304</v>
      </c>
      <c r="T1563" t="s">
        <v>305</v>
      </c>
      <c r="U1563" t="s">
        <v>306</v>
      </c>
      <c r="V1563" t="s">
        <v>243</v>
      </c>
      <c r="W1563" t="s">
        <v>244</v>
      </c>
      <c r="X1563" t="s">
        <v>2118</v>
      </c>
      <c r="Y1563" t="s">
        <v>191</v>
      </c>
      <c r="Z1563" t="s">
        <v>192</v>
      </c>
      <c r="AA1563" t="s">
        <v>193</v>
      </c>
      <c r="AB1563" t="s">
        <v>119</v>
      </c>
      <c r="AC1563" t="s">
        <v>117</v>
      </c>
      <c r="AD1563" t="s">
        <v>118</v>
      </c>
      <c r="AE1563" s="7">
        <v>235000</v>
      </c>
      <c r="AF1563" s="7">
        <v>1</v>
      </c>
      <c r="AG1563" s="7">
        <v>235000</v>
      </c>
      <c r="AH1563" s="7">
        <v>0</v>
      </c>
      <c r="AI1563" s="7">
        <v>235000</v>
      </c>
      <c r="AJ1563" t="s">
        <v>117</v>
      </c>
    </row>
    <row r="1564" spans="14:36" x14ac:dyDescent="0.3">
      <c r="N1564" s="8">
        <v>2026</v>
      </c>
      <c r="O1564" s="8">
        <v>4</v>
      </c>
      <c r="P1564" s="9">
        <v>46135</v>
      </c>
      <c r="Q1564" t="s">
        <v>238</v>
      </c>
      <c r="R1564" t="s">
        <v>303</v>
      </c>
      <c r="S1564" t="s">
        <v>304</v>
      </c>
      <c r="T1564" t="s">
        <v>2119</v>
      </c>
      <c r="U1564" t="s">
        <v>299</v>
      </c>
      <c r="V1564" t="s">
        <v>246</v>
      </c>
      <c r="W1564" t="s">
        <v>244</v>
      </c>
      <c r="X1564" t="s">
        <v>2120</v>
      </c>
      <c r="Y1564" t="s">
        <v>168</v>
      </c>
      <c r="Z1564" t="s">
        <v>181</v>
      </c>
      <c r="AA1564" t="s">
        <v>182</v>
      </c>
      <c r="AB1564" t="s">
        <v>53</v>
      </c>
      <c r="AC1564" t="s">
        <v>51</v>
      </c>
      <c r="AD1564" t="s">
        <v>52</v>
      </c>
      <c r="AE1564" s="7">
        <v>45000</v>
      </c>
      <c r="AF1564" s="7">
        <v>1</v>
      </c>
      <c r="AG1564" s="7">
        <v>45000</v>
      </c>
      <c r="AH1564" s="7">
        <v>0</v>
      </c>
      <c r="AI1564" s="7">
        <v>45000</v>
      </c>
      <c r="AJ1564" t="s">
        <v>51</v>
      </c>
    </row>
    <row r="1565" spans="14:36" x14ac:dyDescent="0.3">
      <c r="N1565" s="8">
        <v>2026</v>
      </c>
      <c r="O1565" s="8">
        <v>4</v>
      </c>
      <c r="P1565" s="9">
        <v>46135</v>
      </c>
      <c r="Q1565" t="s">
        <v>238</v>
      </c>
      <c r="R1565" t="s">
        <v>303</v>
      </c>
      <c r="S1565" t="s">
        <v>304</v>
      </c>
      <c r="T1565" t="s">
        <v>701</v>
      </c>
      <c r="U1565" t="s">
        <v>464</v>
      </c>
      <c r="V1565" t="s">
        <v>246</v>
      </c>
      <c r="W1565" t="s">
        <v>244</v>
      </c>
      <c r="X1565" t="s">
        <v>2121</v>
      </c>
      <c r="Y1565" t="s">
        <v>191</v>
      </c>
      <c r="Z1565" t="s">
        <v>335</v>
      </c>
      <c r="AA1565" t="s">
        <v>337</v>
      </c>
      <c r="AB1565" t="s">
        <v>348</v>
      </c>
      <c r="AC1565" t="s">
        <v>349</v>
      </c>
      <c r="AD1565" t="s">
        <v>350</v>
      </c>
      <c r="AE1565" s="7">
        <v>76000</v>
      </c>
      <c r="AF1565" s="7">
        <v>1</v>
      </c>
      <c r="AG1565" s="7">
        <v>76000</v>
      </c>
      <c r="AH1565" s="7">
        <v>0</v>
      </c>
      <c r="AI1565" s="7">
        <v>76000</v>
      </c>
      <c r="AJ1565" t="s">
        <v>349</v>
      </c>
    </row>
    <row r="1566" spans="14:36" x14ac:dyDescent="0.3">
      <c r="N1566" s="8">
        <v>2026</v>
      </c>
      <c r="O1566" s="8">
        <v>4</v>
      </c>
      <c r="P1566" s="9">
        <v>46135</v>
      </c>
      <c r="Q1566" t="s">
        <v>238</v>
      </c>
      <c r="R1566" t="s">
        <v>351</v>
      </c>
      <c r="S1566" t="s">
        <v>352</v>
      </c>
      <c r="T1566" t="s">
        <v>1175</v>
      </c>
      <c r="U1566" t="s">
        <v>1176</v>
      </c>
      <c r="V1566" t="s">
        <v>246</v>
      </c>
      <c r="W1566" t="s">
        <v>244</v>
      </c>
      <c r="X1566" t="s">
        <v>2124</v>
      </c>
      <c r="Y1566" t="s">
        <v>168</v>
      </c>
      <c r="Z1566" t="s">
        <v>171</v>
      </c>
      <c r="AA1566" t="s">
        <v>175</v>
      </c>
      <c r="AB1566" t="s">
        <v>44</v>
      </c>
      <c r="AC1566" t="s">
        <v>42</v>
      </c>
      <c r="AD1566" t="s">
        <v>43</v>
      </c>
      <c r="AE1566" s="7">
        <v>294000</v>
      </c>
      <c r="AF1566" s="7">
        <v>1</v>
      </c>
      <c r="AG1566" s="7">
        <v>294000</v>
      </c>
      <c r="AH1566" s="7">
        <v>0</v>
      </c>
      <c r="AI1566" s="7">
        <v>294000</v>
      </c>
      <c r="AJ1566" t="s">
        <v>42</v>
      </c>
    </row>
    <row r="1567" spans="14:36" x14ac:dyDescent="0.3">
      <c r="N1567" s="8">
        <v>2026</v>
      </c>
      <c r="O1567" s="8">
        <v>4</v>
      </c>
      <c r="P1567" s="9">
        <v>46135</v>
      </c>
      <c r="Q1567" t="s">
        <v>238</v>
      </c>
      <c r="R1567" t="s">
        <v>374</v>
      </c>
      <c r="S1567" t="s">
        <v>375</v>
      </c>
      <c r="T1567" t="s">
        <v>1042</v>
      </c>
      <c r="U1567" t="s">
        <v>1043</v>
      </c>
      <c r="V1567" t="s">
        <v>246</v>
      </c>
      <c r="W1567" t="s">
        <v>244</v>
      </c>
      <c r="X1567" t="s">
        <v>2125</v>
      </c>
      <c r="Y1567" t="s">
        <v>191</v>
      </c>
      <c r="Z1567" t="s">
        <v>335</v>
      </c>
      <c r="AA1567" t="s">
        <v>337</v>
      </c>
      <c r="AB1567" t="s">
        <v>348</v>
      </c>
      <c r="AC1567" t="s">
        <v>349</v>
      </c>
      <c r="AD1567" t="s">
        <v>350</v>
      </c>
      <c r="AE1567" s="7">
        <v>76000</v>
      </c>
      <c r="AF1567" s="7">
        <v>2</v>
      </c>
      <c r="AG1567" s="7">
        <v>152000</v>
      </c>
      <c r="AH1567" s="7">
        <v>0</v>
      </c>
      <c r="AI1567" s="7">
        <v>152000</v>
      </c>
      <c r="AJ1567" t="s">
        <v>349</v>
      </c>
    </row>
    <row r="1568" spans="14:36" x14ac:dyDescent="0.3">
      <c r="N1568" s="8">
        <v>2026</v>
      </c>
      <c r="O1568" s="8">
        <v>4</v>
      </c>
      <c r="P1568" s="9">
        <v>46135</v>
      </c>
      <c r="Q1568" t="s">
        <v>238</v>
      </c>
      <c r="R1568" t="s">
        <v>396</v>
      </c>
      <c r="S1568" t="s">
        <v>397</v>
      </c>
      <c r="T1568" t="s">
        <v>1278</v>
      </c>
      <c r="U1568" t="s">
        <v>4071</v>
      </c>
      <c r="V1568" t="s">
        <v>246</v>
      </c>
      <c r="W1568" t="s">
        <v>244</v>
      </c>
      <c r="X1568" t="s">
        <v>2127</v>
      </c>
      <c r="Y1568" t="s">
        <v>191</v>
      </c>
      <c r="Z1568" t="s">
        <v>335</v>
      </c>
      <c r="AA1568" t="s">
        <v>337</v>
      </c>
      <c r="AB1568" t="s">
        <v>348</v>
      </c>
      <c r="AC1568" t="s">
        <v>349</v>
      </c>
      <c r="AD1568" t="s">
        <v>350</v>
      </c>
      <c r="AE1568" s="7">
        <v>76000</v>
      </c>
      <c r="AF1568" s="7">
        <v>1</v>
      </c>
      <c r="AG1568" s="7">
        <v>76000</v>
      </c>
      <c r="AH1568" s="7">
        <v>0</v>
      </c>
      <c r="AI1568" s="7">
        <v>76000</v>
      </c>
      <c r="AJ1568" t="s">
        <v>349</v>
      </c>
    </row>
    <row r="1569" spans="14:36" x14ac:dyDescent="0.3">
      <c r="N1569" s="8">
        <v>2026</v>
      </c>
      <c r="O1569" s="8">
        <v>4</v>
      </c>
      <c r="P1569" s="9">
        <v>46135</v>
      </c>
      <c r="Q1569" t="s">
        <v>238</v>
      </c>
      <c r="R1569" t="s">
        <v>425</v>
      </c>
      <c r="S1569" t="s">
        <v>426</v>
      </c>
      <c r="T1569" t="s">
        <v>620</v>
      </c>
      <c r="U1569" t="s">
        <v>621</v>
      </c>
      <c r="V1569" t="s">
        <v>246</v>
      </c>
      <c r="W1569" t="s">
        <v>244</v>
      </c>
      <c r="X1569" t="s">
        <v>2128</v>
      </c>
      <c r="Y1569" t="s">
        <v>191</v>
      </c>
      <c r="Z1569" t="s">
        <v>192</v>
      </c>
      <c r="AA1569" t="s">
        <v>283</v>
      </c>
      <c r="AB1569" t="s">
        <v>110</v>
      </c>
      <c r="AC1569" t="s">
        <v>108</v>
      </c>
      <c r="AD1569" t="s">
        <v>109</v>
      </c>
      <c r="AE1569" s="7">
        <v>235000</v>
      </c>
      <c r="AF1569" s="7">
        <v>1</v>
      </c>
      <c r="AG1569" s="7">
        <v>235000</v>
      </c>
      <c r="AH1569" s="7">
        <v>0</v>
      </c>
      <c r="AI1569" s="7">
        <v>235000</v>
      </c>
      <c r="AJ1569" t="s">
        <v>108</v>
      </c>
    </row>
    <row r="1570" spans="14:36" x14ac:dyDescent="0.3">
      <c r="N1570" s="8">
        <v>2026</v>
      </c>
      <c r="O1570" s="8">
        <v>4</v>
      </c>
      <c r="P1570" s="9">
        <v>46135</v>
      </c>
      <c r="Q1570" t="s">
        <v>238</v>
      </c>
      <c r="R1570" t="s">
        <v>425</v>
      </c>
      <c r="S1570" t="s">
        <v>426</v>
      </c>
      <c r="T1570" t="s">
        <v>2129</v>
      </c>
      <c r="U1570" t="s">
        <v>2130</v>
      </c>
      <c r="V1570" t="s">
        <v>246</v>
      </c>
      <c r="W1570" t="s">
        <v>244</v>
      </c>
      <c r="X1570" t="s">
        <v>2131</v>
      </c>
      <c r="Y1570" t="s">
        <v>191</v>
      </c>
      <c r="Z1570" t="s">
        <v>192</v>
      </c>
      <c r="AA1570" t="s">
        <v>193</v>
      </c>
      <c r="AB1570" t="s">
        <v>113</v>
      </c>
      <c r="AC1570" t="s">
        <v>111</v>
      </c>
      <c r="AD1570" t="s">
        <v>112</v>
      </c>
      <c r="AE1570" s="7">
        <v>235000</v>
      </c>
      <c r="AF1570" s="7">
        <v>1</v>
      </c>
      <c r="AG1570" s="7">
        <v>235000</v>
      </c>
      <c r="AH1570" s="7">
        <v>0</v>
      </c>
      <c r="AI1570" s="7">
        <v>235000</v>
      </c>
      <c r="AJ1570" t="s">
        <v>111</v>
      </c>
    </row>
    <row r="1571" spans="14:36" x14ac:dyDescent="0.3">
      <c r="N1571" s="8">
        <v>2026</v>
      </c>
      <c r="O1571" s="8">
        <v>4</v>
      </c>
      <c r="P1571" s="9">
        <v>46135</v>
      </c>
      <c r="Q1571" t="s">
        <v>238</v>
      </c>
      <c r="R1571" t="s">
        <v>425</v>
      </c>
      <c r="S1571" t="s">
        <v>426</v>
      </c>
      <c r="T1571" t="s">
        <v>2113</v>
      </c>
      <c r="U1571" t="s">
        <v>2114</v>
      </c>
      <c r="V1571" t="s">
        <v>246</v>
      </c>
      <c r="W1571" t="s">
        <v>244</v>
      </c>
      <c r="X1571" t="s">
        <v>2132</v>
      </c>
      <c r="Y1571" t="s">
        <v>194</v>
      </c>
      <c r="Z1571" t="s">
        <v>200</v>
      </c>
      <c r="AA1571" t="s">
        <v>201</v>
      </c>
      <c r="AB1571" t="s">
        <v>86</v>
      </c>
      <c r="AC1571" t="s">
        <v>84</v>
      </c>
      <c r="AD1571" t="s">
        <v>85</v>
      </c>
      <c r="AE1571" s="7">
        <v>49000</v>
      </c>
      <c r="AF1571" s="7">
        <v>1</v>
      </c>
      <c r="AG1571" s="7">
        <v>49000</v>
      </c>
      <c r="AH1571" s="7">
        <v>0</v>
      </c>
      <c r="AI1571" s="7">
        <v>49000</v>
      </c>
      <c r="AJ1571" t="s">
        <v>84</v>
      </c>
    </row>
    <row r="1572" spans="14:36" x14ac:dyDescent="0.3">
      <c r="N1572" s="8">
        <v>2026</v>
      </c>
      <c r="O1572" s="8">
        <v>4</v>
      </c>
      <c r="P1572" s="9">
        <v>46135</v>
      </c>
      <c r="Q1572" t="s">
        <v>238</v>
      </c>
      <c r="R1572" t="s">
        <v>425</v>
      </c>
      <c r="S1572" t="s">
        <v>426</v>
      </c>
      <c r="T1572" t="s">
        <v>2113</v>
      </c>
      <c r="U1572" t="s">
        <v>2114</v>
      </c>
      <c r="V1572" t="s">
        <v>246</v>
      </c>
      <c r="W1572" t="s">
        <v>244</v>
      </c>
      <c r="X1572" t="s">
        <v>2133</v>
      </c>
      <c r="Y1572" t="s">
        <v>168</v>
      </c>
      <c r="Z1572" t="s">
        <v>181</v>
      </c>
      <c r="AA1572" t="s">
        <v>182</v>
      </c>
      <c r="AB1572" t="s">
        <v>50</v>
      </c>
      <c r="AC1572" t="s">
        <v>48</v>
      </c>
      <c r="AD1572" t="s">
        <v>49</v>
      </c>
      <c r="AE1572" s="7">
        <v>49000</v>
      </c>
      <c r="AF1572" s="7">
        <v>1</v>
      </c>
      <c r="AG1572" s="7">
        <v>49000</v>
      </c>
      <c r="AH1572" s="7">
        <v>0</v>
      </c>
      <c r="AI1572" s="7">
        <v>49000</v>
      </c>
      <c r="AJ1572" t="s">
        <v>48</v>
      </c>
    </row>
    <row r="1573" spans="14:36" x14ac:dyDescent="0.3">
      <c r="N1573" s="8">
        <v>2026</v>
      </c>
      <c r="O1573" s="8">
        <v>4</v>
      </c>
      <c r="P1573" s="9">
        <v>46134</v>
      </c>
      <c r="Q1573" t="s">
        <v>238</v>
      </c>
      <c r="R1573" t="s">
        <v>239</v>
      </c>
      <c r="S1573" t="s">
        <v>240</v>
      </c>
      <c r="T1573" t="s">
        <v>1336</v>
      </c>
      <c r="U1573" t="s">
        <v>4096</v>
      </c>
      <c r="V1573" t="s">
        <v>246</v>
      </c>
      <c r="W1573" t="s">
        <v>244</v>
      </c>
      <c r="X1573" t="s">
        <v>2135</v>
      </c>
      <c r="Y1573" t="s">
        <v>191</v>
      </c>
      <c r="Z1573" t="s">
        <v>335</v>
      </c>
      <c r="AA1573" t="s">
        <v>336</v>
      </c>
      <c r="AB1573" t="s">
        <v>1146</v>
      </c>
      <c r="AC1573" t="s">
        <v>1147</v>
      </c>
      <c r="AD1573" t="s">
        <v>1148</v>
      </c>
      <c r="AE1573" s="7">
        <v>54450</v>
      </c>
      <c r="AF1573" s="7">
        <v>2</v>
      </c>
      <c r="AG1573" s="7">
        <v>108900</v>
      </c>
      <c r="AH1573" s="7">
        <v>0</v>
      </c>
      <c r="AI1573" s="7">
        <v>108900</v>
      </c>
      <c r="AJ1573" t="s">
        <v>1147</v>
      </c>
    </row>
    <row r="1574" spans="14:36" x14ac:dyDescent="0.3">
      <c r="N1574" s="8">
        <v>2026</v>
      </c>
      <c r="O1574" s="8">
        <v>4</v>
      </c>
      <c r="P1574" s="9">
        <v>46134</v>
      </c>
      <c r="Q1574" t="s">
        <v>238</v>
      </c>
      <c r="R1574" t="s">
        <v>239</v>
      </c>
      <c r="S1574" t="s">
        <v>240</v>
      </c>
      <c r="T1574" t="s">
        <v>272</v>
      </c>
      <c r="U1574" t="s">
        <v>273</v>
      </c>
      <c r="V1574" t="s">
        <v>246</v>
      </c>
      <c r="W1574" t="s">
        <v>244</v>
      </c>
      <c r="X1574" t="s">
        <v>2136</v>
      </c>
      <c r="Y1574" t="s">
        <v>168</v>
      </c>
      <c r="Z1574" t="s">
        <v>171</v>
      </c>
      <c r="AA1574" t="s">
        <v>175</v>
      </c>
      <c r="AB1574" t="s">
        <v>38</v>
      </c>
      <c r="AC1574" t="s">
        <v>36</v>
      </c>
      <c r="AD1574" t="s">
        <v>37</v>
      </c>
      <c r="AE1574" s="7">
        <v>575000</v>
      </c>
      <c r="AF1574" s="7">
        <v>1</v>
      </c>
      <c r="AG1574" s="7">
        <v>575000</v>
      </c>
      <c r="AH1574" s="7">
        <v>0</v>
      </c>
      <c r="AI1574" s="7">
        <v>575000</v>
      </c>
      <c r="AJ1574" t="s">
        <v>36</v>
      </c>
    </row>
    <row r="1575" spans="14:36" x14ac:dyDescent="0.3">
      <c r="N1575" s="8">
        <v>2026</v>
      </c>
      <c r="O1575" s="8">
        <v>4</v>
      </c>
      <c r="P1575" s="9">
        <v>46134</v>
      </c>
      <c r="Q1575" t="s">
        <v>238</v>
      </c>
      <c r="R1575" t="s">
        <v>279</v>
      </c>
      <c r="S1575" t="s">
        <v>280</v>
      </c>
      <c r="T1575" t="s">
        <v>281</v>
      </c>
      <c r="U1575" t="s">
        <v>282</v>
      </c>
      <c r="V1575" t="s">
        <v>243</v>
      </c>
      <c r="W1575" t="s">
        <v>244</v>
      </c>
      <c r="X1575" t="s">
        <v>2139</v>
      </c>
      <c r="Y1575" t="s">
        <v>191</v>
      </c>
      <c r="Z1575" t="s">
        <v>192</v>
      </c>
      <c r="AA1575" t="s">
        <v>193</v>
      </c>
      <c r="AB1575" t="s">
        <v>119</v>
      </c>
      <c r="AC1575" t="s">
        <v>117</v>
      </c>
      <c r="AD1575" t="s">
        <v>118</v>
      </c>
      <c r="AE1575" s="7">
        <v>235000</v>
      </c>
      <c r="AF1575" s="7">
        <v>1</v>
      </c>
      <c r="AG1575" s="7">
        <v>235000</v>
      </c>
      <c r="AH1575" s="7">
        <v>0</v>
      </c>
      <c r="AI1575" s="7">
        <v>235000</v>
      </c>
      <c r="AJ1575" t="s">
        <v>117</v>
      </c>
    </row>
    <row r="1576" spans="14:36" x14ac:dyDescent="0.3">
      <c r="N1576" s="8">
        <v>2026</v>
      </c>
      <c r="O1576" s="8">
        <v>4</v>
      </c>
      <c r="P1576" s="9">
        <v>46134</v>
      </c>
      <c r="Q1576" t="s">
        <v>238</v>
      </c>
      <c r="R1576" t="s">
        <v>279</v>
      </c>
      <c r="S1576" t="s">
        <v>280</v>
      </c>
      <c r="T1576" t="s">
        <v>2140</v>
      </c>
      <c r="U1576" t="s">
        <v>369</v>
      </c>
      <c r="V1576" t="s">
        <v>246</v>
      </c>
      <c r="W1576" t="s">
        <v>244</v>
      </c>
      <c r="X1576" t="s">
        <v>2141</v>
      </c>
      <c r="Y1576" t="s">
        <v>191</v>
      </c>
      <c r="Z1576" t="s">
        <v>192</v>
      </c>
      <c r="AA1576" t="s">
        <v>283</v>
      </c>
      <c r="AB1576" t="s">
        <v>110</v>
      </c>
      <c r="AC1576" t="s">
        <v>108</v>
      </c>
      <c r="AD1576" t="s">
        <v>109</v>
      </c>
      <c r="AE1576" s="7">
        <v>235000</v>
      </c>
      <c r="AF1576" s="7">
        <v>1</v>
      </c>
      <c r="AG1576" s="7">
        <v>235000</v>
      </c>
      <c r="AH1576" s="7">
        <v>0</v>
      </c>
      <c r="AI1576" s="7">
        <v>235000</v>
      </c>
      <c r="AJ1576" t="s">
        <v>108</v>
      </c>
    </row>
    <row r="1577" spans="14:36" x14ac:dyDescent="0.3">
      <c r="N1577" s="8">
        <v>2026</v>
      </c>
      <c r="O1577" s="8">
        <v>4</v>
      </c>
      <c r="P1577" s="9">
        <v>46134</v>
      </c>
      <c r="Q1577" t="s">
        <v>238</v>
      </c>
      <c r="R1577" t="s">
        <v>279</v>
      </c>
      <c r="S1577" t="s">
        <v>280</v>
      </c>
      <c r="T1577" t="s">
        <v>1859</v>
      </c>
      <c r="U1577" t="s">
        <v>4097</v>
      </c>
      <c r="V1577" t="s">
        <v>246</v>
      </c>
      <c r="W1577" t="s">
        <v>244</v>
      </c>
      <c r="X1577" t="s">
        <v>2142</v>
      </c>
      <c r="Y1577" t="s">
        <v>191</v>
      </c>
      <c r="Z1577" t="s">
        <v>192</v>
      </c>
      <c r="AA1577" t="s">
        <v>193</v>
      </c>
      <c r="AB1577" t="s">
        <v>119</v>
      </c>
      <c r="AC1577" t="s">
        <v>117</v>
      </c>
      <c r="AD1577" t="s">
        <v>118</v>
      </c>
      <c r="AE1577" s="7">
        <v>235000</v>
      </c>
      <c r="AF1577" s="7">
        <v>1</v>
      </c>
      <c r="AG1577" s="7">
        <v>235000</v>
      </c>
      <c r="AH1577" s="7">
        <v>0</v>
      </c>
      <c r="AI1577" s="7">
        <v>235000</v>
      </c>
      <c r="AJ1577" t="s">
        <v>117</v>
      </c>
    </row>
    <row r="1578" spans="14:36" x14ac:dyDescent="0.3">
      <c r="N1578" s="8">
        <v>2026</v>
      </c>
      <c r="O1578" s="8">
        <v>4</v>
      </c>
      <c r="P1578" s="9">
        <v>46134</v>
      </c>
      <c r="Q1578" t="s">
        <v>238</v>
      </c>
      <c r="R1578" t="s">
        <v>279</v>
      </c>
      <c r="S1578" t="s">
        <v>280</v>
      </c>
      <c r="T1578" t="s">
        <v>2143</v>
      </c>
      <c r="U1578" t="s">
        <v>496</v>
      </c>
      <c r="V1578" t="s">
        <v>246</v>
      </c>
      <c r="W1578" t="s">
        <v>244</v>
      </c>
      <c r="X1578" t="s">
        <v>2144</v>
      </c>
      <c r="Y1578" t="s">
        <v>191</v>
      </c>
      <c r="Z1578" t="s">
        <v>192</v>
      </c>
      <c r="AA1578" t="s">
        <v>283</v>
      </c>
      <c r="AB1578" t="s">
        <v>110</v>
      </c>
      <c r="AC1578" t="s">
        <v>108</v>
      </c>
      <c r="AD1578" t="s">
        <v>109</v>
      </c>
      <c r="AE1578" s="7">
        <v>235000</v>
      </c>
      <c r="AF1578" s="7">
        <v>1</v>
      </c>
      <c r="AG1578" s="7">
        <v>235000</v>
      </c>
      <c r="AH1578" s="7">
        <v>0</v>
      </c>
      <c r="AI1578" s="7">
        <v>235000</v>
      </c>
      <c r="AJ1578" t="s">
        <v>108</v>
      </c>
    </row>
    <row r="1579" spans="14:36" x14ac:dyDescent="0.3">
      <c r="N1579" s="8">
        <v>2026</v>
      </c>
      <c r="O1579" s="8">
        <v>4</v>
      </c>
      <c r="P1579" s="9">
        <v>46134</v>
      </c>
      <c r="Q1579" t="s">
        <v>238</v>
      </c>
      <c r="R1579" t="s">
        <v>279</v>
      </c>
      <c r="S1579" t="s">
        <v>280</v>
      </c>
      <c r="T1579" t="s">
        <v>2145</v>
      </c>
      <c r="U1579" t="s">
        <v>464</v>
      </c>
      <c r="V1579" t="s">
        <v>246</v>
      </c>
      <c r="W1579" t="s">
        <v>244</v>
      </c>
      <c r="X1579" t="s">
        <v>2146</v>
      </c>
      <c r="Y1579" t="s">
        <v>191</v>
      </c>
      <c r="Z1579" t="s">
        <v>192</v>
      </c>
      <c r="AA1579" t="s">
        <v>283</v>
      </c>
      <c r="AB1579" t="s">
        <v>107</v>
      </c>
      <c r="AC1579" t="s">
        <v>105</v>
      </c>
      <c r="AD1579" t="s">
        <v>106</v>
      </c>
      <c r="AE1579" s="7">
        <v>235000</v>
      </c>
      <c r="AF1579" s="7">
        <v>1</v>
      </c>
      <c r="AG1579" s="7">
        <v>235000</v>
      </c>
      <c r="AH1579" s="7">
        <v>0</v>
      </c>
      <c r="AI1579" s="7">
        <v>235000</v>
      </c>
      <c r="AJ1579" t="s">
        <v>105</v>
      </c>
    </row>
    <row r="1580" spans="14:36" x14ac:dyDescent="0.3">
      <c r="N1580" s="8">
        <v>2026</v>
      </c>
      <c r="O1580" s="8">
        <v>4</v>
      </c>
      <c r="P1580" s="9">
        <v>46134</v>
      </c>
      <c r="Q1580" t="s">
        <v>238</v>
      </c>
      <c r="R1580" t="s">
        <v>303</v>
      </c>
      <c r="S1580" t="s">
        <v>304</v>
      </c>
      <c r="T1580" t="s">
        <v>2147</v>
      </c>
      <c r="U1580" t="s">
        <v>3866</v>
      </c>
      <c r="V1580" t="s">
        <v>246</v>
      </c>
      <c r="W1580" t="s">
        <v>244</v>
      </c>
      <c r="X1580" t="s">
        <v>2148</v>
      </c>
      <c r="Y1580" t="s">
        <v>191</v>
      </c>
      <c r="Z1580" t="s">
        <v>335</v>
      </c>
      <c r="AA1580" t="s">
        <v>337</v>
      </c>
      <c r="AB1580" t="s">
        <v>348</v>
      </c>
      <c r="AC1580" t="s">
        <v>349</v>
      </c>
      <c r="AD1580" t="s">
        <v>350</v>
      </c>
      <c r="AE1580" s="7">
        <v>76000</v>
      </c>
      <c r="AF1580" s="7">
        <v>1</v>
      </c>
      <c r="AG1580" s="7">
        <v>76000</v>
      </c>
      <c r="AH1580" s="7">
        <v>0</v>
      </c>
      <c r="AI1580" s="7">
        <v>76000</v>
      </c>
      <c r="AJ1580" t="s">
        <v>349</v>
      </c>
    </row>
    <row r="1581" spans="14:36" x14ac:dyDescent="0.3">
      <c r="N1581" s="8">
        <v>2026</v>
      </c>
      <c r="O1581" s="8">
        <v>4</v>
      </c>
      <c r="P1581" s="9">
        <v>46134</v>
      </c>
      <c r="Q1581" t="s">
        <v>238</v>
      </c>
      <c r="R1581" t="s">
        <v>303</v>
      </c>
      <c r="S1581" t="s">
        <v>304</v>
      </c>
      <c r="T1581" t="s">
        <v>2149</v>
      </c>
      <c r="U1581" t="s">
        <v>4098</v>
      </c>
      <c r="V1581" t="s">
        <v>246</v>
      </c>
      <c r="W1581" t="s">
        <v>244</v>
      </c>
      <c r="X1581" t="s">
        <v>2150</v>
      </c>
      <c r="Y1581" t="s">
        <v>168</v>
      </c>
      <c r="Z1581" t="s">
        <v>181</v>
      </c>
      <c r="AA1581" t="s">
        <v>182</v>
      </c>
      <c r="AB1581" t="s">
        <v>53</v>
      </c>
      <c r="AC1581" t="s">
        <v>51</v>
      </c>
      <c r="AD1581" t="s">
        <v>52</v>
      </c>
      <c r="AE1581" s="7">
        <v>45000</v>
      </c>
      <c r="AF1581" s="7">
        <v>1</v>
      </c>
      <c r="AG1581" s="7">
        <v>45000</v>
      </c>
      <c r="AH1581" s="7">
        <v>0</v>
      </c>
      <c r="AI1581" s="7">
        <v>45000</v>
      </c>
      <c r="AJ1581" t="s">
        <v>51</v>
      </c>
    </row>
    <row r="1582" spans="14:36" x14ac:dyDescent="0.3">
      <c r="N1582" s="8">
        <v>2026</v>
      </c>
      <c r="O1582" s="8">
        <v>4</v>
      </c>
      <c r="P1582" s="9">
        <v>46134</v>
      </c>
      <c r="Q1582" t="s">
        <v>238</v>
      </c>
      <c r="R1582" t="s">
        <v>351</v>
      </c>
      <c r="S1582" t="s">
        <v>352</v>
      </c>
      <c r="T1582" t="s">
        <v>1708</v>
      </c>
      <c r="U1582" t="s">
        <v>1709</v>
      </c>
      <c r="V1582" t="s">
        <v>246</v>
      </c>
      <c r="W1582" t="s">
        <v>244</v>
      </c>
      <c r="X1582" t="s">
        <v>2151</v>
      </c>
      <c r="Y1582" t="s">
        <v>191</v>
      </c>
      <c r="Z1582" t="s">
        <v>335</v>
      </c>
      <c r="AA1582" t="s">
        <v>336</v>
      </c>
      <c r="AB1582" t="s">
        <v>1146</v>
      </c>
      <c r="AC1582" t="s">
        <v>1147</v>
      </c>
      <c r="AD1582" t="s">
        <v>1148</v>
      </c>
      <c r="AE1582" s="7">
        <v>54450</v>
      </c>
      <c r="AF1582" s="7">
        <v>1</v>
      </c>
      <c r="AG1582" s="7">
        <v>54450</v>
      </c>
      <c r="AH1582" s="7">
        <v>0</v>
      </c>
      <c r="AI1582" s="7">
        <v>54450</v>
      </c>
      <c r="AJ1582" t="s">
        <v>1147</v>
      </c>
    </row>
    <row r="1583" spans="14:36" x14ac:dyDescent="0.3">
      <c r="N1583" s="8">
        <v>2026</v>
      </c>
      <c r="O1583" s="8">
        <v>4</v>
      </c>
      <c r="P1583" s="9">
        <v>46134</v>
      </c>
      <c r="Q1583" t="s">
        <v>238</v>
      </c>
      <c r="R1583" t="s">
        <v>351</v>
      </c>
      <c r="S1583" t="s">
        <v>352</v>
      </c>
      <c r="T1583" t="s">
        <v>1708</v>
      </c>
      <c r="U1583" t="s">
        <v>1709</v>
      </c>
      <c r="V1583" t="s">
        <v>246</v>
      </c>
      <c r="W1583" t="s">
        <v>244</v>
      </c>
      <c r="X1583" t="s">
        <v>2152</v>
      </c>
      <c r="Y1583" t="s">
        <v>191</v>
      </c>
      <c r="Z1583" t="s">
        <v>335</v>
      </c>
      <c r="AA1583" t="s">
        <v>336</v>
      </c>
      <c r="AB1583" t="s">
        <v>1146</v>
      </c>
      <c r="AC1583" t="s">
        <v>1147</v>
      </c>
      <c r="AD1583" t="s">
        <v>1148</v>
      </c>
      <c r="AE1583" s="7">
        <v>54450</v>
      </c>
      <c r="AF1583" s="7">
        <v>1</v>
      </c>
      <c r="AG1583" s="7">
        <v>54450</v>
      </c>
      <c r="AH1583" s="7">
        <v>0</v>
      </c>
      <c r="AI1583" s="7">
        <v>54450</v>
      </c>
      <c r="AJ1583" t="s">
        <v>1147</v>
      </c>
    </row>
    <row r="1584" spans="14:36" x14ac:dyDescent="0.3">
      <c r="N1584" s="8">
        <v>2026</v>
      </c>
      <c r="O1584" s="8">
        <v>4</v>
      </c>
      <c r="P1584" s="9">
        <v>46134</v>
      </c>
      <c r="Q1584" t="s">
        <v>238</v>
      </c>
      <c r="R1584" t="s">
        <v>374</v>
      </c>
      <c r="S1584" t="s">
        <v>375</v>
      </c>
      <c r="T1584" t="s">
        <v>376</v>
      </c>
      <c r="U1584" t="s">
        <v>377</v>
      </c>
      <c r="V1584" t="s">
        <v>243</v>
      </c>
      <c r="W1584" t="s">
        <v>244</v>
      </c>
      <c r="X1584" t="s">
        <v>2153</v>
      </c>
      <c r="Y1584" t="s">
        <v>194</v>
      </c>
      <c r="Z1584" t="s">
        <v>200</v>
      </c>
      <c r="AA1584" t="s">
        <v>201</v>
      </c>
      <c r="AB1584" t="s">
        <v>80</v>
      </c>
      <c r="AC1584" t="s">
        <v>78</v>
      </c>
      <c r="AD1584" t="s">
        <v>79</v>
      </c>
      <c r="AE1584" s="7">
        <v>14000</v>
      </c>
      <c r="AF1584" s="7">
        <v>1</v>
      </c>
      <c r="AG1584" s="7">
        <v>14000</v>
      </c>
      <c r="AH1584" s="7">
        <v>0</v>
      </c>
      <c r="AI1584" s="7">
        <v>14000</v>
      </c>
      <c r="AJ1584" t="s">
        <v>78</v>
      </c>
    </row>
    <row r="1585" spans="14:36" x14ac:dyDescent="0.3">
      <c r="N1585" s="8">
        <v>2026</v>
      </c>
      <c r="O1585" s="8">
        <v>4</v>
      </c>
      <c r="P1585" s="9">
        <v>46134</v>
      </c>
      <c r="Q1585" t="s">
        <v>238</v>
      </c>
      <c r="R1585" t="s">
        <v>374</v>
      </c>
      <c r="S1585" t="s">
        <v>375</v>
      </c>
      <c r="T1585" t="s">
        <v>2154</v>
      </c>
      <c r="U1585" t="s">
        <v>2155</v>
      </c>
      <c r="V1585" t="s">
        <v>246</v>
      </c>
      <c r="W1585" t="s">
        <v>244</v>
      </c>
      <c r="X1585" t="s">
        <v>2156</v>
      </c>
      <c r="Y1585" t="s">
        <v>194</v>
      </c>
      <c r="Z1585" t="s">
        <v>195</v>
      </c>
      <c r="AA1585" t="s">
        <v>196</v>
      </c>
      <c r="AB1585" t="s">
        <v>71</v>
      </c>
      <c r="AC1585" t="s">
        <v>69</v>
      </c>
      <c r="AD1585" t="s">
        <v>70</v>
      </c>
      <c r="AE1585" s="7">
        <v>275000</v>
      </c>
      <c r="AF1585" s="7">
        <v>1</v>
      </c>
      <c r="AG1585" s="7">
        <v>275000</v>
      </c>
      <c r="AH1585" s="7">
        <v>0</v>
      </c>
      <c r="AI1585" s="7">
        <v>275000</v>
      </c>
      <c r="AJ1585" t="s">
        <v>69</v>
      </c>
    </row>
    <row r="1586" spans="14:36" x14ac:dyDescent="0.3">
      <c r="N1586" s="8">
        <v>2026</v>
      </c>
      <c r="O1586" s="8">
        <v>4</v>
      </c>
      <c r="P1586" s="9">
        <v>46134</v>
      </c>
      <c r="Q1586" t="s">
        <v>238</v>
      </c>
      <c r="R1586" t="s">
        <v>374</v>
      </c>
      <c r="S1586" t="s">
        <v>375</v>
      </c>
      <c r="T1586" t="s">
        <v>805</v>
      </c>
      <c r="U1586" t="s">
        <v>806</v>
      </c>
      <c r="V1586" t="s">
        <v>246</v>
      </c>
      <c r="W1586" t="s">
        <v>244</v>
      </c>
      <c r="X1586" t="s">
        <v>2157</v>
      </c>
      <c r="Y1586" t="s">
        <v>194</v>
      </c>
      <c r="Z1586" t="s">
        <v>200</v>
      </c>
      <c r="AA1586" t="s">
        <v>201</v>
      </c>
      <c r="AB1586" t="s">
        <v>80</v>
      </c>
      <c r="AC1586" t="s">
        <v>78</v>
      </c>
      <c r="AD1586" t="s">
        <v>79</v>
      </c>
      <c r="AE1586" s="7">
        <v>14000</v>
      </c>
      <c r="AF1586" s="7">
        <v>2</v>
      </c>
      <c r="AG1586" s="7">
        <v>28000</v>
      </c>
      <c r="AH1586" s="7">
        <v>0</v>
      </c>
      <c r="AI1586" s="7">
        <v>28000</v>
      </c>
      <c r="AJ1586" t="s">
        <v>78</v>
      </c>
    </row>
    <row r="1587" spans="14:36" x14ac:dyDescent="0.3">
      <c r="N1587" s="8">
        <v>2026</v>
      </c>
      <c r="O1587" s="8">
        <v>4</v>
      </c>
      <c r="P1587" s="9">
        <v>46134</v>
      </c>
      <c r="Q1587" t="s">
        <v>238</v>
      </c>
      <c r="R1587" t="s">
        <v>374</v>
      </c>
      <c r="S1587" t="s">
        <v>375</v>
      </c>
      <c r="T1587" t="s">
        <v>1712</v>
      </c>
      <c r="U1587" t="s">
        <v>293</v>
      </c>
      <c r="V1587" t="s">
        <v>246</v>
      </c>
      <c r="W1587" t="s">
        <v>244</v>
      </c>
      <c r="X1587" t="s">
        <v>2160</v>
      </c>
      <c r="Y1587" t="s">
        <v>194</v>
      </c>
      <c r="Z1587" t="s">
        <v>200</v>
      </c>
      <c r="AA1587" t="s">
        <v>201</v>
      </c>
      <c r="AB1587" t="s">
        <v>80</v>
      </c>
      <c r="AC1587" t="s">
        <v>78</v>
      </c>
      <c r="AD1587" t="s">
        <v>79</v>
      </c>
      <c r="AE1587" s="7">
        <v>14000</v>
      </c>
      <c r="AF1587" s="7">
        <v>2</v>
      </c>
      <c r="AG1587" s="7">
        <v>28000</v>
      </c>
      <c r="AH1587" s="7">
        <v>0</v>
      </c>
      <c r="AI1587" s="7">
        <v>28000</v>
      </c>
      <c r="AJ1587" t="s">
        <v>78</v>
      </c>
    </row>
    <row r="1588" spans="14:36" x14ac:dyDescent="0.3">
      <c r="N1588" s="8">
        <v>2026</v>
      </c>
      <c r="O1588" s="8">
        <v>4</v>
      </c>
      <c r="P1588" s="9">
        <v>46134</v>
      </c>
      <c r="Q1588" t="s">
        <v>238</v>
      </c>
      <c r="R1588" t="s">
        <v>374</v>
      </c>
      <c r="S1588" t="s">
        <v>375</v>
      </c>
      <c r="T1588" t="s">
        <v>2163</v>
      </c>
      <c r="U1588" t="s">
        <v>4099</v>
      </c>
      <c r="V1588" t="s">
        <v>246</v>
      </c>
      <c r="W1588" t="s">
        <v>244</v>
      </c>
      <c r="X1588" t="s">
        <v>2164</v>
      </c>
      <c r="Y1588" t="s">
        <v>194</v>
      </c>
      <c r="Z1588" t="s">
        <v>200</v>
      </c>
      <c r="AA1588" t="s">
        <v>201</v>
      </c>
      <c r="AB1588" t="s">
        <v>80</v>
      </c>
      <c r="AC1588" t="s">
        <v>78</v>
      </c>
      <c r="AD1588" t="s">
        <v>79</v>
      </c>
      <c r="AE1588" s="7">
        <v>14000</v>
      </c>
      <c r="AF1588" s="7">
        <v>1</v>
      </c>
      <c r="AG1588" s="7">
        <v>14000</v>
      </c>
      <c r="AH1588" s="7">
        <v>0</v>
      </c>
      <c r="AI1588" s="7">
        <v>14000</v>
      </c>
      <c r="AJ1588" t="s">
        <v>78</v>
      </c>
    </row>
    <row r="1589" spans="14:36" x14ac:dyDescent="0.3">
      <c r="N1589" s="8">
        <v>2026</v>
      </c>
      <c r="O1589" s="8">
        <v>4</v>
      </c>
      <c r="P1589" s="9">
        <v>46134</v>
      </c>
      <c r="Q1589" t="s">
        <v>238</v>
      </c>
      <c r="R1589" t="s">
        <v>374</v>
      </c>
      <c r="S1589" t="s">
        <v>375</v>
      </c>
      <c r="T1589" t="s">
        <v>1139</v>
      </c>
      <c r="U1589" t="s">
        <v>437</v>
      </c>
      <c r="V1589" t="s">
        <v>246</v>
      </c>
      <c r="W1589" t="s">
        <v>244</v>
      </c>
      <c r="X1589" t="s">
        <v>2165</v>
      </c>
      <c r="Y1589" t="s">
        <v>194</v>
      </c>
      <c r="Z1589" t="s">
        <v>200</v>
      </c>
      <c r="AA1589" t="s">
        <v>201</v>
      </c>
      <c r="AB1589" t="s">
        <v>89</v>
      </c>
      <c r="AC1589" t="s">
        <v>87</v>
      </c>
      <c r="AD1589" t="s">
        <v>88</v>
      </c>
      <c r="AE1589" s="7">
        <v>46000</v>
      </c>
      <c r="AF1589" s="7">
        <v>1</v>
      </c>
      <c r="AG1589" s="7">
        <v>46000</v>
      </c>
      <c r="AH1589" s="7">
        <v>0</v>
      </c>
      <c r="AI1589" s="7">
        <v>46000</v>
      </c>
      <c r="AJ1589" t="s">
        <v>87</v>
      </c>
    </row>
    <row r="1590" spans="14:36" x14ac:dyDescent="0.3">
      <c r="N1590" s="8">
        <v>2026</v>
      </c>
      <c r="O1590" s="8">
        <v>4</v>
      </c>
      <c r="P1590" s="9">
        <v>46134</v>
      </c>
      <c r="Q1590" t="s">
        <v>238</v>
      </c>
      <c r="R1590" t="s">
        <v>374</v>
      </c>
      <c r="S1590" t="s">
        <v>375</v>
      </c>
      <c r="T1590" t="s">
        <v>2166</v>
      </c>
      <c r="U1590" t="s">
        <v>4007</v>
      </c>
      <c r="V1590" t="s">
        <v>246</v>
      </c>
      <c r="W1590" t="s">
        <v>244</v>
      </c>
      <c r="X1590" t="s">
        <v>2167</v>
      </c>
      <c r="Y1590" t="s">
        <v>194</v>
      </c>
      <c r="Z1590" t="s">
        <v>200</v>
      </c>
      <c r="AA1590" t="s">
        <v>201</v>
      </c>
      <c r="AB1590" t="s">
        <v>80</v>
      </c>
      <c r="AC1590" t="s">
        <v>78</v>
      </c>
      <c r="AD1590" t="s">
        <v>79</v>
      </c>
      <c r="AE1590" s="7">
        <v>14000</v>
      </c>
      <c r="AF1590" s="7">
        <v>1</v>
      </c>
      <c r="AG1590" s="7">
        <v>14000</v>
      </c>
      <c r="AH1590" s="7">
        <v>0</v>
      </c>
      <c r="AI1590" s="7">
        <v>14000</v>
      </c>
      <c r="AJ1590" t="s">
        <v>78</v>
      </c>
    </row>
    <row r="1591" spans="14:36" x14ac:dyDescent="0.3">
      <c r="N1591" s="8">
        <v>2026</v>
      </c>
      <c r="O1591" s="8">
        <v>4</v>
      </c>
      <c r="P1591" s="9">
        <v>46134</v>
      </c>
      <c r="Q1591" t="s">
        <v>238</v>
      </c>
      <c r="R1591" t="s">
        <v>374</v>
      </c>
      <c r="S1591" t="s">
        <v>375</v>
      </c>
      <c r="T1591" t="s">
        <v>2168</v>
      </c>
      <c r="U1591" t="s">
        <v>4100</v>
      </c>
      <c r="V1591" t="s">
        <v>246</v>
      </c>
      <c r="W1591" t="s">
        <v>244</v>
      </c>
      <c r="X1591" t="s">
        <v>2169</v>
      </c>
      <c r="Y1591" t="s">
        <v>168</v>
      </c>
      <c r="Z1591" t="s">
        <v>181</v>
      </c>
      <c r="AA1591" t="s">
        <v>182</v>
      </c>
      <c r="AB1591" t="s">
        <v>53</v>
      </c>
      <c r="AC1591" t="s">
        <v>51</v>
      </c>
      <c r="AD1591" t="s">
        <v>52</v>
      </c>
      <c r="AE1591" s="7">
        <v>45000</v>
      </c>
      <c r="AF1591" s="7">
        <v>1</v>
      </c>
      <c r="AG1591" s="7">
        <v>45000</v>
      </c>
      <c r="AH1591" s="7">
        <v>0</v>
      </c>
      <c r="AI1591" s="7">
        <v>45000</v>
      </c>
      <c r="AJ1591" t="s">
        <v>51</v>
      </c>
    </row>
    <row r="1592" spans="14:36" x14ac:dyDescent="0.3">
      <c r="N1592" s="8">
        <v>2026</v>
      </c>
      <c r="O1592" s="8">
        <v>4</v>
      </c>
      <c r="P1592" s="9">
        <v>46134</v>
      </c>
      <c r="Q1592" t="s">
        <v>238</v>
      </c>
      <c r="R1592" t="s">
        <v>374</v>
      </c>
      <c r="S1592" t="s">
        <v>375</v>
      </c>
      <c r="T1592" t="s">
        <v>766</v>
      </c>
      <c r="U1592" t="s">
        <v>767</v>
      </c>
      <c r="V1592" t="s">
        <v>246</v>
      </c>
      <c r="W1592" t="s">
        <v>244</v>
      </c>
      <c r="X1592" t="s">
        <v>2170</v>
      </c>
      <c r="Y1592" t="s">
        <v>168</v>
      </c>
      <c r="Z1592" t="s">
        <v>171</v>
      </c>
      <c r="AA1592" t="s">
        <v>173</v>
      </c>
      <c r="AB1592" t="s">
        <v>29</v>
      </c>
      <c r="AC1592" t="s">
        <v>27</v>
      </c>
      <c r="AD1592" t="s">
        <v>28</v>
      </c>
      <c r="AE1592" s="7">
        <v>290000</v>
      </c>
      <c r="AF1592" s="7">
        <v>1</v>
      </c>
      <c r="AG1592" s="7">
        <v>290000</v>
      </c>
      <c r="AH1592" s="7">
        <v>0</v>
      </c>
      <c r="AI1592" s="7">
        <v>290000</v>
      </c>
      <c r="AJ1592" t="s">
        <v>27</v>
      </c>
    </row>
    <row r="1593" spans="14:36" x14ac:dyDescent="0.3">
      <c r="N1593" s="8">
        <v>2026</v>
      </c>
      <c r="O1593" s="8">
        <v>4</v>
      </c>
      <c r="P1593" s="9">
        <v>46134</v>
      </c>
      <c r="Q1593" t="s">
        <v>238</v>
      </c>
      <c r="R1593" t="s">
        <v>374</v>
      </c>
      <c r="S1593" t="s">
        <v>375</v>
      </c>
      <c r="T1593" t="s">
        <v>2171</v>
      </c>
      <c r="U1593" t="s">
        <v>4101</v>
      </c>
      <c r="V1593" t="s">
        <v>246</v>
      </c>
      <c r="W1593" t="s">
        <v>244</v>
      </c>
      <c r="X1593" t="s">
        <v>2172</v>
      </c>
      <c r="Y1593" t="s">
        <v>194</v>
      </c>
      <c r="Z1593" t="s">
        <v>200</v>
      </c>
      <c r="AA1593" t="s">
        <v>201</v>
      </c>
      <c r="AB1593" t="s">
        <v>86</v>
      </c>
      <c r="AC1593" t="s">
        <v>84</v>
      </c>
      <c r="AD1593" t="s">
        <v>85</v>
      </c>
      <c r="AE1593" s="7">
        <v>49000</v>
      </c>
      <c r="AF1593" s="7">
        <v>1</v>
      </c>
      <c r="AG1593" s="7">
        <v>49000</v>
      </c>
      <c r="AH1593" s="7">
        <v>0</v>
      </c>
      <c r="AI1593" s="7">
        <v>49000</v>
      </c>
      <c r="AJ1593" t="s">
        <v>84</v>
      </c>
    </row>
    <row r="1594" spans="14:36" x14ac:dyDescent="0.3">
      <c r="N1594" s="8">
        <v>2026</v>
      </c>
      <c r="O1594" s="8">
        <v>4</v>
      </c>
      <c r="P1594" s="9">
        <v>46134</v>
      </c>
      <c r="Q1594" t="s">
        <v>238</v>
      </c>
      <c r="R1594" t="s">
        <v>425</v>
      </c>
      <c r="S1594" t="s">
        <v>426</v>
      </c>
      <c r="T1594" t="s">
        <v>2173</v>
      </c>
      <c r="U1594" t="s">
        <v>2174</v>
      </c>
      <c r="V1594" t="s">
        <v>249</v>
      </c>
      <c r="W1594" t="s">
        <v>244</v>
      </c>
      <c r="X1594" t="s">
        <v>2175</v>
      </c>
      <c r="Y1594" t="s">
        <v>194</v>
      </c>
      <c r="Z1594" t="s">
        <v>200</v>
      </c>
      <c r="AA1594" t="s">
        <v>201</v>
      </c>
      <c r="AB1594" t="s">
        <v>83</v>
      </c>
      <c r="AC1594" t="s">
        <v>81</v>
      </c>
      <c r="AD1594" t="s">
        <v>82</v>
      </c>
      <c r="AE1594" s="7">
        <v>46000</v>
      </c>
      <c r="AF1594" s="7">
        <v>1</v>
      </c>
      <c r="AG1594" s="7">
        <v>46000</v>
      </c>
      <c r="AH1594" s="7">
        <v>0</v>
      </c>
      <c r="AI1594" s="7">
        <v>46000</v>
      </c>
      <c r="AJ1594" t="s">
        <v>81</v>
      </c>
    </row>
    <row r="1595" spans="14:36" x14ac:dyDescent="0.3">
      <c r="N1595" s="8">
        <v>2026</v>
      </c>
      <c r="O1595" s="8">
        <v>4</v>
      </c>
      <c r="P1595" s="9">
        <v>46134</v>
      </c>
      <c r="Q1595" t="s">
        <v>238</v>
      </c>
      <c r="R1595" t="s">
        <v>425</v>
      </c>
      <c r="S1595" t="s">
        <v>426</v>
      </c>
      <c r="T1595" t="s">
        <v>620</v>
      </c>
      <c r="U1595" t="s">
        <v>621</v>
      </c>
      <c r="V1595" t="s">
        <v>246</v>
      </c>
      <c r="W1595" t="s">
        <v>244</v>
      </c>
      <c r="X1595" t="s">
        <v>2176</v>
      </c>
      <c r="Y1595" t="s">
        <v>183</v>
      </c>
      <c r="Z1595" t="s">
        <v>189</v>
      </c>
      <c r="AA1595" t="s">
        <v>190</v>
      </c>
      <c r="AB1595" t="s">
        <v>92</v>
      </c>
      <c r="AC1595" t="s">
        <v>90</v>
      </c>
      <c r="AD1595" t="s">
        <v>91</v>
      </c>
      <c r="AE1595" s="7">
        <v>52000</v>
      </c>
      <c r="AF1595" s="7">
        <v>1</v>
      </c>
      <c r="AG1595" s="7">
        <v>52000</v>
      </c>
      <c r="AH1595" s="7">
        <v>0</v>
      </c>
      <c r="AI1595" s="7">
        <v>52000</v>
      </c>
      <c r="AJ1595" t="s">
        <v>90</v>
      </c>
    </row>
    <row r="1596" spans="14:36" x14ac:dyDescent="0.3">
      <c r="N1596" s="8">
        <v>2026</v>
      </c>
      <c r="O1596" s="8">
        <v>4</v>
      </c>
      <c r="P1596" s="9">
        <v>46134</v>
      </c>
      <c r="Q1596" t="s">
        <v>238</v>
      </c>
      <c r="R1596" t="s">
        <v>425</v>
      </c>
      <c r="S1596" t="s">
        <v>426</v>
      </c>
      <c r="T1596" t="s">
        <v>2177</v>
      </c>
      <c r="U1596" t="s">
        <v>427</v>
      </c>
      <c r="V1596" t="s">
        <v>246</v>
      </c>
      <c r="W1596" t="s">
        <v>244</v>
      </c>
      <c r="X1596" t="s">
        <v>2178</v>
      </c>
      <c r="Y1596" t="s">
        <v>168</v>
      </c>
      <c r="Z1596" t="s">
        <v>171</v>
      </c>
      <c r="AA1596" t="s">
        <v>173</v>
      </c>
      <c r="AB1596" t="s">
        <v>29</v>
      </c>
      <c r="AC1596" t="s">
        <v>27</v>
      </c>
      <c r="AD1596" t="s">
        <v>28</v>
      </c>
      <c r="AE1596" s="7">
        <v>290000</v>
      </c>
      <c r="AF1596" s="7">
        <v>1</v>
      </c>
      <c r="AG1596" s="7">
        <v>290000</v>
      </c>
      <c r="AH1596" s="7">
        <v>0</v>
      </c>
      <c r="AI1596" s="7">
        <v>290000</v>
      </c>
      <c r="AJ1596" t="s">
        <v>27</v>
      </c>
    </row>
    <row r="1597" spans="14:36" x14ac:dyDescent="0.3">
      <c r="N1597" s="8">
        <v>2026</v>
      </c>
      <c r="O1597" s="8">
        <v>4</v>
      </c>
      <c r="P1597" s="9">
        <v>46133</v>
      </c>
      <c r="Q1597" t="s">
        <v>238</v>
      </c>
      <c r="R1597" t="s">
        <v>239</v>
      </c>
      <c r="S1597" t="s">
        <v>240</v>
      </c>
      <c r="T1597" t="s">
        <v>241</v>
      </c>
      <c r="U1597" t="s">
        <v>3655</v>
      </c>
      <c r="V1597" t="s">
        <v>243</v>
      </c>
      <c r="W1597" t="s">
        <v>244</v>
      </c>
      <c r="X1597" t="s">
        <v>2181</v>
      </c>
      <c r="Y1597" t="s">
        <v>168</v>
      </c>
      <c r="Z1597" t="s">
        <v>181</v>
      </c>
      <c r="AA1597" t="s">
        <v>182</v>
      </c>
      <c r="AB1597" t="s">
        <v>53</v>
      </c>
      <c r="AC1597" t="s">
        <v>51</v>
      </c>
      <c r="AD1597" t="s">
        <v>52</v>
      </c>
      <c r="AE1597" s="7">
        <v>45000</v>
      </c>
      <c r="AF1597" s="7">
        <v>1</v>
      </c>
      <c r="AG1597" s="7">
        <v>45000</v>
      </c>
      <c r="AH1597" s="7">
        <v>0</v>
      </c>
      <c r="AI1597" s="7">
        <v>45000</v>
      </c>
      <c r="AJ1597" t="s">
        <v>51</v>
      </c>
    </row>
    <row r="1598" spans="14:36" x14ac:dyDescent="0.3">
      <c r="N1598" s="8">
        <v>2026</v>
      </c>
      <c r="O1598" s="8">
        <v>4</v>
      </c>
      <c r="P1598" s="9">
        <v>46133</v>
      </c>
      <c r="Q1598" t="s">
        <v>238</v>
      </c>
      <c r="R1598" t="s">
        <v>239</v>
      </c>
      <c r="S1598" t="s">
        <v>240</v>
      </c>
      <c r="T1598" t="s">
        <v>241</v>
      </c>
      <c r="U1598" t="s">
        <v>3655</v>
      </c>
      <c r="V1598" t="s">
        <v>243</v>
      </c>
      <c r="W1598" t="s">
        <v>244</v>
      </c>
      <c r="X1598" t="s">
        <v>2182</v>
      </c>
      <c r="Y1598" t="s">
        <v>168</v>
      </c>
      <c r="Z1598" t="s">
        <v>181</v>
      </c>
      <c r="AA1598" t="s">
        <v>182</v>
      </c>
      <c r="AB1598" t="s">
        <v>53</v>
      </c>
      <c r="AC1598" t="s">
        <v>51</v>
      </c>
      <c r="AD1598" t="s">
        <v>52</v>
      </c>
      <c r="AE1598" s="7">
        <v>45000</v>
      </c>
      <c r="AF1598" s="7">
        <v>2</v>
      </c>
      <c r="AG1598" s="7">
        <v>90000</v>
      </c>
      <c r="AH1598" s="7">
        <v>0</v>
      </c>
      <c r="AI1598" s="7">
        <v>90000</v>
      </c>
      <c r="AJ1598" t="s">
        <v>51</v>
      </c>
    </row>
    <row r="1599" spans="14:36" x14ac:dyDescent="0.3">
      <c r="N1599" s="8">
        <v>2026</v>
      </c>
      <c r="O1599" s="8">
        <v>4</v>
      </c>
      <c r="P1599" s="9">
        <v>46133</v>
      </c>
      <c r="Q1599" t="s">
        <v>238</v>
      </c>
      <c r="R1599" t="s">
        <v>239</v>
      </c>
      <c r="S1599" t="s">
        <v>240</v>
      </c>
      <c r="T1599" t="s">
        <v>2183</v>
      </c>
      <c r="U1599" t="s">
        <v>544</v>
      </c>
      <c r="V1599" t="s">
        <v>246</v>
      </c>
      <c r="W1599" t="s">
        <v>244</v>
      </c>
      <c r="X1599" t="s">
        <v>2184</v>
      </c>
      <c r="Y1599" t="s">
        <v>194</v>
      </c>
      <c r="Z1599" t="s">
        <v>200</v>
      </c>
      <c r="AA1599" t="s">
        <v>201</v>
      </c>
      <c r="AB1599" t="s">
        <v>89</v>
      </c>
      <c r="AC1599" t="s">
        <v>87</v>
      </c>
      <c r="AD1599" t="s">
        <v>88</v>
      </c>
      <c r="AE1599" s="7">
        <v>46000</v>
      </c>
      <c r="AF1599" s="7">
        <v>1</v>
      </c>
      <c r="AG1599" s="7">
        <v>46000</v>
      </c>
      <c r="AH1599" s="7">
        <v>0</v>
      </c>
      <c r="AI1599" s="7">
        <v>46000</v>
      </c>
      <c r="AJ1599" t="s">
        <v>87</v>
      </c>
    </row>
    <row r="1600" spans="14:36" x14ac:dyDescent="0.3">
      <c r="N1600" s="8">
        <v>2026</v>
      </c>
      <c r="O1600" s="8">
        <v>4</v>
      </c>
      <c r="P1600" s="9">
        <v>46133</v>
      </c>
      <c r="Q1600" t="s">
        <v>238</v>
      </c>
      <c r="R1600" t="s">
        <v>239</v>
      </c>
      <c r="S1600" t="s">
        <v>240</v>
      </c>
      <c r="T1600" t="s">
        <v>2185</v>
      </c>
      <c r="U1600" t="s">
        <v>2186</v>
      </c>
      <c r="V1600" t="s">
        <v>246</v>
      </c>
      <c r="W1600" t="s">
        <v>244</v>
      </c>
      <c r="X1600" t="s">
        <v>2187</v>
      </c>
      <c r="Y1600" t="s">
        <v>168</v>
      </c>
      <c r="Z1600" t="s">
        <v>171</v>
      </c>
      <c r="AA1600" t="s">
        <v>172</v>
      </c>
      <c r="AB1600" t="s">
        <v>11</v>
      </c>
      <c r="AC1600" t="s">
        <v>9</v>
      </c>
      <c r="AD1600" t="s">
        <v>10</v>
      </c>
      <c r="AE1600" s="7">
        <v>129000</v>
      </c>
      <c r="AF1600" s="7">
        <v>1</v>
      </c>
      <c r="AG1600" s="7">
        <v>129000</v>
      </c>
      <c r="AH1600" s="7">
        <v>0</v>
      </c>
      <c r="AI1600" s="7">
        <v>129000</v>
      </c>
      <c r="AJ1600" t="s">
        <v>9</v>
      </c>
    </row>
    <row r="1601" spans="14:36" x14ac:dyDescent="0.3">
      <c r="N1601" s="8">
        <v>2026</v>
      </c>
      <c r="O1601" s="8">
        <v>4</v>
      </c>
      <c r="P1601" s="9">
        <v>46133</v>
      </c>
      <c r="Q1601" t="s">
        <v>238</v>
      </c>
      <c r="R1601" t="s">
        <v>239</v>
      </c>
      <c r="S1601" t="s">
        <v>240</v>
      </c>
      <c r="T1601" t="s">
        <v>2185</v>
      </c>
      <c r="U1601" t="s">
        <v>2186</v>
      </c>
      <c r="V1601" t="s">
        <v>246</v>
      </c>
      <c r="W1601" t="s">
        <v>244</v>
      </c>
      <c r="X1601" t="s">
        <v>2187</v>
      </c>
      <c r="Y1601" t="s">
        <v>194</v>
      </c>
      <c r="Z1601" t="s">
        <v>195</v>
      </c>
      <c r="AA1601" t="s">
        <v>196</v>
      </c>
      <c r="AB1601" t="s">
        <v>68</v>
      </c>
      <c r="AC1601" t="s">
        <v>66</v>
      </c>
      <c r="AD1601" t="s">
        <v>67</v>
      </c>
      <c r="AE1601" s="7">
        <v>360000</v>
      </c>
      <c r="AF1601" s="7">
        <v>1</v>
      </c>
      <c r="AG1601" s="7">
        <v>360000</v>
      </c>
      <c r="AH1601" s="7">
        <v>0</v>
      </c>
      <c r="AI1601" s="7">
        <v>360000</v>
      </c>
      <c r="AJ1601" t="s">
        <v>66</v>
      </c>
    </row>
    <row r="1602" spans="14:36" x14ac:dyDescent="0.3">
      <c r="N1602" s="8">
        <v>2026</v>
      </c>
      <c r="O1602" s="8">
        <v>4</v>
      </c>
      <c r="P1602" s="9">
        <v>46133</v>
      </c>
      <c r="Q1602" t="s">
        <v>238</v>
      </c>
      <c r="R1602" t="s">
        <v>239</v>
      </c>
      <c r="S1602" t="s">
        <v>240</v>
      </c>
      <c r="T1602" t="s">
        <v>2188</v>
      </c>
      <c r="U1602" t="s">
        <v>4102</v>
      </c>
      <c r="V1602" t="s">
        <v>246</v>
      </c>
      <c r="W1602" t="s">
        <v>244</v>
      </c>
      <c r="X1602" t="s">
        <v>2189</v>
      </c>
      <c r="Y1602" t="s">
        <v>168</v>
      </c>
      <c r="Z1602" t="s">
        <v>181</v>
      </c>
      <c r="AA1602" t="s">
        <v>182</v>
      </c>
      <c r="AB1602" t="s">
        <v>53</v>
      </c>
      <c r="AC1602" t="s">
        <v>51</v>
      </c>
      <c r="AD1602" t="s">
        <v>52</v>
      </c>
      <c r="AE1602" s="7">
        <v>45000</v>
      </c>
      <c r="AF1602" s="7">
        <v>1</v>
      </c>
      <c r="AG1602" s="7">
        <v>45000</v>
      </c>
      <c r="AH1602" s="7">
        <v>0</v>
      </c>
      <c r="AI1602" s="7">
        <v>45000</v>
      </c>
      <c r="AJ1602" t="s">
        <v>51</v>
      </c>
    </row>
    <row r="1603" spans="14:36" x14ac:dyDescent="0.3">
      <c r="N1603" s="8">
        <v>2026</v>
      </c>
      <c r="O1603" s="8">
        <v>4</v>
      </c>
      <c r="P1603" s="9">
        <v>46133</v>
      </c>
      <c r="Q1603" t="s">
        <v>238</v>
      </c>
      <c r="R1603" t="s">
        <v>239</v>
      </c>
      <c r="S1603" t="s">
        <v>240</v>
      </c>
      <c r="T1603" t="s">
        <v>2190</v>
      </c>
      <c r="U1603" t="s">
        <v>2191</v>
      </c>
      <c r="V1603" t="s">
        <v>246</v>
      </c>
      <c r="W1603" t="s">
        <v>244</v>
      </c>
      <c r="X1603" t="s">
        <v>2192</v>
      </c>
      <c r="Y1603" t="s">
        <v>191</v>
      </c>
      <c r="Z1603" t="s">
        <v>335</v>
      </c>
      <c r="AA1603" t="s">
        <v>336</v>
      </c>
      <c r="AB1603" t="s">
        <v>1146</v>
      </c>
      <c r="AC1603" t="s">
        <v>1147</v>
      </c>
      <c r="AD1603" t="s">
        <v>1148</v>
      </c>
      <c r="AE1603" s="7">
        <v>54450</v>
      </c>
      <c r="AF1603" s="7">
        <v>2</v>
      </c>
      <c r="AG1603" s="7">
        <v>108900</v>
      </c>
      <c r="AH1603" s="7">
        <v>0</v>
      </c>
      <c r="AI1603" s="7">
        <v>108900</v>
      </c>
      <c r="AJ1603" t="s">
        <v>1147</v>
      </c>
    </row>
    <row r="1604" spans="14:36" x14ac:dyDescent="0.3">
      <c r="N1604" s="8">
        <v>2026</v>
      </c>
      <c r="O1604" s="8">
        <v>4</v>
      </c>
      <c r="P1604" s="9">
        <v>46133</v>
      </c>
      <c r="Q1604" t="s">
        <v>238</v>
      </c>
      <c r="R1604" t="s">
        <v>239</v>
      </c>
      <c r="S1604" t="s">
        <v>240</v>
      </c>
      <c r="T1604" t="s">
        <v>1403</v>
      </c>
      <c r="U1604" t="s">
        <v>3866</v>
      </c>
      <c r="V1604" t="s">
        <v>246</v>
      </c>
      <c r="W1604" t="s">
        <v>244</v>
      </c>
      <c r="X1604" t="s">
        <v>2193</v>
      </c>
      <c r="Y1604" t="s">
        <v>191</v>
      </c>
      <c r="Z1604" t="s">
        <v>335</v>
      </c>
      <c r="AA1604" t="s">
        <v>336</v>
      </c>
      <c r="AB1604" t="s">
        <v>1146</v>
      </c>
      <c r="AC1604" t="s">
        <v>1147</v>
      </c>
      <c r="AD1604" t="s">
        <v>1148</v>
      </c>
      <c r="AE1604" s="7">
        <v>99000</v>
      </c>
      <c r="AF1604" s="7">
        <v>1</v>
      </c>
      <c r="AG1604" s="7">
        <v>99000</v>
      </c>
      <c r="AH1604" s="7">
        <v>0</v>
      </c>
      <c r="AI1604" s="7">
        <v>99000</v>
      </c>
      <c r="AJ1604" t="s">
        <v>1147</v>
      </c>
    </row>
    <row r="1605" spans="14:36" x14ac:dyDescent="0.3">
      <c r="N1605" s="8">
        <v>2026</v>
      </c>
      <c r="O1605" s="8">
        <v>4</v>
      </c>
      <c r="P1605" s="9">
        <v>46133</v>
      </c>
      <c r="Q1605" t="s">
        <v>238</v>
      </c>
      <c r="R1605" t="s">
        <v>279</v>
      </c>
      <c r="S1605" t="s">
        <v>280</v>
      </c>
      <c r="T1605" t="s">
        <v>2194</v>
      </c>
      <c r="U1605" t="s">
        <v>3546</v>
      </c>
      <c r="V1605" t="s">
        <v>246</v>
      </c>
      <c r="W1605" t="s">
        <v>244</v>
      </c>
      <c r="X1605" t="s">
        <v>2195</v>
      </c>
      <c r="Y1605" t="s">
        <v>191</v>
      </c>
      <c r="Z1605" t="s">
        <v>335</v>
      </c>
      <c r="AA1605" t="s">
        <v>337</v>
      </c>
      <c r="AB1605" t="s">
        <v>541</v>
      </c>
      <c r="AC1605" t="s">
        <v>542</v>
      </c>
      <c r="AD1605" t="s">
        <v>543</v>
      </c>
      <c r="AE1605" s="7">
        <v>69000</v>
      </c>
      <c r="AF1605" s="7">
        <v>1</v>
      </c>
      <c r="AG1605" s="7">
        <v>69000</v>
      </c>
      <c r="AH1605" s="7">
        <v>0</v>
      </c>
      <c r="AI1605" s="7">
        <v>69000</v>
      </c>
      <c r="AJ1605" t="s">
        <v>542</v>
      </c>
    </row>
    <row r="1606" spans="14:36" x14ac:dyDescent="0.3">
      <c r="N1606" s="8">
        <v>2026</v>
      </c>
      <c r="O1606" s="8">
        <v>4</v>
      </c>
      <c r="P1606" s="9">
        <v>46133</v>
      </c>
      <c r="Q1606" t="s">
        <v>238</v>
      </c>
      <c r="R1606" t="s">
        <v>279</v>
      </c>
      <c r="S1606" t="s">
        <v>280</v>
      </c>
      <c r="T1606" t="s">
        <v>2196</v>
      </c>
      <c r="U1606" t="s">
        <v>413</v>
      </c>
      <c r="V1606" t="s">
        <v>246</v>
      </c>
      <c r="W1606" t="s">
        <v>244</v>
      </c>
      <c r="X1606" t="s">
        <v>2197</v>
      </c>
      <c r="Y1606" t="s">
        <v>191</v>
      </c>
      <c r="Z1606" t="s">
        <v>335</v>
      </c>
      <c r="AA1606" t="s">
        <v>337</v>
      </c>
      <c r="AB1606" t="s">
        <v>656</v>
      </c>
      <c r="AC1606" t="s">
        <v>657</v>
      </c>
      <c r="AD1606" t="s">
        <v>658</v>
      </c>
      <c r="AE1606" s="7">
        <v>35000</v>
      </c>
      <c r="AF1606" s="7">
        <v>1</v>
      </c>
      <c r="AG1606" s="7">
        <v>35000</v>
      </c>
      <c r="AH1606" s="7">
        <v>0</v>
      </c>
      <c r="AI1606" s="7">
        <v>35000</v>
      </c>
      <c r="AJ1606" t="s">
        <v>657</v>
      </c>
    </row>
    <row r="1607" spans="14:36" x14ac:dyDescent="0.3">
      <c r="N1607" s="8">
        <v>2026</v>
      </c>
      <c r="O1607" s="8">
        <v>4</v>
      </c>
      <c r="P1607" s="9">
        <v>46133</v>
      </c>
      <c r="Q1607" t="s">
        <v>238</v>
      </c>
      <c r="R1607" t="s">
        <v>303</v>
      </c>
      <c r="S1607" t="s">
        <v>304</v>
      </c>
      <c r="T1607" t="s">
        <v>453</v>
      </c>
      <c r="U1607" t="s">
        <v>454</v>
      </c>
      <c r="V1607" t="s">
        <v>246</v>
      </c>
      <c r="W1607" t="s">
        <v>244</v>
      </c>
      <c r="X1607" t="s">
        <v>2200</v>
      </c>
      <c r="Y1607" t="s">
        <v>191</v>
      </c>
      <c r="Z1607" t="s">
        <v>335</v>
      </c>
      <c r="AA1607" t="s">
        <v>337</v>
      </c>
      <c r="AB1607" t="s">
        <v>719</v>
      </c>
      <c r="AC1607" t="s">
        <v>720</v>
      </c>
      <c r="AD1607" t="s">
        <v>721</v>
      </c>
      <c r="AE1607" s="7">
        <v>104000</v>
      </c>
      <c r="AF1607" s="7">
        <v>1</v>
      </c>
      <c r="AG1607" s="7">
        <v>104000</v>
      </c>
      <c r="AH1607" s="7">
        <v>0</v>
      </c>
      <c r="AI1607" s="7">
        <v>104000</v>
      </c>
      <c r="AJ1607" t="s">
        <v>720</v>
      </c>
    </row>
    <row r="1608" spans="14:36" x14ac:dyDescent="0.3">
      <c r="N1608" s="8">
        <v>2026</v>
      </c>
      <c r="O1608" s="8">
        <v>4</v>
      </c>
      <c r="P1608" s="9">
        <v>46133</v>
      </c>
      <c r="Q1608" t="s">
        <v>238</v>
      </c>
      <c r="R1608" t="s">
        <v>303</v>
      </c>
      <c r="S1608" t="s">
        <v>304</v>
      </c>
      <c r="T1608" t="s">
        <v>305</v>
      </c>
      <c r="U1608" t="s">
        <v>306</v>
      </c>
      <c r="V1608" t="s">
        <v>243</v>
      </c>
      <c r="W1608" t="s">
        <v>244</v>
      </c>
      <c r="X1608" t="s">
        <v>2201</v>
      </c>
      <c r="Y1608" t="s">
        <v>191</v>
      </c>
      <c r="Z1608" t="s">
        <v>192</v>
      </c>
      <c r="AA1608" t="s">
        <v>283</v>
      </c>
      <c r="AB1608" t="s">
        <v>107</v>
      </c>
      <c r="AC1608" t="s">
        <v>105</v>
      </c>
      <c r="AD1608" t="s">
        <v>106</v>
      </c>
      <c r="AE1608" s="7">
        <v>235000</v>
      </c>
      <c r="AF1608" s="7">
        <v>1</v>
      </c>
      <c r="AG1608" s="7">
        <v>235000</v>
      </c>
      <c r="AH1608" s="7">
        <v>0</v>
      </c>
      <c r="AI1608" s="7">
        <v>235000</v>
      </c>
      <c r="AJ1608" t="s">
        <v>105</v>
      </c>
    </row>
    <row r="1609" spans="14:36" x14ac:dyDescent="0.3">
      <c r="N1609" s="8">
        <v>2026</v>
      </c>
      <c r="O1609" s="8">
        <v>4</v>
      </c>
      <c r="P1609" s="9">
        <v>46133</v>
      </c>
      <c r="Q1609" t="s">
        <v>238</v>
      </c>
      <c r="R1609" t="s">
        <v>303</v>
      </c>
      <c r="S1609" t="s">
        <v>304</v>
      </c>
      <c r="T1609" t="s">
        <v>403</v>
      </c>
      <c r="U1609" t="s">
        <v>4103</v>
      </c>
      <c r="V1609" t="s">
        <v>246</v>
      </c>
      <c r="W1609" t="s">
        <v>244</v>
      </c>
      <c r="X1609" t="s">
        <v>2202</v>
      </c>
      <c r="Y1609" t="s">
        <v>191</v>
      </c>
      <c r="Z1609" t="s">
        <v>335</v>
      </c>
      <c r="AA1609" t="s">
        <v>336</v>
      </c>
      <c r="AB1609" t="s">
        <v>606</v>
      </c>
      <c r="AC1609" t="s">
        <v>607</v>
      </c>
      <c r="AD1609" t="s">
        <v>608</v>
      </c>
      <c r="AE1609" s="7">
        <v>105000</v>
      </c>
      <c r="AF1609" s="7">
        <v>2</v>
      </c>
      <c r="AG1609" s="7">
        <v>210000</v>
      </c>
      <c r="AH1609" s="7">
        <v>0</v>
      </c>
      <c r="AI1609" s="7">
        <v>210000</v>
      </c>
      <c r="AJ1609" t="s">
        <v>607</v>
      </c>
    </row>
    <row r="1610" spans="14:36" x14ac:dyDescent="0.3">
      <c r="N1610" s="8">
        <v>2026</v>
      </c>
      <c r="O1610" s="8">
        <v>4</v>
      </c>
      <c r="P1610" s="9">
        <v>46133</v>
      </c>
      <c r="Q1610" t="s">
        <v>238</v>
      </c>
      <c r="R1610" t="s">
        <v>303</v>
      </c>
      <c r="S1610" t="s">
        <v>304</v>
      </c>
      <c r="T1610" t="s">
        <v>1649</v>
      </c>
      <c r="U1610" t="s">
        <v>1650</v>
      </c>
      <c r="V1610" t="s">
        <v>246</v>
      </c>
      <c r="W1610" t="s">
        <v>244</v>
      </c>
      <c r="X1610" t="s">
        <v>2203</v>
      </c>
      <c r="Y1610" t="s">
        <v>191</v>
      </c>
      <c r="Z1610" t="s">
        <v>192</v>
      </c>
      <c r="AA1610" t="s">
        <v>193</v>
      </c>
      <c r="AB1610" t="s">
        <v>119</v>
      </c>
      <c r="AC1610" t="s">
        <v>117</v>
      </c>
      <c r="AD1610" t="s">
        <v>118</v>
      </c>
      <c r="AE1610" s="7">
        <v>235000</v>
      </c>
      <c r="AF1610" s="7">
        <v>1</v>
      </c>
      <c r="AG1610" s="7">
        <v>235000</v>
      </c>
      <c r="AH1610" s="7">
        <v>0</v>
      </c>
      <c r="AI1610" s="7">
        <v>235000</v>
      </c>
      <c r="AJ1610" t="s">
        <v>117</v>
      </c>
    </row>
    <row r="1611" spans="14:36" x14ac:dyDescent="0.3">
      <c r="N1611" s="8">
        <v>2026</v>
      </c>
      <c r="O1611" s="8">
        <v>4</v>
      </c>
      <c r="P1611" s="9">
        <v>46133</v>
      </c>
      <c r="Q1611" t="s">
        <v>238</v>
      </c>
      <c r="R1611" t="s">
        <v>303</v>
      </c>
      <c r="S1611" t="s">
        <v>304</v>
      </c>
      <c r="T1611" t="s">
        <v>2204</v>
      </c>
      <c r="U1611" t="s">
        <v>4104</v>
      </c>
      <c r="V1611" t="s">
        <v>246</v>
      </c>
      <c r="W1611" t="s">
        <v>244</v>
      </c>
      <c r="X1611" t="s">
        <v>2205</v>
      </c>
      <c r="Y1611" t="s">
        <v>191</v>
      </c>
      <c r="Z1611" t="s">
        <v>192</v>
      </c>
      <c r="AA1611" t="s">
        <v>193</v>
      </c>
      <c r="AB1611" t="s">
        <v>119</v>
      </c>
      <c r="AC1611" t="s">
        <v>117</v>
      </c>
      <c r="AD1611" t="s">
        <v>118</v>
      </c>
      <c r="AE1611" s="7">
        <v>235000</v>
      </c>
      <c r="AF1611" s="7">
        <v>1</v>
      </c>
      <c r="AG1611" s="7">
        <v>235000</v>
      </c>
      <c r="AH1611" s="7">
        <v>0</v>
      </c>
      <c r="AI1611" s="7">
        <v>235000</v>
      </c>
      <c r="AJ1611" t="s">
        <v>117</v>
      </c>
    </row>
    <row r="1612" spans="14:36" x14ac:dyDescent="0.3">
      <c r="N1612" s="8">
        <v>2026</v>
      </c>
      <c r="O1612" s="8">
        <v>4</v>
      </c>
      <c r="P1612" s="9">
        <v>46133</v>
      </c>
      <c r="Q1612" t="s">
        <v>238</v>
      </c>
      <c r="R1612" t="s">
        <v>303</v>
      </c>
      <c r="S1612" t="s">
        <v>304</v>
      </c>
      <c r="T1612" t="s">
        <v>2206</v>
      </c>
      <c r="U1612" t="s">
        <v>2206</v>
      </c>
      <c r="V1612" t="s">
        <v>249</v>
      </c>
      <c r="W1612" t="s">
        <v>244</v>
      </c>
      <c r="X1612" t="s">
        <v>2207</v>
      </c>
      <c r="Y1612" t="s">
        <v>168</v>
      </c>
      <c r="Z1612" t="s">
        <v>171</v>
      </c>
      <c r="AA1612" t="s">
        <v>173</v>
      </c>
      <c r="AB1612" t="s">
        <v>29</v>
      </c>
      <c r="AC1612" t="s">
        <v>27</v>
      </c>
      <c r="AD1612" t="s">
        <v>28</v>
      </c>
      <c r="AE1612" s="7">
        <v>290000</v>
      </c>
      <c r="AF1612" s="7">
        <v>1</v>
      </c>
      <c r="AG1612" s="7">
        <v>290000</v>
      </c>
      <c r="AH1612" s="7">
        <v>0</v>
      </c>
      <c r="AI1612" s="7">
        <v>290000</v>
      </c>
      <c r="AJ1612" t="s">
        <v>27</v>
      </c>
    </row>
    <row r="1613" spans="14:36" x14ac:dyDescent="0.3">
      <c r="N1613" s="8">
        <v>2026</v>
      </c>
      <c r="O1613" s="8">
        <v>4</v>
      </c>
      <c r="P1613" s="9">
        <v>46133</v>
      </c>
      <c r="Q1613" t="s">
        <v>238</v>
      </c>
      <c r="R1613" t="s">
        <v>303</v>
      </c>
      <c r="S1613" t="s">
        <v>304</v>
      </c>
      <c r="T1613" t="s">
        <v>2208</v>
      </c>
      <c r="U1613" t="s">
        <v>3887</v>
      </c>
      <c r="V1613" t="s">
        <v>246</v>
      </c>
      <c r="W1613" t="s">
        <v>244</v>
      </c>
      <c r="X1613" t="s">
        <v>2209</v>
      </c>
      <c r="Y1613" t="s">
        <v>191</v>
      </c>
      <c r="Z1613" t="s">
        <v>335</v>
      </c>
      <c r="AA1613" t="s">
        <v>336</v>
      </c>
      <c r="AB1613" t="s">
        <v>1518</v>
      </c>
      <c r="AC1613" t="s">
        <v>1519</v>
      </c>
      <c r="AD1613" t="s">
        <v>1520</v>
      </c>
      <c r="AE1613" s="7">
        <v>99000</v>
      </c>
      <c r="AF1613" s="7">
        <v>1</v>
      </c>
      <c r="AG1613" s="7">
        <v>99000</v>
      </c>
      <c r="AH1613" s="7">
        <v>0</v>
      </c>
      <c r="AI1613" s="7">
        <v>99000</v>
      </c>
      <c r="AJ1613" t="s">
        <v>1519</v>
      </c>
    </row>
    <row r="1614" spans="14:36" x14ac:dyDescent="0.3">
      <c r="N1614" s="8">
        <v>2026</v>
      </c>
      <c r="O1614" s="8">
        <v>4</v>
      </c>
      <c r="P1614" s="9">
        <v>46133</v>
      </c>
      <c r="Q1614" t="s">
        <v>238</v>
      </c>
      <c r="R1614" t="s">
        <v>351</v>
      </c>
      <c r="S1614" t="s">
        <v>352</v>
      </c>
      <c r="T1614" t="s">
        <v>2213</v>
      </c>
      <c r="U1614" t="s">
        <v>2214</v>
      </c>
      <c r="V1614" t="s">
        <v>246</v>
      </c>
      <c r="W1614" t="s">
        <v>244</v>
      </c>
      <c r="X1614" t="s">
        <v>2215</v>
      </c>
      <c r="Y1614" t="s">
        <v>191</v>
      </c>
      <c r="Z1614" t="s">
        <v>335</v>
      </c>
      <c r="AA1614" t="s">
        <v>337</v>
      </c>
      <c r="AB1614" t="s">
        <v>656</v>
      </c>
      <c r="AC1614" t="s">
        <v>657</v>
      </c>
      <c r="AD1614" t="s">
        <v>658</v>
      </c>
      <c r="AE1614" s="7">
        <v>35000</v>
      </c>
      <c r="AF1614" s="7">
        <v>3</v>
      </c>
      <c r="AG1614" s="7">
        <v>105000</v>
      </c>
      <c r="AH1614" s="7">
        <v>0</v>
      </c>
      <c r="AI1614" s="7">
        <v>105000</v>
      </c>
      <c r="AJ1614" t="s">
        <v>657</v>
      </c>
    </row>
    <row r="1615" spans="14:36" x14ac:dyDescent="0.3">
      <c r="N1615" s="8">
        <v>2026</v>
      </c>
      <c r="O1615" s="8">
        <v>4</v>
      </c>
      <c r="P1615" s="9">
        <v>46133</v>
      </c>
      <c r="Q1615" t="s">
        <v>238</v>
      </c>
      <c r="R1615" t="s">
        <v>374</v>
      </c>
      <c r="S1615" t="s">
        <v>375</v>
      </c>
      <c r="T1615" t="s">
        <v>376</v>
      </c>
      <c r="U1615" t="s">
        <v>377</v>
      </c>
      <c r="V1615" t="s">
        <v>243</v>
      </c>
      <c r="W1615" t="s">
        <v>244</v>
      </c>
      <c r="X1615" t="s">
        <v>2216</v>
      </c>
      <c r="Y1615" t="s">
        <v>194</v>
      </c>
      <c r="Z1615" t="s">
        <v>200</v>
      </c>
      <c r="AA1615" t="s">
        <v>201</v>
      </c>
      <c r="AB1615" t="s">
        <v>89</v>
      </c>
      <c r="AC1615" t="s">
        <v>87</v>
      </c>
      <c r="AD1615" t="s">
        <v>88</v>
      </c>
      <c r="AE1615" s="7">
        <v>46000</v>
      </c>
      <c r="AF1615" s="7">
        <v>1</v>
      </c>
      <c r="AG1615" s="7">
        <v>46000</v>
      </c>
      <c r="AH1615" s="7">
        <v>0</v>
      </c>
      <c r="AI1615" s="7">
        <v>46000</v>
      </c>
      <c r="AJ1615" t="s">
        <v>87</v>
      </c>
    </row>
    <row r="1616" spans="14:36" x14ac:dyDescent="0.3">
      <c r="N1616" s="8">
        <v>2026</v>
      </c>
      <c r="O1616" s="8">
        <v>4</v>
      </c>
      <c r="P1616" s="9">
        <v>46133</v>
      </c>
      <c r="Q1616" t="s">
        <v>238</v>
      </c>
      <c r="R1616" t="s">
        <v>374</v>
      </c>
      <c r="S1616" t="s">
        <v>375</v>
      </c>
      <c r="T1616" t="s">
        <v>376</v>
      </c>
      <c r="U1616" t="s">
        <v>377</v>
      </c>
      <c r="V1616" t="s">
        <v>243</v>
      </c>
      <c r="W1616" t="s">
        <v>244</v>
      </c>
      <c r="X1616" t="s">
        <v>2217</v>
      </c>
      <c r="Y1616" t="s">
        <v>194</v>
      </c>
      <c r="Z1616" t="s">
        <v>200</v>
      </c>
      <c r="AA1616" t="s">
        <v>201</v>
      </c>
      <c r="AB1616" t="s">
        <v>80</v>
      </c>
      <c r="AC1616" t="s">
        <v>78</v>
      </c>
      <c r="AD1616" t="s">
        <v>79</v>
      </c>
      <c r="AE1616" s="7">
        <v>14000</v>
      </c>
      <c r="AF1616" s="7">
        <v>1</v>
      </c>
      <c r="AG1616" s="7">
        <v>14000</v>
      </c>
      <c r="AH1616" s="7">
        <v>0</v>
      </c>
      <c r="AI1616" s="7">
        <v>14000</v>
      </c>
      <c r="AJ1616" t="s">
        <v>78</v>
      </c>
    </row>
    <row r="1617" spans="14:36" x14ac:dyDescent="0.3">
      <c r="N1617" s="8">
        <v>2026</v>
      </c>
      <c r="O1617" s="8">
        <v>4</v>
      </c>
      <c r="P1617" s="9">
        <v>46133</v>
      </c>
      <c r="Q1617" t="s">
        <v>238</v>
      </c>
      <c r="R1617" t="s">
        <v>374</v>
      </c>
      <c r="S1617" t="s">
        <v>375</v>
      </c>
      <c r="T1617" t="s">
        <v>2218</v>
      </c>
      <c r="U1617" t="s">
        <v>2219</v>
      </c>
      <c r="V1617" t="s">
        <v>246</v>
      </c>
      <c r="W1617" t="s">
        <v>244</v>
      </c>
      <c r="X1617" t="s">
        <v>2220</v>
      </c>
      <c r="Y1617" t="s">
        <v>191</v>
      </c>
      <c r="Z1617" t="s">
        <v>335</v>
      </c>
      <c r="AA1617" t="s">
        <v>337</v>
      </c>
      <c r="AB1617" t="s">
        <v>348</v>
      </c>
      <c r="AC1617" t="s">
        <v>349</v>
      </c>
      <c r="AD1617" t="s">
        <v>350</v>
      </c>
      <c r="AE1617" s="7">
        <v>76000</v>
      </c>
      <c r="AF1617" s="7">
        <v>2</v>
      </c>
      <c r="AG1617" s="7">
        <v>152000</v>
      </c>
      <c r="AH1617" s="7">
        <v>0</v>
      </c>
      <c r="AI1617" s="7">
        <v>152000</v>
      </c>
      <c r="AJ1617" t="s">
        <v>349</v>
      </c>
    </row>
    <row r="1618" spans="14:36" x14ac:dyDescent="0.3">
      <c r="N1618" s="8">
        <v>2026</v>
      </c>
      <c r="O1618" s="8">
        <v>4</v>
      </c>
      <c r="P1618" s="9">
        <v>46133</v>
      </c>
      <c r="Q1618" t="s">
        <v>238</v>
      </c>
      <c r="R1618" t="s">
        <v>374</v>
      </c>
      <c r="S1618" t="s">
        <v>375</v>
      </c>
      <c r="T1618" t="s">
        <v>1377</v>
      </c>
      <c r="U1618" t="s">
        <v>1378</v>
      </c>
      <c r="V1618" t="s">
        <v>246</v>
      </c>
      <c r="W1618" t="s">
        <v>244</v>
      </c>
      <c r="X1618" t="s">
        <v>2221</v>
      </c>
      <c r="Y1618" t="s">
        <v>194</v>
      </c>
      <c r="Z1618" t="s">
        <v>200</v>
      </c>
      <c r="AA1618" t="s">
        <v>201</v>
      </c>
      <c r="AB1618" t="s">
        <v>80</v>
      </c>
      <c r="AC1618" t="s">
        <v>78</v>
      </c>
      <c r="AD1618" t="s">
        <v>79</v>
      </c>
      <c r="AE1618" s="7">
        <v>14000</v>
      </c>
      <c r="AF1618" s="7">
        <v>2</v>
      </c>
      <c r="AG1618" s="7">
        <v>28000</v>
      </c>
      <c r="AH1618" s="7">
        <v>0</v>
      </c>
      <c r="AI1618" s="7">
        <v>28000</v>
      </c>
      <c r="AJ1618" t="s">
        <v>78</v>
      </c>
    </row>
    <row r="1619" spans="14:36" x14ac:dyDescent="0.3">
      <c r="N1619" s="8">
        <v>2026</v>
      </c>
      <c r="O1619" s="8">
        <v>4</v>
      </c>
      <c r="P1619" s="9">
        <v>46133</v>
      </c>
      <c r="Q1619" t="s">
        <v>238</v>
      </c>
      <c r="R1619" t="s">
        <v>425</v>
      </c>
      <c r="S1619" t="s">
        <v>426</v>
      </c>
      <c r="T1619" t="s">
        <v>2223</v>
      </c>
      <c r="U1619" t="s">
        <v>2224</v>
      </c>
      <c r="V1619" t="s">
        <v>249</v>
      </c>
      <c r="W1619" t="s">
        <v>244</v>
      </c>
      <c r="X1619" t="s">
        <v>2225</v>
      </c>
      <c r="Y1619" t="s">
        <v>191</v>
      </c>
      <c r="Z1619" t="s">
        <v>335</v>
      </c>
      <c r="AA1619" t="s">
        <v>336</v>
      </c>
      <c r="AB1619" t="s">
        <v>1146</v>
      </c>
      <c r="AC1619" t="s">
        <v>1147</v>
      </c>
      <c r="AD1619" t="s">
        <v>1148</v>
      </c>
      <c r="AE1619" s="7">
        <v>54450</v>
      </c>
      <c r="AF1619" s="7">
        <v>1</v>
      </c>
      <c r="AG1619" s="7">
        <v>54450</v>
      </c>
      <c r="AH1619" s="7">
        <v>0</v>
      </c>
      <c r="AI1619" s="7">
        <v>54450</v>
      </c>
      <c r="AJ1619" t="s">
        <v>1147</v>
      </c>
    </row>
    <row r="1620" spans="14:36" x14ac:dyDescent="0.3">
      <c r="N1620" s="8">
        <v>2026</v>
      </c>
      <c r="O1620" s="8">
        <v>4</v>
      </c>
      <c r="P1620" s="9">
        <v>46133</v>
      </c>
      <c r="Q1620" t="s">
        <v>238</v>
      </c>
      <c r="R1620" t="s">
        <v>425</v>
      </c>
      <c r="S1620" t="s">
        <v>426</v>
      </c>
      <c r="T1620" t="s">
        <v>625</v>
      </c>
      <c r="U1620" t="s">
        <v>626</v>
      </c>
      <c r="V1620" t="s">
        <v>246</v>
      </c>
      <c r="W1620" t="s">
        <v>244</v>
      </c>
      <c r="X1620" t="s">
        <v>2226</v>
      </c>
      <c r="Y1620" t="s">
        <v>191</v>
      </c>
      <c r="Z1620" t="s">
        <v>192</v>
      </c>
      <c r="AA1620" t="s">
        <v>193</v>
      </c>
      <c r="AB1620" t="s">
        <v>113</v>
      </c>
      <c r="AC1620" t="s">
        <v>111</v>
      </c>
      <c r="AD1620" t="s">
        <v>112</v>
      </c>
      <c r="AE1620" s="7">
        <v>235000</v>
      </c>
      <c r="AF1620" s="7">
        <v>1</v>
      </c>
      <c r="AG1620" s="7">
        <v>235000</v>
      </c>
      <c r="AH1620" s="7">
        <v>0</v>
      </c>
      <c r="AI1620" s="7">
        <v>235000</v>
      </c>
      <c r="AJ1620" t="s">
        <v>111</v>
      </c>
    </row>
    <row r="1621" spans="14:36" x14ac:dyDescent="0.3">
      <c r="N1621" s="8">
        <v>2026</v>
      </c>
      <c r="O1621" s="8">
        <v>4</v>
      </c>
      <c r="P1621" s="9">
        <v>46133</v>
      </c>
      <c r="Q1621" t="s">
        <v>238</v>
      </c>
      <c r="R1621" t="s">
        <v>425</v>
      </c>
      <c r="S1621" t="s">
        <v>426</v>
      </c>
      <c r="T1621" t="s">
        <v>1615</v>
      </c>
      <c r="U1621" t="s">
        <v>259</v>
      </c>
      <c r="V1621" t="s">
        <v>246</v>
      </c>
      <c r="W1621" t="s">
        <v>244</v>
      </c>
      <c r="X1621" t="s">
        <v>2227</v>
      </c>
      <c r="Y1621" t="s">
        <v>194</v>
      </c>
      <c r="Z1621" t="s">
        <v>195</v>
      </c>
      <c r="AA1621" t="s">
        <v>196</v>
      </c>
      <c r="AB1621" t="s">
        <v>56</v>
      </c>
      <c r="AC1621" t="s">
        <v>54</v>
      </c>
      <c r="AD1621" t="s">
        <v>55</v>
      </c>
      <c r="AE1621" s="7">
        <v>295000</v>
      </c>
      <c r="AF1621" s="7">
        <v>1</v>
      </c>
      <c r="AG1621" s="7">
        <v>295000</v>
      </c>
      <c r="AH1621" s="7">
        <v>0</v>
      </c>
      <c r="AI1621" s="7">
        <v>295000</v>
      </c>
      <c r="AJ1621" t="s">
        <v>54</v>
      </c>
    </row>
    <row r="1622" spans="14:36" x14ac:dyDescent="0.3">
      <c r="N1622" s="8">
        <v>2026</v>
      </c>
      <c r="O1622" s="8">
        <v>4</v>
      </c>
      <c r="P1622" s="9">
        <v>46133</v>
      </c>
      <c r="Q1622" t="s">
        <v>238</v>
      </c>
      <c r="R1622" t="s">
        <v>425</v>
      </c>
      <c r="S1622" t="s">
        <v>426</v>
      </c>
      <c r="T1622" t="s">
        <v>2228</v>
      </c>
      <c r="U1622" t="s">
        <v>785</v>
      </c>
      <c r="V1622" t="s">
        <v>246</v>
      </c>
      <c r="W1622" t="s">
        <v>244</v>
      </c>
      <c r="X1622" t="s">
        <v>2229</v>
      </c>
      <c r="Y1622" t="s">
        <v>191</v>
      </c>
      <c r="Z1622" t="s">
        <v>192</v>
      </c>
      <c r="AA1622" t="s">
        <v>193</v>
      </c>
      <c r="AB1622" t="s">
        <v>119</v>
      </c>
      <c r="AC1622" t="s">
        <v>117</v>
      </c>
      <c r="AD1622" t="s">
        <v>118</v>
      </c>
      <c r="AE1622" s="7">
        <v>235000</v>
      </c>
      <c r="AF1622" s="7">
        <v>1</v>
      </c>
      <c r="AG1622" s="7">
        <v>235000</v>
      </c>
      <c r="AH1622" s="7">
        <v>0</v>
      </c>
      <c r="AI1622" s="7">
        <v>235000</v>
      </c>
      <c r="AJ1622" t="s">
        <v>117</v>
      </c>
    </row>
    <row r="1623" spans="14:36" x14ac:dyDescent="0.3">
      <c r="N1623" s="8">
        <v>2026</v>
      </c>
      <c r="O1623" s="8">
        <v>4</v>
      </c>
      <c r="P1623" s="9">
        <v>46132</v>
      </c>
      <c r="Q1623" t="s">
        <v>238</v>
      </c>
      <c r="R1623" t="s">
        <v>239</v>
      </c>
      <c r="S1623" t="s">
        <v>240</v>
      </c>
      <c r="T1623" t="s">
        <v>1177</v>
      </c>
      <c r="U1623" t="s">
        <v>1178</v>
      </c>
      <c r="V1623" t="s">
        <v>246</v>
      </c>
      <c r="W1623" t="s">
        <v>244</v>
      </c>
      <c r="X1623" t="s">
        <v>2230</v>
      </c>
      <c r="Y1623" t="s">
        <v>191</v>
      </c>
      <c r="Z1623" t="s">
        <v>192</v>
      </c>
      <c r="AA1623" t="s">
        <v>283</v>
      </c>
      <c r="AB1623" t="s">
        <v>107</v>
      </c>
      <c r="AC1623" t="s">
        <v>105</v>
      </c>
      <c r="AD1623" t="s">
        <v>106</v>
      </c>
      <c r="AE1623" s="7">
        <v>235000</v>
      </c>
      <c r="AF1623" s="7">
        <v>1</v>
      </c>
      <c r="AG1623" s="7">
        <v>235000</v>
      </c>
      <c r="AH1623" s="7">
        <v>0</v>
      </c>
      <c r="AI1623" s="7">
        <v>235000</v>
      </c>
      <c r="AJ1623" t="s">
        <v>105</v>
      </c>
    </row>
    <row r="1624" spans="14:36" x14ac:dyDescent="0.3">
      <c r="N1624" s="8">
        <v>2026</v>
      </c>
      <c r="O1624" s="8">
        <v>4</v>
      </c>
      <c r="P1624" s="9">
        <v>46132</v>
      </c>
      <c r="Q1624" t="s">
        <v>238</v>
      </c>
      <c r="R1624" t="s">
        <v>239</v>
      </c>
      <c r="S1624" t="s">
        <v>240</v>
      </c>
      <c r="T1624" t="s">
        <v>1336</v>
      </c>
      <c r="U1624" t="s">
        <v>4096</v>
      </c>
      <c r="V1624" t="s">
        <v>246</v>
      </c>
      <c r="W1624" t="s">
        <v>244</v>
      </c>
      <c r="X1624" t="s">
        <v>2231</v>
      </c>
      <c r="Y1624" t="s">
        <v>191</v>
      </c>
      <c r="Z1624" t="s">
        <v>335</v>
      </c>
      <c r="AA1624" t="s">
        <v>336</v>
      </c>
      <c r="AB1624" t="s">
        <v>1146</v>
      </c>
      <c r="AC1624" t="s">
        <v>1147</v>
      </c>
      <c r="AD1624" t="s">
        <v>1148</v>
      </c>
      <c r="AE1624" s="7">
        <v>54450</v>
      </c>
      <c r="AF1624" s="7">
        <v>2</v>
      </c>
      <c r="AG1624" s="7">
        <v>108900</v>
      </c>
      <c r="AH1624" s="7">
        <v>0</v>
      </c>
      <c r="AI1624" s="7">
        <v>108900</v>
      </c>
      <c r="AJ1624" t="s">
        <v>1147</v>
      </c>
    </row>
    <row r="1625" spans="14:36" x14ac:dyDescent="0.3">
      <c r="N1625" s="8">
        <v>2026</v>
      </c>
      <c r="O1625" s="8">
        <v>4</v>
      </c>
      <c r="P1625" s="9">
        <v>46132</v>
      </c>
      <c r="Q1625" t="s">
        <v>238</v>
      </c>
      <c r="R1625" t="s">
        <v>239</v>
      </c>
      <c r="S1625" t="s">
        <v>240</v>
      </c>
      <c r="T1625" t="s">
        <v>2232</v>
      </c>
      <c r="U1625" t="s">
        <v>4071</v>
      </c>
      <c r="V1625" t="s">
        <v>246</v>
      </c>
      <c r="W1625" t="s">
        <v>244</v>
      </c>
      <c r="X1625" t="s">
        <v>2233</v>
      </c>
      <c r="Y1625" t="s">
        <v>194</v>
      </c>
      <c r="Z1625" t="s">
        <v>200</v>
      </c>
      <c r="AA1625" t="s">
        <v>201</v>
      </c>
      <c r="AB1625" t="s">
        <v>80</v>
      </c>
      <c r="AC1625" t="s">
        <v>78</v>
      </c>
      <c r="AD1625" t="s">
        <v>79</v>
      </c>
      <c r="AE1625" s="7">
        <v>14000</v>
      </c>
      <c r="AF1625" s="7">
        <v>5</v>
      </c>
      <c r="AG1625" s="7">
        <v>70000</v>
      </c>
      <c r="AH1625" s="7">
        <v>0</v>
      </c>
      <c r="AI1625" s="7">
        <v>70000</v>
      </c>
      <c r="AJ1625" t="s">
        <v>78</v>
      </c>
    </row>
    <row r="1626" spans="14:36" x14ac:dyDescent="0.3">
      <c r="N1626" s="8">
        <v>2026</v>
      </c>
      <c r="O1626" s="8">
        <v>4</v>
      </c>
      <c r="P1626" s="9">
        <v>46132</v>
      </c>
      <c r="Q1626" t="s">
        <v>238</v>
      </c>
      <c r="R1626" t="s">
        <v>279</v>
      </c>
      <c r="S1626" t="s">
        <v>280</v>
      </c>
      <c r="T1626" t="s">
        <v>2234</v>
      </c>
      <c r="U1626" t="s">
        <v>4105</v>
      </c>
      <c r="V1626" t="s">
        <v>246</v>
      </c>
      <c r="W1626" t="s">
        <v>244</v>
      </c>
      <c r="X1626" t="s">
        <v>2235</v>
      </c>
      <c r="Y1626" t="s">
        <v>191</v>
      </c>
      <c r="Z1626" t="s">
        <v>335</v>
      </c>
      <c r="AA1626" t="s">
        <v>336</v>
      </c>
      <c r="AB1626" t="s">
        <v>1146</v>
      </c>
      <c r="AC1626" t="s">
        <v>1147</v>
      </c>
      <c r="AD1626" t="s">
        <v>1148</v>
      </c>
      <c r="AE1626" s="7">
        <v>99000</v>
      </c>
      <c r="AF1626" s="7">
        <v>1</v>
      </c>
      <c r="AG1626" s="7">
        <v>99000</v>
      </c>
      <c r="AH1626" s="7">
        <v>0</v>
      </c>
      <c r="AI1626" s="7">
        <v>99000</v>
      </c>
      <c r="AJ1626" t="s">
        <v>1147</v>
      </c>
    </row>
    <row r="1627" spans="14:36" x14ac:dyDescent="0.3">
      <c r="N1627" s="8">
        <v>2026</v>
      </c>
      <c r="O1627" s="8">
        <v>4</v>
      </c>
      <c r="P1627" s="9">
        <v>46132</v>
      </c>
      <c r="Q1627" t="s">
        <v>238</v>
      </c>
      <c r="R1627" t="s">
        <v>303</v>
      </c>
      <c r="S1627" t="s">
        <v>304</v>
      </c>
      <c r="T1627" t="s">
        <v>2236</v>
      </c>
      <c r="U1627" t="s">
        <v>830</v>
      </c>
      <c r="V1627" t="s">
        <v>246</v>
      </c>
      <c r="W1627" t="s">
        <v>244</v>
      </c>
      <c r="X1627" t="s">
        <v>2237</v>
      </c>
      <c r="Y1627" t="s">
        <v>191</v>
      </c>
      <c r="Z1627" t="s">
        <v>335</v>
      </c>
      <c r="AA1627" t="s">
        <v>337</v>
      </c>
      <c r="AB1627" t="s">
        <v>656</v>
      </c>
      <c r="AC1627" t="s">
        <v>657</v>
      </c>
      <c r="AD1627" t="s">
        <v>658</v>
      </c>
      <c r="AE1627" s="7">
        <v>35000</v>
      </c>
      <c r="AF1627" s="7">
        <v>1</v>
      </c>
      <c r="AG1627" s="7">
        <v>35000</v>
      </c>
      <c r="AH1627" s="7">
        <v>0</v>
      </c>
      <c r="AI1627" s="7">
        <v>35000</v>
      </c>
      <c r="AJ1627" t="s">
        <v>657</v>
      </c>
    </row>
    <row r="1628" spans="14:36" x14ac:dyDescent="0.3">
      <c r="N1628" s="8">
        <v>2026</v>
      </c>
      <c r="O1628" s="8">
        <v>4</v>
      </c>
      <c r="P1628" s="9">
        <v>46132</v>
      </c>
      <c r="Q1628" t="s">
        <v>238</v>
      </c>
      <c r="R1628" t="s">
        <v>303</v>
      </c>
      <c r="S1628" t="s">
        <v>304</v>
      </c>
      <c r="T1628" t="s">
        <v>2240</v>
      </c>
      <c r="U1628" t="s">
        <v>466</v>
      </c>
      <c r="V1628" t="s">
        <v>249</v>
      </c>
      <c r="W1628" t="s">
        <v>244</v>
      </c>
      <c r="X1628" t="s">
        <v>2241</v>
      </c>
      <c r="Y1628" t="s">
        <v>191</v>
      </c>
      <c r="Z1628" t="s">
        <v>192</v>
      </c>
      <c r="AA1628" t="s">
        <v>193</v>
      </c>
      <c r="AB1628" t="s">
        <v>119</v>
      </c>
      <c r="AC1628" t="s">
        <v>117</v>
      </c>
      <c r="AD1628" t="s">
        <v>118</v>
      </c>
      <c r="AE1628" s="7">
        <v>235000</v>
      </c>
      <c r="AF1628" s="7">
        <v>1</v>
      </c>
      <c r="AG1628" s="7">
        <v>235000</v>
      </c>
      <c r="AH1628" s="7">
        <v>0</v>
      </c>
      <c r="AI1628" s="7">
        <v>235000</v>
      </c>
      <c r="AJ1628" t="s">
        <v>117</v>
      </c>
    </row>
    <row r="1629" spans="14:36" x14ac:dyDescent="0.3">
      <c r="N1629" s="8">
        <v>2026</v>
      </c>
      <c r="O1629" s="8">
        <v>4</v>
      </c>
      <c r="P1629" s="9">
        <v>46132</v>
      </c>
      <c r="Q1629" t="s">
        <v>238</v>
      </c>
      <c r="R1629" t="s">
        <v>303</v>
      </c>
      <c r="S1629" t="s">
        <v>304</v>
      </c>
      <c r="T1629" t="s">
        <v>2242</v>
      </c>
      <c r="U1629" t="s">
        <v>677</v>
      </c>
      <c r="V1629" t="s">
        <v>246</v>
      </c>
      <c r="W1629" t="s">
        <v>244</v>
      </c>
      <c r="X1629" t="s">
        <v>2243</v>
      </c>
      <c r="Y1629" t="s">
        <v>191</v>
      </c>
      <c r="Z1629" t="s">
        <v>192</v>
      </c>
      <c r="AA1629" t="s">
        <v>283</v>
      </c>
      <c r="AB1629" t="s">
        <v>110</v>
      </c>
      <c r="AC1629" t="s">
        <v>108</v>
      </c>
      <c r="AD1629" t="s">
        <v>109</v>
      </c>
      <c r="AE1629" s="7">
        <v>235000</v>
      </c>
      <c r="AF1629" s="7">
        <v>1</v>
      </c>
      <c r="AG1629" s="7">
        <v>235000</v>
      </c>
      <c r="AH1629" s="7">
        <v>0</v>
      </c>
      <c r="AI1629" s="7">
        <v>235000</v>
      </c>
      <c r="AJ1629" t="s">
        <v>108</v>
      </c>
    </row>
    <row r="1630" spans="14:36" x14ac:dyDescent="0.3">
      <c r="N1630" s="8">
        <v>2026</v>
      </c>
      <c r="O1630" s="8">
        <v>4</v>
      </c>
      <c r="P1630" s="9">
        <v>46132</v>
      </c>
      <c r="Q1630" t="s">
        <v>238</v>
      </c>
      <c r="R1630" t="s">
        <v>303</v>
      </c>
      <c r="S1630" t="s">
        <v>304</v>
      </c>
      <c r="T1630" t="s">
        <v>2246</v>
      </c>
      <c r="U1630" t="s">
        <v>4106</v>
      </c>
      <c r="V1630" t="s">
        <v>246</v>
      </c>
      <c r="W1630" t="s">
        <v>244</v>
      </c>
      <c r="X1630" t="s">
        <v>2247</v>
      </c>
      <c r="Y1630" t="s">
        <v>168</v>
      </c>
      <c r="Z1630" t="s">
        <v>181</v>
      </c>
      <c r="AA1630" t="s">
        <v>182</v>
      </c>
      <c r="AB1630" t="s">
        <v>53</v>
      </c>
      <c r="AC1630" t="s">
        <v>51</v>
      </c>
      <c r="AD1630" t="s">
        <v>52</v>
      </c>
      <c r="AE1630" s="7">
        <v>45000</v>
      </c>
      <c r="AF1630" s="7">
        <v>5</v>
      </c>
      <c r="AG1630" s="7">
        <v>225000</v>
      </c>
      <c r="AH1630" s="7">
        <v>0</v>
      </c>
      <c r="AI1630" s="7">
        <v>225000</v>
      </c>
      <c r="AJ1630" t="s">
        <v>51</v>
      </c>
    </row>
    <row r="1631" spans="14:36" x14ac:dyDescent="0.3">
      <c r="N1631" s="8">
        <v>2026</v>
      </c>
      <c r="O1631" s="8">
        <v>4</v>
      </c>
      <c r="P1631" s="9">
        <v>46132</v>
      </c>
      <c r="Q1631" t="s">
        <v>238</v>
      </c>
      <c r="R1631" t="s">
        <v>303</v>
      </c>
      <c r="S1631" t="s">
        <v>304</v>
      </c>
      <c r="T1631" t="s">
        <v>2246</v>
      </c>
      <c r="U1631" t="s">
        <v>4106</v>
      </c>
      <c r="V1631" t="s">
        <v>246</v>
      </c>
      <c r="W1631" t="s">
        <v>244</v>
      </c>
      <c r="X1631" t="s">
        <v>2247</v>
      </c>
      <c r="Y1631" t="s">
        <v>191</v>
      </c>
      <c r="Z1631" t="s">
        <v>335</v>
      </c>
      <c r="AA1631" t="s">
        <v>337</v>
      </c>
      <c r="AB1631" t="s">
        <v>348</v>
      </c>
      <c r="AC1631" t="s">
        <v>349</v>
      </c>
      <c r="AD1631" t="s">
        <v>350</v>
      </c>
      <c r="AE1631" s="7">
        <v>76000</v>
      </c>
      <c r="AF1631" s="7">
        <v>5</v>
      </c>
      <c r="AG1631" s="7">
        <v>380000</v>
      </c>
      <c r="AH1631" s="7">
        <v>0</v>
      </c>
      <c r="AI1631" s="7">
        <v>380000</v>
      </c>
      <c r="AJ1631" t="s">
        <v>349</v>
      </c>
    </row>
    <row r="1632" spans="14:36" x14ac:dyDescent="0.3">
      <c r="N1632" s="8">
        <v>2026</v>
      </c>
      <c r="O1632" s="8">
        <v>4</v>
      </c>
      <c r="P1632" s="9">
        <v>46132</v>
      </c>
      <c r="Q1632" t="s">
        <v>238</v>
      </c>
      <c r="R1632" t="s">
        <v>374</v>
      </c>
      <c r="S1632" t="s">
        <v>375</v>
      </c>
      <c r="T1632" t="s">
        <v>376</v>
      </c>
      <c r="U1632" t="s">
        <v>377</v>
      </c>
      <c r="V1632" t="s">
        <v>243</v>
      </c>
      <c r="W1632" t="s">
        <v>244</v>
      </c>
      <c r="X1632" t="s">
        <v>2248</v>
      </c>
      <c r="Y1632" t="s">
        <v>194</v>
      </c>
      <c r="Z1632" t="s">
        <v>200</v>
      </c>
      <c r="AA1632" t="s">
        <v>201</v>
      </c>
      <c r="AB1632" t="s">
        <v>80</v>
      </c>
      <c r="AC1632" t="s">
        <v>78</v>
      </c>
      <c r="AD1632" t="s">
        <v>79</v>
      </c>
      <c r="AE1632" s="7">
        <v>14000</v>
      </c>
      <c r="AF1632" s="7">
        <v>1</v>
      </c>
      <c r="AG1632" s="7">
        <v>14000</v>
      </c>
      <c r="AH1632" s="7">
        <v>0</v>
      </c>
      <c r="AI1632" s="7">
        <v>14000</v>
      </c>
      <c r="AJ1632" t="s">
        <v>78</v>
      </c>
    </row>
    <row r="1633" spans="14:36" x14ac:dyDescent="0.3">
      <c r="N1633" s="8">
        <v>2026</v>
      </c>
      <c r="O1633" s="8">
        <v>4</v>
      </c>
      <c r="P1633" s="9">
        <v>46132</v>
      </c>
      <c r="Q1633" t="s">
        <v>238</v>
      </c>
      <c r="R1633" t="s">
        <v>374</v>
      </c>
      <c r="S1633" t="s">
        <v>375</v>
      </c>
      <c r="T1633" t="s">
        <v>2249</v>
      </c>
      <c r="U1633" t="s">
        <v>2250</v>
      </c>
      <c r="V1633" t="s">
        <v>246</v>
      </c>
      <c r="W1633" t="s">
        <v>244</v>
      </c>
      <c r="X1633" t="s">
        <v>2251</v>
      </c>
      <c r="Y1633" t="s">
        <v>194</v>
      </c>
      <c r="Z1633" t="s">
        <v>200</v>
      </c>
      <c r="AA1633" t="s">
        <v>201</v>
      </c>
      <c r="AB1633" t="s">
        <v>80</v>
      </c>
      <c r="AC1633" t="s">
        <v>78</v>
      </c>
      <c r="AD1633" t="s">
        <v>79</v>
      </c>
      <c r="AE1633" s="7">
        <v>14000</v>
      </c>
      <c r="AF1633" s="7">
        <v>1</v>
      </c>
      <c r="AG1633" s="7">
        <v>14000</v>
      </c>
      <c r="AH1633" s="7">
        <v>0</v>
      </c>
      <c r="AI1633" s="7">
        <v>14000</v>
      </c>
      <c r="AJ1633" t="s">
        <v>78</v>
      </c>
    </row>
    <row r="1634" spans="14:36" x14ac:dyDescent="0.3">
      <c r="N1634" s="8">
        <v>2026</v>
      </c>
      <c r="O1634" s="8">
        <v>4</v>
      </c>
      <c r="P1634" s="9">
        <v>46132</v>
      </c>
      <c r="Q1634" t="s">
        <v>238</v>
      </c>
      <c r="R1634" t="s">
        <v>374</v>
      </c>
      <c r="S1634" t="s">
        <v>375</v>
      </c>
      <c r="T1634" t="s">
        <v>2002</v>
      </c>
      <c r="U1634" t="s">
        <v>4071</v>
      </c>
      <c r="V1634" t="s">
        <v>246</v>
      </c>
      <c r="W1634" t="s">
        <v>244</v>
      </c>
      <c r="X1634" t="s">
        <v>2254</v>
      </c>
      <c r="Y1634" t="s">
        <v>191</v>
      </c>
      <c r="Z1634" t="s">
        <v>192</v>
      </c>
      <c r="AA1634" t="s">
        <v>283</v>
      </c>
      <c r="AB1634" t="s">
        <v>107</v>
      </c>
      <c r="AC1634" t="s">
        <v>105</v>
      </c>
      <c r="AD1634" t="s">
        <v>106</v>
      </c>
      <c r="AE1634" s="7">
        <v>235000</v>
      </c>
      <c r="AF1634" s="7">
        <v>1</v>
      </c>
      <c r="AG1634" s="7">
        <v>235000</v>
      </c>
      <c r="AH1634" s="7">
        <v>0</v>
      </c>
      <c r="AI1634" s="7">
        <v>235000</v>
      </c>
      <c r="AJ1634" t="s">
        <v>105</v>
      </c>
    </row>
    <row r="1635" spans="14:36" x14ac:dyDescent="0.3">
      <c r="N1635" s="8">
        <v>2026</v>
      </c>
      <c r="O1635" s="8">
        <v>4</v>
      </c>
      <c r="P1635" s="9">
        <v>46132</v>
      </c>
      <c r="Q1635" t="s">
        <v>238</v>
      </c>
      <c r="R1635" t="s">
        <v>374</v>
      </c>
      <c r="S1635" t="s">
        <v>375</v>
      </c>
      <c r="T1635" t="s">
        <v>2255</v>
      </c>
      <c r="U1635" t="s">
        <v>4107</v>
      </c>
      <c r="V1635" t="s">
        <v>246</v>
      </c>
      <c r="W1635" t="s">
        <v>244</v>
      </c>
      <c r="X1635" t="s">
        <v>2256</v>
      </c>
      <c r="Y1635" t="s">
        <v>191</v>
      </c>
      <c r="Z1635" t="s">
        <v>192</v>
      </c>
      <c r="AA1635" t="s">
        <v>193</v>
      </c>
      <c r="AB1635" t="s">
        <v>119</v>
      </c>
      <c r="AC1635" t="s">
        <v>117</v>
      </c>
      <c r="AD1635" t="s">
        <v>118</v>
      </c>
      <c r="AE1635" s="7">
        <v>235000</v>
      </c>
      <c r="AF1635" s="7">
        <v>1</v>
      </c>
      <c r="AG1635" s="7">
        <v>235000</v>
      </c>
      <c r="AH1635" s="7">
        <v>0</v>
      </c>
      <c r="AI1635" s="7">
        <v>235000</v>
      </c>
      <c r="AJ1635" t="s">
        <v>117</v>
      </c>
    </row>
    <row r="1636" spans="14:36" x14ac:dyDescent="0.3">
      <c r="N1636" s="8">
        <v>2026</v>
      </c>
      <c r="O1636" s="8">
        <v>4</v>
      </c>
      <c r="P1636" s="9">
        <v>46132</v>
      </c>
      <c r="Q1636" t="s">
        <v>238</v>
      </c>
      <c r="R1636" t="s">
        <v>374</v>
      </c>
      <c r="S1636" t="s">
        <v>375</v>
      </c>
      <c r="T1636" t="s">
        <v>2255</v>
      </c>
      <c r="U1636" t="s">
        <v>4107</v>
      </c>
      <c r="V1636" t="s">
        <v>246</v>
      </c>
      <c r="W1636" t="s">
        <v>244</v>
      </c>
      <c r="X1636" t="s">
        <v>2256</v>
      </c>
      <c r="Y1636" t="s">
        <v>191</v>
      </c>
      <c r="Z1636" t="s">
        <v>192</v>
      </c>
      <c r="AA1636" t="s">
        <v>193</v>
      </c>
      <c r="AB1636" t="s">
        <v>116</v>
      </c>
      <c r="AC1636" t="s">
        <v>114</v>
      </c>
      <c r="AD1636" t="s">
        <v>115</v>
      </c>
      <c r="AE1636" s="7">
        <v>235000</v>
      </c>
      <c r="AF1636" s="7">
        <v>1</v>
      </c>
      <c r="AG1636" s="7">
        <v>235000</v>
      </c>
      <c r="AH1636" s="7">
        <v>0</v>
      </c>
      <c r="AI1636" s="7">
        <v>235000</v>
      </c>
      <c r="AJ1636" t="s">
        <v>114</v>
      </c>
    </row>
    <row r="1637" spans="14:36" x14ac:dyDescent="0.3">
      <c r="N1637" s="8">
        <v>2026</v>
      </c>
      <c r="O1637" s="8">
        <v>4</v>
      </c>
      <c r="P1637" s="9">
        <v>46132</v>
      </c>
      <c r="Q1637" t="s">
        <v>238</v>
      </c>
      <c r="R1637" t="s">
        <v>396</v>
      </c>
      <c r="S1637" t="s">
        <v>397</v>
      </c>
      <c r="T1637" t="s">
        <v>404</v>
      </c>
      <c r="U1637" t="s">
        <v>405</v>
      </c>
      <c r="V1637" t="s">
        <v>246</v>
      </c>
      <c r="W1637" t="s">
        <v>244</v>
      </c>
      <c r="X1637" t="s">
        <v>2257</v>
      </c>
      <c r="Y1637" t="s">
        <v>191</v>
      </c>
      <c r="Z1637" t="s">
        <v>335</v>
      </c>
      <c r="AA1637" t="s">
        <v>336</v>
      </c>
      <c r="AB1637" t="s">
        <v>606</v>
      </c>
      <c r="AC1637" t="s">
        <v>607</v>
      </c>
      <c r="AD1637" t="s">
        <v>608</v>
      </c>
      <c r="AE1637" s="7">
        <v>105000</v>
      </c>
      <c r="AF1637" s="7">
        <v>1</v>
      </c>
      <c r="AG1637" s="7">
        <v>105000</v>
      </c>
      <c r="AH1637" s="7">
        <v>0</v>
      </c>
      <c r="AI1637" s="7">
        <v>105000</v>
      </c>
      <c r="AJ1637" t="s">
        <v>607</v>
      </c>
    </row>
    <row r="1638" spans="14:36" x14ac:dyDescent="0.3">
      <c r="N1638" s="8">
        <v>2026</v>
      </c>
      <c r="O1638" s="8">
        <v>4</v>
      </c>
      <c r="P1638" s="9">
        <v>46132</v>
      </c>
      <c r="Q1638" t="s">
        <v>238</v>
      </c>
      <c r="R1638" t="s">
        <v>415</v>
      </c>
      <c r="S1638" t="s">
        <v>416</v>
      </c>
      <c r="T1638" t="s">
        <v>2258</v>
      </c>
      <c r="U1638" t="s">
        <v>3942</v>
      </c>
      <c r="V1638" t="s">
        <v>246</v>
      </c>
      <c r="W1638" t="s">
        <v>244</v>
      </c>
      <c r="X1638" t="s">
        <v>2259</v>
      </c>
      <c r="Y1638" t="s">
        <v>191</v>
      </c>
      <c r="Z1638" t="s">
        <v>335</v>
      </c>
      <c r="AA1638" t="s">
        <v>336</v>
      </c>
      <c r="AB1638" t="s">
        <v>1146</v>
      </c>
      <c r="AC1638" t="s">
        <v>1147</v>
      </c>
      <c r="AD1638" t="s">
        <v>1148</v>
      </c>
      <c r="AE1638" s="7">
        <v>54450</v>
      </c>
      <c r="AF1638" s="7">
        <v>1</v>
      </c>
      <c r="AG1638" s="7">
        <v>54450</v>
      </c>
      <c r="AH1638" s="7">
        <v>0</v>
      </c>
      <c r="AI1638" s="7">
        <v>54450</v>
      </c>
      <c r="AJ1638" t="s">
        <v>1147</v>
      </c>
    </row>
    <row r="1639" spans="14:36" x14ac:dyDescent="0.3">
      <c r="N1639" s="8">
        <v>2026</v>
      </c>
      <c r="O1639" s="8">
        <v>4</v>
      </c>
      <c r="P1639" s="9">
        <v>46132</v>
      </c>
      <c r="Q1639" t="s">
        <v>238</v>
      </c>
      <c r="R1639" t="s">
        <v>425</v>
      </c>
      <c r="S1639" t="s">
        <v>426</v>
      </c>
      <c r="T1639" t="s">
        <v>826</v>
      </c>
      <c r="U1639" t="s">
        <v>827</v>
      </c>
      <c r="V1639" t="s">
        <v>246</v>
      </c>
      <c r="W1639" t="s">
        <v>244</v>
      </c>
      <c r="X1639" t="s">
        <v>2260</v>
      </c>
      <c r="Y1639" t="s">
        <v>191</v>
      </c>
      <c r="Z1639" t="s">
        <v>335</v>
      </c>
      <c r="AA1639" t="s">
        <v>336</v>
      </c>
      <c r="AB1639" t="s">
        <v>1518</v>
      </c>
      <c r="AC1639" t="s">
        <v>1519</v>
      </c>
      <c r="AD1639" t="s">
        <v>1520</v>
      </c>
      <c r="AE1639" s="7">
        <v>54450</v>
      </c>
      <c r="AF1639" s="7">
        <v>1</v>
      </c>
      <c r="AG1639" s="7">
        <v>54450</v>
      </c>
      <c r="AH1639" s="7">
        <v>0</v>
      </c>
      <c r="AI1639" s="7">
        <v>54450</v>
      </c>
      <c r="AJ1639" t="s">
        <v>1519</v>
      </c>
    </row>
    <row r="1640" spans="14:36" x14ac:dyDescent="0.3">
      <c r="N1640" s="8">
        <v>2026</v>
      </c>
      <c r="O1640" s="8">
        <v>4</v>
      </c>
      <c r="P1640" s="9">
        <v>46132</v>
      </c>
      <c r="Q1640" t="s">
        <v>238</v>
      </c>
      <c r="R1640" t="s">
        <v>425</v>
      </c>
      <c r="S1640" t="s">
        <v>426</v>
      </c>
      <c r="T1640" t="s">
        <v>826</v>
      </c>
      <c r="U1640" t="s">
        <v>827</v>
      </c>
      <c r="V1640" t="s">
        <v>246</v>
      </c>
      <c r="W1640" t="s">
        <v>244</v>
      </c>
      <c r="X1640" t="s">
        <v>2260</v>
      </c>
      <c r="Y1640" t="s">
        <v>191</v>
      </c>
      <c r="Z1640" t="s">
        <v>335</v>
      </c>
      <c r="AA1640" t="s">
        <v>336</v>
      </c>
      <c r="AB1640" t="s">
        <v>1146</v>
      </c>
      <c r="AC1640" t="s">
        <v>1147</v>
      </c>
      <c r="AD1640" t="s">
        <v>1148</v>
      </c>
      <c r="AE1640" s="7">
        <v>54450</v>
      </c>
      <c r="AF1640" s="7">
        <v>1</v>
      </c>
      <c r="AG1640" s="7">
        <v>54450</v>
      </c>
      <c r="AH1640" s="7">
        <v>0</v>
      </c>
      <c r="AI1640" s="7">
        <v>54450</v>
      </c>
      <c r="AJ1640" t="s">
        <v>1147</v>
      </c>
    </row>
    <row r="1641" spans="14:36" x14ac:dyDescent="0.3">
      <c r="N1641" s="8">
        <v>2026</v>
      </c>
      <c r="O1641" s="8">
        <v>4</v>
      </c>
      <c r="P1641" s="9">
        <v>46132</v>
      </c>
      <c r="Q1641" t="s">
        <v>238</v>
      </c>
      <c r="R1641" t="s">
        <v>425</v>
      </c>
      <c r="S1641" t="s">
        <v>426</v>
      </c>
      <c r="T1641" t="s">
        <v>2261</v>
      </c>
      <c r="U1641" t="s">
        <v>4008</v>
      </c>
      <c r="V1641" t="s">
        <v>249</v>
      </c>
      <c r="W1641" t="s">
        <v>244</v>
      </c>
      <c r="X1641" t="s">
        <v>2262</v>
      </c>
      <c r="Y1641" t="s">
        <v>194</v>
      </c>
      <c r="Z1641" t="s">
        <v>200</v>
      </c>
      <c r="AA1641" t="s">
        <v>201</v>
      </c>
      <c r="AB1641" t="s">
        <v>80</v>
      </c>
      <c r="AC1641" t="s">
        <v>78</v>
      </c>
      <c r="AD1641" t="s">
        <v>79</v>
      </c>
      <c r="AE1641" s="7">
        <v>14000</v>
      </c>
      <c r="AF1641" s="7">
        <v>1</v>
      </c>
      <c r="AG1641" s="7">
        <v>14000</v>
      </c>
      <c r="AH1641" s="7">
        <v>0</v>
      </c>
      <c r="AI1641" s="7">
        <v>14000</v>
      </c>
      <c r="AJ1641" t="s">
        <v>78</v>
      </c>
    </row>
    <row r="1642" spans="14:36" x14ac:dyDescent="0.3">
      <c r="N1642" s="8">
        <v>2026</v>
      </c>
      <c r="O1642" s="8">
        <v>4</v>
      </c>
      <c r="P1642" s="9">
        <v>46132</v>
      </c>
      <c r="Q1642" t="s">
        <v>238</v>
      </c>
      <c r="R1642" t="s">
        <v>425</v>
      </c>
      <c r="S1642" t="s">
        <v>426</v>
      </c>
      <c r="T1642" t="s">
        <v>1394</v>
      </c>
      <c r="U1642" t="s">
        <v>1004</v>
      </c>
      <c r="V1642" t="s">
        <v>246</v>
      </c>
      <c r="W1642" t="s">
        <v>244</v>
      </c>
      <c r="X1642" t="s">
        <v>2263</v>
      </c>
      <c r="Y1642" t="s">
        <v>191</v>
      </c>
      <c r="Z1642" t="s">
        <v>335</v>
      </c>
      <c r="AA1642" t="s">
        <v>336</v>
      </c>
      <c r="AB1642" t="s">
        <v>1518</v>
      </c>
      <c r="AC1642" t="s">
        <v>1519</v>
      </c>
      <c r="AD1642" t="s">
        <v>1520</v>
      </c>
      <c r="AE1642" s="7">
        <v>54450</v>
      </c>
      <c r="AF1642" s="7">
        <v>1</v>
      </c>
      <c r="AG1642" s="7">
        <v>54450</v>
      </c>
      <c r="AH1642" s="7">
        <v>0</v>
      </c>
      <c r="AI1642" s="7">
        <v>54450</v>
      </c>
      <c r="AJ1642" t="s">
        <v>1519</v>
      </c>
    </row>
    <row r="1643" spans="14:36" x14ac:dyDescent="0.3">
      <c r="N1643" s="8">
        <v>2026</v>
      </c>
      <c r="O1643" s="8">
        <v>4</v>
      </c>
      <c r="P1643" s="9">
        <v>46132</v>
      </c>
      <c r="Q1643" t="s">
        <v>238</v>
      </c>
      <c r="R1643" t="s">
        <v>425</v>
      </c>
      <c r="S1643" t="s">
        <v>426</v>
      </c>
      <c r="T1643" t="s">
        <v>623</v>
      </c>
      <c r="U1643" t="s">
        <v>624</v>
      </c>
      <c r="V1643" t="s">
        <v>246</v>
      </c>
      <c r="W1643" t="s">
        <v>244</v>
      </c>
      <c r="X1643" t="s">
        <v>2264</v>
      </c>
      <c r="Y1643" t="s">
        <v>191</v>
      </c>
      <c r="Z1643" t="s">
        <v>192</v>
      </c>
      <c r="AA1643" t="s">
        <v>193</v>
      </c>
      <c r="AB1643" t="s">
        <v>113</v>
      </c>
      <c r="AC1643" t="s">
        <v>111</v>
      </c>
      <c r="AD1643" t="s">
        <v>112</v>
      </c>
      <c r="AE1643" s="7">
        <v>235000</v>
      </c>
      <c r="AF1643" s="7">
        <v>1</v>
      </c>
      <c r="AG1643" s="7">
        <v>235000</v>
      </c>
      <c r="AH1643" s="7">
        <v>0</v>
      </c>
      <c r="AI1643" s="7">
        <v>235000</v>
      </c>
      <c r="AJ1643" t="s">
        <v>111</v>
      </c>
    </row>
    <row r="1644" spans="14:36" x14ac:dyDescent="0.3">
      <c r="N1644" s="8">
        <v>2026</v>
      </c>
      <c r="O1644" s="8">
        <v>4</v>
      </c>
      <c r="P1644" s="9">
        <v>46131</v>
      </c>
      <c r="Q1644" t="s">
        <v>238</v>
      </c>
      <c r="R1644" t="s">
        <v>239</v>
      </c>
      <c r="S1644" t="s">
        <v>240</v>
      </c>
      <c r="T1644" t="s">
        <v>1071</v>
      </c>
      <c r="U1644" t="s">
        <v>965</v>
      </c>
      <c r="V1644" t="s">
        <v>246</v>
      </c>
      <c r="W1644" t="s">
        <v>244</v>
      </c>
      <c r="X1644" t="s">
        <v>2267</v>
      </c>
      <c r="Y1644" t="s">
        <v>183</v>
      </c>
      <c r="Z1644" t="s">
        <v>189</v>
      </c>
      <c r="AA1644" t="s">
        <v>190</v>
      </c>
      <c r="AB1644" t="s">
        <v>92</v>
      </c>
      <c r="AC1644" t="s">
        <v>90</v>
      </c>
      <c r="AD1644" t="s">
        <v>91</v>
      </c>
      <c r="AE1644" s="7">
        <v>52000</v>
      </c>
      <c r="AF1644" s="7">
        <v>1</v>
      </c>
      <c r="AG1644" s="7">
        <v>52000</v>
      </c>
      <c r="AH1644" s="7">
        <v>0</v>
      </c>
      <c r="AI1644" s="7">
        <v>52000</v>
      </c>
      <c r="AJ1644" t="s">
        <v>90</v>
      </c>
    </row>
    <row r="1645" spans="14:36" x14ac:dyDescent="0.3">
      <c r="N1645" s="8">
        <v>2026</v>
      </c>
      <c r="O1645" s="8">
        <v>4</v>
      </c>
      <c r="P1645" s="9">
        <v>46131</v>
      </c>
      <c r="Q1645" t="s">
        <v>238</v>
      </c>
      <c r="R1645" t="s">
        <v>279</v>
      </c>
      <c r="S1645" t="s">
        <v>280</v>
      </c>
      <c r="T1645" t="s">
        <v>1349</v>
      </c>
      <c r="U1645" t="s">
        <v>1350</v>
      </c>
      <c r="V1645" t="s">
        <v>246</v>
      </c>
      <c r="W1645" t="s">
        <v>244</v>
      </c>
      <c r="X1645" t="s">
        <v>2269</v>
      </c>
      <c r="Y1645" t="s">
        <v>183</v>
      </c>
      <c r="Z1645" t="s">
        <v>186</v>
      </c>
      <c r="AA1645" t="s">
        <v>188</v>
      </c>
      <c r="AB1645" t="s">
        <v>95</v>
      </c>
      <c r="AC1645" t="s">
        <v>93</v>
      </c>
      <c r="AD1645" t="s">
        <v>94</v>
      </c>
      <c r="AE1645" s="7">
        <v>239000</v>
      </c>
      <c r="AF1645" s="7">
        <v>1</v>
      </c>
      <c r="AG1645" s="7">
        <v>239000</v>
      </c>
      <c r="AH1645" s="7">
        <v>0</v>
      </c>
      <c r="AI1645" s="7">
        <v>239000</v>
      </c>
      <c r="AJ1645" t="s">
        <v>93</v>
      </c>
    </row>
    <row r="1646" spans="14:36" x14ac:dyDescent="0.3">
      <c r="N1646" s="8">
        <v>2026</v>
      </c>
      <c r="O1646" s="8">
        <v>4</v>
      </c>
      <c r="P1646" s="9">
        <v>46131</v>
      </c>
      <c r="Q1646" t="s">
        <v>238</v>
      </c>
      <c r="R1646" t="s">
        <v>303</v>
      </c>
      <c r="S1646" t="s">
        <v>304</v>
      </c>
      <c r="T1646" t="s">
        <v>698</v>
      </c>
      <c r="U1646" t="s">
        <v>4071</v>
      </c>
      <c r="V1646" t="s">
        <v>246</v>
      </c>
      <c r="W1646" t="s">
        <v>244</v>
      </c>
      <c r="X1646" t="s">
        <v>2270</v>
      </c>
      <c r="Y1646" t="s">
        <v>191</v>
      </c>
      <c r="Z1646" t="s">
        <v>335</v>
      </c>
      <c r="AA1646" t="s">
        <v>336</v>
      </c>
      <c r="AB1646" t="s">
        <v>606</v>
      </c>
      <c r="AC1646" t="s">
        <v>607</v>
      </c>
      <c r="AD1646" t="s">
        <v>608</v>
      </c>
      <c r="AE1646" s="7">
        <v>105000</v>
      </c>
      <c r="AF1646" s="7">
        <v>1</v>
      </c>
      <c r="AG1646" s="7">
        <v>105000</v>
      </c>
      <c r="AH1646" s="7">
        <v>0</v>
      </c>
      <c r="AI1646" s="7">
        <v>105000</v>
      </c>
      <c r="AJ1646" t="s">
        <v>607</v>
      </c>
    </row>
    <row r="1647" spans="14:36" x14ac:dyDescent="0.3">
      <c r="N1647" s="8">
        <v>2026</v>
      </c>
      <c r="O1647" s="8">
        <v>4</v>
      </c>
      <c r="P1647" s="9">
        <v>46131</v>
      </c>
      <c r="Q1647" t="s">
        <v>238</v>
      </c>
      <c r="R1647" t="s">
        <v>303</v>
      </c>
      <c r="S1647" t="s">
        <v>304</v>
      </c>
      <c r="T1647" t="s">
        <v>1259</v>
      </c>
      <c r="U1647" t="s">
        <v>1260</v>
      </c>
      <c r="V1647" t="s">
        <v>246</v>
      </c>
      <c r="W1647" t="s">
        <v>244</v>
      </c>
      <c r="X1647" t="s">
        <v>2271</v>
      </c>
      <c r="Y1647" t="s">
        <v>191</v>
      </c>
      <c r="Z1647" t="s">
        <v>192</v>
      </c>
      <c r="AA1647" t="s">
        <v>193</v>
      </c>
      <c r="AB1647" t="s">
        <v>119</v>
      </c>
      <c r="AC1647" t="s">
        <v>117</v>
      </c>
      <c r="AD1647" t="s">
        <v>118</v>
      </c>
      <c r="AE1647" s="7">
        <v>199000</v>
      </c>
      <c r="AF1647" s="7">
        <v>1</v>
      </c>
      <c r="AG1647" s="7">
        <v>199000</v>
      </c>
      <c r="AH1647" s="7">
        <v>0</v>
      </c>
      <c r="AI1647" s="7">
        <v>199000</v>
      </c>
      <c r="AJ1647" t="s">
        <v>117</v>
      </c>
    </row>
    <row r="1648" spans="14:36" x14ac:dyDescent="0.3">
      <c r="N1648" s="8">
        <v>2026</v>
      </c>
      <c r="O1648" s="8">
        <v>4</v>
      </c>
      <c r="P1648" s="9">
        <v>46131</v>
      </c>
      <c r="Q1648" t="s">
        <v>238</v>
      </c>
      <c r="R1648" t="s">
        <v>303</v>
      </c>
      <c r="S1648" t="s">
        <v>304</v>
      </c>
      <c r="T1648" t="s">
        <v>2272</v>
      </c>
      <c r="U1648" t="s">
        <v>4007</v>
      </c>
      <c r="V1648" t="s">
        <v>246</v>
      </c>
      <c r="W1648" t="s">
        <v>244</v>
      </c>
      <c r="X1648" t="s">
        <v>2273</v>
      </c>
      <c r="Y1648" t="s">
        <v>168</v>
      </c>
      <c r="Z1648" t="s">
        <v>181</v>
      </c>
      <c r="AA1648" t="s">
        <v>182</v>
      </c>
      <c r="AB1648" t="s">
        <v>53</v>
      </c>
      <c r="AC1648" t="s">
        <v>51</v>
      </c>
      <c r="AD1648" t="s">
        <v>52</v>
      </c>
      <c r="AE1648" s="7">
        <v>45000</v>
      </c>
      <c r="AF1648" s="7">
        <v>1</v>
      </c>
      <c r="AG1648" s="7">
        <v>45000</v>
      </c>
      <c r="AH1648" s="7">
        <v>0</v>
      </c>
      <c r="AI1648" s="7">
        <v>45000</v>
      </c>
      <c r="AJ1648" t="s">
        <v>51</v>
      </c>
    </row>
    <row r="1649" spans="14:36" x14ac:dyDescent="0.3">
      <c r="N1649" s="8">
        <v>2026</v>
      </c>
      <c r="O1649" s="8">
        <v>4</v>
      </c>
      <c r="P1649" s="9">
        <v>46131</v>
      </c>
      <c r="Q1649" t="s">
        <v>238</v>
      </c>
      <c r="R1649" t="s">
        <v>303</v>
      </c>
      <c r="S1649" t="s">
        <v>304</v>
      </c>
      <c r="T1649" t="s">
        <v>2245</v>
      </c>
      <c r="U1649" t="s">
        <v>4108</v>
      </c>
      <c r="V1649" t="s">
        <v>246</v>
      </c>
      <c r="W1649" t="s">
        <v>244</v>
      </c>
      <c r="X1649" t="s">
        <v>2277</v>
      </c>
      <c r="Y1649" t="s">
        <v>191</v>
      </c>
      <c r="Z1649" t="s">
        <v>192</v>
      </c>
      <c r="AA1649" t="s">
        <v>193</v>
      </c>
      <c r="AB1649" t="s">
        <v>119</v>
      </c>
      <c r="AC1649" t="s">
        <v>117</v>
      </c>
      <c r="AD1649" t="s">
        <v>118</v>
      </c>
      <c r="AE1649" s="7">
        <v>199000</v>
      </c>
      <c r="AF1649" s="7">
        <v>1</v>
      </c>
      <c r="AG1649" s="7">
        <v>199000</v>
      </c>
      <c r="AH1649" s="7">
        <v>0</v>
      </c>
      <c r="AI1649" s="7">
        <v>199000</v>
      </c>
      <c r="AJ1649" t="s">
        <v>117</v>
      </c>
    </row>
    <row r="1650" spans="14:36" x14ac:dyDescent="0.3">
      <c r="N1650" s="8">
        <v>2026</v>
      </c>
      <c r="O1650" s="8">
        <v>4</v>
      </c>
      <c r="P1650" s="9">
        <v>46131</v>
      </c>
      <c r="Q1650" t="s">
        <v>238</v>
      </c>
      <c r="R1650" t="s">
        <v>303</v>
      </c>
      <c r="S1650" t="s">
        <v>304</v>
      </c>
      <c r="T1650" t="s">
        <v>2245</v>
      </c>
      <c r="U1650" t="s">
        <v>4108</v>
      </c>
      <c r="V1650" t="s">
        <v>246</v>
      </c>
      <c r="W1650" t="s">
        <v>244</v>
      </c>
      <c r="X1650" t="s">
        <v>2277</v>
      </c>
      <c r="Y1650" t="s">
        <v>191</v>
      </c>
      <c r="Z1650" t="s">
        <v>192</v>
      </c>
      <c r="AA1650" t="s">
        <v>193</v>
      </c>
      <c r="AB1650" t="s">
        <v>113</v>
      </c>
      <c r="AC1650" t="s">
        <v>111</v>
      </c>
      <c r="AD1650" t="s">
        <v>112</v>
      </c>
      <c r="AE1650" s="7">
        <v>185000</v>
      </c>
      <c r="AF1650" s="7">
        <v>1</v>
      </c>
      <c r="AG1650" s="7">
        <v>185000</v>
      </c>
      <c r="AH1650" s="7">
        <v>0</v>
      </c>
      <c r="AI1650" s="7">
        <v>185000</v>
      </c>
      <c r="AJ1650" t="s">
        <v>111</v>
      </c>
    </row>
    <row r="1651" spans="14:36" x14ac:dyDescent="0.3">
      <c r="N1651" s="8">
        <v>2026</v>
      </c>
      <c r="O1651" s="8">
        <v>4</v>
      </c>
      <c r="P1651" s="9">
        <v>46131</v>
      </c>
      <c r="Q1651" t="s">
        <v>238</v>
      </c>
      <c r="R1651" t="s">
        <v>303</v>
      </c>
      <c r="S1651" t="s">
        <v>304</v>
      </c>
      <c r="T1651" t="s">
        <v>2278</v>
      </c>
      <c r="U1651" t="s">
        <v>4109</v>
      </c>
      <c r="V1651" t="s">
        <v>246</v>
      </c>
      <c r="W1651" t="s">
        <v>244</v>
      </c>
      <c r="X1651" t="s">
        <v>2279</v>
      </c>
      <c r="Y1651" t="s">
        <v>191</v>
      </c>
      <c r="Z1651" t="s">
        <v>192</v>
      </c>
      <c r="AA1651" t="s">
        <v>193</v>
      </c>
      <c r="AB1651" t="s">
        <v>119</v>
      </c>
      <c r="AC1651" t="s">
        <v>117</v>
      </c>
      <c r="AD1651" t="s">
        <v>118</v>
      </c>
      <c r="AE1651" s="7">
        <v>199000</v>
      </c>
      <c r="AF1651" s="7">
        <v>1</v>
      </c>
      <c r="AG1651" s="7">
        <v>199000</v>
      </c>
      <c r="AH1651" s="7">
        <v>0</v>
      </c>
      <c r="AI1651" s="7">
        <v>199000</v>
      </c>
      <c r="AJ1651" t="s">
        <v>117</v>
      </c>
    </row>
    <row r="1652" spans="14:36" x14ac:dyDescent="0.3">
      <c r="N1652" s="8">
        <v>2026</v>
      </c>
      <c r="O1652" s="8">
        <v>4</v>
      </c>
      <c r="P1652" s="9">
        <v>46131</v>
      </c>
      <c r="Q1652" t="s">
        <v>238</v>
      </c>
      <c r="R1652" t="s">
        <v>351</v>
      </c>
      <c r="S1652" t="s">
        <v>352</v>
      </c>
      <c r="T1652" t="s">
        <v>356</v>
      </c>
      <c r="U1652" t="s">
        <v>357</v>
      </c>
      <c r="V1652" t="s">
        <v>243</v>
      </c>
      <c r="W1652" t="s">
        <v>244</v>
      </c>
      <c r="X1652" t="s">
        <v>2280</v>
      </c>
      <c r="Y1652" t="s">
        <v>191</v>
      </c>
      <c r="Z1652" t="s">
        <v>335</v>
      </c>
      <c r="AA1652" t="s">
        <v>337</v>
      </c>
      <c r="AB1652" t="s">
        <v>719</v>
      </c>
      <c r="AC1652" t="s">
        <v>720</v>
      </c>
      <c r="AD1652" t="s">
        <v>721</v>
      </c>
      <c r="AE1652" s="7">
        <v>104000</v>
      </c>
      <c r="AF1652" s="7">
        <v>1</v>
      </c>
      <c r="AG1652" s="7">
        <v>104000</v>
      </c>
      <c r="AH1652" s="7">
        <v>0</v>
      </c>
      <c r="AI1652" s="7">
        <v>104000</v>
      </c>
      <c r="AJ1652" t="s">
        <v>720</v>
      </c>
    </row>
    <row r="1653" spans="14:36" x14ac:dyDescent="0.3">
      <c r="N1653" s="8">
        <v>2026</v>
      </c>
      <c r="O1653" s="8">
        <v>4</v>
      </c>
      <c r="P1653" s="9">
        <v>46131</v>
      </c>
      <c r="Q1653" t="s">
        <v>238</v>
      </c>
      <c r="R1653" t="s">
        <v>351</v>
      </c>
      <c r="S1653" t="s">
        <v>352</v>
      </c>
      <c r="T1653" t="s">
        <v>2281</v>
      </c>
      <c r="U1653" t="s">
        <v>2282</v>
      </c>
      <c r="V1653" t="s">
        <v>246</v>
      </c>
      <c r="W1653" t="s">
        <v>244</v>
      </c>
      <c r="X1653" t="s">
        <v>2283</v>
      </c>
      <c r="Y1653" t="s">
        <v>191</v>
      </c>
      <c r="Z1653" t="s">
        <v>335</v>
      </c>
      <c r="AA1653" t="s">
        <v>337</v>
      </c>
      <c r="AB1653" t="s">
        <v>348</v>
      </c>
      <c r="AC1653" t="s">
        <v>349</v>
      </c>
      <c r="AD1653" t="s">
        <v>350</v>
      </c>
      <c r="AE1653" s="7">
        <v>76000</v>
      </c>
      <c r="AF1653" s="7">
        <v>1</v>
      </c>
      <c r="AG1653" s="7">
        <v>76000</v>
      </c>
      <c r="AH1653" s="7">
        <v>0</v>
      </c>
      <c r="AI1653" s="7">
        <v>76000</v>
      </c>
      <c r="AJ1653" t="s">
        <v>349</v>
      </c>
    </row>
    <row r="1654" spans="14:36" x14ac:dyDescent="0.3">
      <c r="N1654" s="8">
        <v>2026</v>
      </c>
      <c r="O1654" s="8">
        <v>4</v>
      </c>
      <c r="P1654" s="9">
        <v>46131</v>
      </c>
      <c r="Q1654" t="s">
        <v>238</v>
      </c>
      <c r="R1654" t="s">
        <v>374</v>
      </c>
      <c r="S1654" t="s">
        <v>375</v>
      </c>
      <c r="T1654" t="s">
        <v>484</v>
      </c>
      <c r="U1654" t="s">
        <v>4110</v>
      </c>
      <c r="V1654" t="s">
        <v>246</v>
      </c>
      <c r="W1654" t="s">
        <v>244</v>
      </c>
      <c r="X1654" t="s">
        <v>2284</v>
      </c>
      <c r="Y1654" t="s">
        <v>183</v>
      </c>
      <c r="Z1654" t="s">
        <v>186</v>
      </c>
      <c r="AA1654" t="s">
        <v>188</v>
      </c>
      <c r="AB1654" t="s">
        <v>98</v>
      </c>
      <c r="AC1654" t="s">
        <v>96</v>
      </c>
      <c r="AD1654" t="s">
        <v>97</v>
      </c>
      <c r="AE1654" s="7">
        <v>239000</v>
      </c>
      <c r="AF1654" s="7">
        <v>1</v>
      </c>
      <c r="AG1654" s="7">
        <v>239000</v>
      </c>
      <c r="AH1654" s="7">
        <v>0</v>
      </c>
      <c r="AI1654" s="7">
        <v>239000</v>
      </c>
      <c r="AJ1654" t="s">
        <v>96</v>
      </c>
    </row>
    <row r="1655" spans="14:36" x14ac:dyDescent="0.3">
      <c r="N1655" s="8">
        <v>2026</v>
      </c>
      <c r="O1655" s="8">
        <v>4</v>
      </c>
      <c r="P1655" s="9">
        <v>46131</v>
      </c>
      <c r="Q1655" t="s">
        <v>238</v>
      </c>
      <c r="R1655" t="s">
        <v>396</v>
      </c>
      <c r="S1655" t="s">
        <v>397</v>
      </c>
      <c r="T1655" t="s">
        <v>1363</v>
      </c>
      <c r="U1655" t="s">
        <v>1364</v>
      </c>
      <c r="V1655" t="s">
        <v>246</v>
      </c>
      <c r="W1655" t="s">
        <v>244</v>
      </c>
      <c r="X1655" t="s">
        <v>2288</v>
      </c>
      <c r="Y1655" t="s">
        <v>191</v>
      </c>
      <c r="Z1655" t="s">
        <v>335</v>
      </c>
      <c r="AA1655" t="s">
        <v>337</v>
      </c>
      <c r="AB1655" t="s">
        <v>656</v>
      </c>
      <c r="AC1655" t="s">
        <v>657</v>
      </c>
      <c r="AD1655" t="s">
        <v>658</v>
      </c>
      <c r="AE1655" s="7">
        <v>35000</v>
      </c>
      <c r="AF1655" s="7">
        <v>1</v>
      </c>
      <c r="AG1655" s="7">
        <v>35000</v>
      </c>
      <c r="AH1655" s="7">
        <v>0</v>
      </c>
      <c r="AI1655" s="7">
        <v>35000</v>
      </c>
      <c r="AJ1655" t="s">
        <v>657</v>
      </c>
    </row>
    <row r="1656" spans="14:36" x14ac:dyDescent="0.3">
      <c r="N1656" s="8">
        <v>2026</v>
      </c>
      <c r="O1656" s="8">
        <v>4</v>
      </c>
      <c r="P1656" s="9">
        <v>46131</v>
      </c>
      <c r="Q1656" t="s">
        <v>238</v>
      </c>
      <c r="R1656" t="s">
        <v>425</v>
      </c>
      <c r="S1656" t="s">
        <v>426</v>
      </c>
      <c r="T1656" t="s">
        <v>622</v>
      </c>
      <c r="U1656" t="s">
        <v>4111</v>
      </c>
      <c r="V1656" t="s">
        <v>246</v>
      </c>
      <c r="W1656" t="s">
        <v>244</v>
      </c>
      <c r="X1656" t="s">
        <v>2289</v>
      </c>
      <c r="Y1656" t="s">
        <v>168</v>
      </c>
      <c r="Z1656" t="s">
        <v>181</v>
      </c>
      <c r="AA1656" t="s">
        <v>182</v>
      </c>
      <c r="AB1656" t="s">
        <v>53</v>
      </c>
      <c r="AC1656" t="s">
        <v>51</v>
      </c>
      <c r="AD1656" t="s">
        <v>52</v>
      </c>
      <c r="AE1656" s="7">
        <v>45000</v>
      </c>
      <c r="AF1656" s="7">
        <v>1</v>
      </c>
      <c r="AG1656" s="7">
        <v>45000</v>
      </c>
      <c r="AH1656" s="7">
        <v>0</v>
      </c>
      <c r="AI1656" s="7">
        <v>45000</v>
      </c>
      <c r="AJ1656" t="s">
        <v>51</v>
      </c>
    </row>
    <row r="1657" spans="14:36" x14ac:dyDescent="0.3">
      <c r="N1657" s="8">
        <v>2026</v>
      </c>
      <c r="O1657" s="8">
        <v>4</v>
      </c>
      <c r="P1657" s="9">
        <v>46131</v>
      </c>
      <c r="Q1657" t="s">
        <v>238</v>
      </c>
      <c r="R1657" t="s">
        <v>425</v>
      </c>
      <c r="S1657" t="s">
        <v>426</v>
      </c>
      <c r="T1657" t="s">
        <v>1328</v>
      </c>
      <c r="U1657" t="s">
        <v>3893</v>
      </c>
      <c r="V1657" t="s">
        <v>246</v>
      </c>
      <c r="W1657" t="s">
        <v>244</v>
      </c>
      <c r="X1657" t="s">
        <v>2290</v>
      </c>
      <c r="Y1657" t="s">
        <v>191</v>
      </c>
      <c r="Z1657" t="s">
        <v>335</v>
      </c>
      <c r="AA1657" t="s">
        <v>337</v>
      </c>
      <c r="AB1657" t="s">
        <v>541</v>
      </c>
      <c r="AC1657" t="s">
        <v>542</v>
      </c>
      <c r="AD1657" t="s">
        <v>543</v>
      </c>
      <c r="AE1657" s="7">
        <v>69000</v>
      </c>
      <c r="AF1657" s="7">
        <v>1</v>
      </c>
      <c r="AG1657" s="7">
        <v>69000</v>
      </c>
      <c r="AH1657" s="7">
        <v>0</v>
      </c>
      <c r="AI1657" s="7">
        <v>69000</v>
      </c>
      <c r="AJ1657" t="s">
        <v>542</v>
      </c>
    </row>
    <row r="1658" spans="14:36" x14ac:dyDescent="0.3">
      <c r="N1658" s="8">
        <v>2026</v>
      </c>
      <c r="O1658" s="8">
        <v>4</v>
      </c>
      <c r="P1658" s="9">
        <v>46131</v>
      </c>
      <c r="Q1658" t="s">
        <v>238</v>
      </c>
      <c r="R1658" t="s">
        <v>425</v>
      </c>
      <c r="S1658" t="s">
        <v>426</v>
      </c>
      <c r="T1658" t="s">
        <v>2291</v>
      </c>
      <c r="U1658" t="s">
        <v>368</v>
      </c>
      <c r="V1658" t="s">
        <v>246</v>
      </c>
      <c r="W1658" t="s">
        <v>244</v>
      </c>
      <c r="X1658" t="s">
        <v>2292</v>
      </c>
      <c r="Y1658" t="s">
        <v>191</v>
      </c>
      <c r="Z1658" t="s">
        <v>192</v>
      </c>
      <c r="AA1658" t="s">
        <v>283</v>
      </c>
      <c r="AB1658" t="s">
        <v>110</v>
      </c>
      <c r="AC1658" t="s">
        <v>108</v>
      </c>
      <c r="AD1658" t="s">
        <v>109</v>
      </c>
      <c r="AE1658" s="7">
        <v>199000</v>
      </c>
      <c r="AF1658" s="7">
        <v>1</v>
      </c>
      <c r="AG1658" s="7">
        <v>199000</v>
      </c>
      <c r="AH1658" s="7">
        <v>0</v>
      </c>
      <c r="AI1658" s="7">
        <v>199000</v>
      </c>
      <c r="AJ1658" t="s">
        <v>108</v>
      </c>
    </row>
    <row r="1659" spans="14:36" x14ac:dyDescent="0.3">
      <c r="N1659" s="8">
        <v>2026</v>
      </c>
      <c r="O1659" s="8">
        <v>4</v>
      </c>
      <c r="P1659" s="9">
        <v>46131</v>
      </c>
      <c r="Q1659" t="s">
        <v>238</v>
      </c>
      <c r="R1659" t="s">
        <v>425</v>
      </c>
      <c r="S1659" t="s">
        <v>426</v>
      </c>
      <c r="T1659" t="s">
        <v>1887</v>
      </c>
      <c r="U1659" t="s">
        <v>3543</v>
      </c>
      <c r="V1659" t="s">
        <v>246</v>
      </c>
      <c r="W1659" t="s">
        <v>244</v>
      </c>
      <c r="X1659" t="s">
        <v>2293</v>
      </c>
      <c r="Y1659" t="s">
        <v>183</v>
      </c>
      <c r="Z1659" t="s">
        <v>189</v>
      </c>
      <c r="AA1659" t="s">
        <v>190</v>
      </c>
      <c r="AB1659" t="s">
        <v>92</v>
      </c>
      <c r="AC1659" t="s">
        <v>90</v>
      </c>
      <c r="AD1659" t="s">
        <v>91</v>
      </c>
      <c r="AE1659" s="7">
        <v>52000</v>
      </c>
      <c r="AF1659" s="7">
        <v>1</v>
      </c>
      <c r="AG1659" s="7">
        <v>52000</v>
      </c>
      <c r="AH1659" s="7">
        <v>0</v>
      </c>
      <c r="AI1659" s="7">
        <v>52000</v>
      </c>
      <c r="AJ1659" t="s">
        <v>90</v>
      </c>
    </row>
    <row r="1660" spans="14:36" x14ac:dyDescent="0.3">
      <c r="N1660" s="8">
        <v>2026</v>
      </c>
      <c r="O1660" s="8">
        <v>4</v>
      </c>
      <c r="P1660" s="9">
        <v>46131</v>
      </c>
      <c r="Q1660" t="s">
        <v>238</v>
      </c>
      <c r="R1660" t="s">
        <v>425</v>
      </c>
      <c r="S1660" t="s">
        <v>426</v>
      </c>
      <c r="T1660" t="s">
        <v>2294</v>
      </c>
      <c r="U1660" t="s">
        <v>4071</v>
      </c>
      <c r="V1660" t="s">
        <v>246</v>
      </c>
      <c r="W1660" t="s">
        <v>244</v>
      </c>
      <c r="X1660" t="s">
        <v>2295</v>
      </c>
      <c r="Y1660" t="s">
        <v>191</v>
      </c>
      <c r="Z1660" t="s">
        <v>335</v>
      </c>
      <c r="AA1660" t="s">
        <v>337</v>
      </c>
      <c r="AB1660" t="s">
        <v>348</v>
      </c>
      <c r="AC1660" t="s">
        <v>349</v>
      </c>
      <c r="AD1660" t="s">
        <v>350</v>
      </c>
      <c r="AE1660" s="7">
        <v>76000</v>
      </c>
      <c r="AF1660" s="7">
        <v>1</v>
      </c>
      <c r="AG1660" s="7">
        <v>76000</v>
      </c>
      <c r="AH1660" s="7">
        <v>0</v>
      </c>
      <c r="AI1660" s="7">
        <v>76000</v>
      </c>
      <c r="AJ1660" t="s">
        <v>349</v>
      </c>
    </row>
    <row r="1661" spans="14:36" x14ac:dyDescent="0.3">
      <c r="N1661" s="8">
        <v>2026</v>
      </c>
      <c r="O1661" s="8">
        <v>4</v>
      </c>
      <c r="P1661" s="9">
        <v>46130</v>
      </c>
      <c r="Q1661" t="s">
        <v>238</v>
      </c>
      <c r="R1661" t="s">
        <v>239</v>
      </c>
      <c r="S1661" t="s">
        <v>240</v>
      </c>
      <c r="T1661" t="s">
        <v>1152</v>
      </c>
      <c r="U1661" t="s">
        <v>1153</v>
      </c>
      <c r="V1661" t="s">
        <v>246</v>
      </c>
      <c r="W1661" t="s">
        <v>244</v>
      </c>
      <c r="X1661" t="s">
        <v>2296</v>
      </c>
      <c r="Y1661" t="s">
        <v>168</v>
      </c>
      <c r="Z1661" t="s">
        <v>181</v>
      </c>
      <c r="AA1661" t="s">
        <v>182</v>
      </c>
      <c r="AB1661" t="s">
        <v>53</v>
      </c>
      <c r="AC1661" t="s">
        <v>51</v>
      </c>
      <c r="AD1661" t="s">
        <v>52</v>
      </c>
      <c r="AE1661" s="7">
        <v>45000</v>
      </c>
      <c r="AF1661" s="7">
        <v>1</v>
      </c>
      <c r="AG1661" s="7">
        <v>45000</v>
      </c>
      <c r="AH1661" s="7">
        <v>0</v>
      </c>
      <c r="AI1661" s="7">
        <v>45000</v>
      </c>
      <c r="AJ1661" t="s">
        <v>51</v>
      </c>
    </row>
    <row r="1662" spans="14:36" x14ac:dyDescent="0.3">
      <c r="N1662" s="8">
        <v>2026</v>
      </c>
      <c r="O1662" s="8">
        <v>4</v>
      </c>
      <c r="P1662" s="9">
        <v>46130</v>
      </c>
      <c r="Q1662" t="s">
        <v>238</v>
      </c>
      <c r="R1662" t="s">
        <v>239</v>
      </c>
      <c r="S1662" t="s">
        <v>240</v>
      </c>
      <c r="T1662" t="s">
        <v>689</v>
      </c>
      <c r="U1662" t="s">
        <v>4112</v>
      </c>
      <c r="V1662" t="s">
        <v>246</v>
      </c>
      <c r="W1662" t="s">
        <v>244</v>
      </c>
      <c r="X1662" t="s">
        <v>2297</v>
      </c>
      <c r="Y1662" t="s">
        <v>191</v>
      </c>
      <c r="Z1662" t="s">
        <v>192</v>
      </c>
      <c r="AA1662" t="s">
        <v>283</v>
      </c>
      <c r="AB1662" t="s">
        <v>110</v>
      </c>
      <c r="AC1662" t="s">
        <v>108</v>
      </c>
      <c r="AD1662" t="s">
        <v>109</v>
      </c>
      <c r="AE1662" s="7">
        <v>199000</v>
      </c>
      <c r="AF1662" s="7">
        <v>1</v>
      </c>
      <c r="AG1662" s="7">
        <v>199000</v>
      </c>
      <c r="AH1662" s="7">
        <v>0</v>
      </c>
      <c r="AI1662" s="7">
        <v>199000</v>
      </c>
      <c r="AJ1662" t="s">
        <v>108</v>
      </c>
    </row>
    <row r="1663" spans="14:36" x14ac:dyDescent="0.3">
      <c r="N1663" s="8">
        <v>2026</v>
      </c>
      <c r="O1663" s="8">
        <v>4</v>
      </c>
      <c r="P1663" s="9">
        <v>46130</v>
      </c>
      <c r="Q1663" t="s">
        <v>238</v>
      </c>
      <c r="R1663" t="s">
        <v>279</v>
      </c>
      <c r="S1663" t="s">
        <v>280</v>
      </c>
      <c r="T1663" t="s">
        <v>1795</v>
      </c>
      <c r="U1663" t="s">
        <v>295</v>
      </c>
      <c r="V1663" t="s">
        <v>249</v>
      </c>
      <c r="W1663" t="s">
        <v>244</v>
      </c>
      <c r="X1663" t="s">
        <v>2299</v>
      </c>
      <c r="Y1663" t="s">
        <v>191</v>
      </c>
      <c r="Z1663" t="s">
        <v>335</v>
      </c>
      <c r="AA1663" t="s">
        <v>336</v>
      </c>
      <c r="AB1663" t="s">
        <v>606</v>
      </c>
      <c r="AC1663" t="s">
        <v>607</v>
      </c>
      <c r="AD1663" t="s">
        <v>608</v>
      </c>
      <c r="AE1663" s="7">
        <v>105000</v>
      </c>
      <c r="AF1663" s="7">
        <v>1</v>
      </c>
      <c r="AG1663" s="7">
        <v>105000</v>
      </c>
      <c r="AH1663" s="7">
        <v>0</v>
      </c>
      <c r="AI1663" s="7">
        <v>105000</v>
      </c>
      <c r="AJ1663" t="s">
        <v>607</v>
      </c>
    </row>
    <row r="1664" spans="14:36" x14ac:dyDescent="0.3">
      <c r="N1664" s="8">
        <v>2026</v>
      </c>
      <c r="O1664" s="8">
        <v>4</v>
      </c>
      <c r="P1664" s="9">
        <v>46130</v>
      </c>
      <c r="Q1664" t="s">
        <v>238</v>
      </c>
      <c r="R1664" t="s">
        <v>303</v>
      </c>
      <c r="S1664" t="s">
        <v>304</v>
      </c>
      <c r="T1664" t="s">
        <v>2274</v>
      </c>
      <c r="U1664" t="s">
        <v>3884</v>
      </c>
      <c r="V1664" t="s">
        <v>246</v>
      </c>
      <c r="W1664" t="s">
        <v>244</v>
      </c>
      <c r="X1664" t="s">
        <v>2303</v>
      </c>
      <c r="Y1664" t="s">
        <v>191</v>
      </c>
      <c r="Z1664" t="s">
        <v>335</v>
      </c>
      <c r="AA1664" t="s">
        <v>337</v>
      </c>
      <c r="AB1664" t="s">
        <v>656</v>
      </c>
      <c r="AC1664" t="s">
        <v>657</v>
      </c>
      <c r="AD1664" t="s">
        <v>658</v>
      </c>
      <c r="AE1664" s="7">
        <v>35000</v>
      </c>
      <c r="AF1664" s="7">
        <v>5</v>
      </c>
      <c r="AG1664" s="7">
        <v>175000</v>
      </c>
      <c r="AH1664" s="7">
        <v>0</v>
      </c>
      <c r="AI1664" s="7">
        <v>175000</v>
      </c>
      <c r="AJ1664" t="s">
        <v>657</v>
      </c>
    </row>
    <row r="1665" spans="14:36" x14ac:dyDescent="0.3">
      <c r="N1665" s="8">
        <v>2026</v>
      </c>
      <c r="O1665" s="8">
        <v>4</v>
      </c>
      <c r="P1665" s="9">
        <v>46130</v>
      </c>
      <c r="Q1665" t="s">
        <v>238</v>
      </c>
      <c r="R1665" t="s">
        <v>303</v>
      </c>
      <c r="S1665" t="s">
        <v>304</v>
      </c>
      <c r="T1665" t="s">
        <v>745</v>
      </c>
      <c r="U1665" t="s">
        <v>746</v>
      </c>
      <c r="V1665" t="s">
        <v>246</v>
      </c>
      <c r="W1665" t="s">
        <v>244</v>
      </c>
      <c r="X1665" t="s">
        <v>2304</v>
      </c>
      <c r="Y1665" t="s">
        <v>191</v>
      </c>
      <c r="Z1665" t="s">
        <v>192</v>
      </c>
      <c r="AA1665" t="s">
        <v>283</v>
      </c>
      <c r="AB1665" t="s">
        <v>110</v>
      </c>
      <c r="AC1665" t="s">
        <v>108</v>
      </c>
      <c r="AD1665" t="s">
        <v>109</v>
      </c>
      <c r="AE1665" s="7">
        <v>199000</v>
      </c>
      <c r="AF1665" s="7">
        <v>1</v>
      </c>
      <c r="AG1665" s="7">
        <v>199000</v>
      </c>
      <c r="AH1665" s="7">
        <v>0</v>
      </c>
      <c r="AI1665" s="7">
        <v>199000</v>
      </c>
      <c r="AJ1665" t="s">
        <v>108</v>
      </c>
    </row>
    <row r="1666" spans="14:36" x14ac:dyDescent="0.3">
      <c r="N1666" s="8">
        <v>2026</v>
      </c>
      <c r="O1666" s="8">
        <v>4</v>
      </c>
      <c r="P1666" s="9">
        <v>46130</v>
      </c>
      <c r="Q1666" t="s">
        <v>238</v>
      </c>
      <c r="R1666" t="s">
        <v>303</v>
      </c>
      <c r="S1666" t="s">
        <v>304</v>
      </c>
      <c r="T1666" t="s">
        <v>2305</v>
      </c>
      <c r="U1666" t="s">
        <v>2306</v>
      </c>
      <c r="V1666" t="s">
        <v>246</v>
      </c>
      <c r="W1666" t="s">
        <v>244</v>
      </c>
      <c r="X1666" t="s">
        <v>2307</v>
      </c>
      <c r="Y1666" t="s">
        <v>191</v>
      </c>
      <c r="Z1666" t="s">
        <v>335</v>
      </c>
      <c r="AA1666" t="s">
        <v>336</v>
      </c>
      <c r="AB1666" t="s">
        <v>1518</v>
      </c>
      <c r="AC1666" t="s">
        <v>1519</v>
      </c>
      <c r="AD1666" t="s">
        <v>1520</v>
      </c>
      <c r="AE1666" s="7">
        <v>99000</v>
      </c>
      <c r="AF1666" s="7">
        <v>1</v>
      </c>
      <c r="AG1666" s="7">
        <v>99000</v>
      </c>
      <c r="AH1666" s="7">
        <v>0</v>
      </c>
      <c r="AI1666" s="7">
        <v>99000</v>
      </c>
      <c r="AJ1666" t="s">
        <v>1519</v>
      </c>
    </row>
    <row r="1667" spans="14:36" x14ac:dyDescent="0.3">
      <c r="N1667" s="8">
        <v>2026</v>
      </c>
      <c r="O1667" s="8">
        <v>4</v>
      </c>
      <c r="P1667" s="9">
        <v>46130</v>
      </c>
      <c r="Q1667" t="s">
        <v>238</v>
      </c>
      <c r="R1667" t="s">
        <v>351</v>
      </c>
      <c r="S1667" t="s">
        <v>352</v>
      </c>
      <c r="T1667" t="s">
        <v>356</v>
      </c>
      <c r="U1667" t="s">
        <v>357</v>
      </c>
      <c r="V1667" t="s">
        <v>243</v>
      </c>
      <c r="W1667" t="s">
        <v>244</v>
      </c>
      <c r="X1667" t="s">
        <v>2308</v>
      </c>
      <c r="Y1667" t="s">
        <v>183</v>
      </c>
      <c r="Z1667" t="s">
        <v>186</v>
      </c>
      <c r="AA1667" t="s">
        <v>188</v>
      </c>
      <c r="AB1667" t="s">
        <v>98</v>
      </c>
      <c r="AC1667" t="s">
        <v>96</v>
      </c>
      <c r="AD1667" t="s">
        <v>97</v>
      </c>
      <c r="AE1667" s="7">
        <v>239000</v>
      </c>
      <c r="AF1667" s="7">
        <v>1</v>
      </c>
      <c r="AG1667" s="7">
        <v>239000</v>
      </c>
      <c r="AH1667" s="7">
        <v>0</v>
      </c>
      <c r="AI1667" s="7">
        <v>239000</v>
      </c>
      <c r="AJ1667" t="s">
        <v>96</v>
      </c>
    </row>
    <row r="1668" spans="14:36" x14ac:dyDescent="0.3">
      <c r="N1668" s="8">
        <v>2026</v>
      </c>
      <c r="O1668" s="8">
        <v>4</v>
      </c>
      <c r="P1668" s="9">
        <v>46130</v>
      </c>
      <c r="Q1668" t="s">
        <v>238</v>
      </c>
      <c r="R1668" t="s">
        <v>351</v>
      </c>
      <c r="S1668" t="s">
        <v>352</v>
      </c>
      <c r="T1668" t="s">
        <v>356</v>
      </c>
      <c r="U1668" t="s">
        <v>357</v>
      </c>
      <c r="V1668" t="s">
        <v>243</v>
      </c>
      <c r="W1668" t="s">
        <v>244</v>
      </c>
      <c r="X1668" t="s">
        <v>2308</v>
      </c>
      <c r="Y1668" t="s">
        <v>183</v>
      </c>
      <c r="Z1668" t="s">
        <v>186</v>
      </c>
      <c r="AA1668" t="s">
        <v>188</v>
      </c>
      <c r="AB1668" t="s">
        <v>95</v>
      </c>
      <c r="AC1668" t="s">
        <v>93</v>
      </c>
      <c r="AD1668" t="s">
        <v>94</v>
      </c>
      <c r="AE1668" s="7">
        <v>239000</v>
      </c>
      <c r="AF1668" s="7">
        <v>2</v>
      </c>
      <c r="AG1668" s="7">
        <v>478000</v>
      </c>
      <c r="AH1668" s="7">
        <v>0</v>
      </c>
      <c r="AI1668" s="7">
        <v>478000</v>
      </c>
      <c r="AJ1668" t="s">
        <v>93</v>
      </c>
    </row>
    <row r="1669" spans="14:36" x14ac:dyDescent="0.3">
      <c r="N1669" s="8">
        <v>2026</v>
      </c>
      <c r="O1669" s="8">
        <v>4</v>
      </c>
      <c r="P1669" s="9">
        <v>46130</v>
      </c>
      <c r="Q1669" t="s">
        <v>238</v>
      </c>
      <c r="R1669" t="s">
        <v>351</v>
      </c>
      <c r="S1669" t="s">
        <v>352</v>
      </c>
      <c r="T1669" t="s">
        <v>2012</v>
      </c>
      <c r="U1669" t="s">
        <v>4113</v>
      </c>
      <c r="V1669" t="s">
        <v>246</v>
      </c>
      <c r="W1669" t="s">
        <v>244</v>
      </c>
      <c r="X1669" t="s">
        <v>2309</v>
      </c>
      <c r="Y1669" t="s">
        <v>191</v>
      </c>
      <c r="Z1669" t="s">
        <v>335</v>
      </c>
      <c r="AA1669" t="s">
        <v>336</v>
      </c>
      <c r="AB1669" t="s">
        <v>1284</v>
      </c>
      <c r="AC1669" t="s">
        <v>1285</v>
      </c>
      <c r="AD1669" t="s">
        <v>1286</v>
      </c>
      <c r="AE1669" s="7">
        <v>99000</v>
      </c>
      <c r="AF1669" s="7">
        <v>1</v>
      </c>
      <c r="AG1669" s="7">
        <v>99000</v>
      </c>
      <c r="AH1669" s="7">
        <v>0</v>
      </c>
      <c r="AI1669" s="7">
        <v>99000</v>
      </c>
      <c r="AJ1669" t="s">
        <v>1285</v>
      </c>
    </row>
    <row r="1670" spans="14:36" x14ac:dyDescent="0.3">
      <c r="N1670" s="8">
        <v>2026</v>
      </c>
      <c r="O1670" s="8">
        <v>4</v>
      </c>
      <c r="P1670" s="9">
        <v>46130</v>
      </c>
      <c r="Q1670" t="s">
        <v>238</v>
      </c>
      <c r="R1670" t="s">
        <v>374</v>
      </c>
      <c r="S1670" t="s">
        <v>375</v>
      </c>
      <c r="T1670" t="s">
        <v>376</v>
      </c>
      <c r="U1670" t="s">
        <v>377</v>
      </c>
      <c r="V1670" t="s">
        <v>243</v>
      </c>
      <c r="W1670" t="s">
        <v>244</v>
      </c>
      <c r="X1670" t="s">
        <v>2310</v>
      </c>
      <c r="Y1670" t="s">
        <v>168</v>
      </c>
      <c r="Z1670" t="s">
        <v>171</v>
      </c>
      <c r="AA1670" t="s">
        <v>172</v>
      </c>
      <c r="AB1670" t="s">
        <v>11</v>
      </c>
      <c r="AC1670" t="s">
        <v>9</v>
      </c>
      <c r="AD1670" t="s">
        <v>10</v>
      </c>
      <c r="AE1670" s="7">
        <v>129000</v>
      </c>
      <c r="AF1670" s="7">
        <v>1</v>
      </c>
      <c r="AG1670" s="7">
        <v>129000</v>
      </c>
      <c r="AH1670" s="7">
        <v>0</v>
      </c>
      <c r="AI1670" s="7">
        <v>129000</v>
      </c>
      <c r="AJ1670" t="s">
        <v>9</v>
      </c>
    </row>
    <row r="1671" spans="14:36" x14ac:dyDescent="0.3">
      <c r="N1671" s="8">
        <v>2026</v>
      </c>
      <c r="O1671" s="8">
        <v>4</v>
      </c>
      <c r="P1671" s="9">
        <v>46130</v>
      </c>
      <c r="Q1671" t="s">
        <v>238</v>
      </c>
      <c r="R1671" t="s">
        <v>374</v>
      </c>
      <c r="S1671" t="s">
        <v>375</v>
      </c>
      <c r="T1671" t="s">
        <v>376</v>
      </c>
      <c r="U1671" t="s">
        <v>377</v>
      </c>
      <c r="V1671" t="s">
        <v>243</v>
      </c>
      <c r="W1671" t="s">
        <v>244</v>
      </c>
      <c r="X1671" t="s">
        <v>2311</v>
      </c>
      <c r="Y1671" t="s">
        <v>168</v>
      </c>
      <c r="Z1671" t="s">
        <v>171</v>
      </c>
      <c r="AA1671" t="s">
        <v>173</v>
      </c>
      <c r="AB1671" t="s">
        <v>29</v>
      </c>
      <c r="AC1671" t="s">
        <v>27</v>
      </c>
      <c r="AD1671" t="s">
        <v>28</v>
      </c>
      <c r="AE1671" s="7">
        <v>290000</v>
      </c>
      <c r="AF1671" s="7">
        <v>1</v>
      </c>
      <c r="AG1671" s="7">
        <v>290000</v>
      </c>
      <c r="AH1671" s="7">
        <v>0</v>
      </c>
      <c r="AI1671" s="7">
        <v>290000</v>
      </c>
      <c r="AJ1671" t="s">
        <v>27</v>
      </c>
    </row>
    <row r="1672" spans="14:36" x14ac:dyDescent="0.3">
      <c r="N1672" s="8">
        <v>2026</v>
      </c>
      <c r="O1672" s="8">
        <v>4</v>
      </c>
      <c r="P1672" s="9">
        <v>46130</v>
      </c>
      <c r="Q1672" t="s">
        <v>238</v>
      </c>
      <c r="R1672" t="s">
        <v>374</v>
      </c>
      <c r="S1672" t="s">
        <v>375</v>
      </c>
      <c r="T1672" t="s">
        <v>2314</v>
      </c>
      <c r="U1672" t="s">
        <v>2315</v>
      </c>
      <c r="V1672" t="s">
        <v>246</v>
      </c>
      <c r="W1672" t="s">
        <v>244</v>
      </c>
      <c r="X1672" t="s">
        <v>2316</v>
      </c>
      <c r="Y1672" t="s">
        <v>168</v>
      </c>
      <c r="Z1672" t="s">
        <v>181</v>
      </c>
      <c r="AA1672" t="s">
        <v>182</v>
      </c>
      <c r="AB1672" t="s">
        <v>50</v>
      </c>
      <c r="AC1672" t="s">
        <v>48</v>
      </c>
      <c r="AD1672" t="s">
        <v>49</v>
      </c>
      <c r="AE1672" s="7">
        <v>49000</v>
      </c>
      <c r="AF1672" s="7">
        <v>1</v>
      </c>
      <c r="AG1672" s="7">
        <v>49000</v>
      </c>
      <c r="AH1672" s="7">
        <v>0</v>
      </c>
      <c r="AI1672" s="7">
        <v>49000</v>
      </c>
      <c r="AJ1672" t="s">
        <v>48</v>
      </c>
    </row>
    <row r="1673" spans="14:36" x14ac:dyDescent="0.3">
      <c r="N1673" s="8">
        <v>2026</v>
      </c>
      <c r="O1673" s="8">
        <v>4</v>
      </c>
      <c r="P1673" s="9">
        <v>46130</v>
      </c>
      <c r="Q1673" t="s">
        <v>238</v>
      </c>
      <c r="R1673" t="s">
        <v>415</v>
      </c>
      <c r="S1673" t="s">
        <v>416</v>
      </c>
      <c r="T1673" t="s">
        <v>417</v>
      </c>
      <c r="U1673" t="s">
        <v>418</v>
      </c>
      <c r="V1673" t="s">
        <v>243</v>
      </c>
      <c r="W1673" t="s">
        <v>244</v>
      </c>
      <c r="X1673" t="s">
        <v>2318</v>
      </c>
      <c r="Y1673" t="s">
        <v>191</v>
      </c>
      <c r="Z1673" t="s">
        <v>335</v>
      </c>
      <c r="AA1673" t="s">
        <v>337</v>
      </c>
      <c r="AB1673" t="s">
        <v>656</v>
      </c>
      <c r="AC1673" t="s">
        <v>657</v>
      </c>
      <c r="AD1673" t="s">
        <v>658</v>
      </c>
      <c r="AE1673" s="7">
        <v>35000</v>
      </c>
      <c r="AF1673" s="7">
        <v>1</v>
      </c>
      <c r="AG1673" s="7">
        <v>35000</v>
      </c>
      <c r="AH1673" s="7">
        <v>0</v>
      </c>
      <c r="AI1673" s="7">
        <v>35000</v>
      </c>
      <c r="AJ1673" t="s">
        <v>657</v>
      </c>
    </row>
    <row r="1674" spans="14:36" x14ac:dyDescent="0.3">
      <c r="N1674" s="8">
        <v>2026</v>
      </c>
      <c r="O1674" s="8">
        <v>4</v>
      </c>
      <c r="P1674" s="9">
        <v>46130</v>
      </c>
      <c r="Q1674" t="s">
        <v>238</v>
      </c>
      <c r="R1674" t="s">
        <v>415</v>
      </c>
      <c r="S1674" t="s">
        <v>416</v>
      </c>
      <c r="T1674" t="s">
        <v>2319</v>
      </c>
      <c r="U1674" t="s">
        <v>3866</v>
      </c>
      <c r="V1674" t="s">
        <v>249</v>
      </c>
      <c r="W1674" t="s">
        <v>244</v>
      </c>
      <c r="X1674" t="s">
        <v>2320</v>
      </c>
      <c r="Y1674" t="s">
        <v>191</v>
      </c>
      <c r="Z1674" t="s">
        <v>335</v>
      </c>
      <c r="AA1674" t="s">
        <v>337</v>
      </c>
      <c r="AB1674" t="s">
        <v>541</v>
      </c>
      <c r="AC1674" t="s">
        <v>542</v>
      </c>
      <c r="AD1674" t="s">
        <v>543</v>
      </c>
      <c r="AE1674" s="7">
        <v>69000</v>
      </c>
      <c r="AF1674" s="7">
        <v>1</v>
      </c>
      <c r="AG1674" s="7">
        <v>69000</v>
      </c>
      <c r="AH1674" s="7">
        <v>0</v>
      </c>
      <c r="AI1674" s="7">
        <v>69000</v>
      </c>
      <c r="AJ1674" t="s">
        <v>542</v>
      </c>
    </row>
    <row r="1675" spans="14:36" x14ac:dyDescent="0.3">
      <c r="N1675" s="8">
        <v>2026</v>
      </c>
      <c r="O1675" s="8">
        <v>4</v>
      </c>
      <c r="P1675" s="9">
        <v>46130</v>
      </c>
      <c r="Q1675" t="s">
        <v>238</v>
      </c>
      <c r="R1675" t="s">
        <v>415</v>
      </c>
      <c r="S1675" t="s">
        <v>416</v>
      </c>
      <c r="T1675" t="s">
        <v>883</v>
      </c>
      <c r="U1675" t="s">
        <v>4003</v>
      </c>
      <c r="V1675" t="s">
        <v>246</v>
      </c>
      <c r="W1675" t="s">
        <v>244</v>
      </c>
      <c r="X1675" t="s">
        <v>2321</v>
      </c>
      <c r="Y1675" t="s">
        <v>191</v>
      </c>
      <c r="Z1675" t="s">
        <v>335</v>
      </c>
      <c r="AA1675" t="s">
        <v>337</v>
      </c>
      <c r="AB1675" t="s">
        <v>348</v>
      </c>
      <c r="AC1675" t="s">
        <v>349</v>
      </c>
      <c r="AD1675" t="s">
        <v>350</v>
      </c>
      <c r="AE1675" s="7">
        <v>76000</v>
      </c>
      <c r="AF1675" s="7">
        <v>1</v>
      </c>
      <c r="AG1675" s="7">
        <v>76000</v>
      </c>
      <c r="AH1675" s="7">
        <v>0</v>
      </c>
      <c r="AI1675" s="7">
        <v>76000</v>
      </c>
      <c r="AJ1675" t="s">
        <v>349</v>
      </c>
    </row>
    <row r="1676" spans="14:36" x14ac:dyDescent="0.3">
      <c r="N1676" s="8">
        <v>2026</v>
      </c>
      <c r="O1676" s="8">
        <v>4</v>
      </c>
      <c r="P1676" s="9">
        <v>46130</v>
      </c>
      <c r="Q1676" t="s">
        <v>238</v>
      </c>
      <c r="R1676" t="s">
        <v>425</v>
      </c>
      <c r="S1676" t="s">
        <v>426</v>
      </c>
      <c r="T1676" t="s">
        <v>1007</v>
      </c>
      <c r="U1676" t="s">
        <v>1008</v>
      </c>
      <c r="V1676" t="s">
        <v>246</v>
      </c>
      <c r="W1676" t="s">
        <v>244</v>
      </c>
      <c r="X1676" t="s">
        <v>2324</v>
      </c>
      <c r="Y1676" t="s">
        <v>191</v>
      </c>
      <c r="Z1676" t="s">
        <v>192</v>
      </c>
      <c r="AA1676" t="s">
        <v>283</v>
      </c>
      <c r="AB1676" t="s">
        <v>110</v>
      </c>
      <c r="AC1676" t="s">
        <v>108</v>
      </c>
      <c r="AD1676" t="s">
        <v>109</v>
      </c>
      <c r="AE1676" s="7">
        <v>199000</v>
      </c>
      <c r="AF1676" s="7">
        <v>1</v>
      </c>
      <c r="AG1676" s="7">
        <v>199000</v>
      </c>
      <c r="AH1676" s="7">
        <v>0</v>
      </c>
      <c r="AI1676" s="7">
        <v>199000</v>
      </c>
      <c r="AJ1676" t="s">
        <v>108</v>
      </c>
    </row>
    <row r="1677" spans="14:36" x14ac:dyDescent="0.3">
      <c r="N1677" s="8">
        <v>2026</v>
      </c>
      <c r="O1677" s="8">
        <v>4</v>
      </c>
      <c r="P1677" s="9">
        <v>46130</v>
      </c>
      <c r="Q1677" t="s">
        <v>238</v>
      </c>
      <c r="R1677" t="s">
        <v>425</v>
      </c>
      <c r="S1677" t="s">
        <v>426</v>
      </c>
      <c r="T1677" t="s">
        <v>1750</v>
      </c>
      <c r="U1677" t="s">
        <v>1751</v>
      </c>
      <c r="V1677" t="s">
        <v>246</v>
      </c>
      <c r="W1677" t="s">
        <v>244</v>
      </c>
      <c r="X1677" t="s">
        <v>2325</v>
      </c>
      <c r="Y1677" t="s">
        <v>191</v>
      </c>
      <c r="Z1677" t="s">
        <v>335</v>
      </c>
      <c r="AA1677" t="s">
        <v>336</v>
      </c>
      <c r="AB1677" t="s">
        <v>1146</v>
      </c>
      <c r="AC1677" t="s">
        <v>1147</v>
      </c>
      <c r="AD1677" t="s">
        <v>1148</v>
      </c>
      <c r="AE1677" s="7">
        <v>54450</v>
      </c>
      <c r="AF1677" s="7">
        <v>2</v>
      </c>
      <c r="AG1677" s="7">
        <v>108900</v>
      </c>
      <c r="AH1677" s="7">
        <v>0</v>
      </c>
      <c r="AI1677" s="7">
        <v>108900</v>
      </c>
      <c r="AJ1677" t="s">
        <v>1147</v>
      </c>
    </row>
    <row r="1678" spans="14:36" x14ac:dyDescent="0.3">
      <c r="N1678" s="8">
        <v>2026</v>
      </c>
      <c r="O1678" s="8">
        <v>4</v>
      </c>
      <c r="P1678" s="9">
        <v>46129</v>
      </c>
      <c r="Q1678" t="s">
        <v>238</v>
      </c>
      <c r="R1678" t="s">
        <v>239</v>
      </c>
      <c r="S1678" t="s">
        <v>240</v>
      </c>
      <c r="T1678" t="s">
        <v>256</v>
      </c>
      <c r="U1678" t="s">
        <v>257</v>
      </c>
      <c r="V1678" t="s">
        <v>246</v>
      </c>
      <c r="W1678" t="s">
        <v>244</v>
      </c>
      <c r="X1678" t="s">
        <v>2326</v>
      </c>
      <c r="Y1678" t="s">
        <v>168</v>
      </c>
      <c r="Z1678" t="s">
        <v>181</v>
      </c>
      <c r="AA1678" t="s">
        <v>182</v>
      </c>
      <c r="AB1678" t="s">
        <v>53</v>
      </c>
      <c r="AC1678" t="s">
        <v>51</v>
      </c>
      <c r="AD1678" t="s">
        <v>52</v>
      </c>
      <c r="AE1678" s="7">
        <v>45000</v>
      </c>
      <c r="AF1678" s="7">
        <v>1</v>
      </c>
      <c r="AG1678" s="7">
        <v>45000</v>
      </c>
      <c r="AH1678" s="7">
        <v>0</v>
      </c>
      <c r="AI1678" s="7">
        <v>45000</v>
      </c>
      <c r="AJ1678" t="s">
        <v>51</v>
      </c>
    </row>
    <row r="1679" spans="14:36" x14ac:dyDescent="0.3">
      <c r="N1679" s="8">
        <v>2026</v>
      </c>
      <c r="O1679" s="8">
        <v>4</v>
      </c>
      <c r="P1679" s="9">
        <v>46129</v>
      </c>
      <c r="Q1679" t="s">
        <v>238</v>
      </c>
      <c r="R1679" t="s">
        <v>239</v>
      </c>
      <c r="S1679" t="s">
        <v>240</v>
      </c>
      <c r="T1679" t="s">
        <v>691</v>
      </c>
      <c r="U1679" t="s">
        <v>692</v>
      </c>
      <c r="V1679" t="s">
        <v>246</v>
      </c>
      <c r="W1679" t="s">
        <v>244</v>
      </c>
      <c r="X1679" t="s">
        <v>2327</v>
      </c>
      <c r="Y1679" t="s">
        <v>168</v>
      </c>
      <c r="Z1679" t="s">
        <v>171</v>
      </c>
      <c r="AA1679" t="s">
        <v>172</v>
      </c>
      <c r="AB1679" t="s">
        <v>11</v>
      </c>
      <c r="AC1679" t="s">
        <v>9</v>
      </c>
      <c r="AD1679" t="s">
        <v>10</v>
      </c>
      <c r="AE1679" s="7">
        <v>129000</v>
      </c>
      <c r="AF1679" s="7">
        <v>1</v>
      </c>
      <c r="AG1679" s="7">
        <v>129000</v>
      </c>
      <c r="AH1679" s="7">
        <v>0</v>
      </c>
      <c r="AI1679" s="7">
        <v>129000</v>
      </c>
      <c r="AJ1679" t="s">
        <v>9</v>
      </c>
    </row>
    <row r="1680" spans="14:36" x14ac:dyDescent="0.3">
      <c r="N1680" s="8">
        <v>2026</v>
      </c>
      <c r="O1680" s="8">
        <v>4</v>
      </c>
      <c r="P1680" s="9">
        <v>46129</v>
      </c>
      <c r="Q1680" t="s">
        <v>238</v>
      </c>
      <c r="R1680" t="s">
        <v>239</v>
      </c>
      <c r="S1680" t="s">
        <v>240</v>
      </c>
      <c r="T1680" t="s">
        <v>1526</v>
      </c>
      <c r="U1680" t="s">
        <v>1527</v>
      </c>
      <c r="V1680" t="s">
        <v>246</v>
      </c>
      <c r="W1680" t="s">
        <v>244</v>
      </c>
      <c r="X1680" t="s">
        <v>2328</v>
      </c>
      <c r="Y1680" t="s">
        <v>183</v>
      </c>
      <c r="Z1680" t="s">
        <v>186</v>
      </c>
      <c r="AA1680" t="s">
        <v>188</v>
      </c>
      <c r="AB1680" t="s">
        <v>98</v>
      </c>
      <c r="AC1680" t="s">
        <v>96</v>
      </c>
      <c r="AD1680" t="s">
        <v>97</v>
      </c>
      <c r="AE1680" s="7">
        <v>239000</v>
      </c>
      <c r="AF1680" s="7">
        <v>2</v>
      </c>
      <c r="AG1680" s="7">
        <v>478000</v>
      </c>
      <c r="AH1680" s="7">
        <v>0</v>
      </c>
      <c r="AI1680" s="7">
        <v>478000</v>
      </c>
      <c r="AJ1680" t="s">
        <v>96</v>
      </c>
    </row>
    <row r="1681" spans="14:36" x14ac:dyDescent="0.3">
      <c r="N1681" s="8">
        <v>2026</v>
      </c>
      <c r="O1681" s="8">
        <v>4</v>
      </c>
      <c r="P1681" s="9">
        <v>46129</v>
      </c>
      <c r="Q1681" t="s">
        <v>238</v>
      </c>
      <c r="R1681" t="s">
        <v>239</v>
      </c>
      <c r="S1681" t="s">
        <v>240</v>
      </c>
      <c r="T1681" t="s">
        <v>1526</v>
      </c>
      <c r="U1681" t="s">
        <v>1527</v>
      </c>
      <c r="V1681" t="s">
        <v>246</v>
      </c>
      <c r="W1681" t="s">
        <v>244</v>
      </c>
      <c r="X1681" t="s">
        <v>2328</v>
      </c>
      <c r="Y1681" t="s">
        <v>183</v>
      </c>
      <c r="Z1681" t="s">
        <v>186</v>
      </c>
      <c r="AA1681" t="s">
        <v>188</v>
      </c>
      <c r="AB1681" t="s">
        <v>95</v>
      </c>
      <c r="AC1681" t="s">
        <v>93</v>
      </c>
      <c r="AD1681" t="s">
        <v>94</v>
      </c>
      <c r="AE1681" s="7">
        <v>239000</v>
      </c>
      <c r="AF1681" s="7">
        <v>1</v>
      </c>
      <c r="AG1681" s="7">
        <v>239000</v>
      </c>
      <c r="AH1681" s="7">
        <v>0</v>
      </c>
      <c r="AI1681" s="7">
        <v>239000</v>
      </c>
      <c r="AJ1681" t="s">
        <v>93</v>
      </c>
    </row>
    <row r="1682" spans="14:36" x14ac:dyDescent="0.3">
      <c r="N1682" s="8">
        <v>2026</v>
      </c>
      <c r="O1682" s="8">
        <v>4</v>
      </c>
      <c r="P1682" s="9">
        <v>46129</v>
      </c>
      <c r="Q1682" t="s">
        <v>238</v>
      </c>
      <c r="R1682" t="s">
        <v>279</v>
      </c>
      <c r="S1682" t="s">
        <v>280</v>
      </c>
      <c r="T1682" t="s">
        <v>2329</v>
      </c>
      <c r="U1682" t="s">
        <v>2330</v>
      </c>
      <c r="V1682" t="s">
        <v>249</v>
      </c>
      <c r="W1682" t="s">
        <v>244</v>
      </c>
      <c r="X1682" t="s">
        <v>2331</v>
      </c>
      <c r="Y1682" t="s">
        <v>191</v>
      </c>
      <c r="Z1682" t="s">
        <v>335</v>
      </c>
      <c r="AA1682" t="s">
        <v>336</v>
      </c>
      <c r="AB1682" t="s">
        <v>1146</v>
      </c>
      <c r="AC1682" t="s">
        <v>1147</v>
      </c>
      <c r="AD1682" t="s">
        <v>1148</v>
      </c>
      <c r="AE1682" s="7">
        <v>99000</v>
      </c>
      <c r="AF1682" s="7">
        <v>1</v>
      </c>
      <c r="AG1682" s="7">
        <v>99000</v>
      </c>
      <c r="AH1682" s="7">
        <v>0</v>
      </c>
      <c r="AI1682" s="7">
        <v>99000</v>
      </c>
      <c r="AJ1682" t="s">
        <v>1147</v>
      </c>
    </row>
    <row r="1683" spans="14:36" x14ac:dyDescent="0.3">
      <c r="N1683" s="8">
        <v>2026</v>
      </c>
      <c r="O1683" s="8">
        <v>4</v>
      </c>
      <c r="P1683" s="9">
        <v>46129</v>
      </c>
      <c r="Q1683" t="s">
        <v>238</v>
      </c>
      <c r="R1683" t="s">
        <v>303</v>
      </c>
      <c r="S1683" t="s">
        <v>304</v>
      </c>
      <c r="T1683" t="s">
        <v>921</v>
      </c>
      <c r="U1683" t="s">
        <v>4114</v>
      </c>
      <c r="V1683" t="s">
        <v>246</v>
      </c>
      <c r="W1683" t="s">
        <v>244</v>
      </c>
      <c r="X1683" t="s">
        <v>2334</v>
      </c>
      <c r="Y1683" t="s">
        <v>191</v>
      </c>
      <c r="Z1683" t="s">
        <v>335</v>
      </c>
      <c r="AA1683" t="s">
        <v>336</v>
      </c>
      <c r="AB1683" t="s">
        <v>1146</v>
      </c>
      <c r="AC1683" t="s">
        <v>1147</v>
      </c>
      <c r="AD1683" t="s">
        <v>1148</v>
      </c>
      <c r="AE1683" s="7">
        <v>99000</v>
      </c>
      <c r="AF1683" s="7">
        <v>1</v>
      </c>
      <c r="AG1683" s="7">
        <v>99000</v>
      </c>
      <c r="AH1683" s="7">
        <v>0</v>
      </c>
      <c r="AI1683" s="7">
        <v>99000</v>
      </c>
      <c r="AJ1683" t="s">
        <v>1147</v>
      </c>
    </row>
    <row r="1684" spans="14:36" x14ac:dyDescent="0.3">
      <c r="N1684" s="8">
        <v>2026</v>
      </c>
      <c r="O1684" s="8">
        <v>4</v>
      </c>
      <c r="P1684" s="9">
        <v>46129</v>
      </c>
      <c r="Q1684" t="s">
        <v>238</v>
      </c>
      <c r="R1684" t="s">
        <v>374</v>
      </c>
      <c r="S1684" t="s">
        <v>375</v>
      </c>
      <c r="T1684" t="s">
        <v>376</v>
      </c>
      <c r="U1684" t="s">
        <v>377</v>
      </c>
      <c r="V1684" t="s">
        <v>243</v>
      </c>
      <c r="W1684" t="s">
        <v>244</v>
      </c>
      <c r="X1684" t="s">
        <v>2335</v>
      </c>
      <c r="Y1684" t="s">
        <v>168</v>
      </c>
      <c r="Z1684" t="s">
        <v>181</v>
      </c>
      <c r="AA1684" t="s">
        <v>182</v>
      </c>
      <c r="AB1684" t="s">
        <v>50</v>
      </c>
      <c r="AC1684" t="s">
        <v>48</v>
      </c>
      <c r="AD1684" t="s">
        <v>49</v>
      </c>
      <c r="AE1684" s="7">
        <v>49000</v>
      </c>
      <c r="AF1684" s="7">
        <v>1</v>
      </c>
      <c r="AG1684" s="7">
        <v>49000</v>
      </c>
      <c r="AH1684" s="7">
        <v>0</v>
      </c>
      <c r="AI1684" s="7">
        <v>49000</v>
      </c>
      <c r="AJ1684" t="s">
        <v>48</v>
      </c>
    </row>
    <row r="1685" spans="14:36" x14ac:dyDescent="0.3">
      <c r="N1685" s="8">
        <v>2026</v>
      </c>
      <c r="O1685" s="8">
        <v>4</v>
      </c>
      <c r="P1685" s="9">
        <v>46129</v>
      </c>
      <c r="Q1685" t="s">
        <v>238</v>
      </c>
      <c r="R1685" t="s">
        <v>374</v>
      </c>
      <c r="S1685" t="s">
        <v>375</v>
      </c>
      <c r="T1685" t="s">
        <v>376</v>
      </c>
      <c r="U1685" t="s">
        <v>377</v>
      </c>
      <c r="V1685" t="s">
        <v>243</v>
      </c>
      <c r="W1685" t="s">
        <v>244</v>
      </c>
      <c r="X1685" t="s">
        <v>2336</v>
      </c>
      <c r="Y1685" t="s">
        <v>168</v>
      </c>
      <c r="Z1685" t="s">
        <v>181</v>
      </c>
      <c r="AA1685" t="s">
        <v>182</v>
      </c>
      <c r="AB1685" t="s">
        <v>53</v>
      </c>
      <c r="AC1685" t="s">
        <v>51</v>
      </c>
      <c r="AD1685" t="s">
        <v>52</v>
      </c>
      <c r="AE1685" s="7">
        <v>45000</v>
      </c>
      <c r="AF1685" s="7">
        <v>1</v>
      </c>
      <c r="AG1685" s="7">
        <v>45000</v>
      </c>
      <c r="AH1685" s="7">
        <v>0</v>
      </c>
      <c r="AI1685" s="7">
        <v>45000</v>
      </c>
      <c r="AJ1685" t="s">
        <v>51</v>
      </c>
    </row>
    <row r="1686" spans="14:36" x14ac:dyDescent="0.3">
      <c r="N1686" s="8">
        <v>2026</v>
      </c>
      <c r="O1686" s="8">
        <v>4</v>
      </c>
      <c r="P1686" s="9">
        <v>46129</v>
      </c>
      <c r="Q1686" t="s">
        <v>238</v>
      </c>
      <c r="R1686" t="s">
        <v>415</v>
      </c>
      <c r="S1686" t="s">
        <v>416</v>
      </c>
      <c r="T1686" t="s">
        <v>2338</v>
      </c>
      <c r="U1686" t="s">
        <v>443</v>
      </c>
      <c r="V1686" t="s">
        <v>246</v>
      </c>
      <c r="W1686" t="s">
        <v>244</v>
      </c>
      <c r="X1686" t="s">
        <v>2339</v>
      </c>
      <c r="Y1686" t="s">
        <v>191</v>
      </c>
      <c r="Z1686" t="s">
        <v>335</v>
      </c>
      <c r="AA1686" t="s">
        <v>337</v>
      </c>
      <c r="AB1686" t="s">
        <v>348</v>
      </c>
      <c r="AC1686" t="s">
        <v>349</v>
      </c>
      <c r="AD1686" t="s">
        <v>350</v>
      </c>
      <c r="AE1686" s="7">
        <v>76000</v>
      </c>
      <c r="AF1686" s="7">
        <v>1</v>
      </c>
      <c r="AG1686" s="7">
        <v>76000</v>
      </c>
      <c r="AH1686" s="7">
        <v>0</v>
      </c>
      <c r="AI1686" s="7">
        <v>76000</v>
      </c>
      <c r="AJ1686" t="s">
        <v>349</v>
      </c>
    </row>
    <row r="1687" spans="14:36" x14ac:dyDescent="0.3">
      <c r="N1687" s="8">
        <v>2026</v>
      </c>
      <c r="O1687" s="8">
        <v>4</v>
      </c>
      <c r="P1687" s="9">
        <v>46128</v>
      </c>
      <c r="Q1687" t="s">
        <v>238</v>
      </c>
      <c r="R1687" t="s">
        <v>239</v>
      </c>
      <c r="S1687" t="s">
        <v>240</v>
      </c>
      <c r="T1687" t="s">
        <v>2340</v>
      </c>
      <c r="U1687" t="s">
        <v>2341</v>
      </c>
      <c r="V1687" t="s">
        <v>246</v>
      </c>
      <c r="W1687" t="s">
        <v>244</v>
      </c>
      <c r="X1687" t="s">
        <v>2342</v>
      </c>
      <c r="Y1687" t="s">
        <v>183</v>
      </c>
      <c r="Z1687" t="s">
        <v>189</v>
      </c>
      <c r="AA1687" t="s">
        <v>190</v>
      </c>
      <c r="AB1687" t="s">
        <v>92</v>
      </c>
      <c r="AC1687" t="s">
        <v>90</v>
      </c>
      <c r="AD1687" t="s">
        <v>91</v>
      </c>
      <c r="AE1687" s="7">
        <v>52000</v>
      </c>
      <c r="AF1687" s="7">
        <v>1</v>
      </c>
      <c r="AG1687" s="7">
        <v>52000</v>
      </c>
      <c r="AH1687" s="7">
        <v>0</v>
      </c>
      <c r="AI1687" s="7">
        <v>52000</v>
      </c>
      <c r="AJ1687" t="s">
        <v>90</v>
      </c>
    </row>
    <row r="1688" spans="14:36" x14ac:dyDescent="0.3">
      <c r="N1688" s="8">
        <v>2026</v>
      </c>
      <c r="O1688" s="8">
        <v>4</v>
      </c>
      <c r="P1688" s="9">
        <v>46128</v>
      </c>
      <c r="Q1688" t="s">
        <v>238</v>
      </c>
      <c r="R1688" t="s">
        <v>279</v>
      </c>
      <c r="S1688" t="s">
        <v>280</v>
      </c>
      <c r="T1688" t="s">
        <v>2343</v>
      </c>
      <c r="U1688" t="s">
        <v>506</v>
      </c>
      <c r="V1688" t="s">
        <v>246</v>
      </c>
      <c r="W1688" t="s">
        <v>244</v>
      </c>
      <c r="X1688" t="s">
        <v>2344</v>
      </c>
      <c r="Y1688" t="s">
        <v>191</v>
      </c>
      <c r="Z1688" t="s">
        <v>335</v>
      </c>
      <c r="AA1688" t="s">
        <v>336</v>
      </c>
      <c r="AB1688" t="s">
        <v>606</v>
      </c>
      <c r="AC1688" t="s">
        <v>607</v>
      </c>
      <c r="AD1688" t="s">
        <v>608</v>
      </c>
      <c r="AE1688" s="7">
        <v>105000</v>
      </c>
      <c r="AF1688" s="7">
        <v>1</v>
      </c>
      <c r="AG1688" s="7">
        <v>105000</v>
      </c>
      <c r="AH1688" s="7">
        <v>0</v>
      </c>
      <c r="AI1688" s="7">
        <v>105000</v>
      </c>
      <c r="AJ1688" t="s">
        <v>607</v>
      </c>
    </row>
    <row r="1689" spans="14:36" x14ac:dyDescent="0.3">
      <c r="N1689" s="8">
        <v>2026</v>
      </c>
      <c r="O1689" s="8">
        <v>4</v>
      </c>
      <c r="P1689" s="9">
        <v>46128</v>
      </c>
      <c r="Q1689" t="s">
        <v>238</v>
      </c>
      <c r="R1689" t="s">
        <v>303</v>
      </c>
      <c r="S1689" t="s">
        <v>304</v>
      </c>
      <c r="T1689" t="s">
        <v>2346</v>
      </c>
      <c r="U1689" t="s">
        <v>476</v>
      </c>
      <c r="V1689" t="s">
        <v>246</v>
      </c>
      <c r="W1689" t="s">
        <v>244</v>
      </c>
      <c r="X1689" t="s">
        <v>2347</v>
      </c>
      <c r="Y1689" t="s">
        <v>191</v>
      </c>
      <c r="Z1689" t="s">
        <v>192</v>
      </c>
      <c r="AA1689" t="s">
        <v>193</v>
      </c>
      <c r="AB1689" t="s">
        <v>119</v>
      </c>
      <c r="AC1689" t="s">
        <v>117</v>
      </c>
      <c r="AD1689" t="s">
        <v>118</v>
      </c>
      <c r="AE1689" s="7">
        <v>199000</v>
      </c>
      <c r="AF1689" s="7">
        <v>1</v>
      </c>
      <c r="AG1689" s="7">
        <v>199000</v>
      </c>
      <c r="AH1689" s="7">
        <v>0</v>
      </c>
      <c r="AI1689" s="7">
        <v>199000</v>
      </c>
      <c r="AJ1689" t="s">
        <v>117</v>
      </c>
    </row>
    <row r="1690" spans="14:36" x14ac:dyDescent="0.3">
      <c r="N1690" s="8">
        <v>2026</v>
      </c>
      <c r="O1690" s="8">
        <v>4</v>
      </c>
      <c r="P1690" s="9">
        <v>46128</v>
      </c>
      <c r="Q1690" t="s">
        <v>238</v>
      </c>
      <c r="R1690" t="s">
        <v>303</v>
      </c>
      <c r="S1690" t="s">
        <v>304</v>
      </c>
      <c r="T1690" t="s">
        <v>305</v>
      </c>
      <c r="U1690" t="s">
        <v>306</v>
      </c>
      <c r="V1690" t="s">
        <v>243</v>
      </c>
      <c r="W1690" t="s">
        <v>244</v>
      </c>
      <c r="X1690" t="s">
        <v>2348</v>
      </c>
      <c r="Y1690" t="s">
        <v>191</v>
      </c>
      <c r="Z1690" t="s">
        <v>192</v>
      </c>
      <c r="AA1690" t="s">
        <v>193</v>
      </c>
      <c r="AB1690" t="s">
        <v>113</v>
      </c>
      <c r="AC1690" t="s">
        <v>111</v>
      </c>
      <c r="AD1690" t="s">
        <v>112</v>
      </c>
      <c r="AE1690" s="7">
        <v>185000</v>
      </c>
      <c r="AF1690" s="7">
        <v>1</v>
      </c>
      <c r="AG1690" s="7">
        <v>185000</v>
      </c>
      <c r="AH1690" s="7">
        <v>0</v>
      </c>
      <c r="AI1690" s="7">
        <v>185000</v>
      </c>
      <c r="AJ1690" t="s">
        <v>111</v>
      </c>
    </row>
    <row r="1691" spans="14:36" x14ac:dyDescent="0.3">
      <c r="N1691" s="8">
        <v>2026</v>
      </c>
      <c r="O1691" s="8">
        <v>4</v>
      </c>
      <c r="P1691" s="9">
        <v>46128</v>
      </c>
      <c r="Q1691" t="s">
        <v>238</v>
      </c>
      <c r="R1691" t="s">
        <v>303</v>
      </c>
      <c r="S1691" t="s">
        <v>304</v>
      </c>
      <c r="T1691" t="s">
        <v>2349</v>
      </c>
      <c r="U1691" t="s">
        <v>3543</v>
      </c>
      <c r="V1691" t="s">
        <v>246</v>
      </c>
      <c r="W1691" t="s">
        <v>244</v>
      </c>
      <c r="X1691" t="s">
        <v>2350</v>
      </c>
      <c r="Y1691" t="s">
        <v>168</v>
      </c>
      <c r="Z1691" t="s">
        <v>181</v>
      </c>
      <c r="AA1691" t="s">
        <v>182</v>
      </c>
      <c r="AB1691" t="s">
        <v>50</v>
      </c>
      <c r="AC1691" t="s">
        <v>48</v>
      </c>
      <c r="AD1691" t="s">
        <v>49</v>
      </c>
      <c r="AE1691" s="7">
        <v>49000</v>
      </c>
      <c r="AF1691" s="7">
        <v>1</v>
      </c>
      <c r="AG1691" s="7">
        <v>49000</v>
      </c>
      <c r="AH1691" s="7">
        <v>0</v>
      </c>
      <c r="AI1691" s="7">
        <v>49000</v>
      </c>
      <c r="AJ1691" t="s">
        <v>48</v>
      </c>
    </row>
    <row r="1692" spans="14:36" x14ac:dyDescent="0.3">
      <c r="N1692" s="8">
        <v>2026</v>
      </c>
      <c r="O1692" s="8">
        <v>4</v>
      </c>
      <c r="P1692" s="9">
        <v>46128</v>
      </c>
      <c r="Q1692" t="s">
        <v>238</v>
      </c>
      <c r="R1692" t="s">
        <v>303</v>
      </c>
      <c r="S1692" t="s">
        <v>304</v>
      </c>
      <c r="T1692" t="s">
        <v>847</v>
      </c>
      <c r="U1692" t="s">
        <v>4115</v>
      </c>
      <c r="V1692" t="s">
        <v>246</v>
      </c>
      <c r="W1692" t="s">
        <v>244</v>
      </c>
      <c r="X1692" t="s">
        <v>2351</v>
      </c>
      <c r="Y1692" t="s">
        <v>168</v>
      </c>
      <c r="Z1692" t="s">
        <v>171</v>
      </c>
      <c r="AA1692" t="s">
        <v>173</v>
      </c>
      <c r="AB1692" t="s">
        <v>29</v>
      </c>
      <c r="AC1692" t="s">
        <v>27</v>
      </c>
      <c r="AD1692" t="s">
        <v>28</v>
      </c>
      <c r="AE1692" s="7">
        <v>290000</v>
      </c>
      <c r="AF1692" s="7">
        <v>1</v>
      </c>
      <c r="AG1692" s="7">
        <v>290000</v>
      </c>
      <c r="AH1692" s="7">
        <v>0</v>
      </c>
      <c r="AI1692" s="7">
        <v>290000</v>
      </c>
      <c r="AJ1692" t="s">
        <v>27</v>
      </c>
    </row>
    <row r="1693" spans="14:36" x14ac:dyDescent="0.3">
      <c r="N1693" s="8">
        <v>2026</v>
      </c>
      <c r="O1693" s="8">
        <v>4</v>
      </c>
      <c r="P1693" s="9">
        <v>46128</v>
      </c>
      <c r="Q1693" t="s">
        <v>238</v>
      </c>
      <c r="R1693" t="s">
        <v>303</v>
      </c>
      <c r="S1693" t="s">
        <v>304</v>
      </c>
      <c r="T1693" t="s">
        <v>1132</v>
      </c>
      <c r="U1693" t="s">
        <v>4008</v>
      </c>
      <c r="V1693" t="s">
        <v>246</v>
      </c>
      <c r="W1693" t="s">
        <v>244</v>
      </c>
      <c r="X1693" t="s">
        <v>2352</v>
      </c>
      <c r="Y1693" t="s">
        <v>191</v>
      </c>
      <c r="Z1693" t="s">
        <v>192</v>
      </c>
      <c r="AA1693" t="s">
        <v>283</v>
      </c>
      <c r="AB1693" t="s">
        <v>110</v>
      </c>
      <c r="AC1693" t="s">
        <v>108</v>
      </c>
      <c r="AD1693" t="s">
        <v>109</v>
      </c>
      <c r="AE1693" s="7">
        <v>199000</v>
      </c>
      <c r="AF1693" s="7">
        <v>1</v>
      </c>
      <c r="AG1693" s="7">
        <v>199000</v>
      </c>
      <c r="AH1693" s="7">
        <v>0</v>
      </c>
      <c r="AI1693" s="7">
        <v>199000</v>
      </c>
      <c r="AJ1693" t="s">
        <v>108</v>
      </c>
    </row>
    <row r="1694" spans="14:36" x14ac:dyDescent="0.3">
      <c r="N1694" s="8">
        <v>2026</v>
      </c>
      <c r="O1694" s="8">
        <v>4</v>
      </c>
      <c r="P1694" s="9">
        <v>46128</v>
      </c>
      <c r="Q1694" t="s">
        <v>238</v>
      </c>
      <c r="R1694" t="s">
        <v>303</v>
      </c>
      <c r="S1694" t="s">
        <v>304</v>
      </c>
      <c r="T1694" t="s">
        <v>2353</v>
      </c>
      <c r="U1694" t="s">
        <v>3887</v>
      </c>
      <c r="V1694" t="s">
        <v>246</v>
      </c>
      <c r="W1694" t="s">
        <v>244</v>
      </c>
      <c r="X1694" t="s">
        <v>2354</v>
      </c>
      <c r="Y1694" t="s">
        <v>168</v>
      </c>
      <c r="Z1694" t="s">
        <v>181</v>
      </c>
      <c r="AA1694" t="s">
        <v>182</v>
      </c>
      <c r="AB1694" t="s">
        <v>50</v>
      </c>
      <c r="AC1694" t="s">
        <v>48</v>
      </c>
      <c r="AD1694" t="s">
        <v>49</v>
      </c>
      <c r="AE1694" s="7">
        <v>49000</v>
      </c>
      <c r="AF1694" s="7">
        <v>1</v>
      </c>
      <c r="AG1694" s="7">
        <v>49000</v>
      </c>
      <c r="AH1694" s="7">
        <v>0</v>
      </c>
      <c r="AI1694" s="7">
        <v>49000</v>
      </c>
      <c r="AJ1694" t="s">
        <v>48</v>
      </c>
    </row>
    <row r="1695" spans="14:36" x14ac:dyDescent="0.3">
      <c r="N1695" s="8">
        <v>2026</v>
      </c>
      <c r="O1695" s="8">
        <v>4</v>
      </c>
      <c r="P1695" s="9">
        <v>46128</v>
      </c>
      <c r="Q1695" t="s">
        <v>238</v>
      </c>
      <c r="R1695" t="s">
        <v>303</v>
      </c>
      <c r="S1695" t="s">
        <v>304</v>
      </c>
      <c r="T1695" t="s">
        <v>1733</v>
      </c>
      <c r="U1695" t="s">
        <v>4116</v>
      </c>
      <c r="V1695" t="s">
        <v>246</v>
      </c>
      <c r="W1695" t="s">
        <v>244</v>
      </c>
      <c r="X1695" t="s">
        <v>2355</v>
      </c>
      <c r="Y1695" t="s">
        <v>191</v>
      </c>
      <c r="Z1695" t="s">
        <v>192</v>
      </c>
      <c r="AA1695" t="s">
        <v>283</v>
      </c>
      <c r="AB1695" t="s">
        <v>110</v>
      </c>
      <c r="AC1695" t="s">
        <v>108</v>
      </c>
      <c r="AD1695" t="s">
        <v>109</v>
      </c>
      <c r="AE1695" s="7">
        <v>199000</v>
      </c>
      <c r="AF1695" s="7">
        <v>1</v>
      </c>
      <c r="AG1695" s="7">
        <v>199000</v>
      </c>
      <c r="AH1695" s="7">
        <v>0</v>
      </c>
      <c r="AI1695" s="7">
        <v>199000</v>
      </c>
      <c r="AJ1695" t="s">
        <v>108</v>
      </c>
    </row>
    <row r="1696" spans="14:36" x14ac:dyDescent="0.3">
      <c r="N1696" s="8">
        <v>2026</v>
      </c>
      <c r="O1696" s="8">
        <v>4</v>
      </c>
      <c r="P1696" s="9">
        <v>46128</v>
      </c>
      <c r="Q1696" t="s">
        <v>238</v>
      </c>
      <c r="R1696" t="s">
        <v>303</v>
      </c>
      <c r="S1696" t="s">
        <v>304</v>
      </c>
      <c r="T1696" t="s">
        <v>1604</v>
      </c>
      <c r="U1696" t="s">
        <v>4116</v>
      </c>
      <c r="V1696" t="s">
        <v>246</v>
      </c>
      <c r="W1696" t="s">
        <v>244</v>
      </c>
      <c r="X1696" t="s">
        <v>2356</v>
      </c>
      <c r="Y1696" t="s">
        <v>191</v>
      </c>
      <c r="Z1696" t="s">
        <v>192</v>
      </c>
      <c r="AA1696" t="s">
        <v>193</v>
      </c>
      <c r="AB1696" t="s">
        <v>116</v>
      </c>
      <c r="AC1696" t="s">
        <v>114</v>
      </c>
      <c r="AD1696" t="s">
        <v>115</v>
      </c>
      <c r="AE1696" s="7">
        <v>235000</v>
      </c>
      <c r="AF1696" s="7">
        <v>1</v>
      </c>
      <c r="AG1696" s="7">
        <v>235000</v>
      </c>
      <c r="AH1696" s="7">
        <v>0</v>
      </c>
      <c r="AI1696" s="7">
        <v>235000</v>
      </c>
      <c r="AJ1696" t="s">
        <v>114</v>
      </c>
    </row>
    <row r="1697" spans="14:36" x14ac:dyDescent="0.3">
      <c r="N1697" s="8">
        <v>2026</v>
      </c>
      <c r="O1697" s="8">
        <v>4</v>
      </c>
      <c r="P1697" s="9">
        <v>46128</v>
      </c>
      <c r="Q1697" t="s">
        <v>238</v>
      </c>
      <c r="R1697" t="s">
        <v>374</v>
      </c>
      <c r="S1697" t="s">
        <v>375</v>
      </c>
      <c r="T1697" t="s">
        <v>872</v>
      </c>
      <c r="U1697" t="s">
        <v>873</v>
      </c>
      <c r="V1697" t="s">
        <v>246</v>
      </c>
      <c r="W1697" t="s">
        <v>244</v>
      </c>
      <c r="X1697" t="s">
        <v>2357</v>
      </c>
      <c r="Y1697" t="s">
        <v>191</v>
      </c>
      <c r="Z1697" t="s">
        <v>335</v>
      </c>
      <c r="AA1697" t="s">
        <v>337</v>
      </c>
      <c r="AB1697" t="s">
        <v>348</v>
      </c>
      <c r="AC1697" t="s">
        <v>349</v>
      </c>
      <c r="AD1697" t="s">
        <v>350</v>
      </c>
      <c r="AE1697" s="7">
        <v>76000</v>
      </c>
      <c r="AF1697" s="7">
        <v>1</v>
      </c>
      <c r="AG1697" s="7">
        <v>76000</v>
      </c>
      <c r="AH1697" s="7">
        <v>0</v>
      </c>
      <c r="AI1697" s="7">
        <v>76000</v>
      </c>
      <c r="AJ1697" t="s">
        <v>349</v>
      </c>
    </row>
    <row r="1698" spans="14:36" x14ac:dyDescent="0.3">
      <c r="N1698" s="8">
        <v>2026</v>
      </c>
      <c r="O1698" s="8">
        <v>4</v>
      </c>
      <c r="P1698" s="9">
        <v>46128</v>
      </c>
      <c r="Q1698" t="s">
        <v>238</v>
      </c>
      <c r="R1698" t="s">
        <v>425</v>
      </c>
      <c r="S1698" t="s">
        <v>426</v>
      </c>
      <c r="T1698" t="s">
        <v>1107</v>
      </c>
      <c r="U1698" t="s">
        <v>676</v>
      </c>
      <c r="V1698" t="s">
        <v>246</v>
      </c>
      <c r="W1698" t="s">
        <v>244</v>
      </c>
      <c r="X1698" t="s">
        <v>2360</v>
      </c>
      <c r="Y1698" t="s">
        <v>168</v>
      </c>
      <c r="Z1698" t="s">
        <v>181</v>
      </c>
      <c r="AA1698" t="s">
        <v>182</v>
      </c>
      <c r="AB1698" t="s">
        <v>53</v>
      </c>
      <c r="AC1698" t="s">
        <v>51</v>
      </c>
      <c r="AD1698" t="s">
        <v>52</v>
      </c>
      <c r="AE1698" s="7">
        <v>45000</v>
      </c>
      <c r="AF1698" s="7">
        <v>1</v>
      </c>
      <c r="AG1698" s="7">
        <v>45000</v>
      </c>
      <c r="AH1698" s="7">
        <v>0</v>
      </c>
      <c r="AI1698" s="7">
        <v>45000</v>
      </c>
      <c r="AJ1698" t="s">
        <v>51</v>
      </c>
    </row>
    <row r="1699" spans="14:36" x14ac:dyDescent="0.3">
      <c r="N1699" s="8">
        <v>2026</v>
      </c>
      <c r="O1699" s="8">
        <v>4</v>
      </c>
      <c r="P1699" s="9">
        <v>46128</v>
      </c>
      <c r="Q1699" t="s">
        <v>238</v>
      </c>
      <c r="R1699" t="s">
        <v>425</v>
      </c>
      <c r="S1699" t="s">
        <v>426</v>
      </c>
      <c r="T1699" t="s">
        <v>2361</v>
      </c>
      <c r="U1699" t="s">
        <v>2362</v>
      </c>
      <c r="V1699" t="s">
        <v>246</v>
      </c>
      <c r="W1699" t="s">
        <v>244</v>
      </c>
      <c r="X1699" t="s">
        <v>2363</v>
      </c>
      <c r="Y1699" t="s">
        <v>191</v>
      </c>
      <c r="Z1699" t="s">
        <v>335</v>
      </c>
      <c r="AA1699" t="s">
        <v>337</v>
      </c>
      <c r="AB1699" t="s">
        <v>656</v>
      </c>
      <c r="AC1699" t="s">
        <v>657</v>
      </c>
      <c r="AD1699" t="s">
        <v>658</v>
      </c>
      <c r="AE1699" s="7">
        <v>35000</v>
      </c>
      <c r="AF1699" s="7">
        <v>1</v>
      </c>
      <c r="AG1699" s="7">
        <v>35000</v>
      </c>
      <c r="AH1699" s="7">
        <v>0</v>
      </c>
      <c r="AI1699" s="7">
        <v>35000</v>
      </c>
      <c r="AJ1699" t="s">
        <v>657</v>
      </c>
    </row>
    <row r="1700" spans="14:36" x14ac:dyDescent="0.3">
      <c r="N1700" s="8">
        <v>2026</v>
      </c>
      <c r="O1700" s="8">
        <v>4</v>
      </c>
      <c r="P1700" s="9">
        <v>46127</v>
      </c>
      <c r="Q1700" t="s">
        <v>238</v>
      </c>
      <c r="R1700" t="s">
        <v>239</v>
      </c>
      <c r="S1700" t="s">
        <v>240</v>
      </c>
      <c r="T1700" t="s">
        <v>1479</v>
      </c>
      <c r="U1700" t="s">
        <v>1480</v>
      </c>
      <c r="V1700" t="s">
        <v>246</v>
      </c>
      <c r="W1700" t="s">
        <v>244</v>
      </c>
      <c r="X1700" t="s">
        <v>2365</v>
      </c>
      <c r="Y1700" t="s">
        <v>191</v>
      </c>
      <c r="Z1700" t="s">
        <v>192</v>
      </c>
      <c r="AA1700" t="s">
        <v>283</v>
      </c>
      <c r="AB1700" t="s">
        <v>110</v>
      </c>
      <c r="AC1700" t="s">
        <v>108</v>
      </c>
      <c r="AD1700" t="s">
        <v>109</v>
      </c>
      <c r="AE1700" s="7">
        <v>199000</v>
      </c>
      <c r="AF1700" s="7">
        <v>1</v>
      </c>
      <c r="AG1700" s="7">
        <v>199000</v>
      </c>
      <c r="AH1700" s="7">
        <v>0</v>
      </c>
      <c r="AI1700" s="7">
        <v>199000</v>
      </c>
      <c r="AJ1700" t="s">
        <v>108</v>
      </c>
    </row>
    <row r="1701" spans="14:36" x14ac:dyDescent="0.3">
      <c r="N1701" s="8">
        <v>2026</v>
      </c>
      <c r="O1701" s="8">
        <v>4</v>
      </c>
      <c r="P1701" s="9">
        <v>46127</v>
      </c>
      <c r="Q1701" t="s">
        <v>238</v>
      </c>
      <c r="R1701" t="s">
        <v>239</v>
      </c>
      <c r="S1701" t="s">
        <v>240</v>
      </c>
      <c r="T1701" t="s">
        <v>1479</v>
      </c>
      <c r="U1701" t="s">
        <v>1480</v>
      </c>
      <c r="V1701" t="s">
        <v>246</v>
      </c>
      <c r="W1701" t="s">
        <v>244</v>
      </c>
      <c r="X1701" t="s">
        <v>2365</v>
      </c>
      <c r="Y1701" t="s">
        <v>191</v>
      </c>
      <c r="Z1701" t="s">
        <v>192</v>
      </c>
      <c r="AA1701" t="s">
        <v>193</v>
      </c>
      <c r="AB1701" t="s">
        <v>119</v>
      </c>
      <c r="AC1701" t="s">
        <v>117</v>
      </c>
      <c r="AD1701" t="s">
        <v>118</v>
      </c>
      <c r="AE1701" s="7">
        <v>199000</v>
      </c>
      <c r="AF1701" s="7">
        <v>1</v>
      </c>
      <c r="AG1701" s="7">
        <v>199000</v>
      </c>
      <c r="AH1701" s="7">
        <v>0</v>
      </c>
      <c r="AI1701" s="7">
        <v>199000</v>
      </c>
      <c r="AJ1701" t="s">
        <v>117</v>
      </c>
    </row>
    <row r="1702" spans="14:36" x14ac:dyDescent="0.3">
      <c r="N1702" s="8">
        <v>2026</v>
      </c>
      <c r="O1702" s="8">
        <v>4</v>
      </c>
      <c r="P1702" s="9">
        <v>46127</v>
      </c>
      <c r="Q1702" t="s">
        <v>238</v>
      </c>
      <c r="R1702" t="s">
        <v>303</v>
      </c>
      <c r="S1702" t="s">
        <v>304</v>
      </c>
      <c r="T1702" t="s">
        <v>305</v>
      </c>
      <c r="U1702" t="s">
        <v>306</v>
      </c>
      <c r="V1702" t="s">
        <v>243</v>
      </c>
      <c r="W1702" t="s">
        <v>244</v>
      </c>
      <c r="X1702" t="s">
        <v>2370</v>
      </c>
      <c r="Y1702" t="s">
        <v>168</v>
      </c>
      <c r="Z1702" t="s">
        <v>171</v>
      </c>
      <c r="AA1702" t="s">
        <v>172</v>
      </c>
      <c r="AB1702" t="s">
        <v>11</v>
      </c>
      <c r="AC1702" t="s">
        <v>9</v>
      </c>
      <c r="AD1702" t="s">
        <v>10</v>
      </c>
      <c r="AE1702" s="7">
        <v>129000</v>
      </c>
      <c r="AF1702" s="7">
        <v>1</v>
      </c>
      <c r="AG1702" s="7">
        <v>129000</v>
      </c>
      <c r="AH1702" s="7">
        <v>0</v>
      </c>
      <c r="AI1702" s="7">
        <v>129000</v>
      </c>
      <c r="AJ1702" t="s">
        <v>9</v>
      </c>
    </row>
    <row r="1703" spans="14:36" x14ac:dyDescent="0.3">
      <c r="N1703" s="8">
        <v>2026</v>
      </c>
      <c r="O1703" s="8">
        <v>4</v>
      </c>
      <c r="P1703" s="9">
        <v>46127</v>
      </c>
      <c r="Q1703" t="s">
        <v>238</v>
      </c>
      <c r="R1703" t="s">
        <v>303</v>
      </c>
      <c r="S1703" t="s">
        <v>304</v>
      </c>
      <c r="T1703" t="s">
        <v>1167</v>
      </c>
      <c r="U1703" t="s">
        <v>1168</v>
      </c>
      <c r="V1703" t="s">
        <v>246</v>
      </c>
      <c r="W1703" t="s">
        <v>244</v>
      </c>
      <c r="X1703" t="s">
        <v>2371</v>
      </c>
      <c r="Y1703" t="s">
        <v>168</v>
      </c>
      <c r="Z1703" t="s">
        <v>181</v>
      </c>
      <c r="AA1703" t="s">
        <v>182</v>
      </c>
      <c r="AB1703" t="s">
        <v>47</v>
      </c>
      <c r="AC1703" t="s">
        <v>45</v>
      </c>
      <c r="AD1703" t="s">
        <v>46</v>
      </c>
      <c r="AE1703" s="7">
        <v>52000</v>
      </c>
      <c r="AF1703" s="7">
        <v>1</v>
      </c>
      <c r="AG1703" s="7">
        <v>52000</v>
      </c>
      <c r="AH1703" s="7">
        <v>0</v>
      </c>
      <c r="AI1703" s="7">
        <v>52000</v>
      </c>
      <c r="AJ1703" t="s">
        <v>45</v>
      </c>
    </row>
    <row r="1704" spans="14:36" x14ac:dyDescent="0.3">
      <c r="N1704" s="8">
        <v>2026</v>
      </c>
      <c r="O1704" s="8">
        <v>4</v>
      </c>
      <c r="P1704" s="9">
        <v>46127</v>
      </c>
      <c r="Q1704" t="s">
        <v>238</v>
      </c>
      <c r="R1704" t="s">
        <v>351</v>
      </c>
      <c r="S1704" t="s">
        <v>352</v>
      </c>
      <c r="T1704" t="s">
        <v>2373</v>
      </c>
      <c r="U1704" t="s">
        <v>2374</v>
      </c>
      <c r="V1704" t="s">
        <v>246</v>
      </c>
      <c r="W1704" t="s">
        <v>244</v>
      </c>
      <c r="X1704" t="s">
        <v>2375</v>
      </c>
      <c r="Y1704" t="s">
        <v>191</v>
      </c>
      <c r="Z1704" t="s">
        <v>335</v>
      </c>
      <c r="AA1704" t="s">
        <v>336</v>
      </c>
      <c r="AB1704" t="s">
        <v>1146</v>
      </c>
      <c r="AC1704" t="s">
        <v>1147</v>
      </c>
      <c r="AD1704" t="s">
        <v>1148</v>
      </c>
      <c r="AE1704" s="7">
        <v>99000</v>
      </c>
      <c r="AF1704" s="7">
        <v>1</v>
      </c>
      <c r="AG1704" s="7">
        <v>99000</v>
      </c>
      <c r="AH1704" s="7">
        <v>0</v>
      </c>
      <c r="AI1704" s="7">
        <v>99000</v>
      </c>
      <c r="AJ1704" t="s">
        <v>1147</v>
      </c>
    </row>
    <row r="1705" spans="14:36" x14ac:dyDescent="0.3">
      <c r="N1705" s="8">
        <v>2026</v>
      </c>
      <c r="O1705" s="8">
        <v>4</v>
      </c>
      <c r="P1705" s="9">
        <v>46127</v>
      </c>
      <c r="Q1705" t="s">
        <v>238</v>
      </c>
      <c r="R1705" t="s">
        <v>351</v>
      </c>
      <c r="S1705" t="s">
        <v>352</v>
      </c>
      <c r="T1705" t="s">
        <v>1461</v>
      </c>
      <c r="U1705" t="s">
        <v>681</v>
      </c>
      <c r="V1705" t="s">
        <v>246</v>
      </c>
      <c r="W1705" t="s">
        <v>244</v>
      </c>
      <c r="X1705" t="s">
        <v>2376</v>
      </c>
      <c r="Y1705" t="s">
        <v>191</v>
      </c>
      <c r="Z1705" t="s">
        <v>335</v>
      </c>
      <c r="AA1705" t="s">
        <v>336</v>
      </c>
      <c r="AB1705" t="s">
        <v>1284</v>
      </c>
      <c r="AC1705" t="s">
        <v>1285</v>
      </c>
      <c r="AD1705" t="s">
        <v>1286</v>
      </c>
      <c r="AE1705" s="7">
        <v>99000</v>
      </c>
      <c r="AF1705" s="7">
        <v>1</v>
      </c>
      <c r="AG1705" s="7">
        <v>99000</v>
      </c>
      <c r="AH1705" s="7">
        <v>0</v>
      </c>
      <c r="AI1705" s="7">
        <v>99000</v>
      </c>
      <c r="AJ1705" t="s">
        <v>1285</v>
      </c>
    </row>
    <row r="1706" spans="14:36" x14ac:dyDescent="0.3">
      <c r="N1706" s="8">
        <v>2026</v>
      </c>
      <c r="O1706" s="8">
        <v>4</v>
      </c>
      <c r="P1706" s="9">
        <v>46127</v>
      </c>
      <c r="Q1706" t="s">
        <v>238</v>
      </c>
      <c r="R1706" t="s">
        <v>374</v>
      </c>
      <c r="S1706" t="s">
        <v>375</v>
      </c>
      <c r="T1706" t="s">
        <v>376</v>
      </c>
      <c r="U1706" t="s">
        <v>377</v>
      </c>
      <c r="V1706" t="s">
        <v>243</v>
      </c>
      <c r="W1706" t="s">
        <v>244</v>
      </c>
      <c r="X1706" t="s">
        <v>2377</v>
      </c>
      <c r="Y1706" t="s">
        <v>168</v>
      </c>
      <c r="Z1706" t="s">
        <v>171</v>
      </c>
      <c r="AA1706" t="s">
        <v>175</v>
      </c>
      <c r="AB1706" t="s">
        <v>44</v>
      </c>
      <c r="AC1706" t="s">
        <v>42</v>
      </c>
      <c r="AD1706" t="s">
        <v>43</v>
      </c>
      <c r="AE1706" s="7">
        <v>294000</v>
      </c>
      <c r="AF1706" s="7">
        <v>1</v>
      </c>
      <c r="AG1706" s="7">
        <v>294000</v>
      </c>
      <c r="AH1706" s="7">
        <v>0</v>
      </c>
      <c r="AI1706" s="7">
        <v>294000</v>
      </c>
      <c r="AJ1706" t="s">
        <v>42</v>
      </c>
    </row>
    <row r="1707" spans="14:36" x14ac:dyDescent="0.3">
      <c r="N1707" s="8">
        <v>2026</v>
      </c>
      <c r="O1707" s="8">
        <v>4</v>
      </c>
      <c r="P1707" s="9">
        <v>46127</v>
      </c>
      <c r="Q1707" t="s">
        <v>238</v>
      </c>
      <c r="R1707" t="s">
        <v>415</v>
      </c>
      <c r="S1707" t="s">
        <v>416</v>
      </c>
      <c r="T1707" t="s">
        <v>2379</v>
      </c>
      <c r="U1707" t="s">
        <v>4117</v>
      </c>
      <c r="V1707" t="s">
        <v>246</v>
      </c>
      <c r="W1707" t="s">
        <v>244</v>
      </c>
      <c r="X1707" t="s">
        <v>2380</v>
      </c>
      <c r="Y1707" t="s">
        <v>191</v>
      </c>
      <c r="Z1707" t="s">
        <v>335</v>
      </c>
      <c r="AA1707" t="s">
        <v>337</v>
      </c>
      <c r="AB1707" t="s">
        <v>348</v>
      </c>
      <c r="AC1707" t="s">
        <v>349</v>
      </c>
      <c r="AD1707" t="s">
        <v>350</v>
      </c>
      <c r="AE1707" s="7">
        <v>76000</v>
      </c>
      <c r="AF1707" s="7">
        <v>1</v>
      </c>
      <c r="AG1707" s="7">
        <v>76000</v>
      </c>
      <c r="AH1707" s="7">
        <v>0</v>
      </c>
      <c r="AI1707" s="7">
        <v>76000</v>
      </c>
      <c r="AJ1707" t="s">
        <v>349</v>
      </c>
    </row>
    <row r="1708" spans="14:36" x14ac:dyDescent="0.3">
      <c r="N1708" s="8">
        <v>2026</v>
      </c>
      <c r="O1708" s="8">
        <v>4</v>
      </c>
      <c r="P1708" s="9">
        <v>46127</v>
      </c>
      <c r="Q1708" t="s">
        <v>238</v>
      </c>
      <c r="R1708" t="s">
        <v>425</v>
      </c>
      <c r="S1708" t="s">
        <v>426</v>
      </c>
      <c r="T1708" t="s">
        <v>783</v>
      </c>
      <c r="U1708" t="s">
        <v>784</v>
      </c>
      <c r="V1708" t="s">
        <v>246</v>
      </c>
      <c r="W1708" t="s">
        <v>244</v>
      </c>
      <c r="X1708" t="s">
        <v>2381</v>
      </c>
      <c r="Y1708" t="s">
        <v>191</v>
      </c>
      <c r="Z1708" t="s">
        <v>192</v>
      </c>
      <c r="AA1708" t="s">
        <v>283</v>
      </c>
      <c r="AB1708" t="s">
        <v>104</v>
      </c>
      <c r="AC1708" t="s">
        <v>102</v>
      </c>
      <c r="AD1708" t="s">
        <v>103</v>
      </c>
      <c r="AE1708" s="7">
        <v>199000</v>
      </c>
      <c r="AF1708" s="7">
        <v>1</v>
      </c>
      <c r="AG1708" s="7">
        <v>199000</v>
      </c>
      <c r="AH1708" s="7">
        <v>0</v>
      </c>
      <c r="AI1708" s="7">
        <v>199000</v>
      </c>
      <c r="AJ1708" t="s">
        <v>102</v>
      </c>
    </row>
    <row r="1709" spans="14:36" x14ac:dyDescent="0.3">
      <c r="N1709" s="8">
        <v>2026</v>
      </c>
      <c r="O1709" s="8">
        <v>4</v>
      </c>
      <c r="P1709" s="9">
        <v>46126</v>
      </c>
      <c r="Q1709" t="s">
        <v>238</v>
      </c>
      <c r="R1709" t="s">
        <v>239</v>
      </c>
      <c r="S1709" t="s">
        <v>240</v>
      </c>
      <c r="T1709" t="s">
        <v>1066</v>
      </c>
      <c r="U1709" t="s">
        <v>646</v>
      </c>
      <c r="V1709" t="s">
        <v>246</v>
      </c>
      <c r="W1709" t="s">
        <v>244</v>
      </c>
      <c r="X1709" t="s">
        <v>2382</v>
      </c>
      <c r="Y1709" t="s">
        <v>191</v>
      </c>
      <c r="Z1709" t="s">
        <v>192</v>
      </c>
      <c r="AA1709" t="s">
        <v>283</v>
      </c>
      <c r="AB1709" t="s">
        <v>104</v>
      </c>
      <c r="AC1709" t="s">
        <v>102</v>
      </c>
      <c r="AD1709" t="s">
        <v>103</v>
      </c>
      <c r="AE1709" s="7">
        <v>199000</v>
      </c>
      <c r="AF1709" s="7">
        <v>1</v>
      </c>
      <c r="AG1709" s="7">
        <v>199000</v>
      </c>
      <c r="AH1709" s="7">
        <v>0</v>
      </c>
      <c r="AI1709" s="7">
        <v>199000</v>
      </c>
      <c r="AJ1709" t="s">
        <v>102</v>
      </c>
    </row>
    <row r="1710" spans="14:36" x14ac:dyDescent="0.3">
      <c r="N1710" s="8">
        <v>2026</v>
      </c>
      <c r="O1710" s="8">
        <v>4</v>
      </c>
      <c r="P1710" s="9">
        <v>46126</v>
      </c>
      <c r="Q1710" t="s">
        <v>238</v>
      </c>
      <c r="R1710" t="s">
        <v>279</v>
      </c>
      <c r="S1710" t="s">
        <v>280</v>
      </c>
      <c r="T1710" t="s">
        <v>2384</v>
      </c>
      <c r="U1710" t="s">
        <v>430</v>
      </c>
      <c r="V1710" t="s">
        <v>246</v>
      </c>
      <c r="W1710" t="s">
        <v>244</v>
      </c>
      <c r="X1710" t="s">
        <v>2385</v>
      </c>
      <c r="Y1710" t="s">
        <v>191</v>
      </c>
      <c r="Z1710" t="s">
        <v>335</v>
      </c>
      <c r="AA1710" t="s">
        <v>337</v>
      </c>
      <c r="AB1710" t="s">
        <v>541</v>
      </c>
      <c r="AC1710" t="s">
        <v>542</v>
      </c>
      <c r="AD1710" t="s">
        <v>543</v>
      </c>
      <c r="AE1710" s="7">
        <v>69000</v>
      </c>
      <c r="AF1710" s="7">
        <v>1</v>
      </c>
      <c r="AG1710" s="7">
        <v>69000</v>
      </c>
      <c r="AH1710" s="7">
        <v>0</v>
      </c>
      <c r="AI1710" s="7">
        <v>69000</v>
      </c>
      <c r="AJ1710" t="s">
        <v>542</v>
      </c>
    </row>
    <row r="1711" spans="14:36" x14ac:dyDescent="0.3">
      <c r="N1711" s="8">
        <v>2026</v>
      </c>
      <c r="O1711" s="8">
        <v>4</v>
      </c>
      <c r="P1711" s="9">
        <v>46126</v>
      </c>
      <c r="Q1711" t="s">
        <v>238</v>
      </c>
      <c r="R1711" t="s">
        <v>303</v>
      </c>
      <c r="S1711" t="s">
        <v>304</v>
      </c>
      <c r="T1711" t="s">
        <v>1628</v>
      </c>
      <c r="U1711" t="s">
        <v>308</v>
      </c>
      <c r="V1711" t="s">
        <v>246</v>
      </c>
      <c r="W1711" t="s">
        <v>244</v>
      </c>
      <c r="X1711" t="s">
        <v>2386</v>
      </c>
      <c r="Y1711" t="s">
        <v>191</v>
      </c>
      <c r="Z1711" t="s">
        <v>192</v>
      </c>
      <c r="AA1711" t="s">
        <v>283</v>
      </c>
      <c r="AB1711" t="s">
        <v>110</v>
      </c>
      <c r="AC1711" t="s">
        <v>108</v>
      </c>
      <c r="AD1711" t="s">
        <v>109</v>
      </c>
      <c r="AE1711" s="7">
        <v>199000</v>
      </c>
      <c r="AF1711" s="7">
        <v>1</v>
      </c>
      <c r="AG1711" s="7">
        <v>199000</v>
      </c>
      <c r="AH1711" s="7">
        <v>0</v>
      </c>
      <c r="AI1711" s="7">
        <v>199000</v>
      </c>
      <c r="AJ1711" t="s">
        <v>108</v>
      </c>
    </row>
    <row r="1712" spans="14:36" x14ac:dyDescent="0.3">
      <c r="N1712" s="8">
        <v>2026</v>
      </c>
      <c r="O1712" s="8">
        <v>4</v>
      </c>
      <c r="P1712" s="9">
        <v>46126</v>
      </c>
      <c r="Q1712" t="s">
        <v>238</v>
      </c>
      <c r="R1712" t="s">
        <v>303</v>
      </c>
      <c r="S1712" t="s">
        <v>304</v>
      </c>
      <c r="T1712" t="s">
        <v>1628</v>
      </c>
      <c r="U1712" t="s">
        <v>308</v>
      </c>
      <c r="V1712" t="s">
        <v>246</v>
      </c>
      <c r="W1712" t="s">
        <v>244</v>
      </c>
      <c r="X1712" t="s">
        <v>2386</v>
      </c>
      <c r="Y1712" t="s">
        <v>191</v>
      </c>
      <c r="Z1712" t="s">
        <v>192</v>
      </c>
      <c r="AA1712" t="s">
        <v>193</v>
      </c>
      <c r="AB1712" t="s">
        <v>116</v>
      </c>
      <c r="AC1712" t="s">
        <v>114</v>
      </c>
      <c r="AD1712" t="s">
        <v>115</v>
      </c>
      <c r="AE1712" s="7">
        <v>235000</v>
      </c>
      <c r="AF1712" s="7">
        <v>1</v>
      </c>
      <c r="AG1712" s="7">
        <v>235000</v>
      </c>
      <c r="AH1712" s="7">
        <v>0</v>
      </c>
      <c r="AI1712" s="7">
        <v>235000</v>
      </c>
      <c r="AJ1712" t="s">
        <v>114</v>
      </c>
    </row>
    <row r="1713" spans="14:36" x14ac:dyDescent="0.3">
      <c r="N1713" s="8">
        <v>2026</v>
      </c>
      <c r="O1713" s="8">
        <v>4</v>
      </c>
      <c r="P1713" s="9">
        <v>46126</v>
      </c>
      <c r="Q1713" t="s">
        <v>238</v>
      </c>
      <c r="R1713" t="s">
        <v>303</v>
      </c>
      <c r="S1713" t="s">
        <v>304</v>
      </c>
      <c r="T1713" t="s">
        <v>2387</v>
      </c>
      <c r="U1713" t="s">
        <v>4118</v>
      </c>
      <c r="V1713" t="s">
        <v>246</v>
      </c>
      <c r="W1713" t="s">
        <v>244</v>
      </c>
      <c r="X1713" t="s">
        <v>2388</v>
      </c>
      <c r="Y1713" t="s">
        <v>191</v>
      </c>
      <c r="Z1713" t="s">
        <v>192</v>
      </c>
      <c r="AA1713" t="s">
        <v>193</v>
      </c>
      <c r="AB1713" t="s">
        <v>119</v>
      </c>
      <c r="AC1713" t="s">
        <v>117</v>
      </c>
      <c r="AD1713" t="s">
        <v>118</v>
      </c>
      <c r="AE1713" s="7">
        <v>199000</v>
      </c>
      <c r="AF1713" s="7">
        <v>1</v>
      </c>
      <c r="AG1713" s="7">
        <v>199000</v>
      </c>
      <c r="AH1713" s="7">
        <v>0</v>
      </c>
      <c r="AI1713" s="7">
        <v>199000</v>
      </c>
      <c r="AJ1713" t="s">
        <v>117</v>
      </c>
    </row>
    <row r="1714" spans="14:36" x14ac:dyDescent="0.3">
      <c r="N1714" s="8">
        <v>2026</v>
      </c>
      <c r="O1714" s="8">
        <v>4</v>
      </c>
      <c r="P1714" s="9">
        <v>46126</v>
      </c>
      <c r="Q1714" t="s">
        <v>238</v>
      </c>
      <c r="R1714" t="s">
        <v>303</v>
      </c>
      <c r="S1714" t="s">
        <v>304</v>
      </c>
      <c r="T1714" t="s">
        <v>1602</v>
      </c>
      <c r="U1714" t="s">
        <v>1603</v>
      </c>
      <c r="V1714" t="s">
        <v>246</v>
      </c>
      <c r="W1714" t="s">
        <v>244</v>
      </c>
      <c r="X1714" t="s">
        <v>2389</v>
      </c>
      <c r="Y1714" t="s">
        <v>191</v>
      </c>
      <c r="Z1714" t="s">
        <v>335</v>
      </c>
      <c r="AA1714" t="s">
        <v>336</v>
      </c>
      <c r="AB1714" t="s">
        <v>1146</v>
      </c>
      <c r="AC1714" t="s">
        <v>1147</v>
      </c>
      <c r="AD1714" t="s">
        <v>1148</v>
      </c>
      <c r="AE1714" s="7">
        <v>99000</v>
      </c>
      <c r="AF1714" s="7">
        <v>1</v>
      </c>
      <c r="AG1714" s="7">
        <v>99000</v>
      </c>
      <c r="AH1714" s="7">
        <v>0</v>
      </c>
      <c r="AI1714" s="7">
        <v>99000</v>
      </c>
      <c r="AJ1714" t="s">
        <v>1147</v>
      </c>
    </row>
    <row r="1715" spans="14:36" x14ac:dyDescent="0.3">
      <c r="N1715" s="8">
        <v>2026</v>
      </c>
      <c r="O1715" s="8">
        <v>4</v>
      </c>
      <c r="P1715" s="9">
        <v>46126</v>
      </c>
      <c r="Q1715" t="s">
        <v>238</v>
      </c>
      <c r="R1715" t="s">
        <v>351</v>
      </c>
      <c r="S1715" t="s">
        <v>352</v>
      </c>
      <c r="T1715" t="s">
        <v>2391</v>
      </c>
      <c r="U1715" t="s">
        <v>2392</v>
      </c>
      <c r="V1715" t="s">
        <v>246</v>
      </c>
      <c r="W1715" t="s">
        <v>244</v>
      </c>
      <c r="X1715" t="s">
        <v>2393</v>
      </c>
      <c r="Y1715" t="s">
        <v>191</v>
      </c>
      <c r="Z1715" t="s">
        <v>335</v>
      </c>
      <c r="AA1715" t="s">
        <v>337</v>
      </c>
      <c r="AB1715" t="s">
        <v>541</v>
      </c>
      <c r="AC1715" t="s">
        <v>542</v>
      </c>
      <c r="AD1715" t="s">
        <v>543</v>
      </c>
      <c r="AE1715" s="7">
        <v>69000</v>
      </c>
      <c r="AF1715" s="7">
        <v>1</v>
      </c>
      <c r="AG1715" s="7">
        <v>69000</v>
      </c>
      <c r="AH1715" s="7">
        <v>0</v>
      </c>
      <c r="AI1715" s="7">
        <v>69000</v>
      </c>
      <c r="AJ1715" t="s">
        <v>542</v>
      </c>
    </row>
    <row r="1716" spans="14:36" x14ac:dyDescent="0.3">
      <c r="N1716" s="8">
        <v>2026</v>
      </c>
      <c r="O1716" s="8">
        <v>4</v>
      </c>
      <c r="P1716" s="9">
        <v>46126</v>
      </c>
      <c r="Q1716" t="s">
        <v>238</v>
      </c>
      <c r="R1716" t="s">
        <v>374</v>
      </c>
      <c r="S1716" t="s">
        <v>375</v>
      </c>
      <c r="T1716" t="s">
        <v>2394</v>
      </c>
      <c r="U1716" t="s">
        <v>1738</v>
      </c>
      <c r="V1716" t="s">
        <v>246</v>
      </c>
      <c r="W1716" t="s">
        <v>244</v>
      </c>
      <c r="X1716" t="s">
        <v>2395</v>
      </c>
      <c r="Y1716" t="s">
        <v>191</v>
      </c>
      <c r="Z1716" t="s">
        <v>335</v>
      </c>
      <c r="AA1716" t="s">
        <v>337</v>
      </c>
      <c r="AB1716" t="s">
        <v>541</v>
      </c>
      <c r="AC1716" t="s">
        <v>542</v>
      </c>
      <c r="AD1716" t="s">
        <v>543</v>
      </c>
      <c r="AE1716" s="7">
        <v>69000</v>
      </c>
      <c r="AF1716" s="7">
        <v>1</v>
      </c>
      <c r="AG1716" s="7">
        <v>69000</v>
      </c>
      <c r="AH1716" s="7">
        <v>0</v>
      </c>
      <c r="AI1716" s="7">
        <v>69000</v>
      </c>
      <c r="AJ1716" t="s">
        <v>542</v>
      </c>
    </row>
    <row r="1717" spans="14:36" x14ac:dyDescent="0.3">
      <c r="N1717" s="8">
        <v>2026</v>
      </c>
      <c r="O1717" s="8">
        <v>4</v>
      </c>
      <c r="P1717" s="9">
        <v>46126</v>
      </c>
      <c r="Q1717" t="s">
        <v>238</v>
      </c>
      <c r="R1717" t="s">
        <v>425</v>
      </c>
      <c r="S1717" t="s">
        <v>426</v>
      </c>
      <c r="T1717" t="s">
        <v>782</v>
      </c>
      <c r="U1717" t="s">
        <v>4119</v>
      </c>
      <c r="V1717" t="s">
        <v>246</v>
      </c>
      <c r="W1717" t="s">
        <v>244</v>
      </c>
      <c r="X1717" t="s">
        <v>2396</v>
      </c>
      <c r="Y1717" t="s">
        <v>191</v>
      </c>
      <c r="Z1717" t="s">
        <v>192</v>
      </c>
      <c r="AA1717" t="s">
        <v>283</v>
      </c>
      <c r="AB1717" t="s">
        <v>107</v>
      </c>
      <c r="AC1717" t="s">
        <v>105</v>
      </c>
      <c r="AD1717" t="s">
        <v>106</v>
      </c>
      <c r="AE1717" s="7">
        <v>199000</v>
      </c>
      <c r="AF1717" s="7">
        <v>1</v>
      </c>
      <c r="AG1717" s="7">
        <v>199000</v>
      </c>
      <c r="AH1717" s="7">
        <v>0</v>
      </c>
      <c r="AI1717" s="7">
        <v>199000</v>
      </c>
      <c r="AJ1717" t="s">
        <v>105</v>
      </c>
    </row>
    <row r="1718" spans="14:36" x14ac:dyDescent="0.3">
      <c r="N1718" s="8">
        <v>2026</v>
      </c>
      <c r="O1718" s="8">
        <v>4</v>
      </c>
      <c r="P1718" s="9">
        <v>46125</v>
      </c>
      <c r="Q1718" t="s">
        <v>238</v>
      </c>
      <c r="R1718" t="s">
        <v>303</v>
      </c>
      <c r="S1718" t="s">
        <v>304</v>
      </c>
      <c r="T1718" t="s">
        <v>2401</v>
      </c>
      <c r="U1718" t="s">
        <v>4071</v>
      </c>
      <c r="V1718" t="s">
        <v>246</v>
      </c>
      <c r="W1718" t="s">
        <v>244</v>
      </c>
      <c r="X1718" t="s">
        <v>2402</v>
      </c>
      <c r="Y1718" t="s">
        <v>191</v>
      </c>
      <c r="Z1718" t="s">
        <v>335</v>
      </c>
      <c r="AA1718" t="s">
        <v>337</v>
      </c>
      <c r="AB1718" t="s">
        <v>348</v>
      </c>
      <c r="AC1718" t="s">
        <v>349</v>
      </c>
      <c r="AD1718" t="s">
        <v>350</v>
      </c>
      <c r="AE1718" s="7">
        <v>76000</v>
      </c>
      <c r="AF1718" s="7">
        <v>1</v>
      </c>
      <c r="AG1718" s="7">
        <v>76000</v>
      </c>
      <c r="AH1718" s="7">
        <v>0</v>
      </c>
      <c r="AI1718" s="7">
        <v>76000</v>
      </c>
      <c r="AJ1718" t="s">
        <v>349</v>
      </c>
    </row>
    <row r="1719" spans="14:36" x14ac:dyDescent="0.3">
      <c r="N1719" s="8">
        <v>2026</v>
      </c>
      <c r="O1719" s="8">
        <v>4</v>
      </c>
      <c r="P1719" s="9">
        <v>46125</v>
      </c>
      <c r="Q1719" t="s">
        <v>238</v>
      </c>
      <c r="R1719" t="s">
        <v>351</v>
      </c>
      <c r="S1719" t="s">
        <v>352</v>
      </c>
      <c r="T1719" t="s">
        <v>1039</v>
      </c>
      <c r="U1719" t="s">
        <v>308</v>
      </c>
      <c r="V1719" t="s">
        <v>246</v>
      </c>
      <c r="W1719" t="s">
        <v>244</v>
      </c>
      <c r="X1719" t="s">
        <v>2406</v>
      </c>
      <c r="Y1719" t="s">
        <v>191</v>
      </c>
      <c r="Z1719" t="s">
        <v>335</v>
      </c>
      <c r="AA1719" t="s">
        <v>336</v>
      </c>
      <c r="AB1719" t="s">
        <v>1284</v>
      </c>
      <c r="AC1719" t="s">
        <v>1285</v>
      </c>
      <c r="AD1719" t="s">
        <v>1286</v>
      </c>
      <c r="AE1719" s="7">
        <v>99000</v>
      </c>
      <c r="AF1719" s="7">
        <v>1</v>
      </c>
      <c r="AG1719" s="7">
        <v>99000</v>
      </c>
      <c r="AH1719" s="7">
        <v>0</v>
      </c>
      <c r="AI1719" s="7">
        <v>99000</v>
      </c>
      <c r="AJ1719" t="s">
        <v>1285</v>
      </c>
    </row>
    <row r="1720" spans="14:36" x14ac:dyDescent="0.3">
      <c r="N1720" s="8">
        <v>2026</v>
      </c>
      <c r="O1720" s="8">
        <v>4</v>
      </c>
      <c r="P1720" s="9">
        <v>46125</v>
      </c>
      <c r="Q1720" t="s">
        <v>238</v>
      </c>
      <c r="R1720" t="s">
        <v>374</v>
      </c>
      <c r="S1720" t="s">
        <v>375</v>
      </c>
      <c r="T1720" t="s">
        <v>2126</v>
      </c>
      <c r="U1720" t="s">
        <v>727</v>
      </c>
      <c r="V1720" t="s">
        <v>246</v>
      </c>
      <c r="W1720" t="s">
        <v>244</v>
      </c>
      <c r="X1720" t="s">
        <v>2408</v>
      </c>
      <c r="Y1720" t="s">
        <v>191</v>
      </c>
      <c r="Z1720" t="s">
        <v>335</v>
      </c>
      <c r="AA1720" t="s">
        <v>337</v>
      </c>
      <c r="AB1720" t="s">
        <v>656</v>
      </c>
      <c r="AC1720" t="s">
        <v>657</v>
      </c>
      <c r="AD1720" t="s">
        <v>658</v>
      </c>
      <c r="AE1720" s="7">
        <v>35000</v>
      </c>
      <c r="AF1720" s="7">
        <v>8</v>
      </c>
      <c r="AG1720" s="7">
        <v>280000</v>
      </c>
      <c r="AH1720" s="7">
        <v>0</v>
      </c>
      <c r="AI1720" s="7">
        <v>280000</v>
      </c>
      <c r="AJ1720" t="s">
        <v>657</v>
      </c>
    </row>
    <row r="1721" spans="14:36" x14ac:dyDescent="0.3">
      <c r="N1721" s="8">
        <v>2026</v>
      </c>
      <c r="O1721" s="8">
        <v>4</v>
      </c>
      <c r="P1721" s="9">
        <v>46125</v>
      </c>
      <c r="Q1721" t="s">
        <v>238</v>
      </c>
      <c r="R1721" t="s">
        <v>396</v>
      </c>
      <c r="S1721" t="s">
        <v>397</v>
      </c>
      <c r="T1721" t="s">
        <v>1279</v>
      </c>
      <c r="U1721" t="s">
        <v>3866</v>
      </c>
      <c r="V1721" t="s">
        <v>246</v>
      </c>
      <c r="W1721" t="s">
        <v>244</v>
      </c>
      <c r="X1721" t="s">
        <v>2409</v>
      </c>
      <c r="Y1721" t="s">
        <v>183</v>
      </c>
      <c r="Z1721" t="s">
        <v>186</v>
      </c>
      <c r="AA1721" t="s">
        <v>188</v>
      </c>
      <c r="AB1721" t="s">
        <v>101</v>
      </c>
      <c r="AC1721" t="s">
        <v>99</v>
      </c>
      <c r="AD1721" t="s">
        <v>100</v>
      </c>
      <c r="AE1721" s="7">
        <v>199000</v>
      </c>
      <c r="AF1721" s="7">
        <v>2</v>
      </c>
      <c r="AG1721" s="7">
        <v>398000</v>
      </c>
      <c r="AH1721" s="7">
        <v>0</v>
      </c>
      <c r="AI1721" s="7">
        <v>398000</v>
      </c>
      <c r="AJ1721" t="s">
        <v>99</v>
      </c>
    </row>
    <row r="1722" spans="14:36" x14ac:dyDescent="0.3">
      <c r="N1722" s="8">
        <v>2026</v>
      </c>
      <c r="O1722" s="8">
        <v>4</v>
      </c>
      <c r="P1722" s="9">
        <v>46124</v>
      </c>
      <c r="Q1722" t="s">
        <v>238</v>
      </c>
      <c r="R1722" t="s">
        <v>239</v>
      </c>
      <c r="S1722" t="s">
        <v>240</v>
      </c>
      <c r="T1722" t="s">
        <v>1481</v>
      </c>
      <c r="U1722" t="s">
        <v>4003</v>
      </c>
      <c r="V1722" t="s">
        <v>246</v>
      </c>
      <c r="W1722" t="s">
        <v>244</v>
      </c>
      <c r="X1722" t="s">
        <v>2413</v>
      </c>
      <c r="Y1722" t="s">
        <v>191</v>
      </c>
      <c r="Z1722" t="s">
        <v>335</v>
      </c>
      <c r="AA1722" t="s">
        <v>336</v>
      </c>
      <c r="AB1722" t="s">
        <v>1146</v>
      </c>
      <c r="AC1722" t="s">
        <v>1147</v>
      </c>
      <c r="AD1722" t="s">
        <v>1148</v>
      </c>
      <c r="AE1722" s="7">
        <v>99000</v>
      </c>
      <c r="AF1722" s="7">
        <v>1</v>
      </c>
      <c r="AG1722" s="7">
        <v>99000</v>
      </c>
      <c r="AH1722" s="7">
        <v>0</v>
      </c>
      <c r="AI1722" s="7">
        <v>99000</v>
      </c>
      <c r="AJ1722" t="s">
        <v>1147</v>
      </c>
    </row>
    <row r="1723" spans="14:36" x14ac:dyDescent="0.3">
      <c r="N1723" s="8">
        <v>2026</v>
      </c>
      <c r="O1723" s="8">
        <v>4</v>
      </c>
      <c r="P1723" s="9">
        <v>46124</v>
      </c>
      <c r="Q1723" t="s">
        <v>238</v>
      </c>
      <c r="R1723" t="s">
        <v>239</v>
      </c>
      <c r="S1723" t="s">
        <v>240</v>
      </c>
      <c r="T1723" t="s">
        <v>439</v>
      </c>
      <c r="U1723" t="s">
        <v>440</v>
      </c>
      <c r="V1723" t="s">
        <v>246</v>
      </c>
      <c r="W1723" t="s">
        <v>244</v>
      </c>
      <c r="X1723" t="s">
        <v>2414</v>
      </c>
      <c r="Y1723" t="s">
        <v>191</v>
      </c>
      <c r="Z1723" t="s">
        <v>335</v>
      </c>
      <c r="AA1723" t="s">
        <v>336</v>
      </c>
      <c r="AB1723" t="s">
        <v>606</v>
      </c>
      <c r="AC1723" t="s">
        <v>607</v>
      </c>
      <c r="AD1723" t="s">
        <v>608</v>
      </c>
      <c r="AE1723" s="7">
        <v>105000</v>
      </c>
      <c r="AF1723" s="7">
        <v>1</v>
      </c>
      <c r="AG1723" s="7">
        <v>105000</v>
      </c>
      <c r="AH1723" s="7">
        <v>0</v>
      </c>
      <c r="AI1723" s="7">
        <v>105000</v>
      </c>
      <c r="AJ1723" t="s">
        <v>607</v>
      </c>
    </row>
    <row r="1724" spans="14:36" x14ac:dyDescent="0.3">
      <c r="N1724" s="8">
        <v>2026</v>
      </c>
      <c r="O1724" s="8">
        <v>4</v>
      </c>
      <c r="P1724" s="9">
        <v>46124</v>
      </c>
      <c r="Q1724" t="s">
        <v>238</v>
      </c>
      <c r="R1724" t="s">
        <v>239</v>
      </c>
      <c r="S1724" t="s">
        <v>240</v>
      </c>
      <c r="T1724" t="s">
        <v>439</v>
      </c>
      <c r="U1724" t="s">
        <v>440</v>
      </c>
      <c r="V1724" t="s">
        <v>246</v>
      </c>
      <c r="W1724" t="s">
        <v>244</v>
      </c>
      <c r="X1724" t="s">
        <v>2414</v>
      </c>
      <c r="Y1724" t="s">
        <v>191</v>
      </c>
      <c r="Z1724" t="s">
        <v>335</v>
      </c>
      <c r="AA1724" t="s">
        <v>336</v>
      </c>
      <c r="AB1724" t="s">
        <v>1146</v>
      </c>
      <c r="AC1724" t="s">
        <v>1147</v>
      </c>
      <c r="AD1724" t="s">
        <v>1148</v>
      </c>
      <c r="AE1724" s="7">
        <v>99000</v>
      </c>
      <c r="AF1724" s="7">
        <v>1</v>
      </c>
      <c r="AG1724" s="7">
        <v>99000</v>
      </c>
      <c r="AH1724" s="7">
        <v>0</v>
      </c>
      <c r="AI1724" s="7">
        <v>99000</v>
      </c>
      <c r="AJ1724" t="s">
        <v>1147</v>
      </c>
    </row>
    <row r="1725" spans="14:36" x14ac:dyDescent="0.3">
      <c r="N1725" s="8">
        <v>2026</v>
      </c>
      <c r="O1725" s="8">
        <v>4</v>
      </c>
      <c r="P1725" s="9">
        <v>46124</v>
      </c>
      <c r="Q1725" t="s">
        <v>238</v>
      </c>
      <c r="R1725" t="s">
        <v>303</v>
      </c>
      <c r="S1725" t="s">
        <v>304</v>
      </c>
      <c r="T1725" t="s">
        <v>2416</v>
      </c>
      <c r="U1725" t="s">
        <v>2417</v>
      </c>
      <c r="V1725" t="s">
        <v>249</v>
      </c>
      <c r="W1725" t="s">
        <v>244</v>
      </c>
      <c r="X1725" t="s">
        <v>2418</v>
      </c>
      <c r="Y1725" t="s">
        <v>191</v>
      </c>
      <c r="Z1725" t="s">
        <v>335</v>
      </c>
      <c r="AA1725" t="s">
        <v>337</v>
      </c>
      <c r="AB1725" t="s">
        <v>348</v>
      </c>
      <c r="AC1725" t="s">
        <v>349</v>
      </c>
      <c r="AD1725" t="s">
        <v>350</v>
      </c>
      <c r="AE1725" s="7">
        <v>76000</v>
      </c>
      <c r="AF1725" s="7">
        <v>1</v>
      </c>
      <c r="AG1725" s="7">
        <v>76000</v>
      </c>
      <c r="AH1725" s="7">
        <v>0</v>
      </c>
      <c r="AI1725" s="7">
        <v>76000</v>
      </c>
      <c r="AJ1725" t="s">
        <v>349</v>
      </c>
    </row>
    <row r="1726" spans="14:36" x14ac:dyDescent="0.3">
      <c r="N1726" s="8">
        <v>2026</v>
      </c>
      <c r="O1726" s="8">
        <v>4</v>
      </c>
      <c r="P1726" s="9">
        <v>46124</v>
      </c>
      <c r="Q1726" t="s">
        <v>238</v>
      </c>
      <c r="R1726" t="s">
        <v>425</v>
      </c>
      <c r="S1726" t="s">
        <v>426</v>
      </c>
      <c r="T1726" t="s">
        <v>1291</v>
      </c>
      <c r="U1726" t="s">
        <v>3887</v>
      </c>
      <c r="V1726" t="s">
        <v>246</v>
      </c>
      <c r="W1726" t="s">
        <v>244</v>
      </c>
      <c r="X1726" t="s">
        <v>2423</v>
      </c>
      <c r="Y1726" t="s">
        <v>191</v>
      </c>
      <c r="Z1726" t="s">
        <v>335</v>
      </c>
      <c r="AA1726" t="s">
        <v>337</v>
      </c>
      <c r="AB1726" t="s">
        <v>348</v>
      </c>
      <c r="AC1726" t="s">
        <v>349</v>
      </c>
      <c r="AD1726" t="s">
        <v>350</v>
      </c>
      <c r="AE1726" s="7">
        <v>76000</v>
      </c>
      <c r="AF1726" s="7">
        <v>1</v>
      </c>
      <c r="AG1726" s="7">
        <v>76000</v>
      </c>
      <c r="AH1726" s="7">
        <v>0</v>
      </c>
      <c r="AI1726" s="7">
        <v>76000</v>
      </c>
      <c r="AJ1726" t="s">
        <v>349</v>
      </c>
    </row>
    <row r="1727" spans="14:36" x14ac:dyDescent="0.3">
      <c r="N1727" s="8">
        <v>2026</v>
      </c>
      <c r="O1727" s="8">
        <v>4</v>
      </c>
      <c r="P1727" s="9">
        <v>46124</v>
      </c>
      <c r="Q1727" t="s">
        <v>238</v>
      </c>
      <c r="R1727" t="s">
        <v>425</v>
      </c>
      <c r="S1727" t="s">
        <v>426</v>
      </c>
      <c r="T1727" t="s">
        <v>2424</v>
      </c>
      <c r="U1727" t="s">
        <v>3622</v>
      </c>
      <c r="V1727" t="s">
        <v>249</v>
      </c>
      <c r="W1727" t="s">
        <v>244</v>
      </c>
      <c r="X1727" t="s">
        <v>2425</v>
      </c>
      <c r="Y1727" t="s">
        <v>191</v>
      </c>
      <c r="Z1727" t="s">
        <v>335</v>
      </c>
      <c r="AA1727" t="s">
        <v>337</v>
      </c>
      <c r="AB1727" t="s">
        <v>719</v>
      </c>
      <c r="AC1727" t="s">
        <v>720</v>
      </c>
      <c r="AD1727" t="s">
        <v>721</v>
      </c>
      <c r="AE1727" s="7">
        <v>104000</v>
      </c>
      <c r="AF1727" s="7">
        <v>1</v>
      </c>
      <c r="AG1727" s="7">
        <v>104000</v>
      </c>
      <c r="AH1727" s="7">
        <v>0</v>
      </c>
      <c r="AI1727" s="7">
        <v>104000</v>
      </c>
      <c r="AJ1727" t="s">
        <v>720</v>
      </c>
    </row>
    <row r="1728" spans="14:36" x14ac:dyDescent="0.3">
      <c r="N1728" s="8">
        <v>2026</v>
      </c>
      <c r="O1728" s="8">
        <v>4</v>
      </c>
      <c r="P1728" s="9">
        <v>46124</v>
      </c>
      <c r="Q1728" t="s">
        <v>238</v>
      </c>
      <c r="R1728" t="s">
        <v>425</v>
      </c>
      <c r="S1728" t="s">
        <v>426</v>
      </c>
      <c r="T1728" t="s">
        <v>695</v>
      </c>
      <c r="U1728" t="s">
        <v>4120</v>
      </c>
      <c r="V1728" t="s">
        <v>246</v>
      </c>
      <c r="W1728" t="s">
        <v>244</v>
      </c>
      <c r="X1728" t="s">
        <v>2426</v>
      </c>
      <c r="Y1728" t="s">
        <v>191</v>
      </c>
      <c r="Z1728" t="s">
        <v>335</v>
      </c>
      <c r="AA1728" t="s">
        <v>337</v>
      </c>
      <c r="AB1728" t="s">
        <v>541</v>
      </c>
      <c r="AC1728" t="s">
        <v>542</v>
      </c>
      <c r="AD1728" t="s">
        <v>543</v>
      </c>
      <c r="AE1728" s="7">
        <v>69000</v>
      </c>
      <c r="AF1728" s="7">
        <v>1</v>
      </c>
      <c r="AG1728" s="7">
        <v>69000</v>
      </c>
      <c r="AH1728" s="7">
        <v>0</v>
      </c>
      <c r="AI1728" s="7">
        <v>69000</v>
      </c>
      <c r="AJ1728" t="s">
        <v>542</v>
      </c>
    </row>
    <row r="1729" spans="14:36" x14ac:dyDescent="0.3">
      <c r="N1729" s="8">
        <v>2026</v>
      </c>
      <c r="O1729" s="8">
        <v>4</v>
      </c>
      <c r="P1729" s="9">
        <v>46123</v>
      </c>
      <c r="Q1729" t="s">
        <v>238</v>
      </c>
      <c r="R1729" t="s">
        <v>279</v>
      </c>
      <c r="S1729" t="s">
        <v>280</v>
      </c>
      <c r="T1729" t="s">
        <v>2430</v>
      </c>
      <c r="U1729" t="s">
        <v>4121</v>
      </c>
      <c r="V1729" t="s">
        <v>246</v>
      </c>
      <c r="W1729" t="s">
        <v>244</v>
      </c>
      <c r="X1729" t="s">
        <v>2431</v>
      </c>
      <c r="Y1729" t="s">
        <v>191</v>
      </c>
      <c r="Z1729" t="s">
        <v>335</v>
      </c>
      <c r="AA1729" t="s">
        <v>337</v>
      </c>
      <c r="AB1729" t="s">
        <v>656</v>
      </c>
      <c r="AC1729" t="s">
        <v>657</v>
      </c>
      <c r="AD1729" t="s">
        <v>658</v>
      </c>
      <c r="AE1729" s="7">
        <v>35000</v>
      </c>
      <c r="AF1729" s="7">
        <v>1</v>
      </c>
      <c r="AG1729" s="7">
        <v>35000</v>
      </c>
      <c r="AH1729" s="7">
        <v>0</v>
      </c>
      <c r="AI1729" s="7">
        <v>35000</v>
      </c>
      <c r="AJ1729" t="s">
        <v>657</v>
      </c>
    </row>
    <row r="1730" spans="14:36" x14ac:dyDescent="0.3">
      <c r="N1730" s="8">
        <v>2026</v>
      </c>
      <c r="O1730" s="8">
        <v>4</v>
      </c>
      <c r="P1730" s="9">
        <v>46123</v>
      </c>
      <c r="Q1730" t="s">
        <v>238</v>
      </c>
      <c r="R1730" t="s">
        <v>351</v>
      </c>
      <c r="S1730" t="s">
        <v>352</v>
      </c>
      <c r="T1730" t="s">
        <v>2432</v>
      </c>
      <c r="U1730" t="s">
        <v>4063</v>
      </c>
      <c r="V1730" t="s">
        <v>246</v>
      </c>
      <c r="W1730" t="s">
        <v>244</v>
      </c>
      <c r="X1730" t="s">
        <v>2433</v>
      </c>
      <c r="Y1730" t="s">
        <v>191</v>
      </c>
      <c r="Z1730" t="s">
        <v>335</v>
      </c>
      <c r="AA1730" t="s">
        <v>336</v>
      </c>
      <c r="AB1730" t="s">
        <v>1518</v>
      </c>
      <c r="AC1730" t="s">
        <v>1519</v>
      </c>
      <c r="AD1730" t="s">
        <v>1520</v>
      </c>
      <c r="AE1730" s="7">
        <v>99000</v>
      </c>
      <c r="AF1730" s="7">
        <v>1</v>
      </c>
      <c r="AG1730" s="7">
        <v>99000</v>
      </c>
      <c r="AH1730" s="7">
        <v>0</v>
      </c>
      <c r="AI1730" s="7">
        <v>99000</v>
      </c>
      <c r="AJ1730" t="s">
        <v>1519</v>
      </c>
    </row>
    <row r="1731" spans="14:36" x14ac:dyDescent="0.3">
      <c r="N1731" s="8">
        <v>2026</v>
      </c>
      <c r="O1731" s="8">
        <v>4</v>
      </c>
      <c r="P1731" s="9">
        <v>46123</v>
      </c>
      <c r="Q1731" t="s">
        <v>238</v>
      </c>
      <c r="R1731" t="s">
        <v>374</v>
      </c>
      <c r="S1731" t="s">
        <v>375</v>
      </c>
      <c r="T1731" t="s">
        <v>376</v>
      </c>
      <c r="U1731" t="s">
        <v>377</v>
      </c>
      <c r="V1731" t="s">
        <v>243</v>
      </c>
      <c r="W1731" t="s">
        <v>244</v>
      </c>
      <c r="X1731" t="s">
        <v>2434</v>
      </c>
      <c r="Y1731" t="s">
        <v>191</v>
      </c>
      <c r="Z1731" t="s">
        <v>192</v>
      </c>
      <c r="AA1731" t="s">
        <v>283</v>
      </c>
      <c r="AB1731" t="s">
        <v>110</v>
      </c>
      <c r="AC1731" t="s">
        <v>108</v>
      </c>
      <c r="AD1731" t="s">
        <v>109</v>
      </c>
      <c r="AE1731" s="7">
        <v>199000</v>
      </c>
      <c r="AF1731" s="7">
        <v>1</v>
      </c>
      <c r="AG1731" s="7">
        <v>199000</v>
      </c>
      <c r="AH1731" s="7">
        <v>0</v>
      </c>
      <c r="AI1731" s="7">
        <v>199000</v>
      </c>
      <c r="AJ1731" t="s">
        <v>108</v>
      </c>
    </row>
    <row r="1732" spans="14:36" x14ac:dyDescent="0.3">
      <c r="N1732" s="8">
        <v>2026</v>
      </c>
      <c r="O1732" s="8">
        <v>4</v>
      </c>
      <c r="P1732" s="9">
        <v>46123</v>
      </c>
      <c r="Q1732" t="s">
        <v>238</v>
      </c>
      <c r="R1732" t="s">
        <v>374</v>
      </c>
      <c r="S1732" t="s">
        <v>375</v>
      </c>
      <c r="T1732" t="s">
        <v>376</v>
      </c>
      <c r="U1732" t="s">
        <v>377</v>
      </c>
      <c r="V1732" t="s">
        <v>243</v>
      </c>
      <c r="W1732" t="s">
        <v>244</v>
      </c>
      <c r="X1732" t="s">
        <v>2434</v>
      </c>
      <c r="Y1732" t="s">
        <v>191</v>
      </c>
      <c r="Z1732" t="s">
        <v>192</v>
      </c>
      <c r="AA1732" t="s">
        <v>193</v>
      </c>
      <c r="AB1732" t="s">
        <v>119</v>
      </c>
      <c r="AC1732" t="s">
        <v>117</v>
      </c>
      <c r="AD1732" t="s">
        <v>118</v>
      </c>
      <c r="AE1732" s="7">
        <v>199000</v>
      </c>
      <c r="AF1732" s="7">
        <v>2</v>
      </c>
      <c r="AG1732" s="7">
        <v>398000</v>
      </c>
      <c r="AH1732" s="7">
        <v>0</v>
      </c>
      <c r="AI1732" s="7">
        <v>398000</v>
      </c>
      <c r="AJ1732" t="s">
        <v>117</v>
      </c>
    </row>
    <row r="1733" spans="14:36" x14ac:dyDescent="0.3">
      <c r="N1733" s="8">
        <v>2026</v>
      </c>
      <c r="O1733" s="8">
        <v>4</v>
      </c>
      <c r="P1733" s="9">
        <v>46123</v>
      </c>
      <c r="Q1733" t="s">
        <v>238</v>
      </c>
      <c r="R1733" t="s">
        <v>374</v>
      </c>
      <c r="S1733" t="s">
        <v>375</v>
      </c>
      <c r="T1733" t="s">
        <v>2011</v>
      </c>
      <c r="U1733" t="s">
        <v>4122</v>
      </c>
      <c r="V1733" t="s">
        <v>246</v>
      </c>
      <c r="W1733" t="s">
        <v>244</v>
      </c>
      <c r="X1733" t="s">
        <v>2435</v>
      </c>
      <c r="Y1733" t="s">
        <v>191</v>
      </c>
      <c r="Z1733" t="s">
        <v>335</v>
      </c>
      <c r="AA1733" t="s">
        <v>337</v>
      </c>
      <c r="AB1733" t="s">
        <v>348</v>
      </c>
      <c r="AC1733" t="s">
        <v>349</v>
      </c>
      <c r="AD1733" t="s">
        <v>350</v>
      </c>
      <c r="AE1733" s="7">
        <v>76000</v>
      </c>
      <c r="AF1733" s="7">
        <v>4</v>
      </c>
      <c r="AG1733" s="7">
        <v>304000</v>
      </c>
      <c r="AH1733" s="7">
        <v>0</v>
      </c>
      <c r="AI1733" s="7">
        <v>304000</v>
      </c>
      <c r="AJ1733" t="s">
        <v>349</v>
      </c>
    </row>
    <row r="1734" spans="14:36" x14ac:dyDescent="0.3">
      <c r="N1734" s="8">
        <v>2026</v>
      </c>
      <c r="O1734" s="8">
        <v>4</v>
      </c>
      <c r="P1734" s="9">
        <v>46123</v>
      </c>
      <c r="Q1734" t="s">
        <v>238</v>
      </c>
      <c r="R1734" t="s">
        <v>374</v>
      </c>
      <c r="S1734" t="s">
        <v>375</v>
      </c>
      <c r="T1734" t="s">
        <v>2436</v>
      </c>
      <c r="U1734" t="s">
        <v>2437</v>
      </c>
      <c r="V1734" t="s">
        <v>246</v>
      </c>
      <c r="W1734" t="s">
        <v>244</v>
      </c>
      <c r="X1734" t="s">
        <v>2438</v>
      </c>
      <c r="Y1734" t="s">
        <v>191</v>
      </c>
      <c r="Z1734" t="s">
        <v>335</v>
      </c>
      <c r="AA1734" t="s">
        <v>337</v>
      </c>
      <c r="AB1734" t="s">
        <v>864</v>
      </c>
      <c r="AC1734" t="s">
        <v>865</v>
      </c>
      <c r="AD1734" t="s">
        <v>866</v>
      </c>
      <c r="AE1734" s="7">
        <v>139000</v>
      </c>
      <c r="AF1734" s="7">
        <v>1</v>
      </c>
      <c r="AG1734" s="7">
        <v>139000</v>
      </c>
      <c r="AH1734" s="7">
        <v>0</v>
      </c>
      <c r="AI1734" s="7">
        <v>139000</v>
      </c>
      <c r="AJ1734" t="s">
        <v>865</v>
      </c>
    </row>
    <row r="1735" spans="14:36" x14ac:dyDescent="0.3">
      <c r="N1735" s="8">
        <v>2026</v>
      </c>
      <c r="O1735" s="8">
        <v>4</v>
      </c>
      <c r="P1735" s="9">
        <v>46123</v>
      </c>
      <c r="Q1735" t="s">
        <v>238</v>
      </c>
      <c r="R1735" t="s">
        <v>374</v>
      </c>
      <c r="S1735" t="s">
        <v>375</v>
      </c>
      <c r="T1735" t="s">
        <v>1573</v>
      </c>
      <c r="U1735" t="s">
        <v>1574</v>
      </c>
      <c r="V1735" t="s">
        <v>246</v>
      </c>
      <c r="W1735" t="s">
        <v>244</v>
      </c>
      <c r="X1735" t="s">
        <v>2439</v>
      </c>
      <c r="Y1735" t="s">
        <v>191</v>
      </c>
      <c r="Z1735" t="s">
        <v>335</v>
      </c>
      <c r="AA1735" t="s">
        <v>336</v>
      </c>
      <c r="AB1735" t="s">
        <v>1146</v>
      </c>
      <c r="AC1735" t="s">
        <v>1147</v>
      </c>
      <c r="AD1735" t="s">
        <v>1148</v>
      </c>
      <c r="AE1735" s="7">
        <v>99000</v>
      </c>
      <c r="AF1735" s="7">
        <v>1</v>
      </c>
      <c r="AG1735" s="7">
        <v>99000</v>
      </c>
      <c r="AH1735" s="7">
        <v>0</v>
      </c>
      <c r="AI1735" s="7">
        <v>99000</v>
      </c>
      <c r="AJ1735" t="s">
        <v>1147</v>
      </c>
    </row>
    <row r="1736" spans="14:36" x14ac:dyDescent="0.3">
      <c r="N1736" s="8">
        <v>2026</v>
      </c>
      <c r="O1736" s="8">
        <v>4</v>
      </c>
      <c r="P1736" s="9">
        <v>46122</v>
      </c>
      <c r="Q1736" t="s">
        <v>238</v>
      </c>
      <c r="R1736" t="s">
        <v>279</v>
      </c>
      <c r="S1736" t="s">
        <v>280</v>
      </c>
      <c r="T1736" t="s">
        <v>2441</v>
      </c>
      <c r="U1736" t="s">
        <v>3862</v>
      </c>
      <c r="V1736" t="s">
        <v>246</v>
      </c>
      <c r="W1736" t="s">
        <v>244</v>
      </c>
      <c r="X1736" t="s">
        <v>2442</v>
      </c>
      <c r="Y1736" t="s">
        <v>191</v>
      </c>
      <c r="Z1736" t="s">
        <v>335</v>
      </c>
      <c r="AA1736" t="s">
        <v>337</v>
      </c>
      <c r="AB1736" t="s">
        <v>348</v>
      </c>
      <c r="AC1736" t="s">
        <v>349</v>
      </c>
      <c r="AD1736" t="s">
        <v>350</v>
      </c>
      <c r="AE1736" s="7">
        <v>76000</v>
      </c>
      <c r="AF1736" s="7">
        <v>1</v>
      </c>
      <c r="AG1736" s="7">
        <v>76000</v>
      </c>
      <c r="AH1736" s="7">
        <v>0</v>
      </c>
      <c r="AI1736" s="7">
        <v>76000</v>
      </c>
      <c r="AJ1736" t="s">
        <v>349</v>
      </c>
    </row>
    <row r="1737" spans="14:36" x14ac:dyDescent="0.3">
      <c r="N1737" s="8">
        <v>2026</v>
      </c>
      <c r="O1737" s="8">
        <v>4</v>
      </c>
      <c r="P1737" s="9">
        <v>46122</v>
      </c>
      <c r="Q1737" t="s">
        <v>238</v>
      </c>
      <c r="R1737" t="s">
        <v>303</v>
      </c>
      <c r="S1737" t="s">
        <v>304</v>
      </c>
      <c r="T1737" t="s">
        <v>2443</v>
      </c>
      <c r="U1737" t="s">
        <v>4015</v>
      </c>
      <c r="V1737" t="s">
        <v>246</v>
      </c>
      <c r="W1737" t="s">
        <v>244</v>
      </c>
      <c r="X1737" t="s">
        <v>2444</v>
      </c>
      <c r="Y1737" t="s">
        <v>191</v>
      </c>
      <c r="Z1737" t="s">
        <v>335</v>
      </c>
      <c r="AA1737" t="s">
        <v>337</v>
      </c>
      <c r="AB1737" t="s">
        <v>541</v>
      </c>
      <c r="AC1737" t="s">
        <v>542</v>
      </c>
      <c r="AD1737" t="s">
        <v>543</v>
      </c>
      <c r="AE1737" s="7">
        <v>69000</v>
      </c>
      <c r="AF1737" s="7">
        <v>1</v>
      </c>
      <c r="AG1737" s="7">
        <v>69000</v>
      </c>
      <c r="AH1737" s="7">
        <v>0</v>
      </c>
      <c r="AI1737" s="7">
        <v>69000</v>
      </c>
      <c r="AJ1737" t="s">
        <v>542</v>
      </c>
    </row>
    <row r="1738" spans="14:36" x14ac:dyDescent="0.3">
      <c r="N1738" s="8">
        <v>2026</v>
      </c>
      <c r="O1738" s="8">
        <v>4</v>
      </c>
      <c r="P1738" s="9">
        <v>46122</v>
      </c>
      <c r="Q1738" t="s">
        <v>238</v>
      </c>
      <c r="R1738" t="s">
        <v>303</v>
      </c>
      <c r="S1738" t="s">
        <v>304</v>
      </c>
      <c r="T1738" t="s">
        <v>2443</v>
      </c>
      <c r="U1738" t="s">
        <v>4015</v>
      </c>
      <c r="V1738" t="s">
        <v>246</v>
      </c>
      <c r="W1738" t="s">
        <v>244</v>
      </c>
      <c r="X1738" t="s">
        <v>2444</v>
      </c>
      <c r="Y1738" t="s">
        <v>191</v>
      </c>
      <c r="Z1738" t="s">
        <v>335</v>
      </c>
      <c r="AA1738" t="s">
        <v>337</v>
      </c>
      <c r="AB1738" t="s">
        <v>719</v>
      </c>
      <c r="AC1738" t="s">
        <v>720</v>
      </c>
      <c r="AD1738" t="s">
        <v>721</v>
      </c>
      <c r="AE1738" s="7">
        <v>104000</v>
      </c>
      <c r="AF1738" s="7">
        <v>1</v>
      </c>
      <c r="AG1738" s="7">
        <v>104000</v>
      </c>
      <c r="AH1738" s="7">
        <v>0</v>
      </c>
      <c r="AI1738" s="7">
        <v>104000</v>
      </c>
      <c r="AJ1738" t="s">
        <v>720</v>
      </c>
    </row>
    <row r="1739" spans="14:36" x14ac:dyDescent="0.3">
      <c r="N1739" s="8">
        <v>2026</v>
      </c>
      <c r="O1739" s="8">
        <v>4</v>
      </c>
      <c r="P1739" s="9">
        <v>46122</v>
      </c>
      <c r="Q1739" t="s">
        <v>238</v>
      </c>
      <c r="R1739" t="s">
        <v>303</v>
      </c>
      <c r="S1739" t="s">
        <v>304</v>
      </c>
      <c r="T1739" t="s">
        <v>2443</v>
      </c>
      <c r="U1739" t="s">
        <v>4015</v>
      </c>
      <c r="V1739" t="s">
        <v>246</v>
      </c>
      <c r="W1739" t="s">
        <v>244</v>
      </c>
      <c r="X1739" t="s">
        <v>2444</v>
      </c>
      <c r="Y1739" t="s">
        <v>191</v>
      </c>
      <c r="Z1739" t="s">
        <v>335</v>
      </c>
      <c r="AA1739" t="s">
        <v>337</v>
      </c>
      <c r="AB1739" t="s">
        <v>348</v>
      </c>
      <c r="AC1739" t="s">
        <v>349</v>
      </c>
      <c r="AD1739" t="s">
        <v>350</v>
      </c>
      <c r="AE1739" s="7">
        <v>76000</v>
      </c>
      <c r="AF1739" s="7">
        <v>2</v>
      </c>
      <c r="AG1739" s="7">
        <v>152000</v>
      </c>
      <c r="AH1739" s="7">
        <v>0</v>
      </c>
      <c r="AI1739" s="7">
        <v>152000</v>
      </c>
      <c r="AJ1739" t="s">
        <v>349</v>
      </c>
    </row>
    <row r="1740" spans="14:36" x14ac:dyDescent="0.3">
      <c r="N1740" s="8">
        <v>2026</v>
      </c>
      <c r="O1740" s="8">
        <v>4</v>
      </c>
      <c r="P1740" s="9">
        <v>46122</v>
      </c>
      <c r="Q1740" t="s">
        <v>238</v>
      </c>
      <c r="R1740" t="s">
        <v>303</v>
      </c>
      <c r="S1740" t="s">
        <v>304</v>
      </c>
      <c r="T1740" t="s">
        <v>2445</v>
      </c>
      <c r="U1740" t="s">
        <v>4063</v>
      </c>
      <c r="V1740" t="s">
        <v>246</v>
      </c>
      <c r="W1740" t="s">
        <v>244</v>
      </c>
      <c r="X1740" t="s">
        <v>2446</v>
      </c>
      <c r="Y1740" t="s">
        <v>191</v>
      </c>
      <c r="Z1740" t="s">
        <v>335</v>
      </c>
      <c r="AA1740" t="s">
        <v>337</v>
      </c>
      <c r="AB1740" t="s">
        <v>348</v>
      </c>
      <c r="AC1740" t="s">
        <v>349</v>
      </c>
      <c r="AD1740" t="s">
        <v>350</v>
      </c>
      <c r="AE1740" s="7">
        <v>76000</v>
      </c>
      <c r="AF1740" s="7">
        <v>1</v>
      </c>
      <c r="AG1740" s="7">
        <v>76000</v>
      </c>
      <c r="AH1740" s="7">
        <v>0</v>
      </c>
      <c r="AI1740" s="7">
        <v>76000</v>
      </c>
      <c r="AJ1740" t="s">
        <v>349</v>
      </c>
    </row>
    <row r="1741" spans="14:36" x14ac:dyDescent="0.3">
      <c r="N1741" s="8">
        <v>2026</v>
      </c>
      <c r="O1741" s="8">
        <v>4</v>
      </c>
      <c r="P1741" s="9">
        <v>46122</v>
      </c>
      <c r="Q1741" t="s">
        <v>238</v>
      </c>
      <c r="R1741" t="s">
        <v>374</v>
      </c>
      <c r="S1741" t="s">
        <v>375</v>
      </c>
      <c r="T1741" t="s">
        <v>1229</v>
      </c>
      <c r="U1741" t="s">
        <v>1036</v>
      </c>
      <c r="V1741" t="s">
        <v>246</v>
      </c>
      <c r="W1741" t="s">
        <v>244</v>
      </c>
      <c r="X1741" t="s">
        <v>2448</v>
      </c>
      <c r="Y1741" t="s">
        <v>191</v>
      </c>
      <c r="Z1741" t="s">
        <v>335</v>
      </c>
      <c r="AA1741" t="s">
        <v>337</v>
      </c>
      <c r="AB1741" t="s">
        <v>541</v>
      </c>
      <c r="AC1741" t="s">
        <v>542</v>
      </c>
      <c r="AD1741" t="s">
        <v>543</v>
      </c>
      <c r="AE1741" s="7">
        <v>69000</v>
      </c>
      <c r="AF1741" s="7">
        <v>2</v>
      </c>
      <c r="AG1741" s="7">
        <v>138000</v>
      </c>
      <c r="AH1741" s="7">
        <v>0</v>
      </c>
      <c r="AI1741" s="7">
        <v>138000</v>
      </c>
      <c r="AJ1741" t="s">
        <v>542</v>
      </c>
    </row>
    <row r="1742" spans="14:36" x14ac:dyDescent="0.3">
      <c r="N1742" s="8">
        <v>2026</v>
      </c>
      <c r="O1742" s="8">
        <v>4</v>
      </c>
      <c r="P1742" s="9">
        <v>46122</v>
      </c>
      <c r="Q1742" t="s">
        <v>238</v>
      </c>
      <c r="R1742" t="s">
        <v>396</v>
      </c>
      <c r="S1742" t="s">
        <v>397</v>
      </c>
      <c r="T1742" t="s">
        <v>2449</v>
      </c>
      <c r="U1742" t="s">
        <v>437</v>
      </c>
      <c r="V1742" t="s">
        <v>246</v>
      </c>
      <c r="W1742" t="s">
        <v>244</v>
      </c>
      <c r="X1742" t="s">
        <v>2450</v>
      </c>
      <c r="Y1742" t="s">
        <v>191</v>
      </c>
      <c r="Z1742" t="s">
        <v>335</v>
      </c>
      <c r="AA1742" t="s">
        <v>337</v>
      </c>
      <c r="AB1742" t="s">
        <v>348</v>
      </c>
      <c r="AC1742" t="s">
        <v>349</v>
      </c>
      <c r="AD1742" t="s">
        <v>350</v>
      </c>
      <c r="AE1742" s="7">
        <v>76000</v>
      </c>
      <c r="AF1742" s="7">
        <v>1</v>
      </c>
      <c r="AG1742" s="7">
        <v>76000</v>
      </c>
      <c r="AH1742" s="7">
        <v>0</v>
      </c>
      <c r="AI1742" s="7">
        <v>76000</v>
      </c>
      <c r="AJ1742" t="s">
        <v>349</v>
      </c>
    </row>
    <row r="1743" spans="14:36" x14ac:dyDescent="0.3">
      <c r="N1743" s="8">
        <v>2026</v>
      </c>
      <c r="O1743" s="8">
        <v>4</v>
      </c>
      <c r="P1743" s="9">
        <v>46122</v>
      </c>
      <c r="Q1743" t="s">
        <v>238</v>
      </c>
      <c r="R1743" t="s">
        <v>425</v>
      </c>
      <c r="S1743" t="s">
        <v>426</v>
      </c>
      <c r="T1743" t="s">
        <v>2454</v>
      </c>
      <c r="U1743" t="s">
        <v>1260</v>
      </c>
      <c r="V1743" t="s">
        <v>246</v>
      </c>
      <c r="W1743" t="s">
        <v>244</v>
      </c>
      <c r="X1743" t="s">
        <v>2455</v>
      </c>
      <c r="Y1743" t="s">
        <v>191</v>
      </c>
      <c r="Z1743" t="s">
        <v>335</v>
      </c>
      <c r="AA1743" t="s">
        <v>337</v>
      </c>
      <c r="AB1743" t="s">
        <v>656</v>
      </c>
      <c r="AC1743" t="s">
        <v>657</v>
      </c>
      <c r="AD1743" t="s">
        <v>658</v>
      </c>
      <c r="AE1743" s="7">
        <v>35000</v>
      </c>
      <c r="AF1743" s="7">
        <v>1</v>
      </c>
      <c r="AG1743" s="7">
        <v>35000</v>
      </c>
      <c r="AH1743" s="7">
        <v>0</v>
      </c>
      <c r="AI1743" s="7">
        <v>35000</v>
      </c>
      <c r="AJ1743" t="s">
        <v>657</v>
      </c>
    </row>
    <row r="1744" spans="14:36" x14ac:dyDescent="0.3">
      <c r="N1744" s="8">
        <v>2026</v>
      </c>
      <c r="O1744" s="8">
        <v>4</v>
      </c>
      <c r="P1744" s="9">
        <v>46121</v>
      </c>
      <c r="Q1744" t="s">
        <v>238</v>
      </c>
      <c r="R1744" t="s">
        <v>303</v>
      </c>
      <c r="S1744" t="s">
        <v>304</v>
      </c>
      <c r="T1744" t="s">
        <v>2459</v>
      </c>
      <c r="U1744" t="s">
        <v>4123</v>
      </c>
      <c r="V1744" t="s">
        <v>246</v>
      </c>
      <c r="W1744" t="s">
        <v>244</v>
      </c>
      <c r="X1744" t="s">
        <v>2460</v>
      </c>
      <c r="Y1744" t="s">
        <v>191</v>
      </c>
      <c r="Z1744" t="s">
        <v>335</v>
      </c>
      <c r="AA1744" t="s">
        <v>336</v>
      </c>
      <c r="AB1744" t="s">
        <v>606</v>
      </c>
      <c r="AC1744" t="s">
        <v>607</v>
      </c>
      <c r="AD1744" t="s">
        <v>608</v>
      </c>
      <c r="AE1744" s="7">
        <v>105000</v>
      </c>
      <c r="AF1744" s="7">
        <v>1</v>
      </c>
      <c r="AG1744" s="7">
        <v>105000</v>
      </c>
      <c r="AH1744" s="7">
        <v>0</v>
      </c>
      <c r="AI1744" s="7">
        <v>105000</v>
      </c>
      <c r="AJ1744" t="s">
        <v>607</v>
      </c>
    </row>
    <row r="1745" spans="14:36" x14ac:dyDescent="0.3">
      <c r="N1745" s="8">
        <v>2026</v>
      </c>
      <c r="O1745" s="8">
        <v>4</v>
      </c>
      <c r="P1745" s="9">
        <v>46121</v>
      </c>
      <c r="Q1745" t="s">
        <v>238</v>
      </c>
      <c r="R1745" t="s">
        <v>303</v>
      </c>
      <c r="S1745" t="s">
        <v>304</v>
      </c>
      <c r="T1745" t="s">
        <v>1736</v>
      </c>
      <c r="U1745" t="s">
        <v>1737</v>
      </c>
      <c r="V1745" t="s">
        <v>246</v>
      </c>
      <c r="W1745" t="s">
        <v>244</v>
      </c>
      <c r="X1745" t="s">
        <v>2461</v>
      </c>
      <c r="Y1745" t="s">
        <v>191</v>
      </c>
      <c r="Z1745" t="s">
        <v>335</v>
      </c>
      <c r="AA1745" t="s">
        <v>336</v>
      </c>
      <c r="AB1745" t="s">
        <v>1146</v>
      </c>
      <c r="AC1745" t="s">
        <v>1147</v>
      </c>
      <c r="AD1745" t="s">
        <v>1148</v>
      </c>
      <c r="AE1745" s="7">
        <v>99000</v>
      </c>
      <c r="AF1745" s="7">
        <v>1</v>
      </c>
      <c r="AG1745" s="7">
        <v>99000</v>
      </c>
      <c r="AH1745" s="7">
        <v>0</v>
      </c>
      <c r="AI1745" s="7">
        <v>99000</v>
      </c>
      <c r="AJ1745" t="s">
        <v>1147</v>
      </c>
    </row>
    <row r="1746" spans="14:36" x14ac:dyDescent="0.3">
      <c r="N1746" s="8">
        <v>2026</v>
      </c>
      <c r="O1746" s="8">
        <v>4</v>
      </c>
      <c r="P1746" s="9">
        <v>46121</v>
      </c>
      <c r="Q1746" t="s">
        <v>238</v>
      </c>
      <c r="R1746" t="s">
        <v>396</v>
      </c>
      <c r="S1746" t="s">
        <v>397</v>
      </c>
      <c r="T1746" t="s">
        <v>2463</v>
      </c>
      <c r="U1746" t="s">
        <v>507</v>
      </c>
      <c r="V1746" t="s">
        <v>246</v>
      </c>
      <c r="W1746" t="s">
        <v>244</v>
      </c>
      <c r="X1746" t="s">
        <v>2464</v>
      </c>
      <c r="Y1746" t="s">
        <v>168</v>
      </c>
      <c r="Z1746" t="s">
        <v>171</v>
      </c>
      <c r="AA1746" t="s">
        <v>175</v>
      </c>
      <c r="AB1746" t="s">
        <v>44</v>
      </c>
      <c r="AC1746" t="s">
        <v>42</v>
      </c>
      <c r="AD1746" t="s">
        <v>43</v>
      </c>
      <c r="AE1746" s="7">
        <v>294000</v>
      </c>
      <c r="AF1746" s="7">
        <v>1</v>
      </c>
      <c r="AG1746" s="7">
        <v>294000</v>
      </c>
      <c r="AH1746" s="7">
        <v>0</v>
      </c>
      <c r="AI1746" s="7">
        <v>294000</v>
      </c>
      <c r="AJ1746" t="s">
        <v>42</v>
      </c>
    </row>
    <row r="1747" spans="14:36" x14ac:dyDescent="0.3">
      <c r="N1747" s="8">
        <v>2026</v>
      </c>
      <c r="O1747" s="8">
        <v>4</v>
      </c>
      <c r="P1747" s="9">
        <v>46120</v>
      </c>
      <c r="Q1747" t="s">
        <v>238</v>
      </c>
      <c r="R1747" t="s">
        <v>351</v>
      </c>
      <c r="S1747" t="s">
        <v>352</v>
      </c>
      <c r="T1747" t="s">
        <v>2466</v>
      </c>
      <c r="U1747" t="s">
        <v>4124</v>
      </c>
      <c r="V1747" t="s">
        <v>246</v>
      </c>
      <c r="W1747" t="s">
        <v>244</v>
      </c>
      <c r="X1747" t="s">
        <v>2467</v>
      </c>
      <c r="Y1747" t="s">
        <v>191</v>
      </c>
      <c r="Z1747" t="s">
        <v>335</v>
      </c>
      <c r="AA1747" t="s">
        <v>336</v>
      </c>
      <c r="AB1747" t="s">
        <v>1146</v>
      </c>
      <c r="AC1747" t="s">
        <v>1147</v>
      </c>
      <c r="AD1747" t="s">
        <v>1148</v>
      </c>
      <c r="AE1747" s="7">
        <v>99000</v>
      </c>
      <c r="AF1747" s="7">
        <v>1</v>
      </c>
      <c r="AG1747" s="7">
        <v>99000</v>
      </c>
      <c r="AH1747" s="7">
        <v>0</v>
      </c>
      <c r="AI1747" s="7">
        <v>99000</v>
      </c>
      <c r="AJ1747" t="s">
        <v>1147</v>
      </c>
    </row>
    <row r="1748" spans="14:36" x14ac:dyDescent="0.3">
      <c r="N1748" s="8">
        <v>2026</v>
      </c>
      <c r="O1748" s="8">
        <v>4</v>
      </c>
      <c r="P1748" s="9">
        <v>46120</v>
      </c>
      <c r="Q1748" t="s">
        <v>238</v>
      </c>
      <c r="R1748" t="s">
        <v>396</v>
      </c>
      <c r="S1748" t="s">
        <v>397</v>
      </c>
      <c r="T1748" t="s">
        <v>2468</v>
      </c>
      <c r="U1748" t="s">
        <v>3875</v>
      </c>
      <c r="V1748" t="s">
        <v>246</v>
      </c>
      <c r="W1748" t="s">
        <v>244</v>
      </c>
      <c r="X1748" t="s">
        <v>2469</v>
      </c>
      <c r="Y1748" t="s">
        <v>191</v>
      </c>
      <c r="Z1748" t="s">
        <v>335</v>
      </c>
      <c r="AA1748" t="s">
        <v>336</v>
      </c>
      <c r="AB1748" t="s">
        <v>606</v>
      </c>
      <c r="AC1748" t="s">
        <v>607</v>
      </c>
      <c r="AD1748" t="s">
        <v>608</v>
      </c>
      <c r="AE1748" s="7">
        <v>105000</v>
      </c>
      <c r="AF1748" s="7">
        <v>1</v>
      </c>
      <c r="AG1748" s="7">
        <v>105000</v>
      </c>
      <c r="AH1748" s="7">
        <v>0</v>
      </c>
      <c r="AI1748" s="7">
        <v>105000</v>
      </c>
      <c r="AJ1748" t="s">
        <v>607</v>
      </c>
    </row>
    <row r="1749" spans="14:36" x14ac:dyDescent="0.3">
      <c r="N1749" s="8">
        <v>2026</v>
      </c>
      <c r="O1749" s="8">
        <v>4</v>
      </c>
      <c r="P1749" s="9">
        <v>46120</v>
      </c>
      <c r="Q1749" t="s">
        <v>238</v>
      </c>
      <c r="R1749" t="s">
        <v>415</v>
      </c>
      <c r="S1749" t="s">
        <v>416</v>
      </c>
      <c r="T1749" t="s">
        <v>1003</v>
      </c>
      <c r="U1749" t="s">
        <v>320</v>
      </c>
      <c r="V1749" t="s">
        <v>246</v>
      </c>
      <c r="W1749" t="s">
        <v>244</v>
      </c>
      <c r="X1749" t="s">
        <v>2470</v>
      </c>
      <c r="Y1749" t="s">
        <v>183</v>
      </c>
      <c r="Z1749" t="s">
        <v>186</v>
      </c>
      <c r="AA1749" t="s">
        <v>188</v>
      </c>
      <c r="AB1749" t="s">
        <v>95</v>
      </c>
      <c r="AC1749" t="s">
        <v>93</v>
      </c>
      <c r="AD1749" t="s">
        <v>94</v>
      </c>
      <c r="AE1749" s="7">
        <v>239000</v>
      </c>
      <c r="AF1749" s="7">
        <v>1</v>
      </c>
      <c r="AG1749" s="7">
        <v>239000</v>
      </c>
      <c r="AH1749" s="7">
        <v>0</v>
      </c>
      <c r="AI1749" s="7">
        <v>239000</v>
      </c>
      <c r="AJ1749" t="s">
        <v>93</v>
      </c>
    </row>
    <row r="1750" spans="14:36" x14ac:dyDescent="0.3">
      <c r="N1750" s="8">
        <v>2026</v>
      </c>
      <c r="O1750" s="8">
        <v>4</v>
      </c>
      <c r="P1750" s="9">
        <v>46119</v>
      </c>
      <c r="Q1750" t="s">
        <v>238</v>
      </c>
      <c r="R1750" t="s">
        <v>303</v>
      </c>
      <c r="S1750" t="s">
        <v>304</v>
      </c>
      <c r="T1750" t="s">
        <v>2473</v>
      </c>
      <c r="U1750" t="s">
        <v>2474</v>
      </c>
      <c r="V1750" t="s">
        <v>246</v>
      </c>
      <c r="W1750" t="s">
        <v>244</v>
      </c>
      <c r="X1750" t="s">
        <v>2475</v>
      </c>
      <c r="Y1750" t="s">
        <v>191</v>
      </c>
      <c r="Z1750" t="s">
        <v>335</v>
      </c>
      <c r="AA1750" t="s">
        <v>336</v>
      </c>
      <c r="AB1750" t="s">
        <v>606</v>
      </c>
      <c r="AC1750" t="s">
        <v>607</v>
      </c>
      <c r="AD1750" t="s">
        <v>608</v>
      </c>
      <c r="AE1750" s="7">
        <v>105000</v>
      </c>
      <c r="AF1750" s="7">
        <v>1</v>
      </c>
      <c r="AG1750" s="7">
        <v>105000</v>
      </c>
      <c r="AH1750" s="7">
        <v>0</v>
      </c>
      <c r="AI1750" s="7">
        <v>105000</v>
      </c>
      <c r="AJ1750" t="s">
        <v>607</v>
      </c>
    </row>
    <row r="1751" spans="14:36" x14ac:dyDescent="0.3">
      <c r="N1751" s="8">
        <v>2026</v>
      </c>
      <c r="O1751" s="8">
        <v>4</v>
      </c>
      <c r="P1751" s="9">
        <v>46119</v>
      </c>
      <c r="Q1751" t="s">
        <v>238</v>
      </c>
      <c r="R1751" t="s">
        <v>303</v>
      </c>
      <c r="S1751" t="s">
        <v>304</v>
      </c>
      <c r="T1751" t="s">
        <v>1406</v>
      </c>
      <c r="U1751" t="s">
        <v>4118</v>
      </c>
      <c r="V1751" t="s">
        <v>246</v>
      </c>
      <c r="W1751" t="s">
        <v>244</v>
      </c>
      <c r="X1751" t="s">
        <v>2477</v>
      </c>
      <c r="Y1751" t="s">
        <v>191</v>
      </c>
      <c r="Z1751" t="s">
        <v>335</v>
      </c>
      <c r="AA1751" t="s">
        <v>336</v>
      </c>
      <c r="AB1751" t="s">
        <v>1284</v>
      </c>
      <c r="AC1751" t="s">
        <v>1285</v>
      </c>
      <c r="AD1751" t="s">
        <v>1286</v>
      </c>
      <c r="AE1751" s="7">
        <v>99000</v>
      </c>
      <c r="AF1751" s="7">
        <v>1</v>
      </c>
      <c r="AG1751" s="7">
        <v>99000</v>
      </c>
      <c r="AH1751" s="7">
        <v>0</v>
      </c>
      <c r="AI1751" s="7">
        <v>99000</v>
      </c>
      <c r="AJ1751" t="s">
        <v>1285</v>
      </c>
    </row>
    <row r="1752" spans="14:36" x14ac:dyDescent="0.3">
      <c r="N1752" s="8">
        <v>2026</v>
      </c>
      <c r="O1752" s="8">
        <v>4</v>
      </c>
      <c r="P1752" s="9">
        <v>46119</v>
      </c>
      <c r="Q1752" t="s">
        <v>238</v>
      </c>
      <c r="R1752" t="s">
        <v>374</v>
      </c>
      <c r="S1752" t="s">
        <v>375</v>
      </c>
      <c r="T1752" t="s">
        <v>2161</v>
      </c>
      <c r="U1752" t="s">
        <v>2162</v>
      </c>
      <c r="V1752" t="s">
        <v>246</v>
      </c>
      <c r="W1752" t="s">
        <v>244</v>
      </c>
      <c r="X1752" t="s">
        <v>2479</v>
      </c>
      <c r="Y1752" t="s">
        <v>191</v>
      </c>
      <c r="Z1752" t="s">
        <v>335</v>
      </c>
      <c r="AA1752" t="s">
        <v>336</v>
      </c>
      <c r="AB1752" t="s">
        <v>1146</v>
      </c>
      <c r="AC1752" t="s">
        <v>1147</v>
      </c>
      <c r="AD1752" t="s">
        <v>1148</v>
      </c>
      <c r="AE1752" s="7">
        <v>99000</v>
      </c>
      <c r="AF1752" s="7">
        <v>1</v>
      </c>
      <c r="AG1752" s="7">
        <v>99000</v>
      </c>
      <c r="AH1752" s="7">
        <v>0</v>
      </c>
      <c r="AI1752" s="7">
        <v>99000</v>
      </c>
      <c r="AJ1752" t="s">
        <v>1147</v>
      </c>
    </row>
    <row r="1753" spans="14:36" x14ac:dyDescent="0.3">
      <c r="N1753" s="8">
        <v>2026</v>
      </c>
      <c r="O1753" s="8">
        <v>4</v>
      </c>
      <c r="P1753" s="9">
        <v>46119</v>
      </c>
      <c r="Q1753" t="s">
        <v>238</v>
      </c>
      <c r="R1753" t="s">
        <v>374</v>
      </c>
      <c r="S1753" t="s">
        <v>375</v>
      </c>
      <c r="T1753" t="s">
        <v>2317</v>
      </c>
      <c r="U1753" t="s">
        <v>4021</v>
      </c>
      <c r="V1753" t="s">
        <v>246</v>
      </c>
      <c r="W1753" t="s">
        <v>244</v>
      </c>
      <c r="X1753" t="s">
        <v>2480</v>
      </c>
      <c r="Y1753" t="s">
        <v>191</v>
      </c>
      <c r="Z1753" t="s">
        <v>335</v>
      </c>
      <c r="AA1753" t="s">
        <v>336</v>
      </c>
      <c r="AB1753" t="s">
        <v>1518</v>
      </c>
      <c r="AC1753" t="s">
        <v>1519</v>
      </c>
      <c r="AD1753" t="s">
        <v>1520</v>
      </c>
      <c r="AE1753" s="7">
        <v>99000</v>
      </c>
      <c r="AF1753" s="7">
        <v>1</v>
      </c>
      <c r="AG1753" s="7">
        <v>99000</v>
      </c>
      <c r="AH1753" s="7">
        <v>0</v>
      </c>
      <c r="AI1753" s="7">
        <v>99000</v>
      </c>
      <c r="AJ1753" t="s">
        <v>1519</v>
      </c>
    </row>
    <row r="1754" spans="14:36" x14ac:dyDescent="0.3">
      <c r="N1754" s="8">
        <v>2026</v>
      </c>
      <c r="O1754" s="8">
        <v>4</v>
      </c>
      <c r="P1754" s="9">
        <v>46118</v>
      </c>
      <c r="Q1754" t="s">
        <v>238</v>
      </c>
      <c r="R1754" t="s">
        <v>239</v>
      </c>
      <c r="S1754" t="s">
        <v>240</v>
      </c>
      <c r="T1754" t="s">
        <v>2481</v>
      </c>
      <c r="U1754" t="s">
        <v>3893</v>
      </c>
      <c r="V1754" t="s">
        <v>246</v>
      </c>
      <c r="W1754" t="s">
        <v>244</v>
      </c>
      <c r="X1754" t="s">
        <v>2482</v>
      </c>
      <c r="Y1754" t="s">
        <v>191</v>
      </c>
      <c r="Z1754" t="s">
        <v>335</v>
      </c>
      <c r="AA1754" t="s">
        <v>337</v>
      </c>
      <c r="AB1754" t="s">
        <v>656</v>
      </c>
      <c r="AC1754" t="s">
        <v>657</v>
      </c>
      <c r="AD1754" t="s">
        <v>658</v>
      </c>
      <c r="AE1754" s="7">
        <v>35000</v>
      </c>
      <c r="AF1754" s="7">
        <v>1</v>
      </c>
      <c r="AG1754" s="7">
        <v>35000</v>
      </c>
      <c r="AH1754" s="7">
        <v>0</v>
      </c>
      <c r="AI1754" s="7">
        <v>35000</v>
      </c>
      <c r="AJ1754" t="s">
        <v>657</v>
      </c>
    </row>
    <row r="1755" spans="14:36" x14ac:dyDescent="0.3">
      <c r="N1755" s="8">
        <v>2026</v>
      </c>
      <c r="O1755" s="8">
        <v>4</v>
      </c>
      <c r="P1755" s="9">
        <v>46118</v>
      </c>
      <c r="Q1755" t="s">
        <v>238</v>
      </c>
      <c r="R1755" t="s">
        <v>374</v>
      </c>
      <c r="S1755" t="s">
        <v>375</v>
      </c>
      <c r="T1755" t="s">
        <v>672</v>
      </c>
      <c r="U1755" t="s">
        <v>507</v>
      </c>
      <c r="V1755" t="s">
        <v>246</v>
      </c>
      <c r="W1755" t="s">
        <v>244</v>
      </c>
      <c r="X1755" t="s">
        <v>2484</v>
      </c>
      <c r="Y1755" t="s">
        <v>191</v>
      </c>
      <c r="Z1755" t="s">
        <v>335</v>
      </c>
      <c r="AA1755" t="s">
        <v>336</v>
      </c>
      <c r="AB1755" t="s">
        <v>1146</v>
      </c>
      <c r="AC1755" t="s">
        <v>1147</v>
      </c>
      <c r="AD1755" t="s">
        <v>1148</v>
      </c>
      <c r="AE1755" s="7">
        <v>99000</v>
      </c>
      <c r="AF1755" s="7">
        <v>1</v>
      </c>
      <c r="AG1755" s="7">
        <v>99000</v>
      </c>
      <c r="AH1755" s="7">
        <v>0</v>
      </c>
      <c r="AI1755" s="7">
        <v>99000</v>
      </c>
      <c r="AJ1755" t="s">
        <v>1147</v>
      </c>
    </row>
    <row r="1756" spans="14:36" x14ac:dyDescent="0.3">
      <c r="N1756" s="8">
        <v>2026</v>
      </c>
      <c r="O1756" s="8">
        <v>4</v>
      </c>
      <c r="P1756" s="9">
        <v>46118</v>
      </c>
      <c r="Q1756" t="s">
        <v>238</v>
      </c>
      <c r="R1756" t="s">
        <v>396</v>
      </c>
      <c r="S1756" t="s">
        <v>397</v>
      </c>
      <c r="T1756" t="s">
        <v>1746</v>
      </c>
      <c r="U1756" t="s">
        <v>1747</v>
      </c>
      <c r="V1756" t="s">
        <v>246</v>
      </c>
      <c r="W1756" t="s">
        <v>244</v>
      </c>
      <c r="X1756" t="s">
        <v>2485</v>
      </c>
      <c r="Y1756" t="s">
        <v>191</v>
      </c>
      <c r="Z1756" t="s">
        <v>335</v>
      </c>
      <c r="AA1756" t="s">
        <v>336</v>
      </c>
      <c r="AB1756" t="s">
        <v>1576</v>
      </c>
      <c r="AC1756" t="s">
        <v>1577</v>
      </c>
      <c r="AD1756" t="s">
        <v>1578</v>
      </c>
      <c r="AE1756" s="7">
        <v>47000</v>
      </c>
      <c r="AF1756" s="7">
        <v>2</v>
      </c>
      <c r="AG1756" s="7">
        <v>94000</v>
      </c>
      <c r="AH1756" s="7">
        <v>0</v>
      </c>
      <c r="AI1756" s="7">
        <v>94000</v>
      </c>
      <c r="AJ1756" t="s">
        <v>1577</v>
      </c>
    </row>
    <row r="1757" spans="14:36" x14ac:dyDescent="0.3">
      <c r="N1757" s="8">
        <v>2026</v>
      </c>
      <c r="O1757" s="8">
        <v>4</v>
      </c>
      <c r="P1757" s="9">
        <v>46117</v>
      </c>
      <c r="Q1757" t="s">
        <v>238</v>
      </c>
      <c r="R1757" t="s">
        <v>303</v>
      </c>
      <c r="S1757" t="s">
        <v>304</v>
      </c>
      <c r="T1757" t="s">
        <v>2486</v>
      </c>
      <c r="U1757" t="s">
        <v>353</v>
      </c>
      <c r="V1757" t="s">
        <v>249</v>
      </c>
      <c r="W1757" t="s">
        <v>244</v>
      </c>
      <c r="X1757" t="s">
        <v>2487</v>
      </c>
      <c r="Y1757" t="s">
        <v>191</v>
      </c>
      <c r="Z1757" t="s">
        <v>335</v>
      </c>
      <c r="AA1757" t="s">
        <v>336</v>
      </c>
      <c r="AB1757" t="s">
        <v>1518</v>
      </c>
      <c r="AC1757" t="s">
        <v>1519</v>
      </c>
      <c r="AD1757" t="s">
        <v>1520</v>
      </c>
      <c r="AE1757" s="7">
        <v>99000</v>
      </c>
      <c r="AF1757" s="7">
        <v>1</v>
      </c>
      <c r="AG1757" s="7">
        <v>99000</v>
      </c>
      <c r="AH1757" s="7">
        <v>0</v>
      </c>
      <c r="AI1757" s="7">
        <v>99000</v>
      </c>
      <c r="AJ1757" t="s">
        <v>1519</v>
      </c>
    </row>
    <row r="1758" spans="14:36" x14ac:dyDescent="0.3">
      <c r="N1758" s="8">
        <v>2026</v>
      </c>
      <c r="O1758" s="8">
        <v>4</v>
      </c>
      <c r="P1758" s="9">
        <v>46117</v>
      </c>
      <c r="Q1758" t="s">
        <v>238</v>
      </c>
      <c r="R1758" t="s">
        <v>303</v>
      </c>
      <c r="S1758" t="s">
        <v>304</v>
      </c>
      <c r="T1758" t="s">
        <v>2488</v>
      </c>
      <c r="U1758" t="s">
        <v>2489</v>
      </c>
      <c r="V1758" t="s">
        <v>246</v>
      </c>
      <c r="W1758" t="s">
        <v>244</v>
      </c>
      <c r="X1758" t="s">
        <v>2490</v>
      </c>
      <c r="Y1758" t="s">
        <v>191</v>
      </c>
      <c r="Z1758" t="s">
        <v>335</v>
      </c>
      <c r="AA1758" t="s">
        <v>336</v>
      </c>
      <c r="AB1758" t="s">
        <v>1284</v>
      </c>
      <c r="AC1758" t="s">
        <v>1285</v>
      </c>
      <c r="AD1758" t="s">
        <v>1286</v>
      </c>
      <c r="AE1758" s="7">
        <v>99000</v>
      </c>
      <c r="AF1758" s="7">
        <v>1</v>
      </c>
      <c r="AG1758" s="7">
        <v>99000</v>
      </c>
      <c r="AH1758" s="7">
        <v>0</v>
      </c>
      <c r="AI1758" s="7">
        <v>99000</v>
      </c>
      <c r="AJ1758" t="s">
        <v>1285</v>
      </c>
    </row>
    <row r="1759" spans="14:36" x14ac:dyDescent="0.3">
      <c r="N1759" s="8">
        <v>2026</v>
      </c>
      <c r="O1759" s="8">
        <v>4</v>
      </c>
      <c r="P1759" s="9">
        <v>46117</v>
      </c>
      <c r="Q1759" t="s">
        <v>238</v>
      </c>
      <c r="R1759" t="s">
        <v>374</v>
      </c>
      <c r="S1759" t="s">
        <v>375</v>
      </c>
      <c r="T1759" t="s">
        <v>758</v>
      </c>
      <c r="U1759" t="s">
        <v>759</v>
      </c>
      <c r="V1759" t="s">
        <v>246</v>
      </c>
      <c r="W1759" t="s">
        <v>244</v>
      </c>
      <c r="X1759" t="s">
        <v>2495</v>
      </c>
      <c r="Y1759" t="s">
        <v>191</v>
      </c>
      <c r="Z1759" t="s">
        <v>335</v>
      </c>
      <c r="AA1759" t="s">
        <v>336</v>
      </c>
      <c r="AB1759" t="s">
        <v>1146</v>
      </c>
      <c r="AC1759" t="s">
        <v>1147</v>
      </c>
      <c r="AD1759" t="s">
        <v>1148</v>
      </c>
      <c r="AE1759" s="7">
        <v>99000</v>
      </c>
      <c r="AF1759" s="7">
        <v>2</v>
      </c>
      <c r="AG1759" s="7">
        <v>198000</v>
      </c>
      <c r="AH1759" s="7">
        <v>0</v>
      </c>
      <c r="AI1759" s="7">
        <v>198000</v>
      </c>
      <c r="AJ1759" t="s">
        <v>1147</v>
      </c>
    </row>
    <row r="1760" spans="14:36" x14ac:dyDescent="0.3">
      <c r="N1760" s="8">
        <v>2026</v>
      </c>
      <c r="O1760" s="8">
        <v>4</v>
      </c>
      <c r="P1760" s="9">
        <v>46117</v>
      </c>
      <c r="Q1760" t="s">
        <v>238</v>
      </c>
      <c r="R1760" t="s">
        <v>425</v>
      </c>
      <c r="S1760" t="s">
        <v>426</v>
      </c>
      <c r="T1760" t="s">
        <v>1291</v>
      </c>
      <c r="U1760" t="s">
        <v>3887</v>
      </c>
      <c r="V1760" t="s">
        <v>246</v>
      </c>
      <c r="W1760" t="s">
        <v>244</v>
      </c>
      <c r="X1760" t="s">
        <v>2498</v>
      </c>
      <c r="Y1760" t="s">
        <v>191</v>
      </c>
      <c r="Z1760" t="s">
        <v>335</v>
      </c>
      <c r="AA1760" t="s">
        <v>337</v>
      </c>
      <c r="AB1760" t="s">
        <v>348</v>
      </c>
      <c r="AC1760" t="s">
        <v>349</v>
      </c>
      <c r="AD1760" t="s">
        <v>350</v>
      </c>
      <c r="AE1760" s="7">
        <v>76000</v>
      </c>
      <c r="AF1760" s="7">
        <v>1</v>
      </c>
      <c r="AG1760" s="7">
        <v>76000</v>
      </c>
      <c r="AH1760" s="7">
        <v>0</v>
      </c>
      <c r="AI1760" s="7">
        <v>76000</v>
      </c>
      <c r="AJ1760" t="s">
        <v>349</v>
      </c>
    </row>
    <row r="1761" spans="14:36" x14ac:dyDescent="0.3">
      <c r="N1761" s="8">
        <v>2026</v>
      </c>
      <c r="O1761" s="8">
        <v>4</v>
      </c>
      <c r="P1761" s="9">
        <v>46116</v>
      </c>
      <c r="Q1761" t="s">
        <v>238</v>
      </c>
      <c r="R1761" t="s">
        <v>303</v>
      </c>
      <c r="S1761" t="s">
        <v>304</v>
      </c>
      <c r="T1761" t="s">
        <v>2500</v>
      </c>
      <c r="U1761" t="s">
        <v>548</v>
      </c>
      <c r="V1761" t="s">
        <v>246</v>
      </c>
      <c r="W1761" t="s">
        <v>244</v>
      </c>
      <c r="X1761" t="s">
        <v>2501</v>
      </c>
      <c r="Y1761" t="s">
        <v>191</v>
      </c>
      <c r="Z1761" t="s">
        <v>335</v>
      </c>
      <c r="AA1761" t="s">
        <v>336</v>
      </c>
      <c r="AB1761" t="s">
        <v>606</v>
      </c>
      <c r="AC1761" t="s">
        <v>607</v>
      </c>
      <c r="AD1761" t="s">
        <v>608</v>
      </c>
      <c r="AE1761" s="7">
        <v>105000</v>
      </c>
      <c r="AF1761" s="7">
        <v>1</v>
      </c>
      <c r="AG1761" s="7">
        <v>105000</v>
      </c>
      <c r="AH1761" s="7">
        <v>0</v>
      </c>
      <c r="AI1761" s="7">
        <v>105000</v>
      </c>
      <c r="AJ1761" t="s">
        <v>607</v>
      </c>
    </row>
    <row r="1762" spans="14:36" x14ac:dyDescent="0.3">
      <c r="N1762" s="8">
        <v>2026</v>
      </c>
      <c r="O1762" s="8">
        <v>4</v>
      </c>
      <c r="P1762" s="9">
        <v>46116</v>
      </c>
      <c r="Q1762" t="s">
        <v>238</v>
      </c>
      <c r="R1762" t="s">
        <v>351</v>
      </c>
      <c r="S1762" t="s">
        <v>352</v>
      </c>
      <c r="T1762" t="s">
        <v>1531</v>
      </c>
      <c r="U1762" t="s">
        <v>1532</v>
      </c>
      <c r="V1762" t="s">
        <v>249</v>
      </c>
      <c r="W1762" t="s">
        <v>244</v>
      </c>
      <c r="X1762" t="s">
        <v>2502</v>
      </c>
      <c r="Y1762" t="s">
        <v>191</v>
      </c>
      <c r="Z1762" t="s">
        <v>335</v>
      </c>
      <c r="AA1762" t="s">
        <v>336</v>
      </c>
      <c r="AB1762" t="s">
        <v>1284</v>
      </c>
      <c r="AC1762" t="s">
        <v>1285</v>
      </c>
      <c r="AD1762" t="s">
        <v>1286</v>
      </c>
      <c r="AE1762" s="7">
        <v>99000</v>
      </c>
      <c r="AF1762" s="7">
        <v>1</v>
      </c>
      <c r="AG1762" s="7">
        <v>99000</v>
      </c>
      <c r="AH1762" s="7">
        <v>0</v>
      </c>
      <c r="AI1762" s="7">
        <v>99000</v>
      </c>
      <c r="AJ1762" t="s">
        <v>1285</v>
      </c>
    </row>
    <row r="1763" spans="14:36" x14ac:dyDescent="0.3">
      <c r="N1763" s="8">
        <v>2026</v>
      </c>
      <c r="O1763" s="8">
        <v>4</v>
      </c>
      <c r="P1763" s="9">
        <v>46116</v>
      </c>
      <c r="Q1763" t="s">
        <v>238</v>
      </c>
      <c r="R1763" t="s">
        <v>374</v>
      </c>
      <c r="S1763" t="s">
        <v>375</v>
      </c>
      <c r="T1763" t="s">
        <v>2504</v>
      </c>
      <c r="U1763" t="s">
        <v>2505</v>
      </c>
      <c r="V1763" t="s">
        <v>246</v>
      </c>
      <c r="W1763" t="s">
        <v>244</v>
      </c>
      <c r="X1763" t="s">
        <v>2506</v>
      </c>
      <c r="Y1763" t="s">
        <v>191</v>
      </c>
      <c r="Z1763" t="s">
        <v>335</v>
      </c>
      <c r="AA1763" t="s">
        <v>337</v>
      </c>
      <c r="AB1763" t="s">
        <v>541</v>
      </c>
      <c r="AC1763" t="s">
        <v>542</v>
      </c>
      <c r="AD1763" t="s">
        <v>543</v>
      </c>
      <c r="AE1763" s="7">
        <v>69000</v>
      </c>
      <c r="AF1763" s="7">
        <v>2</v>
      </c>
      <c r="AG1763" s="7">
        <v>138000</v>
      </c>
      <c r="AH1763" s="7">
        <v>0</v>
      </c>
      <c r="AI1763" s="7">
        <v>138000</v>
      </c>
      <c r="AJ1763" t="s">
        <v>542</v>
      </c>
    </row>
    <row r="1764" spans="14:36" x14ac:dyDescent="0.3">
      <c r="N1764" s="8">
        <v>2026</v>
      </c>
      <c r="O1764" s="8">
        <v>4</v>
      </c>
      <c r="P1764" s="9">
        <v>46116</v>
      </c>
      <c r="Q1764" t="s">
        <v>238</v>
      </c>
      <c r="R1764" t="s">
        <v>396</v>
      </c>
      <c r="S1764" t="s">
        <v>397</v>
      </c>
      <c r="T1764" t="s">
        <v>599</v>
      </c>
      <c r="U1764" t="s">
        <v>4125</v>
      </c>
      <c r="V1764" t="s">
        <v>249</v>
      </c>
      <c r="W1764" t="s">
        <v>244</v>
      </c>
      <c r="X1764" t="s">
        <v>2507</v>
      </c>
      <c r="Y1764" t="s">
        <v>191</v>
      </c>
      <c r="Z1764" t="s">
        <v>335</v>
      </c>
      <c r="AA1764" t="s">
        <v>337</v>
      </c>
      <c r="AB1764" t="s">
        <v>656</v>
      </c>
      <c r="AC1764" t="s">
        <v>657</v>
      </c>
      <c r="AD1764" t="s">
        <v>658</v>
      </c>
      <c r="AE1764" s="7">
        <v>35000</v>
      </c>
      <c r="AF1764" s="7">
        <v>1</v>
      </c>
      <c r="AG1764" s="7">
        <v>35000</v>
      </c>
      <c r="AH1764" s="7">
        <v>0</v>
      </c>
      <c r="AI1764" s="7">
        <v>35000</v>
      </c>
      <c r="AJ1764" t="s">
        <v>657</v>
      </c>
    </row>
    <row r="1765" spans="14:36" x14ac:dyDescent="0.3">
      <c r="N1765" s="8">
        <v>2026</v>
      </c>
      <c r="O1765" s="8">
        <v>4</v>
      </c>
      <c r="P1765" s="9">
        <v>46115</v>
      </c>
      <c r="Q1765" t="s">
        <v>238</v>
      </c>
      <c r="R1765" t="s">
        <v>303</v>
      </c>
      <c r="S1765" t="s">
        <v>304</v>
      </c>
      <c r="T1765" t="s">
        <v>305</v>
      </c>
      <c r="U1765" t="s">
        <v>306</v>
      </c>
      <c r="V1765" t="s">
        <v>243</v>
      </c>
      <c r="W1765" t="s">
        <v>244</v>
      </c>
      <c r="X1765" t="s">
        <v>2511</v>
      </c>
      <c r="Y1765" t="s">
        <v>191</v>
      </c>
      <c r="Z1765" t="s">
        <v>335</v>
      </c>
      <c r="AA1765" t="s">
        <v>336</v>
      </c>
      <c r="AB1765" t="s">
        <v>1146</v>
      </c>
      <c r="AC1765" t="s">
        <v>1147</v>
      </c>
      <c r="AD1765" t="s">
        <v>1148</v>
      </c>
      <c r="AE1765" s="7">
        <v>99000</v>
      </c>
      <c r="AF1765" s="7">
        <v>1</v>
      </c>
      <c r="AG1765" s="7">
        <v>99000</v>
      </c>
      <c r="AH1765" s="7">
        <v>0</v>
      </c>
      <c r="AI1765" s="7">
        <v>99000</v>
      </c>
      <c r="AJ1765" t="s">
        <v>1147</v>
      </c>
    </row>
    <row r="1766" spans="14:36" x14ac:dyDescent="0.3">
      <c r="N1766" s="8">
        <v>2026</v>
      </c>
      <c r="O1766" s="8">
        <v>4</v>
      </c>
      <c r="P1766" s="9">
        <v>46115</v>
      </c>
      <c r="Q1766" t="s">
        <v>238</v>
      </c>
      <c r="R1766" t="s">
        <v>303</v>
      </c>
      <c r="S1766" t="s">
        <v>304</v>
      </c>
      <c r="T1766" t="s">
        <v>1164</v>
      </c>
      <c r="U1766" t="s">
        <v>577</v>
      </c>
      <c r="V1766" t="s">
        <v>246</v>
      </c>
      <c r="W1766" t="s">
        <v>244</v>
      </c>
      <c r="X1766" t="s">
        <v>2512</v>
      </c>
      <c r="Y1766" t="s">
        <v>191</v>
      </c>
      <c r="Z1766" t="s">
        <v>335</v>
      </c>
      <c r="AA1766" t="s">
        <v>336</v>
      </c>
      <c r="AB1766" t="s">
        <v>1518</v>
      </c>
      <c r="AC1766" t="s">
        <v>1519</v>
      </c>
      <c r="AD1766" t="s">
        <v>1520</v>
      </c>
      <c r="AE1766" s="7">
        <v>99000</v>
      </c>
      <c r="AF1766" s="7">
        <v>1</v>
      </c>
      <c r="AG1766" s="7">
        <v>99000</v>
      </c>
      <c r="AH1766" s="7">
        <v>0</v>
      </c>
      <c r="AI1766" s="7">
        <v>99000</v>
      </c>
      <c r="AJ1766" t="s">
        <v>1519</v>
      </c>
    </row>
    <row r="1767" spans="14:36" x14ac:dyDescent="0.3">
      <c r="N1767" s="8">
        <v>2026</v>
      </c>
      <c r="O1767" s="8">
        <v>4</v>
      </c>
      <c r="P1767" s="9">
        <v>46115</v>
      </c>
      <c r="Q1767" t="s">
        <v>238</v>
      </c>
      <c r="R1767" t="s">
        <v>351</v>
      </c>
      <c r="S1767" t="s">
        <v>352</v>
      </c>
      <c r="T1767" t="s">
        <v>356</v>
      </c>
      <c r="U1767" t="s">
        <v>357</v>
      </c>
      <c r="V1767" t="s">
        <v>243</v>
      </c>
      <c r="W1767" t="s">
        <v>244</v>
      </c>
      <c r="X1767" t="s">
        <v>2513</v>
      </c>
      <c r="Y1767" t="s">
        <v>191</v>
      </c>
      <c r="Z1767" t="s">
        <v>335</v>
      </c>
      <c r="AA1767" t="s">
        <v>336</v>
      </c>
      <c r="AB1767" t="s">
        <v>606</v>
      </c>
      <c r="AC1767" t="s">
        <v>607</v>
      </c>
      <c r="AD1767" t="s">
        <v>608</v>
      </c>
      <c r="AE1767" s="7">
        <v>105000</v>
      </c>
      <c r="AF1767" s="7">
        <v>1</v>
      </c>
      <c r="AG1767" s="7">
        <v>105000</v>
      </c>
      <c r="AH1767" s="7">
        <v>0</v>
      </c>
      <c r="AI1767" s="7">
        <v>105000</v>
      </c>
      <c r="AJ1767" t="s">
        <v>607</v>
      </c>
    </row>
    <row r="1768" spans="14:36" x14ac:dyDescent="0.3">
      <c r="N1768" s="8">
        <v>2026</v>
      </c>
      <c r="O1768" s="8">
        <v>4</v>
      </c>
      <c r="P1768" s="9">
        <v>46115</v>
      </c>
      <c r="Q1768" t="s">
        <v>238</v>
      </c>
      <c r="R1768" t="s">
        <v>374</v>
      </c>
      <c r="S1768" t="s">
        <v>375</v>
      </c>
      <c r="T1768" t="s">
        <v>709</v>
      </c>
      <c r="U1768" t="s">
        <v>4126</v>
      </c>
      <c r="V1768" t="s">
        <v>246</v>
      </c>
      <c r="W1768" t="s">
        <v>244</v>
      </c>
      <c r="X1768" t="s">
        <v>2514</v>
      </c>
      <c r="Y1768" t="s">
        <v>191</v>
      </c>
      <c r="Z1768" t="s">
        <v>335</v>
      </c>
      <c r="AA1768" t="s">
        <v>336</v>
      </c>
      <c r="AB1768" t="s">
        <v>1146</v>
      </c>
      <c r="AC1768" t="s">
        <v>1147</v>
      </c>
      <c r="AD1768" t="s">
        <v>1148</v>
      </c>
      <c r="AE1768" s="7">
        <v>99000</v>
      </c>
      <c r="AF1768" s="7">
        <v>2</v>
      </c>
      <c r="AG1768" s="7">
        <v>198000</v>
      </c>
      <c r="AH1768" s="7">
        <v>0</v>
      </c>
      <c r="AI1768" s="7">
        <v>198000</v>
      </c>
      <c r="AJ1768" t="s">
        <v>1147</v>
      </c>
    </row>
    <row r="1769" spans="14:36" x14ac:dyDescent="0.3">
      <c r="N1769" s="8">
        <v>2026</v>
      </c>
      <c r="O1769" s="8">
        <v>4</v>
      </c>
      <c r="P1769" s="9">
        <v>46115</v>
      </c>
      <c r="Q1769" t="s">
        <v>238</v>
      </c>
      <c r="R1769" t="s">
        <v>396</v>
      </c>
      <c r="S1769" t="s">
        <v>397</v>
      </c>
      <c r="T1769" t="s">
        <v>2515</v>
      </c>
      <c r="U1769" t="s">
        <v>939</v>
      </c>
      <c r="V1769" t="s">
        <v>246</v>
      </c>
      <c r="W1769" t="s">
        <v>244</v>
      </c>
      <c r="X1769" t="s">
        <v>2516</v>
      </c>
      <c r="Y1769" t="s">
        <v>191</v>
      </c>
      <c r="Z1769" t="s">
        <v>335</v>
      </c>
      <c r="AA1769" t="s">
        <v>336</v>
      </c>
      <c r="AB1769" t="s">
        <v>1518</v>
      </c>
      <c r="AC1769" t="s">
        <v>1519</v>
      </c>
      <c r="AD1769" t="s">
        <v>1520</v>
      </c>
      <c r="AE1769" s="7">
        <v>99000</v>
      </c>
      <c r="AF1769" s="7">
        <v>1</v>
      </c>
      <c r="AG1769" s="7">
        <v>99000</v>
      </c>
      <c r="AH1769" s="7">
        <v>0</v>
      </c>
      <c r="AI1769" s="7">
        <v>99000</v>
      </c>
      <c r="AJ1769" t="s">
        <v>1519</v>
      </c>
    </row>
    <row r="1770" spans="14:36" x14ac:dyDescent="0.3">
      <c r="N1770" s="8">
        <v>2026</v>
      </c>
      <c r="O1770" s="8">
        <v>4</v>
      </c>
      <c r="P1770" s="9">
        <v>46115</v>
      </c>
      <c r="Q1770" t="s">
        <v>238</v>
      </c>
      <c r="R1770" t="s">
        <v>396</v>
      </c>
      <c r="S1770" t="s">
        <v>397</v>
      </c>
      <c r="T1770" t="s">
        <v>2517</v>
      </c>
      <c r="U1770" t="s">
        <v>590</v>
      </c>
      <c r="V1770" t="s">
        <v>246</v>
      </c>
      <c r="W1770" t="s">
        <v>244</v>
      </c>
      <c r="X1770" t="s">
        <v>2518</v>
      </c>
      <c r="Y1770" t="s">
        <v>191</v>
      </c>
      <c r="Z1770" t="s">
        <v>335</v>
      </c>
      <c r="AA1770" t="s">
        <v>336</v>
      </c>
      <c r="AB1770" t="s">
        <v>1518</v>
      </c>
      <c r="AC1770" t="s">
        <v>1519</v>
      </c>
      <c r="AD1770" t="s">
        <v>1520</v>
      </c>
      <c r="AE1770" s="7">
        <v>99000</v>
      </c>
      <c r="AF1770" s="7">
        <v>1</v>
      </c>
      <c r="AG1770" s="7">
        <v>99000</v>
      </c>
      <c r="AH1770" s="7">
        <v>0</v>
      </c>
      <c r="AI1770" s="7">
        <v>99000</v>
      </c>
      <c r="AJ1770" t="s">
        <v>1519</v>
      </c>
    </row>
    <row r="1771" spans="14:36" x14ac:dyDescent="0.3">
      <c r="N1771" s="8">
        <v>2026</v>
      </c>
      <c r="O1771" s="8">
        <v>4</v>
      </c>
      <c r="P1771" s="9">
        <v>46114</v>
      </c>
      <c r="Q1771" t="s">
        <v>238</v>
      </c>
      <c r="R1771" t="s">
        <v>239</v>
      </c>
      <c r="S1771" t="s">
        <v>240</v>
      </c>
      <c r="T1771" t="s">
        <v>2521</v>
      </c>
      <c r="U1771" t="s">
        <v>2522</v>
      </c>
      <c r="V1771" t="s">
        <v>246</v>
      </c>
      <c r="W1771" t="s">
        <v>244</v>
      </c>
      <c r="X1771" t="s">
        <v>2523</v>
      </c>
      <c r="Y1771" t="s">
        <v>191</v>
      </c>
      <c r="Z1771" t="s">
        <v>335</v>
      </c>
      <c r="AA1771" t="s">
        <v>337</v>
      </c>
      <c r="AB1771" t="s">
        <v>656</v>
      </c>
      <c r="AC1771" t="s">
        <v>657</v>
      </c>
      <c r="AD1771" t="s">
        <v>658</v>
      </c>
      <c r="AE1771" s="7">
        <v>35000</v>
      </c>
      <c r="AF1771" s="7">
        <v>1</v>
      </c>
      <c r="AG1771" s="7">
        <v>35000</v>
      </c>
      <c r="AH1771" s="7">
        <v>0</v>
      </c>
      <c r="AI1771" s="7">
        <v>35000</v>
      </c>
      <c r="AJ1771" t="s">
        <v>657</v>
      </c>
    </row>
    <row r="1772" spans="14:36" x14ac:dyDescent="0.3">
      <c r="N1772" s="8">
        <v>2026</v>
      </c>
      <c r="O1772" s="8">
        <v>4</v>
      </c>
      <c r="P1772" s="9">
        <v>46114</v>
      </c>
      <c r="Q1772" t="s">
        <v>238</v>
      </c>
      <c r="R1772" t="s">
        <v>239</v>
      </c>
      <c r="S1772" t="s">
        <v>240</v>
      </c>
      <c r="T1772" t="s">
        <v>733</v>
      </c>
      <c r="U1772" t="s">
        <v>734</v>
      </c>
      <c r="V1772" t="s">
        <v>246</v>
      </c>
      <c r="W1772" t="s">
        <v>244</v>
      </c>
      <c r="X1772" t="s">
        <v>2509</v>
      </c>
      <c r="Y1772" t="s">
        <v>191</v>
      </c>
      <c r="Z1772" t="s">
        <v>335</v>
      </c>
      <c r="AA1772" t="s">
        <v>337</v>
      </c>
      <c r="AB1772" t="s">
        <v>348</v>
      </c>
      <c r="AC1772" t="s">
        <v>349</v>
      </c>
      <c r="AD1772" t="s">
        <v>350</v>
      </c>
      <c r="AE1772" s="7">
        <v>76000</v>
      </c>
      <c r="AF1772" s="7">
        <v>1</v>
      </c>
      <c r="AG1772" s="7">
        <v>76000</v>
      </c>
      <c r="AH1772" s="7">
        <v>0</v>
      </c>
      <c r="AI1772" s="7">
        <v>76000</v>
      </c>
      <c r="AJ1772" t="s">
        <v>349</v>
      </c>
    </row>
    <row r="1773" spans="14:36" x14ac:dyDescent="0.3">
      <c r="N1773" s="8">
        <v>2026</v>
      </c>
      <c r="O1773" s="8">
        <v>4</v>
      </c>
      <c r="P1773" s="9">
        <v>46114</v>
      </c>
      <c r="Q1773" t="s">
        <v>238</v>
      </c>
      <c r="R1773" t="s">
        <v>303</v>
      </c>
      <c r="S1773" t="s">
        <v>304</v>
      </c>
      <c r="T1773" t="s">
        <v>2527</v>
      </c>
      <c r="U1773" t="s">
        <v>4127</v>
      </c>
      <c r="V1773" t="s">
        <v>249</v>
      </c>
      <c r="W1773" t="s">
        <v>244</v>
      </c>
      <c r="X1773" t="s">
        <v>2528</v>
      </c>
      <c r="Y1773" t="s">
        <v>191</v>
      </c>
      <c r="Z1773" t="s">
        <v>335</v>
      </c>
      <c r="AA1773" t="s">
        <v>336</v>
      </c>
      <c r="AB1773" t="s">
        <v>606</v>
      </c>
      <c r="AC1773" t="s">
        <v>607</v>
      </c>
      <c r="AD1773" t="s">
        <v>608</v>
      </c>
      <c r="AE1773" s="7">
        <v>105000</v>
      </c>
      <c r="AF1773" s="7">
        <v>1</v>
      </c>
      <c r="AG1773" s="7">
        <v>105000</v>
      </c>
      <c r="AH1773" s="7">
        <v>0</v>
      </c>
      <c r="AI1773" s="7">
        <v>105000</v>
      </c>
      <c r="AJ1773" t="s">
        <v>607</v>
      </c>
    </row>
    <row r="1774" spans="14:36" x14ac:dyDescent="0.3">
      <c r="N1774" s="8">
        <v>2026</v>
      </c>
      <c r="O1774" s="8">
        <v>4</v>
      </c>
      <c r="P1774" s="9">
        <v>46114</v>
      </c>
      <c r="Q1774" t="s">
        <v>238</v>
      </c>
      <c r="R1774" t="s">
        <v>303</v>
      </c>
      <c r="S1774" t="s">
        <v>304</v>
      </c>
      <c r="T1774" t="s">
        <v>2529</v>
      </c>
      <c r="U1774" t="s">
        <v>2530</v>
      </c>
      <c r="V1774" t="s">
        <v>246</v>
      </c>
      <c r="W1774" t="s">
        <v>244</v>
      </c>
      <c r="X1774" t="s">
        <v>2531</v>
      </c>
      <c r="Y1774" t="s">
        <v>191</v>
      </c>
      <c r="Z1774" t="s">
        <v>335</v>
      </c>
      <c r="AA1774" t="s">
        <v>336</v>
      </c>
      <c r="AB1774" t="s">
        <v>1146</v>
      </c>
      <c r="AC1774" t="s">
        <v>1147</v>
      </c>
      <c r="AD1774" t="s">
        <v>1148</v>
      </c>
      <c r="AE1774" s="7">
        <v>99000</v>
      </c>
      <c r="AF1774" s="7">
        <v>1</v>
      </c>
      <c r="AG1774" s="7">
        <v>99000</v>
      </c>
      <c r="AH1774" s="7">
        <v>0</v>
      </c>
      <c r="AI1774" s="7">
        <v>99000</v>
      </c>
      <c r="AJ1774" t="s">
        <v>1147</v>
      </c>
    </row>
    <row r="1775" spans="14:36" x14ac:dyDescent="0.3">
      <c r="N1775" s="8">
        <v>2026</v>
      </c>
      <c r="O1775" s="8">
        <v>4</v>
      </c>
      <c r="P1775" s="9">
        <v>46114</v>
      </c>
      <c r="Q1775" t="s">
        <v>238</v>
      </c>
      <c r="R1775" t="s">
        <v>303</v>
      </c>
      <c r="S1775" t="s">
        <v>304</v>
      </c>
      <c r="T1775" t="s">
        <v>1704</v>
      </c>
      <c r="U1775" t="s">
        <v>1705</v>
      </c>
      <c r="V1775" t="s">
        <v>246</v>
      </c>
      <c r="W1775" t="s">
        <v>244</v>
      </c>
      <c r="X1775" t="s">
        <v>2532</v>
      </c>
      <c r="Y1775" t="s">
        <v>191</v>
      </c>
      <c r="Z1775" t="s">
        <v>335</v>
      </c>
      <c r="AA1775" t="s">
        <v>337</v>
      </c>
      <c r="AB1775" t="s">
        <v>864</v>
      </c>
      <c r="AC1775" t="s">
        <v>865</v>
      </c>
      <c r="AD1775" t="s">
        <v>866</v>
      </c>
      <c r="AE1775" s="7">
        <v>139000</v>
      </c>
      <c r="AF1775" s="7">
        <v>1</v>
      </c>
      <c r="AG1775" s="7">
        <v>139000</v>
      </c>
      <c r="AH1775" s="7">
        <v>0</v>
      </c>
      <c r="AI1775" s="7">
        <v>139000</v>
      </c>
      <c r="AJ1775" t="s">
        <v>865</v>
      </c>
    </row>
    <row r="1776" spans="14:36" x14ac:dyDescent="0.3">
      <c r="N1776" s="8">
        <v>2026</v>
      </c>
      <c r="O1776" s="8">
        <v>4</v>
      </c>
      <c r="P1776" s="9">
        <v>46114</v>
      </c>
      <c r="Q1776" t="s">
        <v>238</v>
      </c>
      <c r="R1776" t="s">
        <v>374</v>
      </c>
      <c r="S1776" t="s">
        <v>375</v>
      </c>
      <c r="T1776" t="s">
        <v>376</v>
      </c>
      <c r="U1776" t="s">
        <v>377</v>
      </c>
      <c r="V1776" t="s">
        <v>243</v>
      </c>
      <c r="W1776" t="s">
        <v>244</v>
      </c>
      <c r="X1776" t="s">
        <v>2533</v>
      </c>
      <c r="Y1776" t="s">
        <v>191</v>
      </c>
      <c r="Z1776" t="s">
        <v>335</v>
      </c>
      <c r="AA1776" t="s">
        <v>336</v>
      </c>
      <c r="AB1776" t="s">
        <v>1146</v>
      </c>
      <c r="AC1776" t="s">
        <v>1147</v>
      </c>
      <c r="AD1776" t="s">
        <v>1148</v>
      </c>
      <c r="AE1776" s="7">
        <v>99000</v>
      </c>
      <c r="AF1776" s="7">
        <v>2</v>
      </c>
      <c r="AG1776" s="7">
        <v>198000</v>
      </c>
      <c r="AH1776" s="7">
        <v>0</v>
      </c>
      <c r="AI1776" s="7">
        <v>198000</v>
      </c>
      <c r="AJ1776" t="s">
        <v>1147</v>
      </c>
    </row>
    <row r="1777" spans="14:36" x14ac:dyDescent="0.3">
      <c r="N1777" s="8">
        <v>2026</v>
      </c>
      <c r="O1777" s="8">
        <v>4</v>
      </c>
      <c r="P1777" s="9">
        <v>46114</v>
      </c>
      <c r="Q1777" t="s">
        <v>238</v>
      </c>
      <c r="R1777" t="s">
        <v>374</v>
      </c>
      <c r="S1777" t="s">
        <v>375</v>
      </c>
      <c r="T1777" t="s">
        <v>1042</v>
      </c>
      <c r="U1777" t="s">
        <v>1043</v>
      </c>
      <c r="V1777" t="s">
        <v>246</v>
      </c>
      <c r="W1777" t="s">
        <v>244</v>
      </c>
      <c r="X1777" t="s">
        <v>2534</v>
      </c>
      <c r="Y1777" t="s">
        <v>191</v>
      </c>
      <c r="Z1777" t="s">
        <v>335</v>
      </c>
      <c r="AA1777" t="s">
        <v>337</v>
      </c>
      <c r="AB1777" t="s">
        <v>348</v>
      </c>
      <c r="AC1777" t="s">
        <v>349</v>
      </c>
      <c r="AD1777" t="s">
        <v>350</v>
      </c>
      <c r="AE1777" s="7">
        <v>76000</v>
      </c>
      <c r="AF1777" s="7">
        <v>1</v>
      </c>
      <c r="AG1777" s="7">
        <v>76000</v>
      </c>
      <c r="AH1777" s="7">
        <v>0</v>
      </c>
      <c r="AI1777" s="7">
        <v>76000</v>
      </c>
      <c r="AJ1777" t="s">
        <v>349</v>
      </c>
    </row>
    <row r="1778" spans="14:36" x14ac:dyDescent="0.3">
      <c r="N1778" s="8">
        <v>2026</v>
      </c>
      <c r="O1778" s="8">
        <v>4</v>
      </c>
      <c r="P1778" s="9">
        <v>46113</v>
      </c>
      <c r="Q1778" t="s">
        <v>238</v>
      </c>
      <c r="R1778" t="s">
        <v>303</v>
      </c>
      <c r="S1778" t="s">
        <v>304</v>
      </c>
      <c r="T1778" t="s">
        <v>2537</v>
      </c>
      <c r="U1778" t="s">
        <v>2538</v>
      </c>
      <c r="V1778" t="s">
        <v>246</v>
      </c>
      <c r="W1778" t="s">
        <v>244</v>
      </c>
      <c r="X1778" t="s">
        <v>2539</v>
      </c>
      <c r="Y1778" t="s">
        <v>191</v>
      </c>
      <c r="Z1778" t="s">
        <v>335</v>
      </c>
      <c r="AA1778" t="s">
        <v>336</v>
      </c>
      <c r="AB1778" t="s">
        <v>1284</v>
      </c>
      <c r="AC1778" t="s">
        <v>1285</v>
      </c>
      <c r="AD1778" t="s">
        <v>1286</v>
      </c>
      <c r="AE1778" s="7">
        <v>99000</v>
      </c>
      <c r="AF1778" s="7">
        <v>1</v>
      </c>
      <c r="AG1778" s="7">
        <v>99000</v>
      </c>
      <c r="AH1778" s="7">
        <v>0</v>
      </c>
      <c r="AI1778" s="7">
        <v>99000</v>
      </c>
      <c r="AJ1778" t="s">
        <v>1285</v>
      </c>
    </row>
    <row r="1779" spans="14:36" x14ac:dyDescent="0.3">
      <c r="N1779" s="8">
        <v>2026</v>
      </c>
      <c r="O1779" s="8">
        <v>4</v>
      </c>
      <c r="P1779" s="9">
        <v>46113</v>
      </c>
      <c r="Q1779" t="s">
        <v>238</v>
      </c>
      <c r="R1779" t="s">
        <v>425</v>
      </c>
      <c r="S1779" t="s">
        <v>426</v>
      </c>
      <c r="T1779" t="s">
        <v>2542</v>
      </c>
      <c r="U1779" t="s">
        <v>993</v>
      </c>
      <c r="V1779" t="s">
        <v>249</v>
      </c>
      <c r="W1779" t="s">
        <v>244</v>
      </c>
      <c r="X1779" t="s">
        <v>2543</v>
      </c>
      <c r="Y1779" t="s">
        <v>191</v>
      </c>
      <c r="Z1779" t="s">
        <v>335</v>
      </c>
      <c r="AA1779" t="s">
        <v>337</v>
      </c>
      <c r="AB1779" t="s">
        <v>719</v>
      </c>
      <c r="AC1779" t="s">
        <v>720</v>
      </c>
      <c r="AD1779" t="s">
        <v>721</v>
      </c>
      <c r="AE1779" s="7">
        <v>104000</v>
      </c>
      <c r="AF1779" s="7">
        <v>1</v>
      </c>
      <c r="AG1779" s="7">
        <v>104000</v>
      </c>
      <c r="AH1779" s="7">
        <v>0</v>
      </c>
      <c r="AI1779" s="7">
        <v>104000</v>
      </c>
      <c r="AJ1779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mã hàng mới khai tác</vt:lpstr>
      <vt:lpstr>Tồn kho đến ngày 17.07.26</vt:lpstr>
      <vt:lpstr>Báo cáo bán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Thị Thùy</dc:creator>
  <cp:lastModifiedBy>Lương Thị Thùy</cp:lastModifiedBy>
  <dcterms:created xsi:type="dcterms:W3CDTF">2026-07-09T04:30:03Z</dcterms:created>
  <dcterms:modified xsi:type="dcterms:W3CDTF">2026-07-17T04:08:45Z</dcterms:modified>
</cp:coreProperties>
</file>