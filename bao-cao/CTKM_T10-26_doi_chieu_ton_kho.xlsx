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heo CTKM" sheetId="2" state="visible" r:id="rId4"/>
    <sheet name="Cần điều chuyển" sheetId="3" state="visible" r:id="rId5"/>
    <sheet name="Ma trận phủ CH" sheetId="4" state="visible" r:id="rId6"/>
    <sheet name="SKU KM hết hàng" sheetId="5" state="visible" r:id="rId7"/>
    <sheet name="Rủi ro biên FC" sheetId="6" state="visible" r:id="rId8"/>
    <sheet name="Lỗi dữ liệu tồn" sheetId="7" state="visible" r:id="rId9"/>
    <sheet name="Chi tiết SKU" sheetId="8" state="visible" r:id="rId10"/>
  </sheets>
  <definedNames>
    <definedName function="false" hidden="true" localSheetId="2" name="_xlnm._FilterDatabase" vbProcedure="false">'Cần điều chuyển'!$A$3:$J$135</definedName>
    <definedName function="false" hidden="true" localSheetId="7" name="_xlnm._FilterDatabase" vbProcedure="false">'Chi tiết SKU'!$A$1:$V$1253</definedName>
    <definedName function="false" hidden="true" localSheetId="5" name="_xlnm._FilterDatabase" vbProcedure="false">'Rủi ro biên FC'!$A$3:$K$123</definedName>
    <definedName function="false" hidden="true" localSheetId="4" name="_xlnm._FilterDatabase" vbProcedure="false">'SKU KM hết hàng'!$A$1:$G$188</definedName>
    <definedName function="false" hidden="true" localSheetId="1" name="_xlnm._FilterDatabase" vbProcedure="false">'Theo CTKM'!$A$4:$N$104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<sst xmlns="http://schemas.openxmlformats.org/spreadsheetml/2006/main" count="14270" uniqueCount="1671">
  <si>
    <t xml:space="preserve">CTKM FULL THÁNG 10/2026 × TỒN KHO 06/10/2026 – TỔNG QUAN NGÀNH HÀNG</t>
  </si>
  <si>
    <t xml:space="preserve">Nguồn: file "CTKM tháng 10.26 và tồn kho 05.10.26" (sheet CTKM T10.26 + Tồn kho 06.10.26). GT tồn tính theo giá KM (nếu trống giá KM: giá BL × (1-%giảm)). Tồn âm tính = 0. Kho LTT = Kho Lê Trọng Tấn (W1099); Kho FC = Kho Franchise_LTTAN (W1082).</t>
  </si>
  <si>
    <t xml:space="preserve">Số SKU tham gia CTKM</t>
  </si>
  <si>
    <t xml:space="preserve">SKU hết hàng toàn hệ thống</t>
  </si>
  <si>
    <t xml:space="preserve">% SKU hết hàng</t>
  </si>
  <si>
    <t xml:space="preserve">Tồn tại CH (sp)</t>
  </si>
  <si>
    <t xml:space="preserve">Tồn Kho LTT (sp)</t>
  </si>
  <si>
    <t xml:space="preserve">Tồn Kho FC (sp)</t>
  </si>
  <si>
    <t xml:space="preserve">GT tồn HT theo giá KM (tỷ đ)</t>
  </si>
  <si>
    <t xml:space="preserve">…trong đó 1 SKU Thanh massage Stella (tỷ đ)</t>
  </si>
  <si>
    <t xml:space="preserve">Ngành hàng</t>
  </si>
  <si>
    <t xml:space="preserve">Số SKU KM</t>
  </si>
  <si>
    <t xml:space="preserve">SKU hết hàng</t>
  </si>
  <si>
    <t xml:space="preserve">% hết</t>
  </si>
  <si>
    <t xml:space="preserve">Tồn CH</t>
  </si>
  <si>
    <t xml:space="preserve">Kho LTT</t>
  </si>
  <si>
    <t xml:space="preserve">Kho FC</t>
  </si>
  <si>
    <t xml:space="preserve">GT tồn giá KM (tr.đ)</t>
  </si>
  <si>
    <t xml:space="preserve">% GT</t>
  </si>
  <si>
    <t xml:space="preserve">Phủ TB (CH/SKU)</t>
  </si>
  <si>
    <t xml:space="preserve">CHĂM SÓC SẮC ĐẸP</t>
  </si>
  <si>
    <t xml:space="preserve">CHĂM SÓC SỨC KHỎE</t>
  </si>
  <si>
    <t xml:space="preserve">NHÀ CỬA ĐỜI SỐNG</t>
  </si>
  <si>
    <t xml:space="preserve">THỜI TRANG</t>
  </si>
  <si>
    <t xml:space="preserve">BỈM</t>
  </si>
  <si>
    <t xml:space="preserve">CHĂM SÓC HÀNG NGÀY</t>
  </si>
  <si>
    <t xml:space="preserve">THỰC PHẨM</t>
  </si>
  <si>
    <t xml:space="preserve">BÁNH NGỌT - TRÁNG MIỆNG</t>
  </si>
  <si>
    <t xml:space="preserve">ĐỒ CHO MẸ BÉ</t>
  </si>
  <si>
    <t xml:space="preserve">HÀNG ĐÔNG LẠNH</t>
  </si>
  <si>
    <t xml:space="preserve">THỰC PHẨM FRESH</t>
  </si>
  <si>
    <t xml:space="preserve">ĐỒ UỐNG</t>
  </si>
  <si>
    <t xml:space="preserve">TỔNG</t>
  </si>
  <si>
    <t xml:space="preserve">CTKM T10/26 – ĐỐI CHIẾU TỒN KHO 06/10 THEO TỪNG CHƯƠNG TRÌNH</t>
  </si>
  <si>
    <t xml:space="preserve">Ngưỡng</t>
  </si>
  <si>
    <t xml:space="preserve">Cờ tự tính: CHẾT (≥80% SKU hết hàng) → ĐẨY XUỐNG CH (Kho LTT ≥200 và ≥ tồn CH) → PHỦ MỎNG (TB &lt; 8 CH có hàng/SKU) → OK. Ngưỡng ở ô bên phải, sửa được.</t>
  </si>
  <si>
    <t xml:space="preserve">% SKU hết → CHẾT</t>
  </si>
  <si>
    <t xml:space="preserve">Kho LTT tối thiểu → ĐẨY</t>
  </si>
  <si>
    <t xml:space="preserve">Mã CT</t>
  </si>
  <si>
    <t xml:space="preserve">Nội dung CTKM</t>
  </si>
  <si>
    <t xml:space="preserve">Hình thức</t>
  </si>
  <si>
    <t xml:space="preserve">Số SKU</t>
  </si>
  <si>
    <t xml:space="preserve">SKU hết hàng HT</t>
  </si>
  <si>
    <t xml:space="preserve">GT tồn giá KM (đ)</t>
  </si>
  <si>
    <t xml:space="preserve">Phủ TB (số CH/SKU)</t>
  </si>
  <si>
    <t xml:space="preserve">% giảm (trung vị)</t>
  </si>
  <si>
    <t xml:space="preserve">Cờ</t>
  </si>
  <si>
    <t xml:space="preserve">Hành động đề xuất</t>
  </si>
  <si>
    <t xml:space="preserve">Phủ CH TB → MỎNG</t>
  </si>
  <si>
    <t xml:space="preserve">CT001</t>
  </si>
  <si>
    <t xml:space="preserve">Thời trang Nishimatsuya mùa đông giảm ngay 20%</t>
  </si>
  <si>
    <t xml:space="preserve">Discount</t>
  </si>
  <si>
    <t xml:space="preserve">Mùa lạnh bắt đầu cuối T10: đẩy ngay kho LTT xuống CH (ưu tiên CH khu dân cư/trẻ em), trưng bày mặt tiền từ 15/10.</t>
  </si>
  <si>
    <t xml:space="preserve">CT017</t>
  </si>
  <si>
    <t xml:space="preserve">Thanh Massage giá 6500k -&gt; 1199K (tặng ngay serum retinol 230689) trị giá 350K</t>
  </si>
  <si>
    <t xml:space="preserve">Mua hàng tặng hàng</t>
  </si>
  <si>
    <t xml:space="preserve">Kho LTT còn 2,324 &gt; tồn CH 221: lệnh điều chuyển bổ sung xuống CH trong tuần này, nhất là CH đang 0.</t>
  </si>
  <si>
    <t xml:space="preserve">CT010</t>
  </si>
  <si>
    <t xml:space="preserve">Gia dụng KAIYO đồng giảm 10%</t>
  </si>
  <si>
    <t xml:space="preserve">Long-tail nhiều SKU, phủ thấp: chọn top 20 SKU bán chạy làm đảo/kệ đầu; còn lại giữ kệ thường + tag giảm 10%.</t>
  </si>
  <si>
    <t xml:space="preserve">CT043</t>
  </si>
  <si>
    <t xml:space="preserve">TPCN NMN Ikimoto giá 4500k-&gt;2999K, mua 2 tặng 1 . Mua bất kì SL được tặng ngay 1 túi thương hiệu Ikomoto</t>
  </si>
  <si>
    <t xml:space="preserve">Combo</t>
  </si>
  <si>
    <t xml:space="preserve">Kho LTT còn 560 &gt; tồn CH 242: lệnh điều chuyển bổ sung xuống CH trong tuần này, nhất là CH đang 0.</t>
  </si>
  <si>
    <t xml:space="preserve">CT006</t>
  </si>
  <si>
    <t xml:space="preserve">Bỉm Anyzoo giảm 15K/bịch, mua từ 2 giảm 40K/bịch</t>
  </si>
  <si>
    <t xml:space="preserve">Mua càng nhiều giá càng rẻ</t>
  </si>
  <si>
    <t xml:space="preserve">Kho LTT còn 2,776 &gt; tồn CH 2,329: lệnh điều chuyển bổ sung xuống CH trong tuần này, nhất là CH đang 0.</t>
  </si>
  <si>
    <t xml:space="preserve">CT002</t>
  </si>
  <si>
    <t xml:space="preserve">10%</t>
  </si>
  <si>
    <t xml:space="preserve">Đủ hàng: tập trung trưng bày + kịch bản tư vấn, theo dõi sell-out tuần.</t>
  </si>
  <si>
    <t xml:space="preserve">CT057</t>
  </si>
  <si>
    <t xml:space="preserve">Giảm ngay 200K khi mua Collagen 82X</t>
  </si>
  <si>
    <t xml:space="preserve">CT004</t>
  </si>
  <si>
    <t xml:space="preserve">Nước rửa bát 1250ml giá 188k-&gt;159K</t>
  </si>
  <si>
    <t xml:space="preserve">CT007</t>
  </si>
  <si>
    <t xml:space="preserve">Gia dụng KAI đồng giảm 10%</t>
  </si>
  <si>
    <t xml:space="preserve">CT012</t>
  </si>
  <si>
    <t xml:space="preserve">Giảm ngay 20K khi mua trang điểm mắt Kissme</t>
  </si>
  <si>
    <t xml:space="preserve">CT052</t>
  </si>
  <si>
    <t xml:space="preserve">Giảm ngay 50K khi mua bổ gan Zeria</t>
  </si>
  <si>
    <t xml:space="preserve">CT016</t>
  </si>
  <si>
    <t xml:space="preserve">Bỉm Merries mua 1 giảm 40K, mua từ 2 giảm 60k/bịch</t>
  </si>
  <si>
    <t xml:space="preserve">CT085</t>
  </si>
  <si>
    <t xml:space="preserve">NMN giảm giá 10%</t>
  </si>
  <si>
    <t xml:space="preserve">CT058</t>
  </si>
  <si>
    <t xml:space="preserve">Giảm 20% Collagen Nucos</t>
  </si>
  <si>
    <t xml:space="preserve">CT063</t>
  </si>
  <si>
    <t xml:space="preserve">Giảm ngay 250K khi mua giày cao cấp Nhật Bản</t>
  </si>
  <si>
    <t xml:space="preserve">350 SKU nhưng chỉ ~441 đôi rải rác (phủ 0.8 CH/SKU). Gom về 3–5 CH lớn làm "góc giày cao cấp", không trải toàn chuỗi.</t>
  </si>
  <si>
    <t xml:space="preserve">CT051</t>
  </si>
  <si>
    <t xml:space="preserve">Giảm ngay 50K khi mua Black Mores</t>
  </si>
  <si>
    <t xml:space="preserve">CT023</t>
  </si>
  <si>
    <t xml:space="preserve">Combo gội +xả tặng sữa tắm hương cam quýt hoặc hương trái cây hoặc dầu gội khô(101992 hoặc 101990 hoặc 102213)</t>
  </si>
  <si>
    <t xml:space="preserve">Xả cuối vụ: dồn hàng về CH bán tốt, bàn/thùng đồng giá ở lối vào; KPI sell-through ≥70% đến 31/10.</t>
  </si>
  <si>
    <t xml:space="preserve">CT025</t>
  </si>
  <si>
    <t xml:space="preserve">Giảm ngay 30K khi mua mỹ phẩm Cezanne</t>
  </si>
  <si>
    <t xml:space="preserve">CT005</t>
  </si>
  <si>
    <t xml:space="preserve">Kem đồng giảm 8%</t>
  </si>
  <si>
    <t xml:space="preserve">Phủ mỏng: xác định CH bán được (top 8–10) và dồn hàng, tránh để 1–2 sp/CH không đủ trưng bày.</t>
  </si>
  <si>
    <t xml:space="preserve">CT031</t>
  </si>
  <si>
    <t xml:space="preserve">Mì chính 1kg giá 225K-&gt;209K</t>
  </si>
  <si>
    <t xml:space="preserve">CT018</t>
  </si>
  <si>
    <t xml:space="preserve">Thịt bò Sakura Beef mua 3 tặng 1, mua 5 tặng 2 (đồng thời tặng kèm 1 túi giữ nhiệt)</t>
  </si>
  <si>
    <t xml:space="preserve">CT053</t>
  </si>
  <si>
    <t xml:space="preserve">Collagen Alfe mua 1 giảm 10%, mua từ 3 giảm 20%</t>
  </si>
  <si>
    <t xml:space="preserve">CT011</t>
  </si>
  <si>
    <t xml:space="preserve">Phomai QBB giá 85K-&gt;75K</t>
  </si>
  <si>
    <t xml:space="preserve">CT020</t>
  </si>
  <si>
    <t xml:space="preserve">Combo Gội xả Hatomugi giá 330K chỉ còn 239K</t>
  </si>
  <si>
    <t xml:space="preserve">CT036</t>
  </si>
  <si>
    <t xml:space="preserve">Thuốc nhộm Hoyu giá 285k-&gt;259k</t>
  </si>
  <si>
    <t xml:space="preserve">CT029</t>
  </si>
  <si>
    <t xml:space="preserve">Ngũ cốc Calbee giá 205K-&gt;169K</t>
  </si>
  <si>
    <t xml:space="preserve">CT071</t>
  </si>
  <si>
    <t xml:space="preserve">Giảm ngay 100k khi mua mĩ phẩm cao cấp ATTENIR</t>
  </si>
  <si>
    <t xml:space="preserve">CT015</t>
  </si>
  <si>
    <t xml:space="preserve">Giảm ngay 15K khi mua băng vệ sinh Kleannara</t>
  </si>
  <si>
    <t xml:space="preserve">CT008</t>
  </si>
  <si>
    <t xml:space="preserve">KĐR White&amp;White, muối mua 3 tặng 1</t>
  </si>
  <si>
    <t xml:space="preserve">CT070</t>
  </si>
  <si>
    <t xml:space="preserve">Men vi sinh đồng giảm 10%</t>
  </si>
  <si>
    <t xml:space="preserve">CT021</t>
  </si>
  <si>
    <t xml:space="preserve">Mua giấy ăn cao cấp được tặng ngay 1 combo ( chai nước rửa chén Rocket (133600) + hút ẩm (131099) )trị giá 90K</t>
  </si>
  <si>
    <t xml:space="preserve">Kho LTT còn 1,360 &gt; tồn CH 775: lệnh điều chuyển bổ sung xuống CH trong tuần này, nhất là CH đang 0.</t>
  </si>
  <si>
    <t xml:space="preserve">CT009</t>
  </si>
  <si>
    <t xml:space="preserve">Tăm chỉ nha khoa mua 2 tặng 1</t>
  </si>
  <si>
    <t xml:space="preserve">CT060</t>
  </si>
  <si>
    <t xml:space="preserve">Tẩy trang Curel 200ml giá 450K-&gt;399K</t>
  </si>
  <si>
    <t xml:space="preserve">CT055</t>
  </si>
  <si>
    <t xml:space="preserve">COMBO 4: CHỐNG LÃO HÓA CHUYÊN SÂU
Lotion + Tinh chất + Gel dưỡng 1355K được tặng ngay 1 Kem giảm thâm mắt trị giá 365k</t>
  </si>
  <si>
    <t xml:space="preserve">CT048</t>
  </si>
  <si>
    <t xml:space="preserve">Hạt nêm Youki giá 330K-&gt;299K</t>
  </si>
  <si>
    <t xml:space="preserve">CT062</t>
  </si>
  <si>
    <t xml:space="preserve">Viên rửa bát Finish 150 viên giá 495k-&gt;395K</t>
  </si>
  <si>
    <t xml:space="preserve">CT056</t>
  </si>
  <si>
    <t xml:space="preserve">Hầm gà cô đặc giá 330K-&gt;299K</t>
  </si>
  <si>
    <t xml:space="preserve">CT061</t>
  </si>
  <si>
    <t xml:space="preserve">Hóa phẩm làm sách máy rửa bát Finish giảm ngay 10%</t>
  </si>
  <si>
    <t xml:space="preserve">CT003</t>
  </si>
  <si>
    <t xml:space="preserve">Thời trang Nishimatsuya mùa hè xả hàng cuối vụ đồng giá chỉ còn 19K</t>
  </si>
  <si>
    <t xml:space="preserve">CT066</t>
  </si>
  <si>
    <t xml:space="preserve">COMBO 2: DA THÂM MỤN - SÁNG DA CVITA
Tinh chất + Kem dưỡng + KCN giá 1525k được tặng ngay 1 SRM sáng da trị giá 290k</t>
  </si>
  <si>
    <t xml:space="preserve">CT069</t>
  </si>
  <si>
    <t xml:space="preserve">COMBO 3: DA KHÔ - THIẾU ẨM - PHỤC HỒI
Tinh chất + Kem dưỡng 1130K tặng ngày 1 SRM thuần chạy trị giá 295k</t>
  </si>
  <si>
    <t xml:space="preserve">CT039</t>
  </si>
  <si>
    <t xml:space="preserve">Dung dịch vệ sinh phụ nữ Santamarche 175k-&gt;149K</t>
  </si>
  <si>
    <t xml:space="preserve">Kho LTT còn 345 &gt; tồn CH 148: lệnh điều chuyển bổ sung xuống CH trong tuần này, nhất là CH đang 0.</t>
  </si>
  <si>
    <t xml:space="preserve">CT028</t>
  </si>
  <si>
    <t xml:space="preserve">Băng vệ sinh hằng ngày Laurier 72 miếng giá chỉ còn 79k</t>
  </si>
  <si>
    <t xml:space="preserve">CT064</t>
  </si>
  <si>
    <t xml:space="preserve">COMBO 5: MỜ THÂM NÁM TRẮNG DA Melano CC 
Kem dưỡng + Lotion + Serum trị giá 1110k chỉ còn 959K</t>
  </si>
  <si>
    <t xml:space="preserve">CT019</t>
  </si>
  <si>
    <t xml:space="preserve">Thạch Orihiro 12 chiếc mua 2 tặng 1</t>
  </si>
  <si>
    <t xml:space="preserve">CT068</t>
  </si>
  <si>
    <t xml:space="preserve">COMBO 1: DA MỤN - GIẢM VIÊM - KIỂM SOÁT DẦU
Nước hoa hồng + Tinh chất + KCN giá 1185k được tặng ngay 1 SRM ngăn ngừa mụn trị giá 255k</t>
  </si>
  <si>
    <t xml:space="preserve">CT034</t>
  </si>
  <si>
    <t xml:space="preserve">Mua kem đánh răng Sunstar tặng ngay 1 bàn chải đánh răng 100998 &amp; KDR dùng thử (30016) trị giá 32K</t>
  </si>
  <si>
    <t xml:space="preserve">CT024</t>
  </si>
  <si>
    <t xml:space="preserve">Mua băng vệ sinh ELLEAIR hằng ngày, ban đêm tặng ngay 1 băng vệ sinh quần (30116, 30115) trị giá 50K</t>
  </si>
  <si>
    <t xml:space="preserve">CT013</t>
  </si>
  <si>
    <t xml:space="preserve">Viên tảy rửa bồn cầu mua 2 tặng 1</t>
  </si>
  <si>
    <t xml:space="preserve">Kho LTT còn 2,712 &gt; tồn CH 806: lệnh điều chuyển bổ sung xuống CH trong tuần này, nhất là CH đang 0.</t>
  </si>
  <si>
    <t xml:space="preserve">CT047</t>
  </si>
  <si>
    <t xml:space="preserve">Dầu gạo 900g Ajinomoto giá 185K mua 1 giá 169k, mua từ 2 giá chỉ còn 149K</t>
  </si>
  <si>
    <t xml:space="preserve">CT044</t>
  </si>
  <si>
    <t xml:space="preserve">Mua sữa tắm COW tặng ngay 1 bánh xà phòng trị giá 29K (121618)</t>
  </si>
  <si>
    <t xml:space="preserve">CT088</t>
  </si>
  <si>
    <t xml:space="preserve">Keto giảm giá 20%</t>
  </si>
  <si>
    <t xml:space="preserve">CT072</t>
  </si>
  <si>
    <t xml:space="preserve">Giảm ngay 150k khi mua Combo (Sữa tắm + Xịt dưỡng body White ConC)</t>
  </si>
  <si>
    <t xml:space="preserve">CT074</t>
  </si>
  <si>
    <t xml:space="preserve">Kem dưỡng da toàn thân Aloins giá 350K-&gt;299K</t>
  </si>
  <si>
    <t xml:space="preserve">CT086</t>
  </si>
  <si>
    <t xml:space="preserve">Kem dưỡng sáng giảm giá 10%</t>
  </si>
  <si>
    <t xml:space="preserve">CT059</t>
  </si>
  <si>
    <t xml:space="preserve">Mua dầu gội, sữa tắm KOSE được tặng ngay 1 SRM Men trị giá 89K (100058)</t>
  </si>
  <si>
    <t xml:space="preserve">CT038</t>
  </si>
  <si>
    <t xml:space="preserve">Mua tắm gội Pharmaact Men's được tặng ngay 1 SRM nam trị giá 90K (230792)</t>
  </si>
  <si>
    <t xml:space="preserve">CT076</t>
  </si>
  <si>
    <t xml:space="preserve">Giảm ngay 150k khi mua Combo kem dưỡng + tẩy da chết trắng da White Conc</t>
  </si>
  <si>
    <t xml:space="preserve">CT014</t>
  </si>
  <si>
    <t xml:space="preserve">Bàn chải đánh răng UFC Clear Wind mua 2 tặng 1 (100998) trị giá 32K</t>
  </si>
  <si>
    <t xml:space="preserve">CT087</t>
  </si>
  <si>
    <t xml:space="preserve">KCN giảm giá 10%</t>
  </si>
  <si>
    <t xml:space="preserve">CT022</t>
  </si>
  <si>
    <t xml:space="preserve">Mặt nạ Infinity 1 miếng mua 3 tặng 1</t>
  </si>
  <si>
    <t xml:space="preserve">CT037</t>
  </si>
  <si>
    <t xml:space="preserve">Mỳ mug mua 3 tặng 1 bất kì</t>
  </si>
  <si>
    <t xml:space="preserve">CT040</t>
  </si>
  <si>
    <t xml:space="preserve">Viên giặt P&amp;G 13,14v mua 2 tặng 1</t>
  </si>
  <si>
    <t xml:space="preserve">CT046</t>
  </si>
  <si>
    <t xml:space="preserve">Trà Oolong, trà sữa 1.5L giá chỉ còn 69K</t>
  </si>
  <si>
    <t xml:space="preserve">CT075</t>
  </si>
  <si>
    <t xml:space="preserve">Trà lá ổi nguyên chất 100% 200K-&gt;190K</t>
  </si>
  <si>
    <t xml:space="preserve">CT042</t>
  </si>
  <si>
    <t xml:space="preserve">Bánh ăn dặm beanstalk giá 69K-&gt;59K</t>
  </si>
  <si>
    <t xml:space="preserve">CT077</t>
  </si>
  <si>
    <t xml:space="preserve">Trà diếp cá túi lọc 200K-&gt;190K</t>
  </si>
  <si>
    <t xml:space="preserve">CT073</t>
  </si>
  <si>
    <t xml:space="preserve">Nồi nấu đa năng SKK đồng giá 150K</t>
  </si>
  <si>
    <t xml:space="preserve">CT027</t>
  </si>
  <si>
    <t xml:space="preserve">Giấy ướt mua 3 tặng 1</t>
  </si>
  <si>
    <t xml:space="preserve">CT033</t>
  </si>
  <si>
    <t xml:space="preserve">Coca nắp vặn 300ml mua từ 3 giá 39K-&gt;32K</t>
  </si>
  <si>
    <t xml:space="preserve">CT050</t>
  </si>
  <si>
    <t xml:space="preserve">Bông tẩy trang Unicharm mua 2 tặng 1</t>
  </si>
  <si>
    <t xml:space="preserve">CT080</t>
  </si>
  <si>
    <t xml:space="preserve">Trà giảm mỡ bụng Genpi 220K-&gt;210K</t>
  </si>
  <si>
    <t xml:space="preserve">CT032</t>
  </si>
  <si>
    <t xml:space="preserve">Kem đánh răng KAO cho bé được tặng ngay 1 bàn chải cho UFC cho bé (174509) trị giá 40K</t>
  </si>
  <si>
    <t xml:space="preserve">Kho LTT còn 770 &gt; tồn CH 573: lệnh điều chuyển bổ sung xuống CH trong tuần này, nhất là CH đang 0.</t>
  </si>
  <si>
    <t xml:space="preserve">CT026</t>
  </si>
  <si>
    <t xml:space="preserve">Mặt nạ S-Labo 1 miếng mua 3 tặng 1</t>
  </si>
  <si>
    <t xml:space="preserve">CT054</t>
  </si>
  <si>
    <t xml:space="preserve">Ngũ cốc Nisin 220g giá 75K-&gt;59K</t>
  </si>
  <si>
    <t xml:space="preserve">CT079</t>
  </si>
  <si>
    <t xml:space="preserve">Tinh chất chống lão hóa Retinol giá 350K-&gt;189K</t>
  </si>
  <si>
    <t xml:space="preserve">CT049</t>
  </si>
  <si>
    <t xml:space="preserve">Hạt nêm tảo bẹ 7, rau ci giá chỉ còn 49K</t>
  </si>
  <si>
    <t xml:space="preserve">CT078</t>
  </si>
  <si>
    <t xml:space="preserve">Dầu gội Latte 231042 mua 1 tặng 1</t>
  </si>
  <si>
    <t xml:space="preserve">CT067</t>
  </si>
  <si>
    <t xml:space="preserve">Rắc cơm 30g Tanaka giá 85K-&gt;69K</t>
  </si>
  <si>
    <t xml:space="preserve">CT035</t>
  </si>
  <si>
    <t xml:space="preserve">Mặt nạ Saborino mua 2 tặng 1</t>
  </si>
  <si>
    <t xml:space="preserve">CT030</t>
  </si>
  <si>
    <t xml:space="preserve">Quần áo lót nam Kouyu mùa hè giá chỉ còn 15K</t>
  </si>
  <si>
    <t xml:space="preserve">CT045</t>
  </si>
  <si>
    <t xml:space="preserve">Hút ẩm KOKUBO mua 2 tặng 1</t>
  </si>
  <si>
    <t xml:space="preserve">Kho LTT còn 432 &gt; tồn CH 324: lệnh điều chuyển bổ sung xuống CH trong tuần này, nhất là CH đang 0.</t>
  </si>
  <si>
    <t xml:space="preserve">CT041</t>
  </si>
  <si>
    <t xml:space="preserve">Coca 160ml mua 2 tặng 1</t>
  </si>
  <si>
    <t xml:space="preserve">CT089</t>
  </si>
  <si>
    <t xml:space="preserve">Viên uống 5ALA giá 890K-&gt;199k</t>
  </si>
  <si>
    <t xml:space="preserve">CT090</t>
  </si>
  <si>
    <t xml:space="preserve">Bỉm merries bao bì cũ xả hàng giá 199K</t>
  </si>
  <si>
    <t xml:space="preserve">CT097</t>
  </si>
  <si>
    <t xml:space="preserve">Viên uống chống nắng giảm giá 35%</t>
  </si>
  <si>
    <t xml:space="preserve">CT065</t>
  </si>
  <si>
    <t xml:space="preserve">Hạt nêm rau củ 50g giá 45K-&gt;25K</t>
  </si>
  <si>
    <t xml:space="preserve">CT084</t>
  </si>
  <si>
    <t xml:space="preserve">Chảo SKK đồng giá 99K</t>
  </si>
  <si>
    <t xml:space="preserve">CT096</t>
  </si>
  <si>
    <t xml:space="preserve">KCN giảm 35%</t>
  </si>
  <si>
    <t xml:space="preserve">CT093</t>
  </si>
  <si>
    <t xml:space="preserve">SKK đồng giá 299K</t>
  </si>
  <si>
    <t xml:space="preserve">CT081</t>
  </si>
  <si>
    <t xml:space="preserve">Giấy thấm dầu mua 1 tặng 1</t>
  </si>
  <si>
    <t xml:space="preserve">CT082</t>
  </si>
  <si>
    <t xml:space="preserve">Trà AGF, Satoen giá chỉ còn 39k (Xả tồn)</t>
  </si>
  <si>
    <t xml:space="preserve">CT091</t>
  </si>
  <si>
    <t xml:space="preserve">Tẩy trang, Lotion LSC đồng giá 99K</t>
  </si>
  <si>
    <t xml:space="preserve">CT095</t>
  </si>
  <si>
    <t xml:space="preserve">Nước súc miệng Propolinse giá 220K-&gt;199K</t>
  </si>
  <si>
    <t xml:space="preserve">CT092</t>
  </si>
  <si>
    <t xml:space="preserve">Bỉm Anyzoo thường giá 99K</t>
  </si>
  <si>
    <t xml:space="preserve">CT083</t>
  </si>
  <si>
    <t xml:space="preserve">Gia dụng SKK đồng giá 19K</t>
  </si>
  <si>
    <t xml:space="preserve">CT094</t>
  </si>
  <si>
    <t xml:space="preserve">Bò bít Tết 150g mua 1 tặng 1 (xả tồn)</t>
  </si>
  <si>
    <t xml:space="preserve">CT098</t>
  </si>
  <si>
    <t xml:space="preserve">Mỹ phẩm Hadaomoi giá xả chỉ còn 59K</t>
  </si>
  <si>
    <t xml:space="preserve">CT099</t>
  </si>
  <si>
    <t xml:space="preserve">Bỉm Megumi xả tồn giá chỉ còn 99K</t>
  </si>
  <si>
    <t xml:space="preserve">Gỡ POSM/bảng giá tại CH, báo MKT dừng truyền thông; hỏi ngành hàng còn hàng về không – nếu không, đóng CT sớm.</t>
  </si>
  <si>
    <t xml:space="preserve">CT100</t>
  </si>
  <si>
    <t xml:space="preserve">Nồi áp suất SKK giá chỉ còn 299K</t>
  </si>
  <si>
    <t xml:space="preserve">SKU KM CÓ HÀNG Ở KHO LTT NHƯNG CÓ CH ĐANG = 0  (đã loại giày &amp; gia dụng KAI/KAIYO long-tail; loại SKK Vũ Phạm Hàm vì 0 tồn toàn bộ)</t>
  </si>
  <si>
    <t xml:space="preserve">Item</t>
  </si>
  <si>
    <t xml:space="preserve">Tên SP</t>
  </si>
  <si>
    <t xml:space="preserve">Số CH = 0</t>
  </si>
  <si>
    <t xml:space="preserve">Gợi ý cấp/CH thiếu</t>
  </si>
  <si>
    <t xml:space="preserve">Các CH đang = 0</t>
  </si>
  <si>
    <t xml:space="preserve">NISHIMATSUYA- Áo Khoác Trẻ em Nhật Bản</t>
  </si>
  <si>
    <t xml:space="preserve">CVS 108-110 Linh Lang, Store JP Mandarin C1, Store JP Thái Hà, Store JP Trần Đăng Ninh, Store JP Nguyễn Du, Store JP Hàng Bông, Store JP Văn Phú, Store JP Hàm Nghi, Store JP Ngoại Giao Đoàn, SKK Trần Duy Hưng, Store JP Nguyễn Văn Lộc, Store JP Ecohome 3, SKK Vinhome Green Bay, SKK Xuân La, SKK Sài Đồng, SKK Bạch Mai, CVS 34 Vũ Phạm Hàm</t>
  </si>
  <si>
    <t xml:space="preserve">NISHIMATSUYA- Áo Len Áo Nỉ Nhật Bản</t>
  </si>
  <si>
    <t xml:space="preserve">CVS 108-110 Linh Lang, Store JP Mandarin C1, Store JP Hàng Bông, Store JP Văn Phú, Store JP Hàm Nghi, Store JP Nguyễn Tuân, SKK Trần Duy Hưng, Store JP Ecohome 3, SKK Vinhome Green Bay, SKK Xuân La, SKK Nguyễn Khuyến, SKK Bạch Mai, SKK Bắc Ninh, CVS 34 Vũ Phạm Hàm</t>
  </si>
  <si>
    <t xml:space="preserve">ELIS- BVS dạng quần size M-L màu da (2c)</t>
  </si>
  <si>
    <t xml:space="preserve">CVS 108-110 Linh Lang, Store JP Nguyễn Du, Store JP Hàng Bông, Store JP Nguyễn Tuân, Store JP Ngoại Giao Đoàn, Store JP Nguyễn Văn Lộc, Store JP T6 Time City, Store JP Ecohome 3, SKK Vinhome Green Bay, SKK Xuân La, SKK Sài Đồng, SKK Bắc Ninh, CVS 34 Vũ Phạm Hàm</t>
  </si>
  <si>
    <t xml:space="preserve">NISHIMATSUYA- Bộ Quần Áo Trẻ em Nhật Bản (Set rời)</t>
  </si>
  <si>
    <t xml:space="preserve">CVS 108-110 Linh Lang, Store JP Linh Đàm, Store JP Thái Hà, Store JP Trần Đăng Ninh, Store JP Hàng Bông, Store JP Hàm Nghi, SKK Trần Duy Hưng, Store JP Ecohome 3, SKK Vinhome Green Bay, SKK Xuân La, SKK Bạch Mai, CVS 34 Vũ Phạm Hàm</t>
  </si>
  <si>
    <t xml:space="preserve">UNO- Sữa rửa mặt tạo bọt sạch nhờn 130g</t>
  </si>
  <si>
    <t xml:space="preserve">Store JP Linh Đàm, Store JP Văn Phú, Store JP Nguyễn Tuân, Store JP Đỗ Quang, Store JP Ngoại Giao Đoàn, SKK Trần Duy Hưng, Store JP T6 Time City, Store JP Ecohome 3, SKK Vinhome Green Bay, SKK Bắc Ninh, CVS 34 Vũ Phạm Hàm</t>
  </si>
  <si>
    <t xml:space="preserve">NISHIMATSUYA- Quần đùi cho trẻ em gái</t>
  </si>
  <si>
    <t xml:space="preserve">CVS 108-110 Linh Lang, Store JP Thái Hà, Store JP Văn Phú, Store JP Nguyễn Tuân, Store JP Ngoại Giao Đoàn, SKK Trần Duy Hưng, SKK Vinhome Green Bay, SKK Xuân La, SKK Nguyễn Khuyến, SKK Bạch Mai, CVS 34 Vũ Phạm Hàm</t>
  </si>
  <si>
    <t xml:space="preserve">NISHIMATSUYA- Váy liền cho trẻ em gái</t>
  </si>
  <si>
    <t xml:space="preserve">CVS 108-110 Linh Lang, Store JP Mandarin C1, Store JP Nguyễn Tuân, Store JP Ngoại Giao Đoàn, SKK Trần Duy Hưng, SKK Vinhome Green Bay, SKK Xuân La, SKK Nguyễn Khuyến, SKK Bạch Mai, CVS 34 Vũ Phạm Hàm</t>
  </si>
  <si>
    <t xml:space="preserve">CVS 108-110 Linh Lang, Store JP Thái Hà, Store JP Nguyễn Du, Store JP Ngoại Giao Đoàn, SKK Trần Duy Hưng, Store JP Ecohome 3, SKK Vinhome Green Bay, SKK Xuân La, CVS 34 Vũ Phạm Hàm</t>
  </si>
  <si>
    <t xml:space="preserve">ELIS- BVS dạng quần size M-L màu đen (2c)</t>
  </si>
  <si>
    <t xml:space="preserve">Store JP Nguyễn Du, Store JP Hàng Bông, Store JP Nguyễn Tuân, Store JP Ngoại Giao Đoàn, Store JP Nguyễn Văn Lộc, SKK Vinhome Green Bay, SKK Xuân La, SKK Sài Đồng, SKK Bắc Ninh</t>
  </si>
  <si>
    <t xml:space="preserve">NISHIMATSUYA- Bộ Đồ Body Liền Thân Trẻ em Nhật Bản</t>
  </si>
  <si>
    <t xml:space="preserve">CVS 108-110 Linh Lang, Store JP Linh Đàm, Store JP Trần Đăng Ninh, SKK Trần Duy Hưng, Store JP Ecohome 3, SKK Vinhome Green Bay, SKK Xuân La, CVS 34 Vũ Phạm Hàm</t>
  </si>
  <si>
    <t xml:space="preserve">KAO- BVS Laurier hàng ngày không mùi (72 m)</t>
  </si>
  <si>
    <t xml:space="preserve">Store JP Đội Cấn, Store JP Thái Hà, Store JP Trần Đăng Ninh, Store JP Hàm Nghi, Store JP Nguyễn Tuân, Store JP Ngoại Giao Đoàn, CVS 34 Vũ Phạm Hàm</t>
  </si>
  <si>
    <t xml:space="preserve">KAO- Nước rửa bát Kyukyuto không mùi 1250ml</t>
  </si>
  <si>
    <t xml:space="preserve">Store JP Mandarin C1, Store JP Thái Hà, Store JP Nguyễn Du, Store JP Hàng Bông, Store JP Văn Phú, Store JP T6 Time City, Store JP Ecohome 3</t>
  </si>
  <si>
    <t xml:space="preserve">P&amp;G- Viên giặt Bold 4D màu hồng 14 viên</t>
  </si>
  <si>
    <t xml:space="preserve">Store JP Đội Cấn, Store JP Mandarin C1, Store JP Nguyễn Tuân, Store JP T6 Time City, SKK Vinhome Green Bay, SKK Bạch Mai, CVS 34 Vũ Phạm Hàm</t>
  </si>
  <si>
    <t xml:space="preserve">P&amp;G- Viên giặt Bold 4D màu xanh 14 viên</t>
  </si>
  <si>
    <t xml:space="preserve">Store JP Đội Cấn, Store JP Mandarin C1, Store JP Nguyễn Du, Store JP Nguyễn Tuân, Store JP T6 Time City, SKK Vinhome Green Bay, CVS 34 Vũ Phạm Hàm</t>
  </si>
  <si>
    <t xml:space="preserve">ELLEAIR- BVS siêu mỏng có cánh 23cm 23m</t>
  </si>
  <si>
    <t xml:space="preserve">CVS 108-110 Linh Lang, Store JP Mandarin C1, Store JP Văn Phú, Store JP Nguyễn Tuân, Store JP Nguyễn Văn Lộc, CVS 34 Vũ Phạm Hàm</t>
  </si>
  <si>
    <t xml:space="preserve">ELLEAIR- BVS siêu mỏng có cánh 25cm 19m</t>
  </si>
  <si>
    <t xml:space="preserve">CVS 108-110 Linh Lang, Store JP Thái Hà, Store JP Hàng Bông, Store JP Văn Phú, Store JP T6 Time City, CVS 34 Vũ Phạm Hàm</t>
  </si>
  <si>
    <t xml:space="preserve">KLEANNARA- BVS SOONSOOHAN hàng ngày 18cm</t>
  </si>
  <si>
    <t xml:space="preserve">CVS 108-110 Linh Lang, Store JP Nguyễn Tuân, Store JP Đỗ Quang, SKK Vinhome Green Bay, SKK Bạch Mai, CVS 34 Vũ Phạm Hàm</t>
  </si>
  <si>
    <t xml:space="preserve">MEISHOU- Sữa rửa mặt làm sạch thuần chay 100g</t>
  </si>
  <si>
    <t xml:space="preserve">CVS 108-110 Linh Lang, Store JP Nguyễn Du, Store JP Đỗ Quang, Store JP Ngoại Giao Đoàn, SKK Bắc Ninh, CVS 34 Vũ Phạm Hàm</t>
  </si>
  <si>
    <t xml:space="preserve">ISEHAN- Chuốt mi Kissme dài và cong mi (đen 01)</t>
  </si>
  <si>
    <t xml:space="preserve">Store JP Linh Đàm, Store JP Thái Hà, Store JP Nguyễn Du, Store JP Ngoại Giao Đoàn, SKK Nguyễn Khuyến, CVS 34 Vũ Phạm Hàm</t>
  </si>
  <si>
    <t xml:space="preserve">NISHIMATSUYA- Quần thu đông trẻ em</t>
  </si>
  <si>
    <t xml:space="preserve">CVS 108-110 Linh Lang, Store JP Hàm Nghi, SKK Trần Duy Hưng, SKK Vinhome Green Bay, CVS 34 Vũ Phạm Hàm</t>
  </si>
  <si>
    <t xml:space="preserve">SAGAMI- Bao cao su Original 0.01 (5 chiếc)</t>
  </si>
  <si>
    <t xml:space="preserve">Store JP Hàm Nghi, SKK Trần Duy Hưng, SKK Xuân La, SKK Bạch Mai, CVS 34 Vũ Phạm Hàm</t>
  </si>
  <si>
    <t xml:space="preserve">KLEANNARA- BVS SOONSOOHAN 23cm</t>
  </si>
  <si>
    <t xml:space="preserve">CVS 108-110 Linh Lang, Store JP Văn Phú, Store JP Đỗ Quang, SKK Vinhome Green Bay, CVS 34 Vũ Phạm Hàm</t>
  </si>
  <si>
    <t xml:space="preserve">CEZANNE - Kem lót UV Tone Up Base #White</t>
  </si>
  <si>
    <t xml:space="preserve">Store JP Nguyễn Văn Lộc, SKK Vinhome Green Bay, SKK Nguyễn Khuyến, SKK Sài Đồng, CVS 34 Vũ Phạm Hàm</t>
  </si>
  <si>
    <t xml:space="preserve">NISHIMATSUYA- Váy và Chân Váy Trẻ em Nhật Bản</t>
  </si>
  <si>
    <t xml:space="preserve">CVS 108-110 Linh Lang, SKK Trần Duy Hưng, SKK Vinhome Green Bay, CVS 34 Vũ Phạm Hàm</t>
  </si>
  <si>
    <t xml:space="preserve">KOKUBO- Chất hút ẩm 450ml J-6002</t>
  </si>
  <si>
    <t xml:space="preserve">Store JP Mandarin C1, Store JP Hàng Bông, Store JP Hàm Nghi, SKK Bạch Mai</t>
  </si>
  <si>
    <t xml:space="preserve">MOIST DIANE- Dầu gội phục hồi ngăn rụng tóc 450ml</t>
  </si>
  <si>
    <t xml:space="preserve">Store JP Nguyễn Du, Store JP Hàng Bông, Store JP Văn Phú, SKK Bạch Mai</t>
  </si>
  <si>
    <t xml:space="preserve">KLEANNARA- BVS ZERO siêu mỏng có cánh 23cm</t>
  </si>
  <si>
    <t xml:space="preserve">CVS 108-110 Linh Lang, Store JP Văn Phú, Store JP Đỗ Quang, CVS 34 Vũ Phạm Hàm</t>
  </si>
  <si>
    <t xml:space="preserve">KLEANNARA- BVS SOONSOOHANMYEON hàng ngày 18 cm</t>
  </si>
  <si>
    <t xml:space="preserve">CVS 108-110 Linh Lang, Store JP Đỗ Quang, SKK Bạch Mai, CVS 34 Vũ Phạm Hàm</t>
  </si>
  <si>
    <t xml:space="preserve">KLEANNARA- BVS ZERO hàng ngày ko cánh 18cm</t>
  </si>
  <si>
    <t xml:space="preserve">CVS 108-110 Linh Lang, Store JP Trần Đăng Ninh, Store JP Văn Phú, CVS 34 Vũ Phạm Hàm</t>
  </si>
  <si>
    <t xml:space="preserve">ELLEAIR- BVS siêu mỏng không cánh 17cm 36m</t>
  </si>
  <si>
    <t xml:space="preserve">CVS 108-110 Linh Lang, Store JP Linh Đàm, Store JP Hàng Bông, CVS 34 Vũ Phạm Hàm</t>
  </si>
  <si>
    <t xml:space="preserve">UNO- Sáp vuốt tóc tại kiểu giữ nếp tự nhiên 80g</t>
  </si>
  <si>
    <t xml:space="preserve">CVS 108-110 Linh Lang, Store JP Ngoại Giao Đoàn, SKK Bắc Ninh, CVS 34 Vũ Phạm Hàm</t>
  </si>
  <si>
    <t xml:space="preserve">ISEHAN- Kem lót Kissme trang điểm CN (tím 01)</t>
  </si>
  <si>
    <t xml:space="preserve">CVS 108-110 Linh Lang, Store JP Thái Hà, Store JP Ngoại Giao Đoàn, CVS 34 Vũ Phạm Hàm</t>
  </si>
  <si>
    <t xml:space="preserve">CEZANNE - Kem lót UV Tone Up Base #Pink</t>
  </si>
  <si>
    <t xml:space="preserve">Store JP Nguyễn Văn Lộc, SKK Vinhome Green Bay, SKK Nguyễn Khuyến, CVS 34 Vũ Phạm Hàm</t>
  </si>
  <si>
    <t xml:space="preserve">MOIST DIANE- Dầu xả phục hồi ngăn rụng tóc 450ml</t>
  </si>
  <si>
    <t xml:space="preserve">SKK Xuân La, SKK Bạch Mai, SKK Bắc Ninh</t>
  </si>
  <si>
    <t xml:space="preserve">SUNSTAR- KĐR Ora2 Me bạc hà lá đào 140g</t>
  </si>
  <si>
    <t xml:space="preserve">CVS 108-110 Linh Lang, Store JP Văn Phú, CVS 34 Vũ Phạm Hàm</t>
  </si>
  <si>
    <t xml:space="preserve">KLEANNARA- BVS SOONSOOHAN 26cm</t>
  </si>
  <si>
    <t xml:space="preserve">CVS 108-110 Linh Lang, SKK Bạch Mai, CVS 34 Vũ Phạm Hàm</t>
  </si>
  <si>
    <t xml:space="preserve">MOIST DIANE- Dầu gội làm phồng tóc 450ml</t>
  </si>
  <si>
    <t xml:space="preserve">Store JP Trần Đăng Ninh, Store JP Nguyễn Du, CVS 34 Vũ Phạm Hàm</t>
  </si>
  <si>
    <t xml:space="preserve">MOIST DIANE- Dầu gội vào nếp thẳng mượt 450ml</t>
  </si>
  <si>
    <t xml:space="preserve">CVS 108-110 Linh Lang, Store JP Ngoại Giao Đoàn, CVS 34 Vũ Phạm Hàm</t>
  </si>
  <si>
    <t xml:space="preserve">MOIST DIANE-Dầu gội phục hồi tóc hư tổn nặng 450ml</t>
  </si>
  <si>
    <t xml:space="preserve">CVS 108-110 Linh Lang, Store JP Linh Đàm, SKK Xuân La</t>
  </si>
  <si>
    <t xml:space="preserve">KLEANNARA- BVS SOONSOOHANMYEON siêu mỏng cánh 26cm</t>
  </si>
  <si>
    <t xml:space="preserve">CVS 108-110 Linh Lang, SKK Nguyễn Khuyến, CVS 34 Vũ Phạm Hàm</t>
  </si>
  <si>
    <t xml:space="preserve">KUMANO- Sữa rửa mặt Pharmaact Men's 130g</t>
  </si>
  <si>
    <t xml:space="preserve">Store JP Linh Đàm, Store JP Nguyễn Du, CVS 34 Vũ Phạm Hàm</t>
  </si>
  <si>
    <t xml:space="preserve">ISEHAN- Phấn phủ Kissme chống nắng CKĐ (xanh 01)</t>
  </si>
  <si>
    <t xml:space="preserve">BLACKMORES - Viên uống bổ tim hỗ trợ sức khỏe </t>
  </si>
  <si>
    <t xml:space="preserve">Store JP Thái Hà, SKK Bạch Mai, CVS 34 Vũ Phạm Hàm</t>
  </si>
  <si>
    <t xml:space="preserve">CEZANNE - Kem nền Lasting Cover Foundation #10</t>
  </si>
  <si>
    <t xml:space="preserve">SKK Vinhome Green Bay, SKK Nguyễn Khuyến, CVS 34 Vũ Phạm Hàm</t>
  </si>
  <si>
    <t xml:space="preserve">MEISHOKU- Kem chống nắng C Vita 100g</t>
  </si>
  <si>
    <t xml:space="preserve">CVS 108-110 Linh Lang, SKK Bắc Ninh, CVS 34 Vũ Phạm Hàm</t>
  </si>
  <si>
    <t xml:space="preserve">ISEHAN- Phấn phủ Kissme chống nắng CKĐ (hồng 01)</t>
  </si>
  <si>
    <t xml:space="preserve">BLACKMORES - Viên uống hỗ trợ phục hồi tế bào gan </t>
  </si>
  <si>
    <t xml:space="preserve">Store JP Nguyễn Văn Lộc, SKK Bắc Ninh, CVS 34 Vũ Phạm Hàm</t>
  </si>
  <si>
    <t xml:space="preserve">SANADA SEIKO- Viên tẩy rửa bồn cầu 4viên x 10g</t>
  </si>
  <si>
    <t xml:space="preserve">CVS 108-110 Linh Lang, CVS 34 Vũ Phạm Hàm</t>
  </si>
  <si>
    <t xml:space="preserve">ANYZOO- Bỉm quần Premium size XL 42 miếng</t>
  </si>
  <si>
    <t xml:space="preserve">CREATE- Bàn chải Dentfine 1.5-6 tuổi loại thường</t>
  </si>
  <si>
    <t xml:space="preserve">ANYZOO- Bỉm dán Premium size M 64 miếng</t>
  </si>
  <si>
    <t xml:space="preserve">CREATE- Chỉ nha khoa Dentfine 101 chiếc</t>
  </si>
  <si>
    <t xml:space="preserve">SANTA MARCHE- Dung dịch vệ sinh Sweet Body 140ml</t>
  </si>
  <si>
    <t xml:space="preserve">Store JP Nguyễn Du, CVS 34 Vũ Phạm Hàm</t>
  </si>
  <si>
    <t xml:space="preserve">ANYZOO- Bỉm quần Premium size M 54 miếng</t>
  </si>
  <si>
    <t xml:space="preserve">ANYZOO- Bỉm quần Premium size L 52 miếng</t>
  </si>
  <si>
    <t xml:space="preserve">MOONY- Giấy ướt 76 tờ</t>
  </si>
  <si>
    <t xml:space="preserve">ANYZOO- Bỉm dán Premium size NB 86 miếng.</t>
  </si>
  <si>
    <t xml:space="preserve">MERRIES -Bỉm quần L 44+2 miếng</t>
  </si>
  <si>
    <t xml:space="preserve">KLEANNARA- BVS ZERO siêu mỏng có cánh 26cm</t>
  </si>
  <si>
    <t xml:space="preserve">NISSIN- Mỳ mug vàng Mr.Mug 94g</t>
  </si>
  <si>
    <t xml:space="preserve">CVS 108-110 Linh Lang, Store JP Ecohome 3</t>
  </si>
  <si>
    <t xml:space="preserve">CREATE- Chỉ nha khoa Dentfine hương bạc hà (50m)</t>
  </si>
  <si>
    <t xml:space="preserve">ISEHAN- Mascara Kissme chải đổi màu lông mày-Tro 9</t>
  </si>
  <si>
    <t xml:space="preserve">KAO- BVS Laurier hàng ngày hương hoa cúc (72 m)</t>
  </si>
  <si>
    <t xml:space="preserve">KAO- BVS Laurier hàng ngày hương hoa hồng (72 m)</t>
  </si>
  <si>
    <t xml:space="preserve">KAO- BVS Laurier hàng ngày hương mẫu đơn (72m)</t>
  </si>
  <si>
    <t xml:space="preserve">ISEHAN- Mascara Kissme đổi màu lông mày Xám khói 8</t>
  </si>
  <si>
    <t xml:space="preserve">KĐR AEKYUNG 2080 Dr.Clinic Tartar Control 125gr</t>
  </si>
  <si>
    <t xml:space="preserve">KĐR AEKYUNG 2080 Dr.Clinic Gum Health 125gr</t>
  </si>
  <si>
    <t xml:space="preserve">MERRIES -Bỉm quần M 52+2 miếng</t>
  </si>
  <si>
    <t xml:space="preserve">ISEHAN- Mascara Kissme đổi màu lông mày nâu 04</t>
  </si>
  <si>
    <t xml:space="preserve">BLACKMORES - Viên uống dầu cá bổ sung Omega 3</t>
  </si>
  <si>
    <t xml:space="preserve">Store JP Ngoại Giao Đoàn, SKK Vinhome Green Bay</t>
  </si>
  <si>
    <t xml:space="preserve">MOIST DIANE- Dầu gội kiểm soát dầu 450ml</t>
  </si>
  <si>
    <t xml:space="preserve">SKK Nguyễn Khuyến, SKK Bắc Ninh</t>
  </si>
  <si>
    <t xml:space="preserve">ELLEAIR- BVS ban đêm siêu mỏng có cánh 36cm 12m</t>
  </si>
  <si>
    <t xml:space="preserve">KLEANNARA- BVS SOONSOOHANMYEON siêu mỏng cánh 23cm</t>
  </si>
  <si>
    <t xml:space="preserve">SUNSTAR- KĐR Ora2 Me hương hoa trắng 125g</t>
  </si>
  <si>
    <t xml:space="preserve">MEISHOKU - Kem giảm nhăn, thâm mắt Placewhiter 30g</t>
  </si>
  <si>
    <t xml:space="preserve">MERRIES- BỈM DÁN M 52 + 2 miếng</t>
  </si>
  <si>
    <t xml:space="preserve">KĐR DENTAL CLINIC 2080 Cheong Eun Cha 160gr</t>
  </si>
  <si>
    <t xml:space="preserve">MOIST DIANE- Dầu xả vào nếp thẳng mượt 450ml</t>
  </si>
  <si>
    <t xml:space="preserve">KLEANNARA- BVS ban đêm SOONSOOHANMYEON 33cm</t>
  </si>
  <si>
    <t xml:space="preserve">KLEANNARA- BVS ZERO ban đêm siêu mỏng có cánh 33cm</t>
  </si>
  <si>
    <t xml:space="preserve">SHISEIDO – Dầu dưỡng tóc Tsubaki 60ml</t>
  </si>
  <si>
    <t xml:space="preserve">SUNSTAR- KĐR Ora2 Me hương táo và hoa hồng 140g</t>
  </si>
  <si>
    <t xml:space="preserve">SUNSTAR- KĐR Ora2 Stripe hương bạc hà 140g</t>
  </si>
  <si>
    <t xml:space="preserve">MORISHITA- Men vi sinh Health Aid Bifina R 20 gói</t>
  </si>
  <si>
    <t xml:space="preserve">SKK Bạch Mai, CVS 34 Vũ Phạm Hàm</t>
  </si>
  <si>
    <t xml:space="preserve">SHISEIDO – Dầu xả Tsubaki bồng bềnh 450ml</t>
  </si>
  <si>
    <t xml:space="preserve">SKK Bắc Ninh, CVS 34 Vũ Phạm Hàm</t>
  </si>
  <si>
    <t xml:space="preserve">ANYZOO- Bỉm dán Premium size S 80 miếng</t>
  </si>
  <si>
    <t xml:space="preserve">CEZANNE - Phấn phủ UV Silk Cover Powder #02</t>
  </si>
  <si>
    <t xml:space="preserve">KAO- Nước rửa bát Kyukyuto hương trà xanh 1250ml</t>
  </si>
  <si>
    <t xml:space="preserve">Store JP Mandarin C1, Store JP T6 Time City</t>
  </si>
  <si>
    <t xml:space="preserve">MEISHOKU- Tinh chất ngăn ngừa mụn Bigansui 15g</t>
  </si>
  <si>
    <t xml:space="preserve">MOIST DIANE- Sữa tắm sáng da hương trái cây</t>
  </si>
  <si>
    <t xml:space="preserve">CEZANNE - Phấn má Natural Cheek N #10</t>
  </si>
  <si>
    <t xml:space="preserve">ISEHAN- Kẻ mắt nước Kissme chống trôi 02(Nâu đen)</t>
  </si>
  <si>
    <t xml:space="preserve">Store JP Ngoại Giao Đoàn, CVS 34 Vũ Phạm Hàm</t>
  </si>
  <si>
    <t xml:space="preserve">ORIHIRO- Thạch mềm vị cam nho 240g</t>
  </si>
  <si>
    <t xml:space="preserve">Store JP Nguyễn Văn Lộc, CVS 34 Vũ Phạm Hàm</t>
  </si>
  <si>
    <t xml:space="preserve">ROHTO-Serum Melano CC dưỡng trắng da 20ml</t>
  </si>
  <si>
    <t xml:space="preserve">SKK Vinhome Green Bay, CVS 34 Vũ Phạm Hàm</t>
  </si>
  <si>
    <t xml:space="preserve">CEZANNE – Son tint Watery Lip 01 Hồng tự nhiên</t>
  </si>
  <si>
    <t xml:space="preserve">SKK Sài Đồng, CVS 34 Vũ Phạm Hàm</t>
  </si>
  <si>
    <t xml:space="preserve">CEZANNE- Son thỏi Lasting Lip Color 407 (Đỏ nâu)</t>
  </si>
  <si>
    <t xml:space="preserve">STELLA BEAUTE- Thanh massage chăm sóc da mặt</t>
  </si>
  <si>
    <t xml:space="preserve">CVS 108-110 Linh Lang</t>
  </si>
  <si>
    <t xml:space="preserve">NEPIA - Set hộp giấy ăn cao cấp (360 tờ x 5 hộp)</t>
  </si>
  <si>
    <t xml:space="preserve">CVS 34 Vũ Phạm Hàm</t>
  </si>
  <si>
    <t xml:space="preserve">HATOMUGI- Dầu gội chiết xuất chanh tươi 500ml</t>
  </si>
  <si>
    <t xml:space="preserve">CREATE- Tăm nha khoa Smart Inn cỡ siêu nhỏ 30pcs</t>
  </si>
  <si>
    <t xml:space="preserve">HATOMUGI- Dầu xả chiết xuất chanh tươi 500ml</t>
  </si>
  <si>
    <t xml:space="preserve">KAO- Nước rửa bát Kyukyuto hương nho 1250ml</t>
  </si>
  <si>
    <t xml:space="preserve">CREATE- Tăm chỉ chữ Y làm sạch kẽ răng 30 chiếc</t>
  </si>
  <si>
    <t xml:space="preserve">CREATE- Tăm nha khoa Smart Inn cỡ vừa 30pcs</t>
  </si>
  <si>
    <t xml:space="preserve">KAO- BVS Laurier hàng ngày hương nước hoa (72 m)</t>
  </si>
  <si>
    <t xml:space="preserve">UFC- Bàn chải đánh răng Clear Wind EX-S lông cứng</t>
  </si>
  <si>
    <t xml:space="preserve">UFC- Bàn chải đánh răng Clear Wind EX-S (thường)</t>
  </si>
  <si>
    <t xml:space="preserve">KĐR AEKYUNG 2080 Dr.Clinic Fresh Breath 125gr</t>
  </si>
  <si>
    <t xml:space="preserve">UFC- Bàn chải đánh răng Clear Wind Excellent cứng</t>
  </si>
  <si>
    <t xml:space="preserve">SAGAMI- Bao cao su Spearmint (3 chiếc)</t>
  </si>
  <si>
    <t xml:space="preserve">CURE- Gel tẩy da chết Natural Aqua Gel 250g</t>
  </si>
  <si>
    <t xml:space="preserve">ROHTO- Kem dưỡng Melano CC Whitening Gel (100g)</t>
  </si>
  <si>
    <t xml:space="preserve">MOIST DIANE- Sữa tắm dưỡng ẩm hương cam quýt</t>
  </si>
  <si>
    <t xml:space="preserve">HOYU- Kem Nhuộm Tóc Bigen Speedy 4NA Nâu</t>
  </si>
  <si>
    <t xml:space="preserve">ISEHAN- TINH CHẤT DƯỠNG DÀI MI KISSME(5.5G)</t>
  </si>
  <si>
    <t xml:space="preserve">UFC- Bàn chải đánh răng Clear Wind MX-N lông cứng</t>
  </si>
  <si>
    <t xml:space="preserve">ROHTO- Lotion Melano CC mờ thâm nám (170ml)</t>
  </si>
  <si>
    <t xml:space="preserve">MORISHITA- Men vi sinh Bifina EX hộp 30 gói</t>
  </si>
  <si>
    <t xml:space="preserve">MEISHOKU– Tinh chất NA15 giảm nhăn chuyên sâu 30ml</t>
  </si>
  <si>
    <t xml:space="preserve">MOIST DIANE- Sữa tắm cấp ẩm hương bạc hà</t>
  </si>
  <si>
    <t xml:space="preserve">KAO- Nước rửa bát Kyukyuto hương chanh 1250ml</t>
  </si>
  <si>
    <t xml:space="preserve">Store JP Mandarin C1</t>
  </si>
  <si>
    <t xml:space="preserve">MOIST DIANE-  Dầu xả làm phồng tóc 450ml</t>
  </si>
  <si>
    <t xml:space="preserve">ISEHAN- Mascara tẩy trang mi Kissme 7.3ml</t>
  </si>
  <si>
    <t xml:space="preserve">JEX- Bao cao su Glamourous Butterfly Moist 12chiếc</t>
  </si>
  <si>
    <t xml:space="preserve">CEZANNE - Phấn phủ UV Silk Cover Powder #01</t>
  </si>
  <si>
    <t xml:space="preserve">CEZANNE - Phấn má Natural Cheek N #1</t>
  </si>
  <si>
    <t xml:space="preserve">ORIHIRO- Thạch mềm vị đào nho tím 216g</t>
  </si>
  <si>
    <t xml:space="preserve">MEISHOKU– Lotion NA10 trắng &amp; giảm nhăn 150ml</t>
  </si>
  <si>
    <t xml:space="preserve">CEZANNE - Phấn phủ bột Soft Loose Powder #01</t>
  </si>
  <si>
    <t xml:space="preserve">MEISHOKU- Sữa rửa mặt sáng da Cvita 100g</t>
  </si>
  <si>
    <t xml:space="preserve">KUMANO-Dầu gội Pharmaact Men's siêu mát 600ml</t>
  </si>
  <si>
    <t xml:space="preserve">Gợi ý cấp/CH thiếu = min(tồn TB của các CH đang có hàng, Kho LTT chia đều cho CH thiếu). Là con số khởi điểm – ngành hàng chỉnh theo sell-out thực tế.</t>
  </si>
  <si>
    <t xml:space="preserve">MA TRẬN TỒN SKU KM CHỦ LỰC × CỬA HÀNG (ô đỏ = 0/âm). SKU chủ lực = tồn HT ≥50, trừ giày &amp; KAI/KAIYO.</t>
  </si>
  <si>
    <t xml:space="preserve">Store JP Đội Cấn</t>
  </si>
  <si>
    <t xml:space="preserve">Store JP Linh Đàm</t>
  </si>
  <si>
    <t xml:space="preserve">Store JP Thái Hà</t>
  </si>
  <si>
    <t xml:space="preserve">Store JP Trần Đăng Ninh</t>
  </si>
  <si>
    <t xml:space="preserve">Store JP Nguyễn Du</t>
  </si>
  <si>
    <t xml:space="preserve">Store JP Hàng Bông</t>
  </si>
  <si>
    <t xml:space="preserve">Store JP Văn Phú</t>
  </si>
  <si>
    <t xml:space="preserve">Store JP Hàm Nghi</t>
  </si>
  <si>
    <t xml:space="preserve">Store JP Nguyễn Tuân</t>
  </si>
  <si>
    <t xml:space="preserve">Store JP Đỗ Quang</t>
  </si>
  <si>
    <t xml:space="preserve">Store JP Ngoại Giao Đoàn</t>
  </si>
  <si>
    <t xml:space="preserve">SKK Trần Duy Hưng</t>
  </si>
  <si>
    <t xml:space="preserve">Store JP Nguyễn Văn Lộc</t>
  </si>
  <si>
    <t xml:space="preserve">Store JP T6 Time City</t>
  </si>
  <si>
    <t xml:space="preserve">Store JP Ecohome 3</t>
  </si>
  <si>
    <t xml:space="preserve">SKK Vinhome Green Bay</t>
  </si>
  <si>
    <t xml:space="preserve">SKK Xuân La</t>
  </si>
  <si>
    <t xml:space="preserve">SKK Nguyễn Khuyến</t>
  </si>
  <si>
    <t xml:space="preserve">SKK Sài Đồng</t>
  </si>
  <si>
    <t xml:space="preserve">SKK Bạch Mai</t>
  </si>
  <si>
    <t xml:space="preserve">SKK Vũ Phạm Hàm</t>
  </si>
  <si>
    <t xml:space="preserve">SKK Bắc Ninh</t>
  </si>
  <si>
    <t xml:space="preserve">FUTABA- Kem vani sandwich</t>
  </si>
  <si>
    <t xml:space="preserve">LOTTE- Kem vani Daifuku</t>
  </si>
  <si>
    <t xml:space="preserve">FUTABA- Kem Sandwich Hokkaido</t>
  </si>
  <si>
    <t xml:space="preserve">MORINAGA- Kem Chocolate Ice</t>
  </si>
  <si>
    <t xml:space="preserve">FUTABA - Kem Tiramisu bọc sô cô la 115ml</t>
  </si>
  <si>
    <t xml:space="preserve">NAGANUMA - Kem ly vị sữa tươi 100ml</t>
  </si>
  <si>
    <t xml:space="preserve">NAGANUMA -  Kem ly vị Phô mai 100ml</t>
  </si>
  <si>
    <t xml:space="preserve">NAGANUMA - Kem ly vị Sô cô la 100ml</t>
  </si>
  <si>
    <t xml:space="preserve">NAGANUMA - Kem ly vị Trà xanh 100ml</t>
  </si>
  <si>
    <t xml:space="preserve">FUTABA- Kem socola Dandy 160ml</t>
  </si>
  <si>
    <t xml:space="preserve">FUTABA- Kem cà phê latte Kaoru 60mlx5c</t>
  </si>
  <si>
    <t xml:space="preserve">MORINAGA- Kem pari pari choco (Hộp 8 chiếc)</t>
  </si>
  <si>
    <t xml:space="preserve">MORINAGA- Kem bánh crepe choco vani ‎70g</t>
  </si>
  <si>
    <t xml:space="preserve">OYAMA- Kem trà xanh đậm vị 8 chiếc</t>
  </si>
  <si>
    <t xml:space="preserve">FUTABA- Kem trà sữa</t>
  </si>
  <si>
    <t xml:space="preserve">SHIROBARA -Kem mattra hoa hồng cao cấp 110g</t>
  </si>
  <si>
    <t xml:space="preserve">FUTABA- Kem Socola 115ml</t>
  </si>
  <si>
    <t xml:space="preserve">FUTABA- Kem 3 vị dâu chuối socola 105ml</t>
  </si>
  <si>
    <t xml:space="preserve">MORINAGA- Kem paxiel choco vani (Hộp 6 chiếc)</t>
  </si>
  <si>
    <t xml:space="preserve">HAAGEN DAZS- Kem socola Bỉ 100ml</t>
  </si>
  <si>
    <t xml:space="preserve">HAAGEN DAZS- Kem vị bánh quy &amp; kem tươi 100ml</t>
  </si>
  <si>
    <t xml:space="preserve">ANYZOO- Bỉm quần Premium size XXL 38 miếng</t>
  </si>
  <si>
    <t xml:space="preserve">MERRIES- BỈM DÁN S 62 + 4 miếng</t>
  </si>
  <si>
    <t xml:space="preserve">MERRIES- Bỉm dán SS 68 + 4 miếng</t>
  </si>
  <si>
    <t xml:space="preserve">MERRIES- Bỉm quần XXL 24 +2 miếng</t>
  </si>
  <si>
    <t xml:space="preserve">MERRIES- BỈM QUẦN XL 38+2 MIẾNG</t>
  </si>
  <si>
    <t xml:space="preserve">MERRIES- BỈM DÁN M 56+4 MIẾNG</t>
  </si>
  <si>
    <t xml:space="preserve">SAGAMI- Bao cao su Original 0.02 (6 chiếc)</t>
  </si>
  <si>
    <t xml:space="preserve">SAGAMI- Bao cao su Xtreme exceed 2000 (12 chiếc)</t>
  </si>
  <si>
    <t xml:space="preserve">SAGAMI- Bao cao su ARE ARE (10 chiếc)</t>
  </si>
  <si>
    <t xml:space="preserve">JEX- Bao cao su Glamourous Butterfly Melty 10chiếc</t>
  </si>
  <si>
    <t xml:space="preserve">JEX- Bao cao su Glamourous Butterfly Hot 12 chiếc</t>
  </si>
  <si>
    <t xml:space="preserve">JEX- Bao cao su Usui Pure Long 12 chiếc</t>
  </si>
  <si>
    <t xml:space="preserve">JEX- Bao cao su UsuUsu Jelia Coat 1000 12 chiếc</t>
  </si>
  <si>
    <t xml:space="preserve">JEX- Bao cao su Long Play Type 8 chiếc</t>
  </si>
  <si>
    <t xml:space="preserve">JEX- Bao cao su ZONE 10 chiếc</t>
  </si>
  <si>
    <t xml:space="preserve">JEX- Bao cao su ZONE Premium 5 chiếc</t>
  </si>
  <si>
    <t xml:space="preserve">JEX- Gel bôi trơn Luve Jelly 55g</t>
  </si>
  <si>
    <t xml:space="preserve">JEX- Gel bôi trơn Luve Jelly Hot 55g</t>
  </si>
  <si>
    <t xml:space="preserve">JEX- Bao cao su Glamourous Butterfly 0.03 Moist 8c</t>
  </si>
  <si>
    <t xml:space="preserve">KĐR AEKYUNG 2080 Dr.Clinic Sensitive Care 125gr</t>
  </si>
  <si>
    <t xml:space="preserve">KĐR DENTAL CLINIC 2080 Shining White 3D Effect</t>
  </si>
  <si>
    <t xml:space="preserve">KĐR DENTAL CLINIC 2080 Dongyi Shenggum 120gr</t>
  </si>
  <si>
    <t xml:space="preserve">LION- Kem đánh răng White &amp; White</t>
  </si>
  <si>
    <t xml:space="preserve">SUNSTAR- KDR ttmuối p/bệnh răng nướu (tuýp 170g)</t>
  </si>
  <si>
    <t xml:space="preserve">CREATE- Tăm nhựa đầu nhỏ vệ sinh răng 60 chiếc</t>
  </si>
  <si>
    <t xml:space="preserve">CREATE- Tăm nha khoa kháng khuẩn M~L 60 chiếc</t>
  </si>
  <si>
    <t xml:space="preserve">CREATE- Tăm nha khoa Smart Inn cỡ nhỏ 30pcs</t>
  </si>
  <si>
    <t xml:space="preserve">UFC- Bàn chải đánh răng Clear Wind Excellent mềm</t>
  </si>
  <si>
    <t xml:space="preserve">UFC- Bàn chải đánh răng Clear Wind EX-S lông mềm</t>
  </si>
  <si>
    <t xml:space="preserve">UFC- Bàn chải đánh răng Clear Wind MX-N lông mềm</t>
  </si>
  <si>
    <t xml:space="preserve">KLEANNARA- BVS SOONSOOHANMYEON siêu mỏng cánh 29cm</t>
  </si>
  <si>
    <t xml:space="preserve">ELLEAIR- BVS ban đêm siêu mỏng có cánh 29cm 15m</t>
  </si>
  <si>
    <t xml:space="preserve">SUNSTAR- KĐR Ora2 bạc hà tự nhiên 140g</t>
  </si>
  <si>
    <t xml:space="preserve">SUNSTAR- KĐR Ora2 Me hương bạc hà 20g</t>
  </si>
  <si>
    <t xml:space="preserve">GATSBY-  Sáp vuốt tóc tạo độ phồng 80g</t>
  </si>
  <si>
    <t xml:space="preserve">GATSBY- Sáp vuốt tóc giữ nếp 80g</t>
  </si>
  <si>
    <t xml:space="preserve">GATSBY- Sáp vuốt tóc tạo kiểu vuốt đứng 80g</t>
  </si>
  <si>
    <t xml:space="preserve">MOIST DIANE- Sữa tắm dưỡng ẩm hương nho trắng</t>
  </si>
  <si>
    <t xml:space="preserve">KRACIE – Dầu gội HIMAWARI suôn mượt 500ml</t>
  </si>
  <si>
    <t xml:space="preserve">KRACIE- Dầu gội HIMAWARI bóng mượt 500ml</t>
  </si>
  <si>
    <t xml:space="preserve">KRACIE- Dầu xả HIMAWARI bóng mượt 500ml</t>
  </si>
  <si>
    <t xml:space="preserve">KRACIE – Dầu gội Ichikami cho tóc nhuộm 480ml</t>
  </si>
  <si>
    <t xml:space="preserve">KRACIE – Dầu xả Ichikami cho tóc nhuộm 480ml</t>
  </si>
  <si>
    <t xml:space="preserve">KRACIE – Dầu xả Ichikami dưỡng ẩm 480g</t>
  </si>
  <si>
    <t xml:space="preserve">KRACIE – Dầu xả Ichikami suôn mượt 480ml</t>
  </si>
  <si>
    <t xml:space="preserve">SHISEIDO – Dầu gội Tsubaki bồng bềnh 450ml</t>
  </si>
  <si>
    <t xml:space="preserve">SHISEIDO – Dầu gội Tsubaki bóng mượt 450ml</t>
  </si>
  <si>
    <t xml:space="preserve">SHISEIDO – Dầu gội Tsubaki giảm gãy rụng 450ml</t>
  </si>
  <si>
    <t xml:space="preserve">SHISEIDO – Dầu gội Tsubaki mát lạnh 450ml</t>
  </si>
  <si>
    <t xml:space="preserve">SHISEIDO – Dầu gội Tsubaki phục hồi 450ml</t>
  </si>
  <si>
    <t xml:space="preserve">SHISEIDO – Dầu xả Tsubaki bóng mượt 450ml</t>
  </si>
  <si>
    <t xml:space="preserve">SHISEIDO – Dầu xả Tsubaki giảm gãy rụng 450ml</t>
  </si>
  <si>
    <t xml:space="preserve">SHISEIDO – Dầu xả Tsubaki mát lạnh 450ml</t>
  </si>
  <si>
    <t xml:space="preserve">SHISEIDO – Dầu xả Tsubaki phục hồi 450ml</t>
  </si>
  <si>
    <t xml:space="preserve">UNO- Sáp vuốt tóc tại kiểu giữa nếp định hình 80g</t>
  </si>
  <si>
    <t xml:space="preserve">UNO- Sữa rửa mặt tạo bọt dạng hạt 130g</t>
  </si>
  <si>
    <t xml:space="preserve">ISEHAN- Bút nước Kissme phẩy sợi lông mày- nâu 1</t>
  </si>
  <si>
    <t xml:space="preserve">ISEHAN- Bút nước Kissme phẩy sợi lông mày- xám 1</t>
  </si>
  <si>
    <t xml:space="preserve">ISEHAN- Chì kẻ mắt Kissme 2 đầu dạng xoay- Đen 01</t>
  </si>
  <si>
    <t xml:space="preserve">ISEHAN- Chì kẻ mắt Kissme 2 đầu dạng xoay- Nâu 02</t>
  </si>
  <si>
    <t xml:space="preserve">ISEHAN- Chì kẻ mày Kissme chống trôi- Nâu 02</t>
  </si>
  <si>
    <t xml:space="preserve">ISEHAN- Chì kẻ mày Kissme chống trôi- Nâu đen 01</t>
  </si>
  <si>
    <t xml:space="preserve">ISEHAN- Chì kẻ mày Kissme chống trôi- Nâu sáng 03</t>
  </si>
  <si>
    <t xml:space="preserve">ISEHAN- Chuốt mi dài cong Kissme màu đen tuyền</t>
  </si>
  <si>
    <t xml:space="preserve">ISEHAN- Chuốt mi dày cong Kissme màu đen bóng</t>
  </si>
  <si>
    <t xml:space="preserve">ISEHAN- Chuốt mi Kissme cong và dài mi (Đen new)</t>
  </si>
  <si>
    <t xml:space="preserve">ISEHAN- Chuốt mi Kissme tơi và dài mi (đen 01)</t>
  </si>
  <si>
    <t xml:space="preserve">ISEHAN- Kẻ mắt nước Kissme chống trôi 01(Đen)</t>
  </si>
  <si>
    <t xml:space="preserve">ISEHAN- Kẻ mắt nước Kissme chống trôi 03(Nâu)</t>
  </si>
  <si>
    <t xml:space="preserve">ISEHAN- Kẻ mắt nước Kissme chống trôi màu đen</t>
  </si>
  <si>
    <t xml:space="preserve">ISEHAN- Kẻ mắt nước Kissme chống trôi màu nâu</t>
  </si>
  <si>
    <t xml:space="preserve">ISEHAN- Kẻ mắt nước Kissme chống trôi màu nâu đen</t>
  </si>
  <si>
    <t xml:space="preserve">ISEHAN- Kem lót Kissme chống nắng (xanh 02)</t>
  </si>
  <si>
    <t xml:space="preserve">ISEHAN- Mascara Kissme dài và cong mi</t>
  </si>
  <si>
    <t xml:space="preserve">ISEHAN- Mascara Kissme lót nền làm dài và rậm mi</t>
  </si>
  <si>
    <t xml:space="preserve">ISEHAN- Mascara Kissme màng film đen 01</t>
  </si>
  <si>
    <t xml:space="preserve">ISEHAN- Mascara Kissme màng film nâu đen 02</t>
  </si>
  <si>
    <t xml:space="preserve">ISEHAN- Mascara Kissme tẩy trang mi</t>
  </si>
  <si>
    <t xml:space="preserve">ISEHAN- Mascara làm dài và cong mi 02 nâu new</t>
  </si>
  <si>
    <t xml:space="preserve">ISEHAN-Chì kẻ lông mày Kissme màu nâu sáng</t>
  </si>
  <si>
    <t xml:space="preserve">INFINITY – Mặt nạ My Lover's đào cao cấp 1P</t>
  </si>
  <si>
    <t xml:space="preserve">INFINITY – Mặt nạ My Lover's lily trắng cao cấp 1P</t>
  </si>
  <si>
    <t xml:space="preserve">INFINITY – Mặt nạ My Lover's lựu đỏ cao cấp 1P</t>
  </si>
  <si>
    <t xml:space="preserve">INFINITY – Mặt nạ My Lover's matcha cao cấp 1P</t>
  </si>
  <si>
    <t xml:space="preserve">INFINITY – Mặt nạ My Lover's NMN cao cấp 1P</t>
  </si>
  <si>
    <t xml:space="preserve">INFINITY – Mặt nạ My Lover's yuzu cao cấp 1P</t>
  </si>
  <si>
    <t xml:space="preserve">MOIST DIANE- Dầu xả kiểm soát dầu 450ml</t>
  </si>
  <si>
    <t xml:space="preserve">MOIST DIANE-Dầu xả phục hồi tóc hư tổn nặng 450ml</t>
  </si>
  <si>
    <t xml:space="preserve">CEZANNE - Kem nền 5in1 BB Cream #1</t>
  </si>
  <si>
    <t xml:space="preserve">CEZANNE - Kem nền 5in1 BB Cream #3</t>
  </si>
  <si>
    <t xml:space="preserve">CEZANNE - Kem nền Lasting Cover Foundation #00</t>
  </si>
  <si>
    <t xml:space="preserve">CEZANNE - Mascara dài mi Separate Long #Black</t>
  </si>
  <si>
    <t xml:space="preserve">CEZANNE - Mascara dưỡng mi Eyelash Essence EX</t>
  </si>
  <si>
    <t xml:space="preserve">CEZANNE - Phấn má Cheek Blush #03 Hồng tím</t>
  </si>
  <si>
    <t xml:space="preserve">CEZANNE - Phấn má Cheek Blush #04 Hồng tươi</t>
  </si>
  <si>
    <t xml:space="preserve">CEZANNE - Phấn phủ che tóc Hair Makeup Powder</t>
  </si>
  <si>
    <t xml:space="preserve">CEZANNE – Son thỏi Lasting Lip Color #504</t>
  </si>
  <si>
    <t xml:space="preserve">CEZANNE- Son thỏi Lasting Lip Color 402 (Đỏ)</t>
  </si>
  <si>
    <t xml:space="preserve">CEZANNE- Son thỏi Lasting Lip Color 501 (Cam tươi)</t>
  </si>
  <si>
    <t xml:space="preserve">S-LABO- Lẻ mặt nạ tinh chất CICA 1 miếng</t>
  </si>
  <si>
    <t xml:space="preserve">S-LABO- Lẻ mặt nạ tinh chất NMN 1 miếng</t>
  </si>
  <si>
    <t xml:space="preserve">S-LABO- Lẻ mặt nạ tinh chất vitamin C 1 miếng</t>
  </si>
  <si>
    <t xml:space="preserve">SABORINO_Mặt nạ buổi sáng hương trái cây 1 miếng</t>
  </si>
  <si>
    <t xml:space="preserve">HOYU- Kem Nhuộm Tóc Bigen Speedy  6 Nâu Đen</t>
  </si>
  <si>
    <t xml:space="preserve">HOYU- Kem Nhuộm Tóc Bigen Speedy 3 Nâu Nhạt</t>
  </si>
  <si>
    <t xml:space="preserve">HOYU- Kem Nhuộm Tóc Bigen Speedy 4N Nâu Caramen</t>
  </si>
  <si>
    <t xml:space="preserve">HOYU- Kem Nhuộm Tóc Bigen Speedy 5 Nâu Sẫm</t>
  </si>
  <si>
    <t xml:space="preserve">HOYU- Kem Nhuộm Tóc Bigen Speedy 7- Nâu đen sẫm</t>
  </si>
  <si>
    <t xml:space="preserve">KUMANO-Sữa tắm Pharmaact Men's siêu mát 600ml</t>
  </si>
  <si>
    <t xml:space="preserve">UNICHARM- Bông tẩy trang (82 tờ x2)</t>
  </si>
  <si>
    <t xml:space="preserve">MEISHOKU- Gel dưỡng trắng giảm nhăn 50g</t>
  </si>
  <si>
    <t xml:space="preserve">KOSE- Dầu gội than hoạt tính Softymo MENʼS 550ml</t>
  </si>
  <si>
    <t xml:space="preserve">KOSE- Sữa rửa mặt hoạt tính Softymo MENʼS 130g</t>
  </si>
  <si>
    <t xml:space="preserve">KOSE- Sữa tắm than hoạt tính Softymo MENʼS 550ml</t>
  </si>
  <si>
    <t xml:space="preserve">CURE- Dầu tẩy trang Extra Oil Cleansing 200ml</t>
  </si>
  <si>
    <t xml:space="preserve">CURE- Gel tẩy da chết White Clear da nhạy cảm 200g</t>
  </si>
  <si>
    <t xml:space="preserve">MEISHOKU- Kem dưỡng trắng mịn Cvita 45g</t>
  </si>
  <si>
    <t xml:space="preserve">MEISHOKU- Tinh chất dưỡng Cvita 30g</t>
  </si>
  <si>
    <t xml:space="preserve">MEISHOKU- Kem chống nắng cho da nhạy cảm 40g</t>
  </si>
  <si>
    <t xml:space="preserve">MEISHOKU- Nước hoa hồng dưỡng trắng Cvita 150ml</t>
  </si>
  <si>
    <t xml:space="preserve">MEISHOKU- SRM ngăn ngừa mụn Bigan 80g</t>
  </si>
  <si>
    <t xml:space="preserve">MEISHOKU- Kem gel dưỡng ẩm phục hồi chuyên sâu 50g</t>
  </si>
  <si>
    <t xml:space="preserve">MEISHOKU- Tinh chất dưỡng ẩm chuyên sâu 30ml</t>
  </si>
  <si>
    <t xml:space="preserve">WHITE CONC- Sữa tắm trắng da toàn thân (360ml)</t>
  </si>
  <si>
    <t xml:space="preserve">WHITE CONC- Xịt dưỡng trắng body (245ml)</t>
  </si>
  <si>
    <t xml:space="preserve">ALOINS- Kem dưỡng da toàn thân Aloins Cream 185g</t>
  </si>
  <si>
    <t xml:space="preserve">WHITE CONC- Kem dưỡng trắng body White CC (200g)</t>
  </si>
  <si>
    <t xml:space="preserve">WHITE CONC- Tẩy da chết trắng da body (180g)</t>
  </si>
  <si>
    <t xml:space="preserve">ABL- Tinh chất chống lão hoá Pure Retinol 60ml</t>
  </si>
  <si>
    <t xml:space="preserve">COTTON LABO- Giấy thấm dầu (150 tờ)</t>
  </si>
  <si>
    <t xml:space="preserve">JANAMI- Kem dưỡng sáng mờ nám Bihaku gel cream 30g</t>
  </si>
  <si>
    <t xml:space="preserve">JANAMI- Kem chống nắng dưỡng trắng nâng tone 30g</t>
  </si>
  <si>
    <t xml:space="preserve">LSC-Lotion trà xanh 500ml</t>
  </si>
  <si>
    <t xml:space="preserve">IKIMOTO- TP bảo vệ sức khỏe NMN 18000+ (150v)</t>
  </si>
  <si>
    <t xml:space="preserve">BLACKMORES - Viên uống bổ sung VitaminC lọ 31 viên</t>
  </si>
  <si>
    <t xml:space="preserve">BLACKMORES - Viên uống hỗ trợ cân bằng nội tiết tố</t>
  </si>
  <si>
    <t xml:space="preserve">BLACKMORES- Viên uống hỗ trợ giảm Cholesterol 60 viên</t>
  </si>
  <si>
    <t xml:space="preserve">ZERIA- Viên uống bổ gan Hepalyse GX 360 viên</t>
  </si>
  <si>
    <t xml:space="preserve">ZERIA- Viên uống bổ gan Hepalyse Plus II (180v) </t>
  </si>
  <si>
    <t xml:space="preserve">ZERIA- Viên uống Chondroitin bổ xương khớp ZS 270v</t>
  </si>
  <si>
    <t xml:space="preserve">ZERIA-Th.uống bổ gan&amp;giảm mệt HepalyseII 50mlx10c</t>
  </si>
  <si>
    <t xml:space="preserve">ZERIA-Thức uống bổ gan Hepalyse HiPlus 50mlx10chai</t>
  </si>
  <si>
    <t xml:space="preserve">ALFE- Nước uống collagen Beauty Conc 50mlx10chai</t>
  </si>
  <si>
    <t xml:space="preserve">ALFE- Nước uống collagen Deep Essence 50mlx10chai</t>
  </si>
  <si>
    <t xml:space="preserve">ALFE- Nước uống collagen White Program 50mlx10chai</t>
  </si>
  <si>
    <t xml:space="preserve">API- Thức uống Collagen 82x 120000 Classic 500g</t>
  </si>
  <si>
    <t xml:space="preserve">API- Thức uống Collagen 82x 120000 Sakura 500g</t>
  </si>
  <si>
    <t xml:space="preserve">API- Thức uống Collagen 82x The Pink 100mlx10 chai</t>
  </si>
  <si>
    <t xml:space="preserve">API- Thức uống Placenta 82x 450000 Classic 500g</t>
  </si>
  <si>
    <t xml:space="preserve">API- Thức uống Placenta 82x 450000 Sakura 500g</t>
  </si>
  <si>
    <t xml:space="preserve">NUCOS- Nước uống Collagen Spa mịn da 50ml x10chai</t>
  </si>
  <si>
    <t xml:space="preserve">NUCOS- Nước uống Collagen Spa sáng da 50ml x10chai</t>
  </si>
  <si>
    <t xml:space="preserve">NUCOS-Nước uống SuperWhite chống nắng 50ml x10chai</t>
  </si>
  <si>
    <t xml:space="preserve">ORIHIRO- Trà giảm mỡ bụng Genpi (3g x 60 gói)</t>
  </si>
  <si>
    <t xml:space="preserve">JANAMI - NMN+ Biotech</t>
  </si>
  <si>
    <t xml:space="preserve">JANAMI- Viên uống thanh lọc cơ thể Bella The Keto</t>
  </si>
  <si>
    <t xml:space="preserve">SBI- Viên uống 5-ALA 25mg 30 viên</t>
  </si>
  <si>
    <t xml:space="preserve">HARU SAKURA BEEF - Thịt bò thăn ngoại Bít tết 200g</t>
  </si>
  <si>
    <t xml:space="preserve">KAO- Nước rửa bát Kyukyuto diệt khuẩn 1250ml</t>
  </si>
  <si>
    <t xml:space="preserve">KAO- Nước rửa bát Kyukyuto hương cam 1250ml</t>
  </si>
  <si>
    <t xml:space="preserve">KAO-Nước rửa bát Kyukyuto hương hoa cỏ 1250ml</t>
  </si>
  <si>
    <t xml:space="preserve">P&amp;G- Viên giặt Bold 4D màu tím 13 viên</t>
  </si>
  <si>
    <t xml:space="preserve">P&amp;G- Viên giặt Bold 4D màu trắng 13 viên</t>
  </si>
  <si>
    <t xml:space="preserve">FINISH - Viên rửa bát QUANTUM hương chanh 21v</t>
  </si>
  <si>
    <t xml:space="preserve">FINISH- Viên rửa bát ULTIMATE PLUS hương chanh 18v</t>
  </si>
  <si>
    <t xml:space="preserve">FINISH - Viên rửa bát POWER CLEAN &amp; SHINE 100v</t>
  </si>
  <si>
    <t xml:space="preserve">FINISH - Viên rửa chén QUANTUM hương chanh 64v</t>
  </si>
  <si>
    <t xml:space="preserve">FINISH - Viên rửa chén ESSENTIAL hương chanh 100v</t>
  </si>
  <si>
    <t xml:space="preserve">EARTH- Viên rửa bát Finish cho máy rửa bát 150viên</t>
  </si>
  <si>
    <t xml:space="preserve">SKK - Nồi nấu đa năng size 18cm</t>
  </si>
  <si>
    <t xml:space="preserve">SKK- Gia dụng nhà bếp đa năng</t>
  </si>
  <si>
    <t xml:space="preserve">NISHIMATSUYA- Bộ đồ Body thu đông trẻ em</t>
  </si>
  <si>
    <t xml:space="preserve"> NISHIMATSUYA- Set đồ thu đông trẻ em Nhật Bản</t>
  </si>
  <si>
    <t xml:space="preserve">NISHIMATSUYA- Áo Sơ Mi Trẻ em Nhật Bản</t>
  </si>
  <si>
    <t xml:space="preserve">NISHIMATSUYA- Phụ kiện Giữ ấm Mùa đông Nhật Bản</t>
  </si>
  <si>
    <t xml:space="preserve">NISHIMATSUYA- Quần Len Nỉ Nhật Bản</t>
  </si>
  <si>
    <t xml:space="preserve">NISHIMATSUYA- Quần Len Nỉ Nhật Bản new</t>
  </si>
  <si>
    <t xml:space="preserve">NISHIMATSUYA- Tất và Quần tất Trẻ em Nhật Bản</t>
  </si>
  <si>
    <t xml:space="preserve">NISHIMATSUYA- Áo cho bé gái</t>
  </si>
  <si>
    <t xml:space="preserve">NISHIMATSUYA- Áo cho trẻ em trai</t>
  </si>
  <si>
    <t xml:space="preserve">NISHIMATSUYA- Áo cho trẻ em gái</t>
  </si>
  <si>
    <t xml:space="preserve">NISHIMATSUYA- Đồ lót cho bé gái</t>
  </si>
  <si>
    <t xml:space="preserve">NISHIMATSUYA- Đồ bơi cho trẻ em trai</t>
  </si>
  <si>
    <t xml:space="preserve">NISHIMATSUYA- Đồ bơi cho trẻ em nữ</t>
  </si>
  <si>
    <t xml:space="preserve">NISHIMATSUYA- Mũ cho bé</t>
  </si>
  <si>
    <t xml:space="preserve">NISHIMATSUYA- Quần mùa hè trẻ em Nhật Bản</t>
  </si>
  <si>
    <t xml:space="preserve">NISHIMATSUYA- Đồ bơi trẻ em Nhật Bản</t>
  </si>
  <si>
    <t xml:space="preserve">NISHIMATSUYA- Phụ kiện mùa hè trẻ em new</t>
  </si>
  <si>
    <t xml:space="preserve">NISHIMATSUYA- Quần cho bé gái</t>
  </si>
  <si>
    <t xml:space="preserve">NISHIMATSUYA- Quần cho trẻ em trai</t>
  </si>
  <si>
    <t xml:space="preserve">NISHIMATSUYA- Quần cho trẻ em gái</t>
  </si>
  <si>
    <t xml:space="preserve">NISHIMATSUYA- Váy và chân váy mùa hè</t>
  </si>
  <si>
    <t xml:space="preserve">NISHIMATSUYA- Váy liền thân bé gái</t>
  </si>
  <si>
    <t xml:space="preserve">NISHIMATSUYA- Chân váy cho bé gái</t>
  </si>
  <si>
    <t xml:space="preserve">KOUYU- Quần lót đùi nam Trunk M</t>
  </si>
  <si>
    <t xml:space="preserve">KOUYU- Quần lót đùi nam Trunk L</t>
  </si>
  <si>
    <t xml:space="preserve">KOUYU- Áo lót nam cổ V màu trắng M</t>
  </si>
  <si>
    <t xml:space="preserve">KOUYU- Áo lót nam cổ V màu trắng L</t>
  </si>
  <si>
    <t xml:space="preserve">KOUYU- Áo lót nam cổ V màu trắng XL</t>
  </si>
  <si>
    <t xml:space="preserve">ORIHIRO- Thạch mềm vị đào và xoài 240g</t>
  </si>
  <si>
    <t xml:space="preserve">ORIHIRO- Thạch mềm vị táo và nho 20g x 12 cái</t>
  </si>
  <si>
    <t xml:space="preserve">TARAMI - Thạch cam 160g</t>
  </si>
  <si>
    <t xml:space="preserve">CALBEE- Ngũ cốc trái cây 600g</t>
  </si>
  <si>
    <t xml:space="preserve">Calbee - Ngũ cốc trái cây 750g</t>
  </si>
  <si>
    <t xml:space="preserve">Calbee -Ngũ cốc trái cây ít đường 550g</t>
  </si>
  <si>
    <t xml:space="preserve">AJINOMOTO- Mì chính 1Kg</t>
  </si>
  <si>
    <t xml:space="preserve">AJINOMOTO- Dầu gạo 900g</t>
  </si>
  <si>
    <t xml:space="preserve">YOUKI- Hộp hạt nêm 500g</t>
  </si>
  <si>
    <t xml:space="preserve">AJINOMOTO- Hạt nêm tảo bẹ 8gx7 gói</t>
  </si>
  <si>
    <t xml:space="preserve">KANE7- Hạt nêm nấm hương shiitake 4gx10 gói</t>
  </si>
  <si>
    <t xml:space="preserve">NISSIN - Ngũ cốc dinh dưỡng vị socola 200g</t>
  </si>
  <si>
    <t xml:space="preserve">NISSIN - Ngũ cốc dinh dưỡng vị vani 220g</t>
  </si>
  <si>
    <t xml:space="preserve">NISSIN - Ngũ cốc dinh dưỡng vị ngô 180g</t>
  </si>
  <si>
    <t xml:space="preserve">HIROSHIKI- Gia vị hầm xương gà cô đặc (hộp 1000g)</t>
  </si>
  <si>
    <t xml:space="preserve">AJINOMOTO- Hạt nêm vị thịt và rau củ 50g</t>
  </si>
  <si>
    <t xml:space="preserve">TANAKA FOODS- Gia vị rắc cơm 6 vị 30 gói</t>
  </si>
  <si>
    <t xml:space="preserve">QBB- Phô mai vị chanh vàng 90g (6 miếng)</t>
  </si>
  <si>
    <t xml:space="preserve">QBB- Phô mai dâu mâm xôi việt quất 90g (6 miếng)</t>
  </si>
  <si>
    <t xml:space="preserve">QBB- Phô mai các loại hạt dinh dưỡng 90g (6 miếng)</t>
  </si>
  <si>
    <t xml:space="preserve">QBB- Phô mai vị nho 90g (6 miếng)</t>
  </si>
  <si>
    <t xml:space="preserve">QBB- Phô mai vị vanilla 90g (6 miếng)</t>
  </si>
  <si>
    <t xml:space="preserve">QBB- Phô mai vị việt quất 90g (6 miếng)</t>
  </si>
  <si>
    <t xml:space="preserve">QBB- Phô mai vị chuối 90g (6 miếng)</t>
  </si>
  <si>
    <t xml:space="preserve">QBB- Phô mai Q-chan bổ sung canxi 90g (6 miếng)</t>
  </si>
  <si>
    <t xml:space="preserve">QBB- Phô mai vị dâu tây 90g (6 miếng)</t>
  </si>
  <si>
    <t xml:space="preserve">QBB- Phomai vị dưa lưới 90g ( 6 miếng)</t>
  </si>
  <si>
    <t xml:space="preserve">QBB- Phô mai tráng miệng vị Đào &amp; Trà bá tước 90g</t>
  </si>
  <si>
    <t xml:space="preserve">QBB - Phô mai vị bánh kem dâu 90g</t>
  </si>
  <si>
    <t xml:space="preserve">KAO- Kem đánh răng cho bé vị dưa gang 70g</t>
  </si>
  <si>
    <t xml:space="preserve">KAO-Kem đánh răng hương nho 70g</t>
  </si>
  <si>
    <t xml:space="preserve">NISSIN- Mỳ mug trắng Mr.Mug 94g</t>
  </si>
  <si>
    <t xml:space="preserve">BEAN STALK– Bánh gạo cá mòi 20g (từ 9 tháng)</t>
  </si>
  <si>
    <t xml:space="preserve">BEANSTALK- Bánh ăn dặm 6 loại rau củ 6 tháng 20g</t>
  </si>
  <si>
    <t xml:space="preserve">BEANSTALK- Bánh ăn dặm canxi rong biển 6 tháng 20g</t>
  </si>
  <si>
    <t xml:space="preserve">BEANSTALK- Bánh gạo bổ sung canxi 6 tháng (20g)</t>
  </si>
  <si>
    <t xml:space="preserve">BEANSTALK- Bánh gạo rong biển tôm 9 tháng 5 góix2c</t>
  </si>
  <si>
    <t xml:space="preserve">COW- Xà phòng tắm bé hương dịu 90g</t>
  </si>
  <si>
    <t xml:space="preserve">COW- Sữa tắm bọt bé không mùi 400ml</t>
  </si>
  <si>
    <t xml:space="preserve">COW- Sữa tắm bọt bé dưỡng ẩm 400ml</t>
  </si>
  <si>
    <t xml:space="preserve">COW- Sữa tắm bọt bé dưỡng ẩm 350ml Refill</t>
  </si>
  <si>
    <t xml:space="preserve">COW- Dầu gội bọt bé hương dịu 300ml Refill</t>
  </si>
  <si>
    <t xml:space="preserve">COW- Dầu gội bọt bé hương dịu 350ml</t>
  </si>
  <si>
    <t xml:space="preserve">COW- Sữa tắm bọt bé hương mát 400ml</t>
  </si>
  <si>
    <t xml:space="preserve">COW- Sữa tắm bọt bé không mùi 350ml Refill</t>
  </si>
  <si>
    <t xml:space="preserve">KRACIE LATTE- Dầu gội MaMe cho bé &amp; gia đình 490ml</t>
  </si>
  <si>
    <t xml:space="preserve">Cocacola chai 300ml</t>
  </si>
  <si>
    <t xml:space="preserve">COCACOLA- Lon 160ml</t>
  </si>
  <si>
    <t xml:space="preserve">ASAHI- Trà Ô long giảm mỡ 2L</t>
  </si>
  <si>
    <t xml:space="preserve">KIRIN- Trà sữa 1,5L</t>
  </si>
  <si>
    <t xml:space="preserve">ORIHIRO- Trà lá ổi nguyên chất 100% (2gx60 túi)</t>
  </si>
  <si>
    <t xml:space="preserve">ORIHIRO- Trà diếp cá túi lọc- 3gx60 gói</t>
  </si>
  <si>
    <t xml:space="preserve">AGF- Cà phê hòa tan Blendy Stick vị sữa 8 thanh</t>
  </si>
  <si>
    <t xml:space="preserve">Số SKU chủ lực = 0 tại CH</t>
  </si>
  <si>
    <t xml:space="preserve">% phủ SKU chủ lực</t>
  </si>
  <si>
    <t xml:space="preserve">Trạng thái KD</t>
  </si>
  <si>
    <t xml:space="preserve">Có trong file tồn?</t>
  </si>
  <si>
    <t xml:space="preserve">FUTABA- Kem ly Sacre vị chanh</t>
  </si>
  <si>
    <t xml:space="preserve">NGỪNG NHẬP</t>
  </si>
  <si>
    <t xml:space="preserve">Không</t>
  </si>
  <si>
    <t xml:space="preserve">MERRIES- Bỉm quần XXL 26 miếng</t>
  </si>
  <si>
    <t xml:space="preserve">NGỪNG SẢN XUẤT - RENEW</t>
  </si>
  <si>
    <t xml:space="preserve">MERRIES- Bỉm dán M 64 miếng</t>
  </si>
  <si>
    <t xml:space="preserve">MERRIES- Bỉm quần M 58 miếng</t>
  </si>
  <si>
    <t xml:space="preserve">MERRIES- Bỉm dán SS 90 miếng</t>
  </si>
  <si>
    <t xml:space="preserve">MERRIES- Bỉm dán S 82 miếng</t>
  </si>
  <si>
    <t xml:space="preserve">MERRIES- Bỉm quần XL 38 + 6 miếng </t>
  </si>
  <si>
    <t xml:space="preserve">MERRIES- BỈM QUẦN XL 38+6 MIẾNG</t>
  </si>
  <si>
    <t xml:space="preserve">MERRIES- Bỉm quần XXL 26+2 miếng</t>
  </si>
  <si>
    <t xml:space="preserve">MERRIES- Bỉm dán M 64+4 miếng </t>
  </si>
  <si>
    <t xml:space="preserve">MERRIES- Bỉm dán SS 90+6 miếng</t>
  </si>
  <si>
    <t xml:space="preserve">MERRIES- Bỉm quần M 58+6 miếng</t>
  </si>
  <si>
    <t xml:space="preserve">MERRIES- Bỉm quần S 62 + 6 miếng</t>
  </si>
  <si>
    <t xml:space="preserve">MERRIES- Bỉm dán S 82+6 miếng</t>
  </si>
  <si>
    <t xml:space="preserve">MERRIES- Bỉm quần L 44+6 miếng</t>
  </si>
  <si>
    <t xml:space="preserve">MERRIES- BỈM QUẦN XXL 26+2 MIẾNG</t>
  </si>
  <si>
    <t xml:space="preserve">ANYZOO- Bỉm dán S 82 miếng</t>
  </si>
  <si>
    <t xml:space="preserve">ANYZOO- Bỉm dán M 64 miếng</t>
  </si>
  <si>
    <t xml:space="preserve">ANYZOO- Bỉm quần M 58 miếng</t>
  </si>
  <si>
    <t xml:space="preserve">ANYZOO- Bỉm quần XL 38 miếng</t>
  </si>
  <si>
    <t xml:space="preserve">MEGUMI- Bỉm dán S 58 miếng</t>
  </si>
  <si>
    <t xml:space="preserve">MEGUMI- Bỉm dán M 46 miếng</t>
  </si>
  <si>
    <t xml:space="preserve">MEGUMI- Bỉm dán L 32 miếng</t>
  </si>
  <si>
    <t xml:space="preserve">MEGUMI- Bỉm quần M 50 miếng</t>
  </si>
  <si>
    <t xml:space="preserve">MEGUMI- Bỉm quần L 44 miếng</t>
  </si>
  <si>
    <t xml:space="preserve">ĐÓNG MÃ</t>
  </si>
  <si>
    <t xml:space="preserve">MEGUMI- Bỉm quần XL 38 miếng</t>
  </si>
  <si>
    <t xml:space="preserve">MEGUMI- Bỉm quần XXL 26 miếng</t>
  </si>
  <si>
    <t xml:space="preserve">MEGUMI- Bỉm quần XXXL 20 miếng</t>
  </si>
  <si>
    <t xml:space="preserve">ISEHAN- Mascara chải đổi màu lông mày (nâu tro 03)</t>
  </si>
  <si>
    <t xml:space="preserve">HÀNG ORDER</t>
  </si>
  <si>
    <t xml:space="preserve">ISEHAN- Mascara Kissme đổi màu lông mày nâu sáng</t>
  </si>
  <si>
    <t xml:space="preserve">ISEHAN-Chì kẻ lông mày Kissme chống trôi nâu tro</t>
  </si>
  <si>
    <t xml:space="preserve">ISEHAN-Set 2 Mascara Kissme dài mi màu đen 4ml</t>
  </si>
  <si>
    <t xml:space="preserve">HADAOMOI- Gel dưỡng ẩm tế bào gốc Suhada 290g</t>
  </si>
  <si>
    <t xml:space="preserve">Có</t>
  </si>
  <si>
    <t xml:space="preserve">KAI- Dao nhà bếp Hocho màu vàng 78mm</t>
  </si>
  <si>
    <t xml:space="preserve">KAI - DAO SK15: 8'' CHINESE KNIFE 041BE0067</t>
  </si>
  <si>
    <t xml:space="preserve">KAI - Chảo DW-5639 CHO KARUI FRYPAN 32CM</t>
  </si>
  <si>
    <t xml:space="preserve">KAIYO- Phích giữ nhiệt 2 lớp inox màu vàng 2L</t>
  </si>
  <si>
    <t xml:space="preserve">DUY TRÌ THƯỜNG XUYÊN</t>
  </si>
  <si>
    <t xml:space="preserve">SKK - Vỏ chai giữ nhiệt 500ml</t>
  </si>
  <si>
    <t xml:space="preserve">SKK - Chảo chống dính cao cấp size 14cm</t>
  </si>
  <si>
    <t xml:space="preserve">SKK - Chảo chống dính cao cấp size 18cm</t>
  </si>
  <si>
    <t xml:space="preserve">SKK - Chảo chống dính cao cấp size 27x21cm</t>
  </si>
  <si>
    <t xml:space="preserve">SKK - Chảo chống dính cao cấp size 26cm</t>
  </si>
  <si>
    <t xml:space="preserve">SKK - Nồi áp suất 3.0L</t>
  </si>
  <si>
    <t xml:space="preserve">SKK - Nồi áp suất 5.5L</t>
  </si>
  <si>
    <t xml:space="preserve">NISHIMATSUYA- Set bộ quần áo cho bé gái sơ sinh</t>
  </si>
  <si>
    <t xml:space="preserve">HMV-HÈ</t>
  </si>
  <si>
    <t xml:space="preserve">NISHIMATSUYA-Áo phông T-shirt bé gái 140 cm black</t>
  </si>
  <si>
    <t xml:space="preserve">NISHIMATSUYA-Áo phông ngắn tay bé gái 130 cm blue</t>
  </si>
  <si>
    <t xml:space="preserve">NISHIMATSUYA-Áo phông T-shirt bé gái 150 cm </t>
  </si>
  <si>
    <t xml:space="preserve">NISHIMATSUYA- Set 2 bộ quần áo mùa hè bé trai</t>
  </si>
  <si>
    <t xml:space="preserve">NISHIMATSUYA-Quần ngố bé trai 100 cm màu be</t>
  </si>
  <si>
    <t xml:space="preserve">NISHIMATSUYA-Quần ngố denim bé gái 110 cm blue</t>
  </si>
  <si>
    <t xml:space="preserve">NISHIMATSUYA-Quần short bé gái 110 cm blue</t>
  </si>
  <si>
    <t xml:space="preserve">NISHIMATSUYA- Set quần mùa hè bé trai</t>
  </si>
  <si>
    <t xml:space="preserve">NISHIMATSUYA-Váy liền 110 cm pink</t>
  </si>
  <si>
    <t xml:space="preserve">MILKY MILKY- Xăng đan quai ngang bản đôi S-Bạc</t>
  </si>
  <si>
    <t xml:space="preserve">HÀNG NEW</t>
  </si>
  <si>
    <t xml:space="preserve">MILKY MILKY- Xăng đan quai ngang bản đôi LL-Đen</t>
  </si>
  <si>
    <t xml:space="preserve">FIRSTCONTACT-Giày búp bê đế xuồng đính nơ 23-Trắng</t>
  </si>
  <si>
    <t xml:space="preserve">LIVRE DE POCHE- Xăng đan đế xuồng quai lưới LL-Be</t>
  </si>
  <si>
    <t xml:space="preserve">SKRStep - Giày búp bê Mary Jane Be L/23017</t>
  </si>
  <si>
    <t xml:space="preserve">SKRStep - Giày búp bê Mary Jane Be LL/23017</t>
  </si>
  <si>
    <t xml:space="preserve">SKRStep - Giày búp bê Mary Jane Be M/23017</t>
  </si>
  <si>
    <t xml:space="preserve">SKRStep - Giày búp bê Mary Jane Be S/23017</t>
  </si>
  <si>
    <t xml:space="preserve">SKRStep - Giày búp bê Mary Jane Caramel L/23017</t>
  </si>
  <si>
    <t xml:space="preserve">SKRStep - Giày búp bê Mary Jane Caramel LL/23017</t>
  </si>
  <si>
    <t xml:space="preserve">SKRStep - Giày búp bê Mary Jane Caramel M/23017</t>
  </si>
  <si>
    <t xml:space="preserve">SKRStep - Giày búp bê Mary Jane Caramel S/23017</t>
  </si>
  <si>
    <t xml:space="preserve">SKRStep - Giày búp bê Mary Jane Đen M/23017</t>
  </si>
  <si>
    <t xml:space="preserve">SKRStep - Giày búp bê Mary Jane Đen L/23017</t>
  </si>
  <si>
    <t xml:space="preserve">SKRStep - Giày búp bê Mary Jane Đen LL/23017</t>
  </si>
  <si>
    <t xml:space="preserve">SKRStep- Giày búp bê Arch Contact Be 22.5/39194</t>
  </si>
  <si>
    <t xml:space="preserve">SKRStep - Giày búp bê Arch Contact Be 23/39194</t>
  </si>
  <si>
    <t xml:space="preserve">SKRStep- Giày búp bê Arch Contact Be 23.5/39194</t>
  </si>
  <si>
    <t xml:space="preserve">SKRStep - Giày búp bê Arch Contact Be 24/39194</t>
  </si>
  <si>
    <t xml:space="preserve">SKRStep- Giày búp bê Arch Contact Be 24.5/39194</t>
  </si>
  <si>
    <t xml:space="preserve">SKRStep-Giày búp bê A.Contact Charcoal 22.5/39194</t>
  </si>
  <si>
    <t xml:space="preserve">SKRStep-Giày búp bê A.Contact Charcoal 23.5/39194</t>
  </si>
  <si>
    <t xml:space="preserve">SKRStep-Giày búp bê A.Contact Charcoal 24.5/39194</t>
  </si>
  <si>
    <t xml:space="preserve">SKRStep-Giày búp bê Arch Contact Charcoal 24/39194</t>
  </si>
  <si>
    <t xml:space="preserve">SKRStep - Giày búp bê Arch Contact Đen 22.5/39194</t>
  </si>
  <si>
    <t xml:space="preserve">SKRStep - Giày búp bê Arch Contact Đen 23/39194</t>
  </si>
  <si>
    <t xml:space="preserve">SKRStep - Giày búp bê Arch Contact Đen 23.5/39194</t>
  </si>
  <si>
    <t xml:space="preserve">SKRStep - Giày búp bê Arch Contact Đen 24.5/39194</t>
  </si>
  <si>
    <t xml:space="preserve">SKRStep - Giày 4cm First Contact Charcoal 23/39520</t>
  </si>
  <si>
    <t xml:space="preserve">SKRStep - Giày 4cm First Contact Charcoal 23.5/39520</t>
  </si>
  <si>
    <t xml:space="preserve">SKRStep - Giày 4cm First Contact Charcoal 24/39520</t>
  </si>
  <si>
    <t xml:space="preserve">SKRStep - Giày 4cm First Contact Charcoal 24.5/39520</t>
  </si>
  <si>
    <t xml:space="preserve">SKRStep - Giày 4cm First Contact Đen 22.5/39520</t>
  </si>
  <si>
    <t xml:space="preserve">SKRStep - Giày 4cm First Contact Đen 23/39520</t>
  </si>
  <si>
    <t xml:space="preserve">SKRStep - Giày 4cm First Contact Đen 23.5/39520</t>
  </si>
  <si>
    <t xml:space="preserve">SKRStep - Giày 4cm First Contact Đen 24/39520</t>
  </si>
  <si>
    <t xml:space="preserve">SKRStep - Giày 4cm First Contact Đen 24.5/39520</t>
  </si>
  <si>
    <t xml:space="preserve">SKRStep - Giày mũi tròn AC Charcoal 23/49130</t>
  </si>
  <si>
    <t xml:space="preserve">SKRStep - Giày mũi tròn AC Charcoal 23.5/49130</t>
  </si>
  <si>
    <t xml:space="preserve">SKRStep - Giày mũi tròn AC Charcoal 24/49130</t>
  </si>
  <si>
    <t xml:space="preserve">SKRStep - Giày mũi tròn AC Charcoal 24.5/49130</t>
  </si>
  <si>
    <t xml:space="preserve">SKRStep - Giày mũi tròn AC Đen 22.5/49130</t>
  </si>
  <si>
    <t xml:space="preserve">SKRStep - Giày mũi tròn AC Đen 23/49130</t>
  </si>
  <si>
    <t xml:space="preserve">SKRStep - Giày mũi tròn AC Đen 23.5/49130</t>
  </si>
  <si>
    <t xml:space="preserve">SKRStep - Giày mũi tròn AC Đen 24/49130</t>
  </si>
  <si>
    <t xml:space="preserve">SKRStep - Giày mũi tròn AC Đen 24.5/49130</t>
  </si>
  <si>
    <t xml:space="preserve">SKRStep - Giày mũi vuông AC Bạc 22.5/49700</t>
  </si>
  <si>
    <t xml:space="preserve">SKRStep - Giày mũi mũi vuông AC Bạc 23/49700</t>
  </si>
  <si>
    <t xml:space="preserve">SKRStep - Giày mũi vuông AC Bạc 23.5/49700</t>
  </si>
  <si>
    <t xml:space="preserve">SKRStep - Giày mũi mũi vuông AC Bạc 24/49700</t>
  </si>
  <si>
    <t xml:space="preserve">SKRStep - Giày mũi vuông AC Bạc 24.5/49700</t>
  </si>
  <si>
    <t xml:space="preserve">SKRStep - Giày mũi vuông AC Đen 22.5/49700</t>
  </si>
  <si>
    <t xml:space="preserve">SKRStep - Giày mũi mũi vuông AC Đen 23/49700</t>
  </si>
  <si>
    <t xml:space="preserve">SKRStep - Giày mũi vuông AC Đen 23.5/49700</t>
  </si>
  <si>
    <t xml:space="preserve">SKRStep - Giày mũi vuông AC Đen 24/49700</t>
  </si>
  <si>
    <t xml:space="preserve">SKRStep - Giày mũi vuông AC Đen 24.5/49700</t>
  </si>
  <si>
    <t xml:space="preserve">SKRStep - Giày mũi vuông cao cấp AC Be 22.5/49703</t>
  </si>
  <si>
    <t xml:space="preserve">SKRStep - Giày mũi vuông cao cấp AC Be 23/49703</t>
  </si>
  <si>
    <t xml:space="preserve">SKRStep - Giày mũi vuông cao cấp AC Be 23.5/49703</t>
  </si>
  <si>
    <t xml:space="preserve">SKRStep - Giày mũi vuông cao cấp AC Be 24/49703</t>
  </si>
  <si>
    <t xml:space="preserve">SKRStep - Giày mũi vuông cao cấp AC Be 24.5/49703</t>
  </si>
  <si>
    <t xml:space="preserve">SKRStep - Giày mũi vuông cao cấp AC Đen 22.5/49703</t>
  </si>
  <si>
    <t xml:space="preserve">SKRStep - Giày mũi vuông cao cấp AC Đen 23/49703</t>
  </si>
  <si>
    <t xml:space="preserve">SKRStep - Giày mũi vuông cao cấp AC Đen 23.5/49703</t>
  </si>
  <si>
    <t xml:space="preserve">SKRStep - Giày mũi vuông cao cấp AC Đen 24/49703</t>
  </si>
  <si>
    <t xml:space="preserve">SKRStep - Giày mũi vuông cao cấp AC Đen 24.5/49703</t>
  </si>
  <si>
    <t xml:space="preserve">SKRStep- Giày vuông cc trơn AC Charcoal 22.5/49704</t>
  </si>
  <si>
    <t xml:space="preserve">SKRStep - Giày vuông cc trơn AC Charcoal 23/49704</t>
  </si>
  <si>
    <t xml:space="preserve">SKRStep- Giày vuông cc trơn AC Charcoal 23.5/49704</t>
  </si>
  <si>
    <t xml:space="preserve">SKRStep - Giày vuông cc trơn AC Charcoal 24/49704</t>
  </si>
  <si>
    <t xml:space="preserve">SKRStep- Giày vuông cc trơn AC Charcoal 24.5/49704</t>
  </si>
  <si>
    <t xml:space="preserve">SKRStep - Giày vuông cc trơn AC Đen 22.5/49704</t>
  </si>
  <si>
    <t xml:space="preserve">SKRStep - Giày vuông cc trơn AC Đen 23/49704</t>
  </si>
  <si>
    <t xml:space="preserve">SKRStep - Giày vuông cc trơn AC Đen 23.5/49704</t>
  </si>
  <si>
    <t xml:space="preserve">SKRStep - Giày vuông cc trơn AC Đen 24.5/49704</t>
  </si>
  <si>
    <t xml:space="preserve">SKRStep - Giày đế xuồng cao cấp AC Be 22.5/69200</t>
  </si>
  <si>
    <t xml:space="preserve">SKRStep - Giày đế xuồng cao cấp AC Be 23/69200</t>
  </si>
  <si>
    <t xml:space="preserve">SKRStep - Giày đế xuồng cao cấp AC Be 23.5/69200</t>
  </si>
  <si>
    <t xml:space="preserve">SKRStep - Giày đế xuồng cao cấp AC Be 24/69200</t>
  </si>
  <si>
    <t xml:space="preserve">SKRStep - Giày đế xuồng cao cấp AC Be 24.5/69200</t>
  </si>
  <si>
    <t xml:space="preserve">SKRStep - Giày đế xuồng cao cấp AC Đen 22.5/69200</t>
  </si>
  <si>
    <t xml:space="preserve">SKRStep - Giày đế xuồng cao cấp AC Đen 23.5/69200</t>
  </si>
  <si>
    <t xml:space="preserve">SKRStep - Giày đế xuồng cao cấp AC Đen 24.5/69200</t>
  </si>
  <si>
    <t xml:space="preserve">SKRStep - Giày đế xuồng cao cấp MJ Be 22.5/69202</t>
  </si>
  <si>
    <t xml:space="preserve">SKRStep - Giày đế xuồng cao cấp MJ Be 23.5/69202</t>
  </si>
  <si>
    <t xml:space="preserve">SKRStep - Giày đế xuồng cao cấp MJ Be 24/69202</t>
  </si>
  <si>
    <t xml:space="preserve">SKRStep - Giày đế xuồng cao cấp MJ Be 24.5/69202</t>
  </si>
  <si>
    <t xml:space="preserve">SKRStep - Giày đế xuồng cao cấp MJ Đen 24/69202</t>
  </si>
  <si>
    <t xml:space="preserve">SKRStep- Giày đế xuồng cao cấp MJ Be 23/69202</t>
  </si>
  <si>
    <t xml:space="preserve">SKRStep- Giày đế xuồng cao cấp MJ Đen 24.5/69202</t>
  </si>
  <si>
    <t xml:space="preserve">SKRStep- Giày vuông cc trơn AC Đen 24/49704</t>
  </si>
  <si>
    <t xml:space="preserve">SKRStep- Giày đế xuồng cao cấp AC Đen 23/69200</t>
  </si>
  <si>
    <t xml:space="preserve">SKRStep- Giày đế xuồng cao cấp AC Đen 24/69200</t>
  </si>
  <si>
    <t xml:space="preserve">SKRStep- Giày đế xuồng cao cấp MJ Be 24.5/69202</t>
  </si>
  <si>
    <t xml:space="preserve">SKRStep-Giày 4cm First Contact Charcoal 22.5/39520</t>
  </si>
  <si>
    <t xml:space="preserve">SKRStep - Giày mũi vuông cao cấp AC Bạc 22.5/49703</t>
  </si>
  <si>
    <t xml:space="preserve">SKRStep - Giày mũi vuông cao cấp AC Bạc 24.5/49703</t>
  </si>
  <si>
    <t xml:space="preserve">SKRStep - Giày mũi vuông cao cấp AC Bạc 23/49703</t>
  </si>
  <si>
    <t xml:space="preserve">SKRStep - Giày mũi vuông cao cấp AC Bạc 23.5/49703</t>
  </si>
  <si>
    <t xml:space="preserve">SKRStep - Giày mũi vuông cao cấp AC Bạc 24/49703</t>
  </si>
  <si>
    <t xml:space="preserve">MILKY MILKY- Xăng đan quai ngang bản đôi S-Đồng</t>
  </si>
  <si>
    <t xml:space="preserve">MILKY MILKY- Xăng đan quai ngang bản đôi M-Đồng</t>
  </si>
  <si>
    <t xml:space="preserve">MILKY MILKY- Xăng đan quai ngang bản đôi L-Đồng</t>
  </si>
  <si>
    <t xml:space="preserve">MILKY MILKY- Xăng đan quai ngang bản đôi LL-Đồng</t>
  </si>
  <si>
    <t xml:space="preserve">ARBRE JARDIN-Dép đế xuồng hở mũi xỏ ngón LL-Đồng</t>
  </si>
  <si>
    <t xml:space="preserve">ARBRE JARDIN- Xăng đan đế xuồng có nơ M-Be</t>
  </si>
  <si>
    <t xml:space="preserve">LIVRE DE POCHE- Xăng đan đế xuồng quai lưới L-Nâu</t>
  </si>
  <si>
    <t xml:space="preserve">FIRSTCONTACT-Giày búp bê đế xuồng mũi tròn 23.5Đen</t>
  </si>
  <si>
    <t xml:space="preserve">FIRSTCONTACT-Giày búp bê đế xuồng đính hoa 22.5Nâu</t>
  </si>
  <si>
    <t xml:space="preserve">FIRSTCONTACT-Giày BB đế xuồng đính hoa 22.5-Xanh</t>
  </si>
  <si>
    <t xml:space="preserve">FIRST CONTACT-Giày búp bê đế xuồng đính hoa 23-Nâu</t>
  </si>
  <si>
    <t xml:space="preserve">FIRSTCONTACT-Giày búp bê đế xuồng đính hoa 23-Xanh</t>
  </si>
  <si>
    <t xml:space="preserve">FIRSTCONTACT-Giày búp bê đế xuồng đính hoa 23.5Nâu</t>
  </si>
  <si>
    <t xml:space="preserve">FIRSTCONTACT-Giày búp bê đế xuồng đính nơ 22.5-Đen</t>
  </si>
  <si>
    <t xml:space="preserve">FIRSTCONTACT-Giày búp bê đế xuồng đính nơ 22.5-Xám</t>
  </si>
  <si>
    <t xml:space="preserve">FIRST CONTACT-Giày búp bê đế xuồng đính nơ 23-Đen</t>
  </si>
  <si>
    <t xml:space="preserve">FIRSTCONTACT-Giày búp bê đế xuồng đính nơ 23.5-Đen</t>
  </si>
  <si>
    <t xml:space="preserve">PARTIRD'ABORD-Dép đế xuồng quai rộng ánh kim LLĐen</t>
  </si>
  <si>
    <t xml:space="preserve">PARTIR D'ABORD- Xăng đan đế xuồng quai da M-Đồng</t>
  </si>
  <si>
    <t xml:space="preserve">PARTIR D'ABORD- Xăng đan đế xuồng quai da LL-Đồng</t>
  </si>
  <si>
    <t xml:space="preserve">PARTIR D'ABORD-Xăng đan đế xuồng 2 quai S-Đen</t>
  </si>
  <si>
    <t xml:space="preserve">PARTIR D'ABORD-Xăng đan quai da đan chéo L-Đen</t>
  </si>
  <si>
    <t xml:space="preserve">LIVRE DE POCHE- Xăng đan đế xuồng quai lưới LL-Nâu</t>
  </si>
  <si>
    <t xml:space="preserve">ARBRE JARDIN-Dép đế xuồng hở mũi xỏ ngón M-Nâu</t>
  </si>
  <si>
    <t xml:space="preserve">PARTIRD'ABORD-Dép đế xuồng quai lưới M-Gỗ sồi</t>
  </si>
  <si>
    <t xml:space="preserve">SKU có lợi nhuận FC âm khi bán giá KM (Giá KM &lt; Giá FC chốt). Phạm vi "Toàn hệ thống" = áp cho cả nhượng quyền → CH FC bán là lỗ.</t>
  </si>
  <si>
    <t xml:space="preserve">Phạm vi</t>
  </si>
  <si>
    <t xml:space="preserve">Giá BL</t>
  </si>
  <si>
    <t xml:space="preserve">Giá FC chốt</t>
  </si>
  <si>
    <t xml:space="preserve">Giá KM</t>
  </si>
  <si>
    <t xml:space="preserve">LN FC/sp</t>
  </si>
  <si>
    <t xml:space="preserve">%LN FC</t>
  </si>
  <si>
    <t xml:space="preserve">Toàn hệ thống</t>
  </si>
  <si>
    <t xml:space="preserve">SATOEN- Hộp trà Sencha Genmai 50g (20 túi x 2.5g)</t>
  </si>
  <si>
    <t xml:space="preserve">SATOEN- Hộp trà Sencha Special 80g</t>
  </si>
  <si>
    <t xml:space="preserve">SATOEN- Hộp trà Sencha Special 40g (20 túi x 2g)</t>
  </si>
  <si>
    <t xml:space="preserve">LSC- Tẩy trang trà xanh 250g</t>
  </si>
  <si>
    <t xml:space="preserve">AGF- Cà phê hòa tan Caramel Macchiato 7 gói</t>
  </si>
  <si>
    <t xml:space="preserve">KAIYO-Bình nước thể thao màu đen 680ml</t>
  </si>
  <si>
    <t xml:space="preserve">JANAMI- Kem chống nắng phổ rộng BIHAKU SPF50+ 35ml</t>
  </si>
  <si>
    <t xml:space="preserve">JANAMI- Viên uống chống nắng &amp; giảm sạm nám 30 viê</t>
  </si>
  <si>
    <t xml:space="preserve">HN</t>
  </si>
  <si>
    <t xml:space="preserve">MEGUMI- Bỉm dán NB 64 miếng</t>
  </si>
  <si>
    <t xml:space="preserve">NISHIMATSUYA- Set bộ quần áo mùa hè trẻ em</t>
  </si>
  <si>
    <t xml:space="preserve">NISHIMATSUYA- Bộ đồ ngủ cho bé trai</t>
  </si>
  <si>
    <t xml:space="preserve">NISHIMATSUYA- Bộ đồ ngủ cho bé gái</t>
  </si>
  <si>
    <t xml:space="preserve">NISHIMATSUYA- Bộ quần áo cho trẻ em trai</t>
  </si>
  <si>
    <t xml:space="preserve">NISHIMATSUYA- Áo mùa hè trẻ em Nhật Bản</t>
  </si>
  <si>
    <t xml:space="preserve">NISHIMATSUYA- Bộ quần áo mùa hè bé gái</t>
  </si>
  <si>
    <t xml:space="preserve">NISHIMATSUYA- Bộ quần áo mùa hè bé trai</t>
  </si>
  <si>
    <t xml:space="preserve">NISHIMATSUYA- Bộ đồ liền thân trẻ em</t>
  </si>
  <si>
    <t xml:space="preserve">NISHIMATSUYA- Áo cho bé trai</t>
  </si>
  <si>
    <t xml:space="preserve">NISHIMATSUYA- Set bộ quần áo cho bé trai</t>
  </si>
  <si>
    <t xml:space="preserve">NISHIMATSUYA- Set bộ quần áo cho bé gái</t>
  </si>
  <si>
    <t xml:space="preserve">NISHIMATSUYA- Set bộ quần áo cho trẻ em gái</t>
  </si>
  <si>
    <t xml:space="preserve">NISHIMATSUYA- Đồ bơi cho bé gái</t>
  </si>
  <si>
    <t xml:space="preserve">NISHIMATSUYA- Sandal cho trẻ em gái</t>
  </si>
  <si>
    <t xml:space="preserve">NISHIMATSUYA- Giày dép cho trẻ em trai</t>
  </si>
  <si>
    <t xml:space="preserve">NISHIMATSUYA- Chăn đắp dạng khăn</t>
  </si>
  <si>
    <t xml:space="preserve">NISHIMATSUYA- Quần cho bé trai</t>
  </si>
  <si>
    <t xml:space="preserve">KOUYU- Quần lót đùi nam Trunk LL</t>
  </si>
  <si>
    <t xml:space="preserve">HADAOMOI- Moisturizing All In One Gel (290g)</t>
  </si>
  <si>
    <t xml:space="preserve">HADAOMOI- Suhada White All In One Gel (290g)</t>
  </si>
  <si>
    <t xml:space="preserve">ANYZOO- Bỉm dán SS 90 miếng</t>
  </si>
  <si>
    <t xml:space="preserve">ANYZOO- Bỉm quần L 44 miếng</t>
  </si>
  <si>
    <t xml:space="preserve">ANYZOO- Bỉm quần XXL 26 miếng</t>
  </si>
  <si>
    <t xml:space="preserve">NISHIMATSUYA- Đồ lót cho bé trai</t>
  </si>
  <si>
    <t xml:space="preserve">NISHIMATSUYA- Đồ dùng đi bơi</t>
  </si>
  <si>
    <t xml:space="preserve">NISHIMATSUYA- Túi ngủ cho bé</t>
  </si>
  <si>
    <t xml:space="preserve">NISHIMATSUYA- Gối ngủ cho bé</t>
  </si>
  <si>
    <t xml:space="preserve">NISHIMATSUYA- Nệm trải giường</t>
  </si>
  <si>
    <t xml:space="preserve">AGF- Bột Matcha Latte đậm 6 gói</t>
  </si>
  <si>
    <t xml:space="preserve">L&amp;L- Bình giữ nhiệt Vacuum Bottle 800ml màu đen</t>
  </si>
  <si>
    <t xml:space="preserve">AGF- Cà phê hòa tan Blendy Stick espresso 8 thanh</t>
  </si>
  <si>
    <t xml:space="preserve">L&amp;L - Bình giữ nhiệt Jumbo Tumbler 900ml màu coral</t>
  </si>
  <si>
    <t xml:space="preserve">MERRIES- BỈM DÁN S 70+6 MIẾNG</t>
  </si>
  <si>
    <t xml:space="preserve">MERRIES- Bỉm dán SS 76+6 miếng</t>
  </si>
  <si>
    <t xml:space="preserve">MERRIES- BỈM QUẦN M 52+6 MIẾNG</t>
  </si>
  <si>
    <t xml:space="preserve">MERRIES- BỈM QUẦN L 44+6 MIẾNG</t>
  </si>
  <si>
    <t xml:space="preserve">NISHIMATSUYA- Giá úp bình sữa Smart Angel màu hồng</t>
  </si>
  <si>
    <t xml:space="preserve">NISHIMATSUYA- Giá úp bình sữa Smart Angel- Xanh lá</t>
  </si>
  <si>
    <t xml:space="preserve">Tồn âm tại điểm bán/kho (cần kiểm kê/điều chỉnh phiếu – tồn âm làm sai báo cáo phủ hàng)</t>
  </si>
  <si>
    <t xml:space="preserve">Điểm/kho</t>
  </si>
  <si>
    <t xml:space="preserve">SL âm</t>
  </si>
  <si>
    <t xml:space="preserve">SKK - Nồi nấu đa năng size 30cm</t>
  </si>
  <si>
    <t xml:space="preserve">SKK - Nồi nấu đa năng size 28cm</t>
  </si>
  <si>
    <t xml:space="preserve">KAIYO- Ga lạnh họa tiết hoa nền xanh 1m6 x 2m</t>
  </si>
  <si>
    <t xml:space="preserve">KAIYO-Dụng cụ xay tỏi ớt size S 250ml</t>
  </si>
  <si>
    <t xml:space="preserve">SKK - Nồi nấu đa năng size 24cm</t>
  </si>
  <si>
    <t xml:space="preserve">KAIYO- Bình giữ nhiệt 2lớp inox 304 700ml kem nâu</t>
  </si>
  <si>
    <t xml:space="preserve">KAIYO- Bình giữ nhiệt 2lớp inox 304 700ml đỏ trắng</t>
  </si>
  <si>
    <t xml:space="preserve">SKK- Giá kệ đa năng size to</t>
  </si>
  <si>
    <t xml:space="preserve">KAIYO-Ô gấp gọn tự động hai chiều 10 nan,xanh navy</t>
  </si>
  <si>
    <t xml:space="preserve">KAI- Dao gọt hoa quả lưỡi răng cưa vàng 112mm-Slim</t>
  </si>
  <si>
    <t xml:space="preserve">Ghi chú: SKK Vũ Phạm Hàm (S1038) và SKK Japan Festa (S1017) tồn = 0 toàn bộ SKU KM – xác nhận CH đang đóng/chưa mở hay lỗi đồng bộ kho.</t>
  </si>
  <si>
    <t xml:space="preserve">Nhóm</t>
  </si>
  <si>
    <t xml:space="preserve">Hình thức KM</t>
  </si>
  <si>
    <t xml:space="preserve">% giảm</t>
  </si>
  <si>
    <t xml:space="preserve">Kho khác</t>
  </si>
  <si>
    <t xml:space="preserve">Online</t>
  </si>
  <si>
    <t xml:space="preserve">Tồn HT</t>
  </si>
  <si>
    <t xml:space="preserve">Số CH có hàng</t>
  </si>
  <si>
    <t xml:space="preserve">GT tồn giá KM</t>
  </si>
  <si>
    <t xml:space="preserve">Tồn TB/CH có hàng</t>
  </si>
  <si>
    <t xml:space="preserve">NSM MÙA ĐÔNG</t>
  </si>
  <si>
    <t xml:space="preserve">HMV-ĐÔNG</t>
  </si>
  <si>
    <t xml:space="preserve">NHÀ CỬA ĐỜI SỐNG NSM</t>
  </si>
  <si>
    <t xml:space="preserve">NISHIMATSUYA- Dây khóa tủ an toàn cho bé SA hồng</t>
  </si>
  <si>
    <t xml:space="preserve">NISHIMATSUYA- Dây khóa tủ an toàn cho bé SA xanhlá</t>
  </si>
  <si>
    <t xml:space="preserve">ĐỒ MẸ BÉ NSM</t>
  </si>
  <si>
    <t xml:space="preserve">NISHIMATSUYA- Dụng cụ tiệt trùng bình sữa SA</t>
  </si>
  <si>
    <t xml:space="preserve">NISHIMATSUYA- Ghế tắm kháng khuẩn hình gấu SA</t>
  </si>
  <si>
    <t xml:space="preserve">NISHIMATSUYA- Giá úp bình sữa Smart Angel trắng</t>
  </si>
  <si>
    <t xml:space="preserve">NISHIMATSUYA- Giá úp bình sữa Smart Angel xanh lá</t>
  </si>
  <si>
    <t xml:space="preserve">CHĂM SÓC RĂNG MIỆNG</t>
  </si>
  <si>
    <t xml:space="preserve">HÀNG TRỌNG ĐIỂM</t>
  </si>
  <si>
    <t xml:space="preserve">CHĂM SÓC CƠ THỂ</t>
  </si>
  <si>
    <t xml:space="preserve">CHĂM SÓC TÓC</t>
  </si>
  <si>
    <t xml:space="preserve">SỨC KHỎE TÌNH DỤC</t>
  </si>
  <si>
    <t xml:space="preserve">CHĂM SÓC DA</t>
  </si>
  <si>
    <t xml:space="preserve">GATSBY- SRM than hoạt tính sạch sâu 130g</t>
  </si>
  <si>
    <t xml:space="preserve">SHISEIDO – Kem xả Tsubaki phục hồi bóng mượt 180g</t>
  </si>
  <si>
    <t xml:space="preserve">KRACIE – Dầu xả HIMAWARI suôn mượt 500g</t>
  </si>
  <si>
    <t xml:space="preserve">Mỹ phẩm khác</t>
  </si>
  <si>
    <t xml:space="preserve">UNICHARM- Giấy lau dưỡng ẩm, tẩy trang 40 tờ</t>
  </si>
  <si>
    <t xml:space="preserve">KRACIE – Dầu xả HIMAWARI phục hồi 500g</t>
  </si>
  <si>
    <t xml:space="preserve">KRACIE – Dầu gội Ichikami dưỡng ẩm 480ml</t>
  </si>
  <si>
    <t xml:space="preserve">KRACIE – Dầu gội HIMAWARI phục hồi 500ml</t>
  </si>
  <si>
    <t xml:space="preserve">GATSBY- SRM sạch bụi &amp; dầu nhờn 130g</t>
  </si>
  <si>
    <t xml:space="preserve">ICHIKAMI- Dầu gội phục hồi tóc túi refill 330ml</t>
  </si>
  <si>
    <t xml:space="preserve">JEX- Bao cao su siêu mỏng IX 0.02mm 6 chiếc</t>
  </si>
  <si>
    <t xml:space="preserve">JEX- Bao cao su Glamourous Butterfly003Moist 10pcs</t>
  </si>
  <si>
    <t xml:space="preserve">SHISEIDO – Kem xả Tsubaki phục hồi bồng bềnh 180g</t>
  </si>
  <si>
    <t xml:space="preserve">ICHIKAMI- Dầu gội suôn mượt túi refill 330ml</t>
  </si>
  <si>
    <t xml:space="preserve">ICHIKAMI- Dầu sả suôn mượt túi refill 330ml</t>
  </si>
  <si>
    <t xml:space="preserve">KRACIE – Dầu gội Ichikami suôn mượt 480ml</t>
  </si>
  <si>
    <t xml:space="preserve">KĐR DENTAL CLINIC 2080 Pro Max Sensitive 125gr</t>
  </si>
  <si>
    <t xml:space="preserve">KĐR AEKYUNG 2080 Pro Clinic 125gr</t>
  </si>
  <si>
    <t xml:space="preserve">NSM MÙA HÈ</t>
  </si>
  <si>
    <t xml:space="preserve">NSM KIDS GIRL ÁO</t>
  </si>
  <si>
    <t xml:space="preserve">NSM SCHOOL GIRL ÁO</t>
  </si>
  <si>
    <t xml:space="preserve">NSM KIDS BOY QUẦN</t>
  </si>
  <si>
    <t xml:space="preserve">NSM KIDS GIRL QUẦN</t>
  </si>
  <si>
    <t xml:space="preserve">NSM KIDS GIRL VÁY</t>
  </si>
  <si>
    <t xml:space="preserve">XÀ PHÒNG, CHẤT TẨY RỬA</t>
  </si>
  <si>
    <t xml:space="preserve">KEM ĐÔNG LẠNH</t>
  </si>
  <si>
    <t xml:space="preserve">HAAGEN DAZS- Kem que dâu tây &amp; kem tươi 80ml</t>
  </si>
  <si>
    <t xml:space="preserve">HAAGEN DAZS- Kem hạt macca 100ml</t>
  </si>
  <si>
    <t xml:space="preserve">HAAGEN DAZS- Kem dâu tây 100ml</t>
  </si>
  <si>
    <t xml:space="preserve">HAAGEN DAZS- Kem trà xanh matcha 100ml</t>
  </si>
  <si>
    <t xml:space="preserve">HAAGEN DAZS- Kem que matcha hạnh nhân 80ml</t>
  </si>
  <si>
    <t xml:space="preserve">HAAGEN DAZS- Kem que vani caramen hạnh nhân 80ml</t>
  </si>
  <si>
    <t xml:space="preserve">HAAGEN DAZS- Kem vani 100ml</t>
  </si>
  <si>
    <t xml:space="preserve">HAAGEN DAZS- Kem que socola hạnh nhân 80ml</t>
  </si>
  <si>
    <t xml:space="preserve">White Rose - Kem sữa tươi 35ml</t>
  </si>
  <si>
    <t xml:space="preserve">MEIJI- Kem cacao Chocolate Kouka (4x75ml)</t>
  </si>
  <si>
    <t xml:space="preserve">KOCHI- Kem vị hồng trà 115g</t>
  </si>
  <si>
    <t xml:space="preserve">KOCHI- Kem vị Yuzu sữa 115g</t>
  </si>
  <si>
    <t xml:space="preserve">KOCHI- Kem vị hạt dẻ 115g</t>
  </si>
  <si>
    <t xml:space="preserve">FUTABA- Kem vani Dandy 160g</t>
  </si>
  <si>
    <t xml:space="preserve">MEIJI- Kem Vani Essel Super Cup(6x80ml)</t>
  </si>
  <si>
    <t xml:space="preserve">MEIJI- Kem Matcha Premium 200ml</t>
  </si>
  <si>
    <t xml:space="preserve">OYAMA- Kem sữa 10 chiếc</t>
  </si>
  <si>
    <t xml:space="preserve">NAGANUMA - Kem vị táo 100g</t>
  </si>
  <si>
    <t xml:space="preserve">MEIJI- Kem Vani Essel Super Cup 200ml</t>
  </si>
  <si>
    <t xml:space="preserve">MEIJI- Kem vani Hokkaido (10x43ml)</t>
  </si>
  <si>
    <t xml:space="preserve">NAGANUMA - Kem vị muối 100g</t>
  </si>
  <si>
    <t xml:space="preserve">MEIJI- Kem Vani Premium 200ml</t>
  </si>
  <si>
    <t xml:space="preserve">ANYZOO</t>
  </si>
  <si>
    <t xml:space="preserve">BẾP VÀ PHÒNG ĂN</t>
  </si>
  <si>
    <t xml:space="preserve">KAI- Dao nhà bếp màu đen 112mm (Slim pack)</t>
  </si>
  <si>
    <t xml:space="preserve">KAI- Dao nhà bếp màu hồng 112mm (Slim pack)</t>
  </si>
  <si>
    <t xml:space="preserve">KAI- Dao nhà bếp màu vàng 112mm (Slim pack)</t>
  </si>
  <si>
    <t xml:space="preserve">KAI- Dao nhà bếp màu x.da trời 112mm (Slim pack)</t>
  </si>
  <si>
    <t xml:space="preserve">KAI- Dao nhà bếp màu xanh lá cây 112mm (Slim pack)</t>
  </si>
  <si>
    <t xml:space="preserve">KAI- Dao nhà bếp màu cam 112mm (Slim pack)</t>
  </si>
  <si>
    <t xml:space="preserve">KAI-Dao gọt h.quả có răng cưa x.da trời 112mm-Slim</t>
  </si>
  <si>
    <t xml:space="preserve">KAI- Dao gọt hoa quả lưỡi răng cưa cam 112mm-Slim</t>
  </si>
  <si>
    <t xml:space="preserve">KAI- Dao gọt hoa quả lưỡi răng cưa hồng 112mm-Slim</t>
  </si>
  <si>
    <t xml:space="preserve">KAI- Dao nhà bếp Hocho lưỡi răng cưa cam 94mm-Slim</t>
  </si>
  <si>
    <t xml:space="preserve">KAI- Dao nhà bếp lưỡi răng cưa hồng 94mm-Slim</t>
  </si>
  <si>
    <t xml:space="preserve">KAI- Dao nhà bếp lưỡi răng cưa xanh lá 94mm-Slim</t>
  </si>
  <si>
    <t xml:space="preserve">KAI- Dụng cụ mở nắp chai, dh-6519</t>
  </si>
  <si>
    <t xml:space="preserve">KAI - Dụng cụ mài dao 3 lớp AP-0308</t>
  </si>
  <si>
    <t xml:space="preserve">KAI- Dao nhà bếp 112mm màu xanh da trời</t>
  </si>
  <si>
    <t xml:space="preserve">KAI- Dao gọt hoa quả lưỡi răng cưa đen 112mm-Slim</t>
  </si>
  <si>
    <t xml:space="preserve">KAI- Vá lỗ inox, de-5848</t>
  </si>
  <si>
    <t xml:space="preserve">KAI- Dao gọt hoa quả lưỡi răng cưa x.lá 112mm-Slim</t>
  </si>
  <si>
    <t xml:space="preserve">KAI- Dao gọt hoa quả lưỡi răng cưa màu đen 112mm</t>
  </si>
  <si>
    <t xml:space="preserve">KAI- Dao nhà bếp Hocho lưỡi răng cưa đen 94mm-Slim</t>
  </si>
  <si>
    <t xml:space="preserve">KAI- Dao nhà bếp lưỡi răng cưa x.da trời 94mm-Slim</t>
  </si>
  <si>
    <t xml:space="preserve">KAI- Dao nhà bếp Sekimanju Santoku 16.5cm,41BE0579</t>
  </si>
  <si>
    <t xml:space="preserve">KAI- Dao nhà bếp Hocho màu xanh lá cây 64mm</t>
  </si>
  <si>
    <t xml:space="preserve">ĐỒ DÙNG SINH HOẠT GIA ĐÌNH</t>
  </si>
  <si>
    <t xml:space="preserve">KAI-Bấm móng tay màu đỏ (S), HC-0466</t>
  </si>
  <si>
    <t xml:space="preserve">KAI-Dao nhà bếp Hocho lưỡi răng cưa vàng 94mm-Slim</t>
  </si>
  <si>
    <t xml:space="preserve">KAI- Dĩa ăn kẻ sọc size L, FA-5172 (4 chiếc/bộ) </t>
  </si>
  <si>
    <t xml:space="preserve">KAI- Chảo sâu lòng siêu nhệ Cho Karui 24cm DW-5633</t>
  </si>
  <si>
    <t xml:space="preserve">KAI- Đánh bột inox cán đỏ, de-5838</t>
  </si>
  <si>
    <t xml:space="preserve">KAI- Thìa ăn kẻ sọc size L, FA-5171 (4 chiếc/bộ) </t>
  </si>
  <si>
    <t xml:space="preserve">KAI- Chảo siêu nhẹ Cho Karui IH 28cm, DW-5630</t>
  </si>
  <si>
    <t xml:space="preserve">KAI- Vá inox mini, de-5827</t>
  </si>
  <si>
    <t xml:space="preserve">KAI- Chảo siêu nhẹ Cho Karui 30cm, DW-5631</t>
  </si>
  <si>
    <t xml:space="preserve">KAI- Dao nhà bếp Sekimanju Petty-12cm, 41BE0577</t>
  </si>
  <si>
    <t xml:space="preserve">KAI- Bộ vá vợt giỏ inox, de-5850</t>
  </si>
  <si>
    <t xml:space="preserve">KAI- Dao nhà bếp Sekimanju Nakiri 16.5cm, 41BE0581</t>
  </si>
  <si>
    <t xml:space="preserve">KAI- Chảo sâu lòng siêu nhẹ Cho Karui 28cm DW-5634</t>
  </si>
  <si>
    <t xml:space="preserve">KAI- Dao bếp đầu vuông Wakatake 16.5cm</t>
  </si>
  <si>
    <t xml:space="preserve">KAI- Dao nhà bếp 112mm màu đen</t>
  </si>
  <si>
    <t xml:space="preserve">KAI- Thìa pha cà phê, FA-5098 (10 chiếc/bộ) </t>
  </si>
  <si>
    <t xml:space="preserve">KAI- Chảo siêu nhẹ Cho Karui IH 26cm, DW-5629</t>
  </si>
  <si>
    <t xml:space="preserve">KAI- Dao nhà bếp Sekimanju Santoku 14.5cm,41BE0578</t>
  </si>
  <si>
    <t xml:space="preserve">KAI- Dao bếp Sekimagoroku Shoso 240mm, AB-5160</t>
  </si>
  <si>
    <t xml:space="preserve">KAI- Dao bếp Seki Manju Santoku 143mm, 041BE0402</t>
  </si>
  <si>
    <t xml:space="preserve">KAI- Vá lỗ inox, de-5830</t>
  </si>
  <si>
    <t xml:space="preserve">KAI - Dao nhà bếp Shoso Chef's 210mm AB-5159</t>
  </si>
  <si>
    <t xml:space="preserve">KAI- Vá inox, de-5847</t>
  </si>
  <si>
    <t xml:space="preserve">KAI- Dao nhà bếp Sekimanju Chef's 18cm, 41BE0580</t>
  </si>
  <si>
    <t xml:space="preserve">KAI- Dao bếp Seki Manju Cleaver 163mm, 041BE0405</t>
  </si>
  <si>
    <t xml:space="preserve">KAI - Chảo siêu nhẹ cho bếp gas 30cm DW-5638</t>
  </si>
  <si>
    <t xml:space="preserve">KAI- Dĩa ăn, FA-5097 (10 chiếc/bộ) </t>
  </si>
  <si>
    <t xml:space="preserve">KAI- DAO NHÀ BẾP WAKATAKE-18CM, AB-5422</t>
  </si>
  <si>
    <t xml:space="preserve">KAI- Dao bếp Seki Manju Chef 182mm, 041BE0404</t>
  </si>
  <si>
    <t xml:space="preserve">KAI- Dao bếp Seki Manju Santoku 162mm, 041BE0403</t>
  </si>
  <si>
    <t xml:space="preserve">KAI- Dụng cụ dầm nhuyễn củ quả inox cán</t>
  </si>
  <si>
    <t xml:space="preserve">KAI- Dao nhà bếp Hocho 94mm</t>
  </si>
  <si>
    <t xml:space="preserve">KAI- Dao bếp đầu tròn Wakatake 16.5cm</t>
  </si>
  <si>
    <t xml:space="preserve">KAI- Dao bếp Seki Manji Chopper 177mm, 041BE0406</t>
  </si>
  <si>
    <t xml:space="preserve">KAI- Kéo nhà bếp 190mm, DH-7158</t>
  </si>
  <si>
    <t xml:space="preserve">KAI- Chảo siêu nhẹ Cho Karui 20cm, DW-5628</t>
  </si>
  <si>
    <t xml:space="preserve">KAI- Sạn lỗ inox, DE-5831</t>
  </si>
  <si>
    <t xml:space="preserve">KAI - Dao nhà bếp Shoso Dimple 165mm AB-5157</t>
  </si>
  <si>
    <t xml:space="preserve">KAI- Dao nhà bếp lưỡi răng cưa màu hồng 112mm</t>
  </si>
  <si>
    <t xml:space="preserve">KAI- Dao nhà bếp Hocho màu xanh da trời 78mm</t>
  </si>
  <si>
    <t xml:space="preserve">KAI- Dao nhà bếp Hocho màu hồng 64mm</t>
  </si>
  <si>
    <t xml:space="preserve">KAI- Dao nhà bếp màu xanh lá cây 112mm</t>
  </si>
  <si>
    <t xml:space="preserve">KAI- Dao nhà bếp Hocho màu da cam 78mm</t>
  </si>
  <si>
    <t xml:space="preserve">KAI - Dao nhà bếp Shosho Petty 120mm AB-5163</t>
  </si>
  <si>
    <t xml:space="preserve">KAI- Kéo bếp Shears White</t>
  </si>
  <si>
    <t xml:space="preserve">KAI- Dao nhà bếp lưỡi răng cưa màu xanh lá cây 112</t>
  </si>
  <si>
    <t xml:space="preserve">KAI- Dao nhà bếp lưỡi răng cưa màu vàng 112mm</t>
  </si>
  <si>
    <t xml:space="preserve">KAI- Dao nhà bếp màu cam 112mm</t>
  </si>
  <si>
    <t xml:space="preserve">KAI- Dao nhà bếp lưỡi răng cưa màu xanh da trời 11</t>
  </si>
  <si>
    <t xml:space="preserve">KAI- Dao nhà bếp Hocho màu cam 64mm</t>
  </si>
  <si>
    <t xml:space="preserve">KAI - Dao nhà bếp Shoso Chef 180mm AB-5158</t>
  </si>
  <si>
    <t xml:space="preserve">KAI- Dao nhà bếp màu hồng 112mm</t>
  </si>
  <si>
    <t xml:space="preserve">KAI- Kéo nhà bếp 222mm, DH-7156</t>
  </si>
  <si>
    <t xml:space="preserve">KAI- Dao nhà bếp Hocho màu hồng 78mm</t>
  </si>
  <si>
    <t xml:space="preserve">KAI- Dao bếp Shoso Chinese 165mm, AB-5165</t>
  </si>
  <si>
    <t xml:space="preserve">KAI - Nạo NO.DH-7197</t>
  </si>
  <si>
    <t xml:space="preserve">KAI- KÉO NHÀ BẾP LƯỠI CONG KAI 19.5CM, DH-7242</t>
  </si>
  <si>
    <t xml:space="preserve">KAI- Bộ dao nhà bếp Hocho 112mm (12 chiếc/bộ)</t>
  </si>
  <si>
    <t xml:space="preserve">KAI- Dao nhà bếp Hocho màu vàng 64mm</t>
  </si>
  <si>
    <t xml:space="preserve">KAI - Dao nhà bếp Shoso Petty 150mm AB-5161</t>
  </si>
  <si>
    <t xml:space="preserve">KAI - Dao Wakatake Santoku 145mm AB-5421</t>
  </si>
  <si>
    <t xml:space="preserve">KAI - THỚT GỖ NO.AP-5220 ”MAGOROKU” CUTTING BOARD</t>
  </si>
  <si>
    <t xml:space="preserve">KAI- Dĩa ăn tráng miệng, FA-5084 (3 chiếc/bộ) </t>
  </si>
  <si>
    <t xml:space="preserve">KAI - Dao nhà bếp Shosho Santoku 165mm AB-5156</t>
  </si>
  <si>
    <t xml:space="preserve">KAI - Dao Wakatake Petty 120mm AB-5423</t>
  </si>
  <si>
    <t xml:space="preserve">KAI - Dao Wakatake Petty 150mm AB-5418</t>
  </si>
  <si>
    <t xml:space="preserve">KAI - Chảo DW-5637 CHO KARUI FRYPAN 28CM</t>
  </si>
  <si>
    <t xml:space="preserve">KAI - MÀI DAO Q SHARPENER COVER ABS757 WHITE</t>
  </si>
  <si>
    <t xml:space="preserve">KAI- DAO GỌT HOA QUẢ SELECT, DH-7173</t>
  </si>
  <si>
    <t xml:space="preserve">KAI- Dao nhà bếp SHOSO PETTY 120mm, AB-5121</t>
  </si>
  <si>
    <t xml:space="preserve">KAI- Dao nhà bếp Hocho màu xanh da trời 64mm</t>
  </si>
  <si>
    <t xml:space="preserve">KAI- Set dao bếp lưỡi răng cưa Hocho 112mm(12 pcs)</t>
  </si>
  <si>
    <t xml:space="preserve">KAI - Dao bếp Imayo Santoku 165mm AB-5456</t>
  </si>
  <si>
    <t xml:space="preserve">KAI- Dụng cụ nạo thực phẩm DH716</t>
  </si>
  <si>
    <t xml:space="preserve">KAIYO- SET 2 MIẾNG BÔNG LAU NHÀ THAY THẾ</t>
  </si>
  <si>
    <t xml:space="preserve">KAIYO-Dao nạo vỏ</t>
  </si>
  <si>
    <t xml:space="preserve">KAIYO - Ô gấp gọn siêu nhẹ có móc treo hình lá cây</t>
  </si>
  <si>
    <t xml:space="preserve">KAIYO-Dao nạo sợi</t>
  </si>
  <si>
    <t xml:space="preserve">KAIYO - Ô gấp ngược thông minh màu xanh rêu</t>
  </si>
  <si>
    <t xml:space="preserve">KAIYO- Cây lau nhà tự vắt chữ nhật, màu xanh mint</t>
  </si>
  <si>
    <t xml:space="preserve">KAIYO- Bộ 2 miếng bông lau tự vắt chữ nhật</t>
  </si>
  <si>
    <t xml:space="preserve">KAIYO - Chảo inox vân nổi đáy liền sâu lòng 24cm</t>
  </si>
  <si>
    <t xml:space="preserve">KAIYO-Chảo inox 316 5-ply Premium sâu lòng24cm</t>
  </si>
  <si>
    <t xml:space="preserve">KAIYO- Chảo inox tay cầm 28cm có vung kính</t>
  </si>
  <si>
    <t xml:space="preserve">KAIYO-Rổ quả táo có nắp đậy, màu xanh</t>
  </si>
  <si>
    <t xml:space="preserve">KAIYO- Hộp thủy tinh đựng thực phẩm 1050ml</t>
  </si>
  <si>
    <t xml:space="preserve">KAIYO- Cốc giữ nhiệt 2 lớp màu ghi 350ml</t>
  </si>
  <si>
    <t xml:space="preserve">KAIYO-Ô tự động cán dài 16 nan, kẻ xanh navy</t>
  </si>
  <si>
    <t xml:space="preserve">KAIYO - Ô gấp ngược thông minh màu xanh Navy</t>
  </si>
  <si>
    <t xml:space="preserve">KAIYO-Chảo inox đáy liền 3 lớp có nắp kính (24cm)</t>
  </si>
  <si>
    <t xml:space="preserve">KAIYO-Ấm siêu tốc thuỷ tinh kèm lõi lọc trà 1,7L</t>
  </si>
  <si>
    <t xml:space="preserve">KAIYO- Hộp thủy tinh đựng thực phẩm 540ml</t>
  </si>
  <si>
    <t xml:space="preserve">KAIYO - Chảo inox chống dính vân nổi đáy liền 26cm</t>
  </si>
  <si>
    <t xml:space="preserve">KAIYO- Nồi ủ chân không 3L màu ghi</t>
  </si>
  <si>
    <t xml:space="preserve">KAIYO- Bình giữ nhiệt kèm lọc trà 1,8L màu ghi đá</t>
  </si>
  <si>
    <t xml:space="preserve">KAIYO-Ô gấp gọn tự động hai chiều 10 nan,xanh rêu</t>
  </si>
  <si>
    <t xml:space="preserve">KAIYO- Ô tự động 2 chiều ghi nhớ nếp gấp xanh mint</t>
  </si>
  <si>
    <t xml:space="preserve">KAIYO- Hộp thủy tinh đựng thực phẩm 700ml</t>
  </si>
  <si>
    <t xml:space="preserve">KAIYO- Máy làm sữa hạt đa năng 1L, model KNM-411</t>
  </si>
  <si>
    <t xml:space="preserve">KAIYO- Chảo inox tay cầm 24cm có vung kính</t>
  </si>
  <si>
    <t xml:space="preserve">KAIYO- Nồi ủ chân không 4,5L màu ghi</t>
  </si>
  <si>
    <t xml:space="preserve">KAIYO-Ấm siêu tốc 2 lớp cool touch 2L xanh green</t>
  </si>
  <si>
    <t xml:space="preserve">KAIYO- Bình giữ nhiệt có lõi lọc 500ml màu xanh</t>
  </si>
  <si>
    <t xml:space="preserve">KAIYO-Ô tự động cán dài 16 nan, kẻ xanh rêu</t>
  </si>
  <si>
    <t xml:space="preserve">KAIYO-Chảo inox đáy liền 3 lớp có nắp kính (26cm)</t>
  </si>
  <si>
    <t xml:space="preserve">KAIYO-Cây lau nhà chữ nhật màu xanh mint</t>
  </si>
  <si>
    <t xml:space="preserve">KAIYO-Chảo inox 316 Premium thành cao size 24cm</t>
  </si>
  <si>
    <t xml:space="preserve">Kaiyo-Chảo inox 316 liền khối có vung kính 26cm</t>
  </si>
  <si>
    <t xml:space="preserve">KAIYO- Ô tự động 2 chiều ghi nhớ nếp gấp màu ghi</t>
  </si>
  <si>
    <t xml:space="preserve">KAIYO- Hộp thủy tinh đựng thực phẩm 1730ml</t>
  </si>
  <si>
    <t xml:space="preserve">KAIYO - Chảo cạn, đúc inox chống dính 20cm</t>
  </si>
  <si>
    <t xml:space="preserve">KAIYO- Nồi ủ chân không 4,5L màu vàng</t>
  </si>
  <si>
    <t xml:space="preserve">KAIYO-Ấm siêu tốc 2 lớp cold touch 1,5L màu xanh</t>
  </si>
  <si>
    <t xml:space="preserve">KAIYO- Hộp thủy tinh đựng thực phẩm 470ml</t>
  </si>
  <si>
    <t xml:space="preserve">KAIYO- Hộp thủy tinh đựng thực phẩm 800ml</t>
  </si>
  <si>
    <t xml:space="preserve">KAIYO- Chảo đúc inox 3 lớp dập nổi dáng cạn 28cm</t>
  </si>
  <si>
    <t xml:space="preserve">KAIYO- Ấm siêu tốc 2 lớp cold touch xanh navy 1.5L</t>
  </si>
  <si>
    <t xml:space="preserve">KAIYO-Chảo inox 316 Premium thành cao, size 26cm</t>
  </si>
  <si>
    <t xml:space="preserve">KAIYO-Chảo inox 316 liền khối 5-ply Premium 24cm</t>
  </si>
  <si>
    <t xml:space="preserve">KAIYO - Ô gấp gọn siêu nhẹ có móc treo hình lá to</t>
  </si>
  <si>
    <t xml:space="preserve">KAIYO - Nồi đúc inox 3 lớp đáy liền size 20cm</t>
  </si>
  <si>
    <t xml:space="preserve">KAIYO - Nồi đúc inox 3 lớp đáy liền size 22cm</t>
  </si>
  <si>
    <t xml:space="preserve">KAIYO- Cốc giữ nhiệt 2 lớp màu xanh 350ml</t>
  </si>
  <si>
    <t xml:space="preserve">Kaiyo-Chảo inox 316 liền khối 5-ply Premium 26cm</t>
  </si>
  <si>
    <t xml:space="preserve">KAIYO-Chảo inox chống dính đáy liền vung kính 28cm</t>
  </si>
  <si>
    <t xml:space="preserve">KAIYO-Thớt chặt gỗ Teak hình chữ nhật 35x25x3,8cm</t>
  </si>
  <si>
    <t xml:space="preserve">KAIYO-Cây lau nhà chữ nhật màu xanh navy</t>
  </si>
  <si>
    <t xml:space="preserve">KAIYO- Hộp thủy tinh đựng thực phẩm 1400ml</t>
  </si>
  <si>
    <t xml:space="preserve">KAIYO- Nồi Inox đáy liền vung kính size 24cm</t>
  </si>
  <si>
    <t xml:space="preserve">KAIYO - Nồi đúc inox 3 lớp đáy liền size 18cm</t>
  </si>
  <si>
    <t xml:space="preserve">KAIYO - Chảo nhôm đúc nguyên khối size 26cm</t>
  </si>
  <si>
    <t xml:space="preserve">KAIYO-Rổ quả táo có nắp đậy, màu đỏ</t>
  </si>
  <si>
    <t xml:space="preserve">KAIYO- Vỏ gối lạnh họa tiết hoa nền ghi 50x70cm 2c</t>
  </si>
  <si>
    <t xml:space="preserve">KAIYO-Bình ủ cháo màu ghi 1000ML</t>
  </si>
  <si>
    <t xml:space="preserve">KAIYO-Nồi inox đáy liền SilverCrown size 20cm</t>
  </si>
  <si>
    <t xml:space="preserve">KAIYO- Nồi inox đáy liền SilverCrown size 18cm</t>
  </si>
  <si>
    <t xml:space="preserve">KAIYO- Bình giữ nhiệt kèm lọc trà 1,8L màu đồng</t>
  </si>
  <si>
    <t xml:space="preserve">KAIYO-Thớt chặt gỗ Teak đầu cây hình tròn 30x3,8cm</t>
  </si>
  <si>
    <t xml:space="preserve">KAIYO-Bình ủ cháo màu hồng ruby 1000ML</t>
  </si>
  <si>
    <t xml:space="preserve">KAIYO- Máy xay sinh tố cầm tay 1L KHB-417 trắng be</t>
  </si>
  <si>
    <t xml:space="preserve">KAIYO- Chảo đúc inox 3 lớp dập nổi dáng cạn 24cm</t>
  </si>
  <si>
    <t xml:space="preserve">KAIYO- Chảo đúc inox 3 lớp dập nổi vung kính 24cm</t>
  </si>
  <si>
    <t xml:space="preserve">KAIYO- Ấm siêu tốc 2 lớp cold touch xanh navy 2L</t>
  </si>
  <si>
    <t xml:space="preserve">KAIYO_Bộ 2 miếng bông lau chữ nhật cao cấp</t>
  </si>
  <si>
    <t xml:space="preserve">KAIYO-Nồi inox đáy liền SilverCrown size 24cm</t>
  </si>
  <si>
    <t xml:space="preserve">KAIYO- Cây lau nhà tự vắt chữ nhật, màu xanh navy</t>
  </si>
  <si>
    <t xml:space="preserve">KAIYO- Chảo đúc inox 3 lớp dập nổi vung kính 28cm</t>
  </si>
  <si>
    <t xml:space="preserve">KAIYO- Vỏ gối lạnh hình hoa nền xanh 50x70cm 2c</t>
  </si>
  <si>
    <t xml:space="preserve">KAIYO- Ga lạnh họa tiết hoa nền xanh 1m8 x 2m</t>
  </si>
  <si>
    <t xml:space="preserve">KAIYO - Bình giữ nhiệt có lõi lọc trà màu kem 1,1L</t>
  </si>
  <si>
    <t xml:space="preserve">KAIYO-Chảo inox 316 5-ply Premium sâu lòng20cm</t>
  </si>
  <si>
    <t xml:space="preserve">KAIYO- Bình giữ nhiệt có lõi lọc 500ml màu vàng</t>
  </si>
  <si>
    <t xml:space="preserve">KAIYO- Bình giữ nhiệt 2lớp inox 304 700ml đen xanh</t>
  </si>
  <si>
    <t xml:space="preserve">KAIYO- Ga lạnh họa tiết hoa nền xanh 2m x 2m2</t>
  </si>
  <si>
    <t xml:space="preserve">KAIYO-Chảo inox 316 Premium thành cao size 20cm</t>
  </si>
  <si>
    <t xml:space="preserve">KAIYO- Chảo inox Ceramic dáng cạn size 28cm</t>
  </si>
  <si>
    <t xml:space="preserve">KAIYO- Chảo inox Ceramic sâu lòng vung kính 24cm</t>
  </si>
  <si>
    <t xml:space="preserve">KAIYO-Dụng cụ xay tỏi ớt size M 400ml</t>
  </si>
  <si>
    <t xml:space="preserve">KAIYO-Thớt thái gỗ teak đầu cây hình oval size M</t>
  </si>
  <si>
    <t xml:space="preserve">KAIYO- Máy sấy tóc ion âm tốc độ cao model KHD-412</t>
  </si>
  <si>
    <t xml:space="preserve">KAIYO - Chảo inox vân nổi đáy liền sâu lòng 26cm</t>
  </si>
  <si>
    <t xml:space="preserve">KAIYO - Chảo inox chống dính vân nổi đáy liền 24cm</t>
  </si>
  <si>
    <t xml:space="preserve">KAIYO- Nồi ủ chân không 3L màu vàng</t>
  </si>
  <si>
    <t xml:space="preserve">KAIYO- Bình giữ nhiệt inox 800ml màu Sliver</t>
  </si>
  <si>
    <t xml:space="preserve">KAIYO-Thớt thái gỗ Teak đầu cây hình tròn 30x2,5cm</t>
  </si>
  <si>
    <t xml:space="preserve">KAIYO- Bộ lau nhà thông minh tách nước bẩn (Mint)</t>
  </si>
  <si>
    <t xml:space="preserve">KAIYO- BỘ LAU NHÀ THÔNG MINH TÁCH NƯỚC BẨN (NAVY)</t>
  </si>
  <si>
    <t xml:space="preserve">KAIYO-Nồi cơm điện cao tần IH 1L</t>
  </si>
  <si>
    <t xml:space="preserve">KAIYO-Nồi nhôm đúc đáy từ nguyên khối Elegant 24cm</t>
  </si>
  <si>
    <t xml:space="preserve">KAIYO- Nồi Inox đáy liền vung kính size 18cm</t>
  </si>
  <si>
    <t xml:space="preserve">KAIYO- Bình giữ nhiệt inox 800ml màu xanh Olive</t>
  </si>
  <si>
    <t xml:space="preserve">KAIYO-Thớt thái gỗ Teak hình chữ nhật 35x25x2,5cm</t>
  </si>
  <si>
    <t xml:space="preserve">KAIYO- Nồi ủ chân không màu xanh mint 4,5L</t>
  </si>
  <si>
    <t xml:space="preserve">KAIYO - Nồi hấp inox đa năng 25cm</t>
  </si>
  <si>
    <t xml:space="preserve">KAIYO- Nồi Inox đáy liền vung kính size 20cm</t>
  </si>
  <si>
    <t xml:space="preserve">KAIYO - Rổ quay rau li tâm cao cấp màu đỏ (5.5Lít)</t>
  </si>
  <si>
    <t xml:space="preserve">KAIYO-Rổ inox 2 tay cầm có chân 25,5cm</t>
  </si>
  <si>
    <t xml:space="preserve">KAIYO - Gối cao su tự nhiên dáng thấp 5cm</t>
  </si>
  <si>
    <t xml:space="preserve">KAIYO- Bình ủ cháo màu vàng dung tích 500ml</t>
  </si>
  <si>
    <t xml:space="preserve">KAIYO- Hộp cơm giữ nhiệt màu hồng ruby 1.700ml</t>
  </si>
  <si>
    <t xml:space="preserve">KAIYO-Chảo gang Oceno Matte Black có vòi rót 24cm</t>
  </si>
  <si>
    <t xml:space="preserve">KAIYO - Chảo nhôm đúc nguyên khối size 22cm</t>
  </si>
  <si>
    <t xml:space="preserve">KAIYO- Nồi luộc gà inox 304, 12L</t>
  </si>
  <si>
    <t xml:space="preserve">KAIYO-Phích giữ nhiệt 2 lớp màu đỏ 2,2L</t>
  </si>
  <si>
    <t xml:space="preserve">KAIYO-Phích giữ nhiệt 2 lớp màu xanh 2,2L</t>
  </si>
  <si>
    <t xml:space="preserve">KAIYO - Nồi nhôm đúc thành cao đáy từ 24cm</t>
  </si>
  <si>
    <t xml:space="preserve">KAIYO-Bộ tô trộn và rổ inox Kaiyo size 20cm</t>
  </si>
  <si>
    <t xml:space="preserve">KAIYO-Thớt thái gỗ Teak hình chữ nhật 30x20x2,5cm</t>
  </si>
  <si>
    <t xml:space="preserve">KAIYO-Chảo gang Oceno Matte Black có vòi rót 20cm</t>
  </si>
  <si>
    <t xml:space="preserve">KAIYO - Nồi lẩu nhôm đúc nguyên khối 2 ngăn 26cm</t>
  </si>
  <si>
    <t xml:space="preserve">KAIYO-Chảo đúc inox 3 lớp đáy liền Tri-Ply 12cm</t>
  </si>
  <si>
    <t xml:space="preserve">KAIYO-Rổ inox 2 tay cầm có chân 28,5cm</t>
  </si>
  <si>
    <t xml:space="preserve">KAIYO - Rổ quay rau li tâm cao cấp màu xanh (5.5L)</t>
  </si>
  <si>
    <t xml:space="preserve">KAIYO-Bộ tô trộn và rổ inox Kaiyo size 24cm</t>
  </si>
  <si>
    <t xml:space="preserve">KAIYO- Chăn lạnh họa tiết hoa nền ghi 1m8 x 2m</t>
  </si>
  <si>
    <t xml:space="preserve">KAIYO - Bình ủ cháo màu xanh mint 500ml</t>
  </si>
  <si>
    <t xml:space="preserve">KAIYO- Cặp lồng giữ nhiệt 1000ml màu vàng</t>
  </si>
  <si>
    <t xml:space="preserve">KAIYO- Nồi chiên ngập dầu màu xanh mint 16.5cm</t>
  </si>
  <si>
    <t xml:space="preserve">KAIYO- Nồi luộc gà inox 304, 16L</t>
  </si>
  <si>
    <t xml:space="preserve">KAIYO- Ga lạnh họa tiết hoa nền ghi 1m8 x 2m</t>
  </si>
  <si>
    <t xml:space="preserve">KAIYO- Ga lạnh họa tiết hoa nền ghi 2m x 2m2</t>
  </si>
  <si>
    <t xml:space="preserve">KAIYO- Ga lạnh họa tiết hoa nền ghi 1m6 x 2m</t>
  </si>
  <si>
    <t xml:space="preserve">KAIYO- Phích giữ nhiệt 2 lớp inox màu xanh 2L</t>
  </si>
  <si>
    <t xml:space="preserve">KAIYO- Bộ hộp cơm giữ nhiệt 5 món (Ghi - Navy)</t>
  </si>
  <si>
    <t xml:space="preserve">KAIYO-Quánh đúc inox 3 lớp đáy liền mini size 10cm</t>
  </si>
  <si>
    <t xml:space="preserve">KAIYO-Chảo gang Oceno có vung kính màu xanh 25cm</t>
  </si>
  <si>
    <t xml:space="preserve">KAIYO-Chảo inox chống dính đáy liền vung kính 24cm</t>
  </si>
  <si>
    <t xml:space="preserve">KAIYO-Bình nước thể thao màu xanh 680ml</t>
  </si>
  <si>
    <t xml:space="preserve">KAIYO- Cặp lồng giữ nhiệt 1000ml màu xanh mint</t>
  </si>
  <si>
    <t xml:space="preserve">KAIYO - Hộp cơm giữ nhiệt 3 tầng 1600ml (màu ghi)</t>
  </si>
  <si>
    <t xml:space="preserve">KAIYO-Nồi ủ chân không màu Inox 4,5L</t>
  </si>
  <si>
    <t xml:space="preserve">KAIYO- Nồi chiên ngập dầu màu xanh navy 16.5cm</t>
  </si>
  <si>
    <t xml:space="preserve">KAIYO- Chảo đúc inox 3 lớp đáy liền sâu lòng 24cm</t>
  </si>
  <si>
    <t xml:space="preserve">KAIYO- Chăn lạnh họa tiết hoa nền xanh 1m8 x 2m</t>
  </si>
  <si>
    <t xml:space="preserve">KAIYO- Chăn lạnh họa tiết hoa nền xanh 2m x 2m2</t>
  </si>
  <si>
    <t xml:space="preserve">KAIYO-Bình giữ nhiệt 2lớp inox 304 360ml đen nhám</t>
  </si>
  <si>
    <t xml:space="preserve">KAIYO - Thớt thái gỗ teak hình chữ nhật size S</t>
  </si>
  <si>
    <t xml:space="preserve">KAIYO-Máy hút bụi vệ sinh giường nệm cầm tay</t>
  </si>
  <si>
    <t xml:space="preserve">KAIYO-Nồi ủ chân không màu xanh-mint green 3,0L</t>
  </si>
  <si>
    <t xml:space="preserve">KAIYO- Chảo inox Ceramic sâu lòng vung kính 20cm</t>
  </si>
  <si>
    <t xml:space="preserve">KAIYO- Chảo đúc inox 3 lớp đáy liền sâu lòng 16cm</t>
  </si>
  <si>
    <t xml:space="preserve">KAIYO- Chăn lạnh họa tiết hoa nền ghi 2m x 2m2</t>
  </si>
  <si>
    <t xml:space="preserve">KAIYO- Bộ hộp cơm giữ nhiệt 5 món (Xanh lá - Kem)</t>
  </si>
  <si>
    <t xml:space="preserve">KAIYO - Chảo đúc cạn inox 3 lớp đáy liền (24cm)</t>
  </si>
  <si>
    <t xml:space="preserve">KAIYO- Nồi chiên ngập dầu màu đỏ 16.5cm</t>
  </si>
  <si>
    <t xml:space="preserve">KAIYO-Nồi nhôm đúc đáy từ nguyên khối Elegant 20cm</t>
  </si>
  <si>
    <t xml:space="preserve">KAIYO- Nồi cơm điện tử đa năng 1.5L</t>
  </si>
  <si>
    <t xml:space="preserve">KAIYO- Quánh đúc Inox 3 lớp đáy liền size 18cm</t>
  </si>
  <si>
    <t xml:space="preserve">KAIYO- Hộp cơm giữ nhiệt màu nâu 1600ml</t>
  </si>
  <si>
    <t xml:space="preserve">ĐỒ DÙNG NHÀ TẮM, TOILET</t>
  </si>
  <si>
    <t xml:space="preserve">KAIYO -Thảm microfiber siêu thấm chống trượt(ghi)</t>
  </si>
  <si>
    <t xml:space="preserve">KAIYO-Bình giữ nhiệt 2 lớp màu xanh 600ml</t>
  </si>
  <si>
    <t xml:space="preserve">KAIYO-Bình giữ nhiệt 2lớp inox 304 360ml trắng sữa</t>
  </si>
  <si>
    <t xml:space="preserve">KAIYO-Thớt thái gỗ teak vân ngang hình oval size S</t>
  </si>
  <si>
    <t xml:space="preserve">KAIYO-Hộp cơm giữ nhiệt Kaiyo 1,7ML màu ghi đá</t>
  </si>
  <si>
    <t xml:space="preserve">KAIYO - Chảo inox chống dính vân nổi đáy liền 20cm</t>
  </si>
  <si>
    <t xml:space="preserve">KAIYO-Nồi đa năng tráng men vuông hoa đỏ sz 16cm</t>
  </si>
  <si>
    <t xml:space="preserve">KAIYO-Nồi đa năng tráng men vuông hoa xanh sz16cm</t>
  </si>
  <si>
    <t xml:space="preserve">KAIYO- Nồi cơm điện cao tần IH 1,5L</t>
  </si>
  <si>
    <t xml:space="preserve">KAIYO -Giá úp bát 2 tầng có khay thoát nước38x29cm</t>
  </si>
  <si>
    <t xml:space="preserve">KAIYO-Gối cao su tự nhiên 50*30*7</t>
  </si>
  <si>
    <t xml:space="preserve">CHẾ PHẨM TỪ SỮA</t>
  </si>
  <si>
    <t xml:space="preserve">TRANG ĐIỂM</t>
  </si>
  <si>
    <t xml:space="preserve">ISEHAN-Bột kẻ lông mày Kissme nâu tự nhiên</t>
  </si>
  <si>
    <t xml:space="preserve">ISEHAN-Chì kẻ lông mày Kissme nâu tự nhiên</t>
  </si>
  <si>
    <t xml:space="preserve">ISEHAN- Chuốt mi Kissme làm cong và dài mi (Đen)</t>
  </si>
  <si>
    <t xml:space="preserve">ISEHAN- Tẩy trang mascara Kissme có dưỡng mi (6.6m</t>
  </si>
  <si>
    <t xml:space="preserve">ISEHAN- Mascara dài và cong mi Kissme WP 01 (Đen)</t>
  </si>
  <si>
    <t xml:space="preserve">ISEHAN- Mascara lông mày Kissme 08 (Xám tro)</t>
  </si>
  <si>
    <t xml:space="preserve">ISEHAN- Mascara Kissme dài&amp;cong mi sợi mảnh- Nâu02</t>
  </si>
  <si>
    <t xml:space="preserve">ISEHAN- Mascara lông mày Kissme 04 (Nâu tự nhiên)</t>
  </si>
  <si>
    <t xml:space="preserve">ISEHAN- Mascara lông mày Kissme 09 (Xám tự nhiên)</t>
  </si>
  <si>
    <t xml:space="preserve">ISEHAN-Bút kẻ lông mày Kissme nâu tự nhiên 0,4ml</t>
  </si>
  <si>
    <t xml:space="preserve">ISEHAN- Kẻ mày Kissme gel 2 đầu- Nâu 01</t>
  </si>
  <si>
    <t xml:space="preserve">ISEHAN-Bút kẻ lông mày Kissme nâu đậm 0,4ml</t>
  </si>
  <si>
    <t xml:space="preserve">BĂNG VỆ SINH</t>
  </si>
  <si>
    <t xml:space="preserve">KLEANNARA- BVS ZERO YOUNG 29cm</t>
  </si>
  <si>
    <t xml:space="preserve">KLEANNARA- BVS ZERO YOUNG 26cm</t>
  </si>
  <si>
    <t xml:space="preserve">MERRIES</t>
  </si>
  <si>
    <t xml:space="preserve">THỰC PHẨM CHẾ BIẾN SẴN</t>
  </si>
  <si>
    <t xml:space="preserve">HARU SAKURA BEEF - Thịt bò thăn ngoại Lúc lắc 200g</t>
  </si>
  <si>
    <t xml:space="preserve">BÁNH KẸO, ĐỒ ĂN VẶT</t>
  </si>
  <si>
    <t xml:space="preserve">SẢN PHẨM TỪ GIẤY</t>
  </si>
  <si>
    <t xml:space="preserve">MOIST DIANE- Dầu xả phục hồi tóc nhuộm tẩy 450ml</t>
  </si>
  <si>
    <t xml:space="preserve">CEZANNE - Son thỏi Lasting Gloss Lip #101</t>
  </si>
  <si>
    <t xml:space="preserve">CEZANNE - Phấn phủ UV Clear Face Powder #00</t>
  </si>
  <si>
    <t xml:space="preserve">CEZANNE – Son tint Watery Lip 02 Đỏ san hô</t>
  </si>
  <si>
    <t xml:space="preserve">CEZANNE - Son thỏi Lasting Gloss Lip #RD1</t>
  </si>
  <si>
    <t xml:space="preserve">GIẤY ƯỚT</t>
  </si>
  <si>
    <t xml:space="preserve">Calbee – Ngũ cốc trái cây ít đường 600g</t>
  </si>
  <si>
    <t xml:space="preserve">THỜI TRANG NAM</t>
  </si>
  <si>
    <t xml:space="preserve">GIA VỊ</t>
  </si>
  <si>
    <t xml:space="preserve">CHĂM SÓC CƠ THỂ BÉ</t>
  </si>
  <si>
    <t xml:space="preserve">KAO- Kem đánh răng cho bé vị dâu 70g</t>
  </si>
  <si>
    <t xml:space="preserve">ĐỒ UỐNG CÓ GA</t>
  </si>
  <si>
    <t xml:space="preserve">THỰC PHẨM CHO BÉ</t>
  </si>
  <si>
    <t xml:space="preserve">GIẶT, XẢ QUẦN ÁO</t>
  </si>
  <si>
    <t xml:space="preserve">BEANSTALK- Bánh quy xốp bổ sung Canxi 7 tháng 35g</t>
  </si>
  <si>
    <t xml:space="preserve">SẮC ĐẸP &amp; GIẢM CÂN</t>
  </si>
  <si>
    <t xml:space="preserve">TRÀ, CÀ PHÊ ĐÓNG GÓI</t>
  </si>
  <si>
    <t xml:space="preserve">MIỄN DỊCH &amp; VITAMIN</t>
  </si>
  <si>
    <t xml:space="preserve">THANH LỌC &amp; PHỤC HỒI</t>
  </si>
  <si>
    <t xml:space="preserve">THỰC PHẨM CHỨC NĂNG CHO MẸ &amp; BÉ</t>
  </si>
  <si>
    <t xml:space="preserve">BLACKMORES-Vitamin tổng hợp cho bà bầu và sau sinh</t>
  </si>
  <si>
    <t xml:space="preserve">NISSIN- Ngũ cốc dinh dưỡng vị socola 150g New</t>
  </si>
  <si>
    <t xml:space="preserve">FINISH - Muối rửa bát 1kg</t>
  </si>
  <si>
    <t xml:space="preserve">FINISH - Dung dịch vệ sinh máy rửa bát 250ml</t>
  </si>
  <si>
    <t xml:space="preserve">FINISH - Muối rửa bát 2kg</t>
  </si>
  <si>
    <t xml:space="preserve">FINISH - Nước làm bóng chén bát 500ml</t>
  </si>
  <si>
    <t xml:space="preserve">GIÀY</t>
  </si>
  <si>
    <t xml:space="preserve">ARBRE JARDIN-Dép đế xuồng hở mũi xỏ ngón L-Vàng</t>
  </si>
  <si>
    <t xml:space="preserve">PARTIRD'ABORD- Dép đế xuồng quai ngang bản to MĐen</t>
  </si>
  <si>
    <t xml:space="preserve">PARTIRD'ABORD- Dép đế xuồng quai ngang bản to LNâu</t>
  </si>
  <si>
    <t xml:space="preserve">ARBRE JARDIN-Dép đế xuồng hở mũi xỏ ngón L-Đen</t>
  </si>
  <si>
    <t xml:space="preserve">ARBRE JARDIN-Xăng đan đế xuồng quai chéo L-Đen</t>
  </si>
  <si>
    <t xml:space="preserve">ARBRE JARDIN-Xăng đan đế xuồng quai chéo L-Be</t>
  </si>
  <si>
    <t xml:space="preserve">PARTIRD'ABORD- Xăng đan đế xuồng quai chéo M-Trắng</t>
  </si>
  <si>
    <t xml:space="preserve">ARCHCONTACT-Giầy búp bê đế bệt 2 quai ngang 23Đen</t>
  </si>
  <si>
    <t xml:space="preserve">MILKY MILKY- Xăng đan quai ngang bản đôi L-Bạc</t>
  </si>
  <si>
    <t xml:space="preserve">ARCH CONTACT-Giày búp bê đế bệt quai ngang 23-Nâu</t>
  </si>
  <si>
    <t xml:space="preserve">FIRSTCONTACT-Giày búp bê đế xuồng mũi tròn 23-Bạc</t>
  </si>
  <si>
    <t xml:space="preserve">FIRSTCONTACT-Giày búp bê đế xuồng đính hoa 23.5Xám</t>
  </si>
  <si>
    <t xml:space="preserve">PARTIR D'ABORD- Xăng đan đế xuồng quai da M-Đen</t>
  </si>
  <si>
    <t xml:space="preserve">PARTIR D'ABORD- Xăng đan đế xuồng quai da L-Đen</t>
  </si>
  <si>
    <t xml:space="preserve">PARTIR D'ABORD- Xăng đan đế xuồng quai da L-Bạc</t>
  </si>
  <si>
    <t xml:space="preserve">PARTIRD'ABORD- Dép đế xuồng quai ngang bản to MNâu</t>
  </si>
  <si>
    <t xml:space="preserve">PARTIR D'ABORD- Xăng đan đế xuồng quai chéo M-Đen</t>
  </si>
  <si>
    <t xml:space="preserve">PARTIR D'ABORD- Xăng đan đế xuồng quai chéo L-Đen</t>
  </si>
  <si>
    <t xml:space="preserve">PARTIRD'ABORD- Xăng đan đế xuồng quai chéo L-Trắng</t>
  </si>
  <si>
    <t xml:space="preserve">ARCHCONTACT-Giầy búp bê đế bệt 2 quai ngang 23-Xám</t>
  </si>
  <si>
    <t xml:space="preserve">PARTIR D'ABORD- Xăng đan đế xuồng quai chéo M-Nâu</t>
  </si>
  <si>
    <t xml:space="preserve">MILKY MILKY- Xăng đan quai mảnh ánh kim M-Vàng</t>
  </si>
  <si>
    <t xml:space="preserve">MILKY MILKY- Xăng đan quai mảnh ánh kim L-Đen</t>
  </si>
  <si>
    <t xml:space="preserve">ARBRE JARDIN-Dép đế xuồng hở mũi xỏ ngón S-Đen</t>
  </si>
  <si>
    <t xml:space="preserve">ARBRE JARDIN-Dép đế xuồng hở mũi xỏ ngón M-Đen</t>
  </si>
  <si>
    <t xml:space="preserve">ARBRE JARDIN-Dép đế xuồng hở mũi xỏ ngón M-Vàng</t>
  </si>
  <si>
    <t xml:space="preserve">ARBRE JARDIN-Dép đế xuồng hở mũi xỏ ngón LL-Vàng</t>
  </si>
  <si>
    <t xml:space="preserve">ARBRE JARDIN- Xăng đan đế xuồng có nơ L-Be</t>
  </si>
  <si>
    <t xml:space="preserve">ARBRE JARDIN-Xăng đan đế xuồng quai chéo S-Be</t>
  </si>
  <si>
    <t xml:space="preserve">ARBRE JARDIN-Xăng đan đế xuồng quai chéo M-Be</t>
  </si>
  <si>
    <t xml:space="preserve">LIVRE DE POCHE- Xăng đan đế xuồng quai lưới M-Nâu</t>
  </si>
  <si>
    <t xml:space="preserve">ARCH CONTACT-Giày búp bê đế bệt quai ngang 23-Đen</t>
  </si>
  <si>
    <t xml:space="preserve">FIRSTCONTACT-Giày búp bê đế xuồng mũi tròn 23.5Bạc</t>
  </si>
  <si>
    <t xml:space="preserve">FIRSTCONTACT-Giày búp bê đế xuồng đính hoa 23-Xám</t>
  </si>
  <si>
    <t xml:space="preserve">FIRSTCONTACT-Xăng đan quai thun co giãn M-Xám nhạt</t>
  </si>
  <si>
    <t xml:space="preserve">PARTIRD'ABORD-Dép đế xuồng quai rộng ánh kim M-Đen</t>
  </si>
  <si>
    <t xml:space="preserve">PARTIRD'ABORD-Dép đế xuồng quai rộng ánh kim M-Bạc</t>
  </si>
  <si>
    <t xml:space="preserve">PARTIRD'ABORD- Xăng đan đế xuồng quai ngang M-Vàng</t>
  </si>
  <si>
    <t xml:space="preserve">PARTIR D'ABORD- Xăng đan đế xuồng quai da S-Đen</t>
  </si>
  <si>
    <t xml:space="preserve">PARTIR D'ABORD- Xăng đan đế xuồng quai da M-Bạc</t>
  </si>
  <si>
    <t xml:space="preserve">PARTIRD'ABORD- Dép đế xuồng quai ngang bản to SĐen</t>
  </si>
  <si>
    <t xml:space="preserve">PARTIRD'ABORD- Dép đế xuồng quai ngang bản to LĐen</t>
  </si>
  <si>
    <t xml:space="preserve">PARTIR D'ABORD- Xăng đan đế xuồng quai chéo S-Đen</t>
  </si>
  <si>
    <t xml:space="preserve">PARTIRD'ABORD- Xăng đan đế xuồng quai chéo S-Trắng</t>
  </si>
  <si>
    <t xml:space="preserve">ARCHCONTACT-Giầy búp bê đế bệt 2 quai ngang22.5Đen</t>
  </si>
  <si>
    <t xml:space="preserve">ARCHCONTACT-Giầy búp bê đế bệt 2 quai ngang23.5Đen</t>
  </si>
  <si>
    <t xml:space="preserve">ARCHCONTACT-Giầy búp bê đế bệt 2 quai ngang22.5Xám</t>
  </si>
  <si>
    <t xml:space="preserve">ARCHCONTACT-Giầy búp bê đế bệt 2 quai ngang23.5Xám</t>
  </si>
  <si>
    <t xml:space="preserve">ARCH CONTACT-Giầy búp bê mũi bóng 23-Xám nhạt</t>
  </si>
  <si>
    <t xml:space="preserve">ARCH CONTACT-Giầy búp bê mũi bóng 23-Đen</t>
  </si>
  <si>
    <t xml:space="preserve">PARTIR D'ABORD-Xăng đan đế xuồng hở mũi M-Trắng</t>
  </si>
  <si>
    <t xml:space="preserve">PARTIR D'ABORD-Xăng đan đế xuồng quai ngang M-Đen</t>
  </si>
  <si>
    <t xml:space="preserve">PARTIR D'ABORD-Xăng đan đế xuồng 2 quai M-Vàng</t>
  </si>
  <si>
    <t xml:space="preserve">PARTIR D'ABORD-Xăng đan quai da đan chéo M-Đen</t>
  </si>
  <si>
    <t xml:space="preserve">PARTIR D'ABORD- Xăng đan đế xuồng quai chéo L-Nâu</t>
  </si>
  <si>
    <t xml:space="preserve">ARCHCONTACT-Giày búp bê đế bệt quai ngang 23-Bạc</t>
  </si>
  <si>
    <t xml:space="preserve">FIRSTCONTACT-Giày búp bê đế xuồng đính hoa 23-Đen</t>
  </si>
  <si>
    <t xml:space="preserve">FIRSTCONTACT-Giày búp bê đế xuồng đính hoa 23-Ngà</t>
  </si>
  <si>
    <t xml:space="preserve">MILKY MILKY- Xăng đan quai ngang bản đôi S-Đen</t>
  </si>
  <si>
    <t xml:space="preserve">MILKY MILKY- Xăng đan quai ngang bản đôi M-Đen</t>
  </si>
  <si>
    <t xml:space="preserve">MILKY MILKY- Xăng đan quai mảnh ánh kim M-Đen</t>
  </si>
  <si>
    <t xml:space="preserve">MILKY MILKY- Xăng đan quai mảnh ánh kim LL-Đen</t>
  </si>
  <si>
    <t xml:space="preserve">MILKY MILKY- Xăng đan quai mảnh ánh kim LL-Vàng</t>
  </si>
  <si>
    <t xml:space="preserve">ARBRE JARDIN-Dép đế xuồng hở mũi xỏ ngón S-Vàng</t>
  </si>
  <si>
    <t xml:space="preserve">ARBRE JARDIN-Dép đế xuồng hở mũi xỏ ngón LL-Đen</t>
  </si>
  <si>
    <t xml:space="preserve">ARBRE JARDIN-Dép đế xuồng hở mũi xỏ ngón L-Đồng</t>
  </si>
  <si>
    <t xml:space="preserve">ARBRE JARDIN-Xăng đan đế xuồng quai chéo S-Đen</t>
  </si>
  <si>
    <t xml:space="preserve">ARBRE JARDIN-Xăng đan đế xuồng quai chéo M-Đen</t>
  </si>
  <si>
    <t xml:space="preserve">ARCHCONTACT-Giày búp bê đế bệt quai ngang 22.5-Đen</t>
  </si>
  <si>
    <t xml:space="preserve">ARCHCONTACT-Giày búp bê đế bệt quai ngang 22.5-Nâu</t>
  </si>
  <si>
    <t xml:space="preserve">ARCHCONTACT-Giày búp bê đế bệt quai ngang 23.5-Đen</t>
  </si>
  <si>
    <t xml:space="preserve">ARCHCONTACT-Giày búp bê đế bệt quai ngang 23.5Nâu</t>
  </si>
  <si>
    <t xml:space="preserve">FIRSTCONTACT-Giày búp bê đế xuồng mũi tròn 22.5Bạc</t>
  </si>
  <si>
    <t xml:space="preserve">FIRSTCONTACT-Giày búp bê đế xuồng đính đá 22.5Xanh</t>
  </si>
  <si>
    <t xml:space="preserve">FIRSTCONTACT-Giày búp bê đế xuồng đính hoa 22.5Xám</t>
  </si>
  <si>
    <t xml:space="preserve">FIRSTCONTACT-Giày búp bê đế xuồng đính nơ 23.5-Xám</t>
  </si>
  <si>
    <t xml:space="preserve">FIRSTCONTACT-Xăng đan quai thun co giãn S-Xám nhạt</t>
  </si>
  <si>
    <t xml:space="preserve">FIRST CONTACT-Xăng đan quai thun co giãn M-Đen</t>
  </si>
  <si>
    <t xml:space="preserve">FIRSTCONTACT-Xăng đan quai thun co giãn L-Xám nhạt</t>
  </si>
  <si>
    <t xml:space="preserve">PARTIRD'ABORD-Dép đế xuồng quai rộng ánh kim S-Bạc</t>
  </si>
  <si>
    <t xml:space="preserve">PARTIRD'ABORD-Dép đế xuồng quai rộng ánh kim L-Bạc</t>
  </si>
  <si>
    <t xml:space="preserve">PARTIRD'ABORD- Xăng đan đế xuồng quai ngang S-Vàng</t>
  </si>
  <si>
    <t xml:space="preserve">PARTIR D'ABORD- Xăng đan đế xuồng quai ngang M-Be</t>
  </si>
  <si>
    <t xml:space="preserve">PARTIR D'ABORD- Xăng đan đế xuồng quai ngang L-Be</t>
  </si>
  <si>
    <t xml:space="preserve">PARTIR D'ABORD- Xăng đan đế xuồng quai da S-Bạc</t>
  </si>
  <si>
    <t xml:space="preserve">PARTIRD'ABORD- Dép đế xuồng quai ngang bản to SNâu</t>
  </si>
  <si>
    <t xml:space="preserve">LIVREDE POCHE- Xăng đan đế xuồng quai lưới M-CAMEL</t>
  </si>
  <si>
    <t xml:space="preserve">LIVREDE POCHE- Xăng đan đế xuồng quai lưới L-CAMEL</t>
  </si>
  <si>
    <t xml:space="preserve">LIVRE DE POCHE- Xăng đan đế xuồng quai lưới S-Be</t>
  </si>
  <si>
    <t xml:space="preserve">ARCH CONTACT-Giầy búp bê mũi bóng 22.5-Xám nhạt</t>
  </si>
  <si>
    <t xml:space="preserve">ARCH CONTACT-Giầy búp bê mũi bóng 23.5-Xám nhạt</t>
  </si>
  <si>
    <t xml:space="preserve">ARCH CONTACT-Giầy búp bê mũi bóng 22.5-Đen</t>
  </si>
  <si>
    <t xml:space="preserve">PARTIR D'ABORD-Xăng đan đế xuồng hở mũi S-Trắng</t>
  </si>
  <si>
    <t xml:space="preserve">PARTIR D'ABORD-Xăng đan đế xuồng hở mũi L-Trắng</t>
  </si>
  <si>
    <t xml:space="preserve">PARTIR D'ABORD-Xăng đan đế xuồng hở mũi M-Đen</t>
  </si>
  <si>
    <t xml:space="preserve">PARTIR D'ABORD-Xăng đan đế xuồng hở mũi L-Đen</t>
  </si>
  <si>
    <t xml:space="preserve">PARTIRD'ABORD-Xăng đan đế xuồng quai ngang L-Trắng</t>
  </si>
  <si>
    <t xml:space="preserve">PARTIR D'ABORD-Xăng đan đế xuồng quai ngang S-Đen</t>
  </si>
  <si>
    <t xml:space="preserve">PARTIR D'ABORD-Xăng đan đế xuồng quai ngang L-Đen</t>
  </si>
  <si>
    <t xml:space="preserve">PARTIR D'ABORD-Xăng đan đế xuồng 2 quai M-Đen</t>
  </si>
  <si>
    <t xml:space="preserve">PARTIR D'ABORD-Xăng đan đế xuồng 2 quai L-Vàng</t>
  </si>
  <si>
    <t xml:space="preserve">PARTIR D'ABORD-Xăng đan quai da đan chéo S-Đen</t>
  </si>
  <si>
    <t xml:space="preserve">PARTIR D'ABORD-Xăng đan quai da đan chéo M-Vàng</t>
  </si>
  <si>
    <t xml:space="preserve">PARTIR D'ABORD-Xăng đan quai da đan chéo L-Vàng</t>
  </si>
  <si>
    <t xml:space="preserve">PARTIR D'ABORD-Xăng đan quai da hở mũi M-Đen</t>
  </si>
  <si>
    <t xml:space="preserve">PARTIR D'ABORD-Xăng đan quai da hở mũi L-Đen</t>
  </si>
  <si>
    <t xml:space="preserve">PARTIR D'ABORD-Xăng đan quai da hở mũi S-Vàng</t>
  </si>
  <si>
    <t xml:space="preserve">PARTIR D'ABORD-Xăng đan quai da hở mũi M-Vàng</t>
  </si>
  <si>
    <t xml:space="preserve">PARTIR D'ABORD-Xăng đan quai da hở mũi L-Vàng</t>
  </si>
  <si>
    <t xml:space="preserve">PARTIR D'ABORD- Xăng đan đế xuồng quai chéo S-Nâu</t>
  </si>
  <si>
    <t xml:space="preserve">MILKY MILKY- Xăng đan quai ngang bản đôi L-Nâu</t>
  </si>
  <si>
    <t xml:space="preserve">ARCHCONTACT-Giày búp bê đế bệt quai ngang 22.5-Bạc</t>
  </si>
  <si>
    <t xml:space="preserve">ARCHCONTACT-Giày búp bê đế bệt quai ngang 23.5-Bạc</t>
  </si>
  <si>
    <t xml:space="preserve">FIRSTCONTACT-Giày búp bê đế xuồng đính hoa 22.5Đen</t>
  </si>
  <si>
    <t xml:space="preserve">FIRSTCONTACT-Giày búp bê đế xuồng đính hoa 22.5Ngà</t>
  </si>
  <si>
    <t xml:space="preserve">FIRSTCONTACT-Giày búp bê đế xuồng đính hoa 23.5Ngà</t>
  </si>
  <si>
    <t xml:space="preserve">ARBRE JARDIN-Dép đế xuồng hở mũi xỏ ngón L-Nâu</t>
  </si>
  <si>
    <t xml:space="preserve">PARTIRD'ABORD-Dép đế xuồng quai lưới L-Đen</t>
  </si>
  <si>
    <t xml:space="preserve">PARTIRD'ABORD-Dép đế xuồng quai lưới L-Gỗ sồi</t>
  </si>
  <si>
    <t xml:space="preserve">PARTIRD'ABORD-Dép đế xuồng quai lưới chéo M-Đen</t>
  </si>
  <si>
    <t xml:space="preserve">PARTIRD'ABORD-Dép đế xuồng quai lưới chéo M-Bạc</t>
  </si>
  <si>
    <t xml:space="preserve">PARTIRD'ABORD-Xăng đan đế xuồng bản rộng M-Đen</t>
  </si>
  <si>
    <t xml:space="preserve">PARTIRD'ABORD-Xăng đan đế xuồng bản rộng M-Bạc</t>
  </si>
  <si>
    <t xml:space="preserve">FIRSTCONTACT-Giày búp bê đế xuồng quai chéo L-Đen</t>
  </si>
  <si>
    <t xml:space="preserve">FIRSTCONTACT-Giày búp bê đế xuồng quai chéo M-Xám</t>
  </si>
  <si>
    <t xml:space="preserve">FIRSTCONTACT-Giày búp bê đế xuồng quai chéo L-Xám</t>
  </si>
  <si>
    <t xml:space="preserve">FIRSTCONTACT-Giày búp bê đế xuồng quai chéo M-Ngà</t>
  </si>
  <si>
    <t xml:space="preserve">FIRSTCONTACT-Giày búp bê đế xuồng quai chéo L-Ngà</t>
  </si>
  <si>
    <t xml:space="preserve">SKRStep-Giày búp bê Arch Contact Charcoal 23/39194</t>
  </si>
  <si>
    <t xml:space="preserve">SKRStep - Giày búp bê Arch Contact Đen 24/39194</t>
  </si>
  <si>
    <t xml:space="preserve">SKRStep - Giày mũi tròn AC Charcoal 22.5/49130</t>
  </si>
  <si>
    <t xml:space="preserve">MILKY MILKY- Xăng đan quai ngang bản đôi M-Bạc</t>
  </si>
  <si>
    <t xml:space="preserve">MILKY MILKY- Xăng đan quai ngang bản đôi L-Đen</t>
  </si>
  <si>
    <t xml:space="preserve">MILKY MILKY- Xăng đan quai ngang bản đôi LL-Bạc</t>
  </si>
  <si>
    <t xml:space="preserve">MILKY MILKY- Xăng đan quai mảnh ánh kim S-Đen</t>
  </si>
  <si>
    <t xml:space="preserve">MILKY MILKY- Xăng đan quai mảnh ánh kim S-Vàng</t>
  </si>
  <si>
    <t xml:space="preserve">MILKY MILKY- Xăng đan quai mảnh ánh kim L-Vàng</t>
  </si>
  <si>
    <t xml:space="preserve">ARBRE JARDIN-Dép đế xuồng hở mũi xỏ ngón S-Đồng</t>
  </si>
  <si>
    <t xml:space="preserve">ARBRE JARDIN-Dép đế xuồng hở mũi xỏ ngón M-Đồng</t>
  </si>
  <si>
    <t xml:space="preserve">ARBRE JARDIN- Xăng đan đế xuồng có nơ S-Đen</t>
  </si>
  <si>
    <t xml:space="preserve">ARBRE JARDIN- Xăng đan đế xuồng có nơ S-Be</t>
  </si>
  <si>
    <t xml:space="preserve">ARBRE JARDIN- Xăng đan đế xuồng có nơ M-Đen</t>
  </si>
  <si>
    <t xml:space="preserve">ARBRE JARDIN- Xăng đan đế xuồng có nơ L-Đen</t>
  </si>
  <si>
    <t xml:space="preserve">ARBRE JARDIN- Xăng đan đế xuồng có nơ LL-Đen</t>
  </si>
  <si>
    <t xml:space="preserve">ARBRE JARDIN- Xăng đan đế xuồng có nơ LL-Be</t>
  </si>
  <si>
    <t xml:space="preserve">ARBRE JARDIN-Xăng đan đế xuồng quai chéo LL-Đen</t>
  </si>
  <si>
    <t xml:space="preserve">ARBRE JARDIN-Xăng đan đế xuồng quai chéo LL-Be</t>
  </si>
  <si>
    <t xml:space="preserve">LIVRE DE POCHE- Xăng đan đế xuồng quai lưới M-Be</t>
  </si>
  <si>
    <t xml:space="preserve">LIVRE DE POCHE- Xăng đan đế xuồng quai lưới L-Be</t>
  </si>
  <si>
    <t xml:space="preserve">FIRSTCONTACT-Giày búp bê đế xuồng mũi tròn 22.5Đen</t>
  </si>
  <si>
    <t xml:space="preserve">FIRST CONTACT-Giày búp bê đế xuồng mũi tròn 23-Đen</t>
  </si>
  <si>
    <t xml:space="preserve">FIRSTCONTACT-Giày búp bê đế xuồng đính đá 22.5-Xám</t>
  </si>
  <si>
    <t xml:space="preserve">FIRST CONTACT-Giày búp bê đế xuồng đính đá 23-Xám</t>
  </si>
  <si>
    <t xml:space="preserve">FIRSTCONTACT-Giày búp bê đế xuồng đính đá 23-Xanh</t>
  </si>
  <si>
    <t xml:space="preserve">FIRSTCONTACT-Giày BB đế xuồng đính hoa 23.5-Xanh</t>
  </si>
  <si>
    <t xml:space="preserve">FIRSTCONTACT-Giày BB đế xuồng đính nơ 22.5-Trắng</t>
  </si>
  <si>
    <t xml:space="preserve">FIRST CONTACT-Giày búp bê đế xuồng đính nơ 23-Xám</t>
  </si>
  <si>
    <t xml:space="preserve">FIRSTCONTACT-Giày BB đế xuồng đính nơ 23.5-Trắng</t>
  </si>
  <si>
    <t xml:space="preserve">FIRST CONTACT-Xăng đan quai thun co giãn S-Đen</t>
  </si>
  <si>
    <t xml:space="preserve">FIRST CONTACT-Xăng đan quai thun co giãn L-Đen</t>
  </si>
  <si>
    <t xml:space="preserve">FIRST CONTACT-Xăng đan quai thun co giãn LL-Đen</t>
  </si>
  <si>
    <t xml:space="preserve">FIRSTCONTACT-Xăng đan quai thun co giãn LL-Xám</t>
  </si>
  <si>
    <t xml:space="preserve">PARTIRD'ABORD-Dép đế xuồng quai rộng ánh kim S-Đen</t>
  </si>
  <si>
    <t xml:space="preserve">PARTIRD'ABORD-Dép đế xuồng quai rộng ánh kim L-Đen</t>
  </si>
  <si>
    <t xml:space="preserve">PARTIRD'ABORD-Dép đế xuồng quai rộng ánh kim LLBạc</t>
  </si>
  <si>
    <t xml:space="preserve">PARTIR D'ABORD- Xăng đan đế xuồng quai ngang S-Be</t>
  </si>
  <si>
    <t xml:space="preserve">PARTIRD'ABORD- Xăng đan đế xuồng quai ngang L-Vàng</t>
  </si>
  <si>
    <t xml:space="preserve">PARTIRD'ABORD- Xăng đan đế xuồng quai ngang LLVàng</t>
  </si>
  <si>
    <t xml:space="preserve">PARTIR D'ABORD- Xăng đan đế xuồng quai ngang LL-Be</t>
  </si>
  <si>
    <t xml:space="preserve">PARTIR D'ABORD- Xăng đan đế xuồng quai da S-Đồng</t>
  </si>
  <si>
    <t xml:space="preserve">PARTIR D'ABORD- Xăng đan đế xuồng quai da LL-Đen</t>
  </si>
  <si>
    <t xml:space="preserve">PARTIR D'ABORD- Xăng đan đế xuồng quai da LL-Bạc</t>
  </si>
  <si>
    <t xml:space="preserve">PARTIR D'ABORD- Xăng đan đế xuồng quai da L-Đồng</t>
  </si>
  <si>
    <t xml:space="preserve">PARTIRD'ABORD-Dép đế xuồng quai ngang bản to LLĐen</t>
  </si>
  <si>
    <t xml:space="preserve">PARTIRD'ABORD-Dép đế xuồng quai ngang bản to LLNâu</t>
  </si>
  <si>
    <t xml:space="preserve">LIVREDE POCHE- Xăng đan đế xuồng quai lưới S-CAMEL</t>
  </si>
  <si>
    <t xml:space="preserve">ARCH CONTACT-Giầy búp bê đế bệt đính nơ 22.5-Đen</t>
  </si>
  <si>
    <t xml:space="preserve">ARCH CONTACT-Giầy búp bê đế bệt đính nơ 23-Đen</t>
  </si>
  <si>
    <t xml:space="preserve">ARCH CONTACT-Giầy búp bê đế bệt đính nơ 23.5-Đen</t>
  </si>
  <si>
    <t xml:space="preserve">ARCH CONTACT-Giầy búp bê đế bệt đính nơ 22.5-Kem</t>
  </si>
  <si>
    <t xml:space="preserve">ARCH CONTACT-Giầy búp bê đế bệt đính nơ 23-Kem</t>
  </si>
  <si>
    <t xml:space="preserve">ARCH CONTACT-Giầy búp bê đế bệt đính nơ 23.5-Kem</t>
  </si>
  <si>
    <t xml:space="preserve">ARCH CONTACT-Giầy búp bê mũi bóng 23.5-Đen</t>
  </si>
  <si>
    <t xml:space="preserve">PARTIR D'ABORD-Xăng đan đế xuồng hở mũi S-Đen</t>
  </si>
  <si>
    <t xml:space="preserve">PARTIRD'ABORD-Xăng đan đế xuồng quai ngang S-Trắng</t>
  </si>
  <si>
    <t xml:space="preserve">PARTIRD'ABORD-Xăng đan đế xuồng quai ngang M-Trắng</t>
  </si>
  <si>
    <t xml:space="preserve">PARTIR D'ABORD-Xăng đan đế xuồng 2 quai L-Đen</t>
  </si>
  <si>
    <t xml:space="preserve">PARTIR D'ABORD-Xăng đan đế xuồng 2 quai S-Vàng</t>
  </si>
  <si>
    <t xml:space="preserve">PARTIR D'ABORD-Xăng đan quai da đan chéo S-Vàng</t>
  </si>
  <si>
    <t xml:space="preserve">PARTIR D'ABORD-Xăng đan quai da hở mũi S-Đen</t>
  </si>
  <si>
    <t xml:space="preserve">MILKY MILKY- Xăng đan quai ngang bản đôi S-Nâu</t>
  </si>
  <si>
    <t xml:space="preserve">MILKY MILKY- Xăng đan quai ngang bản đôi M-Nâu</t>
  </si>
  <si>
    <t xml:space="preserve">MILKY MILKY- Xăng đan quai ngang bản đôi LL-Nâu</t>
  </si>
  <si>
    <t xml:space="preserve">MILKY MILKY- Xăng đan quai mảnh ánh kim S-Bạc</t>
  </si>
  <si>
    <t xml:space="preserve">MILKY MILKY- Xăng đan quai mảnh ánh kim M-Bạc</t>
  </si>
  <si>
    <t xml:space="preserve">MILKY MILKY- Xăng đan quai mảnh ánh kim L-Bạc</t>
  </si>
  <si>
    <t xml:space="preserve">MILKY MILKY- Xăng đan quai mảnh ánh kim LL-Bạc</t>
  </si>
  <si>
    <t xml:space="preserve">ARBRE JARDIN-Dép đế xuồng hở mũi xỏ ngón S-Bạc</t>
  </si>
  <si>
    <t xml:space="preserve">ARBRE JARDIN-Dép đế xuồng hở mũi xỏ ngón M-Bạc</t>
  </si>
  <si>
    <t xml:space="preserve">ARBRE JARDIN-Dép đế xuồng hở mũi xỏ ngón L-Bạc</t>
  </si>
  <si>
    <t xml:space="preserve">ARBRE JARDIN-Dép đế xuồng hở mũi xỏ ngón LL-Bạc</t>
  </si>
  <si>
    <t xml:space="preserve">FIRSTCONTACT-Giày búp bê đế xuồng đính hoa 23.5Đen</t>
  </si>
  <si>
    <t xml:space="preserve">ARBRE JARDIN-Dép đế xuồng hở mũi xỏ ngón S-Nâu</t>
  </si>
  <si>
    <t xml:space="preserve">ARBRE JARDIN-Dép đế xuồng hở mũi xỏ ngón LL-Nâu</t>
  </si>
  <si>
    <t xml:space="preserve">PARTIRD'ABORD-Dép đế xuồng quai lưới S-Đen</t>
  </si>
  <si>
    <t xml:space="preserve">PARTIRD'ABORD-Dép đế xuồng quai lưới M-Đen</t>
  </si>
  <si>
    <t xml:space="preserve">PARTIRD'ABORD-Dép đế xuồng quai lưới LL-Đen</t>
  </si>
  <si>
    <t xml:space="preserve">PARTIRD'ABORD-Dép đế xuồng quai lưới S-Gỗ sồi</t>
  </si>
  <si>
    <t xml:space="preserve">PARTIRD'ABORD-Dép đế xuồng quai lưới LL-Gỗ sồi</t>
  </si>
  <si>
    <t xml:space="preserve">PARTIRD'ABORD-Dép đế xuồng quai lưới chéo S-Đen</t>
  </si>
  <si>
    <t xml:space="preserve">PARTIRD'ABORD-Dép đế xuồng quai lưới chéo L-Đen</t>
  </si>
  <si>
    <t xml:space="preserve">PARTIRD'ABORD-Dép đế xuồng quai lưới chéo S-Bạc</t>
  </si>
  <si>
    <t xml:space="preserve">PARTIRD'ABORD-Dép đế xuồng quai lưới chéo L-Bạc</t>
  </si>
  <si>
    <t xml:space="preserve">PARTIRD'ABORD-Xăng đan đế xuồng bản rộng S-Đen</t>
  </si>
  <si>
    <t xml:space="preserve">PARTIRD'ABORD-Xăng đan đế xuồng bản rộng L-Đen</t>
  </si>
  <si>
    <t xml:space="preserve">PARTIRD'ABORD-Xăng đan đế xuồng bản rộng LL-Đen</t>
  </si>
  <si>
    <t xml:space="preserve">PARTIRD'ABORD-Xăng đan đế xuồng bản rộng S-Bạc</t>
  </si>
  <si>
    <t xml:space="preserve">PARTIRD'ABORD-Xăng đan đế xuồng bản rộng L-Bạc</t>
  </si>
  <si>
    <t xml:space="preserve">PARTIRD'ABORD-Xăng đan đế xuồng bản rộng LL-Bạc</t>
  </si>
  <si>
    <t xml:space="preserve">FIRSTCONTACT-Giày búp bê đế xuồng quai chéo S-Đen</t>
  </si>
  <si>
    <t xml:space="preserve">FIRSTCONTACT-Giày búp bê đế xuồng quai chéo M-Đen</t>
  </si>
  <si>
    <t xml:space="preserve">FIRSTCONTACT-Giày búp bê đế xuồng quai chéo S-Xám</t>
  </si>
  <si>
    <t xml:space="preserve">FIRSTCONTACT-Giày búp bê đế xuồng quai chéo S-Ngà</t>
  </si>
  <si>
    <t xml:space="preserve">MORISHITA-Men vi sinh Bifina Baby hộp 30 gói</t>
  </si>
  <si>
    <t xml:space="preserve">ATTENIR – Serum dưỡng ẩm mắt &amp; giảm nhăn 15g</t>
  </si>
  <si>
    <t xml:space="preserve">ATTENIR – Dầu tẩy trang làm sạch cho da dầu 175ml</t>
  </si>
  <si>
    <t xml:space="preserve">ATTENIR – Nước cân bằng &amp; dưỡng trắng 150ml</t>
  </si>
  <si>
    <t xml:space="preserve">ATTENIR – Sữa dưỡng trắng ban ngày 60ml</t>
  </si>
  <si>
    <t xml:space="preserve">ATTENIR – Dầu tẩy trang hương hoa Neroli 175ml</t>
  </si>
  <si>
    <t xml:space="preserve">ATTENIR – Kem dưỡng trắng ban đêm 35g</t>
  </si>
  <si>
    <t xml:space="preserve">ATTENIR – Dầu tẩy trang làm sạch 175ml</t>
  </si>
  <si>
    <t xml:space="preserve">ATTENIR – Kem chống nắng dưỡng sáng 40g</t>
  </si>
  <si>
    <t xml:space="preserve">ATTENIR – Sữa rửa mặt se khít lỗ chân lông 120g</t>
  </si>
  <si>
    <t xml:space="preserve">GIA DỤNG SKK</t>
  </si>
  <si>
    <t xml:space="preserve">SKK - Nồi nấu đa năng size 20cm</t>
  </si>
  <si>
    <t xml:space="preserve">SKK - Nồi nấu đa năng size 16cm</t>
  </si>
  <si>
    <t xml:space="preserve">SKK - Nồi nấu đa năng size 26cm</t>
  </si>
  <si>
    <t xml:space="preserve">SKK - Nồi nấu đa năng size 22cm</t>
  </si>
  <si>
    <t xml:space="preserve">SKK - Nồi nấu đa năng size 15cm</t>
  </si>
  <si>
    <t xml:space="preserve">SKK - Nồi nấu đa năng size 20-24cm  TL</t>
  </si>
  <si>
    <t xml:space="preserve">HMV-TẾT</t>
  </si>
  <si>
    <t xml:space="preserve">SKK - Vỏ giữ lon nước 500ml</t>
  </si>
  <si>
    <t xml:space="preserve">SKK - Cốc giữ nhiệt 350ml</t>
  </si>
  <si>
    <t xml:space="preserve">SKK - Cốc giữ lạnh có tay cầm 740ml</t>
  </si>
  <si>
    <t xml:space="preserve">SKK - Cốc giữ lạnh có tay cầm 520ml</t>
  </si>
  <si>
    <t xml:space="preserve">SKK- Giá kệ đa năng size nhỏ</t>
  </si>
  <si>
    <t xml:space="preserve">SKK - Chảo chống dính cao cấp size 20cm</t>
  </si>
  <si>
    <t xml:space="preserve">SKK - Chảo chống dính cao cấp size 26-30cm  TL</t>
  </si>
  <si>
    <t xml:space="preserve">SKK - Chảo chống dính cao cấp size 14-18cm TL</t>
  </si>
  <si>
    <t xml:space="preserve">SKK- Ấm đun nước ~2.5l</t>
  </si>
  <si>
    <t xml:space="preserve">SKK - Bình giữ nhiệt vặn nắp 800ml</t>
  </si>
  <si>
    <t xml:space="preserve">SKK - Chảo chống dính cao cấp size 20-24cm  TL</t>
  </si>
  <si>
    <t xml:space="preserve">SKK - Bình giữ nhiệt hình Disney 300ml</t>
  </si>
  <si>
    <t xml:space="preserve">SKK - Chảo chống dính cao cấp size 28cm</t>
  </si>
  <si>
    <t xml:space="preserve">SKK- Thùng rác đạp chân inox 3L</t>
  </si>
  <si>
    <t xml:space="preserve">HARU SAKURA BEEF - Thịt bò thăn ngoại Bít tết 150g</t>
  </si>
  <si>
    <t xml:space="preserve">PIERAS- NSM Propolinse bong mảng bám k.cồn 600ml</t>
  </si>
  <si>
    <t xml:space="preserve">MEGUMI</t>
  </si>
</sst>
</file>

<file path=xl/styles.xml><?xml version="1.0" encoding="utf-8"?>
<styleSheet xmlns="http://schemas.openxmlformats.org/spreadsheetml/2006/main">
  <numFmts count="5">
    <numFmt numFmtId="164" formatCode="General"/>
    <numFmt numFmtId="165" formatCode="#,##0;\(#,##0\);\-"/>
    <numFmt numFmtId="166" formatCode="0%"/>
    <numFmt numFmtId="167" formatCode="0.00"/>
    <numFmt numFmtId="168" formatCode="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
      <i val="true"/>
      <sz val="11"/>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8" fillId="2" borderId="1" xfId="0" applyFont="true" applyBorder="true" applyAlignment="true" applyProtection="false">
      <alignment horizontal="center" vertical="bottom" textRotation="9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F8CBAD"/>
        </patternFill>
      </fill>
    </dxf>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
      <fill>
        <patternFill>
          <bgColor rgb="FFFFF2CC"/>
        </patternFill>
      </fill>
    </dxf>
    <dxf>
      <fill>
        <patternFill>
          <bgColor rgb="FFFCE4D6"/>
        </patternFill>
      </fill>
    </dxf>
    <dxf>
      <fill>
        <patternFill>
          <bgColor rgb="FFE2EF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0"/>
    <col collapsed="false" customWidth="true" hidden="false" outlineLevel="0" max="4" min="4" style="0" width="8"/>
    <col collapsed="false" customWidth="true" hidden="false" outlineLevel="0" max="7" min="5" style="0" width="11"/>
    <col collapsed="false" customWidth="true" hidden="false" outlineLevel="0" max="8" min="8" style="0" width="14"/>
    <col collapsed="false" customWidth="true" hidden="false" outlineLevel="0" max="9" min="9" style="0" width="8"/>
    <col collapsed="false" customWidth="true" hidden="false" outlineLevel="0" max="10" min="10" style="0" width="10"/>
  </cols>
  <sheetData>
    <row r="1" customFormat="false" ht="17.35" hidden="false" customHeight="false" outlineLevel="0" collapsed="false">
      <c r="A1" s="1" t="s">
        <v>0</v>
      </c>
    </row>
    <row r="2" customFormat="false" ht="30" hidden="false" customHeight="true" outlineLevel="0" collapsed="false">
      <c r="A2" s="2" t="s">
        <v>1</v>
      </c>
      <c r="B2" s="2"/>
      <c r="C2" s="2"/>
      <c r="D2" s="2"/>
      <c r="E2" s="2"/>
      <c r="F2" s="2"/>
      <c r="G2" s="2"/>
      <c r="H2" s="2"/>
      <c r="I2" s="2"/>
      <c r="J2" s="2"/>
      <c r="K2" s="2"/>
    </row>
    <row r="4" customFormat="false" ht="15" hidden="false" customHeight="false" outlineLevel="0" collapsed="false">
      <c r="A4" s="3" t="s">
        <v>2</v>
      </c>
      <c r="B4" s="4" t="n">
        <f aca="false">COUNTA('Chi tiết SKU'!$D$2:$D$1253)</f>
        <v>1252</v>
      </c>
    </row>
    <row r="5" customFormat="false" ht="15" hidden="false" customHeight="false" outlineLevel="0" collapsed="false">
      <c r="A5" s="3" t="s">
        <v>3</v>
      </c>
      <c r="B5" s="4" t="n">
        <f aca="false">COUNTIF('Chi tiết SKU'!$R$2:$R$1253,"&lt;=0")</f>
        <v>187</v>
      </c>
    </row>
    <row r="6" customFormat="false" ht="15" hidden="false" customHeight="false" outlineLevel="0" collapsed="false">
      <c r="A6" s="3" t="s">
        <v>4</v>
      </c>
      <c r="B6" s="5" t="n">
        <f aca="false">B5/B4</f>
        <v>0.149361022364217</v>
      </c>
    </row>
    <row r="7" customFormat="false" ht="15" hidden="false" customHeight="false" outlineLevel="0" collapsed="false">
      <c r="A7" s="3" t="s">
        <v>5</v>
      </c>
      <c r="B7" s="4" t="n">
        <f aca="false">SUM('Chi tiết SKU'!$M$2:$M$1253)</f>
        <v>107390</v>
      </c>
    </row>
    <row r="8" customFormat="false" ht="15" hidden="false" customHeight="false" outlineLevel="0" collapsed="false">
      <c r="A8" s="3" t="s">
        <v>6</v>
      </c>
      <c r="B8" s="4" t="n">
        <f aca="false">SUM('Chi tiết SKU'!$N$2:$N$1253)</f>
        <v>34844</v>
      </c>
    </row>
    <row r="9" customFormat="false" ht="15" hidden="false" customHeight="false" outlineLevel="0" collapsed="false">
      <c r="A9" s="3" t="s">
        <v>7</v>
      </c>
      <c r="B9" s="4" t="n">
        <f aca="false">SUM('Chi tiết SKU'!$O$2:$O$1253)</f>
        <v>10836</v>
      </c>
    </row>
    <row r="10" customFormat="false" ht="15" hidden="false" customHeight="false" outlineLevel="0" collapsed="false">
      <c r="A10" s="3" t="s">
        <v>8</v>
      </c>
      <c r="B10" s="6" t="n">
        <f aca="false">SUM('Chi tiết SKU'!$T$2:$T$1253)/1000000000</f>
        <v>29.108137</v>
      </c>
    </row>
    <row r="11" customFormat="false" ht="15" hidden="false" customHeight="false" outlineLevel="0" collapsed="false">
      <c r="A11" s="3" t="s">
        <v>9</v>
      </c>
      <c r="B11" s="6" t="n">
        <f aca="false">SUMIFS('Chi tiết SKU'!$T$2:$T$1253,'Chi tiết SKU'!$D$2:$D$1253,102367)/1000000000</f>
        <v>2.823514</v>
      </c>
    </row>
    <row r="13" customFormat="false" ht="42" hidden="false" customHeight="true" outlineLevel="0" collapsed="false">
      <c r="A13" s="7" t="s">
        <v>10</v>
      </c>
      <c r="B13" s="7" t="s">
        <v>11</v>
      </c>
      <c r="C13" s="7" t="s">
        <v>12</v>
      </c>
      <c r="D13" s="7" t="s">
        <v>13</v>
      </c>
      <c r="E13" s="7" t="s">
        <v>14</v>
      </c>
      <c r="F13" s="7" t="s">
        <v>15</v>
      </c>
      <c r="G13" s="7" t="s">
        <v>16</v>
      </c>
      <c r="H13" s="7" t="s">
        <v>17</v>
      </c>
      <c r="I13" s="7" t="s">
        <v>18</v>
      </c>
      <c r="J13" s="7" t="s">
        <v>19</v>
      </c>
    </row>
    <row r="14" customFormat="false" ht="15" hidden="false" customHeight="false" outlineLevel="0" collapsed="false">
      <c r="A14" s="8" t="s">
        <v>20</v>
      </c>
      <c r="B14" s="4" t="n">
        <f aca="false">COUNTIFS('Chi tiết SKU'!$B$2:$B$1253,$A14)</f>
        <v>200</v>
      </c>
      <c r="C14" s="4" t="n">
        <f aca="false">COUNTIFS('Chi tiết SKU'!$B$2:$B$1253,$A14,'Chi tiết SKU'!$R$2:$R$1253,"&lt;=0")</f>
        <v>5</v>
      </c>
      <c r="D14" s="5" t="n">
        <f aca="false">IFERROR(C14/B14,0)</f>
        <v>0.025</v>
      </c>
      <c r="E14" s="4" t="n">
        <f aca="false">SUMIFS('Chi tiết SKU'!$M$2:$M$1253,'Chi tiết SKU'!$B$2:$B$1253,$A14)</f>
        <v>20967</v>
      </c>
      <c r="F14" s="4" t="n">
        <f aca="false">SUMIFS('Chi tiết SKU'!$N$2:$N$1253,'Chi tiết SKU'!$B$2:$B$1253,$A14)</f>
        <v>5582</v>
      </c>
      <c r="G14" s="4" t="n">
        <f aca="false">SUMIFS('Chi tiết SKU'!$O$2:$O$1253,'Chi tiết SKU'!$B$2:$B$1253,$A14)</f>
        <v>2244</v>
      </c>
      <c r="H14" s="4" t="n">
        <f aca="false">SUMIFS('Chi tiết SKU'!$T$2:$T$1253,'Chi tiết SKU'!$B$2:$B$1253,$A14)/1000000</f>
        <v>8049.873</v>
      </c>
      <c r="I14" s="5" t="n">
        <f aca="false">IFERROR(H14/$H$26,0)</f>
        <v>0.276550608511977</v>
      </c>
      <c r="J14" s="9" t="n">
        <f aca="false">IFERROR(SUMIFS('Chi tiết SKU'!$S$2:$S$1253,'Chi tiết SKU'!$B$2:$B$1253,$A14)/B14,0)</f>
        <v>17.425</v>
      </c>
    </row>
    <row r="15" customFormat="false" ht="15" hidden="false" customHeight="false" outlineLevel="0" collapsed="false">
      <c r="A15" s="8" t="s">
        <v>21</v>
      </c>
      <c r="B15" s="4" t="n">
        <f aca="false">COUNTIFS('Chi tiết SKU'!$B$2:$B$1253,$A15)</f>
        <v>32</v>
      </c>
      <c r="C15" s="4" t="n">
        <f aca="false">COUNTIFS('Chi tiết SKU'!$B$2:$B$1253,$A15,'Chi tiết SKU'!$R$2:$R$1253,"&lt;=0")</f>
        <v>0</v>
      </c>
      <c r="D15" s="5" t="n">
        <f aca="false">IFERROR(C15/B15,0)</f>
        <v>0</v>
      </c>
      <c r="E15" s="4" t="n">
        <f aca="false">SUMIFS('Chi tiết SKU'!$M$2:$M$1253,'Chi tiết SKU'!$B$2:$B$1253,$A15)</f>
        <v>3574</v>
      </c>
      <c r="F15" s="4" t="n">
        <f aca="false">SUMIFS('Chi tiết SKU'!$N$2:$N$1253,'Chi tiết SKU'!$B$2:$B$1253,$A15)</f>
        <v>663</v>
      </c>
      <c r="G15" s="4" t="n">
        <f aca="false">SUMIFS('Chi tiết SKU'!$O$2:$O$1253,'Chi tiết SKU'!$B$2:$B$1253,$A15)</f>
        <v>266</v>
      </c>
      <c r="H15" s="4" t="n">
        <f aca="false">SUMIFS('Chi tiết SKU'!$T$2:$T$1253,'Chi tiết SKU'!$B$2:$B$1253,$A15)/1000000</f>
        <v>5950.041</v>
      </c>
      <c r="I15" s="5" t="n">
        <f aca="false">IFERROR(H15/$H$26,0)</f>
        <v>0.204411604906216</v>
      </c>
      <c r="J15" s="9" t="n">
        <f aca="false">IFERROR(SUMIFS('Chi tiết SKU'!$S$2:$S$1253,'Chi tiết SKU'!$B$2:$B$1253,$A15)/B15,0)</f>
        <v>20.125</v>
      </c>
    </row>
    <row r="16" customFormat="false" ht="15" hidden="false" customHeight="false" outlineLevel="0" collapsed="false">
      <c r="A16" s="8" t="s">
        <v>22</v>
      </c>
      <c r="B16" s="4" t="n">
        <f aca="false">COUNTIFS('Chi tiết SKU'!$B$2:$B$1253,$A16)</f>
        <v>336</v>
      </c>
      <c r="C16" s="4" t="n">
        <f aca="false">COUNTIFS('Chi tiết SKU'!$B$2:$B$1253,$A16,'Chi tiết SKU'!$R$2:$R$1253,"&lt;=0")</f>
        <v>11</v>
      </c>
      <c r="D16" s="5" t="n">
        <f aca="false">IFERROR(C16/B16,0)</f>
        <v>0.0327380952380952</v>
      </c>
      <c r="E16" s="4" t="n">
        <f aca="false">SUMIFS('Chi tiết SKU'!$M$2:$M$1253,'Chi tiết SKU'!$B$2:$B$1253,$A16)</f>
        <v>14788</v>
      </c>
      <c r="F16" s="4" t="n">
        <f aca="false">SUMIFS('Chi tiết SKU'!$N$2:$N$1253,'Chi tiết SKU'!$B$2:$B$1253,$A16)</f>
        <v>5250</v>
      </c>
      <c r="G16" s="4" t="n">
        <f aca="false">SUMIFS('Chi tiết SKU'!$O$2:$O$1253,'Chi tiết SKU'!$B$2:$B$1253,$A16)</f>
        <v>2726</v>
      </c>
      <c r="H16" s="4" t="n">
        <f aca="false">SUMIFS('Chi tiết SKU'!$T$2:$T$1253,'Chi tiết SKU'!$B$2:$B$1253,$A16)/1000000</f>
        <v>4698.245</v>
      </c>
      <c r="I16" s="5" t="n">
        <f aca="false">IFERROR(H16/$H$26,0)</f>
        <v>0.16140658538195</v>
      </c>
      <c r="J16" s="9" t="n">
        <f aca="false">IFERROR(SUMIFS('Chi tiết SKU'!$S$2:$S$1253,'Chi tiết SKU'!$B$2:$B$1253,$A16)/B16,0)</f>
        <v>8.46428571428571</v>
      </c>
    </row>
    <row r="17" customFormat="false" ht="15" hidden="false" customHeight="false" outlineLevel="0" collapsed="false">
      <c r="A17" s="8" t="s">
        <v>23</v>
      </c>
      <c r="B17" s="4" t="n">
        <f aca="false">COUNTIFS('Chi tiết SKU'!$B$2:$B$1253,$A17)</f>
        <v>422</v>
      </c>
      <c r="C17" s="4" t="n">
        <f aca="false">COUNTIFS('Chi tiết SKU'!$B$2:$B$1253,$A17,'Chi tiết SKU'!$R$2:$R$1253,"&lt;=0")</f>
        <v>137</v>
      </c>
      <c r="D17" s="5" t="n">
        <f aca="false">IFERROR(C17/B17,0)</f>
        <v>0.324644549763033</v>
      </c>
      <c r="E17" s="4" t="n">
        <f aca="false">SUMIFS('Chi tiết SKU'!$M$2:$M$1253,'Chi tiết SKU'!$B$2:$B$1253,$A17)</f>
        <v>23225</v>
      </c>
      <c r="F17" s="4" t="n">
        <f aca="false">SUMIFS('Chi tiết SKU'!$N$2:$N$1253,'Chi tiết SKU'!$B$2:$B$1253,$A17)</f>
        <v>14011</v>
      </c>
      <c r="G17" s="4" t="n">
        <f aca="false">SUMIFS('Chi tiết SKU'!$O$2:$O$1253,'Chi tiết SKU'!$B$2:$B$1253,$A17)</f>
        <v>0</v>
      </c>
      <c r="H17" s="4" t="n">
        <f aca="false">SUMIFS('Chi tiết SKU'!$T$2:$T$1253,'Chi tiết SKU'!$B$2:$B$1253,$A17)/1000000</f>
        <v>3869.649</v>
      </c>
      <c r="I17" s="5" t="n">
        <f aca="false">IFERROR(H17/$H$26,0)</f>
        <v>0.132940455790764</v>
      </c>
      <c r="J17" s="9" t="n">
        <f aca="false">IFERROR(SUMIFS('Chi tiết SKU'!$S$2:$S$1253,'Chi tiết SKU'!$B$2:$B$1253,$A17)/B17,0)</f>
        <v>1.78199052132701</v>
      </c>
    </row>
    <row r="18" customFormat="false" ht="15" hidden="false" customHeight="false" outlineLevel="0" collapsed="false">
      <c r="A18" s="8" t="s">
        <v>24</v>
      </c>
      <c r="B18" s="4" t="n">
        <f aca="false">COUNTIFS('Chi tiết SKU'!$B$2:$B$1253,$A18)</f>
        <v>59</v>
      </c>
      <c r="C18" s="4" t="n">
        <f aca="false">COUNTIFS('Chi tiết SKU'!$B$2:$B$1253,$A18,'Chi tiết SKU'!$R$2:$R$1253,"&lt;=0")</f>
        <v>33</v>
      </c>
      <c r="D18" s="5" t="n">
        <f aca="false">IFERROR(C18/B18,0)</f>
        <v>0.559322033898305</v>
      </c>
      <c r="E18" s="4" t="n">
        <f aca="false">SUMIFS('Chi tiết SKU'!$M$2:$M$1253,'Chi tiết SKU'!$B$2:$B$1253,$A18)</f>
        <v>4035</v>
      </c>
      <c r="F18" s="4" t="n">
        <f aca="false">SUMIFS('Chi tiết SKU'!$N$2:$N$1253,'Chi tiết SKU'!$B$2:$B$1253,$A18)</f>
        <v>3039</v>
      </c>
      <c r="G18" s="4" t="n">
        <f aca="false">SUMIFS('Chi tiết SKU'!$O$2:$O$1253,'Chi tiết SKU'!$B$2:$B$1253,$A18)</f>
        <v>313</v>
      </c>
      <c r="H18" s="4" t="n">
        <f aca="false">SUMIFS('Chi tiết SKU'!$T$2:$T$1253,'Chi tiết SKU'!$B$2:$B$1253,$A18)/1000000</f>
        <v>2111.104</v>
      </c>
      <c r="I18" s="5" t="n">
        <f aca="false">IFERROR(H18/$H$26,0)</f>
        <v>0.0725262492752456</v>
      </c>
      <c r="J18" s="9" t="n">
        <f aca="false">IFERROR(SUMIFS('Chi tiết SKU'!$S$2:$S$1253,'Chi tiết SKU'!$B$2:$B$1253,$A18)/B18,0)</f>
        <v>5.86440677966102</v>
      </c>
    </row>
    <row r="19" customFormat="false" ht="15" hidden="false" customHeight="false" outlineLevel="0" collapsed="false">
      <c r="A19" s="8" t="s">
        <v>25</v>
      </c>
      <c r="B19" s="4" t="n">
        <f aca="false">COUNTIFS('Chi tiết SKU'!$B$2:$B$1253,$A19)</f>
        <v>77</v>
      </c>
      <c r="C19" s="4" t="n">
        <f aca="false">COUNTIFS('Chi tiết SKU'!$B$2:$B$1253,$A19,'Chi tiết SKU'!$R$2:$R$1253,"&lt;=0")</f>
        <v>0</v>
      </c>
      <c r="D19" s="5" t="n">
        <f aca="false">IFERROR(C19/B19,0)</f>
        <v>0</v>
      </c>
      <c r="E19" s="4" t="n">
        <f aca="false">SUMIFS('Chi tiết SKU'!$M$2:$M$1253,'Chi tiết SKU'!$B$2:$B$1253,$A19)</f>
        <v>14654</v>
      </c>
      <c r="F19" s="4" t="n">
        <f aca="false">SUMIFS('Chi tiết SKU'!$N$2:$N$1253,'Chi tiết SKU'!$B$2:$B$1253,$A19)</f>
        <v>4713</v>
      </c>
      <c r="G19" s="4" t="n">
        <f aca="false">SUMIFS('Chi tiết SKU'!$O$2:$O$1253,'Chi tiết SKU'!$B$2:$B$1253,$A19)</f>
        <v>2765</v>
      </c>
      <c r="H19" s="4" t="n">
        <f aca="false">SUMIFS('Chi tiết SKU'!$T$2:$T$1253,'Chi tiết SKU'!$B$2:$B$1253,$A19)/1000000</f>
        <v>1679.198</v>
      </c>
      <c r="I19" s="5" t="n">
        <f aca="false">IFERROR(H19/$H$26,0)</f>
        <v>0.0576882677170305</v>
      </c>
      <c r="J19" s="9" t="n">
        <f aca="false">IFERROR(SUMIFS('Chi tiết SKU'!$S$2:$S$1253,'Chi tiết SKU'!$B$2:$B$1253,$A19)/B19,0)</f>
        <v>19.8441558441558</v>
      </c>
    </row>
    <row r="20" customFormat="false" ht="15" hidden="false" customHeight="false" outlineLevel="0" collapsed="false">
      <c r="A20" s="8" t="s">
        <v>26</v>
      </c>
      <c r="B20" s="4" t="n">
        <f aca="false">COUNTIFS('Chi tiết SKU'!$B$2:$B$1253,$A20)</f>
        <v>21</v>
      </c>
      <c r="C20" s="4" t="n">
        <f aca="false">COUNTIFS('Chi tiết SKU'!$B$2:$B$1253,$A20,'Chi tiết SKU'!$R$2:$R$1253,"&lt;=0")</f>
        <v>0</v>
      </c>
      <c r="D20" s="5" t="n">
        <f aca="false">IFERROR(C20/B20,0)</f>
        <v>0</v>
      </c>
      <c r="E20" s="4" t="n">
        <f aca="false">SUMIFS('Chi tiết SKU'!$M$2:$M$1253,'Chi tiết SKU'!$B$2:$B$1253,$A20)</f>
        <v>6877</v>
      </c>
      <c r="F20" s="4" t="n">
        <f aca="false">SUMIFS('Chi tiết SKU'!$N$2:$N$1253,'Chi tiết SKU'!$B$2:$B$1253,$A20)</f>
        <v>372</v>
      </c>
      <c r="G20" s="4" t="n">
        <f aca="false">SUMIFS('Chi tiết SKU'!$O$2:$O$1253,'Chi tiết SKU'!$B$2:$B$1253,$A20)</f>
        <v>1587</v>
      </c>
      <c r="H20" s="4" t="n">
        <f aca="false">SUMIFS('Chi tiết SKU'!$T$2:$T$1253,'Chi tiết SKU'!$B$2:$B$1253,$A20)/1000000</f>
        <v>1288.368</v>
      </c>
      <c r="I20" s="5" t="n">
        <f aca="false">IFERROR(H20/$H$26,0)</f>
        <v>0.0442614379614882</v>
      </c>
      <c r="J20" s="9" t="n">
        <f aca="false">IFERROR(SUMIFS('Chi tiết SKU'!$S$2:$S$1253,'Chi tiết SKU'!$B$2:$B$1253,$A20)/B20,0)</f>
        <v>20.8571428571429</v>
      </c>
    </row>
    <row r="21" customFormat="false" ht="15" hidden="false" customHeight="false" outlineLevel="0" collapsed="false">
      <c r="A21" s="8" t="s">
        <v>27</v>
      </c>
      <c r="B21" s="4" t="n">
        <f aca="false">COUNTIFS('Chi tiết SKU'!$B$2:$B$1253,$A21)</f>
        <v>46</v>
      </c>
      <c r="C21" s="4" t="n">
        <f aca="false">COUNTIFS('Chi tiết SKU'!$B$2:$B$1253,$A21,'Chi tiết SKU'!$R$2:$R$1253,"&lt;=0")</f>
        <v>1</v>
      </c>
      <c r="D21" s="5" t="n">
        <f aca="false">IFERROR(C21/B21,0)</f>
        <v>0.0217391304347826</v>
      </c>
      <c r="E21" s="4" t="n">
        <f aca="false">SUMIFS('Chi tiết SKU'!$M$2:$M$1253,'Chi tiết SKU'!$B$2:$B$1253,$A21)</f>
        <v>5562</v>
      </c>
      <c r="F21" s="4" t="n">
        <f aca="false">SUMIFS('Chi tiết SKU'!$N$2:$N$1253,'Chi tiết SKU'!$B$2:$B$1253,$A21)</f>
        <v>0</v>
      </c>
      <c r="G21" s="4" t="n">
        <f aca="false">SUMIFS('Chi tiết SKU'!$O$2:$O$1253,'Chi tiết SKU'!$B$2:$B$1253,$A21)</f>
        <v>0</v>
      </c>
      <c r="H21" s="4" t="n">
        <f aca="false">SUMIFS('Chi tiết SKU'!$T$2:$T$1253,'Chi tiết SKU'!$B$2:$B$1253,$A21)/1000000</f>
        <v>341.55</v>
      </c>
      <c r="I21" s="5" t="n">
        <f aca="false">IFERROR(H21/$H$26,0)</f>
        <v>0.0117338323644691</v>
      </c>
      <c r="J21" s="9" t="n">
        <f aca="false">IFERROR(SUMIFS('Chi tiết SKU'!$S$2:$S$1253,'Chi tiết SKU'!$B$2:$B$1253,$A21)/B21,0)</f>
        <v>7.52173913043478</v>
      </c>
    </row>
    <row r="22" customFormat="false" ht="15" hidden="false" customHeight="false" outlineLevel="0" collapsed="false">
      <c r="A22" s="8" t="s">
        <v>28</v>
      </c>
      <c r="B22" s="4" t="n">
        <f aca="false">COUNTIFS('Chi tiết SKU'!$B$2:$B$1253,$A22)</f>
        <v>31</v>
      </c>
      <c r="C22" s="4" t="n">
        <f aca="false">COUNTIFS('Chi tiết SKU'!$B$2:$B$1253,$A22,'Chi tiết SKU'!$R$2:$R$1253,"&lt;=0")</f>
        <v>0</v>
      </c>
      <c r="D22" s="5" t="n">
        <f aca="false">IFERROR(C22/B22,0)</f>
        <v>0</v>
      </c>
      <c r="E22" s="4" t="n">
        <f aca="false">SUMIFS('Chi tiết SKU'!$M$2:$M$1253,'Chi tiết SKU'!$B$2:$B$1253,$A22)</f>
        <v>4449</v>
      </c>
      <c r="F22" s="4" t="n">
        <f aca="false">SUMIFS('Chi tiết SKU'!$N$2:$N$1253,'Chi tiết SKU'!$B$2:$B$1253,$A22)</f>
        <v>1214</v>
      </c>
      <c r="G22" s="4" t="n">
        <f aca="false">SUMIFS('Chi tiết SKU'!$O$2:$O$1253,'Chi tiết SKU'!$B$2:$B$1253,$A22)</f>
        <v>405</v>
      </c>
      <c r="H22" s="4" t="n">
        <f aca="false">SUMIFS('Chi tiết SKU'!$T$2:$T$1253,'Chi tiết SKU'!$B$2:$B$1253,$A22)/1000000</f>
        <v>329.729</v>
      </c>
      <c r="I22" s="5" t="n">
        <f aca="false">IFERROR(H22/$H$26,0)</f>
        <v>0.0113277259894716</v>
      </c>
      <c r="J22" s="9" t="n">
        <f aca="false">IFERROR(SUMIFS('Chi tiết SKU'!$S$2:$S$1253,'Chi tiết SKU'!$B$2:$B$1253,$A22)/B22,0)</f>
        <v>14.8387096774194</v>
      </c>
    </row>
    <row r="23" customFormat="false" ht="15" hidden="false" customHeight="false" outlineLevel="0" collapsed="false">
      <c r="A23" s="8" t="s">
        <v>29</v>
      </c>
      <c r="B23" s="4" t="n">
        <f aca="false">COUNTIFS('Chi tiết SKU'!$B$2:$B$1253,$A23)</f>
        <v>3</v>
      </c>
      <c r="C23" s="4" t="n">
        <f aca="false">COUNTIFS('Chi tiết SKU'!$B$2:$B$1253,$A23,'Chi tiết SKU'!$R$2:$R$1253,"&lt;=0")</f>
        <v>0</v>
      </c>
      <c r="D23" s="5" t="n">
        <f aca="false">IFERROR(C23/B23,0)</f>
        <v>0</v>
      </c>
      <c r="E23" s="4" t="n">
        <f aca="false">SUMIFS('Chi tiết SKU'!$M$2:$M$1253,'Chi tiết SKU'!$B$2:$B$1253,$A23)</f>
        <v>2486</v>
      </c>
      <c r="F23" s="4" t="n">
        <f aca="false">SUMIFS('Chi tiết SKU'!$N$2:$N$1253,'Chi tiết SKU'!$B$2:$B$1253,$A23)</f>
        <v>0</v>
      </c>
      <c r="G23" s="4" t="n">
        <f aca="false">SUMIFS('Chi tiết SKU'!$O$2:$O$1253,'Chi tiết SKU'!$B$2:$B$1253,$A23)</f>
        <v>0</v>
      </c>
      <c r="H23" s="4" t="n">
        <f aca="false">SUMIFS('Chi tiết SKU'!$T$2:$T$1253,'Chi tiết SKU'!$B$2:$B$1253,$A23)/1000000</f>
        <v>291.898</v>
      </c>
      <c r="I23" s="5" t="n">
        <f aca="false">IFERROR(H23/$H$26,0)</f>
        <v>0.0100280550417912</v>
      </c>
      <c r="J23" s="9" t="n">
        <f aca="false">IFERROR(SUMIFS('Chi tiết SKU'!$S$2:$S$1253,'Chi tiết SKU'!$B$2:$B$1253,$A23)/B23,0)</f>
        <v>13.6666666666667</v>
      </c>
    </row>
    <row r="24" customFormat="false" ht="15" hidden="false" customHeight="false" outlineLevel="0" collapsed="false">
      <c r="A24" s="8" t="s">
        <v>30</v>
      </c>
      <c r="B24" s="4" t="n">
        <f aca="false">COUNTIFS('Chi tiết SKU'!$B$2:$B$1253,$A24)</f>
        <v>12</v>
      </c>
      <c r="C24" s="4" t="n">
        <f aca="false">COUNTIFS('Chi tiết SKU'!$B$2:$B$1253,$A24,'Chi tiết SKU'!$R$2:$R$1253,"&lt;=0")</f>
        <v>0</v>
      </c>
      <c r="D24" s="5" t="n">
        <f aca="false">IFERROR(C24/B24,0)</f>
        <v>0</v>
      </c>
      <c r="E24" s="4" t="n">
        <f aca="false">SUMIFS('Chi tiết SKU'!$M$2:$M$1253,'Chi tiết SKU'!$B$2:$B$1253,$A24)</f>
        <v>3709</v>
      </c>
      <c r="F24" s="4" t="n">
        <f aca="false">SUMIFS('Chi tiết SKU'!$N$2:$N$1253,'Chi tiết SKU'!$B$2:$B$1253,$A24)</f>
        <v>0</v>
      </c>
      <c r="G24" s="4" t="n">
        <f aca="false">SUMIFS('Chi tiết SKU'!$O$2:$O$1253,'Chi tiết SKU'!$B$2:$B$1253,$A24)</f>
        <v>0</v>
      </c>
      <c r="H24" s="4" t="n">
        <f aca="false">SUMIFS('Chi tiết SKU'!$T$2:$T$1253,'Chi tiết SKU'!$B$2:$B$1253,$A24)/1000000</f>
        <v>278.175</v>
      </c>
      <c r="I24" s="5" t="n">
        <f aca="false">IFERROR(H24/$H$26,0)</f>
        <v>0.00955660611326654</v>
      </c>
      <c r="J24" s="9" t="n">
        <f aca="false">IFERROR(SUMIFS('Chi tiết SKU'!$S$2:$S$1253,'Chi tiết SKU'!$B$2:$B$1253,$A24)/B24,0)</f>
        <v>16.0833333333333</v>
      </c>
    </row>
    <row r="25" customFormat="false" ht="15" hidden="false" customHeight="false" outlineLevel="0" collapsed="false">
      <c r="A25" s="8" t="s">
        <v>31</v>
      </c>
      <c r="B25" s="4" t="n">
        <f aca="false">COUNTIFS('Chi tiết SKU'!$B$2:$B$1253,$A25)</f>
        <v>13</v>
      </c>
      <c r="C25" s="4" t="n">
        <f aca="false">COUNTIFS('Chi tiết SKU'!$B$2:$B$1253,$A25,'Chi tiết SKU'!$R$2:$R$1253,"&lt;=0")</f>
        <v>0</v>
      </c>
      <c r="D25" s="5" t="n">
        <f aca="false">IFERROR(C25/B25,0)</f>
        <v>0</v>
      </c>
      <c r="E25" s="4" t="n">
        <f aca="false">SUMIFS('Chi tiết SKU'!$M$2:$M$1253,'Chi tiết SKU'!$B$2:$B$1253,$A25)</f>
        <v>3064</v>
      </c>
      <c r="F25" s="4" t="n">
        <f aca="false">SUMIFS('Chi tiết SKU'!$N$2:$N$1253,'Chi tiết SKU'!$B$2:$B$1253,$A25)</f>
        <v>0</v>
      </c>
      <c r="G25" s="4" t="n">
        <f aca="false">SUMIFS('Chi tiết SKU'!$O$2:$O$1253,'Chi tiết SKU'!$B$2:$B$1253,$A25)</f>
        <v>530</v>
      </c>
      <c r="H25" s="4" t="n">
        <f aca="false">SUMIFS('Chi tiết SKU'!$T$2:$T$1253,'Chi tiết SKU'!$B$2:$B$1253,$A25)/1000000</f>
        <v>220.307</v>
      </c>
      <c r="I25" s="5" t="n">
        <f aca="false">IFERROR(H25/$H$26,0)</f>
        <v>0.00756857094633023</v>
      </c>
      <c r="J25" s="9" t="n">
        <f aca="false">IFERROR(SUMIFS('Chi tiết SKU'!$S$2:$S$1253,'Chi tiết SKU'!$B$2:$B$1253,$A25)/B25,0)</f>
        <v>12.0769230769231</v>
      </c>
    </row>
    <row r="26" customFormat="false" ht="15" hidden="false" customHeight="false" outlineLevel="0" collapsed="false">
      <c r="A26" s="3" t="s">
        <v>32</v>
      </c>
      <c r="B26" s="10" t="n">
        <f aca="false">SUM(B14:B25)</f>
        <v>1252</v>
      </c>
      <c r="C26" s="10" t="n">
        <f aca="false">SUM(C14:C25)</f>
        <v>187</v>
      </c>
      <c r="D26" s="11" t="n">
        <f aca="false">IFERROR(C26/B26,0)</f>
        <v>0.149361022364217</v>
      </c>
      <c r="E26" s="10" t="n">
        <f aca="false">SUM(E14:E25)</f>
        <v>107390</v>
      </c>
      <c r="F26" s="10" t="n">
        <f aca="false">SUM(F14:F25)</f>
        <v>34844</v>
      </c>
      <c r="G26" s="10" t="n">
        <f aca="false">SUM(G14:G25)</f>
        <v>10836</v>
      </c>
      <c r="H26" s="10" t="n">
        <f aca="false">SUM(H14:H25)</f>
        <v>29108.137</v>
      </c>
      <c r="I26" s="11" t="n">
        <f aca="false">IFERROR(H26/$H$26,0)</f>
        <v>1</v>
      </c>
      <c r="J26" s="12" t="n">
        <f aca="false">IFERROR(SUMPRODUCT(B14:B25,J14:J25)/B26,0)</f>
        <v>8.97284345047923</v>
      </c>
    </row>
  </sheetData>
  <mergeCells count="1">
    <mergeCell ref="A2:K2"/>
  </mergeCells>
  <conditionalFormatting sqref="D14:D25">
    <cfRule type="cellIs" priority="2" operator="greaterThanOrEqual" aboveAverage="0" equalAverage="0" bottom="0" percent="0" rank="0" text="" dxfId="0">
      <formula>0.2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52"/>
    <col collapsed="false" customWidth="true" hidden="false" outlineLevel="0" max="4" min="4" style="0" width="14"/>
    <col collapsed="false" customWidth="true" hidden="false" outlineLevel="0" max="5" min="5" style="0" width="7"/>
    <col collapsed="false" customWidth="true" hidden="false" outlineLevel="0" max="9" min="6" style="0" width="9"/>
    <col collapsed="false" customWidth="true" hidden="false" outlineLevel="0" max="10" min="10" style="0" width="15"/>
    <col collapsed="false" customWidth="true" hidden="false" outlineLevel="0" max="11" min="11" style="0" width="10"/>
    <col collapsed="false" customWidth="true" hidden="false" outlineLevel="0" max="12" min="12" style="0" width="9"/>
    <col collapsed="false" customWidth="true" hidden="false" outlineLevel="0" max="13" min="13" style="0" width="18"/>
    <col collapsed="false" customWidth="true" hidden="false" outlineLevel="0" max="14" min="14" style="0" width="60"/>
    <col collapsed="false" customWidth="true" hidden="false" outlineLevel="0" max="15" min="15" style="0" width="24"/>
    <col collapsed="false" customWidth="true" hidden="false" outlineLevel="0" max="16" min="16" style="0" width="8"/>
  </cols>
  <sheetData>
    <row r="1" customFormat="false" ht="17.35" hidden="false" customHeight="false" outlineLevel="0" collapsed="false">
      <c r="A1" s="1" t="s">
        <v>33</v>
      </c>
      <c r="O1" s="13" t="s">
        <v>34</v>
      </c>
    </row>
    <row r="2" customFormat="false" ht="15" hidden="false" customHeight="false" outlineLevel="0" collapsed="false">
      <c r="A2" s="14" t="s">
        <v>35</v>
      </c>
      <c r="O2" s="15" t="s">
        <v>36</v>
      </c>
      <c r="P2" s="16" t="n">
        <v>0.8</v>
      </c>
    </row>
    <row r="3" customFormat="false" ht="15" hidden="false" customHeight="false" outlineLevel="0" collapsed="false">
      <c r="O3" s="15" t="s">
        <v>37</v>
      </c>
      <c r="P3" s="16" t="n">
        <v>200</v>
      </c>
    </row>
    <row r="4" customFormat="false" ht="42" hidden="false" customHeight="true" outlineLevel="0" collapsed="false">
      <c r="A4" s="7" t="s">
        <v>38</v>
      </c>
      <c r="B4" s="7" t="s">
        <v>10</v>
      </c>
      <c r="C4" s="7" t="s">
        <v>39</v>
      </c>
      <c r="D4" s="7" t="s">
        <v>40</v>
      </c>
      <c r="E4" s="7" t="s">
        <v>41</v>
      </c>
      <c r="F4" s="7" t="s">
        <v>42</v>
      </c>
      <c r="G4" s="7" t="s">
        <v>14</v>
      </c>
      <c r="H4" s="7" t="s">
        <v>15</v>
      </c>
      <c r="I4" s="7" t="s">
        <v>16</v>
      </c>
      <c r="J4" s="7" t="s">
        <v>43</v>
      </c>
      <c r="K4" s="7" t="s">
        <v>44</v>
      </c>
      <c r="L4" s="7" t="s">
        <v>45</v>
      </c>
      <c r="M4" s="7" t="s">
        <v>46</v>
      </c>
      <c r="N4" s="7" t="s">
        <v>47</v>
      </c>
      <c r="O4" s="15" t="s">
        <v>48</v>
      </c>
      <c r="P4" s="16" t="n">
        <v>8</v>
      </c>
    </row>
    <row r="5" customFormat="false" ht="26.85" hidden="false" customHeight="false" outlineLevel="0" collapsed="false">
      <c r="A5" s="8" t="s">
        <v>49</v>
      </c>
      <c r="B5" s="8" t="s">
        <v>23</v>
      </c>
      <c r="C5" s="17" t="s">
        <v>50</v>
      </c>
      <c r="D5" s="8" t="s">
        <v>51</v>
      </c>
      <c r="E5" s="4" t="n">
        <f aca="false">COUNTIFS('Chi tiết SKU'!$A$2:$A$1253,$A5)</f>
        <v>24</v>
      </c>
      <c r="F5" s="4" t="n">
        <f aca="false">COUNTIFS('Chi tiết SKU'!$A$2:$A$1253,$A5,'Chi tiết SKU'!$R$2:$R$1253,"&lt;=0")</f>
        <v>0</v>
      </c>
      <c r="G5" s="4" t="n">
        <f aca="false">SUMIFS('Chi tiết SKU'!$M$2:$M$1253,'Chi tiết SKU'!$A$2:$A$1253,$A5)</f>
        <v>15637</v>
      </c>
      <c r="H5" s="4" t="n">
        <f aca="false">SUMIFS('Chi tiết SKU'!$N$2:$N$1253,'Chi tiết SKU'!$A$2:$A$1253,$A5)</f>
        <v>12191</v>
      </c>
      <c r="I5" s="4" t="n">
        <f aca="false">SUMIFS('Chi tiết SKU'!$O$2:$O$1253,'Chi tiết SKU'!$A$2:$A$1253,$A5)</f>
        <v>0</v>
      </c>
      <c r="J5" s="4" t="n">
        <f aca="false">SUMIFS('Chi tiết SKU'!$T$2:$T$1253,'Chi tiết SKU'!$A$2:$A$1253,$A5)</f>
        <v>3219708000</v>
      </c>
      <c r="K5" s="9" t="n">
        <f aca="false">IFERROR(SUMIFS('Chi tiết SKU'!$S$2:$S$1253,'Chi tiết SKU'!$A$2:$A$1253,$A5)/E5,0)</f>
        <v>7.25</v>
      </c>
      <c r="L5" s="5" t="n">
        <v>0.2</v>
      </c>
      <c r="M5" s="8" t="str">
        <f aca="false">IF(F5/E5&gt;=$P$2,"CHẾT – hết hàng",IF(AND(H5&gt;=$P$3,H5&gt;=G5),"ĐẨY XUỐNG CH",IF(K5&lt;$P$4,"PHỦ MỎNG","OK")))</f>
        <v>PHỦ MỎNG</v>
      </c>
      <c r="N5" s="17" t="s">
        <v>52</v>
      </c>
    </row>
    <row r="6" customFormat="false" ht="26.85" hidden="false" customHeight="false" outlineLevel="0" collapsed="false">
      <c r="A6" s="8" t="s">
        <v>53</v>
      </c>
      <c r="B6" s="8" t="s">
        <v>20</v>
      </c>
      <c r="C6" s="17" t="s">
        <v>54</v>
      </c>
      <c r="D6" s="8" t="s">
        <v>55</v>
      </c>
      <c r="E6" s="4" t="n">
        <f aca="false">COUNTIFS('Chi tiết SKU'!$A$2:$A$1253,$A6)</f>
        <v>1</v>
      </c>
      <c r="F6" s="4" t="n">
        <f aca="false">COUNTIFS('Chi tiết SKU'!$A$2:$A$1253,$A6,'Chi tiết SKU'!$R$2:$R$1253,"&lt;=0")</f>
        <v>0</v>
      </c>
      <c r="G6" s="4" t="n">
        <f aca="false">SUMIFS('Chi tiết SKU'!$M$2:$M$1253,'Chi tiết SKU'!$A$2:$A$1253,$A6)</f>
        <v>221</v>
      </c>
      <c r="H6" s="4" t="n">
        <f aca="false">SUMIFS('Chi tiết SKU'!$N$2:$N$1253,'Chi tiết SKU'!$A$2:$A$1253,$A6)</f>
        <v>2324</v>
      </c>
      <c r="I6" s="4" t="n">
        <f aca="false">SUMIFS('Chi tiết SKU'!$O$2:$O$1253,'Chi tiết SKU'!$A$2:$A$1253,$A6)</f>
        <v>0</v>
      </c>
      <c r="J6" s="4" t="n">
        <f aca="false">SUMIFS('Chi tiết SKU'!$T$2:$T$1253,'Chi tiết SKU'!$A$2:$A$1253,$A6)</f>
        <v>2823514000</v>
      </c>
      <c r="K6" s="9" t="n">
        <f aca="false">IFERROR(SUMIFS('Chi tiết SKU'!$S$2:$S$1253,'Chi tiết SKU'!$A$2:$A$1253,$A6)/E6,0)</f>
        <v>23</v>
      </c>
      <c r="L6" s="5" t="n">
        <v>0.82938</v>
      </c>
      <c r="M6" s="8" t="str">
        <f aca="false">IF(F6/E6&gt;=$P$2,"CHẾT – hết hàng",IF(AND(H6&gt;=$P$3,H6&gt;=G6),"ĐẨY XUỐNG CH",IF(K6&lt;$P$4,"PHỦ MỎNG","OK")))</f>
        <v>ĐẨY XUỐNG CH</v>
      </c>
      <c r="N6" s="17" t="s">
        <v>56</v>
      </c>
    </row>
    <row r="7" customFormat="false" ht="26.85" hidden="false" customHeight="false" outlineLevel="0" collapsed="false">
      <c r="A7" s="8" t="s">
        <v>57</v>
      </c>
      <c r="B7" s="8" t="s">
        <v>22</v>
      </c>
      <c r="C7" s="17" t="s">
        <v>58</v>
      </c>
      <c r="D7" s="8" t="s">
        <v>51</v>
      </c>
      <c r="E7" s="4" t="n">
        <f aca="false">COUNTIFS('Chi tiết SKU'!$A$2:$A$1253,$A7)</f>
        <v>174</v>
      </c>
      <c r="F7" s="4" t="n">
        <f aca="false">COUNTIFS('Chi tiết SKU'!$A$2:$A$1253,$A7,'Chi tiết SKU'!$R$2:$R$1253,"&lt;=0")</f>
        <v>1</v>
      </c>
      <c r="G7" s="4" t="n">
        <f aca="false">SUMIFS('Chi tiết SKU'!$M$2:$M$1253,'Chi tiết SKU'!$A$2:$A$1253,$A7)</f>
        <v>3528</v>
      </c>
      <c r="H7" s="4" t="n">
        <f aca="false">SUMIFS('Chi tiết SKU'!$N$2:$N$1253,'Chi tiết SKU'!$A$2:$A$1253,$A7)</f>
        <v>1</v>
      </c>
      <c r="I7" s="4" t="n">
        <f aca="false">SUMIFS('Chi tiết SKU'!$O$2:$O$1253,'Chi tiết SKU'!$A$2:$A$1253,$A7)</f>
        <v>454</v>
      </c>
      <c r="J7" s="4" t="n">
        <f aca="false">SUMIFS('Chi tiết SKU'!$T$2:$T$1253,'Chi tiết SKU'!$A$2:$A$1253,$A7)</f>
        <v>2017280000</v>
      </c>
      <c r="K7" s="9" t="n">
        <f aca="false">IFERROR(SUMIFS('Chi tiết SKU'!$S$2:$S$1253,'Chi tiết SKU'!$A$2:$A$1253,$A7)/E7,0)</f>
        <v>6.91954022988506</v>
      </c>
      <c r="L7" s="5" t="n">
        <v>0.1</v>
      </c>
      <c r="M7" s="8" t="str">
        <f aca="false">IF(F7/E7&gt;=$P$2,"CHẾT – hết hàng",IF(AND(H7&gt;=$P$3,H7&gt;=G7),"ĐẨY XUỐNG CH",IF(K7&lt;$P$4,"PHỦ MỎNG","OK")))</f>
        <v>PHỦ MỎNG</v>
      </c>
      <c r="N7" s="17" t="s">
        <v>59</v>
      </c>
    </row>
    <row r="8" customFormat="false" ht="39.55" hidden="false" customHeight="false" outlineLevel="0" collapsed="false">
      <c r="A8" s="8" t="s">
        <v>60</v>
      </c>
      <c r="B8" s="8" t="s">
        <v>21</v>
      </c>
      <c r="C8" s="17" t="s">
        <v>61</v>
      </c>
      <c r="D8" s="8" t="s">
        <v>62</v>
      </c>
      <c r="E8" s="4" t="n">
        <f aca="false">COUNTIFS('Chi tiết SKU'!$A$2:$A$1253,$A8)</f>
        <v>1</v>
      </c>
      <c r="F8" s="4" t="n">
        <f aca="false">COUNTIFS('Chi tiết SKU'!$A$2:$A$1253,$A8,'Chi tiết SKU'!$R$2:$R$1253,"&lt;=0")</f>
        <v>0</v>
      </c>
      <c r="G8" s="4" t="n">
        <f aca="false">SUMIFS('Chi tiết SKU'!$M$2:$M$1253,'Chi tiết SKU'!$A$2:$A$1253,$A8)</f>
        <v>242</v>
      </c>
      <c r="H8" s="4" t="n">
        <f aca="false">SUMIFS('Chi tiết SKU'!$N$2:$N$1253,'Chi tiết SKU'!$A$2:$A$1253,$A8)</f>
        <v>560</v>
      </c>
      <c r="I8" s="4" t="n">
        <f aca="false">SUMIFS('Chi tiết SKU'!$O$2:$O$1253,'Chi tiết SKU'!$A$2:$A$1253,$A8)</f>
        <v>24</v>
      </c>
      <c r="J8" s="4" t="n">
        <f aca="false">SUMIFS('Chi tiết SKU'!$T$2:$T$1253,'Chi tiết SKU'!$A$2:$A$1253,$A8)</f>
        <v>1683158000</v>
      </c>
      <c r="K8" s="9" t="n">
        <f aca="false">IFERROR(SUMIFS('Chi tiết SKU'!$S$2:$S$1253,'Chi tiết SKU'!$A$2:$A$1253,$A8)/E8,0)</f>
        <v>24</v>
      </c>
      <c r="L8" s="5" t="n">
        <v>0.5557</v>
      </c>
      <c r="M8" s="8" t="str">
        <f aca="false">IF(F8/E8&gt;=$P$2,"CHẾT – hết hàng",IF(AND(H8&gt;=$P$3,H8&gt;=G8),"ĐẨY XUỐNG CH",IF(K8&lt;$P$4,"PHỦ MỎNG","OK")))</f>
        <v>ĐẨY XUỐNG CH</v>
      </c>
      <c r="N8" s="17" t="s">
        <v>63</v>
      </c>
    </row>
    <row r="9" customFormat="false" ht="26.85" hidden="false" customHeight="false" outlineLevel="0" collapsed="false">
      <c r="A9" s="8" t="s">
        <v>64</v>
      </c>
      <c r="B9" s="8" t="s">
        <v>24</v>
      </c>
      <c r="C9" s="17" t="s">
        <v>65</v>
      </c>
      <c r="D9" s="8" t="s">
        <v>66</v>
      </c>
      <c r="E9" s="4" t="n">
        <f aca="false">COUNTIFS('Chi tiết SKU'!$A$2:$A$1253,$A9)</f>
        <v>7</v>
      </c>
      <c r="F9" s="4" t="n">
        <f aca="false">COUNTIFS('Chi tiết SKU'!$A$2:$A$1253,$A9,'Chi tiết SKU'!$R$2:$R$1253,"&lt;=0")</f>
        <v>0</v>
      </c>
      <c r="G9" s="4" t="n">
        <f aca="false">SUMIFS('Chi tiết SKU'!$M$2:$M$1253,'Chi tiết SKU'!$A$2:$A$1253,$A9)</f>
        <v>2329</v>
      </c>
      <c r="H9" s="4" t="n">
        <f aca="false">SUMIFS('Chi tiết SKU'!$N$2:$N$1253,'Chi tiết SKU'!$A$2:$A$1253,$A9)</f>
        <v>2776</v>
      </c>
      <c r="I9" s="4" t="n">
        <f aca="false">SUMIFS('Chi tiết SKU'!$O$2:$O$1253,'Chi tiết SKU'!$A$2:$A$1253,$A9)</f>
        <v>174</v>
      </c>
      <c r="J9" s="4" t="n">
        <f aca="false">SUMIFS('Chi tiết SKU'!$T$2:$T$1253,'Chi tiết SKU'!$A$2:$A$1253,$A9)</f>
        <v>1349481000</v>
      </c>
      <c r="K9" s="9" t="n">
        <f aca="false">IFERROR(SUMIFS('Chi tiết SKU'!$S$2:$S$1253,'Chi tiết SKU'!$A$2:$A$1253,$A9)/E9,0)</f>
        <v>22</v>
      </c>
      <c r="L9" s="5" t="n">
        <v>0.13841</v>
      </c>
      <c r="M9" s="8" t="str">
        <f aca="false">IF(F9/E9&gt;=$P$2,"CHẾT – hết hàng",IF(AND(H9&gt;=$P$3,H9&gt;=G9),"ĐẨY XUỐNG CH",IF(K9&lt;$P$4,"PHỦ MỎNG","OK")))</f>
        <v>ĐẨY XUỐNG CH</v>
      </c>
      <c r="N9" s="17" t="s">
        <v>67</v>
      </c>
    </row>
    <row r="10" customFormat="false" ht="26.85" hidden="false" customHeight="false" outlineLevel="0" collapsed="false">
      <c r="A10" s="8" t="s">
        <v>68</v>
      </c>
      <c r="B10" s="8" t="s">
        <v>20</v>
      </c>
      <c r="C10" s="17" t="s">
        <v>69</v>
      </c>
      <c r="D10" s="8" t="s">
        <v>51</v>
      </c>
      <c r="E10" s="4" t="n">
        <f aca="false">COUNTIFS('Chi tiết SKU'!$A$2:$A$1253,$A10)</f>
        <v>69</v>
      </c>
      <c r="F10" s="4" t="n">
        <f aca="false">COUNTIFS('Chi tiết SKU'!$A$2:$A$1253,$A10,'Chi tiết SKU'!$R$2:$R$1253,"&lt;=0")</f>
        <v>0</v>
      </c>
      <c r="G10" s="4" t="n">
        <f aca="false">SUMIFS('Chi tiết SKU'!$M$2:$M$1253,'Chi tiết SKU'!$A$2:$A$1253,$A10)</f>
        <v>6221</v>
      </c>
      <c r="H10" s="4" t="n">
        <f aca="false">SUMIFS('Chi tiết SKU'!$N$2:$N$1253,'Chi tiết SKU'!$A$2:$A$1253,$A10)</f>
        <v>709</v>
      </c>
      <c r="I10" s="4" t="n">
        <f aca="false">SUMIFS('Chi tiết SKU'!$O$2:$O$1253,'Chi tiết SKU'!$A$2:$A$1253,$A10)</f>
        <v>620</v>
      </c>
      <c r="J10" s="4" t="n">
        <f aca="false">SUMIFS('Chi tiết SKU'!$T$2:$T$1253,'Chi tiết SKU'!$A$2:$A$1253,$A10)</f>
        <v>1292830000</v>
      </c>
      <c r="K10" s="9" t="n">
        <f aca="false">IFERROR(SUMIFS('Chi tiết SKU'!$S$2:$S$1253,'Chi tiết SKU'!$A$2:$A$1253,$A10)/E10,0)</f>
        <v>17.8115942028986</v>
      </c>
      <c r="L10" s="5" t="n">
        <v>0.1</v>
      </c>
      <c r="M10" s="8" t="str">
        <f aca="false">IF(F10/E10&gt;=$P$2,"CHẾT – hết hàng",IF(AND(H10&gt;=$P$3,H10&gt;=G10),"ĐẨY XUỐNG CH",IF(K10&lt;$P$4,"PHỦ MỎNG","OK")))</f>
        <v>OK</v>
      </c>
      <c r="N10" s="17" t="s">
        <v>70</v>
      </c>
    </row>
    <row r="11" customFormat="false" ht="26.85" hidden="false" customHeight="false" outlineLevel="0" collapsed="false">
      <c r="A11" s="8" t="s">
        <v>71</v>
      </c>
      <c r="B11" s="8" t="s">
        <v>21</v>
      </c>
      <c r="C11" s="17" t="s">
        <v>72</v>
      </c>
      <c r="D11" s="8" t="s">
        <v>51</v>
      </c>
      <c r="E11" s="4" t="n">
        <f aca="false">COUNTIFS('Chi tiết SKU'!$A$2:$A$1253,$A11)</f>
        <v>5</v>
      </c>
      <c r="F11" s="4" t="n">
        <f aca="false">COUNTIFS('Chi tiết SKU'!$A$2:$A$1253,$A11,'Chi tiết SKU'!$R$2:$R$1253,"&lt;=0")</f>
        <v>0</v>
      </c>
      <c r="G11" s="4" t="n">
        <f aca="false">SUMIFS('Chi tiết SKU'!$M$2:$M$1253,'Chi tiết SKU'!$A$2:$A$1253,$A11)</f>
        <v>558</v>
      </c>
      <c r="H11" s="4" t="n">
        <f aca="false">SUMIFS('Chi tiết SKU'!$N$2:$N$1253,'Chi tiết SKU'!$A$2:$A$1253,$A11)</f>
        <v>0</v>
      </c>
      <c r="I11" s="4" t="n">
        <f aca="false">SUMIFS('Chi tiết SKU'!$O$2:$O$1253,'Chi tiết SKU'!$A$2:$A$1253,$A11)</f>
        <v>6</v>
      </c>
      <c r="J11" s="4" t="n">
        <f aca="false">SUMIFS('Chi tiết SKU'!$T$2:$T$1253,'Chi tiết SKU'!$A$2:$A$1253,$A11)</f>
        <v>1087733000</v>
      </c>
      <c r="K11" s="9" t="n">
        <f aca="false">IFERROR(SUMIFS('Chi tiết SKU'!$S$2:$S$1253,'Chi tiết SKU'!$A$2:$A$1253,$A11)/E11,0)</f>
        <v>21.6</v>
      </c>
      <c r="L11" s="5" t="n">
        <v>0.08333</v>
      </c>
      <c r="M11" s="8" t="str">
        <f aca="false">IF(F11/E11&gt;=$P$2,"CHẾT – hết hàng",IF(AND(H11&gt;=$P$3,H11&gt;=G11),"ĐẨY XUỐNG CH",IF(K11&lt;$P$4,"PHỦ MỎNG","OK")))</f>
        <v>OK</v>
      </c>
      <c r="N11" s="17" t="s">
        <v>70</v>
      </c>
    </row>
    <row r="12" customFormat="false" ht="26.85" hidden="false" customHeight="false" outlineLevel="0" collapsed="false">
      <c r="A12" s="8" t="s">
        <v>73</v>
      </c>
      <c r="B12" s="8" t="s">
        <v>22</v>
      </c>
      <c r="C12" s="17" t="s">
        <v>74</v>
      </c>
      <c r="D12" s="8" t="s">
        <v>51</v>
      </c>
      <c r="E12" s="4" t="n">
        <f aca="false">COUNTIFS('Chi tiết SKU'!$A$2:$A$1253,$A12)</f>
        <v>7</v>
      </c>
      <c r="F12" s="4" t="n">
        <f aca="false">COUNTIFS('Chi tiết SKU'!$A$2:$A$1253,$A12,'Chi tiết SKU'!$R$2:$R$1253,"&lt;=0")</f>
        <v>0</v>
      </c>
      <c r="G12" s="4" t="n">
        <f aca="false">SUMIFS('Chi tiết SKU'!$M$2:$M$1253,'Chi tiết SKU'!$A$2:$A$1253,$A12)</f>
        <v>2772</v>
      </c>
      <c r="H12" s="4" t="n">
        <f aca="false">SUMIFS('Chi tiết SKU'!$N$2:$N$1253,'Chi tiết SKU'!$A$2:$A$1253,$A12)</f>
        <v>733</v>
      </c>
      <c r="I12" s="4" t="n">
        <f aca="false">SUMIFS('Chi tiết SKU'!$O$2:$O$1253,'Chi tiết SKU'!$A$2:$A$1253,$A12)</f>
        <v>1425</v>
      </c>
      <c r="J12" s="4" t="n">
        <f aca="false">SUMIFS('Chi tiết SKU'!$T$2:$T$1253,'Chi tiết SKU'!$A$2:$A$1253,$A12)</f>
        <v>950502000</v>
      </c>
      <c r="K12" s="9" t="n">
        <f aca="false">IFERROR(SUMIFS('Chi tiết SKU'!$S$2:$S$1253,'Chi tiết SKU'!$A$2:$A$1253,$A12)/E12,0)</f>
        <v>22.4285714285714</v>
      </c>
      <c r="L12" s="5" t="n">
        <v>0.15426</v>
      </c>
      <c r="M12" s="8" t="str">
        <f aca="false">IF(F12/E12&gt;=$P$2,"CHẾT – hết hàng",IF(AND(H12&gt;=$P$3,H12&gt;=G12),"ĐẨY XUỐNG CH",IF(K12&lt;$P$4,"PHỦ MỎNG","OK")))</f>
        <v>OK</v>
      </c>
      <c r="N12" s="17" t="s">
        <v>70</v>
      </c>
    </row>
    <row r="13" customFormat="false" ht="26.85" hidden="false" customHeight="false" outlineLevel="0" collapsed="false">
      <c r="A13" s="8" t="s">
        <v>75</v>
      </c>
      <c r="B13" s="8" t="s">
        <v>22</v>
      </c>
      <c r="C13" s="17" t="s">
        <v>76</v>
      </c>
      <c r="D13" s="8" t="s">
        <v>51</v>
      </c>
      <c r="E13" s="4" t="n">
        <f aca="false">COUNTIFS('Chi tiết SKU'!$A$2:$A$1253,$A13)</f>
        <v>101</v>
      </c>
      <c r="F13" s="4" t="n">
        <f aca="false">COUNTIFS('Chi tiết SKU'!$A$2:$A$1253,$A13,'Chi tiết SKU'!$R$2:$R$1253,"&lt;=0")</f>
        <v>3</v>
      </c>
      <c r="G13" s="4" t="n">
        <f aca="false">SUMIFS('Chi tiết SKU'!$M$2:$M$1253,'Chi tiết SKU'!$A$2:$A$1253,$A13)</f>
        <v>4557</v>
      </c>
      <c r="H13" s="4" t="n">
        <f aca="false">SUMIFS('Chi tiết SKU'!$N$2:$N$1253,'Chi tiết SKU'!$A$2:$A$1253,$A13)</f>
        <v>6</v>
      </c>
      <c r="I13" s="4" t="n">
        <f aca="false">SUMIFS('Chi tiết SKU'!$O$2:$O$1253,'Chi tiết SKU'!$A$2:$A$1253,$A13)</f>
        <v>385</v>
      </c>
      <c r="J13" s="4" t="n">
        <f aca="false">SUMIFS('Chi tiết SKU'!$T$2:$T$1253,'Chi tiết SKU'!$A$2:$A$1253,$A13)</f>
        <v>915845000</v>
      </c>
      <c r="K13" s="9" t="n">
        <f aca="false">IFERROR(SUMIFS('Chi tiết SKU'!$S$2:$S$1253,'Chi tiết SKU'!$A$2:$A$1253,$A13)/E13,0)</f>
        <v>10.4158415841584</v>
      </c>
      <c r="L13" s="5" t="n">
        <v>0.1</v>
      </c>
      <c r="M13" s="8" t="str">
        <f aca="false">IF(F13/E13&gt;=$P$2,"CHẾT – hết hàng",IF(AND(H13&gt;=$P$3,H13&gt;=G13),"ĐẨY XUỐNG CH",IF(K13&lt;$P$4,"PHỦ MỎNG","OK")))</f>
        <v>OK</v>
      </c>
      <c r="N13" s="17" t="s">
        <v>59</v>
      </c>
    </row>
    <row r="14" customFormat="false" ht="26.85" hidden="false" customHeight="false" outlineLevel="0" collapsed="false">
      <c r="A14" s="8" t="s">
        <v>77</v>
      </c>
      <c r="B14" s="8" t="s">
        <v>20</v>
      </c>
      <c r="C14" s="17" t="s">
        <v>78</v>
      </c>
      <c r="D14" s="8" t="s">
        <v>51</v>
      </c>
      <c r="E14" s="4" t="n">
        <f aca="false">COUNTIFS('Chi tiết SKU'!$A$2:$A$1253,$A14)</f>
        <v>50</v>
      </c>
      <c r="F14" s="4" t="n">
        <f aca="false">COUNTIFS('Chi tiết SKU'!$A$2:$A$1253,$A14,'Chi tiết SKU'!$R$2:$R$1253,"&lt;=0")</f>
        <v>4</v>
      </c>
      <c r="G14" s="4" t="n">
        <f aca="false">SUMIFS('Chi tiết SKU'!$M$2:$M$1253,'Chi tiết SKU'!$A$2:$A$1253,$A14)</f>
        <v>3200</v>
      </c>
      <c r="H14" s="4" t="n">
        <f aca="false">SUMIFS('Chi tiết SKU'!$N$2:$N$1253,'Chi tiết SKU'!$A$2:$A$1253,$A14)</f>
        <v>338</v>
      </c>
      <c r="I14" s="4" t="n">
        <f aca="false">SUMIFS('Chi tiết SKU'!$O$2:$O$1253,'Chi tiết SKU'!$A$2:$A$1253,$A14)</f>
        <v>123</v>
      </c>
      <c r="J14" s="4" t="n">
        <f aca="false">SUMIFS('Chi tiết SKU'!$T$2:$T$1253,'Chi tiết SKU'!$A$2:$A$1253,$A14)</f>
        <v>899837000</v>
      </c>
      <c r="K14" s="9" t="n">
        <f aca="false">IFERROR(SUMIFS('Chi tiết SKU'!$S$2:$S$1253,'Chi tiết SKU'!$A$2:$A$1253,$A14)/E14,0)</f>
        <v>15.78</v>
      </c>
      <c r="L14" s="5" t="n">
        <v>0.0772</v>
      </c>
      <c r="M14" s="8" t="str">
        <f aca="false">IF(F14/E14&gt;=$P$2,"CHẾT – hết hàng",IF(AND(H14&gt;=$P$3,H14&gt;=G14),"ĐẨY XUỐNG CH",IF(K14&lt;$P$4,"PHỦ MỎNG","OK")))</f>
        <v>OK</v>
      </c>
      <c r="N14" s="17" t="s">
        <v>70</v>
      </c>
    </row>
    <row r="15" customFormat="false" ht="26.85" hidden="false" customHeight="false" outlineLevel="0" collapsed="false">
      <c r="A15" s="8" t="s">
        <v>79</v>
      </c>
      <c r="B15" s="8" t="s">
        <v>21</v>
      </c>
      <c r="C15" s="17" t="s">
        <v>80</v>
      </c>
      <c r="D15" s="8" t="s">
        <v>51</v>
      </c>
      <c r="E15" s="4" t="n">
        <f aca="false">COUNTIFS('Chi tiết SKU'!$A$2:$A$1253,$A15)</f>
        <v>5</v>
      </c>
      <c r="F15" s="4" t="n">
        <f aca="false">COUNTIFS('Chi tiết SKU'!$A$2:$A$1253,$A15,'Chi tiết SKU'!$R$2:$R$1253,"&lt;=0")</f>
        <v>0</v>
      </c>
      <c r="G15" s="4" t="n">
        <f aca="false">SUMIFS('Chi tiết SKU'!$M$2:$M$1253,'Chi tiết SKU'!$A$2:$A$1253,$A15)</f>
        <v>543</v>
      </c>
      <c r="H15" s="4" t="n">
        <f aca="false">SUMIFS('Chi tiết SKU'!$N$2:$N$1253,'Chi tiết SKU'!$A$2:$A$1253,$A15)</f>
        <v>0</v>
      </c>
      <c r="I15" s="4" t="n">
        <f aca="false">SUMIFS('Chi tiết SKU'!$O$2:$O$1253,'Chi tiết SKU'!$A$2:$A$1253,$A15)</f>
        <v>49</v>
      </c>
      <c r="J15" s="4" t="n">
        <f aca="false">SUMIFS('Chi tiết SKU'!$T$2:$T$1253,'Chi tiết SKU'!$A$2:$A$1253,$A15)</f>
        <v>766293000</v>
      </c>
      <c r="K15" s="9" t="n">
        <f aca="false">IFERROR(SUMIFS('Chi tiết SKU'!$S$2:$S$1253,'Chi tiết SKU'!$A$2:$A$1253,$A15)/E15,0)</f>
        <v>21</v>
      </c>
      <c r="L15" s="5" t="n">
        <v>0.03623</v>
      </c>
      <c r="M15" s="8" t="str">
        <f aca="false">IF(F15/E15&gt;=$P$2,"CHẾT – hết hàng",IF(AND(H15&gt;=$P$3,H15&gt;=G15),"ĐẨY XUỐNG CH",IF(K15&lt;$P$4,"PHỦ MỎNG","OK")))</f>
        <v>OK</v>
      </c>
      <c r="N15" s="17" t="s">
        <v>70</v>
      </c>
    </row>
    <row r="16" customFormat="false" ht="26.85" hidden="false" customHeight="false" outlineLevel="0" collapsed="false">
      <c r="A16" s="8" t="s">
        <v>81</v>
      </c>
      <c r="B16" s="8" t="s">
        <v>24</v>
      </c>
      <c r="C16" s="17" t="s">
        <v>82</v>
      </c>
      <c r="D16" s="8" t="s">
        <v>66</v>
      </c>
      <c r="E16" s="4" t="n">
        <f aca="false">COUNTIFS('Chi tiết SKU'!$A$2:$A$1253,$A16)</f>
        <v>9</v>
      </c>
      <c r="F16" s="4" t="n">
        <f aca="false">COUNTIFS('Chi tiết SKU'!$A$2:$A$1253,$A16,'Chi tiết SKU'!$R$2:$R$1253,"&lt;=0")</f>
        <v>0</v>
      </c>
      <c r="G16" s="4" t="n">
        <f aca="false">SUMIFS('Chi tiết SKU'!$M$2:$M$1253,'Chi tiết SKU'!$A$2:$A$1253,$A16)</f>
        <v>1592</v>
      </c>
      <c r="H16" s="4" t="n">
        <f aca="false">SUMIFS('Chi tiết SKU'!$N$2:$N$1253,'Chi tiết SKU'!$A$2:$A$1253,$A16)</f>
        <v>263</v>
      </c>
      <c r="I16" s="4" t="n">
        <f aca="false">SUMIFS('Chi tiết SKU'!$O$2:$O$1253,'Chi tiết SKU'!$A$2:$A$1253,$A16)</f>
        <v>139</v>
      </c>
      <c r="J16" s="4" t="n">
        <f aca="false">SUMIFS('Chi tiết SKU'!$T$2:$T$1253,'Chi tiết SKU'!$A$2:$A$1253,$A16)</f>
        <v>742400000</v>
      </c>
      <c r="K16" s="9" t="n">
        <f aca="false">IFERROR(SUMIFS('Chi tiết SKU'!$S$2:$S$1253,'Chi tiết SKU'!$A$2:$A$1253,$A16)/E16,0)</f>
        <v>18.2222222222222</v>
      </c>
      <c r="L16" s="5" t="n">
        <v>0.17143</v>
      </c>
      <c r="M16" s="8" t="str">
        <f aca="false">IF(F16/E16&gt;=$P$2,"CHẾT – hết hàng",IF(AND(H16&gt;=$P$3,H16&gt;=G16),"ĐẨY XUỐNG CH",IF(K16&lt;$P$4,"PHỦ MỎNG","OK")))</f>
        <v>OK</v>
      </c>
      <c r="N16" s="17" t="s">
        <v>70</v>
      </c>
    </row>
    <row r="17" customFormat="false" ht="26.85" hidden="false" customHeight="false" outlineLevel="0" collapsed="false">
      <c r="A17" s="8" t="s">
        <v>83</v>
      </c>
      <c r="B17" s="8" t="s">
        <v>21</v>
      </c>
      <c r="C17" s="17" t="s">
        <v>84</v>
      </c>
      <c r="D17" s="8" t="s">
        <v>51</v>
      </c>
      <c r="E17" s="4" t="n">
        <f aca="false">COUNTIFS('Chi tiết SKU'!$A$2:$A$1253,$A17)</f>
        <v>1</v>
      </c>
      <c r="F17" s="4" t="n">
        <f aca="false">COUNTIFS('Chi tiết SKU'!$A$2:$A$1253,$A17,'Chi tiết SKU'!$R$2:$R$1253,"&lt;=0")</f>
        <v>0</v>
      </c>
      <c r="G17" s="4" t="n">
        <f aca="false">SUMIFS('Chi tiết SKU'!$M$2:$M$1253,'Chi tiết SKU'!$A$2:$A$1253,$A17)</f>
        <v>103</v>
      </c>
      <c r="H17" s="4" t="n">
        <f aca="false">SUMIFS('Chi tiết SKU'!$N$2:$N$1253,'Chi tiết SKU'!$A$2:$A$1253,$A17)</f>
        <v>0</v>
      </c>
      <c r="I17" s="4" t="n">
        <f aca="false">SUMIFS('Chi tiết SKU'!$O$2:$O$1253,'Chi tiết SKU'!$A$2:$A$1253,$A17)</f>
        <v>2</v>
      </c>
      <c r="J17" s="4" t="n">
        <f aca="false">SUMIFS('Chi tiết SKU'!$T$2:$T$1253,'Chi tiết SKU'!$A$2:$A$1253,$A17)</f>
        <v>650160000</v>
      </c>
      <c r="K17" s="9" t="n">
        <f aca="false">IFERROR(SUMIFS('Chi tiết SKU'!$S$2:$S$1253,'Chi tiết SKU'!$A$2:$A$1253,$A17)/E17,0)</f>
        <v>22</v>
      </c>
      <c r="L17" s="5" t="n">
        <v>0.1</v>
      </c>
      <c r="M17" s="8" t="str">
        <f aca="false">IF(F17/E17&gt;=$P$2,"CHẾT – hết hàng",IF(AND(H17&gt;=$P$3,H17&gt;=G17),"ĐẨY XUỐNG CH",IF(K17&lt;$P$4,"PHỦ MỎNG","OK")))</f>
        <v>OK</v>
      </c>
      <c r="N17" s="17" t="s">
        <v>70</v>
      </c>
    </row>
    <row r="18" customFormat="false" ht="26.85" hidden="false" customHeight="false" outlineLevel="0" collapsed="false">
      <c r="A18" s="8" t="s">
        <v>85</v>
      </c>
      <c r="B18" s="8" t="s">
        <v>21</v>
      </c>
      <c r="C18" s="17" t="s">
        <v>86</v>
      </c>
      <c r="D18" s="8" t="s">
        <v>51</v>
      </c>
      <c r="E18" s="4" t="n">
        <f aca="false">COUNTIFS('Chi tiết SKU'!$A$2:$A$1253,$A18)</f>
        <v>3</v>
      </c>
      <c r="F18" s="4" t="n">
        <f aca="false">COUNTIFS('Chi tiết SKU'!$A$2:$A$1253,$A18,'Chi tiết SKU'!$R$2:$R$1253,"&lt;=0")</f>
        <v>0</v>
      </c>
      <c r="G18" s="4" t="n">
        <f aca="false">SUMIFS('Chi tiết SKU'!$M$2:$M$1253,'Chi tiết SKU'!$A$2:$A$1253,$A18)</f>
        <v>497</v>
      </c>
      <c r="H18" s="4" t="n">
        <f aca="false">SUMIFS('Chi tiết SKU'!$N$2:$N$1253,'Chi tiết SKU'!$A$2:$A$1253,$A18)</f>
        <v>0</v>
      </c>
      <c r="I18" s="4" t="n">
        <f aca="false">SUMIFS('Chi tiết SKU'!$O$2:$O$1253,'Chi tiết SKU'!$A$2:$A$1253,$A18)</f>
        <v>53</v>
      </c>
      <c r="J18" s="4" t="n">
        <f aca="false">SUMIFS('Chi tiết SKU'!$T$2:$T$1253,'Chi tiết SKU'!$A$2:$A$1253,$A18)</f>
        <v>590220000</v>
      </c>
      <c r="K18" s="9" t="n">
        <f aca="false">IFERROR(SUMIFS('Chi tiết SKU'!$S$2:$S$1253,'Chi tiết SKU'!$A$2:$A$1253,$A18)/E18,0)</f>
        <v>21.6666666666667</v>
      </c>
      <c r="L18" s="5" t="n">
        <v>0.4</v>
      </c>
      <c r="M18" s="8" t="str">
        <f aca="false">IF(F18/E18&gt;=$P$2,"CHẾT – hết hàng",IF(AND(H18&gt;=$P$3,H18&gt;=G18),"ĐẨY XUỐNG CH",IF(K18&lt;$P$4,"PHỦ MỎNG","OK")))</f>
        <v>OK</v>
      </c>
      <c r="N18" s="17" t="s">
        <v>70</v>
      </c>
    </row>
    <row r="19" customFormat="false" ht="26.85" hidden="false" customHeight="false" outlineLevel="0" collapsed="false">
      <c r="A19" s="8" t="s">
        <v>87</v>
      </c>
      <c r="B19" s="8" t="s">
        <v>23</v>
      </c>
      <c r="C19" s="17" t="s">
        <v>88</v>
      </c>
      <c r="D19" s="8" t="s">
        <v>51</v>
      </c>
      <c r="E19" s="4" t="n">
        <f aca="false">COUNTIFS('Chi tiết SKU'!$A$2:$A$1253,$A19)</f>
        <v>350</v>
      </c>
      <c r="F19" s="4" t="n">
        <f aca="false">COUNTIFS('Chi tiết SKU'!$A$2:$A$1253,$A19,'Chi tiết SKU'!$R$2:$R$1253,"&lt;=0")</f>
        <v>126</v>
      </c>
      <c r="G19" s="4" t="n">
        <f aca="false">SUMIFS('Chi tiết SKU'!$M$2:$M$1253,'Chi tiết SKU'!$A$2:$A$1253,$A19)</f>
        <v>441</v>
      </c>
      <c r="H19" s="4" t="n">
        <f aca="false">SUMIFS('Chi tiết SKU'!$N$2:$N$1253,'Chi tiết SKU'!$A$2:$A$1253,$A19)</f>
        <v>0</v>
      </c>
      <c r="I19" s="4" t="n">
        <f aca="false">SUMIFS('Chi tiết SKU'!$O$2:$O$1253,'Chi tiết SKU'!$A$2:$A$1253,$A19)</f>
        <v>0</v>
      </c>
      <c r="J19" s="4" t="n">
        <f aca="false">SUMIFS('Chi tiết SKU'!$T$2:$T$1253,'Chi tiết SKU'!$A$2:$A$1253,$A19)</f>
        <v>497806000</v>
      </c>
      <c r="K19" s="9" t="n">
        <f aca="false">IFERROR(SUMIFS('Chi tiết SKU'!$S$2:$S$1253,'Chi tiết SKU'!$A$2:$A$1253,$A19)/E19,0)</f>
        <v>0.794285714285714</v>
      </c>
      <c r="L19" s="5" t="n">
        <v>0.19305</v>
      </c>
      <c r="M19" s="8" t="str">
        <f aca="false">IF(F19/E19&gt;=$P$2,"CHẾT – hết hàng",IF(AND(H19&gt;=$P$3,H19&gt;=G19),"ĐẨY XUỐNG CH",IF(K19&lt;$P$4,"PHỦ MỎNG","OK")))</f>
        <v>PHỦ MỎNG</v>
      </c>
      <c r="N19" s="17" t="s">
        <v>89</v>
      </c>
    </row>
    <row r="20" customFormat="false" ht="26.85" hidden="false" customHeight="false" outlineLevel="0" collapsed="false">
      <c r="A20" s="8" t="s">
        <v>90</v>
      </c>
      <c r="B20" s="8" t="s">
        <v>21</v>
      </c>
      <c r="C20" s="17" t="s">
        <v>91</v>
      </c>
      <c r="D20" s="8" t="s">
        <v>51</v>
      </c>
      <c r="E20" s="4" t="n">
        <f aca="false">COUNTIFS('Chi tiết SKU'!$A$2:$A$1253,$A20)</f>
        <v>7</v>
      </c>
      <c r="F20" s="4" t="n">
        <f aca="false">COUNTIFS('Chi tiết SKU'!$A$2:$A$1253,$A20,'Chi tiết SKU'!$R$2:$R$1253,"&lt;=0")</f>
        <v>0</v>
      </c>
      <c r="G20" s="4" t="n">
        <f aca="false">SUMIFS('Chi tiết SKU'!$M$2:$M$1253,'Chi tiết SKU'!$A$2:$A$1253,$A20)</f>
        <v>506</v>
      </c>
      <c r="H20" s="4" t="n">
        <f aca="false">SUMIFS('Chi tiết SKU'!$N$2:$N$1253,'Chi tiết SKU'!$A$2:$A$1253,$A20)</f>
        <v>67</v>
      </c>
      <c r="I20" s="4" t="n">
        <f aca="false">SUMIFS('Chi tiết SKU'!$O$2:$O$1253,'Chi tiết SKU'!$A$2:$A$1253,$A20)</f>
        <v>38</v>
      </c>
      <c r="J20" s="4" t="n">
        <f aca="false">SUMIFS('Chi tiết SKU'!$T$2:$T$1253,'Chi tiết SKU'!$A$2:$A$1253,$A20)</f>
        <v>486395000</v>
      </c>
      <c r="K20" s="9" t="n">
        <f aca="false">IFERROR(SUMIFS('Chi tiết SKU'!$S$2:$S$1253,'Chi tiết SKU'!$A$2:$A$1253,$A20)/E20,0)</f>
        <v>19</v>
      </c>
      <c r="L20" s="5" t="n">
        <v>0.06061</v>
      </c>
      <c r="M20" s="8" t="str">
        <f aca="false">IF(F20/E20&gt;=$P$2,"CHẾT – hết hàng",IF(AND(H20&gt;=$P$3,H20&gt;=G20),"ĐẨY XUỐNG CH",IF(K20&lt;$P$4,"PHỦ MỎNG","OK")))</f>
        <v>OK</v>
      </c>
      <c r="N20" s="17" t="s">
        <v>70</v>
      </c>
    </row>
    <row r="21" customFormat="false" ht="39.55" hidden="false" customHeight="false" outlineLevel="0" collapsed="false">
      <c r="A21" s="8" t="s">
        <v>92</v>
      </c>
      <c r="B21" s="8" t="s">
        <v>20</v>
      </c>
      <c r="C21" s="17" t="s">
        <v>93</v>
      </c>
      <c r="D21" s="8" t="s">
        <v>62</v>
      </c>
      <c r="E21" s="4" t="n">
        <f aca="false">COUNTIFS('Chi tiết SKU'!$A$2:$A$1253,$A21)</f>
        <v>11</v>
      </c>
      <c r="F21" s="4" t="n">
        <f aca="false">COUNTIFS('Chi tiết SKU'!$A$2:$A$1253,$A21,'Chi tiết SKU'!$R$2:$R$1253,"&lt;=0")</f>
        <v>0</v>
      </c>
      <c r="G21" s="4" t="n">
        <f aca="false">SUMIFS('Chi tiết SKU'!$M$2:$M$1253,'Chi tiết SKU'!$A$2:$A$1253,$A21)</f>
        <v>1203</v>
      </c>
      <c r="H21" s="4" t="n">
        <f aca="false">SUMIFS('Chi tiết SKU'!$N$2:$N$1253,'Chi tiết SKU'!$A$2:$A$1253,$A21)</f>
        <v>378</v>
      </c>
      <c r="I21" s="4" t="n">
        <f aca="false">SUMIFS('Chi tiết SKU'!$O$2:$O$1253,'Chi tiết SKU'!$A$2:$A$1253,$A21)</f>
        <v>292</v>
      </c>
      <c r="J21" s="4" t="n">
        <f aca="false">SUMIFS('Chi tiết SKU'!$T$2:$T$1253,'Chi tiết SKU'!$A$2:$A$1253,$A21)</f>
        <v>476285000</v>
      </c>
      <c r="K21" s="9" t="n">
        <f aca="false">IFERROR(SUMIFS('Chi tiết SKU'!$S$2:$S$1253,'Chi tiết SKU'!$A$2:$A$1253,$A21)/E21,0)</f>
        <v>19.9090909090909</v>
      </c>
      <c r="L21" s="5"/>
      <c r="M21" s="8" t="str">
        <f aca="false">IF(F21/E21&gt;=$P$2,"CHẾT – hết hàng",IF(AND(H21&gt;=$P$3,H21&gt;=G21),"ĐẨY XUỐNG CH",IF(K21&lt;$P$4,"PHỦ MỎNG","OK")))</f>
        <v>OK</v>
      </c>
      <c r="N21" s="17" t="s">
        <v>94</v>
      </c>
    </row>
    <row r="22" customFormat="false" ht="26.85" hidden="false" customHeight="false" outlineLevel="0" collapsed="false">
      <c r="A22" s="8" t="s">
        <v>95</v>
      </c>
      <c r="B22" s="8" t="s">
        <v>20</v>
      </c>
      <c r="C22" s="17" t="s">
        <v>96</v>
      </c>
      <c r="D22" s="8" t="s">
        <v>51</v>
      </c>
      <c r="E22" s="4" t="n">
        <f aca="false">COUNTIFS('Chi tiết SKU'!$A$2:$A$1253,$A22)</f>
        <v>25</v>
      </c>
      <c r="F22" s="4" t="n">
        <f aca="false">COUNTIFS('Chi tiết SKU'!$A$2:$A$1253,$A22,'Chi tiết SKU'!$R$2:$R$1253,"&lt;=0")</f>
        <v>0</v>
      </c>
      <c r="G22" s="4" t="n">
        <f aca="false">SUMIFS('Chi tiết SKU'!$M$2:$M$1253,'Chi tiết SKU'!$A$2:$A$1253,$A22)</f>
        <v>1674</v>
      </c>
      <c r="H22" s="4" t="n">
        <f aca="false">SUMIFS('Chi tiết SKU'!$N$2:$N$1253,'Chi tiết SKU'!$A$2:$A$1253,$A22)</f>
        <v>60</v>
      </c>
      <c r="I22" s="4" t="n">
        <f aca="false">SUMIFS('Chi tiết SKU'!$O$2:$O$1253,'Chi tiết SKU'!$A$2:$A$1253,$A22)</f>
        <v>121</v>
      </c>
      <c r="J22" s="4" t="n">
        <f aca="false">SUMIFS('Chi tiết SKU'!$T$2:$T$1253,'Chi tiết SKU'!$A$2:$A$1253,$A22)</f>
        <v>453523000</v>
      </c>
      <c r="K22" s="9" t="n">
        <f aca="false">IFERROR(SUMIFS('Chi tiết SKU'!$S$2:$S$1253,'Chi tiết SKU'!$A$2:$A$1253,$A22)/E22,0)</f>
        <v>19.28</v>
      </c>
      <c r="L22" s="5" t="n">
        <v>0.11538</v>
      </c>
      <c r="M22" s="8" t="str">
        <f aca="false">IF(F22/E22&gt;=$P$2,"CHẾT – hết hàng",IF(AND(H22&gt;=$P$3,H22&gt;=G22),"ĐẨY XUỐNG CH",IF(K22&lt;$P$4,"PHỦ MỎNG","OK")))</f>
        <v>OK</v>
      </c>
      <c r="N22" s="17" t="s">
        <v>70</v>
      </c>
    </row>
    <row r="23" customFormat="false" ht="26.85" hidden="false" customHeight="false" outlineLevel="0" collapsed="false">
      <c r="A23" s="8" t="s">
        <v>97</v>
      </c>
      <c r="B23" s="8" t="s">
        <v>27</v>
      </c>
      <c r="C23" s="17" t="s">
        <v>98</v>
      </c>
      <c r="D23" s="8" t="s">
        <v>51</v>
      </c>
      <c r="E23" s="4" t="n">
        <f aca="false">COUNTIFS('Chi tiết SKU'!$A$2:$A$1253,$A23)</f>
        <v>46</v>
      </c>
      <c r="F23" s="4" t="n">
        <f aca="false">COUNTIFS('Chi tiết SKU'!$A$2:$A$1253,$A23,'Chi tiết SKU'!$R$2:$R$1253,"&lt;=0")</f>
        <v>1</v>
      </c>
      <c r="G23" s="4" t="n">
        <f aca="false">SUMIFS('Chi tiết SKU'!$M$2:$M$1253,'Chi tiết SKU'!$A$2:$A$1253,$A23)</f>
        <v>5562</v>
      </c>
      <c r="H23" s="4" t="n">
        <f aca="false">SUMIFS('Chi tiết SKU'!$N$2:$N$1253,'Chi tiết SKU'!$A$2:$A$1253,$A23)</f>
        <v>0</v>
      </c>
      <c r="I23" s="4" t="n">
        <f aca="false">SUMIFS('Chi tiết SKU'!$O$2:$O$1253,'Chi tiết SKU'!$A$2:$A$1253,$A23)</f>
        <v>0</v>
      </c>
      <c r="J23" s="4" t="n">
        <f aca="false">SUMIFS('Chi tiết SKU'!$T$2:$T$1253,'Chi tiết SKU'!$A$2:$A$1253,$A23)</f>
        <v>341550000</v>
      </c>
      <c r="K23" s="9" t="n">
        <f aca="false">IFERROR(SUMIFS('Chi tiết SKU'!$S$2:$S$1253,'Chi tiết SKU'!$A$2:$A$1253,$A23)/E23,0)</f>
        <v>7.52173913043478</v>
      </c>
      <c r="L23" s="5" t="n">
        <v>0.08</v>
      </c>
      <c r="M23" s="8" t="str">
        <f aca="false">IF(F23/E23&gt;=$P$2,"CHẾT – hết hàng",IF(AND(H23&gt;=$P$3,H23&gt;=G23),"ĐẨY XUỐNG CH",IF(K23&lt;$P$4,"PHỦ MỎNG","OK")))</f>
        <v>PHỦ MỎNG</v>
      </c>
      <c r="N23" s="17" t="s">
        <v>99</v>
      </c>
    </row>
    <row r="24" customFormat="false" ht="26.85" hidden="false" customHeight="false" outlineLevel="0" collapsed="false">
      <c r="A24" s="8" t="s">
        <v>100</v>
      </c>
      <c r="B24" s="8" t="s">
        <v>26</v>
      </c>
      <c r="C24" s="17" t="s">
        <v>101</v>
      </c>
      <c r="D24" s="8" t="s">
        <v>51</v>
      </c>
      <c r="E24" s="4" t="n">
        <f aca="false">COUNTIFS('Chi tiết SKU'!$A$2:$A$1253,$A24)</f>
        <v>1</v>
      </c>
      <c r="F24" s="4" t="n">
        <f aca="false">COUNTIFS('Chi tiết SKU'!$A$2:$A$1253,$A24,'Chi tiết SKU'!$R$2:$R$1253,"&lt;=0")</f>
        <v>0</v>
      </c>
      <c r="G24" s="4" t="n">
        <f aca="false">SUMIFS('Chi tiết SKU'!$M$2:$M$1253,'Chi tiết SKU'!$A$2:$A$1253,$A24)</f>
        <v>787</v>
      </c>
      <c r="H24" s="4" t="n">
        <f aca="false">SUMIFS('Chi tiết SKU'!$N$2:$N$1253,'Chi tiết SKU'!$A$2:$A$1253,$A24)</f>
        <v>360</v>
      </c>
      <c r="I24" s="4" t="n">
        <f aca="false">SUMIFS('Chi tiết SKU'!$O$2:$O$1253,'Chi tiết SKU'!$A$2:$A$1253,$A24)</f>
        <v>289</v>
      </c>
      <c r="J24" s="4" t="n">
        <f aca="false">SUMIFS('Chi tiết SKU'!$T$2:$T$1253,'Chi tiết SKU'!$A$2:$A$1253,$A24)</f>
        <v>318360000</v>
      </c>
      <c r="K24" s="9" t="n">
        <f aca="false">IFERROR(SUMIFS('Chi tiết SKU'!$S$2:$S$1253,'Chi tiết SKU'!$A$2:$A$1253,$A24)/E24,0)</f>
        <v>24</v>
      </c>
      <c r="L24" s="5" t="n">
        <v>0.07111</v>
      </c>
      <c r="M24" s="8" t="str">
        <f aca="false">IF(F24/E24&gt;=$P$2,"CHẾT – hết hàng",IF(AND(H24&gt;=$P$3,H24&gt;=G24),"ĐẨY XUỐNG CH",IF(K24&lt;$P$4,"PHỦ MỎNG","OK")))</f>
        <v>OK</v>
      </c>
      <c r="N24" s="17" t="s">
        <v>70</v>
      </c>
    </row>
    <row r="25" customFormat="false" ht="26.85" hidden="false" customHeight="false" outlineLevel="0" collapsed="false">
      <c r="A25" s="8" t="s">
        <v>102</v>
      </c>
      <c r="B25" s="8" t="s">
        <v>29</v>
      </c>
      <c r="C25" s="17" t="s">
        <v>103</v>
      </c>
      <c r="D25" s="8" t="s">
        <v>66</v>
      </c>
      <c r="E25" s="4" t="n">
        <f aca="false">COUNTIFS('Chi tiết SKU'!$A$2:$A$1253,$A25)</f>
        <v>2</v>
      </c>
      <c r="F25" s="4" t="n">
        <f aca="false">COUNTIFS('Chi tiết SKU'!$A$2:$A$1253,$A25,'Chi tiết SKU'!$R$2:$R$1253,"&lt;=0")</f>
        <v>0</v>
      </c>
      <c r="G25" s="4" t="n">
        <f aca="false">SUMIFS('Chi tiết SKU'!$M$2:$M$1253,'Chi tiết SKU'!$A$2:$A$1253,$A25)</f>
        <v>2457</v>
      </c>
      <c r="H25" s="4" t="n">
        <f aca="false">SUMIFS('Chi tiết SKU'!$N$2:$N$1253,'Chi tiết SKU'!$A$2:$A$1253,$A25)</f>
        <v>0</v>
      </c>
      <c r="I25" s="4" t="n">
        <f aca="false">SUMIFS('Chi tiết SKU'!$O$2:$O$1253,'Chi tiết SKU'!$A$2:$A$1253,$A25)</f>
        <v>0</v>
      </c>
      <c r="J25" s="4" t="n">
        <f aca="false">SUMIFS('Chi tiết SKU'!$T$2:$T$1253,'Chi tiết SKU'!$A$2:$A$1253,$A25)</f>
        <v>289926000</v>
      </c>
      <c r="K25" s="9" t="n">
        <f aca="false">IFERROR(SUMIFS('Chi tiết SKU'!$S$2:$S$1253,'Chi tiết SKU'!$A$2:$A$1253,$A25)/E25,0)</f>
        <v>15.5</v>
      </c>
      <c r="L25" s="5" t="n">
        <v>0.28571</v>
      </c>
      <c r="M25" s="8" t="str">
        <f aca="false">IF(F25/E25&gt;=$P$2,"CHẾT – hết hàng",IF(AND(H25&gt;=$P$3,H25&gt;=G25),"ĐẨY XUỐNG CH",IF(K25&lt;$P$4,"PHỦ MỎNG","OK")))</f>
        <v>OK</v>
      </c>
      <c r="N25" s="17" t="s">
        <v>70</v>
      </c>
    </row>
    <row r="26" customFormat="false" ht="26.85" hidden="false" customHeight="false" outlineLevel="0" collapsed="false">
      <c r="A26" s="8" t="s">
        <v>104</v>
      </c>
      <c r="B26" s="8" t="s">
        <v>21</v>
      </c>
      <c r="C26" s="17" t="s">
        <v>105</v>
      </c>
      <c r="D26" s="8" t="s">
        <v>66</v>
      </c>
      <c r="E26" s="4" t="n">
        <f aca="false">COUNTIFS('Chi tiết SKU'!$A$2:$A$1253,$A26)</f>
        <v>3</v>
      </c>
      <c r="F26" s="4" t="n">
        <f aca="false">COUNTIFS('Chi tiết SKU'!$A$2:$A$1253,$A26,'Chi tiết SKU'!$R$2:$R$1253,"&lt;=0")</f>
        <v>0</v>
      </c>
      <c r="G26" s="4" t="n">
        <f aca="false">SUMIFS('Chi tiết SKU'!$M$2:$M$1253,'Chi tiết SKU'!$A$2:$A$1253,$A26)</f>
        <v>566</v>
      </c>
      <c r="H26" s="4" t="n">
        <f aca="false">SUMIFS('Chi tiết SKU'!$N$2:$N$1253,'Chi tiết SKU'!$A$2:$A$1253,$A26)</f>
        <v>0</v>
      </c>
      <c r="I26" s="4" t="n">
        <f aca="false">SUMIFS('Chi tiết SKU'!$O$2:$O$1253,'Chi tiết SKU'!$A$2:$A$1253,$A26)</f>
        <v>24</v>
      </c>
      <c r="J26" s="4" t="n">
        <f aca="false">SUMIFS('Chi tiết SKU'!$T$2:$T$1253,'Chi tiết SKU'!$A$2:$A$1253,$A26)</f>
        <v>289394000</v>
      </c>
      <c r="K26" s="9" t="n">
        <f aca="false">IFERROR(SUMIFS('Chi tiết SKU'!$S$2:$S$1253,'Chi tiết SKU'!$A$2:$A$1253,$A26)/E26,0)</f>
        <v>22.6666666666667</v>
      </c>
      <c r="L26" s="5" t="n">
        <v>0.2</v>
      </c>
      <c r="M26" s="8" t="str">
        <f aca="false">IF(F26/E26&gt;=$P$2,"CHẾT – hết hàng",IF(AND(H26&gt;=$P$3,H26&gt;=G26),"ĐẨY XUỐNG CH",IF(K26&lt;$P$4,"PHỦ MỎNG","OK")))</f>
        <v>OK</v>
      </c>
      <c r="N26" s="17" t="s">
        <v>70</v>
      </c>
    </row>
    <row r="27" customFormat="false" ht="26.85" hidden="false" customHeight="false" outlineLevel="0" collapsed="false">
      <c r="A27" s="8" t="s">
        <v>106</v>
      </c>
      <c r="B27" s="8" t="s">
        <v>30</v>
      </c>
      <c r="C27" s="17" t="s">
        <v>107</v>
      </c>
      <c r="D27" s="8" t="s">
        <v>51</v>
      </c>
      <c r="E27" s="4" t="n">
        <f aca="false">COUNTIFS('Chi tiết SKU'!$A$2:$A$1253,$A27)</f>
        <v>12</v>
      </c>
      <c r="F27" s="4" t="n">
        <f aca="false">COUNTIFS('Chi tiết SKU'!$A$2:$A$1253,$A27,'Chi tiết SKU'!$R$2:$R$1253,"&lt;=0")</f>
        <v>0</v>
      </c>
      <c r="G27" s="4" t="n">
        <f aca="false">SUMIFS('Chi tiết SKU'!$M$2:$M$1253,'Chi tiết SKU'!$A$2:$A$1253,$A27)</f>
        <v>3709</v>
      </c>
      <c r="H27" s="4" t="n">
        <f aca="false">SUMIFS('Chi tiết SKU'!$N$2:$N$1253,'Chi tiết SKU'!$A$2:$A$1253,$A27)</f>
        <v>0</v>
      </c>
      <c r="I27" s="4" t="n">
        <f aca="false">SUMIFS('Chi tiết SKU'!$O$2:$O$1253,'Chi tiết SKU'!$A$2:$A$1253,$A27)</f>
        <v>0</v>
      </c>
      <c r="J27" s="4" t="n">
        <f aca="false">SUMIFS('Chi tiết SKU'!$T$2:$T$1253,'Chi tiết SKU'!$A$2:$A$1253,$A27)</f>
        <v>278175000</v>
      </c>
      <c r="K27" s="9" t="n">
        <f aca="false">IFERROR(SUMIFS('Chi tiết SKU'!$S$2:$S$1253,'Chi tiết SKU'!$A$2:$A$1253,$A27)/E27,0)</f>
        <v>16.0833333333333</v>
      </c>
      <c r="L27" s="5" t="n">
        <v>0.11765</v>
      </c>
      <c r="M27" s="8" t="str">
        <f aca="false">IF(F27/E27&gt;=$P$2,"CHẾT – hết hàng",IF(AND(H27&gt;=$P$3,H27&gt;=G27),"ĐẨY XUỐNG CH",IF(K27&lt;$P$4,"PHỦ MỎNG","OK")))</f>
        <v>OK</v>
      </c>
      <c r="N27" s="17" t="s">
        <v>70</v>
      </c>
    </row>
    <row r="28" customFormat="false" ht="26.85" hidden="false" customHeight="false" outlineLevel="0" collapsed="false">
      <c r="A28" s="8" t="s">
        <v>108</v>
      </c>
      <c r="B28" s="8" t="s">
        <v>20</v>
      </c>
      <c r="C28" s="17" t="s">
        <v>109</v>
      </c>
      <c r="D28" s="8" t="s">
        <v>62</v>
      </c>
      <c r="E28" s="4" t="n">
        <f aca="false">COUNTIFS('Chi tiết SKU'!$A$2:$A$1253,$A28)</f>
        <v>2</v>
      </c>
      <c r="F28" s="4" t="n">
        <f aca="false">COUNTIFS('Chi tiết SKU'!$A$2:$A$1253,$A28,'Chi tiết SKU'!$R$2:$R$1253,"&lt;=0")</f>
        <v>0</v>
      </c>
      <c r="G28" s="4" t="n">
        <f aca="false">SUMIFS('Chi tiết SKU'!$M$2:$M$1253,'Chi tiết SKU'!$A$2:$A$1253,$A28)</f>
        <v>478</v>
      </c>
      <c r="H28" s="4" t="n">
        <f aca="false">SUMIFS('Chi tiết SKU'!$N$2:$N$1253,'Chi tiết SKU'!$A$2:$A$1253,$A28)</f>
        <v>1728</v>
      </c>
      <c r="I28" s="4" t="n">
        <f aca="false">SUMIFS('Chi tiết SKU'!$O$2:$O$1253,'Chi tiết SKU'!$A$2:$A$1253,$A28)</f>
        <v>116</v>
      </c>
      <c r="J28" s="4" t="n">
        <f aca="false">SUMIFS('Chi tiết SKU'!$T$2:$T$1253,'Chi tiết SKU'!$A$2:$A$1253,$A28)</f>
        <v>276318000</v>
      </c>
      <c r="K28" s="9" t="n">
        <f aca="false">IFERROR(SUMIFS('Chi tiết SKU'!$S$2:$S$1253,'Chi tiết SKU'!$A$2:$A$1253,$A28)/E28,0)</f>
        <v>23</v>
      </c>
      <c r="L28" s="5" t="n">
        <v>0.27576</v>
      </c>
      <c r="M28" s="8" t="str">
        <f aca="false">IF(F28/E28&gt;=$P$2,"CHẾT – hết hàng",IF(AND(H28&gt;=$P$3,H28&gt;=G28),"ĐẨY XUỐNG CH",IF(K28&lt;$P$4,"PHỦ MỎNG","OK")))</f>
        <v>ĐẨY XUỐNG CH</v>
      </c>
      <c r="N28" s="17" t="s">
        <v>94</v>
      </c>
    </row>
    <row r="29" customFormat="false" ht="26.85" hidden="false" customHeight="false" outlineLevel="0" collapsed="false">
      <c r="A29" s="8" t="s">
        <v>110</v>
      </c>
      <c r="B29" s="8" t="s">
        <v>20</v>
      </c>
      <c r="C29" s="17" t="s">
        <v>111</v>
      </c>
      <c r="D29" s="8" t="s">
        <v>51</v>
      </c>
      <c r="E29" s="4" t="n">
        <f aca="false">COUNTIFS('Chi tiết SKU'!$A$2:$A$1253,$A29)</f>
        <v>6</v>
      </c>
      <c r="F29" s="4" t="n">
        <f aca="false">COUNTIFS('Chi tiết SKU'!$A$2:$A$1253,$A29,'Chi tiết SKU'!$R$2:$R$1253,"&lt;=0")</f>
        <v>0</v>
      </c>
      <c r="G29" s="4" t="n">
        <f aca="false">SUMIFS('Chi tiết SKU'!$M$2:$M$1253,'Chi tiết SKU'!$A$2:$A$1253,$A29)</f>
        <v>892</v>
      </c>
      <c r="H29" s="4" t="n">
        <f aca="false">SUMIFS('Chi tiết SKU'!$N$2:$N$1253,'Chi tiết SKU'!$A$2:$A$1253,$A29)</f>
        <v>22</v>
      </c>
      <c r="I29" s="4" t="n">
        <f aca="false">SUMIFS('Chi tiết SKU'!$O$2:$O$1253,'Chi tiết SKU'!$A$2:$A$1253,$A29)</f>
        <v>106</v>
      </c>
      <c r="J29" s="4" t="n">
        <f aca="false">SUMIFS('Chi tiết SKU'!$T$2:$T$1253,'Chi tiết SKU'!$A$2:$A$1253,$A29)</f>
        <v>272468000</v>
      </c>
      <c r="K29" s="9" t="n">
        <f aca="false">IFERROR(SUMIFS('Chi tiết SKU'!$S$2:$S$1253,'Chi tiết SKU'!$A$2:$A$1253,$A29)/E29,0)</f>
        <v>22.5</v>
      </c>
      <c r="L29" s="5" t="n">
        <v>0.09123</v>
      </c>
      <c r="M29" s="8" t="str">
        <f aca="false">IF(F29/E29&gt;=$P$2,"CHẾT – hết hàng",IF(AND(H29&gt;=$P$3,H29&gt;=G29),"ĐẨY XUỐNG CH",IF(K29&lt;$P$4,"PHỦ MỎNG","OK")))</f>
        <v>OK</v>
      </c>
      <c r="N29" s="17" t="s">
        <v>70</v>
      </c>
    </row>
    <row r="30" customFormat="false" ht="26.85" hidden="false" customHeight="false" outlineLevel="0" collapsed="false">
      <c r="A30" s="8" t="s">
        <v>112</v>
      </c>
      <c r="B30" s="8" t="s">
        <v>26</v>
      </c>
      <c r="C30" s="17" t="s">
        <v>113</v>
      </c>
      <c r="D30" s="8" t="s">
        <v>51</v>
      </c>
      <c r="E30" s="4" t="n">
        <f aca="false">COUNTIFS('Chi tiết SKU'!$A$2:$A$1253,$A30)</f>
        <v>4</v>
      </c>
      <c r="F30" s="4" t="n">
        <f aca="false">COUNTIFS('Chi tiết SKU'!$A$2:$A$1253,$A30,'Chi tiết SKU'!$R$2:$R$1253,"&lt;=0")</f>
        <v>0</v>
      </c>
      <c r="G30" s="4" t="n">
        <f aca="false">SUMIFS('Chi tiết SKU'!$M$2:$M$1253,'Chi tiết SKU'!$A$2:$A$1253,$A30)</f>
        <v>994</v>
      </c>
      <c r="H30" s="4" t="n">
        <f aca="false">SUMIFS('Chi tiết SKU'!$N$2:$N$1253,'Chi tiết SKU'!$A$2:$A$1253,$A30)</f>
        <v>0</v>
      </c>
      <c r="I30" s="4" t="n">
        <f aca="false">SUMIFS('Chi tiết SKU'!$O$2:$O$1253,'Chi tiết SKU'!$A$2:$A$1253,$A30)</f>
        <v>262</v>
      </c>
      <c r="J30" s="4" t="n">
        <f aca="false">SUMIFS('Chi tiết SKU'!$T$2:$T$1253,'Chi tiết SKU'!$A$2:$A$1253,$A30)</f>
        <v>269640000</v>
      </c>
      <c r="K30" s="9" t="n">
        <f aca="false">IFERROR(SUMIFS('Chi tiết SKU'!$S$2:$S$1253,'Chi tiết SKU'!$A$2:$A$1253,$A30)/E30,0)</f>
        <v>18.25</v>
      </c>
      <c r="L30" s="5" t="n">
        <v>0.18462</v>
      </c>
      <c r="M30" s="8" t="str">
        <f aca="false">IF(F30/E30&gt;=$P$2,"CHẾT – hết hàng",IF(AND(H30&gt;=$P$3,H30&gt;=G30),"ĐẨY XUỐNG CH",IF(K30&lt;$P$4,"PHỦ MỎNG","OK")))</f>
        <v>OK</v>
      </c>
      <c r="N30" s="17" t="s">
        <v>70</v>
      </c>
    </row>
    <row r="31" customFormat="false" ht="26.85" hidden="false" customHeight="false" outlineLevel="0" collapsed="false">
      <c r="A31" s="8" t="s">
        <v>114</v>
      </c>
      <c r="B31" s="8" t="s">
        <v>20</v>
      </c>
      <c r="C31" s="17" t="s">
        <v>115</v>
      </c>
      <c r="D31" s="8" t="s">
        <v>51</v>
      </c>
      <c r="E31" s="4" t="n">
        <f aca="false">COUNTIFS('Chi tiết SKU'!$A$2:$A$1253,$A31)</f>
        <v>9</v>
      </c>
      <c r="F31" s="4" t="n">
        <f aca="false">COUNTIFS('Chi tiết SKU'!$A$2:$A$1253,$A31,'Chi tiết SKU'!$R$2:$R$1253,"&lt;=0")</f>
        <v>0</v>
      </c>
      <c r="G31" s="4" t="n">
        <f aca="false">SUMIFS('Chi tiết SKU'!$M$2:$M$1253,'Chi tiết SKU'!$A$2:$A$1253,$A31)</f>
        <v>324</v>
      </c>
      <c r="H31" s="4" t="n">
        <f aca="false">SUMIFS('Chi tiết SKU'!$N$2:$N$1253,'Chi tiết SKU'!$A$2:$A$1253,$A31)</f>
        <v>0</v>
      </c>
      <c r="I31" s="4" t="n">
        <f aca="false">SUMIFS('Chi tiết SKU'!$O$2:$O$1253,'Chi tiết SKU'!$A$2:$A$1253,$A31)</f>
        <v>0</v>
      </c>
      <c r="J31" s="4" t="n">
        <f aca="false">SUMIFS('Chi tiết SKU'!$T$2:$T$1253,'Chi tiết SKU'!$A$2:$A$1253,$A31)</f>
        <v>259276000</v>
      </c>
      <c r="K31" s="9" t="n">
        <f aca="false">IFERROR(SUMIFS('Chi tiết SKU'!$S$2:$S$1253,'Chi tiết SKU'!$A$2:$A$1253,$A31)/E31,0)</f>
        <v>9.77777777777778</v>
      </c>
      <c r="L31" s="5" t="n">
        <v>0.1497</v>
      </c>
      <c r="M31" s="8" t="str">
        <f aca="false">IF(F31/E31&gt;=$P$2,"CHẾT – hết hàng",IF(AND(H31&gt;=$P$3,H31&gt;=G31),"ĐẨY XUỐNG CH",IF(K31&lt;$P$4,"PHỦ MỎNG","OK")))</f>
        <v>OK</v>
      </c>
      <c r="N31" s="17" t="s">
        <v>70</v>
      </c>
    </row>
    <row r="32" customFormat="false" ht="26.85" hidden="false" customHeight="false" outlineLevel="0" collapsed="false">
      <c r="A32" s="8" t="s">
        <v>116</v>
      </c>
      <c r="B32" s="8" t="s">
        <v>25</v>
      </c>
      <c r="C32" s="17" t="s">
        <v>117</v>
      </c>
      <c r="D32" s="8" t="s">
        <v>51</v>
      </c>
      <c r="E32" s="4" t="n">
        <f aca="false">COUNTIFS('Chi tiết SKU'!$A$2:$A$1253,$A32)</f>
        <v>14</v>
      </c>
      <c r="F32" s="4" t="n">
        <f aca="false">COUNTIFS('Chi tiết SKU'!$A$2:$A$1253,$A32,'Chi tiết SKU'!$R$2:$R$1253,"&lt;=0")</f>
        <v>0</v>
      </c>
      <c r="G32" s="4" t="n">
        <f aca="false">SUMIFS('Chi tiết SKU'!$M$2:$M$1253,'Chi tiết SKU'!$A$2:$A$1253,$A32)</f>
        <v>1780</v>
      </c>
      <c r="H32" s="4" t="n">
        <f aca="false">SUMIFS('Chi tiết SKU'!$N$2:$N$1253,'Chi tiết SKU'!$A$2:$A$1253,$A32)</f>
        <v>563</v>
      </c>
      <c r="I32" s="4" t="n">
        <f aca="false">SUMIFS('Chi tiết SKU'!$O$2:$O$1253,'Chi tiết SKU'!$A$2:$A$1253,$A32)</f>
        <v>283</v>
      </c>
      <c r="J32" s="4" t="n">
        <f aca="false">SUMIFS('Chi tiết SKU'!$T$2:$T$1253,'Chi tiết SKU'!$A$2:$A$1253,$A32)</f>
        <v>258196000</v>
      </c>
      <c r="K32" s="9" t="n">
        <f aca="false">IFERROR(SUMIFS('Chi tiết SKU'!$S$2:$S$1253,'Chi tiết SKU'!$A$2:$A$1253,$A32)/E32,0)</f>
        <v>18.8571428571429</v>
      </c>
      <c r="L32" s="5" t="n">
        <v>0.136645</v>
      </c>
      <c r="M32" s="8" t="str">
        <f aca="false">IF(F32/E32&gt;=$P$2,"CHẾT – hết hàng",IF(AND(H32&gt;=$P$3,H32&gt;=G32),"ĐẨY XUỐNG CH",IF(K32&lt;$P$4,"PHỦ MỎNG","OK")))</f>
        <v>OK</v>
      </c>
      <c r="N32" s="17" t="s">
        <v>70</v>
      </c>
    </row>
    <row r="33" customFormat="false" ht="26.85" hidden="false" customHeight="false" outlineLevel="0" collapsed="false">
      <c r="A33" s="8" t="s">
        <v>118</v>
      </c>
      <c r="B33" s="8" t="s">
        <v>25</v>
      </c>
      <c r="C33" s="17" t="s">
        <v>119</v>
      </c>
      <c r="D33" s="8" t="s">
        <v>62</v>
      </c>
      <c r="E33" s="4" t="n">
        <f aca="false">COUNTIFS('Chi tiết SKU'!$A$2:$A$1253,$A33)</f>
        <v>2</v>
      </c>
      <c r="F33" s="4" t="n">
        <f aca="false">COUNTIFS('Chi tiết SKU'!$A$2:$A$1253,$A33,'Chi tiết SKU'!$R$2:$R$1253,"&lt;=0")</f>
        <v>0</v>
      </c>
      <c r="G33" s="4" t="n">
        <f aca="false">SUMIFS('Chi tiết SKU'!$M$2:$M$1253,'Chi tiết SKU'!$A$2:$A$1253,$A33)</f>
        <v>2714</v>
      </c>
      <c r="H33" s="4" t="n">
        <f aca="false">SUMIFS('Chi tiết SKU'!$N$2:$N$1253,'Chi tiết SKU'!$A$2:$A$1253,$A33)</f>
        <v>638</v>
      </c>
      <c r="I33" s="4" t="n">
        <f aca="false">SUMIFS('Chi tiết SKU'!$O$2:$O$1253,'Chi tiết SKU'!$A$2:$A$1253,$A33)</f>
        <v>1077</v>
      </c>
      <c r="J33" s="4" t="n">
        <f aca="false">SUMIFS('Chi tiết SKU'!$T$2:$T$1253,'Chi tiết SKU'!$A$2:$A$1253,$A33)</f>
        <v>250320000</v>
      </c>
      <c r="K33" s="9" t="n">
        <f aca="false">IFERROR(SUMIFS('Chi tiết SKU'!$S$2:$S$1253,'Chi tiết SKU'!$A$2:$A$1253,$A33)/E33,0)</f>
        <v>23</v>
      </c>
      <c r="L33" s="5" t="n">
        <v>0.25</v>
      </c>
      <c r="M33" s="8" t="str">
        <f aca="false">IF(F33/E33&gt;=$P$2,"CHẾT – hết hàng",IF(AND(H33&gt;=$P$3,H33&gt;=G33),"ĐẨY XUỐNG CH",IF(K33&lt;$P$4,"PHỦ MỎNG","OK")))</f>
        <v>OK</v>
      </c>
      <c r="N33" s="17" t="s">
        <v>70</v>
      </c>
    </row>
    <row r="34" customFormat="false" ht="26.85" hidden="false" customHeight="false" outlineLevel="0" collapsed="false">
      <c r="A34" s="8" t="s">
        <v>120</v>
      </c>
      <c r="B34" s="8" t="s">
        <v>21</v>
      </c>
      <c r="C34" s="17" t="s">
        <v>121</v>
      </c>
      <c r="D34" s="8" t="s">
        <v>51</v>
      </c>
      <c r="E34" s="4" t="n">
        <f aca="false">COUNTIFS('Chi tiết SKU'!$A$2:$A$1253,$A34)</f>
        <v>3</v>
      </c>
      <c r="F34" s="4" t="n">
        <f aca="false">COUNTIFS('Chi tiết SKU'!$A$2:$A$1253,$A34,'Chi tiết SKU'!$R$2:$R$1253,"&lt;=0")</f>
        <v>0</v>
      </c>
      <c r="G34" s="4" t="n">
        <f aca="false">SUMIFS('Chi tiết SKU'!$M$2:$M$1253,'Chi tiết SKU'!$A$2:$A$1253,$A34)</f>
        <v>254</v>
      </c>
      <c r="H34" s="4" t="n">
        <f aca="false">SUMIFS('Chi tiết SKU'!$N$2:$N$1253,'Chi tiết SKU'!$A$2:$A$1253,$A34)</f>
        <v>36</v>
      </c>
      <c r="I34" s="4" t="n">
        <f aca="false">SUMIFS('Chi tiết SKU'!$O$2:$O$1253,'Chi tiết SKU'!$A$2:$A$1253,$A34)</f>
        <v>32</v>
      </c>
      <c r="J34" s="4" t="n">
        <f aca="false">SUMIFS('Chi tiết SKU'!$T$2:$T$1253,'Chi tiết SKU'!$A$2:$A$1253,$A34)</f>
        <v>239992000</v>
      </c>
      <c r="K34" s="9" t="n">
        <f aca="false">IFERROR(SUMIFS('Chi tiết SKU'!$S$2:$S$1253,'Chi tiết SKU'!$A$2:$A$1253,$A34)/E34,0)</f>
        <v>19.3333333333333</v>
      </c>
      <c r="L34" s="5" t="n">
        <v>0.1</v>
      </c>
      <c r="M34" s="8" t="str">
        <f aca="false">IF(F34/E34&gt;=$P$2,"CHẾT – hết hàng",IF(AND(H34&gt;=$P$3,H34&gt;=G34),"ĐẨY XUỐNG CH",IF(K34&lt;$P$4,"PHỦ MỎNG","OK")))</f>
        <v>OK</v>
      </c>
      <c r="N34" s="17" t="s">
        <v>70</v>
      </c>
    </row>
    <row r="35" customFormat="false" ht="39.55" hidden="false" customHeight="false" outlineLevel="0" collapsed="false">
      <c r="A35" s="8" t="s">
        <v>122</v>
      </c>
      <c r="B35" s="8" t="s">
        <v>22</v>
      </c>
      <c r="C35" s="17" t="s">
        <v>123</v>
      </c>
      <c r="D35" s="8" t="s">
        <v>55</v>
      </c>
      <c r="E35" s="4" t="n">
        <f aca="false">COUNTIFS('Chi tiết SKU'!$A$2:$A$1253,$A35)</f>
        <v>1</v>
      </c>
      <c r="F35" s="4" t="n">
        <f aca="false">COUNTIFS('Chi tiết SKU'!$A$2:$A$1253,$A35,'Chi tiết SKU'!$R$2:$R$1253,"&lt;=0")</f>
        <v>0</v>
      </c>
      <c r="G35" s="4" t="n">
        <f aca="false">SUMIFS('Chi tiết SKU'!$M$2:$M$1253,'Chi tiết SKU'!$A$2:$A$1253,$A35)</f>
        <v>775</v>
      </c>
      <c r="H35" s="4" t="n">
        <f aca="false">SUMIFS('Chi tiết SKU'!$N$2:$N$1253,'Chi tiết SKU'!$A$2:$A$1253,$A35)</f>
        <v>1360</v>
      </c>
      <c r="I35" s="4" t="n">
        <f aca="false">SUMIFS('Chi tiết SKU'!$O$2:$O$1253,'Chi tiết SKU'!$A$2:$A$1253,$A35)</f>
        <v>91</v>
      </c>
      <c r="J35" s="4" t="n">
        <f aca="false">SUMIFS('Chi tiết SKU'!$T$2:$T$1253,'Chi tiết SKU'!$A$2:$A$1253,$A35)</f>
        <v>228480000</v>
      </c>
      <c r="K35" s="9" t="n">
        <f aca="false">IFERROR(SUMIFS('Chi tiết SKU'!$S$2:$S$1253,'Chi tiết SKU'!$A$2:$A$1253,$A35)/E35,0)</f>
        <v>23</v>
      </c>
      <c r="L35" s="5" t="n">
        <v>0.36</v>
      </c>
      <c r="M35" s="8" t="str">
        <f aca="false">IF(F35/E35&gt;=$P$2,"CHẾT – hết hàng",IF(AND(H35&gt;=$P$3,H35&gt;=G35),"ĐẨY XUỐNG CH",IF(K35&lt;$P$4,"PHỦ MỎNG","OK")))</f>
        <v>ĐẨY XUỐNG CH</v>
      </c>
      <c r="N35" s="17" t="s">
        <v>124</v>
      </c>
    </row>
    <row r="36" customFormat="false" ht="26.85" hidden="false" customHeight="false" outlineLevel="0" collapsed="false">
      <c r="A36" s="8" t="s">
        <v>125</v>
      </c>
      <c r="B36" s="8" t="s">
        <v>25</v>
      </c>
      <c r="C36" s="17" t="s">
        <v>126</v>
      </c>
      <c r="D36" s="8" t="s">
        <v>51</v>
      </c>
      <c r="E36" s="4" t="n">
        <f aca="false">COUNTIFS('Chi tiết SKU'!$A$2:$A$1253,$A36)</f>
        <v>8</v>
      </c>
      <c r="F36" s="4" t="n">
        <f aca="false">COUNTIFS('Chi tiết SKU'!$A$2:$A$1253,$A36,'Chi tiết SKU'!$R$2:$R$1253,"&lt;=0")</f>
        <v>0</v>
      </c>
      <c r="G36" s="4" t="n">
        <f aca="false">SUMIFS('Chi tiết SKU'!$M$2:$M$1253,'Chi tiết SKU'!$A$2:$A$1253,$A36)</f>
        <v>2062</v>
      </c>
      <c r="H36" s="4" t="n">
        <f aca="false">SUMIFS('Chi tiết SKU'!$N$2:$N$1253,'Chi tiết SKU'!$A$2:$A$1253,$A36)</f>
        <v>1611</v>
      </c>
      <c r="I36" s="4" t="n">
        <f aca="false">SUMIFS('Chi tiết SKU'!$O$2:$O$1253,'Chi tiết SKU'!$A$2:$A$1253,$A36)</f>
        <v>295</v>
      </c>
      <c r="J36" s="4" t="n">
        <f aca="false">SUMIFS('Chi tiết SKU'!$T$2:$T$1253,'Chi tiết SKU'!$A$2:$A$1253,$A36)</f>
        <v>227095000</v>
      </c>
      <c r="K36" s="9" t="n">
        <f aca="false">IFERROR(SUMIFS('Chi tiết SKU'!$S$2:$S$1253,'Chi tiết SKU'!$A$2:$A$1253,$A36)/E36,0)</f>
        <v>21</v>
      </c>
      <c r="L36" s="5" t="n">
        <v>0.33333</v>
      </c>
      <c r="M36" s="8" t="str">
        <f aca="false">IF(F36/E36&gt;=$P$2,"CHẾT – hết hàng",IF(AND(H36&gt;=$P$3,H36&gt;=G36),"ĐẨY XUỐNG CH",IF(K36&lt;$P$4,"PHỦ MỎNG","OK")))</f>
        <v>OK</v>
      </c>
      <c r="N36" s="17" t="s">
        <v>70</v>
      </c>
    </row>
    <row r="37" customFormat="false" ht="26.85" hidden="false" customHeight="false" outlineLevel="0" collapsed="false">
      <c r="A37" s="8" t="s">
        <v>127</v>
      </c>
      <c r="B37" s="8" t="s">
        <v>20</v>
      </c>
      <c r="C37" s="17" t="s">
        <v>128</v>
      </c>
      <c r="D37" s="8" t="s">
        <v>51</v>
      </c>
      <c r="E37" s="4" t="n">
        <f aca="false">COUNTIFS('Chi tiết SKU'!$A$2:$A$1253,$A37)</f>
        <v>3</v>
      </c>
      <c r="F37" s="4" t="n">
        <f aca="false">COUNTIFS('Chi tiết SKU'!$A$2:$A$1253,$A37,'Chi tiết SKU'!$R$2:$R$1253,"&lt;=0")</f>
        <v>0</v>
      </c>
      <c r="G37" s="4" t="n">
        <f aca="false">SUMIFS('Chi tiết SKU'!$M$2:$M$1253,'Chi tiết SKU'!$A$2:$A$1253,$A37)</f>
        <v>406</v>
      </c>
      <c r="H37" s="4" t="n">
        <f aca="false">SUMIFS('Chi tiết SKU'!$N$2:$N$1253,'Chi tiết SKU'!$A$2:$A$1253,$A37)</f>
        <v>25</v>
      </c>
      <c r="I37" s="4" t="n">
        <f aca="false">SUMIFS('Chi tiết SKU'!$O$2:$O$1253,'Chi tiết SKU'!$A$2:$A$1253,$A37)</f>
        <v>34</v>
      </c>
      <c r="J37" s="4" t="n">
        <f aca="false">SUMIFS('Chi tiết SKU'!$T$2:$T$1253,'Chi tiết SKU'!$A$2:$A$1253,$A37)</f>
        <v>213338000</v>
      </c>
      <c r="K37" s="9" t="n">
        <f aca="false">IFERROR(SUMIFS('Chi tiết SKU'!$S$2:$S$1253,'Chi tiết SKU'!$A$2:$A$1253,$A37)/E37,0)</f>
        <v>22.6666666666667</v>
      </c>
      <c r="L37" s="5" t="n">
        <v>0.18405</v>
      </c>
      <c r="M37" s="8" t="str">
        <f aca="false">IF(F37/E37&gt;=$P$2,"CHẾT – hết hàng",IF(AND(H37&gt;=$P$3,H37&gt;=G37),"ĐẨY XUỐNG CH",IF(K37&lt;$P$4,"PHỦ MỎNG","OK")))</f>
        <v>OK</v>
      </c>
      <c r="N37" s="17" t="s">
        <v>70</v>
      </c>
    </row>
    <row r="38" customFormat="false" ht="39.55" hidden="false" customHeight="false" outlineLevel="0" collapsed="false">
      <c r="A38" s="8" t="s">
        <v>129</v>
      </c>
      <c r="B38" s="8" t="s">
        <v>20</v>
      </c>
      <c r="C38" s="17" t="s">
        <v>130</v>
      </c>
      <c r="D38" s="8" t="s">
        <v>62</v>
      </c>
      <c r="E38" s="4" t="n">
        <f aca="false">COUNTIFS('Chi tiết SKU'!$A$2:$A$1253,$A38)</f>
        <v>4</v>
      </c>
      <c r="F38" s="4" t="n">
        <f aca="false">COUNTIFS('Chi tiết SKU'!$A$2:$A$1253,$A38,'Chi tiết SKU'!$R$2:$R$1253,"&lt;=0")</f>
        <v>0</v>
      </c>
      <c r="G38" s="4" t="n">
        <f aca="false">SUMIFS('Chi tiết SKU'!$M$2:$M$1253,'Chi tiết SKU'!$A$2:$A$1253,$A38)</f>
        <v>457</v>
      </c>
      <c r="H38" s="4" t="n">
        <f aca="false">SUMIFS('Chi tiết SKU'!$N$2:$N$1253,'Chi tiết SKU'!$A$2:$A$1253,$A38)</f>
        <v>64</v>
      </c>
      <c r="I38" s="4" t="n">
        <f aca="false">SUMIFS('Chi tiết SKU'!$O$2:$O$1253,'Chi tiết SKU'!$A$2:$A$1253,$A38)</f>
        <v>61</v>
      </c>
      <c r="J38" s="4" t="n">
        <f aca="false">SUMIFS('Chi tiết SKU'!$T$2:$T$1253,'Chi tiết SKU'!$A$2:$A$1253,$A38)</f>
        <v>201999000</v>
      </c>
      <c r="K38" s="9" t="n">
        <f aca="false">IFERROR(SUMIFS('Chi tiết SKU'!$S$2:$S$1253,'Chi tiết SKU'!$A$2:$A$1253,$A38)/E38,0)</f>
        <v>22.75</v>
      </c>
      <c r="L38" s="5" t="n">
        <v>0.21221</v>
      </c>
      <c r="M38" s="8" t="str">
        <f aca="false">IF(F38/E38&gt;=$P$2,"CHẾT – hết hàng",IF(AND(H38&gt;=$P$3,H38&gt;=G38),"ĐẨY XUỐNG CH",IF(K38&lt;$P$4,"PHỦ MỎNG","OK")))</f>
        <v>OK</v>
      </c>
      <c r="N38" s="17" t="s">
        <v>70</v>
      </c>
    </row>
    <row r="39" customFormat="false" ht="26.85" hidden="false" customHeight="false" outlineLevel="0" collapsed="false">
      <c r="A39" s="8" t="s">
        <v>131</v>
      </c>
      <c r="B39" s="8" t="s">
        <v>26</v>
      </c>
      <c r="C39" s="17" t="s">
        <v>132</v>
      </c>
      <c r="D39" s="8" t="s">
        <v>51</v>
      </c>
      <c r="E39" s="4" t="n">
        <f aca="false">COUNTIFS('Chi tiết SKU'!$A$2:$A$1253,$A39)</f>
        <v>1</v>
      </c>
      <c r="F39" s="4" t="n">
        <f aca="false">COUNTIFS('Chi tiết SKU'!$A$2:$A$1253,$A39,'Chi tiết SKU'!$R$2:$R$1253,"&lt;=0")</f>
        <v>0</v>
      </c>
      <c r="G39" s="4" t="n">
        <f aca="false">SUMIFS('Chi tiết SKU'!$M$2:$M$1253,'Chi tiết SKU'!$A$2:$A$1253,$A39)</f>
        <v>419</v>
      </c>
      <c r="H39" s="4" t="n">
        <f aca="false">SUMIFS('Chi tiết SKU'!$N$2:$N$1253,'Chi tiết SKU'!$A$2:$A$1253,$A39)</f>
        <v>0</v>
      </c>
      <c r="I39" s="4" t="n">
        <f aca="false">SUMIFS('Chi tiết SKU'!$O$2:$O$1253,'Chi tiết SKU'!$A$2:$A$1253,$A39)</f>
        <v>168</v>
      </c>
      <c r="J39" s="4" t="n">
        <f aca="false">SUMIFS('Chi tiết SKU'!$T$2:$T$1253,'Chi tiết SKU'!$A$2:$A$1253,$A39)</f>
        <v>201227000</v>
      </c>
      <c r="K39" s="9" t="n">
        <f aca="false">IFERROR(SUMIFS('Chi tiết SKU'!$S$2:$S$1253,'Chi tiết SKU'!$A$2:$A$1253,$A39)/E39,0)</f>
        <v>24</v>
      </c>
      <c r="L39" s="5" t="n">
        <v>0.09394</v>
      </c>
      <c r="M39" s="8" t="str">
        <f aca="false">IF(F39/E39&gt;=$P$2,"CHẾT – hết hàng",IF(AND(H39&gt;=$P$3,H39&gt;=G39),"ĐẨY XUỐNG CH",IF(K39&lt;$P$4,"PHỦ MỎNG","OK")))</f>
        <v>OK</v>
      </c>
      <c r="N39" s="17" t="s">
        <v>70</v>
      </c>
    </row>
    <row r="40" customFormat="false" ht="26.85" hidden="false" customHeight="false" outlineLevel="0" collapsed="false">
      <c r="A40" s="8" t="s">
        <v>133</v>
      </c>
      <c r="B40" s="8" t="s">
        <v>22</v>
      </c>
      <c r="C40" s="17" t="s">
        <v>134</v>
      </c>
      <c r="D40" s="8" t="s">
        <v>51</v>
      </c>
      <c r="E40" s="4" t="n">
        <f aca="false">COUNTIFS('Chi tiết SKU'!$A$2:$A$1253,$A40)</f>
        <v>1</v>
      </c>
      <c r="F40" s="4" t="n">
        <f aca="false">COUNTIFS('Chi tiết SKU'!$A$2:$A$1253,$A40,'Chi tiết SKU'!$R$2:$R$1253,"&lt;=0")</f>
        <v>0</v>
      </c>
      <c r="G40" s="4" t="n">
        <f aca="false">SUMIFS('Chi tiết SKU'!$M$2:$M$1253,'Chi tiết SKU'!$A$2:$A$1253,$A40)</f>
        <v>350</v>
      </c>
      <c r="H40" s="4" t="n">
        <f aca="false">SUMIFS('Chi tiết SKU'!$N$2:$N$1253,'Chi tiết SKU'!$A$2:$A$1253,$A40)</f>
        <v>0</v>
      </c>
      <c r="I40" s="4" t="n">
        <f aca="false">SUMIFS('Chi tiết SKU'!$O$2:$O$1253,'Chi tiết SKU'!$A$2:$A$1253,$A40)</f>
        <v>82</v>
      </c>
      <c r="J40" s="4" t="n">
        <f aca="false">SUMIFS('Chi tiết SKU'!$T$2:$T$1253,'Chi tiết SKU'!$A$2:$A$1253,$A40)</f>
        <v>175428000</v>
      </c>
      <c r="K40" s="9" t="n">
        <f aca="false">IFERROR(SUMIFS('Chi tiết SKU'!$S$2:$S$1253,'Chi tiết SKU'!$A$2:$A$1253,$A40)/E40,0)</f>
        <v>23</v>
      </c>
      <c r="L40" s="5" t="n">
        <v>0.20202</v>
      </c>
      <c r="M40" s="8" t="str">
        <f aca="false">IF(F40/E40&gt;=$P$2,"CHẾT – hết hàng",IF(AND(H40&gt;=$P$3,H40&gt;=G40),"ĐẨY XUỐNG CH",IF(K40&lt;$P$4,"PHỦ MỎNG","OK")))</f>
        <v>OK</v>
      </c>
      <c r="N40" s="17" t="s">
        <v>70</v>
      </c>
    </row>
    <row r="41" customFormat="false" ht="26.85" hidden="false" customHeight="false" outlineLevel="0" collapsed="false">
      <c r="A41" s="8" t="s">
        <v>135</v>
      </c>
      <c r="B41" s="8" t="s">
        <v>26</v>
      </c>
      <c r="C41" s="17" t="s">
        <v>136</v>
      </c>
      <c r="D41" s="8" t="s">
        <v>51</v>
      </c>
      <c r="E41" s="4" t="n">
        <f aca="false">COUNTIFS('Chi tiết SKU'!$A$2:$A$1253,$A41)</f>
        <v>1</v>
      </c>
      <c r="F41" s="4" t="n">
        <f aca="false">COUNTIFS('Chi tiết SKU'!$A$2:$A$1253,$A41,'Chi tiết SKU'!$R$2:$R$1253,"&lt;=0")</f>
        <v>0</v>
      </c>
      <c r="G41" s="4" t="n">
        <f aca="false">SUMIFS('Chi tiết SKU'!$M$2:$M$1253,'Chi tiết SKU'!$A$2:$A$1253,$A41)</f>
        <v>482</v>
      </c>
      <c r="H41" s="4" t="n">
        <f aca="false">SUMIFS('Chi tiết SKU'!$N$2:$N$1253,'Chi tiết SKU'!$A$2:$A$1253,$A41)</f>
        <v>0</v>
      </c>
      <c r="I41" s="4" t="n">
        <f aca="false">SUMIFS('Chi tiết SKU'!$O$2:$O$1253,'Chi tiết SKU'!$A$2:$A$1253,$A41)</f>
        <v>21</v>
      </c>
      <c r="J41" s="4" t="n">
        <f aca="false">SUMIFS('Chi tiết SKU'!$T$2:$T$1253,'Chi tiết SKU'!$A$2:$A$1253,$A41)</f>
        <v>171925000</v>
      </c>
      <c r="K41" s="9" t="n">
        <f aca="false">IFERROR(SUMIFS('Chi tiết SKU'!$S$2:$S$1253,'Chi tiết SKU'!$A$2:$A$1253,$A41)/E41,0)</f>
        <v>24</v>
      </c>
      <c r="L41" s="5" t="n">
        <v>0.09394</v>
      </c>
      <c r="M41" s="8" t="str">
        <f aca="false">IF(F41/E41&gt;=$P$2,"CHẾT – hết hàng",IF(AND(H41&gt;=$P$3,H41&gt;=G41),"ĐẨY XUỐNG CH",IF(K41&lt;$P$4,"PHỦ MỎNG","OK")))</f>
        <v>OK</v>
      </c>
      <c r="N41" s="17" t="s">
        <v>70</v>
      </c>
    </row>
    <row r="42" customFormat="false" ht="26.85" hidden="false" customHeight="false" outlineLevel="0" collapsed="false">
      <c r="A42" s="8" t="s">
        <v>137</v>
      </c>
      <c r="B42" s="8" t="s">
        <v>22</v>
      </c>
      <c r="C42" s="17" t="s">
        <v>138</v>
      </c>
      <c r="D42" s="8" t="s">
        <v>51</v>
      </c>
      <c r="E42" s="4" t="n">
        <f aca="false">COUNTIFS('Chi tiết SKU'!$A$2:$A$1253,$A42)</f>
        <v>9</v>
      </c>
      <c r="F42" s="4" t="n">
        <f aca="false">COUNTIFS('Chi tiết SKU'!$A$2:$A$1253,$A42,'Chi tiết SKU'!$R$2:$R$1253,"&lt;=0")</f>
        <v>0</v>
      </c>
      <c r="G42" s="4" t="n">
        <f aca="false">SUMIFS('Chi tiết SKU'!$M$2:$M$1253,'Chi tiết SKU'!$A$2:$A$1253,$A42)</f>
        <v>405</v>
      </c>
      <c r="H42" s="4" t="n">
        <f aca="false">SUMIFS('Chi tiết SKU'!$N$2:$N$1253,'Chi tiết SKU'!$A$2:$A$1253,$A42)</f>
        <v>0</v>
      </c>
      <c r="I42" s="4" t="n">
        <f aca="false">SUMIFS('Chi tiết SKU'!$O$2:$O$1253,'Chi tiết SKU'!$A$2:$A$1253,$A42)</f>
        <v>96</v>
      </c>
      <c r="J42" s="4" t="n">
        <f aca="false">SUMIFS('Chi tiết SKU'!$T$2:$T$1253,'Chi tiết SKU'!$A$2:$A$1253,$A42)</f>
        <v>157091000</v>
      </c>
      <c r="K42" s="9" t="n">
        <f aca="false">IFERROR(SUMIFS('Chi tiết SKU'!$S$2:$S$1253,'Chi tiết SKU'!$A$2:$A$1253,$A42)/E42,0)</f>
        <v>15.1111111111111</v>
      </c>
      <c r="L42" s="5" t="n">
        <v>0.1</v>
      </c>
      <c r="M42" s="8" t="str">
        <f aca="false">IF(F42/E42&gt;=$P$2,"CHẾT – hết hàng",IF(AND(H42&gt;=$P$3,H42&gt;=G42),"ĐẨY XUỐNG CH",IF(K42&lt;$P$4,"PHỦ MỎNG","OK")))</f>
        <v>OK</v>
      </c>
      <c r="N42" s="17" t="s">
        <v>70</v>
      </c>
    </row>
    <row r="43" customFormat="false" ht="26.85" hidden="false" customHeight="false" outlineLevel="0" collapsed="false">
      <c r="A43" s="8" t="s">
        <v>139</v>
      </c>
      <c r="B43" s="8" t="s">
        <v>23</v>
      </c>
      <c r="C43" s="17" t="s">
        <v>140</v>
      </c>
      <c r="D43" s="8" t="s">
        <v>51</v>
      </c>
      <c r="E43" s="4" t="n">
        <f aca="false">COUNTIFS('Chi tiết SKU'!$A$2:$A$1253,$A43)</f>
        <v>51</v>
      </c>
      <c r="F43" s="4" t="n">
        <f aca="false">COUNTIFS('Chi tiết SKU'!$A$2:$A$1253,$A43,'Chi tiết SKU'!$R$2:$R$1253,"&lt;=0")</f>
        <v>11</v>
      </c>
      <c r="G43" s="4" t="n">
        <f aca="false">SUMIFS('Chi tiết SKU'!$M$2:$M$1253,'Chi tiết SKU'!$A$2:$A$1253,$A43)</f>
        <v>5750</v>
      </c>
      <c r="H43" s="4" t="n">
        <f aca="false">SUMIFS('Chi tiết SKU'!$N$2:$N$1253,'Chi tiết SKU'!$A$2:$A$1253,$A43)</f>
        <v>1820</v>
      </c>
      <c r="I43" s="4" t="n">
        <f aca="false">SUMIFS('Chi tiết SKU'!$O$2:$O$1253,'Chi tiết SKU'!$A$2:$A$1253,$A43)</f>
        <v>0</v>
      </c>
      <c r="J43" s="4" t="n">
        <f aca="false">SUMIFS('Chi tiết SKU'!$T$2:$T$1253,'Chi tiết SKU'!$A$2:$A$1253,$A43)</f>
        <v>148911000</v>
      </c>
      <c r="K43" s="9" t="n">
        <f aca="false">IFERROR(SUMIFS('Chi tiết SKU'!$S$2:$S$1253,'Chi tiết SKU'!$A$2:$A$1253,$A43)/E43,0)</f>
        <v>5.29411764705882</v>
      </c>
      <c r="L43" s="5" t="n">
        <v>0.85271</v>
      </c>
      <c r="M43" s="8" t="str">
        <f aca="false">IF(F43/E43&gt;=$P$2,"CHẾT – hết hàng",IF(AND(H43&gt;=$P$3,H43&gt;=G43),"ĐẨY XUỐNG CH",IF(K43&lt;$P$4,"PHỦ MỎNG","OK")))</f>
        <v>PHỦ MỎNG</v>
      </c>
      <c r="N43" s="17" t="s">
        <v>94</v>
      </c>
    </row>
    <row r="44" customFormat="false" ht="39.55" hidden="false" customHeight="false" outlineLevel="0" collapsed="false">
      <c r="A44" s="8" t="s">
        <v>141</v>
      </c>
      <c r="B44" s="8" t="s">
        <v>20</v>
      </c>
      <c r="C44" s="17" t="s">
        <v>142</v>
      </c>
      <c r="D44" s="8" t="s">
        <v>62</v>
      </c>
      <c r="E44" s="4" t="n">
        <f aca="false">COUNTIFS('Chi tiết SKU'!$A$2:$A$1253,$A44)</f>
        <v>4</v>
      </c>
      <c r="F44" s="4" t="n">
        <f aca="false">COUNTIFS('Chi tiết SKU'!$A$2:$A$1253,$A44,'Chi tiết SKU'!$R$2:$R$1253,"&lt;=0")</f>
        <v>0</v>
      </c>
      <c r="G44" s="4" t="n">
        <f aca="false">SUMIFS('Chi tiết SKU'!$M$2:$M$1253,'Chi tiết SKU'!$A$2:$A$1253,$A44)</f>
        <v>365</v>
      </c>
      <c r="H44" s="4" t="n">
        <f aca="false">SUMIFS('Chi tiết SKU'!$N$2:$N$1253,'Chi tiết SKU'!$A$2:$A$1253,$A44)</f>
        <v>6</v>
      </c>
      <c r="I44" s="4" t="n">
        <f aca="false">SUMIFS('Chi tiết SKU'!$O$2:$O$1253,'Chi tiết SKU'!$A$2:$A$1253,$A44)</f>
        <v>27</v>
      </c>
      <c r="J44" s="4" t="n">
        <f aca="false">SUMIFS('Chi tiết SKU'!$T$2:$T$1253,'Chi tiết SKU'!$A$2:$A$1253,$A44)</f>
        <v>142278000</v>
      </c>
      <c r="K44" s="9" t="n">
        <f aca="false">IFERROR(SUMIFS('Chi tiết SKU'!$S$2:$S$1253,'Chi tiết SKU'!$A$2:$A$1253,$A44)/E44,0)</f>
        <v>21.5</v>
      </c>
      <c r="L44" s="5" t="n">
        <v>0.15978</v>
      </c>
      <c r="M44" s="8" t="str">
        <f aca="false">IF(F44/E44&gt;=$P$2,"CHẾT – hết hàng",IF(AND(H44&gt;=$P$3,H44&gt;=G44),"ĐẨY XUỐNG CH",IF(K44&lt;$P$4,"PHỦ MỎNG","OK")))</f>
        <v>OK</v>
      </c>
      <c r="N44" s="17" t="s">
        <v>70</v>
      </c>
    </row>
    <row r="45" customFormat="false" ht="39.55" hidden="false" customHeight="false" outlineLevel="0" collapsed="false">
      <c r="A45" s="8" t="s">
        <v>143</v>
      </c>
      <c r="B45" s="8" t="s">
        <v>20</v>
      </c>
      <c r="C45" s="17" t="s">
        <v>144</v>
      </c>
      <c r="D45" s="8" t="s">
        <v>62</v>
      </c>
      <c r="E45" s="4" t="n">
        <f aca="false">COUNTIFS('Chi tiết SKU'!$A$2:$A$1253,$A45)</f>
        <v>3</v>
      </c>
      <c r="F45" s="4" t="n">
        <f aca="false">COUNTIFS('Chi tiết SKU'!$A$2:$A$1253,$A45,'Chi tiết SKU'!$R$2:$R$1253,"&lt;=0")</f>
        <v>0</v>
      </c>
      <c r="G45" s="4" t="n">
        <f aca="false">SUMIFS('Chi tiết SKU'!$M$2:$M$1253,'Chi tiết SKU'!$A$2:$A$1253,$A45)</f>
        <v>296</v>
      </c>
      <c r="H45" s="4" t="n">
        <f aca="false">SUMIFS('Chi tiết SKU'!$N$2:$N$1253,'Chi tiết SKU'!$A$2:$A$1253,$A45)</f>
        <v>23</v>
      </c>
      <c r="I45" s="4" t="n">
        <f aca="false">SUMIFS('Chi tiết SKU'!$O$2:$O$1253,'Chi tiết SKU'!$A$2:$A$1253,$A45)</f>
        <v>28</v>
      </c>
      <c r="J45" s="4" t="n">
        <f aca="false">SUMIFS('Chi tiết SKU'!$T$2:$T$1253,'Chi tiết SKU'!$A$2:$A$1253,$A45)</f>
        <v>136668000</v>
      </c>
      <c r="K45" s="9" t="n">
        <f aca="false">IFERROR(SUMIFS('Chi tiết SKU'!$S$2:$S$1253,'Chi tiết SKU'!$A$2:$A$1253,$A45)/E45,0)</f>
        <v>21.3333333333333</v>
      </c>
      <c r="L45" s="5" t="n">
        <v>0.20702</v>
      </c>
      <c r="M45" s="8" t="str">
        <f aca="false">IF(F45/E45&gt;=$P$2,"CHẾT – hết hàng",IF(AND(H45&gt;=$P$3,H45&gt;=G45),"ĐẨY XUỐNG CH",IF(K45&lt;$P$4,"PHỦ MỎNG","OK")))</f>
        <v>OK</v>
      </c>
      <c r="N45" s="17" t="s">
        <v>70</v>
      </c>
    </row>
    <row r="46" customFormat="false" ht="26.85" hidden="false" customHeight="false" outlineLevel="0" collapsed="false">
      <c r="A46" s="8" t="s">
        <v>145</v>
      </c>
      <c r="B46" s="8" t="s">
        <v>20</v>
      </c>
      <c r="C46" s="17" t="s">
        <v>146</v>
      </c>
      <c r="D46" s="8" t="s">
        <v>51</v>
      </c>
      <c r="E46" s="4" t="n">
        <f aca="false">COUNTIFS('Chi tiết SKU'!$A$2:$A$1253,$A46)</f>
        <v>1</v>
      </c>
      <c r="F46" s="4" t="n">
        <f aca="false">COUNTIFS('Chi tiết SKU'!$A$2:$A$1253,$A46,'Chi tiết SKU'!$R$2:$R$1253,"&lt;=0")</f>
        <v>0</v>
      </c>
      <c r="G46" s="4" t="n">
        <f aca="false">SUMIFS('Chi tiết SKU'!$M$2:$M$1253,'Chi tiết SKU'!$A$2:$A$1253,$A46)</f>
        <v>148</v>
      </c>
      <c r="H46" s="4" t="n">
        <f aca="false">SUMIFS('Chi tiết SKU'!$N$2:$N$1253,'Chi tiết SKU'!$A$2:$A$1253,$A46)</f>
        <v>345</v>
      </c>
      <c r="I46" s="4" t="n">
        <f aca="false">SUMIFS('Chi tiết SKU'!$O$2:$O$1253,'Chi tiết SKU'!$A$2:$A$1253,$A46)</f>
        <v>24</v>
      </c>
      <c r="J46" s="4" t="n">
        <f aca="false">SUMIFS('Chi tiết SKU'!$T$2:$T$1253,'Chi tiết SKU'!$A$2:$A$1253,$A46)</f>
        <v>133500000</v>
      </c>
      <c r="K46" s="9" t="n">
        <f aca="false">IFERROR(SUMIFS('Chi tiết SKU'!$S$2:$S$1253,'Chi tiết SKU'!$A$2:$A$1253,$A46)/E46,0)</f>
        <v>22</v>
      </c>
      <c r="L46" s="5" t="n">
        <v>0.14857</v>
      </c>
      <c r="M46" s="8" t="str">
        <f aca="false">IF(F46/E46&gt;=$P$2,"CHẾT – hết hàng",IF(AND(H46&gt;=$P$3,H46&gt;=G46),"ĐẨY XUỐNG CH",IF(K46&lt;$P$4,"PHỦ MỎNG","OK")))</f>
        <v>ĐẨY XUỐNG CH</v>
      </c>
      <c r="N46" s="17" t="s">
        <v>147</v>
      </c>
    </row>
    <row r="47" customFormat="false" ht="26.85" hidden="false" customHeight="false" outlineLevel="0" collapsed="false">
      <c r="A47" s="8" t="s">
        <v>148</v>
      </c>
      <c r="B47" s="8" t="s">
        <v>25</v>
      </c>
      <c r="C47" s="17" t="s">
        <v>149</v>
      </c>
      <c r="D47" s="8" t="s">
        <v>51</v>
      </c>
      <c r="E47" s="4" t="n">
        <f aca="false">COUNTIFS('Chi tiết SKU'!$A$2:$A$1253,$A47)</f>
        <v>5</v>
      </c>
      <c r="F47" s="4" t="n">
        <f aca="false">COUNTIFS('Chi tiết SKU'!$A$2:$A$1253,$A47,'Chi tiết SKU'!$R$2:$R$1253,"&lt;=0")</f>
        <v>0</v>
      </c>
      <c r="G47" s="4" t="n">
        <f aca="false">SUMIFS('Chi tiết SKU'!$M$2:$M$1253,'Chi tiết SKU'!$A$2:$A$1253,$A47)</f>
        <v>777</v>
      </c>
      <c r="H47" s="4" t="n">
        <f aca="false">SUMIFS('Chi tiết SKU'!$N$2:$N$1253,'Chi tiết SKU'!$A$2:$A$1253,$A47)</f>
        <v>600</v>
      </c>
      <c r="I47" s="4" t="n">
        <f aca="false">SUMIFS('Chi tiết SKU'!$O$2:$O$1253,'Chi tiết SKU'!$A$2:$A$1253,$A47)</f>
        <v>189</v>
      </c>
      <c r="J47" s="4" t="n">
        <f aca="false">SUMIFS('Chi tiết SKU'!$T$2:$T$1253,'Chi tiết SKU'!$A$2:$A$1253,$A47)</f>
        <v>131840000</v>
      </c>
      <c r="K47" s="9" t="n">
        <f aca="false">IFERROR(SUMIFS('Chi tiết SKU'!$S$2:$S$1253,'Chi tiết SKU'!$A$2:$A$1253,$A47)/E47,0)</f>
        <v>21.2</v>
      </c>
      <c r="L47" s="5" t="n">
        <v>0.16842</v>
      </c>
      <c r="M47" s="8" t="str">
        <f aca="false">IF(F47/E47&gt;=$P$2,"CHẾT – hết hàng",IF(AND(H47&gt;=$P$3,H47&gt;=G47),"ĐẨY XUỐNG CH",IF(K47&lt;$P$4,"PHỦ MỎNG","OK")))</f>
        <v>OK</v>
      </c>
      <c r="N47" s="17" t="s">
        <v>70</v>
      </c>
    </row>
    <row r="48" customFormat="false" ht="39.55" hidden="false" customHeight="false" outlineLevel="0" collapsed="false">
      <c r="A48" s="8" t="s">
        <v>150</v>
      </c>
      <c r="B48" s="8" t="s">
        <v>20</v>
      </c>
      <c r="C48" s="17" t="s">
        <v>151</v>
      </c>
      <c r="D48" s="8" t="s">
        <v>62</v>
      </c>
      <c r="E48" s="4" t="n">
        <f aca="false">COUNTIFS('Chi tiết SKU'!$A$2:$A$1253,$A48)</f>
        <v>3</v>
      </c>
      <c r="F48" s="4" t="n">
        <f aca="false">COUNTIFS('Chi tiết SKU'!$A$2:$A$1253,$A48,'Chi tiết SKU'!$R$2:$R$1253,"&lt;=0")</f>
        <v>0</v>
      </c>
      <c r="G48" s="4" t="n">
        <f aca="false">SUMIFS('Chi tiết SKU'!$M$2:$M$1253,'Chi tiết SKU'!$A$2:$A$1253,$A48)</f>
        <v>332</v>
      </c>
      <c r="H48" s="4" t="n">
        <f aca="false">SUMIFS('Chi tiết SKU'!$N$2:$N$1253,'Chi tiết SKU'!$A$2:$A$1253,$A48)</f>
        <v>47</v>
      </c>
      <c r="I48" s="4" t="n">
        <f aca="false">SUMIFS('Chi tiết SKU'!$O$2:$O$1253,'Chi tiết SKU'!$A$2:$A$1253,$A48)</f>
        <v>24</v>
      </c>
      <c r="J48" s="4" t="n">
        <f aca="false">SUMIFS('Chi tiết SKU'!$T$2:$T$1253,'Chi tiết SKU'!$A$2:$A$1253,$A48)</f>
        <v>121435000</v>
      </c>
      <c r="K48" s="9" t="n">
        <f aca="false">IFERROR(SUMIFS('Chi tiết SKU'!$S$2:$S$1253,'Chi tiết SKU'!$A$2:$A$1253,$A48)/E48,0)</f>
        <v>22.6666666666667</v>
      </c>
      <c r="L48" s="5" t="n">
        <v>0.2094</v>
      </c>
      <c r="M48" s="8" t="str">
        <f aca="false">IF(F48/E48&gt;=$P$2,"CHẾT – hết hàng",IF(AND(H48&gt;=$P$3,H48&gt;=G48),"ĐẨY XUỐNG CH",IF(K48&lt;$P$4,"PHỦ MỎNG","OK")))</f>
        <v>OK</v>
      </c>
      <c r="N48" s="17" t="s">
        <v>70</v>
      </c>
    </row>
    <row r="49" customFormat="false" ht="26.85" hidden="false" customHeight="false" outlineLevel="0" collapsed="false">
      <c r="A49" s="8" t="s">
        <v>152</v>
      </c>
      <c r="B49" s="8" t="s">
        <v>26</v>
      </c>
      <c r="C49" s="17" t="s">
        <v>153</v>
      </c>
      <c r="D49" s="8" t="s">
        <v>62</v>
      </c>
      <c r="E49" s="4" t="n">
        <f aca="false">COUNTIFS('Chi tiết SKU'!$A$2:$A$1253,$A49)</f>
        <v>5</v>
      </c>
      <c r="F49" s="4" t="n">
        <f aca="false">COUNTIFS('Chi tiết SKU'!$A$2:$A$1253,$A49,'Chi tiết SKU'!$R$2:$R$1253,"&lt;=0")</f>
        <v>0</v>
      </c>
      <c r="G49" s="4" t="n">
        <f aca="false">SUMIFS('Chi tiết SKU'!$M$2:$M$1253,'Chi tiết SKU'!$A$2:$A$1253,$A49)</f>
        <v>1952</v>
      </c>
      <c r="H49" s="4" t="n">
        <f aca="false">SUMIFS('Chi tiết SKU'!$N$2:$N$1253,'Chi tiết SKU'!$A$2:$A$1253,$A49)</f>
        <v>12</v>
      </c>
      <c r="I49" s="4" t="n">
        <f aca="false">SUMIFS('Chi tiết SKU'!$O$2:$O$1253,'Chi tiết SKU'!$A$2:$A$1253,$A49)</f>
        <v>366</v>
      </c>
      <c r="J49" s="4" t="n">
        <f aca="false">SUMIFS('Chi tiết SKU'!$T$2:$T$1253,'Chi tiết SKU'!$A$2:$A$1253,$A49)</f>
        <v>113497000</v>
      </c>
      <c r="K49" s="9" t="n">
        <f aca="false">IFERROR(SUMIFS('Chi tiết SKU'!$S$2:$S$1253,'Chi tiết SKU'!$A$2:$A$1253,$A49)/E49,0)</f>
        <v>22.8</v>
      </c>
      <c r="L49" s="5" t="n">
        <v>0.33333</v>
      </c>
      <c r="M49" s="8" t="str">
        <f aca="false">IF(F49/E49&gt;=$P$2,"CHẾT – hết hàng",IF(AND(H49&gt;=$P$3,H49&gt;=G49),"ĐẨY XUỐNG CH",IF(K49&lt;$P$4,"PHỦ MỎNG","OK")))</f>
        <v>OK</v>
      </c>
      <c r="N49" s="17" t="s">
        <v>70</v>
      </c>
    </row>
    <row r="50" customFormat="false" ht="39.55" hidden="false" customHeight="false" outlineLevel="0" collapsed="false">
      <c r="A50" s="8" t="s">
        <v>154</v>
      </c>
      <c r="B50" s="8" t="s">
        <v>20</v>
      </c>
      <c r="C50" s="17" t="s">
        <v>155</v>
      </c>
      <c r="D50" s="8" t="s">
        <v>62</v>
      </c>
      <c r="E50" s="4" t="n">
        <f aca="false">COUNTIFS('Chi tiết SKU'!$A$2:$A$1253,$A50)</f>
        <v>4</v>
      </c>
      <c r="F50" s="4" t="n">
        <f aca="false">COUNTIFS('Chi tiết SKU'!$A$2:$A$1253,$A50,'Chi tiết SKU'!$R$2:$R$1253,"&lt;=0")</f>
        <v>0</v>
      </c>
      <c r="G50" s="4" t="n">
        <f aca="false">SUMIFS('Chi tiết SKU'!$M$2:$M$1253,'Chi tiết SKU'!$A$2:$A$1253,$A50)</f>
        <v>334</v>
      </c>
      <c r="H50" s="4" t="n">
        <f aca="false">SUMIFS('Chi tiết SKU'!$N$2:$N$1253,'Chi tiết SKU'!$A$2:$A$1253,$A50)</f>
        <v>11</v>
      </c>
      <c r="I50" s="4" t="n">
        <f aca="false">SUMIFS('Chi tiết SKU'!$O$2:$O$1253,'Chi tiết SKU'!$A$2:$A$1253,$A50)</f>
        <v>16</v>
      </c>
      <c r="J50" s="4" t="n">
        <f aca="false">SUMIFS('Chi tiết SKU'!$T$2:$T$1253,'Chi tiết SKU'!$A$2:$A$1253,$A50)</f>
        <v>108289000</v>
      </c>
      <c r="K50" s="9" t="n">
        <f aca="false">IFERROR(SUMIFS('Chi tiết SKU'!$S$2:$S$1253,'Chi tiết SKU'!$A$2:$A$1253,$A50)/E50,0)</f>
        <v>21.25</v>
      </c>
      <c r="L50" s="5" t="n">
        <v>0.17708</v>
      </c>
      <c r="M50" s="8" t="str">
        <f aca="false">IF(F50/E50&gt;=$P$2,"CHẾT – hết hàng",IF(AND(H50&gt;=$P$3,H50&gt;=G50),"ĐẨY XUỐNG CH",IF(K50&lt;$P$4,"PHỦ MỎNG","OK")))</f>
        <v>OK</v>
      </c>
      <c r="N50" s="17" t="s">
        <v>70</v>
      </c>
    </row>
    <row r="51" customFormat="false" ht="26.85" hidden="false" customHeight="false" outlineLevel="0" collapsed="false">
      <c r="A51" s="8" t="s">
        <v>156</v>
      </c>
      <c r="B51" s="8" t="s">
        <v>25</v>
      </c>
      <c r="C51" s="17" t="s">
        <v>157</v>
      </c>
      <c r="D51" s="8" t="s">
        <v>55</v>
      </c>
      <c r="E51" s="4" t="n">
        <f aca="false">COUNTIFS('Chi tiết SKU'!$A$2:$A$1253,$A51)</f>
        <v>6</v>
      </c>
      <c r="F51" s="4" t="n">
        <f aca="false">COUNTIFS('Chi tiết SKU'!$A$2:$A$1253,$A51,'Chi tiết SKU'!$R$2:$R$1253,"&lt;=0")</f>
        <v>0</v>
      </c>
      <c r="G51" s="4" t="n">
        <f aca="false">SUMIFS('Chi tiết SKU'!$M$2:$M$1253,'Chi tiết SKU'!$A$2:$A$1253,$A51)</f>
        <v>784</v>
      </c>
      <c r="H51" s="4" t="n">
        <f aca="false">SUMIFS('Chi tiết SKU'!$N$2:$N$1253,'Chi tiết SKU'!$A$2:$A$1253,$A51)</f>
        <v>161</v>
      </c>
      <c r="I51" s="4" t="n">
        <f aca="false">SUMIFS('Chi tiết SKU'!$O$2:$O$1253,'Chi tiết SKU'!$A$2:$A$1253,$A51)</f>
        <v>192</v>
      </c>
      <c r="J51" s="4" t="n">
        <f aca="false">SUMIFS('Chi tiết SKU'!$T$2:$T$1253,'Chi tiết SKU'!$A$2:$A$1253,$A51)</f>
        <v>108006000</v>
      </c>
      <c r="K51" s="9" t="n">
        <f aca="false">IFERROR(SUMIFS('Chi tiết SKU'!$S$2:$S$1253,'Chi tiết SKU'!$A$2:$A$1253,$A51)/E51,0)</f>
        <v>18.5</v>
      </c>
      <c r="L51" s="5" t="n">
        <v>0.21192</v>
      </c>
      <c r="M51" s="8" t="str">
        <f aca="false">IF(F51/E51&gt;=$P$2,"CHẾT – hết hàng",IF(AND(H51&gt;=$P$3,H51&gt;=G51),"ĐẨY XUỐNG CH",IF(K51&lt;$P$4,"PHỦ MỎNG","OK")))</f>
        <v>OK</v>
      </c>
      <c r="N51" s="17" t="s">
        <v>70</v>
      </c>
    </row>
    <row r="52" customFormat="false" ht="26.85" hidden="false" customHeight="false" outlineLevel="0" collapsed="false">
      <c r="A52" s="8" t="s">
        <v>158</v>
      </c>
      <c r="B52" s="8" t="s">
        <v>25</v>
      </c>
      <c r="C52" s="17" t="s">
        <v>159</v>
      </c>
      <c r="D52" s="8" t="s">
        <v>55</v>
      </c>
      <c r="E52" s="4" t="n">
        <f aca="false">COUNTIFS('Chi tiết SKU'!$A$2:$A$1253,$A52)</f>
        <v>7</v>
      </c>
      <c r="F52" s="4" t="n">
        <f aca="false">COUNTIFS('Chi tiết SKU'!$A$2:$A$1253,$A52,'Chi tiết SKU'!$R$2:$R$1253,"&lt;=0")</f>
        <v>0</v>
      </c>
      <c r="G52" s="4" t="n">
        <f aca="false">SUMIFS('Chi tiết SKU'!$M$2:$M$1253,'Chi tiết SKU'!$A$2:$A$1253,$A52)</f>
        <v>1279</v>
      </c>
      <c r="H52" s="4" t="n">
        <f aca="false">SUMIFS('Chi tiết SKU'!$N$2:$N$1253,'Chi tiết SKU'!$A$2:$A$1253,$A52)</f>
        <v>328</v>
      </c>
      <c r="I52" s="4" t="n">
        <f aca="false">SUMIFS('Chi tiết SKU'!$O$2:$O$1253,'Chi tiết SKU'!$A$2:$A$1253,$A52)</f>
        <v>313</v>
      </c>
      <c r="J52" s="4" t="n">
        <f aca="false">SUMIFS('Chi tiết SKU'!$T$2:$T$1253,'Chi tiết SKU'!$A$2:$A$1253,$A52)</f>
        <v>107970000</v>
      </c>
      <c r="K52" s="9" t="n">
        <f aca="false">IFERROR(SUMIFS('Chi tiết SKU'!$S$2:$S$1253,'Chi tiết SKU'!$A$2:$A$1253,$A52)/E52,0)</f>
        <v>18</v>
      </c>
      <c r="L52" s="5" t="n">
        <v>0.33557</v>
      </c>
      <c r="M52" s="8" t="str">
        <f aca="false">IF(F52/E52&gt;=$P$2,"CHẾT – hết hàng",IF(AND(H52&gt;=$P$3,H52&gt;=G52),"ĐẨY XUỐNG CH",IF(K52&lt;$P$4,"PHỦ MỎNG","OK")))</f>
        <v>OK</v>
      </c>
      <c r="N52" s="17" t="s">
        <v>70</v>
      </c>
    </row>
    <row r="53" customFormat="false" ht="26.85" hidden="false" customHeight="false" outlineLevel="0" collapsed="false">
      <c r="A53" s="8" t="s">
        <v>160</v>
      </c>
      <c r="B53" s="8" t="s">
        <v>22</v>
      </c>
      <c r="C53" s="17" t="s">
        <v>161</v>
      </c>
      <c r="D53" s="8" t="s">
        <v>62</v>
      </c>
      <c r="E53" s="4" t="n">
        <f aca="false">COUNTIFS('Chi tiết SKU'!$A$2:$A$1253,$A53)</f>
        <v>1</v>
      </c>
      <c r="F53" s="4" t="n">
        <f aca="false">COUNTIFS('Chi tiết SKU'!$A$2:$A$1253,$A53,'Chi tiết SKU'!$R$2:$R$1253,"&lt;=0")</f>
        <v>0</v>
      </c>
      <c r="G53" s="4" t="n">
        <f aca="false">SUMIFS('Chi tiết SKU'!$M$2:$M$1253,'Chi tiết SKU'!$A$2:$A$1253,$A53)</f>
        <v>806</v>
      </c>
      <c r="H53" s="4" t="n">
        <f aca="false">SUMIFS('Chi tiết SKU'!$N$2:$N$1253,'Chi tiết SKU'!$A$2:$A$1253,$A53)</f>
        <v>2712</v>
      </c>
      <c r="I53" s="4" t="n">
        <f aca="false">SUMIFS('Chi tiết SKU'!$O$2:$O$1253,'Chi tiết SKU'!$A$2:$A$1253,$A53)</f>
        <v>33</v>
      </c>
      <c r="J53" s="4" t="n">
        <f aca="false">SUMIFS('Chi tiết SKU'!$T$2:$T$1253,'Chi tiết SKU'!$A$2:$A$1253,$A53)</f>
        <v>107010000</v>
      </c>
      <c r="K53" s="9" t="n">
        <f aca="false">IFERROR(SUMIFS('Chi tiết SKU'!$S$2:$S$1253,'Chi tiết SKU'!$A$2:$A$1253,$A53)/E53,0)</f>
        <v>22</v>
      </c>
      <c r="L53" s="5" t="n">
        <v>0.33333</v>
      </c>
      <c r="M53" s="8" t="str">
        <f aca="false">IF(F53/E53&gt;=$P$2,"CHẾT – hết hàng",IF(AND(H53&gt;=$P$3,H53&gt;=G53),"ĐẨY XUỐNG CH",IF(K53&lt;$P$4,"PHỦ MỎNG","OK")))</f>
        <v>ĐẨY XUỐNG CH</v>
      </c>
      <c r="N53" s="17" t="s">
        <v>162</v>
      </c>
    </row>
    <row r="54" customFormat="false" ht="26.85" hidden="false" customHeight="false" outlineLevel="0" collapsed="false">
      <c r="A54" s="8" t="s">
        <v>163</v>
      </c>
      <c r="B54" s="8" t="s">
        <v>26</v>
      </c>
      <c r="C54" s="17" t="s">
        <v>164</v>
      </c>
      <c r="D54" s="8" t="s">
        <v>66</v>
      </c>
      <c r="E54" s="4" t="n">
        <f aca="false">COUNTIFS('Chi tiết SKU'!$A$2:$A$1253,$A54)</f>
        <v>1</v>
      </c>
      <c r="F54" s="4" t="n">
        <f aca="false">COUNTIFS('Chi tiết SKU'!$A$2:$A$1253,$A54,'Chi tiết SKU'!$R$2:$R$1253,"&lt;=0")</f>
        <v>0</v>
      </c>
      <c r="G54" s="4" t="n">
        <f aca="false">SUMIFS('Chi tiết SKU'!$M$2:$M$1253,'Chi tiết SKU'!$A$2:$A$1253,$A54)</f>
        <v>339</v>
      </c>
      <c r="H54" s="4" t="n">
        <f aca="false">SUMIFS('Chi tiết SKU'!$N$2:$N$1253,'Chi tiết SKU'!$A$2:$A$1253,$A54)</f>
        <v>0</v>
      </c>
      <c r="I54" s="4" t="n">
        <f aca="false">SUMIFS('Chi tiết SKU'!$O$2:$O$1253,'Chi tiết SKU'!$A$2:$A$1253,$A54)</f>
        <v>300</v>
      </c>
      <c r="J54" s="4" t="n">
        <f aca="false">SUMIFS('Chi tiết SKU'!$T$2:$T$1253,'Chi tiết SKU'!$A$2:$A$1253,$A54)</f>
        <v>106088000</v>
      </c>
      <c r="K54" s="9" t="n">
        <f aca="false">IFERROR(SUMIFS('Chi tiết SKU'!$S$2:$S$1253,'Chi tiết SKU'!$A$2:$A$1253,$A54)/E54,0)</f>
        <v>22</v>
      </c>
      <c r="L54" s="5" t="n">
        <v>0.19459</v>
      </c>
      <c r="M54" s="8" t="str">
        <f aca="false">IF(F54/E54&gt;=$P$2,"CHẾT – hết hàng",IF(AND(H54&gt;=$P$3,H54&gt;=G54),"ĐẨY XUỐNG CH",IF(K54&lt;$P$4,"PHỦ MỎNG","OK")))</f>
        <v>OK</v>
      </c>
      <c r="N54" s="17" t="s">
        <v>70</v>
      </c>
    </row>
    <row r="55" customFormat="false" ht="26.85" hidden="false" customHeight="false" outlineLevel="0" collapsed="false">
      <c r="A55" s="8" t="s">
        <v>165</v>
      </c>
      <c r="B55" s="8" t="s">
        <v>28</v>
      </c>
      <c r="C55" s="17" t="s">
        <v>166</v>
      </c>
      <c r="D55" s="8" t="s">
        <v>55</v>
      </c>
      <c r="E55" s="4" t="n">
        <f aca="false">COUNTIFS('Chi tiết SKU'!$A$2:$A$1253,$A55)</f>
        <v>8</v>
      </c>
      <c r="F55" s="4" t="n">
        <f aca="false">COUNTIFS('Chi tiết SKU'!$A$2:$A$1253,$A55,'Chi tiết SKU'!$R$2:$R$1253,"&lt;=0")</f>
        <v>0</v>
      </c>
      <c r="G55" s="4" t="n">
        <f aca="false">SUMIFS('Chi tiết SKU'!$M$2:$M$1253,'Chi tiết SKU'!$A$2:$A$1253,$A55)</f>
        <v>779</v>
      </c>
      <c r="H55" s="4" t="n">
        <f aca="false">SUMIFS('Chi tiết SKU'!$N$2:$N$1253,'Chi tiết SKU'!$A$2:$A$1253,$A55)</f>
        <v>0</v>
      </c>
      <c r="I55" s="4" t="n">
        <f aca="false">SUMIFS('Chi tiết SKU'!$O$2:$O$1253,'Chi tiết SKU'!$A$2:$A$1253,$A55)</f>
        <v>0</v>
      </c>
      <c r="J55" s="4" t="n">
        <f aca="false">SUMIFS('Chi tiết SKU'!$T$2:$T$1253,'Chi tiết SKU'!$A$2:$A$1253,$A55)</f>
        <v>88984000</v>
      </c>
      <c r="K55" s="9" t="n">
        <f aca="false">IFERROR(SUMIFS('Chi tiết SKU'!$S$2:$S$1253,'Chi tiết SKU'!$A$2:$A$1253,$A55)/E55,0)</f>
        <v>21.375</v>
      </c>
      <c r="L55" s="5" t="n">
        <v>0.142385</v>
      </c>
      <c r="M55" s="8" t="str">
        <f aca="false">IF(F55/E55&gt;=$P$2,"CHẾT – hết hàng",IF(AND(H55&gt;=$P$3,H55&gt;=G55),"ĐẨY XUỐNG CH",IF(K55&lt;$P$4,"PHỦ MỎNG","OK")))</f>
        <v>OK</v>
      </c>
      <c r="N55" s="17" t="s">
        <v>70</v>
      </c>
    </row>
    <row r="56" customFormat="false" ht="26.85" hidden="false" customHeight="false" outlineLevel="0" collapsed="false">
      <c r="A56" s="8" t="s">
        <v>167</v>
      </c>
      <c r="B56" s="8" t="s">
        <v>21</v>
      </c>
      <c r="C56" s="17" t="s">
        <v>168</v>
      </c>
      <c r="D56" s="8" t="s">
        <v>51</v>
      </c>
      <c r="E56" s="4" t="n">
        <f aca="false">COUNTIFS('Chi tiết SKU'!$A$2:$A$1253,$A56)</f>
        <v>1</v>
      </c>
      <c r="F56" s="4" t="n">
        <f aca="false">COUNTIFS('Chi tiết SKU'!$A$2:$A$1253,$A56,'Chi tiết SKU'!$R$2:$R$1253,"&lt;=0")</f>
        <v>0</v>
      </c>
      <c r="G56" s="4" t="n">
        <f aca="false">SUMIFS('Chi tiết SKU'!$M$2:$M$1253,'Chi tiết SKU'!$A$2:$A$1253,$A56)</f>
        <v>85</v>
      </c>
      <c r="H56" s="4" t="n">
        <f aca="false">SUMIFS('Chi tiết SKU'!$N$2:$N$1253,'Chi tiết SKU'!$A$2:$A$1253,$A56)</f>
        <v>0</v>
      </c>
      <c r="I56" s="4" t="n">
        <f aca="false">SUMIFS('Chi tiết SKU'!$O$2:$O$1253,'Chi tiết SKU'!$A$2:$A$1253,$A56)</f>
        <v>0</v>
      </c>
      <c r="J56" s="4" t="n">
        <f aca="false">SUMIFS('Chi tiết SKU'!$T$2:$T$1253,'Chi tiết SKU'!$A$2:$A$1253,$A56)</f>
        <v>87720000</v>
      </c>
      <c r="K56" s="9" t="n">
        <f aca="false">IFERROR(SUMIFS('Chi tiết SKU'!$S$2:$S$1253,'Chi tiết SKU'!$A$2:$A$1253,$A56)/E56,0)</f>
        <v>22</v>
      </c>
      <c r="L56" s="5" t="n">
        <v>0.2</v>
      </c>
      <c r="M56" s="8" t="str">
        <f aca="false">IF(F56/E56&gt;=$P$2,"CHẾT – hết hàng",IF(AND(H56&gt;=$P$3,H56&gt;=G56),"ĐẨY XUỐNG CH",IF(K56&lt;$P$4,"PHỦ MỎNG","OK")))</f>
        <v>OK</v>
      </c>
      <c r="N56" s="17" t="s">
        <v>70</v>
      </c>
    </row>
    <row r="57" customFormat="false" ht="26.85" hidden="false" customHeight="false" outlineLevel="0" collapsed="false">
      <c r="A57" s="8" t="s">
        <v>169</v>
      </c>
      <c r="B57" s="8" t="s">
        <v>20</v>
      </c>
      <c r="C57" s="17" t="s">
        <v>170</v>
      </c>
      <c r="D57" s="8" t="s">
        <v>62</v>
      </c>
      <c r="E57" s="4" t="n">
        <f aca="false">COUNTIFS('Chi tiết SKU'!$A$2:$A$1253,$A57)</f>
        <v>2</v>
      </c>
      <c r="F57" s="4" t="n">
        <f aca="false">COUNTIFS('Chi tiết SKU'!$A$2:$A$1253,$A57,'Chi tiết SKU'!$R$2:$R$1253,"&lt;=0")</f>
        <v>0</v>
      </c>
      <c r="G57" s="4" t="n">
        <f aca="false">SUMIFS('Chi tiết SKU'!$M$2:$M$1253,'Chi tiết SKU'!$A$2:$A$1253,$A57)</f>
        <v>270</v>
      </c>
      <c r="H57" s="4" t="n">
        <f aca="false">SUMIFS('Chi tiết SKU'!$N$2:$N$1253,'Chi tiết SKU'!$A$2:$A$1253,$A57)</f>
        <v>0</v>
      </c>
      <c r="I57" s="4" t="n">
        <f aca="false">SUMIFS('Chi tiết SKU'!$O$2:$O$1253,'Chi tiết SKU'!$A$2:$A$1253,$A57)</f>
        <v>39</v>
      </c>
      <c r="J57" s="4" t="n">
        <f aca="false">SUMIFS('Chi tiết SKU'!$T$2:$T$1253,'Chi tiết SKU'!$A$2:$A$1253,$A57)</f>
        <v>86075000</v>
      </c>
      <c r="K57" s="9" t="n">
        <f aca="false">IFERROR(SUMIFS('Chi tiết SKU'!$S$2:$S$1253,'Chi tiết SKU'!$A$2:$A$1253,$A57)/E57,0)</f>
        <v>23.5</v>
      </c>
      <c r="L57" s="5" t="n">
        <v>0.21429</v>
      </c>
      <c r="M57" s="8" t="str">
        <f aca="false">IF(F57/E57&gt;=$P$2,"CHẾT – hết hàng",IF(AND(H57&gt;=$P$3,H57&gt;=G57),"ĐẨY XUỐNG CH",IF(K57&lt;$P$4,"PHỦ MỎNG","OK")))</f>
        <v>OK</v>
      </c>
      <c r="N57" s="17" t="s">
        <v>70</v>
      </c>
    </row>
    <row r="58" customFormat="false" ht="26.85" hidden="false" customHeight="false" outlineLevel="0" collapsed="false">
      <c r="A58" s="8" t="s">
        <v>171</v>
      </c>
      <c r="B58" s="8" t="s">
        <v>20</v>
      </c>
      <c r="C58" s="17" t="s">
        <v>172</v>
      </c>
      <c r="D58" s="8" t="s">
        <v>51</v>
      </c>
      <c r="E58" s="4" t="n">
        <f aca="false">COUNTIFS('Chi tiết SKU'!$A$2:$A$1253,$A58)</f>
        <v>1</v>
      </c>
      <c r="F58" s="4" t="n">
        <f aca="false">COUNTIFS('Chi tiết SKU'!$A$2:$A$1253,$A58,'Chi tiết SKU'!$R$2:$R$1253,"&lt;=0")</f>
        <v>0</v>
      </c>
      <c r="G58" s="4" t="n">
        <f aca="false">SUMIFS('Chi tiết SKU'!$M$2:$M$1253,'Chi tiết SKU'!$A$2:$A$1253,$A58)</f>
        <v>200</v>
      </c>
      <c r="H58" s="4" t="n">
        <f aca="false">SUMIFS('Chi tiết SKU'!$N$2:$N$1253,'Chi tiết SKU'!$A$2:$A$1253,$A58)</f>
        <v>36</v>
      </c>
      <c r="I58" s="4" t="n">
        <f aca="false">SUMIFS('Chi tiết SKU'!$O$2:$O$1253,'Chi tiết SKU'!$A$2:$A$1253,$A58)</f>
        <v>30</v>
      </c>
      <c r="J58" s="4" t="n">
        <f aca="false">SUMIFS('Chi tiết SKU'!$T$2:$T$1253,'Chi tiết SKU'!$A$2:$A$1253,$A58)</f>
        <v>82800000</v>
      </c>
      <c r="K58" s="9" t="n">
        <f aca="false">IFERROR(SUMIFS('Chi tiết SKU'!$S$2:$S$1253,'Chi tiết SKU'!$A$2:$A$1253,$A58)/E58,0)</f>
        <v>24</v>
      </c>
      <c r="L58" s="5" t="n">
        <v>0.14571</v>
      </c>
      <c r="M58" s="8" t="str">
        <f aca="false">IF(F58/E58&gt;=$P$2,"CHẾT – hết hàng",IF(AND(H58&gt;=$P$3,H58&gt;=G58),"ĐẨY XUỐNG CH",IF(K58&lt;$P$4,"PHỦ MỎNG","OK")))</f>
        <v>OK</v>
      </c>
      <c r="N58" s="17" t="s">
        <v>70</v>
      </c>
    </row>
    <row r="59" customFormat="false" ht="26.85" hidden="false" customHeight="false" outlineLevel="0" collapsed="false">
      <c r="A59" s="8" t="s">
        <v>173</v>
      </c>
      <c r="B59" s="8" t="s">
        <v>20</v>
      </c>
      <c r="C59" s="17" t="s">
        <v>174</v>
      </c>
      <c r="D59" s="8" t="s">
        <v>51</v>
      </c>
      <c r="E59" s="4" t="n">
        <f aca="false">COUNTIFS('Chi tiết SKU'!$A$2:$A$1253,$A59)</f>
        <v>1</v>
      </c>
      <c r="F59" s="4" t="n">
        <f aca="false">COUNTIFS('Chi tiết SKU'!$A$2:$A$1253,$A59,'Chi tiết SKU'!$R$2:$R$1253,"&lt;=0")</f>
        <v>0</v>
      </c>
      <c r="G59" s="4" t="n">
        <f aca="false">SUMIFS('Chi tiết SKU'!$M$2:$M$1253,'Chi tiết SKU'!$A$2:$A$1253,$A59)</f>
        <v>104</v>
      </c>
      <c r="H59" s="4" t="n">
        <f aca="false">SUMIFS('Chi tiết SKU'!$N$2:$N$1253,'Chi tiết SKU'!$A$2:$A$1253,$A59)</f>
        <v>0</v>
      </c>
      <c r="I59" s="4" t="n">
        <f aca="false">SUMIFS('Chi tiết SKU'!$O$2:$O$1253,'Chi tiết SKU'!$A$2:$A$1253,$A59)</f>
        <v>0</v>
      </c>
      <c r="J59" s="4" t="n">
        <f aca="false">SUMIFS('Chi tiết SKU'!$T$2:$T$1253,'Chi tiết SKU'!$A$2:$A$1253,$A59)</f>
        <v>82368000</v>
      </c>
      <c r="K59" s="9" t="n">
        <f aca="false">IFERROR(SUMIFS('Chi tiết SKU'!$S$2:$S$1253,'Chi tiết SKU'!$A$2:$A$1253,$A59)/E59,0)</f>
        <v>22</v>
      </c>
      <c r="L59" s="5" t="n">
        <v>0.1</v>
      </c>
      <c r="M59" s="8" t="str">
        <f aca="false">IF(F59/E59&gt;=$P$2,"CHẾT – hết hàng",IF(AND(H59&gt;=$P$3,H59&gt;=G59),"ĐẨY XUỐNG CH",IF(K59&lt;$P$4,"PHỦ MỎNG","OK")))</f>
        <v>OK</v>
      </c>
      <c r="N59" s="17" t="s">
        <v>70</v>
      </c>
    </row>
    <row r="60" customFormat="false" ht="26.85" hidden="false" customHeight="false" outlineLevel="0" collapsed="false">
      <c r="A60" s="8" t="s">
        <v>175</v>
      </c>
      <c r="B60" s="8" t="s">
        <v>20</v>
      </c>
      <c r="C60" s="17" t="s">
        <v>176</v>
      </c>
      <c r="D60" s="8" t="s">
        <v>55</v>
      </c>
      <c r="E60" s="4" t="n">
        <f aca="false">COUNTIFS('Chi tiết SKU'!$A$2:$A$1253,$A60)</f>
        <v>3</v>
      </c>
      <c r="F60" s="4" t="n">
        <f aca="false">COUNTIFS('Chi tiết SKU'!$A$2:$A$1253,$A60,'Chi tiết SKU'!$R$2:$R$1253,"&lt;=0")</f>
        <v>0</v>
      </c>
      <c r="G60" s="4" t="n">
        <f aca="false">SUMIFS('Chi tiết SKU'!$M$2:$M$1253,'Chi tiết SKU'!$A$2:$A$1253,$A60)</f>
        <v>449</v>
      </c>
      <c r="H60" s="4" t="n">
        <f aca="false">SUMIFS('Chi tiết SKU'!$N$2:$N$1253,'Chi tiết SKU'!$A$2:$A$1253,$A60)</f>
        <v>0</v>
      </c>
      <c r="I60" s="4" t="n">
        <f aca="false">SUMIFS('Chi tiết SKU'!$O$2:$O$1253,'Chi tiết SKU'!$A$2:$A$1253,$A60)</f>
        <v>89</v>
      </c>
      <c r="J60" s="4" t="n">
        <f aca="false">SUMIFS('Chi tiết SKU'!$T$2:$T$1253,'Chi tiết SKU'!$A$2:$A$1253,$A60)</f>
        <v>74925000</v>
      </c>
      <c r="K60" s="9" t="n">
        <f aca="false">IFERROR(SUMIFS('Chi tiết SKU'!$S$2:$S$1253,'Chi tiết SKU'!$A$2:$A$1253,$A60)/E60,0)</f>
        <v>23.6666666666667</v>
      </c>
      <c r="L60" s="5" t="n">
        <v>0.26331</v>
      </c>
      <c r="M60" s="8" t="str">
        <f aca="false">IF(F60/E60&gt;=$P$2,"CHẾT – hết hàng",IF(AND(H60&gt;=$P$3,H60&gt;=G60),"ĐẨY XUỐNG CH",IF(K60&lt;$P$4,"PHỦ MỎNG","OK")))</f>
        <v>OK</v>
      </c>
      <c r="N60" s="17" t="s">
        <v>70</v>
      </c>
    </row>
    <row r="61" customFormat="false" ht="26.85" hidden="false" customHeight="false" outlineLevel="0" collapsed="false">
      <c r="A61" s="8" t="s">
        <v>177</v>
      </c>
      <c r="B61" s="8" t="s">
        <v>20</v>
      </c>
      <c r="C61" s="17" t="s">
        <v>178</v>
      </c>
      <c r="D61" s="8" t="s">
        <v>55</v>
      </c>
      <c r="E61" s="4" t="n">
        <f aca="false">COUNTIFS('Chi tiết SKU'!$A$2:$A$1253,$A61)</f>
        <v>3</v>
      </c>
      <c r="F61" s="4" t="n">
        <f aca="false">COUNTIFS('Chi tiết SKU'!$A$2:$A$1253,$A61,'Chi tiết SKU'!$R$2:$R$1253,"&lt;=0")</f>
        <v>0</v>
      </c>
      <c r="G61" s="4" t="n">
        <f aca="false">SUMIFS('Chi tiết SKU'!$M$2:$M$1253,'Chi tiết SKU'!$A$2:$A$1253,$A61)</f>
        <v>676</v>
      </c>
      <c r="H61" s="4" t="n">
        <f aca="false">SUMIFS('Chi tiết SKU'!$N$2:$N$1253,'Chi tiết SKU'!$A$2:$A$1253,$A61)</f>
        <v>27</v>
      </c>
      <c r="I61" s="4" t="n">
        <f aca="false">SUMIFS('Chi tiết SKU'!$O$2:$O$1253,'Chi tiết SKU'!$A$2:$A$1253,$A61)</f>
        <v>207</v>
      </c>
      <c r="J61" s="4" t="n">
        <f aca="false">SUMIFS('Chi tiết SKU'!$T$2:$T$1253,'Chi tiết SKU'!$A$2:$A$1253,$A61)</f>
        <v>74645000</v>
      </c>
      <c r="K61" s="9" t="n">
        <f aca="false">IFERROR(SUMIFS('Chi tiết SKU'!$S$2:$S$1253,'Chi tiết SKU'!$A$2:$A$1253,$A61)/E61,0)</f>
        <v>22.6666666666667</v>
      </c>
      <c r="L61" s="5" t="n">
        <v>0.39301</v>
      </c>
      <c r="M61" s="8" t="str">
        <f aca="false">IF(F61/E61&gt;=$P$2,"CHẾT – hết hàng",IF(AND(H61&gt;=$P$3,H61&gt;=G61),"ĐẨY XUỐNG CH",IF(K61&lt;$P$4,"PHỦ MỎNG","OK")))</f>
        <v>OK</v>
      </c>
      <c r="N61" s="17" t="s">
        <v>70</v>
      </c>
    </row>
    <row r="62" customFormat="false" ht="26.85" hidden="false" customHeight="false" outlineLevel="0" collapsed="false">
      <c r="A62" s="8" t="s">
        <v>179</v>
      </c>
      <c r="B62" s="8" t="s">
        <v>20</v>
      </c>
      <c r="C62" s="17" t="s">
        <v>180</v>
      </c>
      <c r="D62" s="8" t="s">
        <v>62</v>
      </c>
      <c r="E62" s="4" t="n">
        <f aca="false">COUNTIFS('Chi tiết SKU'!$A$2:$A$1253,$A62)</f>
        <v>2</v>
      </c>
      <c r="F62" s="4" t="n">
        <f aca="false">COUNTIFS('Chi tiết SKU'!$A$2:$A$1253,$A62,'Chi tiết SKU'!$R$2:$R$1253,"&lt;=0")</f>
        <v>0</v>
      </c>
      <c r="G62" s="4" t="n">
        <f aca="false">SUMIFS('Chi tiết SKU'!$M$2:$M$1253,'Chi tiết SKU'!$A$2:$A$1253,$A62)</f>
        <v>231</v>
      </c>
      <c r="H62" s="4" t="n">
        <f aca="false">SUMIFS('Chi tiết SKU'!$N$2:$N$1253,'Chi tiết SKU'!$A$2:$A$1253,$A62)</f>
        <v>0</v>
      </c>
      <c r="I62" s="4" t="n">
        <f aca="false">SUMIFS('Chi tiết SKU'!$O$2:$O$1253,'Chi tiết SKU'!$A$2:$A$1253,$A62)</f>
        <v>16</v>
      </c>
      <c r="J62" s="4" t="n">
        <f aca="false">SUMIFS('Chi tiết SKU'!$T$2:$T$1253,'Chi tiết SKU'!$A$2:$A$1253,$A62)</f>
        <v>71531000</v>
      </c>
      <c r="K62" s="9" t="n">
        <f aca="false">IFERROR(SUMIFS('Chi tiết SKU'!$S$2:$S$1253,'Chi tiết SKU'!$A$2:$A$1253,$A62)/E62,0)</f>
        <v>23.5</v>
      </c>
      <c r="L62" s="5" t="n">
        <v>0.21429</v>
      </c>
      <c r="M62" s="8" t="str">
        <f aca="false">IF(F62/E62&gt;=$P$2,"CHẾT – hết hàng",IF(AND(H62&gt;=$P$3,H62&gt;=G62),"ĐẨY XUỐNG CH",IF(K62&lt;$P$4,"PHỦ MỎNG","OK")))</f>
        <v>OK</v>
      </c>
      <c r="N62" s="17" t="s">
        <v>70</v>
      </c>
    </row>
    <row r="63" customFormat="false" ht="26.85" hidden="false" customHeight="false" outlineLevel="0" collapsed="false">
      <c r="A63" s="8" t="s">
        <v>181</v>
      </c>
      <c r="B63" s="8" t="s">
        <v>25</v>
      </c>
      <c r="C63" s="17" t="s">
        <v>182</v>
      </c>
      <c r="D63" s="8" t="s">
        <v>55</v>
      </c>
      <c r="E63" s="4" t="n">
        <f aca="false">COUNTIFS('Chi tiết SKU'!$A$2:$A$1253,$A63)</f>
        <v>7</v>
      </c>
      <c r="F63" s="4" t="n">
        <f aca="false">COUNTIFS('Chi tiết SKU'!$A$2:$A$1253,$A63,'Chi tiết SKU'!$R$2:$R$1253,"&lt;=0")</f>
        <v>0</v>
      </c>
      <c r="G63" s="4" t="n">
        <f aca="false">SUMIFS('Chi tiết SKU'!$M$2:$M$1253,'Chi tiết SKU'!$A$2:$A$1253,$A63)</f>
        <v>2253</v>
      </c>
      <c r="H63" s="4" t="n">
        <f aca="false">SUMIFS('Chi tiết SKU'!$N$2:$N$1253,'Chi tiết SKU'!$A$2:$A$1253,$A63)</f>
        <v>251</v>
      </c>
      <c r="I63" s="4" t="n">
        <f aca="false">SUMIFS('Chi tiết SKU'!$O$2:$O$1253,'Chi tiết SKU'!$A$2:$A$1253,$A63)</f>
        <v>147</v>
      </c>
      <c r="J63" s="4" t="n">
        <f aca="false">SUMIFS('Chi tiết SKU'!$T$2:$T$1253,'Chi tiết SKU'!$A$2:$A$1253,$A63)</f>
        <v>69816000</v>
      </c>
      <c r="K63" s="9" t="n">
        <f aca="false">IFERROR(SUMIFS('Chi tiết SKU'!$S$2:$S$1253,'Chi tiết SKU'!$A$2:$A$1253,$A63)/E63,0)</f>
        <v>22.5714285714286</v>
      </c>
      <c r="L63" s="5" t="n">
        <v>0.23881</v>
      </c>
      <c r="M63" s="8" t="str">
        <f aca="false">IF(F63/E63&gt;=$P$2,"CHẾT – hết hàng",IF(AND(H63&gt;=$P$3,H63&gt;=G63),"ĐẨY XUỐNG CH",IF(K63&lt;$P$4,"PHỦ MỎNG","OK")))</f>
        <v>OK</v>
      </c>
      <c r="N63" s="17" t="s">
        <v>70</v>
      </c>
    </row>
    <row r="64" customFormat="false" ht="26.85" hidden="false" customHeight="false" outlineLevel="0" collapsed="false">
      <c r="A64" s="8" t="s">
        <v>183</v>
      </c>
      <c r="B64" s="8" t="s">
        <v>20</v>
      </c>
      <c r="C64" s="17" t="s">
        <v>184</v>
      </c>
      <c r="D64" s="8" t="s">
        <v>51</v>
      </c>
      <c r="E64" s="4" t="n">
        <f aca="false">COUNTIFS('Chi tiết SKU'!$A$2:$A$1253,$A64)</f>
        <v>1</v>
      </c>
      <c r="F64" s="4" t="n">
        <f aca="false">COUNTIFS('Chi tiết SKU'!$A$2:$A$1253,$A64,'Chi tiết SKU'!$R$2:$R$1253,"&lt;=0")</f>
        <v>0</v>
      </c>
      <c r="G64" s="4" t="n">
        <f aca="false">SUMIFS('Chi tiết SKU'!$M$2:$M$1253,'Chi tiết SKU'!$A$2:$A$1253,$A64)</f>
        <v>85</v>
      </c>
      <c r="H64" s="4" t="n">
        <f aca="false">SUMIFS('Chi tiết SKU'!$N$2:$N$1253,'Chi tiết SKU'!$A$2:$A$1253,$A64)</f>
        <v>0</v>
      </c>
      <c r="I64" s="4" t="n">
        <f aca="false">SUMIFS('Chi tiết SKU'!$O$2:$O$1253,'Chi tiết SKU'!$A$2:$A$1253,$A64)</f>
        <v>3</v>
      </c>
      <c r="J64" s="4" t="n">
        <f aca="false">SUMIFS('Chi tiết SKU'!$T$2:$T$1253,'Chi tiết SKU'!$A$2:$A$1253,$A64)</f>
        <v>61776000</v>
      </c>
      <c r="K64" s="9" t="n">
        <f aca="false">IFERROR(SUMIFS('Chi tiết SKU'!$S$2:$S$1253,'Chi tiết SKU'!$A$2:$A$1253,$A64)/E64,0)</f>
        <v>22</v>
      </c>
      <c r="L64" s="5" t="n">
        <v>0.1</v>
      </c>
      <c r="M64" s="8" t="str">
        <f aca="false">IF(F64/E64&gt;=$P$2,"CHẾT – hết hàng",IF(AND(H64&gt;=$P$3,H64&gt;=G64),"ĐẨY XUỐNG CH",IF(K64&lt;$P$4,"PHỦ MỎNG","OK")))</f>
        <v>OK</v>
      </c>
      <c r="N64" s="17" t="s">
        <v>70</v>
      </c>
    </row>
    <row r="65" customFormat="false" ht="26.85" hidden="false" customHeight="false" outlineLevel="0" collapsed="false">
      <c r="A65" s="8" t="s">
        <v>185</v>
      </c>
      <c r="B65" s="8" t="s">
        <v>20</v>
      </c>
      <c r="C65" s="17" t="s">
        <v>186</v>
      </c>
      <c r="D65" s="8" t="s">
        <v>62</v>
      </c>
      <c r="E65" s="4" t="n">
        <f aca="false">COUNTIFS('Chi tiết SKU'!$A$2:$A$1253,$A65)</f>
        <v>6</v>
      </c>
      <c r="F65" s="4" t="n">
        <f aca="false">COUNTIFS('Chi tiết SKU'!$A$2:$A$1253,$A65,'Chi tiết SKU'!$R$2:$R$1253,"&lt;=0")</f>
        <v>0</v>
      </c>
      <c r="G65" s="4" t="n">
        <f aca="false">SUMIFS('Chi tiết SKU'!$M$2:$M$1253,'Chi tiết SKU'!$A$2:$A$1253,$A65)</f>
        <v>1965</v>
      </c>
      <c r="H65" s="4" t="n">
        <f aca="false">SUMIFS('Chi tiết SKU'!$N$2:$N$1253,'Chi tiết SKU'!$A$2:$A$1253,$A65)</f>
        <v>0</v>
      </c>
      <c r="I65" s="4" t="n">
        <f aca="false">SUMIFS('Chi tiết SKU'!$O$2:$O$1253,'Chi tiết SKU'!$A$2:$A$1253,$A65)</f>
        <v>85</v>
      </c>
      <c r="J65" s="4" t="n">
        <f aca="false">SUMIFS('Chi tiết SKU'!$T$2:$T$1253,'Chi tiết SKU'!$A$2:$A$1253,$A65)</f>
        <v>59711000</v>
      </c>
      <c r="K65" s="9" t="n">
        <f aca="false">IFERROR(SUMIFS('Chi tiết SKU'!$S$2:$S$1253,'Chi tiết SKU'!$A$2:$A$1253,$A65)/E65,0)</f>
        <v>10.1666666666667</v>
      </c>
      <c r="L65" s="5" t="n">
        <v>0.25</v>
      </c>
      <c r="M65" s="8" t="str">
        <f aca="false">IF(F65/E65&gt;=$P$2,"CHẾT – hết hàng",IF(AND(H65&gt;=$P$3,H65&gt;=G65),"ĐẨY XUỐNG CH",IF(K65&lt;$P$4,"PHỦ MỎNG","OK")))</f>
        <v>OK</v>
      </c>
      <c r="N65" s="17" t="s">
        <v>70</v>
      </c>
    </row>
    <row r="66" customFormat="false" ht="26.85" hidden="false" customHeight="false" outlineLevel="0" collapsed="false">
      <c r="A66" s="8" t="s">
        <v>187</v>
      </c>
      <c r="B66" s="8" t="s">
        <v>28</v>
      </c>
      <c r="C66" s="17" t="s">
        <v>188</v>
      </c>
      <c r="D66" s="8" t="s">
        <v>62</v>
      </c>
      <c r="E66" s="4" t="n">
        <f aca="false">COUNTIFS('Chi tiết SKU'!$A$2:$A$1253,$A66)</f>
        <v>2</v>
      </c>
      <c r="F66" s="4" t="n">
        <f aca="false">COUNTIFS('Chi tiết SKU'!$A$2:$A$1253,$A66,'Chi tiết SKU'!$R$2:$R$1253,"&lt;=0")</f>
        <v>0</v>
      </c>
      <c r="G66" s="4" t="n">
        <f aca="false">SUMIFS('Chi tiết SKU'!$M$2:$M$1253,'Chi tiết SKU'!$A$2:$A$1253,$A66)</f>
        <v>692</v>
      </c>
      <c r="H66" s="4" t="n">
        <f aca="false">SUMIFS('Chi tiết SKU'!$N$2:$N$1253,'Chi tiết SKU'!$A$2:$A$1253,$A66)</f>
        <v>138</v>
      </c>
      <c r="I66" s="4" t="n">
        <f aca="false">SUMIFS('Chi tiết SKU'!$O$2:$O$1253,'Chi tiết SKU'!$A$2:$A$1253,$A66)</f>
        <v>128</v>
      </c>
      <c r="J66" s="4" t="n">
        <f aca="false">SUMIFS('Chi tiết SKU'!$T$2:$T$1253,'Chi tiết SKU'!$A$2:$A$1253,$A66)</f>
        <v>57348000</v>
      </c>
      <c r="K66" s="9" t="n">
        <f aca="false">IFERROR(SUMIFS('Chi tiết SKU'!$S$2:$S$1253,'Chi tiết SKU'!$A$2:$A$1253,$A66)/E66,0)</f>
        <v>17</v>
      </c>
      <c r="L66" s="5" t="n">
        <v>0.25</v>
      </c>
      <c r="M66" s="8" t="str">
        <f aca="false">IF(F66/E66&gt;=$P$2,"CHẾT – hết hàng",IF(AND(H66&gt;=$P$3,H66&gt;=G66),"ĐẨY XUỐNG CH",IF(K66&lt;$P$4,"PHỦ MỎNG","OK")))</f>
        <v>OK</v>
      </c>
      <c r="N66" s="17" t="s">
        <v>70</v>
      </c>
    </row>
    <row r="67" customFormat="false" ht="26.85" hidden="false" customHeight="false" outlineLevel="0" collapsed="false">
      <c r="A67" s="8" t="s">
        <v>189</v>
      </c>
      <c r="B67" s="8" t="s">
        <v>22</v>
      </c>
      <c r="C67" s="17" t="s">
        <v>190</v>
      </c>
      <c r="D67" s="8" t="s">
        <v>62</v>
      </c>
      <c r="E67" s="4" t="n">
        <f aca="false">COUNTIFS('Chi tiết SKU'!$A$2:$A$1253,$A67)</f>
        <v>4</v>
      </c>
      <c r="F67" s="4" t="n">
        <f aca="false">COUNTIFS('Chi tiết SKU'!$A$2:$A$1253,$A67,'Chi tiết SKU'!$R$2:$R$1253,"&lt;=0")</f>
        <v>0</v>
      </c>
      <c r="G67" s="4" t="n">
        <f aca="false">SUMIFS('Chi tiết SKU'!$M$2:$M$1253,'Chi tiết SKU'!$A$2:$A$1253,$A67)</f>
        <v>704</v>
      </c>
      <c r="H67" s="4" t="n">
        <f aca="false">SUMIFS('Chi tiết SKU'!$N$2:$N$1253,'Chi tiết SKU'!$A$2:$A$1253,$A67)</f>
        <v>6</v>
      </c>
      <c r="I67" s="4" t="n">
        <f aca="false">SUMIFS('Chi tiết SKU'!$O$2:$O$1253,'Chi tiết SKU'!$A$2:$A$1253,$A67)</f>
        <v>155</v>
      </c>
      <c r="J67" s="4" t="n">
        <f aca="false">SUMIFS('Chi tiết SKU'!$T$2:$T$1253,'Chi tiết SKU'!$A$2:$A$1253,$A67)</f>
        <v>56225000</v>
      </c>
      <c r="K67" s="9" t="n">
        <f aca="false">IFERROR(SUMIFS('Chi tiết SKU'!$S$2:$S$1253,'Chi tiết SKU'!$A$2:$A$1253,$A67)/E67,0)</f>
        <v>15</v>
      </c>
      <c r="L67" s="5" t="n">
        <v>0.33333</v>
      </c>
      <c r="M67" s="8" t="str">
        <f aca="false">IF(F67/E67&gt;=$P$2,"CHẾT – hết hàng",IF(AND(H67&gt;=$P$3,H67&gt;=G67),"ĐẨY XUỐNG CH",IF(K67&lt;$P$4,"PHỦ MỎNG","OK")))</f>
        <v>OK</v>
      </c>
      <c r="N67" s="17" t="s">
        <v>70</v>
      </c>
    </row>
    <row r="68" customFormat="false" ht="26.85" hidden="false" customHeight="false" outlineLevel="0" collapsed="false">
      <c r="A68" s="8" t="s">
        <v>191</v>
      </c>
      <c r="B68" s="8" t="s">
        <v>31</v>
      </c>
      <c r="C68" s="17" t="s">
        <v>192</v>
      </c>
      <c r="D68" s="8" t="s">
        <v>51</v>
      </c>
      <c r="E68" s="4" t="n">
        <f aca="false">COUNTIFS('Chi tiết SKU'!$A$2:$A$1253,$A68)</f>
        <v>2</v>
      </c>
      <c r="F68" s="4" t="n">
        <f aca="false">COUNTIFS('Chi tiết SKU'!$A$2:$A$1253,$A68,'Chi tiết SKU'!$R$2:$R$1253,"&lt;=0")</f>
        <v>0</v>
      </c>
      <c r="G68" s="4" t="n">
        <f aca="false">SUMIFS('Chi tiết SKU'!$M$2:$M$1253,'Chi tiết SKU'!$A$2:$A$1253,$A68)</f>
        <v>601</v>
      </c>
      <c r="H68" s="4" t="n">
        <f aca="false">SUMIFS('Chi tiết SKU'!$N$2:$N$1253,'Chi tiết SKU'!$A$2:$A$1253,$A68)</f>
        <v>0</v>
      </c>
      <c r="I68" s="4" t="n">
        <f aca="false">SUMIFS('Chi tiết SKU'!$O$2:$O$1253,'Chi tiết SKU'!$A$2:$A$1253,$A68)</f>
        <v>130</v>
      </c>
      <c r="J68" s="4" t="n">
        <f aca="false">SUMIFS('Chi tiết SKU'!$T$2:$T$1253,'Chi tiết SKU'!$A$2:$A$1253,$A68)</f>
        <v>52283000</v>
      </c>
      <c r="K68" s="9" t="n">
        <f aca="false">IFERROR(SUMIFS('Chi tiết SKU'!$S$2:$S$1253,'Chi tiết SKU'!$A$2:$A$1253,$A68)/E68,0)</f>
        <v>21</v>
      </c>
      <c r="L68" s="5" t="n">
        <v>0.22462</v>
      </c>
      <c r="M68" s="8" t="str">
        <f aca="false">IF(F68/E68&gt;=$P$2,"CHẾT – hết hàng",IF(AND(H68&gt;=$P$3,H68&gt;=G68),"ĐẨY XUỐNG CH",IF(K68&lt;$P$4,"PHỦ MỎNG","OK")))</f>
        <v>OK</v>
      </c>
      <c r="N68" s="17" t="s">
        <v>70</v>
      </c>
    </row>
    <row r="69" customFormat="false" ht="26.85" hidden="false" customHeight="false" outlineLevel="0" collapsed="false">
      <c r="A69" s="8" t="s">
        <v>193</v>
      </c>
      <c r="B69" s="8" t="s">
        <v>31</v>
      </c>
      <c r="C69" s="17" t="s">
        <v>194</v>
      </c>
      <c r="D69" s="8" t="s">
        <v>51</v>
      </c>
      <c r="E69" s="4" t="n">
        <f aca="false">COUNTIFS('Chi tiết SKU'!$A$2:$A$1253,$A69)</f>
        <v>1</v>
      </c>
      <c r="F69" s="4" t="n">
        <f aca="false">COUNTIFS('Chi tiết SKU'!$A$2:$A$1253,$A69,'Chi tiết SKU'!$R$2:$R$1253,"&lt;=0")</f>
        <v>0</v>
      </c>
      <c r="G69" s="4" t="n">
        <f aca="false">SUMIFS('Chi tiết SKU'!$M$2:$M$1253,'Chi tiết SKU'!$A$2:$A$1253,$A69)</f>
        <v>234</v>
      </c>
      <c r="H69" s="4" t="n">
        <f aca="false">SUMIFS('Chi tiết SKU'!$N$2:$N$1253,'Chi tiết SKU'!$A$2:$A$1253,$A69)</f>
        <v>0</v>
      </c>
      <c r="I69" s="4" t="n">
        <f aca="false">SUMIFS('Chi tiết SKU'!$O$2:$O$1253,'Chi tiết SKU'!$A$2:$A$1253,$A69)</f>
        <v>24</v>
      </c>
      <c r="J69" s="4" t="n">
        <f aca="false">SUMIFS('Chi tiết SKU'!$T$2:$T$1253,'Chi tiết SKU'!$A$2:$A$1253,$A69)</f>
        <v>52200000</v>
      </c>
      <c r="K69" s="9" t="n">
        <f aca="false">IFERROR(SUMIFS('Chi tiết SKU'!$S$2:$S$1253,'Chi tiết SKU'!$A$2:$A$1253,$A69)/E69,0)</f>
        <v>23</v>
      </c>
      <c r="L69" s="5"/>
      <c r="M69" s="8" t="str">
        <f aca="false">IF(F69/E69&gt;=$P$2,"CHẾT – hết hàng",IF(AND(H69&gt;=$P$3,H69&gt;=G69),"ĐẨY XUỐNG CH",IF(K69&lt;$P$4,"PHỦ MỎNG","OK")))</f>
        <v>OK</v>
      </c>
      <c r="N69" s="17" t="s">
        <v>70</v>
      </c>
    </row>
    <row r="70" customFormat="false" ht="26.85" hidden="false" customHeight="false" outlineLevel="0" collapsed="false">
      <c r="A70" s="8" t="s">
        <v>195</v>
      </c>
      <c r="B70" s="8" t="s">
        <v>28</v>
      </c>
      <c r="C70" s="17" t="s">
        <v>196</v>
      </c>
      <c r="D70" s="8" t="s">
        <v>51</v>
      </c>
      <c r="E70" s="4" t="n">
        <f aca="false">COUNTIFS('Chi tiết SKU'!$A$2:$A$1253,$A70)</f>
        <v>6</v>
      </c>
      <c r="F70" s="4" t="n">
        <f aca="false">COUNTIFS('Chi tiết SKU'!$A$2:$A$1253,$A70,'Chi tiết SKU'!$R$2:$R$1253,"&lt;=0")</f>
        <v>0</v>
      </c>
      <c r="G70" s="4" t="n">
        <f aca="false">SUMIFS('Chi tiết SKU'!$M$2:$M$1253,'Chi tiết SKU'!$A$2:$A$1253,$A70)</f>
        <v>775</v>
      </c>
      <c r="H70" s="4" t="n">
        <f aca="false">SUMIFS('Chi tiết SKU'!$N$2:$N$1253,'Chi tiết SKU'!$A$2:$A$1253,$A70)</f>
        <v>0</v>
      </c>
      <c r="I70" s="4" t="n">
        <f aca="false">SUMIFS('Chi tiết SKU'!$O$2:$O$1253,'Chi tiết SKU'!$A$2:$A$1253,$A70)</f>
        <v>70</v>
      </c>
      <c r="J70" s="4" t="n">
        <f aca="false">SUMIFS('Chi tiết SKU'!$T$2:$T$1253,'Chi tiết SKU'!$A$2:$A$1253,$A70)</f>
        <v>49855000</v>
      </c>
      <c r="K70" s="9" t="n">
        <f aca="false">IFERROR(SUMIFS('Chi tiết SKU'!$S$2:$S$1253,'Chi tiết SKU'!$A$2:$A$1253,$A70)/E70,0)</f>
        <v>18.5</v>
      </c>
      <c r="L70" s="5" t="n">
        <v>0.14493</v>
      </c>
      <c r="M70" s="8" t="str">
        <f aca="false">IF(F70/E70&gt;=$P$2,"CHẾT – hết hàng",IF(AND(H70&gt;=$P$3,H70&gt;=G70),"ĐẨY XUỐNG CH",IF(K70&lt;$P$4,"PHỦ MỎNG","OK")))</f>
        <v>OK</v>
      </c>
      <c r="N70" s="17" t="s">
        <v>70</v>
      </c>
    </row>
    <row r="71" customFormat="false" ht="26.85" hidden="false" customHeight="false" outlineLevel="0" collapsed="false">
      <c r="A71" s="8" t="s">
        <v>197</v>
      </c>
      <c r="B71" s="8" t="s">
        <v>31</v>
      </c>
      <c r="C71" s="17" t="s">
        <v>198</v>
      </c>
      <c r="D71" s="8" t="s">
        <v>51</v>
      </c>
      <c r="E71" s="4" t="n">
        <f aca="false">COUNTIFS('Chi tiết SKU'!$A$2:$A$1253,$A71)</f>
        <v>1</v>
      </c>
      <c r="F71" s="4" t="n">
        <f aca="false">COUNTIFS('Chi tiết SKU'!$A$2:$A$1253,$A71,'Chi tiết SKU'!$R$2:$R$1253,"&lt;=0")</f>
        <v>0</v>
      </c>
      <c r="G71" s="4" t="n">
        <f aca="false">SUMIFS('Chi tiết SKU'!$M$2:$M$1253,'Chi tiết SKU'!$A$2:$A$1253,$A71)</f>
        <v>222</v>
      </c>
      <c r="H71" s="4" t="n">
        <f aca="false">SUMIFS('Chi tiết SKU'!$N$2:$N$1253,'Chi tiết SKU'!$A$2:$A$1253,$A71)</f>
        <v>0</v>
      </c>
      <c r="I71" s="4" t="n">
        <f aca="false">SUMIFS('Chi tiết SKU'!$O$2:$O$1253,'Chi tiết SKU'!$A$2:$A$1253,$A71)</f>
        <v>24</v>
      </c>
      <c r="J71" s="4" t="n">
        <f aca="false">SUMIFS('Chi tiết SKU'!$T$2:$T$1253,'Chi tiết SKU'!$A$2:$A$1253,$A71)</f>
        <v>49800000</v>
      </c>
      <c r="K71" s="9" t="n">
        <f aca="false">IFERROR(SUMIFS('Chi tiết SKU'!$S$2:$S$1253,'Chi tiết SKU'!$A$2:$A$1253,$A71)/E71,0)</f>
        <v>22</v>
      </c>
      <c r="L71" s="5"/>
      <c r="M71" s="8" t="str">
        <f aca="false">IF(F71/E71&gt;=$P$2,"CHẾT – hết hàng",IF(AND(H71&gt;=$P$3,H71&gt;=G71),"ĐẨY XUỐNG CH",IF(K71&lt;$P$4,"PHỦ MỎNG","OK")))</f>
        <v>OK</v>
      </c>
      <c r="N71" s="17" t="s">
        <v>70</v>
      </c>
    </row>
    <row r="72" customFormat="false" ht="26.85" hidden="false" customHeight="false" outlineLevel="0" collapsed="false">
      <c r="A72" s="8" t="s">
        <v>199</v>
      </c>
      <c r="B72" s="8" t="s">
        <v>22</v>
      </c>
      <c r="C72" s="17" t="s">
        <v>200</v>
      </c>
      <c r="D72" s="8" t="s">
        <v>51</v>
      </c>
      <c r="E72" s="4" t="n">
        <f aca="false">COUNTIFS('Chi tiết SKU'!$A$2:$A$1253,$A72)</f>
        <v>10</v>
      </c>
      <c r="F72" s="4" t="n">
        <f aca="false">COUNTIFS('Chi tiết SKU'!$A$2:$A$1253,$A72,'Chi tiết SKU'!$R$2:$R$1253,"&lt;=0")</f>
        <v>0</v>
      </c>
      <c r="G72" s="4" t="n">
        <f aca="false">SUMIFS('Chi tiết SKU'!$M$2:$M$1253,'Chi tiết SKU'!$A$2:$A$1253,$A72)</f>
        <v>301</v>
      </c>
      <c r="H72" s="4" t="n">
        <f aca="false">SUMIFS('Chi tiết SKU'!$N$2:$N$1253,'Chi tiết SKU'!$A$2:$A$1253,$A72)</f>
        <v>0</v>
      </c>
      <c r="I72" s="4" t="n">
        <f aca="false">SUMIFS('Chi tiết SKU'!$O$2:$O$1253,'Chi tiết SKU'!$A$2:$A$1253,$A72)</f>
        <v>0</v>
      </c>
      <c r="J72" s="4" t="n">
        <f aca="false">SUMIFS('Chi tiết SKU'!$T$2:$T$1253,'Chi tiết SKU'!$A$2:$A$1253,$A72)</f>
        <v>45399000</v>
      </c>
      <c r="K72" s="9" t="n">
        <f aca="false">IFERROR(SUMIFS('Chi tiết SKU'!$S$2:$S$1253,'Chi tiết SKU'!$A$2:$A$1253,$A72)/E72,0)</f>
        <v>6.7</v>
      </c>
      <c r="L72" s="5" t="n">
        <v>0.79638</v>
      </c>
      <c r="M72" s="8" t="str">
        <f aca="false">IF(F72/E72&gt;=$P$2,"CHẾT – hết hàng",IF(AND(H72&gt;=$P$3,H72&gt;=G72),"ĐẨY XUỐNG CH",IF(K72&lt;$P$4,"PHỦ MỎNG","OK")))</f>
        <v>PHỦ MỎNG</v>
      </c>
      <c r="N72" s="17" t="s">
        <v>99</v>
      </c>
    </row>
    <row r="73" customFormat="false" ht="26.85" hidden="false" customHeight="false" outlineLevel="0" collapsed="false">
      <c r="A73" s="8" t="s">
        <v>201</v>
      </c>
      <c r="B73" s="8" t="s">
        <v>28</v>
      </c>
      <c r="C73" s="17" t="s">
        <v>202</v>
      </c>
      <c r="D73" s="8" t="s">
        <v>62</v>
      </c>
      <c r="E73" s="4" t="n">
        <f aca="false">COUNTIFS('Chi tiết SKU'!$A$2:$A$1253,$A73)</f>
        <v>1</v>
      </c>
      <c r="F73" s="4" t="n">
        <f aca="false">COUNTIFS('Chi tiết SKU'!$A$2:$A$1253,$A73,'Chi tiết SKU'!$R$2:$R$1253,"&lt;=0")</f>
        <v>0</v>
      </c>
      <c r="G73" s="4" t="n">
        <f aca="false">SUMIFS('Chi tiết SKU'!$M$2:$M$1253,'Chi tiết SKU'!$A$2:$A$1253,$A73)</f>
        <v>1219</v>
      </c>
      <c r="H73" s="4" t="n">
        <f aca="false">SUMIFS('Chi tiết SKU'!$N$2:$N$1253,'Chi tiết SKU'!$A$2:$A$1253,$A73)</f>
        <v>306</v>
      </c>
      <c r="I73" s="4" t="n">
        <f aca="false">SUMIFS('Chi tiết SKU'!$O$2:$O$1253,'Chi tiết SKU'!$A$2:$A$1253,$A73)</f>
        <v>100</v>
      </c>
      <c r="J73" s="4" t="n">
        <f aca="false">SUMIFS('Chi tiết SKU'!$T$2:$T$1253,'Chi tiết SKU'!$A$2:$A$1253,$A73)</f>
        <v>43264000</v>
      </c>
      <c r="K73" s="9" t="n">
        <f aca="false">IFERROR(SUMIFS('Chi tiết SKU'!$S$2:$S$1253,'Chi tiết SKU'!$A$2:$A$1253,$A73)/E73,0)</f>
        <v>22</v>
      </c>
      <c r="L73" s="5" t="n">
        <v>0.25</v>
      </c>
      <c r="M73" s="8" t="str">
        <f aca="false">IF(F73/E73&gt;=$P$2,"CHẾT – hết hàng",IF(AND(H73&gt;=$P$3,H73&gt;=G73),"ĐẨY XUỐNG CH",IF(K73&lt;$P$4,"PHỦ MỎNG","OK")))</f>
        <v>OK</v>
      </c>
      <c r="N73" s="17" t="s">
        <v>70</v>
      </c>
    </row>
    <row r="74" customFormat="false" ht="26.85" hidden="false" customHeight="false" outlineLevel="0" collapsed="false">
      <c r="A74" s="8" t="s">
        <v>203</v>
      </c>
      <c r="B74" s="8" t="s">
        <v>31</v>
      </c>
      <c r="C74" s="17" t="s">
        <v>204</v>
      </c>
      <c r="D74" s="8" t="s">
        <v>62</v>
      </c>
      <c r="E74" s="4" t="n">
        <f aca="false">COUNTIFS('Chi tiết SKU'!$A$2:$A$1253,$A74)</f>
        <v>1</v>
      </c>
      <c r="F74" s="4" t="n">
        <f aca="false">COUNTIFS('Chi tiết SKU'!$A$2:$A$1253,$A74,'Chi tiết SKU'!$R$2:$R$1253,"&lt;=0")</f>
        <v>0</v>
      </c>
      <c r="G74" s="4" t="n">
        <f aca="false">SUMIFS('Chi tiết SKU'!$M$2:$M$1253,'Chi tiết SKU'!$A$2:$A$1253,$A74)</f>
        <v>1179</v>
      </c>
      <c r="H74" s="4" t="n">
        <f aca="false">SUMIFS('Chi tiết SKU'!$N$2:$N$1253,'Chi tiết SKU'!$A$2:$A$1253,$A74)</f>
        <v>0</v>
      </c>
      <c r="I74" s="4" t="n">
        <f aca="false">SUMIFS('Chi tiết SKU'!$O$2:$O$1253,'Chi tiết SKU'!$A$2:$A$1253,$A74)</f>
        <v>162</v>
      </c>
      <c r="J74" s="4" t="n">
        <f aca="false">SUMIFS('Chi tiết SKU'!$T$2:$T$1253,'Chi tiết SKU'!$A$2:$A$1253,$A74)</f>
        <v>43168000</v>
      </c>
      <c r="K74" s="9" t="n">
        <f aca="false">IFERROR(SUMIFS('Chi tiết SKU'!$S$2:$S$1253,'Chi tiết SKU'!$A$2:$A$1253,$A74)/E74,0)</f>
        <v>23</v>
      </c>
      <c r="L74" s="5" t="n">
        <v>0.17949</v>
      </c>
      <c r="M74" s="8" t="str">
        <f aca="false">IF(F74/E74&gt;=$P$2,"CHẾT – hết hàng",IF(AND(H74&gt;=$P$3,H74&gt;=G74),"ĐẨY XUỐNG CH",IF(K74&lt;$P$4,"PHỦ MỎNG","OK")))</f>
        <v>OK</v>
      </c>
      <c r="N74" s="17" t="s">
        <v>70</v>
      </c>
    </row>
    <row r="75" customFormat="false" ht="26.85" hidden="false" customHeight="false" outlineLevel="0" collapsed="false">
      <c r="A75" s="8" t="s">
        <v>205</v>
      </c>
      <c r="B75" s="8" t="s">
        <v>20</v>
      </c>
      <c r="C75" s="17" t="s">
        <v>206</v>
      </c>
      <c r="D75" s="8" t="s">
        <v>62</v>
      </c>
      <c r="E75" s="4" t="n">
        <f aca="false">COUNTIFS('Chi tiết SKU'!$A$2:$A$1253,$A75)</f>
        <v>1</v>
      </c>
      <c r="F75" s="4" t="n">
        <f aca="false">COUNTIFS('Chi tiết SKU'!$A$2:$A$1253,$A75,'Chi tiết SKU'!$R$2:$R$1253,"&lt;=0")</f>
        <v>0</v>
      </c>
      <c r="G75" s="4" t="n">
        <f aca="false">SUMIFS('Chi tiết SKU'!$M$2:$M$1253,'Chi tiết SKU'!$A$2:$A$1253,$A75)</f>
        <v>478</v>
      </c>
      <c r="H75" s="4" t="n">
        <f aca="false">SUMIFS('Chi tiết SKU'!$N$2:$N$1253,'Chi tiết SKU'!$A$2:$A$1253,$A75)</f>
        <v>0</v>
      </c>
      <c r="I75" s="4" t="n">
        <f aca="false">SUMIFS('Chi tiết SKU'!$O$2:$O$1253,'Chi tiết SKU'!$A$2:$A$1253,$A75)</f>
        <v>121</v>
      </c>
      <c r="J75" s="4" t="n">
        <f aca="false">SUMIFS('Chi tiết SKU'!$T$2:$T$1253,'Chi tiết SKU'!$A$2:$A$1253,$A75)</f>
        <v>42273000</v>
      </c>
      <c r="K75" s="9" t="n">
        <f aca="false">IFERROR(SUMIFS('Chi tiết SKU'!$S$2:$S$1253,'Chi tiết SKU'!$A$2:$A$1253,$A75)/E75,0)</f>
        <v>21</v>
      </c>
      <c r="L75" s="5" t="n">
        <v>0.33333</v>
      </c>
      <c r="M75" s="8" t="str">
        <f aca="false">IF(F75/E75&gt;=$P$2,"CHẾT – hết hàng",IF(AND(H75&gt;=$P$3,H75&gt;=G75),"ĐẨY XUỐNG CH",IF(K75&lt;$P$4,"PHỦ MỎNG","OK")))</f>
        <v>OK</v>
      </c>
      <c r="N75" s="17" t="s">
        <v>70</v>
      </c>
    </row>
    <row r="76" customFormat="false" ht="26.85" hidden="false" customHeight="false" outlineLevel="0" collapsed="false">
      <c r="A76" s="8" t="s">
        <v>207</v>
      </c>
      <c r="B76" s="8" t="s">
        <v>21</v>
      </c>
      <c r="C76" s="17" t="s">
        <v>208</v>
      </c>
      <c r="D76" s="8" t="s">
        <v>51</v>
      </c>
      <c r="E76" s="4" t="n">
        <f aca="false">COUNTIFS('Chi tiết SKU'!$A$2:$A$1253,$A76)</f>
        <v>1</v>
      </c>
      <c r="F76" s="4" t="n">
        <f aca="false">COUNTIFS('Chi tiết SKU'!$A$2:$A$1253,$A76,'Chi tiết SKU'!$R$2:$R$1253,"&lt;=0")</f>
        <v>0</v>
      </c>
      <c r="G76" s="4" t="n">
        <f aca="false">SUMIFS('Chi tiết SKU'!$M$2:$M$1253,'Chi tiết SKU'!$A$2:$A$1253,$A76)</f>
        <v>131</v>
      </c>
      <c r="H76" s="4" t="n">
        <f aca="false">SUMIFS('Chi tiết SKU'!$N$2:$N$1253,'Chi tiết SKU'!$A$2:$A$1253,$A76)</f>
        <v>0</v>
      </c>
      <c r="I76" s="4" t="n">
        <f aca="false">SUMIFS('Chi tiết SKU'!$O$2:$O$1253,'Chi tiết SKU'!$A$2:$A$1253,$A76)</f>
        <v>38</v>
      </c>
      <c r="J76" s="4" t="n">
        <f aca="false">SUMIFS('Chi tiết SKU'!$T$2:$T$1253,'Chi tiết SKU'!$A$2:$A$1253,$A76)</f>
        <v>40920000</v>
      </c>
      <c r="K76" s="9" t="n">
        <f aca="false">IFERROR(SUMIFS('Chi tiết SKU'!$S$2:$S$1253,'Chi tiết SKU'!$A$2:$A$1253,$A76)/E76,0)</f>
        <v>23</v>
      </c>
      <c r="L76" s="5"/>
      <c r="M76" s="8" t="str">
        <f aca="false">IF(F76/E76&gt;=$P$2,"CHẾT – hết hàng",IF(AND(H76&gt;=$P$3,H76&gt;=G76),"ĐẨY XUỐNG CH",IF(K76&lt;$P$4,"PHỦ MỎNG","OK")))</f>
        <v>OK</v>
      </c>
      <c r="N76" s="17" t="s">
        <v>70</v>
      </c>
    </row>
    <row r="77" customFormat="false" ht="26.85" hidden="false" customHeight="false" outlineLevel="0" collapsed="false">
      <c r="A77" s="8" t="s">
        <v>209</v>
      </c>
      <c r="B77" s="8" t="s">
        <v>28</v>
      </c>
      <c r="C77" s="17" t="s">
        <v>210</v>
      </c>
      <c r="D77" s="8" t="s">
        <v>55</v>
      </c>
      <c r="E77" s="4" t="n">
        <f aca="false">COUNTIFS('Chi tiết SKU'!$A$2:$A$1253,$A77)</f>
        <v>4</v>
      </c>
      <c r="F77" s="4" t="n">
        <f aca="false">COUNTIFS('Chi tiết SKU'!$A$2:$A$1253,$A77,'Chi tiết SKU'!$R$2:$R$1253,"&lt;=0")</f>
        <v>0</v>
      </c>
      <c r="G77" s="4" t="n">
        <f aca="false">SUMIFS('Chi tiết SKU'!$M$2:$M$1253,'Chi tiết SKU'!$A$2:$A$1253,$A77)</f>
        <v>573</v>
      </c>
      <c r="H77" s="4" t="n">
        <f aca="false">SUMIFS('Chi tiết SKU'!$N$2:$N$1253,'Chi tiết SKU'!$A$2:$A$1253,$A77)</f>
        <v>770</v>
      </c>
      <c r="I77" s="4" t="n">
        <f aca="false">SUMIFS('Chi tiết SKU'!$O$2:$O$1253,'Chi tiết SKU'!$A$2:$A$1253,$A77)</f>
        <v>107</v>
      </c>
      <c r="J77" s="4" t="n">
        <f aca="false">SUMIFS('Chi tiết SKU'!$T$2:$T$1253,'Chi tiết SKU'!$A$2:$A$1253,$A77)</f>
        <v>37810000</v>
      </c>
      <c r="K77" s="9" t="n">
        <f aca="false">IFERROR(SUMIFS('Chi tiết SKU'!$S$2:$S$1253,'Chi tiết SKU'!$A$2:$A$1253,$A77)/E77,0)</f>
        <v>17.75</v>
      </c>
      <c r="L77" s="5" t="n">
        <v>0.36036</v>
      </c>
      <c r="M77" s="8" t="str">
        <f aca="false">IF(F77/E77&gt;=$P$2,"CHẾT – hết hàng",IF(AND(H77&gt;=$P$3,H77&gt;=G77),"ĐẨY XUỐNG CH",IF(K77&lt;$P$4,"PHỦ MỎNG","OK")))</f>
        <v>ĐẨY XUỐNG CH</v>
      </c>
      <c r="N77" s="17" t="s">
        <v>211</v>
      </c>
    </row>
    <row r="78" customFormat="false" ht="26.85" hidden="false" customHeight="false" outlineLevel="0" collapsed="false">
      <c r="A78" s="8" t="s">
        <v>212</v>
      </c>
      <c r="B78" s="8" t="s">
        <v>20</v>
      </c>
      <c r="C78" s="17" t="s">
        <v>213</v>
      </c>
      <c r="D78" s="8" t="s">
        <v>62</v>
      </c>
      <c r="E78" s="4" t="n">
        <f aca="false">COUNTIFS('Chi tiết SKU'!$A$2:$A$1253,$A78)</f>
        <v>3</v>
      </c>
      <c r="F78" s="4" t="n">
        <f aca="false">COUNTIFS('Chi tiết SKU'!$A$2:$A$1253,$A78,'Chi tiết SKU'!$R$2:$R$1253,"&lt;=0")</f>
        <v>0</v>
      </c>
      <c r="G78" s="4" t="n">
        <f aca="false">SUMIFS('Chi tiết SKU'!$M$2:$M$1253,'Chi tiết SKU'!$A$2:$A$1253,$A78)</f>
        <v>1342</v>
      </c>
      <c r="H78" s="4" t="n">
        <f aca="false">SUMIFS('Chi tiết SKU'!$N$2:$N$1253,'Chi tiết SKU'!$A$2:$A$1253,$A78)</f>
        <v>0</v>
      </c>
      <c r="I78" s="4" t="n">
        <f aca="false">SUMIFS('Chi tiết SKU'!$O$2:$O$1253,'Chi tiết SKU'!$A$2:$A$1253,$A78)</f>
        <v>295</v>
      </c>
      <c r="J78" s="4" t="n">
        <f aca="false">SUMIFS('Chi tiết SKU'!$T$2:$T$1253,'Chi tiết SKU'!$A$2:$A$1253,$A78)</f>
        <v>37004000</v>
      </c>
      <c r="K78" s="9" t="n">
        <f aca="false">IFERROR(SUMIFS('Chi tiết SKU'!$S$2:$S$1253,'Chi tiết SKU'!$A$2:$A$1253,$A78)/E78,0)</f>
        <v>21.3333333333333</v>
      </c>
      <c r="L78" s="5" t="n">
        <v>0.25</v>
      </c>
      <c r="M78" s="8" t="str">
        <f aca="false">IF(F78/E78&gt;=$P$2,"CHẾT – hết hàng",IF(AND(H78&gt;=$P$3,H78&gt;=G78),"ĐẨY XUỐNG CH",IF(K78&lt;$P$4,"PHỦ MỎNG","OK")))</f>
        <v>OK</v>
      </c>
      <c r="N78" s="17" t="s">
        <v>70</v>
      </c>
    </row>
    <row r="79" customFormat="false" ht="26.85" hidden="false" customHeight="false" outlineLevel="0" collapsed="false">
      <c r="A79" s="8" t="s">
        <v>214</v>
      </c>
      <c r="B79" s="8" t="s">
        <v>26</v>
      </c>
      <c r="C79" s="17" t="s">
        <v>215</v>
      </c>
      <c r="D79" s="8" t="s">
        <v>51</v>
      </c>
      <c r="E79" s="4" t="n">
        <f aca="false">COUNTIFS('Chi tiết SKU'!$A$2:$A$1253,$A79)</f>
        <v>4</v>
      </c>
      <c r="F79" s="4" t="n">
        <f aca="false">COUNTIFS('Chi tiết SKU'!$A$2:$A$1253,$A79,'Chi tiết SKU'!$R$2:$R$1253,"&lt;=0")</f>
        <v>0</v>
      </c>
      <c r="G79" s="4" t="n">
        <f aca="false">SUMIFS('Chi tiết SKU'!$M$2:$M$1253,'Chi tiết SKU'!$A$2:$A$1253,$A79)</f>
        <v>597</v>
      </c>
      <c r="H79" s="4" t="n">
        <f aca="false">SUMIFS('Chi tiết SKU'!$N$2:$N$1253,'Chi tiết SKU'!$A$2:$A$1253,$A79)</f>
        <v>0</v>
      </c>
      <c r="I79" s="4" t="n">
        <f aca="false">SUMIFS('Chi tiết SKU'!$O$2:$O$1253,'Chi tiết SKU'!$A$2:$A$1253,$A79)</f>
        <v>10</v>
      </c>
      <c r="J79" s="4" t="n">
        <f aca="false">SUMIFS('Chi tiết SKU'!$T$2:$T$1253,'Chi tiết SKU'!$A$2:$A$1253,$A79)</f>
        <v>36420000</v>
      </c>
      <c r="K79" s="9" t="n">
        <f aca="false">IFERROR(SUMIFS('Chi tiết SKU'!$S$2:$S$1253,'Chi tiết SKU'!$A$2:$A$1253,$A79)/E79,0)</f>
        <v>16.75</v>
      </c>
      <c r="L79" s="5" t="n">
        <v>0.21333</v>
      </c>
      <c r="M79" s="8" t="str">
        <f aca="false">IF(F79/E79&gt;=$P$2,"CHẾT – hết hàng",IF(AND(H79&gt;=$P$3,H79&gt;=G79),"ĐẨY XUỐNG CH",IF(K79&lt;$P$4,"PHỦ MỎNG","OK")))</f>
        <v>OK</v>
      </c>
      <c r="N79" s="17" t="s">
        <v>70</v>
      </c>
    </row>
    <row r="80" customFormat="false" ht="26.85" hidden="false" customHeight="false" outlineLevel="0" collapsed="false">
      <c r="A80" s="8" t="s">
        <v>216</v>
      </c>
      <c r="B80" s="8" t="s">
        <v>20</v>
      </c>
      <c r="C80" s="17" t="s">
        <v>217</v>
      </c>
      <c r="D80" s="8" t="s">
        <v>51</v>
      </c>
      <c r="E80" s="4" t="n">
        <f aca="false">COUNTIFS('Chi tiết SKU'!$A$2:$A$1253,$A80)</f>
        <v>1</v>
      </c>
      <c r="F80" s="4" t="n">
        <f aca="false">COUNTIFS('Chi tiết SKU'!$A$2:$A$1253,$A80,'Chi tiết SKU'!$R$2:$R$1253,"&lt;=0")</f>
        <v>0</v>
      </c>
      <c r="G80" s="4" t="n">
        <f aca="false">SUMIFS('Chi tiết SKU'!$M$2:$M$1253,'Chi tiết SKU'!$A$2:$A$1253,$A80)</f>
        <v>149</v>
      </c>
      <c r="H80" s="4" t="n">
        <f aca="false">SUMIFS('Chi tiết SKU'!$N$2:$N$1253,'Chi tiết SKU'!$A$2:$A$1253,$A80)</f>
        <v>0</v>
      </c>
      <c r="I80" s="4" t="n">
        <f aca="false">SUMIFS('Chi tiết SKU'!$O$2:$O$1253,'Chi tiết SKU'!$A$2:$A$1253,$A80)</f>
        <v>36</v>
      </c>
      <c r="J80" s="4" t="n">
        <f aca="false">SUMIFS('Chi tiết SKU'!$T$2:$T$1253,'Chi tiết SKU'!$A$2:$A$1253,$A80)</f>
        <v>35154000</v>
      </c>
      <c r="K80" s="9" t="n">
        <f aca="false">IFERROR(SUMIFS('Chi tiết SKU'!$S$2:$S$1253,'Chi tiết SKU'!$A$2:$A$1253,$A80)/E80,0)</f>
        <v>23</v>
      </c>
      <c r="L80" s="5" t="n">
        <v>0.46</v>
      </c>
      <c r="M80" s="8" t="str">
        <f aca="false">IF(F80/E80&gt;=$P$2,"CHẾT – hết hàng",IF(AND(H80&gt;=$P$3,H80&gt;=G80),"ĐẨY XUỐNG CH",IF(K80&lt;$P$4,"PHỦ MỎNG","OK")))</f>
        <v>OK</v>
      </c>
      <c r="N80" s="17" t="s">
        <v>70</v>
      </c>
    </row>
    <row r="81" customFormat="false" ht="26.85" hidden="false" customHeight="false" outlineLevel="0" collapsed="false">
      <c r="A81" s="8" t="s">
        <v>218</v>
      </c>
      <c r="B81" s="8" t="s">
        <v>26</v>
      </c>
      <c r="C81" s="17" t="s">
        <v>219</v>
      </c>
      <c r="D81" s="8" t="s">
        <v>51</v>
      </c>
      <c r="E81" s="4" t="n">
        <f aca="false">COUNTIFS('Chi tiết SKU'!$A$2:$A$1253,$A81)</f>
        <v>2</v>
      </c>
      <c r="F81" s="4" t="n">
        <f aca="false">COUNTIFS('Chi tiết SKU'!$A$2:$A$1253,$A81,'Chi tiết SKU'!$R$2:$R$1253,"&lt;=0")</f>
        <v>0</v>
      </c>
      <c r="G81" s="4" t="n">
        <f aca="false">SUMIFS('Chi tiết SKU'!$M$2:$M$1253,'Chi tiết SKU'!$A$2:$A$1253,$A81)</f>
        <v>616</v>
      </c>
      <c r="H81" s="4" t="n">
        <f aca="false">SUMIFS('Chi tiết SKU'!$N$2:$N$1253,'Chi tiết SKU'!$A$2:$A$1253,$A81)</f>
        <v>0</v>
      </c>
      <c r="I81" s="4" t="n">
        <f aca="false">SUMIFS('Chi tiết SKU'!$O$2:$O$1253,'Chi tiết SKU'!$A$2:$A$1253,$A81)</f>
        <v>55</v>
      </c>
      <c r="J81" s="4" t="n">
        <f aca="false">SUMIFS('Chi tiết SKU'!$T$2:$T$1253,'Chi tiết SKU'!$A$2:$A$1253,$A81)</f>
        <v>33106000</v>
      </c>
      <c r="K81" s="9" t="n">
        <f aca="false">IFERROR(SUMIFS('Chi tiết SKU'!$S$2:$S$1253,'Chi tiết SKU'!$A$2:$A$1253,$A81)/E81,0)</f>
        <v>22.5</v>
      </c>
      <c r="L81" s="5" t="n">
        <v>0.241665</v>
      </c>
      <c r="M81" s="8" t="str">
        <f aca="false">IF(F81/E81&gt;=$P$2,"CHẾT – hết hàng",IF(AND(H81&gt;=$P$3,H81&gt;=G81),"ĐẨY XUỐNG CH",IF(K81&lt;$P$4,"PHỦ MỎNG","OK")))</f>
        <v>OK</v>
      </c>
      <c r="N81" s="17" t="s">
        <v>70</v>
      </c>
    </row>
    <row r="82" customFormat="false" ht="26.85" hidden="false" customHeight="false" outlineLevel="0" collapsed="false">
      <c r="A82" s="8" t="s">
        <v>220</v>
      </c>
      <c r="B82" s="8" t="s">
        <v>28</v>
      </c>
      <c r="C82" s="17" t="s">
        <v>221</v>
      </c>
      <c r="D82" s="8" t="s">
        <v>55</v>
      </c>
      <c r="E82" s="4" t="n">
        <f aca="false">COUNTIFS('Chi tiết SKU'!$A$2:$A$1253,$A82)</f>
        <v>1</v>
      </c>
      <c r="F82" s="4" t="n">
        <f aca="false">COUNTIFS('Chi tiết SKU'!$A$2:$A$1253,$A82,'Chi tiết SKU'!$R$2:$R$1253,"&lt;=0")</f>
        <v>0</v>
      </c>
      <c r="G82" s="4" t="n">
        <f aca="false">SUMIFS('Chi tiết SKU'!$M$2:$M$1253,'Chi tiết SKU'!$A$2:$A$1253,$A82)</f>
        <v>236</v>
      </c>
      <c r="H82" s="4" t="n">
        <f aca="false">SUMIFS('Chi tiết SKU'!$N$2:$N$1253,'Chi tiết SKU'!$A$2:$A$1253,$A82)</f>
        <v>0</v>
      </c>
      <c r="I82" s="4" t="n">
        <f aca="false">SUMIFS('Chi tiết SKU'!$O$2:$O$1253,'Chi tiết SKU'!$A$2:$A$1253,$A82)</f>
        <v>0</v>
      </c>
      <c r="J82" s="4" t="n">
        <f aca="false">SUMIFS('Chi tiết SKU'!$T$2:$T$1253,'Chi tiết SKU'!$A$2:$A$1253,$A82)</f>
        <v>31624000</v>
      </c>
      <c r="K82" s="9" t="n">
        <f aca="false">IFERROR(SUMIFS('Chi tiết SKU'!$S$2:$S$1253,'Chi tiết SKU'!$A$2:$A$1253,$A82)/E82,0)</f>
        <v>16</v>
      </c>
      <c r="L82" s="5" t="n">
        <v>0.5</v>
      </c>
      <c r="M82" s="8" t="str">
        <f aca="false">IF(F82/E82&gt;=$P$2,"CHẾT – hết hàng",IF(AND(H82&gt;=$P$3,H82&gt;=G82),"ĐẨY XUỐNG CH",IF(K82&lt;$P$4,"PHỦ MỎNG","OK")))</f>
        <v>OK</v>
      </c>
      <c r="N82" s="17" t="s">
        <v>70</v>
      </c>
    </row>
    <row r="83" customFormat="false" ht="26.85" hidden="false" customHeight="false" outlineLevel="0" collapsed="false">
      <c r="A83" s="8" t="s">
        <v>222</v>
      </c>
      <c r="B83" s="8" t="s">
        <v>26</v>
      </c>
      <c r="C83" s="17" t="s">
        <v>223</v>
      </c>
      <c r="D83" s="8" t="s">
        <v>51</v>
      </c>
      <c r="E83" s="4" t="n">
        <f aca="false">COUNTIFS('Chi tiết SKU'!$A$2:$A$1253,$A83)</f>
        <v>1</v>
      </c>
      <c r="F83" s="4" t="n">
        <f aca="false">COUNTIFS('Chi tiết SKU'!$A$2:$A$1253,$A83,'Chi tiết SKU'!$R$2:$R$1253,"&lt;=0")</f>
        <v>0</v>
      </c>
      <c r="G83" s="4" t="n">
        <f aca="false">SUMIFS('Chi tiết SKU'!$M$2:$M$1253,'Chi tiết SKU'!$A$2:$A$1253,$A83)</f>
        <v>279</v>
      </c>
      <c r="H83" s="4" t="n">
        <f aca="false">SUMIFS('Chi tiết SKU'!$N$2:$N$1253,'Chi tiết SKU'!$A$2:$A$1253,$A83)</f>
        <v>0</v>
      </c>
      <c r="I83" s="4" t="n">
        <f aca="false">SUMIFS('Chi tiết SKU'!$O$2:$O$1253,'Chi tiết SKU'!$A$2:$A$1253,$A83)</f>
        <v>116</v>
      </c>
      <c r="J83" s="4" t="n">
        <f aca="false">SUMIFS('Chi tiết SKU'!$T$2:$T$1253,'Chi tiết SKU'!$A$2:$A$1253,$A83)</f>
        <v>27393000</v>
      </c>
      <c r="K83" s="9" t="n">
        <f aca="false">IFERROR(SUMIFS('Chi tiết SKU'!$S$2:$S$1253,'Chi tiết SKU'!$A$2:$A$1253,$A83)/E83,0)</f>
        <v>22</v>
      </c>
      <c r="L83" s="5" t="n">
        <v>0.18824</v>
      </c>
      <c r="M83" s="8" t="str">
        <f aca="false">IF(F83/E83&gt;=$P$2,"CHẾT – hết hàng",IF(AND(H83&gt;=$P$3,H83&gt;=G83),"ĐẨY XUỐNG CH",IF(K83&lt;$P$4,"PHỦ MỎNG","OK")))</f>
        <v>OK</v>
      </c>
      <c r="N83" s="17" t="s">
        <v>70</v>
      </c>
    </row>
    <row r="84" customFormat="false" ht="26.85" hidden="false" customHeight="false" outlineLevel="0" collapsed="false">
      <c r="A84" s="8" t="s">
        <v>224</v>
      </c>
      <c r="B84" s="8" t="s">
        <v>20</v>
      </c>
      <c r="C84" s="17" t="s">
        <v>225</v>
      </c>
      <c r="D84" s="8" t="s">
        <v>55</v>
      </c>
      <c r="E84" s="4" t="n">
        <f aca="false">COUNTIFS('Chi tiết SKU'!$A$2:$A$1253,$A84)</f>
        <v>1</v>
      </c>
      <c r="F84" s="4" t="n">
        <f aca="false">COUNTIFS('Chi tiết SKU'!$A$2:$A$1253,$A84,'Chi tiết SKU'!$R$2:$R$1253,"&lt;=0")</f>
        <v>0</v>
      </c>
      <c r="G84" s="4" t="n">
        <f aca="false">SUMIFS('Chi tiết SKU'!$M$2:$M$1253,'Chi tiết SKU'!$A$2:$A$1253,$A84)</f>
        <v>1170</v>
      </c>
      <c r="H84" s="4" t="n">
        <f aca="false">SUMIFS('Chi tiết SKU'!$N$2:$N$1253,'Chi tiết SKU'!$A$2:$A$1253,$A84)</f>
        <v>0</v>
      </c>
      <c r="I84" s="4" t="n">
        <f aca="false">SUMIFS('Chi tiết SKU'!$O$2:$O$1253,'Chi tiết SKU'!$A$2:$A$1253,$A84)</f>
        <v>0</v>
      </c>
      <c r="J84" s="4" t="n">
        <f aca="false">SUMIFS('Chi tiết SKU'!$T$2:$T$1253,'Chi tiết SKU'!$A$2:$A$1253,$A84)</f>
        <v>25828000</v>
      </c>
      <c r="K84" s="9" t="n">
        <f aca="false">IFERROR(SUMIFS('Chi tiết SKU'!$S$2:$S$1253,'Chi tiết SKU'!$A$2:$A$1253,$A84)/E84,0)</f>
        <v>22</v>
      </c>
      <c r="L84" s="5" t="n">
        <v>0.33333</v>
      </c>
      <c r="M84" s="8" t="str">
        <f aca="false">IF(F84/E84&gt;=$P$2,"CHẾT – hết hàng",IF(AND(H84&gt;=$P$3,H84&gt;=G84),"ĐẨY XUỐNG CH",IF(K84&lt;$P$4,"PHỦ MỎNG","OK")))</f>
        <v>OK</v>
      </c>
      <c r="N84" s="17" t="s">
        <v>70</v>
      </c>
    </row>
    <row r="85" customFormat="false" ht="26.85" hidden="false" customHeight="false" outlineLevel="0" collapsed="false">
      <c r="A85" s="8" t="s">
        <v>226</v>
      </c>
      <c r="B85" s="8" t="s">
        <v>23</v>
      </c>
      <c r="C85" s="17" t="s">
        <v>227</v>
      </c>
      <c r="D85" s="8" t="s">
        <v>51</v>
      </c>
      <c r="E85" s="4" t="n">
        <f aca="false">COUNTIFS('Chi tiết SKU'!$A$2:$A$1253,$A85)</f>
        <v>6</v>
      </c>
      <c r="F85" s="4" t="n">
        <f aca="false">COUNTIFS('Chi tiết SKU'!$A$2:$A$1253,$A85,'Chi tiết SKU'!$R$2:$R$1253,"&lt;=0")</f>
        <v>0</v>
      </c>
      <c r="G85" s="4" t="n">
        <f aca="false">SUMIFS('Chi tiết SKU'!$M$2:$M$1253,'Chi tiết SKU'!$A$2:$A$1253,$A85)</f>
        <v>1572</v>
      </c>
      <c r="H85" s="4" t="n">
        <f aca="false">SUMIFS('Chi tiết SKU'!$N$2:$N$1253,'Chi tiết SKU'!$A$2:$A$1253,$A85)</f>
        <v>0</v>
      </c>
      <c r="I85" s="4" t="n">
        <f aca="false">SUMIFS('Chi tiết SKU'!$O$2:$O$1253,'Chi tiết SKU'!$A$2:$A$1253,$A85)</f>
        <v>0</v>
      </c>
      <c r="J85" s="4" t="n">
        <f aca="false">SUMIFS('Chi tiết SKU'!$T$2:$T$1253,'Chi tiết SKU'!$A$2:$A$1253,$A85)</f>
        <v>24068000</v>
      </c>
      <c r="K85" s="9" t="n">
        <f aca="false">IFERROR(SUMIFS('Chi tiết SKU'!$S$2:$S$1253,'Chi tiết SKU'!$A$2:$A$1253,$A85)/E85,0)</f>
        <v>10.8333333333333</v>
      </c>
      <c r="L85" s="5" t="n">
        <v>0.767855</v>
      </c>
      <c r="M85" s="8" t="str">
        <f aca="false">IF(F85/E85&gt;=$P$2,"CHẾT – hết hàng",IF(AND(H85&gt;=$P$3,H85&gt;=G85),"ĐẨY XUỐNG CH",IF(K85&lt;$P$4,"PHỦ MỎNG","OK")))</f>
        <v>OK</v>
      </c>
      <c r="N85" s="17" t="s">
        <v>94</v>
      </c>
    </row>
    <row r="86" customFormat="false" ht="26.85" hidden="false" customHeight="false" outlineLevel="0" collapsed="false">
      <c r="A86" s="8" t="s">
        <v>228</v>
      </c>
      <c r="B86" s="8" t="s">
        <v>22</v>
      </c>
      <c r="C86" s="17" t="s">
        <v>229</v>
      </c>
      <c r="D86" s="8" t="s">
        <v>62</v>
      </c>
      <c r="E86" s="4" t="n">
        <f aca="false">COUNTIFS('Chi tiết SKU'!$A$2:$A$1253,$A86)</f>
        <v>1</v>
      </c>
      <c r="F86" s="4" t="n">
        <f aca="false">COUNTIFS('Chi tiết SKU'!$A$2:$A$1253,$A86,'Chi tiết SKU'!$R$2:$R$1253,"&lt;=0")</f>
        <v>0</v>
      </c>
      <c r="G86" s="4" t="n">
        <f aca="false">SUMIFS('Chi tiết SKU'!$M$2:$M$1253,'Chi tiết SKU'!$A$2:$A$1253,$A86)</f>
        <v>324</v>
      </c>
      <c r="H86" s="4" t="n">
        <f aca="false">SUMIFS('Chi tiết SKU'!$N$2:$N$1253,'Chi tiết SKU'!$A$2:$A$1253,$A86)</f>
        <v>432</v>
      </c>
      <c r="I86" s="4" t="n">
        <f aca="false">SUMIFS('Chi tiết SKU'!$O$2:$O$1253,'Chi tiết SKU'!$A$2:$A$1253,$A86)</f>
        <v>5</v>
      </c>
      <c r="J86" s="4" t="n">
        <f aca="false">SUMIFS('Chi tiết SKU'!$T$2:$T$1253,'Chi tiết SKU'!$A$2:$A$1253,$A86)</f>
        <v>22830000</v>
      </c>
      <c r="K86" s="9" t="n">
        <f aca="false">IFERROR(SUMIFS('Chi tiết SKU'!$S$2:$S$1253,'Chi tiết SKU'!$A$2:$A$1253,$A86)/E86,0)</f>
        <v>20</v>
      </c>
      <c r="L86" s="5" t="n">
        <v>0.33333</v>
      </c>
      <c r="M86" s="8" t="str">
        <f aca="false">IF(F86/E86&gt;=$P$2,"CHẾT – hết hàng",IF(AND(H86&gt;=$P$3,H86&gt;=G86),"ĐẨY XUỐNG CH",IF(K86&lt;$P$4,"PHỦ MỎNG","OK")))</f>
        <v>ĐẨY XUỐNG CH</v>
      </c>
      <c r="N86" s="17" t="s">
        <v>230</v>
      </c>
    </row>
    <row r="87" customFormat="false" ht="26.85" hidden="false" customHeight="false" outlineLevel="0" collapsed="false">
      <c r="A87" s="8" t="s">
        <v>231</v>
      </c>
      <c r="B87" s="8" t="s">
        <v>31</v>
      </c>
      <c r="C87" s="17" t="s">
        <v>232</v>
      </c>
      <c r="D87" s="8" t="s">
        <v>62</v>
      </c>
      <c r="E87" s="4" t="n">
        <f aca="false">COUNTIFS('Chi tiết SKU'!$A$2:$A$1253,$A87)</f>
        <v>1</v>
      </c>
      <c r="F87" s="4" t="n">
        <f aca="false">COUNTIFS('Chi tiết SKU'!$A$2:$A$1253,$A87,'Chi tiết SKU'!$R$2:$R$1253,"&lt;=0")</f>
        <v>0</v>
      </c>
      <c r="G87" s="4" t="n">
        <f aca="false">SUMIFS('Chi tiết SKU'!$M$2:$M$1253,'Chi tiết SKU'!$A$2:$A$1253,$A87)</f>
        <v>664</v>
      </c>
      <c r="H87" s="4" t="n">
        <f aca="false">SUMIFS('Chi tiết SKU'!$N$2:$N$1253,'Chi tiết SKU'!$A$2:$A$1253,$A87)</f>
        <v>0</v>
      </c>
      <c r="I87" s="4" t="n">
        <f aca="false">SUMIFS('Chi tiết SKU'!$O$2:$O$1253,'Chi tiết SKU'!$A$2:$A$1253,$A87)</f>
        <v>190</v>
      </c>
      <c r="J87" s="4" t="n">
        <f aca="false">SUMIFS('Chi tiết SKU'!$T$2:$T$1253,'Chi tiết SKU'!$A$2:$A$1253,$A87)</f>
        <v>16226000</v>
      </c>
      <c r="K87" s="9" t="n">
        <f aca="false">IFERROR(SUMIFS('Chi tiết SKU'!$S$2:$S$1253,'Chi tiết SKU'!$A$2:$A$1253,$A87)/E87,0)</f>
        <v>23</v>
      </c>
      <c r="L87" s="5" t="n">
        <v>0.33333</v>
      </c>
      <c r="M87" s="8" t="str">
        <f aca="false">IF(F87/E87&gt;=$P$2,"CHẾT – hết hàng",IF(AND(H87&gt;=$P$3,H87&gt;=G87),"ĐẨY XUỐNG CH",IF(K87&lt;$P$4,"PHỦ MỎNG","OK")))</f>
        <v>OK</v>
      </c>
      <c r="N87" s="17" t="s">
        <v>70</v>
      </c>
    </row>
    <row r="88" customFormat="false" ht="26.85" hidden="false" customHeight="false" outlineLevel="0" collapsed="false">
      <c r="A88" s="8" t="s">
        <v>233</v>
      </c>
      <c r="B88" s="8" t="s">
        <v>21</v>
      </c>
      <c r="C88" s="17" t="s">
        <v>234</v>
      </c>
      <c r="D88" s="8" t="s">
        <v>51</v>
      </c>
      <c r="E88" s="4" t="n">
        <f aca="false">COUNTIFS('Chi tiết SKU'!$A$2:$A$1253,$A88)</f>
        <v>1</v>
      </c>
      <c r="F88" s="4" t="n">
        <f aca="false">COUNTIFS('Chi tiết SKU'!$A$2:$A$1253,$A88,'Chi tiết SKU'!$R$2:$R$1253,"&lt;=0")</f>
        <v>0</v>
      </c>
      <c r="G88" s="4" t="n">
        <f aca="false">SUMIFS('Chi tiết SKU'!$M$2:$M$1253,'Chi tiết SKU'!$A$2:$A$1253,$A88)</f>
        <v>77</v>
      </c>
      <c r="H88" s="4" t="n">
        <f aca="false">SUMIFS('Chi tiết SKU'!$N$2:$N$1253,'Chi tiết SKU'!$A$2:$A$1253,$A88)</f>
        <v>0</v>
      </c>
      <c r="I88" s="4" t="n">
        <f aca="false">SUMIFS('Chi tiết SKU'!$O$2:$O$1253,'Chi tiết SKU'!$A$2:$A$1253,$A88)</f>
        <v>0</v>
      </c>
      <c r="J88" s="4" t="n">
        <f aca="false">SUMIFS('Chi tiết SKU'!$T$2:$T$1253,'Chi tiết SKU'!$A$2:$A$1253,$A88)</f>
        <v>15400000</v>
      </c>
      <c r="K88" s="9" t="n">
        <f aca="false">IFERROR(SUMIFS('Chi tiết SKU'!$S$2:$S$1253,'Chi tiết SKU'!$A$2:$A$1253,$A88)/E88,0)</f>
        <v>7</v>
      </c>
      <c r="L88" s="5" t="n">
        <v>0.7764</v>
      </c>
      <c r="M88" s="8" t="str">
        <f aca="false">IF(F88/E88&gt;=$P$2,"CHẾT – hết hàng",IF(AND(H88&gt;=$P$3,H88&gt;=G88),"ĐẨY XUỐNG CH",IF(K88&lt;$P$4,"PHỦ MỎNG","OK")))</f>
        <v>PHỦ MỎNG</v>
      </c>
      <c r="N88" s="17" t="s">
        <v>99</v>
      </c>
    </row>
    <row r="89" customFormat="false" ht="26.85" hidden="false" customHeight="false" outlineLevel="0" collapsed="false">
      <c r="A89" s="8" t="s">
        <v>235</v>
      </c>
      <c r="B89" s="8" t="s">
        <v>24</v>
      </c>
      <c r="C89" s="17" t="s">
        <v>236</v>
      </c>
      <c r="D89" s="8" t="s">
        <v>51</v>
      </c>
      <c r="E89" s="4" t="n">
        <f aca="false">COUNTIFS('Chi tiết SKU'!$A$2:$A$1253,$A89)</f>
        <v>26</v>
      </c>
      <c r="F89" s="4" t="n">
        <f aca="false">COUNTIFS('Chi tiết SKU'!$A$2:$A$1253,$A89,'Chi tiết SKU'!$R$2:$R$1253,"&lt;=0")</f>
        <v>20</v>
      </c>
      <c r="G89" s="4" t="n">
        <f aca="false">SUMIFS('Chi tiết SKU'!$M$2:$M$1253,'Chi tiết SKU'!$A$2:$A$1253,$A89)</f>
        <v>75</v>
      </c>
      <c r="H89" s="4" t="n">
        <f aca="false">SUMIFS('Chi tiết SKU'!$N$2:$N$1253,'Chi tiết SKU'!$A$2:$A$1253,$A89)</f>
        <v>0</v>
      </c>
      <c r="I89" s="4" t="n">
        <f aca="false">SUMIFS('Chi tiết SKU'!$O$2:$O$1253,'Chi tiết SKU'!$A$2:$A$1253,$A89)</f>
        <v>0</v>
      </c>
      <c r="J89" s="4" t="n">
        <f aca="false">SUMIFS('Chi tiết SKU'!$T$2:$T$1253,'Chi tiết SKU'!$A$2:$A$1253,$A89)</f>
        <v>15323000</v>
      </c>
      <c r="K89" s="9" t="n">
        <f aca="false">IFERROR(SUMIFS('Chi tiết SKU'!$S$2:$S$1253,'Chi tiết SKU'!$A$2:$A$1253,$A89)/E89,0)</f>
        <v>0.884615384615385</v>
      </c>
      <c r="L89" s="5" t="n">
        <v>0.43143</v>
      </c>
      <c r="M89" s="8" t="str">
        <f aca="false">IF(F89/E89&gt;=$P$2,"CHẾT – hết hàng",IF(AND(H89&gt;=$P$3,H89&gt;=G89),"ĐẨY XUỐNG CH",IF(K89&lt;$P$4,"PHỦ MỎNG","OK")))</f>
        <v>PHỦ MỎNG</v>
      </c>
      <c r="N89" s="17" t="s">
        <v>94</v>
      </c>
    </row>
    <row r="90" customFormat="false" ht="26.85" hidden="false" customHeight="false" outlineLevel="0" collapsed="false">
      <c r="A90" s="8" t="s">
        <v>237</v>
      </c>
      <c r="B90" s="8" t="s">
        <v>21</v>
      </c>
      <c r="C90" s="17" t="s">
        <v>238</v>
      </c>
      <c r="D90" s="8" t="s">
        <v>51</v>
      </c>
      <c r="E90" s="4" t="n">
        <f aca="false">COUNTIFS('Chi tiết SKU'!$A$2:$A$1253,$A90)</f>
        <v>1</v>
      </c>
      <c r="F90" s="4" t="n">
        <f aca="false">COUNTIFS('Chi tiết SKU'!$A$2:$A$1253,$A90,'Chi tiết SKU'!$R$2:$R$1253,"&lt;=0")</f>
        <v>0</v>
      </c>
      <c r="G90" s="4" t="n">
        <f aca="false">SUMIFS('Chi tiết SKU'!$M$2:$M$1253,'Chi tiết SKU'!$A$2:$A$1253,$A90)</f>
        <v>12</v>
      </c>
      <c r="H90" s="4" t="n">
        <f aca="false">SUMIFS('Chi tiết SKU'!$N$2:$N$1253,'Chi tiết SKU'!$A$2:$A$1253,$A90)</f>
        <v>0</v>
      </c>
      <c r="I90" s="4" t="n">
        <f aca="false">SUMIFS('Chi tiết SKU'!$O$2:$O$1253,'Chi tiết SKU'!$A$2:$A$1253,$A90)</f>
        <v>0</v>
      </c>
      <c r="J90" s="4" t="n">
        <f aca="false">SUMIFS('Chi tiết SKU'!$T$2:$T$1253,'Chi tiết SKU'!$A$2:$A$1253,$A90)</f>
        <v>12656000</v>
      </c>
      <c r="K90" s="9" t="n">
        <f aca="false">IFERROR(SUMIFS('Chi tiết SKU'!$S$2:$S$1253,'Chi tiết SKU'!$A$2:$A$1253,$A90)/E90,0)</f>
        <v>9</v>
      </c>
      <c r="L90" s="5" t="n">
        <v>0.35</v>
      </c>
      <c r="M90" s="8" t="str">
        <f aca="false">IF(F90/E90&gt;=$P$2,"CHẾT – hết hàng",IF(AND(H90&gt;=$P$3,H90&gt;=G90),"ĐẨY XUỐNG CH",IF(K90&lt;$P$4,"PHỦ MỎNG","OK")))</f>
        <v>OK</v>
      </c>
      <c r="N90" s="17" t="s">
        <v>70</v>
      </c>
    </row>
    <row r="91" customFormat="false" ht="26.85" hidden="false" customHeight="false" outlineLevel="0" collapsed="false">
      <c r="A91" s="8" t="s">
        <v>239</v>
      </c>
      <c r="B91" s="8" t="s">
        <v>26</v>
      </c>
      <c r="C91" s="17" t="s">
        <v>240</v>
      </c>
      <c r="D91" s="8" t="s">
        <v>51</v>
      </c>
      <c r="E91" s="4" t="n">
        <f aca="false">COUNTIFS('Chi tiết SKU'!$A$2:$A$1253,$A91)</f>
        <v>1</v>
      </c>
      <c r="F91" s="4" t="n">
        <f aca="false">COUNTIFS('Chi tiết SKU'!$A$2:$A$1253,$A91,'Chi tiết SKU'!$R$2:$R$1253,"&lt;=0")</f>
        <v>0</v>
      </c>
      <c r="G91" s="4" t="n">
        <f aca="false">SUMIFS('Chi tiết SKU'!$M$2:$M$1253,'Chi tiết SKU'!$A$2:$A$1253,$A91)</f>
        <v>412</v>
      </c>
      <c r="H91" s="4" t="n">
        <f aca="false">SUMIFS('Chi tiết SKU'!$N$2:$N$1253,'Chi tiết SKU'!$A$2:$A$1253,$A91)</f>
        <v>0</v>
      </c>
      <c r="I91" s="4" t="n">
        <f aca="false">SUMIFS('Chi tiết SKU'!$O$2:$O$1253,'Chi tiết SKU'!$A$2:$A$1253,$A91)</f>
        <v>0</v>
      </c>
      <c r="J91" s="4" t="n">
        <f aca="false">SUMIFS('Chi tiết SKU'!$T$2:$T$1253,'Chi tiết SKU'!$A$2:$A$1253,$A91)</f>
        <v>10712000</v>
      </c>
      <c r="K91" s="9" t="n">
        <f aca="false">IFERROR(SUMIFS('Chi tiết SKU'!$S$2:$S$1253,'Chi tiết SKU'!$A$2:$A$1253,$A91)/E91,0)</f>
        <v>23</v>
      </c>
      <c r="L91" s="5" t="n">
        <v>0.44444</v>
      </c>
      <c r="M91" s="8" t="str">
        <f aca="false">IF(F91/E91&gt;=$P$2,"CHẾT – hết hàng",IF(AND(H91&gt;=$P$3,H91&gt;=G91),"ĐẨY XUỐNG CH",IF(K91&lt;$P$4,"PHỦ MỎNG","OK")))</f>
        <v>OK</v>
      </c>
      <c r="N91" s="17" t="s">
        <v>70</v>
      </c>
    </row>
    <row r="92" customFormat="false" ht="26.85" hidden="false" customHeight="false" outlineLevel="0" collapsed="false">
      <c r="A92" s="8" t="s">
        <v>241</v>
      </c>
      <c r="B92" s="8" t="s">
        <v>22</v>
      </c>
      <c r="C92" s="17" t="s">
        <v>242</v>
      </c>
      <c r="D92" s="8" t="s">
        <v>51</v>
      </c>
      <c r="E92" s="4" t="n">
        <f aca="false">COUNTIFS('Chi tiết SKU'!$A$2:$A$1253,$A92)</f>
        <v>17</v>
      </c>
      <c r="F92" s="4" t="n">
        <f aca="false">COUNTIFS('Chi tiết SKU'!$A$2:$A$1253,$A92,'Chi tiết SKU'!$R$2:$R$1253,"&lt;=0")</f>
        <v>4</v>
      </c>
      <c r="G92" s="4" t="n">
        <f aca="false">SUMIFS('Chi tiết SKU'!$M$2:$M$1253,'Chi tiết SKU'!$A$2:$A$1253,$A92)</f>
        <v>108</v>
      </c>
      <c r="H92" s="4" t="n">
        <f aca="false">SUMIFS('Chi tiết SKU'!$N$2:$N$1253,'Chi tiết SKU'!$A$2:$A$1253,$A92)</f>
        <v>0</v>
      </c>
      <c r="I92" s="4" t="n">
        <f aca="false">SUMIFS('Chi tiết SKU'!$O$2:$O$1253,'Chi tiết SKU'!$A$2:$A$1253,$A92)</f>
        <v>0</v>
      </c>
      <c r="J92" s="4" t="n">
        <f aca="false">SUMIFS('Chi tiết SKU'!$T$2:$T$1253,'Chi tiết SKU'!$A$2:$A$1253,$A92)</f>
        <v>10709000</v>
      </c>
      <c r="K92" s="9" t="n">
        <f aca="false">IFERROR(SUMIFS('Chi tiết SKU'!$S$2:$S$1253,'Chi tiết SKU'!$A$2:$A$1253,$A92)/E92,0)</f>
        <v>2.35294117647059</v>
      </c>
      <c r="L92" s="5" t="n">
        <v>0.71714</v>
      </c>
      <c r="M92" s="8" t="str">
        <f aca="false">IF(F92/E92&gt;=$P$2,"CHẾT – hết hàng",IF(AND(H92&gt;=$P$3,H92&gt;=G92),"ĐẨY XUỐNG CH",IF(K92&lt;$P$4,"PHỦ MỎNG","OK")))</f>
        <v>PHỦ MỎNG</v>
      </c>
      <c r="N92" s="17" t="s">
        <v>99</v>
      </c>
    </row>
    <row r="93" customFormat="false" ht="26.85" hidden="false" customHeight="false" outlineLevel="0" collapsed="false">
      <c r="A93" s="8" t="s">
        <v>243</v>
      </c>
      <c r="B93" s="8" t="s">
        <v>20</v>
      </c>
      <c r="C93" s="17" t="s">
        <v>244</v>
      </c>
      <c r="D93" s="8" t="s">
        <v>51</v>
      </c>
      <c r="E93" s="4" t="n">
        <f aca="false">COUNTIFS('Chi tiết SKU'!$A$2:$A$1253,$A93)</f>
        <v>1</v>
      </c>
      <c r="F93" s="4" t="n">
        <f aca="false">COUNTIFS('Chi tiết SKU'!$A$2:$A$1253,$A93,'Chi tiết SKU'!$R$2:$R$1253,"&lt;=0")</f>
        <v>0</v>
      </c>
      <c r="G93" s="4" t="n">
        <f aca="false">SUMIFS('Chi tiết SKU'!$M$2:$M$1253,'Chi tiết SKU'!$A$2:$A$1253,$A93)</f>
        <v>22</v>
      </c>
      <c r="H93" s="4" t="n">
        <f aca="false">SUMIFS('Chi tiết SKU'!$N$2:$N$1253,'Chi tiết SKU'!$A$2:$A$1253,$A93)</f>
        <v>0</v>
      </c>
      <c r="I93" s="4" t="n">
        <f aca="false">SUMIFS('Chi tiết SKU'!$O$2:$O$1253,'Chi tiết SKU'!$A$2:$A$1253,$A93)</f>
        <v>0</v>
      </c>
      <c r="J93" s="4" t="n">
        <f aca="false">SUMIFS('Chi tiết SKU'!$T$2:$T$1253,'Chi tiết SKU'!$A$2:$A$1253,$A93)</f>
        <v>9944000</v>
      </c>
      <c r="K93" s="9" t="n">
        <f aca="false">IFERROR(SUMIFS('Chi tiết SKU'!$S$2:$S$1253,'Chi tiết SKU'!$A$2:$A$1253,$A93)/E93,0)</f>
        <v>6</v>
      </c>
      <c r="L93" s="5" t="n">
        <v>0.35</v>
      </c>
      <c r="M93" s="8" t="str">
        <f aca="false">IF(F93/E93&gt;=$P$2,"CHẾT – hết hàng",IF(AND(H93&gt;=$P$3,H93&gt;=G93),"ĐẨY XUỐNG CH",IF(K93&lt;$P$4,"PHỦ MỎNG","OK")))</f>
        <v>PHỦ MỎNG</v>
      </c>
      <c r="N93" s="17" t="s">
        <v>99</v>
      </c>
    </row>
    <row r="94" customFormat="false" ht="26.85" hidden="false" customHeight="false" outlineLevel="0" collapsed="false">
      <c r="A94" s="8" t="s">
        <v>245</v>
      </c>
      <c r="B94" s="8" t="s">
        <v>22</v>
      </c>
      <c r="C94" s="17" t="s">
        <v>246</v>
      </c>
      <c r="D94" s="8" t="s">
        <v>51</v>
      </c>
      <c r="E94" s="4" t="n">
        <f aca="false">COUNTIFS('Chi tiết SKU'!$A$2:$A$1253,$A94)</f>
        <v>2</v>
      </c>
      <c r="F94" s="4" t="n">
        <f aca="false">COUNTIFS('Chi tiết SKU'!$A$2:$A$1253,$A94,'Chi tiết SKU'!$R$2:$R$1253,"&lt;=0")</f>
        <v>0</v>
      </c>
      <c r="G94" s="4" t="n">
        <f aca="false">SUMIFS('Chi tiết SKU'!$M$2:$M$1253,'Chi tiết SKU'!$A$2:$A$1253,$A94)</f>
        <v>30</v>
      </c>
      <c r="H94" s="4" t="n">
        <f aca="false">SUMIFS('Chi tiết SKU'!$N$2:$N$1253,'Chi tiết SKU'!$A$2:$A$1253,$A94)</f>
        <v>0</v>
      </c>
      <c r="I94" s="4" t="n">
        <f aca="false">SUMIFS('Chi tiết SKU'!$O$2:$O$1253,'Chi tiết SKU'!$A$2:$A$1253,$A94)</f>
        <v>0</v>
      </c>
      <c r="J94" s="4" t="n">
        <f aca="false">SUMIFS('Chi tiết SKU'!$T$2:$T$1253,'Chi tiết SKU'!$A$2:$A$1253,$A94)</f>
        <v>8992000</v>
      </c>
      <c r="K94" s="9" t="n">
        <f aca="false">IFERROR(SUMIFS('Chi tiết SKU'!$S$2:$S$1253,'Chi tiết SKU'!$A$2:$A$1253,$A94)/E94,0)</f>
        <v>7.5</v>
      </c>
      <c r="L94" s="5" t="n">
        <v>0.57665</v>
      </c>
      <c r="M94" s="8" t="str">
        <f aca="false">IF(F94/E94&gt;=$P$2,"CHẾT – hết hàng",IF(AND(H94&gt;=$P$3,H94&gt;=G94),"ĐẨY XUỐNG CH",IF(K94&lt;$P$4,"PHỦ MỎNG","OK")))</f>
        <v>PHỦ MỎNG</v>
      </c>
      <c r="N94" s="17" t="s">
        <v>99</v>
      </c>
    </row>
    <row r="95" customFormat="false" ht="26.85" hidden="false" customHeight="false" outlineLevel="0" collapsed="false">
      <c r="A95" s="8" t="s">
        <v>247</v>
      </c>
      <c r="B95" s="8" t="s">
        <v>20</v>
      </c>
      <c r="C95" s="17" t="s">
        <v>248</v>
      </c>
      <c r="D95" s="8" t="s">
        <v>55</v>
      </c>
      <c r="E95" s="4" t="n">
        <f aca="false">COUNTIFS('Chi tiết SKU'!$A$2:$A$1253,$A95)</f>
        <v>1</v>
      </c>
      <c r="F95" s="4" t="n">
        <f aca="false">COUNTIFS('Chi tiết SKU'!$A$2:$A$1253,$A95,'Chi tiết SKU'!$R$2:$R$1253,"&lt;=0")</f>
        <v>0</v>
      </c>
      <c r="G95" s="4" t="n">
        <f aca="false">SUMIFS('Chi tiết SKU'!$M$2:$M$1253,'Chi tiết SKU'!$A$2:$A$1253,$A95)</f>
        <v>178</v>
      </c>
      <c r="H95" s="4" t="n">
        <f aca="false">SUMIFS('Chi tiết SKU'!$N$2:$N$1253,'Chi tiết SKU'!$A$2:$A$1253,$A95)</f>
        <v>0</v>
      </c>
      <c r="I95" s="4" t="n">
        <f aca="false">SUMIFS('Chi tiết SKU'!$O$2:$O$1253,'Chi tiết SKU'!$A$2:$A$1253,$A95)</f>
        <v>0</v>
      </c>
      <c r="J95" s="4" t="n">
        <f aca="false">SUMIFS('Chi tiết SKU'!$T$2:$T$1253,'Chi tiết SKU'!$A$2:$A$1253,$A95)</f>
        <v>8010000</v>
      </c>
      <c r="K95" s="9" t="n">
        <f aca="false">IFERROR(SUMIFS('Chi tiết SKU'!$S$2:$S$1253,'Chi tiết SKU'!$A$2:$A$1253,$A95)/E95,0)</f>
        <v>17</v>
      </c>
      <c r="L95" s="5" t="n">
        <v>0.5</v>
      </c>
      <c r="M95" s="8" t="str">
        <f aca="false">IF(F95/E95&gt;=$P$2,"CHẾT – hết hàng",IF(AND(H95&gt;=$P$3,H95&gt;=G95),"ĐẨY XUỐNG CH",IF(K95&lt;$P$4,"PHỦ MỎNG","OK")))</f>
        <v>OK</v>
      </c>
      <c r="N95" s="17" t="s">
        <v>70</v>
      </c>
    </row>
    <row r="96" customFormat="false" ht="26.85" hidden="false" customHeight="false" outlineLevel="0" collapsed="false">
      <c r="A96" s="8" t="s">
        <v>249</v>
      </c>
      <c r="B96" s="8" t="s">
        <v>31</v>
      </c>
      <c r="C96" s="17" t="s">
        <v>250</v>
      </c>
      <c r="D96" s="8" t="s">
        <v>51</v>
      </c>
      <c r="E96" s="4" t="n">
        <f aca="false">COUNTIFS('Chi tiết SKU'!$A$2:$A$1253,$A96)</f>
        <v>7</v>
      </c>
      <c r="F96" s="4" t="n">
        <f aca="false">COUNTIFS('Chi tiết SKU'!$A$2:$A$1253,$A96,'Chi tiết SKU'!$R$2:$R$1253,"&lt;=0")</f>
        <v>0</v>
      </c>
      <c r="G96" s="4" t="n">
        <f aca="false">SUMIFS('Chi tiết SKU'!$M$2:$M$1253,'Chi tiết SKU'!$A$2:$A$1253,$A96)</f>
        <v>164</v>
      </c>
      <c r="H96" s="4" t="n">
        <f aca="false">SUMIFS('Chi tiết SKU'!$N$2:$N$1253,'Chi tiết SKU'!$A$2:$A$1253,$A96)</f>
        <v>0</v>
      </c>
      <c r="I96" s="4" t="n">
        <f aca="false">SUMIFS('Chi tiết SKU'!$O$2:$O$1253,'Chi tiết SKU'!$A$2:$A$1253,$A96)</f>
        <v>0</v>
      </c>
      <c r="J96" s="4" t="n">
        <f aca="false">SUMIFS('Chi tiết SKU'!$T$2:$T$1253,'Chi tiết SKU'!$A$2:$A$1253,$A96)</f>
        <v>6630000</v>
      </c>
      <c r="K96" s="9" t="n">
        <f aca="false">IFERROR(SUMIFS('Chi tiết SKU'!$S$2:$S$1253,'Chi tiết SKU'!$A$2:$A$1253,$A96)/E96,0)</f>
        <v>3.42857142857143</v>
      </c>
      <c r="L96" s="5" t="n">
        <v>0.66087</v>
      </c>
      <c r="M96" s="8" t="str">
        <f aca="false">IF(F96/E96&gt;=$P$2,"CHẾT – hết hàng",IF(AND(H96&gt;=$P$3,H96&gt;=G96),"ĐẨY XUỐNG CH",IF(K96&lt;$P$4,"PHỦ MỎNG","OK")))</f>
        <v>PHỦ MỎNG</v>
      </c>
      <c r="N96" s="17" t="s">
        <v>94</v>
      </c>
    </row>
    <row r="97" customFormat="false" ht="26.85" hidden="false" customHeight="false" outlineLevel="0" collapsed="false">
      <c r="A97" s="8" t="s">
        <v>251</v>
      </c>
      <c r="B97" s="8" t="s">
        <v>20</v>
      </c>
      <c r="C97" s="17" t="s">
        <v>252</v>
      </c>
      <c r="D97" s="8" t="s">
        <v>51</v>
      </c>
      <c r="E97" s="4" t="n">
        <f aca="false">COUNTIFS('Chi tiết SKU'!$A$2:$A$1253,$A97)</f>
        <v>2</v>
      </c>
      <c r="F97" s="4" t="n">
        <f aca="false">COUNTIFS('Chi tiết SKU'!$A$2:$A$1253,$A97,'Chi tiết SKU'!$R$2:$R$1253,"&lt;=0")</f>
        <v>0</v>
      </c>
      <c r="G97" s="4" t="n">
        <f aca="false">SUMIFS('Chi tiết SKU'!$M$2:$M$1253,'Chi tiết SKU'!$A$2:$A$1253,$A97)</f>
        <v>62</v>
      </c>
      <c r="H97" s="4" t="n">
        <f aca="false">SUMIFS('Chi tiết SKU'!$N$2:$N$1253,'Chi tiết SKU'!$A$2:$A$1253,$A97)</f>
        <v>0</v>
      </c>
      <c r="I97" s="4" t="n">
        <f aca="false">SUMIFS('Chi tiết SKU'!$O$2:$O$1253,'Chi tiết SKU'!$A$2:$A$1253,$A97)</f>
        <v>0</v>
      </c>
      <c r="J97" s="4" t="n">
        <f aca="false">SUMIFS('Chi tiết SKU'!$T$2:$T$1253,'Chi tiết SKU'!$A$2:$A$1253,$A97)</f>
        <v>6200000</v>
      </c>
      <c r="K97" s="9" t="n">
        <f aca="false">IFERROR(SUMIFS('Chi tiết SKU'!$S$2:$S$1253,'Chi tiết SKU'!$A$2:$A$1253,$A97)/E97,0)</f>
        <v>2.5</v>
      </c>
      <c r="L97" s="5" t="n">
        <v>0.674005</v>
      </c>
      <c r="M97" s="8" t="str">
        <f aca="false">IF(F97/E97&gt;=$P$2,"CHẾT – hết hàng",IF(AND(H97&gt;=$P$3,H97&gt;=G97),"ĐẨY XUỐNG CH",IF(K97&lt;$P$4,"PHỦ MỎNG","OK")))</f>
        <v>PHỦ MỎNG</v>
      </c>
      <c r="N97" s="17" t="s">
        <v>99</v>
      </c>
    </row>
    <row r="98" customFormat="false" ht="26.85" hidden="false" customHeight="false" outlineLevel="0" collapsed="false">
      <c r="A98" s="8" t="s">
        <v>253</v>
      </c>
      <c r="B98" s="8" t="s">
        <v>25</v>
      </c>
      <c r="C98" s="17" t="s">
        <v>254</v>
      </c>
      <c r="D98" s="8" t="s">
        <v>51</v>
      </c>
      <c r="E98" s="4" t="n">
        <f aca="false">COUNTIFS('Chi tiết SKU'!$A$2:$A$1253,$A98)</f>
        <v>1</v>
      </c>
      <c r="F98" s="4" t="n">
        <f aca="false">COUNTIFS('Chi tiết SKU'!$A$2:$A$1253,$A98,'Chi tiết SKU'!$R$2:$R$1253,"&lt;=0")</f>
        <v>0</v>
      </c>
      <c r="G98" s="4" t="n">
        <f aca="false">SUMIFS('Chi tiết SKU'!$M$2:$M$1253,'Chi tiết SKU'!$A$2:$A$1253,$A98)</f>
        <v>26</v>
      </c>
      <c r="H98" s="4" t="n">
        <f aca="false">SUMIFS('Chi tiết SKU'!$N$2:$N$1253,'Chi tiết SKU'!$A$2:$A$1253,$A98)</f>
        <v>0</v>
      </c>
      <c r="I98" s="4" t="n">
        <f aca="false">SUMIFS('Chi tiết SKU'!$O$2:$O$1253,'Chi tiết SKU'!$A$2:$A$1253,$A98)</f>
        <v>0</v>
      </c>
      <c r="J98" s="4" t="n">
        <f aca="false">SUMIFS('Chi tiết SKU'!$T$2:$T$1253,'Chi tiết SKU'!$A$2:$A$1253,$A98)</f>
        <v>5200000</v>
      </c>
      <c r="K98" s="9" t="n">
        <f aca="false">IFERROR(SUMIFS('Chi tiết SKU'!$S$2:$S$1253,'Chi tiết SKU'!$A$2:$A$1253,$A98)/E98,0)</f>
        <v>14</v>
      </c>
      <c r="L98" s="5" t="n">
        <v>0.09545</v>
      </c>
      <c r="M98" s="8" t="str">
        <f aca="false">IF(F98/E98&gt;=$P$2,"CHẾT – hết hàng",IF(AND(H98&gt;=$P$3,H98&gt;=G98),"ĐẨY XUỐNG CH",IF(K98&lt;$P$4,"PHỦ MỎNG","OK")))</f>
        <v>OK</v>
      </c>
      <c r="N98" s="17" t="s">
        <v>70</v>
      </c>
    </row>
    <row r="99" customFormat="false" ht="26.85" hidden="false" customHeight="false" outlineLevel="0" collapsed="false">
      <c r="A99" s="8" t="s">
        <v>255</v>
      </c>
      <c r="B99" s="8" t="s">
        <v>24</v>
      </c>
      <c r="C99" s="17" t="s">
        <v>256</v>
      </c>
      <c r="D99" s="8" t="s">
        <v>51</v>
      </c>
      <c r="E99" s="4" t="n">
        <f aca="false">COUNTIFS('Chi tiết SKU'!$A$2:$A$1253,$A99)</f>
        <v>7</v>
      </c>
      <c r="F99" s="4" t="n">
        <f aca="false">COUNTIFS('Chi tiết SKU'!$A$2:$A$1253,$A99,'Chi tiết SKU'!$R$2:$R$1253,"&lt;=0")</f>
        <v>4</v>
      </c>
      <c r="G99" s="4" t="n">
        <f aca="false">SUMIFS('Chi tiết SKU'!$M$2:$M$1253,'Chi tiết SKU'!$A$2:$A$1253,$A99)</f>
        <v>31</v>
      </c>
      <c r="H99" s="4" t="n">
        <f aca="false">SUMIFS('Chi tiết SKU'!$N$2:$N$1253,'Chi tiết SKU'!$A$2:$A$1253,$A99)</f>
        <v>0</v>
      </c>
      <c r="I99" s="4" t="n">
        <f aca="false">SUMIFS('Chi tiết SKU'!$O$2:$O$1253,'Chi tiết SKU'!$A$2:$A$1253,$A99)</f>
        <v>0</v>
      </c>
      <c r="J99" s="4" t="n">
        <f aca="false">SUMIFS('Chi tiết SKU'!$T$2:$T$1253,'Chi tiết SKU'!$A$2:$A$1253,$A99)</f>
        <v>3100000</v>
      </c>
      <c r="K99" s="9" t="n">
        <f aca="false">IFERROR(SUMIFS('Chi tiết SKU'!$S$2:$S$1253,'Chi tiết SKU'!$A$2:$A$1253,$A99)/E99,0)</f>
        <v>0.571428571428571</v>
      </c>
      <c r="L99" s="5" t="n">
        <v>0.63197</v>
      </c>
      <c r="M99" s="8" t="str">
        <f aca="false">IF(F99/E99&gt;=$P$2,"CHẾT – hết hàng",IF(AND(H99&gt;=$P$3,H99&gt;=G99),"ĐẨY XUỐNG CH",IF(K99&lt;$P$4,"PHỦ MỎNG","OK")))</f>
        <v>PHỦ MỎNG</v>
      </c>
      <c r="N99" s="17" t="s">
        <v>99</v>
      </c>
    </row>
    <row r="100" customFormat="false" ht="26.85" hidden="false" customHeight="false" outlineLevel="0" collapsed="false">
      <c r="A100" s="8" t="s">
        <v>257</v>
      </c>
      <c r="B100" s="8" t="s">
        <v>22</v>
      </c>
      <c r="C100" s="17" t="s">
        <v>258</v>
      </c>
      <c r="D100" s="8" t="s">
        <v>51</v>
      </c>
      <c r="E100" s="4" t="n">
        <f aca="false">COUNTIFS('Chi tiết SKU'!$A$2:$A$1253,$A100)</f>
        <v>6</v>
      </c>
      <c r="F100" s="4" t="n">
        <f aca="false">COUNTIFS('Chi tiết SKU'!$A$2:$A$1253,$A100,'Chi tiết SKU'!$R$2:$R$1253,"&lt;=0")</f>
        <v>1</v>
      </c>
      <c r="G100" s="4" t="n">
        <f aca="false">SUMIFS('Chi tiết SKU'!$M$2:$M$1253,'Chi tiết SKU'!$A$2:$A$1253,$A100)</f>
        <v>128</v>
      </c>
      <c r="H100" s="4" t="n">
        <f aca="false">SUMIFS('Chi tiết SKU'!$N$2:$N$1253,'Chi tiết SKU'!$A$2:$A$1253,$A100)</f>
        <v>0</v>
      </c>
      <c r="I100" s="4" t="n">
        <f aca="false">SUMIFS('Chi tiết SKU'!$O$2:$O$1253,'Chi tiết SKU'!$A$2:$A$1253,$A100)</f>
        <v>0</v>
      </c>
      <c r="J100" s="4" t="n">
        <f aca="false">SUMIFS('Chi tiết SKU'!$T$2:$T$1253,'Chi tiết SKU'!$A$2:$A$1253,$A100)</f>
        <v>2454000</v>
      </c>
      <c r="K100" s="9" t="n">
        <f aca="false">IFERROR(SUMIFS('Chi tiết SKU'!$S$2:$S$1253,'Chi tiết SKU'!$A$2:$A$1253,$A100)/E100,0)</f>
        <v>4.16666666666667</v>
      </c>
      <c r="L100" s="5" t="n">
        <v>0.779745</v>
      </c>
      <c r="M100" s="8" t="str">
        <f aca="false">IF(F100/E100&gt;=$P$2,"CHẾT – hết hàng",IF(AND(H100&gt;=$P$3,H100&gt;=G100),"ĐẨY XUỐNG CH",IF(K100&lt;$P$4,"PHỦ MỎNG","OK")))</f>
        <v>PHỦ MỎNG</v>
      </c>
      <c r="N100" s="17" t="s">
        <v>99</v>
      </c>
    </row>
    <row r="101" customFormat="false" ht="26.85" hidden="false" customHeight="false" outlineLevel="0" collapsed="false">
      <c r="A101" s="8" t="s">
        <v>259</v>
      </c>
      <c r="B101" s="8" t="s">
        <v>29</v>
      </c>
      <c r="C101" s="17" t="s">
        <v>260</v>
      </c>
      <c r="D101" s="8" t="s">
        <v>62</v>
      </c>
      <c r="E101" s="4" t="n">
        <f aca="false">COUNTIFS('Chi tiết SKU'!$A$2:$A$1253,$A101)</f>
        <v>1</v>
      </c>
      <c r="F101" s="4" t="n">
        <f aca="false">COUNTIFS('Chi tiết SKU'!$A$2:$A$1253,$A101,'Chi tiết SKU'!$R$2:$R$1253,"&lt;=0")</f>
        <v>0</v>
      </c>
      <c r="G101" s="4" t="n">
        <f aca="false">SUMIFS('Chi tiết SKU'!$M$2:$M$1253,'Chi tiết SKU'!$A$2:$A$1253,$A101)</f>
        <v>29</v>
      </c>
      <c r="H101" s="4" t="n">
        <f aca="false">SUMIFS('Chi tiết SKU'!$N$2:$N$1253,'Chi tiết SKU'!$A$2:$A$1253,$A101)</f>
        <v>0</v>
      </c>
      <c r="I101" s="4" t="n">
        <f aca="false">SUMIFS('Chi tiết SKU'!$O$2:$O$1253,'Chi tiết SKU'!$A$2:$A$1253,$A101)</f>
        <v>0</v>
      </c>
      <c r="J101" s="4" t="n">
        <f aca="false">SUMIFS('Chi tiết SKU'!$T$2:$T$1253,'Chi tiết SKU'!$A$2:$A$1253,$A101)</f>
        <v>1972000</v>
      </c>
      <c r="K101" s="9" t="n">
        <f aca="false">IFERROR(SUMIFS('Chi tiết SKU'!$S$2:$S$1253,'Chi tiết SKU'!$A$2:$A$1253,$A101)/E101,0)</f>
        <v>10</v>
      </c>
      <c r="L101" s="5" t="n">
        <v>0.5</v>
      </c>
      <c r="M101" s="8" t="str">
        <f aca="false">IF(F101/E101&gt;=$P$2,"CHẾT – hết hàng",IF(AND(H101&gt;=$P$3,H101&gt;=G101),"ĐẨY XUỐNG CH",IF(K101&lt;$P$4,"PHỦ MỎNG","OK")))</f>
        <v>OK</v>
      </c>
      <c r="N101" s="17" t="s">
        <v>94</v>
      </c>
    </row>
    <row r="102" customFormat="false" ht="26.85" hidden="false" customHeight="false" outlineLevel="0" collapsed="false">
      <c r="A102" s="8" t="s">
        <v>261</v>
      </c>
      <c r="B102" s="8" t="s">
        <v>20</v>
      </c>
      <c r="C102" s="17" t="s">
        <v>262</v>
      </c>
      <c r="D102" s="8" t="s">
        <v>51</v>
      </c>
      <c r="E102" s="4" t="n">
        <f aca="false">COUNTIFS('Chi tiết SKU'!$A$2:$A$1253,$A102)</f>
        <v>3</v>
      </c>
      <c r="F102" s="4" t="n">
        <f aca="false">COUNTIFS('Chi tiết SKU'!$A$2:$A$1253,$A102,'Chi tiết SKU'!$R$2:$R$1253,"&lt;=0")</f>
        <v>1</v>
      </c>
      <c r="G102" s="4" t="n">
        <f aca="false">SUMIFS('Chi tiết SKU'!$M$2:$M$1253,'Chi tiết SKU'!$A$2:$A$1253,$A102)</f>
        <v>14</v>
      </c>
      <c r="H102" s="4" t="n">
        <f aca="false">SUMIFS('Chi tiết SKU'!$N$2:$N$1253,'Chi tiết SKU'!$A$2:$A$1253,$A102)</f>
        <v>0</v>
      </c>
      <c r="I102" s="4" t="n">
        <f aca="false">SUMIFS('Chi tiết SKU'!$O$2:$O$1253,'Chi tiết SKU'!$A$2:$A$1253,$A102)</f>
        <v>0</v>
      </c>
      <c r="J102" s="4" t="n">
        <f aca="false">SUMIFS('Chi tiết SKU'!$T$2:$T$1253,'Chi tiết SKU'!$A$2:$A$1253,$A102)</f>
        <v>826000</v>
      </c>
      <c r="K102" s="9" t="n">
        <f aca="false">IFERROR(SUMIFS('Chi tiết SKU'!$S$2:$S$1253,'Chi tiết SKU'!$A$2:$A$1253,$A102)/E102,0)</f>
        <v>1.66666666666667</v>
      </c>
      <c r="L102" s="5" t="n">
        <v>0.71905</v>
      </c>
      <c r="M102" s="8" t="str">
        <f aca="false">IF(F102/E102&gt;=$P$2,"CHẾT – hết hàng",IF(AND(H102&gt;=$P$3,H102&gt;=G102),"ĐẨY XUỐNG CH",IF(K102&lt;$P$4,"PHỦ MỎNG","OK")))</f>
        <v>PHỦ MỎNG</v>
      </c>
      <c r="N102" s="17" t="s">
        <v>94</v>
      </c>
    </row>
    <row r="103" customFormat="false" ht="26.85" hidden="false" customHeight="false" outlineLevel="0" collapsed="false">
      <c r="A103" s="8" t="s">
        <v>263</v>
      </c>
      <c r="B103" s="8" t="s">
        <v>24</v>
      </c>
      <c r="C103" s="17" t="s">
        <v>264</v>
      </c>
      <c r="D103" s="8" t="s">
        <v>51</v>
      </c>
      <c r="E103" s="4" t="n">
        <f aca="false">COUNTIFS('Chi tiết SKU'!$A$2:$A$1253,$A103)</f>
        <v>10</v>
      </c>
      <c r="F103" s="4" t="n">
        <f aca="false">COUNTIFS('Chi tiết SKU'!$A$2:$A$1253,$A103,'Chi tiết SKU'!$R$2:$R$1253,"&lt;=0")</f>
        <v>9</v>
      </c>
      <c r="G103" s="4" t="n">
        <f aca="false">SUMIFS('Chi tiết SKU'!$M$2:$M$1253,'Chi tiết SKU'!$A$2:$A$1253,$A103)</f>
        <v>8</v>
      </c>
      <c r="H103" s="4" t="n">
        <f aca="false">SUMIFS('Chi tiết SKU'!$N$2:$N$1253,'Chi tiết SKU'!$A$2:$A$1253,$A103)</f>
        <v>0</v>
      </c>
      <c r="I103" s="4" t="n">
        <f aca="false">SUMIFS('Chi tiết SKU'!$O$2:$O$1253,'Chi tiết SKU'!$A$2:$A$1253,$A103)</f>
        <v>0</v>
      </c>
      <c r="J103" s="4" t="n">
        <f aca="false">SUMIFS('Chi tiết SKU'!$T$2:$T$1253,'Chi tiết SKU'!$A$2:$A$1253,$A103)</f>
        <v>800000</v>
      </c>
      <c r="K103" s="9" t="n">
        <f aca="false">IFERROR(SUMIFS('Chi tiết SKU'!$S$2:$S$1253,'Chi tiết SKU'!$A$2:$A$1253,$A103)/E103,0)</f>
        <v>0.1</v>
      </c>
      <c r="L103" s="5" t="n">
        <v>0.61923</v>
      </c>
      <c r="M103" s="8" t="str">
        <f aca="false">IF(F103/E103&gt;=$P$2,"CHẾT – hết hàng",IF(AND(H103&gt;=$P$3,H103&gt;=G103),"ĐẨY XUỐNG CH",IF(K103&lt;$P$4,"PHỦ MỎNG","OK")))</f>
        <v>CHẾT – hết hàng</v>
      </c>
      <c r="N103" s="17" t="s">
        <v>265</v>
      </c>
    </row>
    <row r="104" customFormat="false" ht="26.85" hidden="false" customHeight="false" outlineLevel="0" collapsed="false">
      <c r="A104" s="8" t="s">
        <v>266</v>
      </c>
      <c r="B104" s="8" t="s">
        <v>22</v>
      </c>
      <c r="C104" s="17" t="s">
        <v>267</v>
      </c>
      <c r="D104" s="8" t="s">
        <v>51</v>
      </c>
      <c r="E104" s="4" t="n">
        <f aca="false">COUNTIFS('Chi tiết SKU'!$A$2:$A$1253,$A104)</f>
        <v>2</v>
      </c>
      <c r="F104" s="4" t="n">
        <f aca="false">COUNTIFS('Chi tiết SKU'!$A$2:$A$1253,$A104,'Chi tiết SKU'!$R$2:$R$1253,"&lt;=0")</f>
        <v>2</v>
      </c>
      <c r="G104" s="4" t="n">
        <f aca="false">SUMIFS('Chi tiết SKU'!$M$2:$M$1253,'Chi tiết SKU'!$A$2:$A$1253,$A104)</f>
        <v>0</v>
      </c>
      <c r="H104" s="4" t="n">
        <f aca="false">SUMIFS('Chi tiết SKU'!$N$2:$N$1253,'Chi tiết SKU'!$A$2:$A$1253,$A104)</f>
        <v>0</v>
      </c>
      <c r="I104" s="4" t="n">
        <f aca="false">SUMIFS('Chi tiết SKU'!$O$2:$O$1253,'Chi tiết SKU'!$A$2:$A$1253,$A104)</f>
        <v>0</v>
      </c>
      <c r="J104" s="4" t="n">
        <f aca="false">SUMIFS('Chi tiết SKU'!$T$2:$T$1253,'Chi tiết SKU'!$A$2:$A$1253,$A104)</f>
        <v>0</v>
      </c>
      <c r="K104" s="9" t="n">
        <f aca="false">IFERROR(SUMIFS('Chi tiết SKU'!$S$2:$S$1253,'Chi tiết SKU'!$A$2:$A$1253,$A104)/E104,0)</f>
        <v>0</v>
      </c>
      <c r="L104" s="5" t="n">
        <v>0.84375</v>
      </c>
      <c r="M104" s="8" t="str">
        <f aca="false">IF(F104/E104&gt;=$P$2,"CHẾT – hết hàng",IF(AND(H104&gt;=$P$3,H104&gt;=G104),"ĐẨY XUỐNG CH",IF(K104&lt;$P$4,"PHỦ MỎNG","OK")))</f>
        <v>CHẾT – hết hàng</v>
      </c>
      <c r="N104" s="17" t="s">
        <v>265</v>
      </c>
    </row>
  </sheetData>
  <autoFilter ref="A4:N104"/>
  <conditionalFormatting sqref="M5:M104">
    <cfRule type="expression" priority="2" aboveAverage="0" equalAverage="0" bottom="0" percent="0" rank="0" text="" dxfId="0">
      <formula>LEFT($M5,4)="CHẾT"</formula>
    </cfRule>
    <cfRule type="expression" priority="3" aboveAverage="0" equalAverage="0" bottom="0" percent="0" rank="0" text="" dxfId="8">
      <formula>LEFT($M5,4)="ĐẨY "</formula>
    </cfRule>
    <cfRule type="expression" priority="4" aboveAverage="0" equalAverage="0" bottom="0" percent="0" rank="0" text="" dxfId="9">
      <formula>LEFT($M5,4)="PHỦ "</formula>
    </cfRule>
    <cfRule type="expression" priority="5" aboveAverage="0" equalAverage="0" bottom="0" percent="0" rank="0" text="" dxfId="10">
      <formula>$M5="OK"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9"/>
    <col collapsed="false" customWidth="true" hidden="false" outlineLevel="0" max="4" min="4" style="0" width="42"/>
    <col collapsed="false" customWidth="true" hidden="false" outlineLevel="0" max="5" min="5" style="0" width="40"/>
    <col collapsed="false" customWidth="true" hidden="false" outlineLevel="0" max="8" min="6" style="0" width="9"/>
    <col collapsed="false" customWidth="true" hidden="false" outlineLevel="0" max="9" min="9" style="0" width="10"/>
    <col collapsed="false" customWidth="true" hidden="false" outlineLevel="0" max="10" min="10" style="0" width="90"/>
  </cols>
  <sheetData>
    <row r="1" customFormat="false" ht="15" hidden="false" customHeight="false" outlineLevel="0" collapsed="false">
      <c r="A1" s="13" t="s">
        <v>268</v>
      </c>
    </row>
    <row r="3" customFormat="false" ht="42" hidden="false" customHeight="true" outlineLevel="0" collapsed="false">
      <c r="A3" s="7" t="s">
        <v>38</v>
      </c>
      <c r="B3" s="7" t="s">
        <v>10</v>
      </c>
      <c r="C3" s="7" t="s">
        <v>269</v>
      </c>
      <c r="D3" s="7" t="s">
        <v>270</v>
      </c>
      <c r="E3" s="7" t="s">
        <v>39</v>
      </c>
      <c r="F3" s="7" t="s">
        <v>15</v>
      </c>
      <c r="G3" s="7" t="s">
        <v>14</v>
      </c>
      <c r="H3" s="7" t="s">
        <v>271</v>
      </c>
      <c r="I3" s="7" t="s">
        <v>272</v>
      </c>
      <c r="J3" s="7" t="s">
        <v>273</v>
      </c>
    </row>
    <row r="4" customFormat="false" ht="15" hidden="false" customHeight="false" outlineLevel="0" collapsed="false">
      <c r="A4" s="8" t="s">
        <v>49</v>
      </c>
      <c r="B4" s="8" t="s">
        <v>23</v>
      </c>
      <c r="C4" s="8" t="n">
        <v>142030</v>
      </c>
      <c r="D4" s="8" t="s">
        <v>274</v>
      </c>
      <c r="E4" s="8" t="s">
        <v>50</v>
      </c>
      <c r="F4" s="4" t="n">
        <v>337</v>
      </c>
      <c r="G4" s="4" t="n">
        <v>86</v>
      </c>
      <c r="H4" s="4" t="n">
        <v>17</v>
      </c>
      <c r="I4" s="4" t="n">
        <f aca="false">MIN(ROUNDUP(G4/MAX(1,24-H4),0),ROUNDDOWN(F4/H4,0))</f>
        <v>13</v>
      </c>
      <c r="J4" s="8" t="s">
        <v>275</v>
      </c>
    </row>
    <row r="5" customFormat="false" ht="15" hidden="false" customHeight="false" outlineLevel="0" collapsed="false">
      <c r="A5" s="8" t="s">
        <v>49</v>
      </c>
      <c r="B5" s="8" t="s">
        <v>23</v>
      </c>
      <c r="C5" s="8" t="n">
        <v>142447</v>
      </c>
      <c r="D5" s="8" t="s">
        <v>276</v>
      </c>
      <c r="E5" s="8" t="s">
        <v>50</v>
      </c>
      <c r="F5" s="4" t="n">
        <v>5329</v>
      </c>
      <c r="G5" s="4" t="n">
        <v>1987</v>
      </c>
      <c r="H5" s="4" t="n">
        <v>14</v>
      </c>
      <c r="I5" s="4" t="n">
        <f aca="false">MIN(ROUNDUP(G5/MAX(1,24-H5),0),ROUNDDOWN(F5/H5,0))</f>
        <v>199</v>
      </c>
      <c r="J5" s="8" t="s">
        <v>277</v>
      </c>
    </row>
    <row r="6" customFormat="false" ht="15" hidden="false" customHeight="false" outlineLevel="0" collapsed="false">
      <c r="A6" s="8" t="s">
        <v>158</v>
      </c>
      <c r="B6" s="8" t="s">
        <v>25</v>
      </c>
      <c r="C6" s="8" t="n">
        <v>30116</v>
      </c>
      <c r="D6" s="8" t="s">
        <v>278</v>
      </c>
      <c r="E6" s="8" t="s">
        <v>159</v>
      </c>
      <c r="F6" s="4" t="n">
        <v>10</v>
      </c>
      <c r="G6" s="4" t="n">
        <v>146</v>
      </c>
      <c r="H6" s="4" t="n">
        <v>13</v>
      </c>
      <c r="I6" s="4" t="n">
        <f aca="false">MIN(ROUNDUP(G6/MAX(1,24-H6),0),ROUNDDOWN(F6/H6,0))</f>
        <v>0</v>
      </c>
      <c r="J6" s="8" t="s">
        <v>279</v>
      </c>
    </row>
    <row r="7" customFormat="false" ht="15" hidden="false" customHeight="false" outlineLevel="0" collapsed="false">
      <c r="A7" s="8" t="s">
        <v>49</v>
      </c>
      <c r="B7" s="8" t="s">
        <v>23</v>
      </c>
      <c r="C7" s="8" t="n">
        <v>142035</v>
      </c>
      <c r="D7" s="8" t="s">
        <v>280</v>
      </c>
      <c r="E7" s="8" t="s">
        <v>50</v>
      </c>
      <c r="F7" s="4" t="n">
        <v>232</v>
      </c>
      <c r="G7" s="4" t="n">
        <v>453</v>
      </c>
      <c r="H7" s="4" t="n">
        <v>12</v>
      </c>
      <c r="I7" s="4" t="n">
        <f aca="false">MIN(ROUNDUP(G7/MAX(1,24-H7),0),ROUNDDOWN(F7/H7,0))</f>
        <v>19</v>
      </c>
      <c r="J7" s="8" t="s">
        <v>281</v>
      </c>
    </row>
    <row r="8" customFormat="false" ht="15" hidden="false" customHeight="false" outlineLevel="0" collapsed="false">
      <c r="A8" s="8" t="s">
        <v>68</v>
      </c>
      <c r="B8" s="8" t="s">
        <v>20</v>
      </c>
      <c r="C8" s="8" t="n">
        <v>102436</v>
      </c>
      <c r="D8" s="8" t="s">
        <v>282</v>
      </c>
      <c r="E8" s="8" t="s">
        <v>69</v>
      </c>
      <c r="F8" s="4" t="n">
        <v>34</v>
      </c>
      <c r="G8" s="4" t="n">
        <v>36</v>
      </c>
      <c r="H8" s="4" t="n">
        <v>11</v>
      </c>
      <c r="I8" s="4" t="n">
        <f aca="false">MIN(ROUNDUP(G8/MAX(1,24-H8),0),ROUNDDOWN(F8/H8,0))</f>
        <v>3</v>
      </c>
      <c r="J8" s="8" t="s">
        <v>283</v>
      </c>
    </row>
    <row r="9" customFormat="false" ht="15" hidden="false" customHeight="false" outlineLevel="0" collapsed="false">
      <c r="A9" s="8" t="s">
        <v>139</v>
      </c>
      <c r="B9" s="8" t="s">
        <v>23</v>
      </c>
      <c r="C9" s="8" t="n">
        <v>143021</v>
      </c>
      <c r="D9" s="8" t="s">
        <v>284</v>
      </c>
      <c r="E9" s="8" t="s">
        <v>140</v>
      </c>
      <c r="F9" s="4" t="n">
        <v>10</v>
      </c>
      <c r="G9" s="4" t="n">
        <v>270</v>
      </c>
      <c r="H9" s="4" t="n">
        <v>11</v>
      </c>
      <c r="I9" s="4" t="n">
        <f aca="false">MIN(ROUNDUP(G9/MAX(1,24-H9),0),ROUNDDOWN(F9/H9,0))</f>
        <v>0</v>
      </c>
      <c r="J9" s="8" t="s">
        <v>285</v>
      </c>
    </row>
    <row r="10" customFormat="false" ht="15" hidden="false" customHeight="false" outlineLevel="0" collapsed="false">
      <c r="A10" s="8" t="s">
        <v>139</v>
      </c>
      <c r="B10" s="8" t="s">
        <v>23</v>
      </c>
      <c r="C10" s="8" t="n">
        <v>143018</v>
      </c>
      <c r="D10" s="8" t="s">
        <v>286</v>
      </c>
      <c r="E10" s="8" t="s">
        <v>140</v>
      </c>
      <c r="F10" s="4" t="n">
        <v>1803</v>
      </c>
      <c r="G10" s="4" t="n">
        <v>517</v>
      </c>
      <c r="H10" s="4" t="n">
        <v>10</v>
      </c>
      <c r="I10" s="4" t="n">
        <f aca="false">MIN(ROUNDUP(G10/MAX(1,24-H10),0),ROUNDDOWN(F10/H10,0))</f>
        <v>37</v>
      </c>
      <c r="J10" s="8" t="s">
        <v>287</v>
      </c>
    </row>
    <row r="11" customFormat="false" ht="15" hidden="false" customHeight="false" outlineLevel="0" collapsed="false">
      <c r="A11" s="8" t="s">
        <v>49</v>
      </c>
      <c r="B11" s="8" t="s">
        <v>23</v>
      </c>
      <c r="C11" s="8" t="n">
        <v>142031</v>
      </c>
      <c r="D11" s="8" t="s">
        <v>276</v>
      </c>
      <c r="E11" s="8" t="s">
        <v>50</v>
      </c>
      <c r="F11" s="4" t="n">
        <v>4899</v>
      </c>
      <c r="G11" s="4" t="n">
        <v>2975</v>
      </c>
      <c r="H11" s="4" t="n">
        <v>9</v>
      </c>
      <c r="I11" s="4" t="n">
        <f aca="false">MIN(ROUNDUP(G11/MAX(1,24-H11),0),ROUNDDOWN(F11/H11,0))</f>
        <v>199</v>
      </c>
      <c r="J11" s="8" t="s">
        <v>288</v>
      </c>
    </row>
    <row r="12" customFormat="false" ht="15" hidden="false" customHeight="false" outlineLevel="0" collapsed="false">
      <c r="A12" s="8" t="s">
        <v>158</v>
      </c>
      <c r="B12" s="8" t="s">
        <v>25</v>
      </c>
      <c r="C12" s="8" t="n">
        <v>30115</v>
      </c>
      <c r="D12" s="8" t="s">
        <v>289</v>
      </c>
      <c r="E12" s="8" t="s">
        <v>159</v>
      </c>
      <c r="F12" s="4" t="n">
        <v>83</v>
      </c>
      <c r="G12" s="4" t="n">
        <v>178</v>
      </c>
      <c r="H12" s="4" t="n">
        <v>9</v>
      </c>
      <c r="I12" s="4" t="n">
        <f aca="false">MIN(ROUNDUP(G12/MAX(1,24-H12),0),ROUNDDOWN(F12/H12,0))</f>
        <v>9</v>
      </c>
      <c r="J12" s="8" t="s">
        <v>290</v>
      </c>
    </row>
    <row r="13" customFormat="false" ht="15" hidden="false" customHeight="false" outlineLevel="0" collapsed="false">
      <c r="A13" s="8" t="s">
        <v>49</v>
      </c>
      <c r="B13" s="8" t="s">
        <v>23</v>
      </c>
      <c r="C13" s="8" t="n">
        <v>142036</v>
      </c>
      <c r="D13" s="8" t="s">
        <v>291</v>
      </c>
      <c r="E13" s="8" t="s">
        <v>50</v>
      </c>
      <c r="F13" s="4" t="n">
        <v>320</v>
      </c>
      <c r="G13" s="4" t="n">
        <v>897</v>
      </c>
      <c r="H13" s="4" t="n">
        <v>8</v>
      </c>
      <c r="I13" s="4" t="n">
        <f aca="false">MIN(ROUNDUP(G13/MAX(1,24-H13),0),ROUNDDOWN(F13/H13,0))</f>
        <v>40</v>
      </c>
      <c r="J13" s="8" t="s">
        <v>292</v>
      </c>
    </row>
    <row r="14" customFormat="false" ht="15" hidden="false" customHeight="false" outlineLevel="0" collapsed="false">
      <c r="A14" s="8" t="s">
        <v>148</v>
      </c>
      <c r="B14" s="8" t="s">
        <v>25</v>
      </c>
      <c r="C14" s="8" t="n">
        <v>110389</v>
      </c>
      <c r="D14" s="8" t="s">
        <v>293</v>
      </c>
      <c r="E14" s="8" t="s">
        <v>149</v>
      </c>
      <c r="F14" s="4" t="n">
        <v>120</v>
      </c>
      <c r="G14" s="4" t="n">
        <v>90</v>
      </c>
      <c r="H14" s="4" t="n">
        <v>7</v>
      </c>
      <c r="I14" s="4" t="n">
        <f aca="false">MIN(ROUNDUP(G14/MAX(1,24-H14),0),ROUNDDOWN(F14/H14,0))</f>
        <v>6</v>
      </c>
      <c r="J14" s="8" t="s">
        <v>294</v>
      </c>
    </row>
    <row r="15" customFormat="false" ht="15" hidden="false" customHeight="false" outlineLevel="0" collapsed="false">
      <c r="A15" s="8" t="s">
        <v>73</v>
      </c>
      <c r="B15" s="8" t="s">
        <v>22</v>
      </c>
      <c r="C15" s="8" t="n">
        <v>134230</v>
      </c>
      <c r="D15" s="8" t="s">
        <v>295</v>
      </c>
      <c r="E15" s="8" t="s">
        <v>74</v>
      </c>
      <c r="F15" s="4" t="n">
        <v>12</v>
      </c>
      <c r="G15" s="4" t="n">
        <v>169</v>
      </c>
      <c r="H15" s="4" t="n">
        <v>7</v>
      </c>
      <c r="I15" s="4" t="n">
        <f aca="false">MIN(ROUNDUP(G15/MAX(1,24-H15),0),ROUNDDOWN(F15/H15,0))</f>
        <v>1</v>
      </c>
      <c r="J15" s="8" t="s">
        <v>296</v>
      </c>
    </row>
    <row r="16" customFormat="false" ht="15" hidden="false" customHeight="false" outlineLevel="0" collapsed="false">
      <c r="A16" s="8" t="s">
        <v>189</v>
      </c>
      <c r="B16" s="8" t="s">
        <v>22</v>
      </c>
      <c r="C16" s="8" t="n">
        <v>135148</v>
      </c>
      <c r="D16" s="8" t="s">
        <v>297</v>
      </c>
      <c r="E16" s="8" t="s">
        <v>190</v>
      </c>
      <c r="F16" s="4" t="n">
        <v>3</v>
      </c>
      <c r="G16" s="4" t="n">
        <v>265</v>
      </c>
      <c r="H16" s="4" t="n">
        <v>7</v>
      </c>
      <c r="I16" s="4" t="n">
        <f aca="false">MIN(ROUNDUP(G16/MAX(1,24-H16),0),ROUNDDOWN(F16/H16,0))</f>
        <v>0</v>
      </c>
      <c r="J16" s="8" t="s">
        <v>298</v>
      </c>
    </row>
    <row r="17" customFormat="false" ht="15" hidden="false" customHeight="false" outlineLevel="0" collapsed="false">
      <c r="A17" s="8" t="s">
        <v>189</v>
      </c>
      <c r="B17" s="8" t="s">
        <v>22</v>
      </c>
      <c r="C17" s="8" t="n">
        <v>135149</v>
      </c>
      <c r="D17" s="8" t="s">
        <v>299</v>
      </c>
      <c r="E17" s="8" t="s">
        <v>190</v>
      </c>
      <c r="F17" s="4" t="n">
        <v>3</v>
      </c>
      <c r="G17" s="4" t="n">
        <v>305</v>
      </c>
      <c r="H17" s="4" t="n">
        <v>7</v>
      </c>
      <c r="I17" s="4" t="n">
        <f aca="false">MIN(ROUNDUP(G17/MAX(1,24-H17),0),ROUNDDOWN(F17/H17,0))</f>
        <v>0</v>
      </c>
      <c r="J17" s="8" t="s">
        <v>300</v>
      </c>
    </row>
    <row r="18" customFormat="false" ht="15" hidden="false" customHeight="false" outlineLevel="0" collapsed="false">
      <c r="A18" s="8" t="s">
        <v>158</v>
      </c>
      <c r="B18" s="8" t="s">
        <v>25</v>
      </c>
      <c r="C18" s="8" t="n">
        <v>30052</v>
      </c>
      <c r="D18" s="8" t="s">
        <v>301</v>
      </c>
      <c r="E18" s="8" t="s">
        <v>159</v>
      </c>
      <c r="F18" s="4" t="n">
        <v>95</v>
      </c>
      <c r="G18" s="4" t="n">
        <v>179</v>
      </c>
      <c r="H18" s="4" t="n">
        <v>6</v>
      </c>
      <c r="I18" s="4" t="n">
        <f aca="false">MIN(ROUNDUP(G18/MAX(1,24-H18),0),ROUNDDOWN(F18/H18,0))</f>
        <v>10</v>
      </c>
      <c r="J18" s="8" t="s">
        <v>302</v>
      </c>
    </row>
    <row r="19" customFormat="false" ht="15" hidden="false" customHeight="false" outlineLevel="0" collapsed="false">
      <c r="A19" s="8" t="s">
        <v>158</v>
      </c>
      <c r="B19" s="8" t="s">
        <v>25</v>
      </c>
      <c r="C19" s="8" t="n">
        <v>30053</v>
      </c>
      <c r="D19" s="8" t="s">
        <v>303</v>
      </c>
      <c r="E19" s="8" t="s">
        <v>159</v>
      </c>
      <c r="F19" s="4" t="n">
        <v>60</v>
      </c>
      <c r="G19" s="4" t="n">
        <v>141</v>
      </c>
      <c r="H19" s="4" t="n">
        <v>6</v>
      </c>
      <c r="I19" s="4" t="n">
        <f aca="false">MIN(ROUNDUP(G19/MAX(1,24-H19),0),ROUNDDOWN(F19/H19,0))</f>
        <v>8</v>
      </c>
      <c r="J19" s="8" t="s">
        <v>304</v>
      </c>
    </row>
    <row r="20" customFormat="false" ht="15" hidden="false" customHeight="false" outlineLevel="0" collapsed="false">
      <c r="A20" s="8" t="s">
        <v>116</v>
      </c>
      <c r="B20" s="8" t="s">
        <v>25</v>
      </c>
      <c r="C20" s="8" t="n">
        <v>30059</v>
      </c>
      <c r="D20" s="8" t="s">
        <v>305</v>
      </c>
      <c r="E20" s="8" t="s">
        <v>117</v>
      </c>
      <c r="F20" s="4" t="n">
        <v>40</v>
      </c>
      <c r="G20" s="4" t="n">
        <v>229</v>
      </c>
      <c r="H20" s="4" t="n">
        <v>6</v>
      </c>
      <c r="I20" s="4" t="n">
        <f aca="false">MIN(ROUNDUP(G20/MAX(1,24-H20),0),ROUNDDOWN(F20/H20,0))</f>
        <v>6</v>
      </c>
      <c r="J20" s="8" t="s">
        <v>306</v>
      </c>
    </row>
    <row r="21" customFormat="false" ht="15" hidden="false" customHeight="false" outlineLevel="0" collapsed="false">
      <c r="A21" s="8" t="s">
        <v>143</v>
      </c>
      <c r="B21" s="8" t="s">
        <v>20</v>
      </c>
      <c r="C21" s="8" t="n">
        <v>102421</v>
      </c>
      <c r="D21" s="8" t="s">
        <v>307</v>
      </c>
      <c r="E21" s="18" t="s">
        <v>144</v>
      </c>
      <c r="F21" s="4" t="n">
        <v>23</v>
      </c>
      <c r="G21" s="4" t="n">
        <v>58</v>
      </c>
      <c r="H21" s="4" t="n">
        <v>6</v>
      </c>
      <c r="I21" s="4" t="n">
        <f aca="false">MIN(ROUNDUP(G21/MAX(1,24-H21),0),ROUNDDOWN(F21/H21,0))</f>
        <v>3</v>
      </c>
      <c r="J21" s="8" t="s">
        <v>308</v>
      </c>
    </row>
    <row r="22" customFormat="false" ht="15" hidden="false" customHeight="false" outlineLevel="0" collapsed="false">
      <c r="A22" s="8" t="s">
        <v>77</v>
      </c>
      <c r="B22" s="8" t="s">
        <v>20</v>
      </c>
      <c r="C22" s="8" t="n">
        <v>102491</v>
      </c>
      <c r="D22" s="8" t="s">
        <v>309</v>
      </c>
      <c r="E22" s="8" t="s">
        <v>78</v>
      </c>
      <c r="F22" s="4" t="n">
        <v>4</v>
      </c>
      <c r="G22" s="4" t="n">
        <v>48</v>
      </c>
      <c r="H22" s="4" t="n">
        <v>6</v>
      </c>
      <c r="I22" s="4" t="n">
        <f aca="false">MIN(ROUNDUP(G22/MAX(1,24-H22),0),ROUNDDOWN(F22/H22,0))</f>
        <v>0</v>
      </c>
      <c r="J22" s="8" t="s">
        <v>310</v>
      </c>
    </row>
    <row r="23" customFormat="false" ht="15" hidden="false" customHeight="false" outlineLevel="0" collapsed="false">
      <c r="A23" s="8" t="s">
        <v>49</v>
      </c>
      <c r="B23" s="8" t="s">
        <v>23</v>
      </c>
      <c r="C23" s="8" t="n">
        <v>142278</v>
      </c>
      <c r="D23" s="8" t="s">
        <v>311</v>
      </c>
      <c r="E23" s="8" t="s">
        <v>50</v>
      </c>
      <c r="F23" s="4" t="n">
        <v>377</v>
      </c>
      <c r="G23" s="4" t="n">
        <v>1039</v>
      </c>
      <c r="H23" s="4" t="n">
        <v>5</v>
      </c>
      <c r="I23" s="4" t="n">
        <f aca="false">MIN(ROUNDUP(G23/MAX(1,24-H23),0),ROUNDDOWN(F23/H23,0))</f>
        <v>55</v>
      </c>
      <c r="J23" s="8" t="s">
        <v>312</v>
      </c>
    </row>
    <row r="24" customFormat="false" ht="15" hidden="false" customHeight="false" outlineLevel="0" collapsed="false">
      <c r="A24" s="8" t="s">
        <v>68</v>
      </c>
      <c r="B24" s="8" t="s">
        <v>25</v>
      </c>
      <c r="C24" s="8" t="n">
        <v>110545</v>
      </c>
      <c r="D24" s="8" t="s">
        <v>313</v>
      </c>
      <c r="E24" s="8" t="s">
        <v>69</v>
      </c>
      <c r="F24" s="4" t="n">
        <v>86</v>
      </c>
      <c r="G24" s="4" t="n">
        <v>94</v>
      </c>
      <c r="H24" s="4" t="n">
        <v>5</v>
      </c>
      <c r="I24" s="4" t="n">
        <f aca="false">MIN(ROUNDUP(G24/MAX(1,24-H24),0),ROUNDDOWN(F24/H24,0))</f>
        <v>5</v>
      </c>
      <c r="J24" s="8" t="s">
        <v>314</v>
      </c>
    </row>
    <row r="25" customFormat="false" ht="15" hidden="false" customHeight="false" outlineLevel="0" collapsed="false">
      <c r="A25" s="8" t="s">
        <v>116</v>
      </c>
      <c r="B25" s="8" t="s">
        <v>25</v>
      </c>
      <c r="C25" s="8" t="n">
        <v>30060</v>
      </c>
      <c r="D25" s="8" t="s">
        <v>315</v>
      </c>
      <c r="E25" s="8" t="s">
        <v>117</v>
      </c>
      <c r="F25" s="4" t="n">
        <v>48</v>
      </c>
      <c r="G25" s="4" t="n">
        <v>149</v>
      </c>
      <c r="H25" s="4" t="n">
        <v>5</v>
      </c>
      <c r="I25" s="4" t="n">
        <f aca="false">MIN(ROUNDUP(G25/MAX(1,24-H25),0),ROUNDDOWN(F25/H25,0))</f>
        <v>8</v>
      </c>
      <c r="J25" s="8" t="s">
        <v>316</v>
      </c>
    </row>
    <row r="26" customFormat="false" ht="15" hidden="false" customHeight="false" outlineLevel="0" collapsed="false">
      <c r="A26" s="8" t="s">
        <v>95</v>
      </c>
      <c r="B26" s="8" t="s">
        <v>20</v>
      </c>
      <c r="C26" s="8" t="n">
        <v>102261</v>
      </c>
      <c r="D26" s="8" t="s">
        <v>317</v>
      </c>
      <c r="E26" s="8" t="s">
        <v>96</v>
      </c>
      <c r="F26" s="4" t="n">
        <v>4</v>
      </c>
      <c r="G26" s="4" t="n">
        <v>77</v>
      </c>
      <c r="H26" s="4" t="n">
        <v>5</v>
      </c>
      <c r="I26" s="4" t="n">
        <f aca="false">MIN(ROUNDUP(G26/MAX(1,24-H26),0),ROUNDDOWN(F26/H26,0))</f>
        <v>0</v>
      </c>
      <c r="J26" s="8" t="s">
        <v>318</v>
      </c>
    </row>
    <row r="27" customFormat="false" ht="15" hidden="false" customHeight="false" outlineLevel="0" collapsed="false">
      <c r="A27" s="8" t="s">
        <v>49</v>
      </c>
      <c r="B27" s="8" t="s">
        <v>23</v>
      </c>
      <c r="C27" s="8" t="n">
        <v>142033</v>
      </c>
      <c r="D27" s="8" t="s">
        <v>319</v>
      </c>
      <c r="E27" s="8" t="s">
        <v>50</v>
      </c>
      <c r="F27" s="4" t="n">
        <v>697</v>
      </c>
      <c r="G27" s="4" t="n">
        <v>5002</v>
      </c>
      <c r="H27" s="4" t="n">
        <v>4</v>
      </c>
      <c r="I27" s="4" t="n">
        <f aca="false">MIN(ROUNDUP(G27/MAX(1,24-H27),0),ROUNDDOWN(F27/H27,0))</f>
        <v>174</v>
      </c>
      <c r="J27" s="8" t="s">
        <v>320</v>
      </c>
    </row>
    <row r="28" customFormat="false" ht="15" hidden="false" customHeight="false" outlineLevel="0" collapsed="false">
      <c r="A28" s="8" t="s">
        <v>228</v>
      </c>
      <c r="B28" s="8" t="s">
        <v>22</v>
      </c>
      <c r="C28" s="8" t="n">
        <v>131099</v>
      </c>
      <c r="D28" s="8" t="s">
        <v>321</v>
      </c>
      <c r="E28" s="8" t="s">
        <v>229</v>
      </c>
      <c r="F28" s="4" t="n">
        <v>432</v>
      </c>
      <c r="G28" s="4" t="n">
        <v>324</v>
      </c>
      <c r="H28" s="4" t="n">
        <v>4</v>
      </c>
      <c r="I28" s="4" t="n">
        <f aca="false">MIN(ROUNDUP(G28/MAX(1,24-H28),0),ROUNDDOWN(F28/H28,0))</f>
        <v>17</v>
      </c>
      <c r="J28" s="8" t="s">
        <v>322</v>
      </c>
    </row>
    <row r="29" customFormat="false" ht="15" hidden="false" customHeight="false" outlineLevel="0" collapsed="false">
      <c r="A29" s="8" t="s">
        <v>92</v>
      </c>
      <c r="B29" s="8" t="s">
        <v>20</v>
      </c>
      <c r="C29" s="8" t="n">
        <v>101802</v>
      </c>
      <c r="D29" s="8" t="s">
        <v>323</v>
      </c>
      <c r="E29" s="8" t="s">
        <v>93</v>
      </c>
      <c r="F29" s="4" t="n">
        <v>89</v>
      </c>
      <c r="G29" s="4" t="n">
        <v>111</v>
      </c>
      <c r="H29" s="4" t="n">
        <v>4</v>
      </c>
      <c r="I29" s="4" t="n">
        <f aca="false">MIN(ROUNDUP(G29/MAX(1,24-H29),0),ROUNDDOWN(F29/H29,0))</f>
        <v>6</v>
      </c>
      <c r="J29" s="8" t="s">
        <v>324</v>
      </c>
    </row>
    <row r="30" customFormat="false" ht="15" hidden="false" customHeight="false" outlineLevel="0" collapsed="false">
      <c r="A30" s="8" t="s">
        <v>116</v>
      </c>
      <c r="B30" s="8" t="s">
        <v>25</v>
      </c>
      <c r="C30" s="8" t="n">
        <v>30063</v>
      </c>
      <c r="D30" s="8" t="s">
        <v>325</v>
      </c>
      <c r="E30" s="8" t="s">
        <v>117</v>
      </c>
      <c r="F30" s="4" t="n">
        <v>72</v>
      </c>
      <c r="G30" s="4" t="n">
        <v>131</v>
      </c>
      <c r="H30" s="4" t="n">
        <v>4</v>
      </c>
      <c r="I30" s="4" t="n">
        <f aca="false">MIN(ROUNDUP(G30/MAX(1,24-H30),0),ROUNDDOWN(F30/H30,0))</f>
        <v>7</v>
      </c>
      <c r="J30" s="8" t="s">
        <v>326</v>
      </c>
    </row>
    <row r="31" customFormat="false" ht="15" hidden="false" customHeight="false" outlineLevel="0" collapsed="false">
      <c r="A31" s="8" t="s">
        <v>116</v>
      </c>
      <c r="B31" s="8" t="s">
        <v>25</v>
      </c>
      <c r="C31" s="8" t="n">
        <v>30068</v>
      </c>
      <c r="D31" s="8" t="s">
        <v>327</v>
      </c>
      <c r="E31" s="8" t="s">
        <v>117</v>
      </c>
      <c r="F31" s="4" t="n">
        <v>40</v>
      </c>
      <c r="G31" s="4" t="n">
        <v>133</v>
      </c>
      <c r="H31" s="4" t="n">
        <v>4</v>
      </c>
      <c r="I31" s="4" t="n">
        <f aca="false">MIN(ROUNDUP(G31/MAX(1,24-H31),0),ROUNDDOWN(F31/H31,0))</f>
        <v>7</v>
      </c>
      <c r="J31" s="8" t="s">
        <v>328</v>
      </c>
    </row>
    <row r="32" customFormat="false" ht="15" hidden="false" customHeight="false" outlineLevel="0" collapsed="false">
      <c r="A32" s="8" t="s">
        <v>116</v>
      </c>
      <c r="B32" s="8" t="s">
        <v>25</v>
      </c>
      <c r="C32" s="8" t="n">
        <v>30062</v>
      </c>
      <c r="D32" s="8" t="s">
        <v>329</v>
      </c>
      <c r="E32" s="8" t="s">
        <v>117</v>
      </c>
      <c r="F32" s="4" t="n">
        <v>40</v>
      </c>
      <c r="G32" s="4" t="n">
        <v>129</v>
      </c>
      <c r="H32" s="4" t="n">
        <v>4</v>
      </c>
      <c r="I32" s="4" t="n">
        <f aca="false">MIN(ROUNDUP(G32/MAX(1,24-H32),0),ROUNDDOWN(F32/H32,0))</f>
        <v>7</v>
      </c>
      <c r="J32" s="8" t="s">
        <v>330</v>
      </c>
    </row>
    <row r="33" customFormat="false" ht="15" hidden="false" customHeight="false" outlineLevel="0" collapsed="false">
      <c r="A33" s="8" t="s">
        <v>158</v>
      </c>
      <c r="B33" s="8" t="s">
        <v>25</v>
      </c>
      <c r="C33" s="8" t="n">
        <v>30051</v>
      </c>
      <c r="D33" s="8" t="s">
        <v>331</v>
      </c>
      <c r="E33" s="8" t="s">
        <v>159</v>
      </c>
      <c r="F33" s="4" t="n">
        <v>30</v>
      </c>
      <c r="G33" s="4" t="n">
        <v>198</v>
      </c>
      <c r="H33" s="4" t="n">
        <v>4</v>
      </c>
      <c r="I33" s="4" t="n">
        <f aca="false">MIN(ROUNDUP(G33/MAX(1,24-H33),0),ROUNDDOWN(F33/H33,0))</f>
        <v>7</v>
      </c>
      <c r="J33" s="8" t="s">
        <v>332</v>
      </c>
    </row>
    <row r="34" customFormat="false" ht="15" hidden="false" customHeight="false" outlineLevel="0" collapsed="false">
      <c r="A34" s="8" t="s">
        <v>68</v>
      </c>
      <c r="B34" s="8" t="s">
        <v>20</v>
      </c>
      <c r="C34" s="8" t="n">
        <v>102439</v>
      </c>
      <c r="D34" s="8" t="s">
        <v>333</v>
      </c>
      <c r="E34" s="8" t="s">
        <v>69</v>
      </c>
      <c r="F34" s="4" t="n">
        <v>20</v>
      </c>
      <c r="G34" s="4" t="n">
        <v>65</v>
      </c>
      <c r="H34" s="4" t="n">
        <v>4</v>
      </c>
      <c r="I34" s="4" t="n">
        <f aca="false">MIN(ROUNDUP(G34/MAX(1,24-H34),0),ROUNDDOWN(F34/H34,0))</f>
        <v>4</v>
      </c>
      <c r="J34" s="8" t="s">
        <v>334</v>
      </c>
    </row>
    <row r="35" customFormat="false" ht="15" hidden="false" customHeight="false" outlineLevel="0" collapsed="false">
      <c r="A35" s="8" t="s">
        <v>77</v>
      </c>
      <c r="B35" s="8" t="s">
        <v>20</v>
      </c>
      <c r="C35" s="8" t="n">
        <v>102498</v>
      </c>
      <c r="D35" s="8" t="s">
        <v>335</v>
      </c>
      <c r="E35" s="8" t="s">
        <v>78</v>
      </c>
      <c r="F35" s="4" t="n">
        <v>11</v>
      </c>
      <c r="G35" s="4" t="n">
        <v>64</v>
      </c>
      <c r="H35" s="4" t="n">
        <v>4</v>
      </c>
      <c r="I35" s="4" t="n">
        <f aca="false">MIN(ROUNDUP(G35/MAX(1,24-H35),0),ROUNDDOWN(F35/H35,0))</f>
        <v>2</v>
      </c>
      <c r="J35" s="8" t="s">
        <v>336</v>
      </c>
    </row>
    <row r="36" customFormat="false" ht="15" hidden="false" customHeight="false" outlineLevel="0" collapsed="false">
      <c r="A36" s="8" t="s">
        <v>95</v>
      </c>
      <c r="B36" s="8" t="s">
        <v>20</v>
      </c>
      <c r="C36" s="8" t="n">
        <v>102260</v>
      </c>
      <c r="D36" s="8" t="s">
        <v>337</v>
      </c>
      <c r="E36" s="8" t="s">
        <v>96</v>
      </c>
      <c r="F36" s="4" t="n">
        <v>4</v>
      </c>
      <c r="G36" s="4" t="n">
        <v>73</v>
      </c>
      <c r="H36" s="4" t="n">
        <v>4</v>
      </c>
      <c r="I36" s="4" t="n">
        <f aca="false">MIN(ROUNDUP(G36/MAX(1,24-H36),0),ROUNDDOWN(F36/H36,0))</f>
        <v>1</v>
      </c>
      <c r="J36" s="8" t="s">
        <v>338</v>
      </c>
    </row>
    <row r="37" customFormat="false" ht="15" hidden="false" customHeight="false" outlineLevel="0" collapsed="false">
      <c r="A37" s="8" t="s">
        <v>92</v>
      </c>
      <c r="B37" s="8" t="s">
        <v>20</v>
      </c>
      <c r="C37" s="8" t="n">
        <v>101803</v>
      </c>
      <c r="D37" s="8" t="s">
        <v>339</v>
      </c>
      <c r="E37" s="8" t="s">
        <v>93</v>
      </c>
      <c r="F37" s="4" t="n">
        <v>74</v>
      </c>
      <c r="G37" s="4" t="n">
        <v>90</v>
      </c>
      <c r="H37" s="4" t="n">
        <v>3</v>
      </c>
      <c r="I37" s="4" t="n">
        <f aca="false">MIN(ROUNDUP(G37/MAX(1,24-H37),0),ROUNDDOWN(F37/H37,0))</f>
        <v>5</v>
      </c>
      <c r="J37" s="8" t="s">
        <v>340</v>
      </c>
    </row>
    <row r="38" customFormat="false" ht="15" hidden="false" customHeight="false" outlineLevel="0" collapsed="false">
      <c r="A38" s="8" t="s">
        <v>156</v>
      </c>
      <c r="B38" s="8" t="s">
        <v>25</v>
      </c>
      <c r="C38" s="8" t="n">
        <v>110864</v>
      </c>
      <c r="D38" s="8" t="s">
        <v>341</v>
      </c>
      <c r="E38" s="8" t="s">
        <v>157</v>
      </c>
      <c r="F38" s="4" t="n">
        <v>69</v>
      </c>
      <c r="G38" s="4" t="n">
        <v>107</v>
      </c>
      <c r="H38" s="4" t="n">
        <v>3</v>
      </c>
      <c r="I38" s="4" t="n">
        <f aca="false">MIN(ROUNDUP(G38/MAX(1,24-H38),0),ROUNDDOWN(F38/H38,0))</f>
        <v>6</v>
      </c>
      <c r="J38" s="8" t="s">
        <v>342</v>
      </c>
    </row>
    <row r="39" customFormat="false" ht="15" hidden="false" customHeight="false" outlineLevel="0" collapsed="false">
      <c r="A39" s="8" t="s">
        <v>116</v>
      </c>
      <c r="B39" s="8" t="s">
        <v>25</v>
      </c>
      <c r="C39" s="8" t="n">
        <v>30061</v>
      </c>
      <c r="D39" s="8" t="s">
        <v>343</v>
      </c>
      <c r="E39" s="8" t="s">
        <v>117</v>
      </c>
      <c r="F39" s="4" t="n">
        <v>48</v>
      </c>
      <c r="G39" s="4" t="n">
        <v>133</v>
      </c>
      <c r="H39" s="4" t="n">
        <v>3</v>
      </c>
      <c r="I39" s="4" t="n">
        <f aca="false">MIN(ROUNDUP(G39/MAX(1,24-H39),0),ROUNDDOWN(F39/H39,0))</f>
        <v>7</v>
      </c>
      <c r="J39" s="8" t="s">
        <v>344</v>
      </c>
    </row>
    <row r="40" customFormat="false" ht="15" hidden="false" customHeight="false" outlineLevel="0" collapsed="false">
      <c r="A40" s="8" t="s">
        <v>92</v>
      </c>
      <c r="B40" s="8" t="s">
        <v>20</v>
      </c>
      <c r="C40" s="8" t="n">
        <v>101798</v>
      </c>
      <c r="D40" s="8" t="s">
        <v>345</v>
      </c>
      <c r="E40" s="8" t="s">
        <v>93</v>
      </c>
      <c r="F40" s="4" t="n">
        <v>42</v>
      </c>
      <c r="G40" s="4" t="n">
        <v>107</v>
      </c>
      <c r="H40" s="4" t="n">
        <v>3</v>
      </c>
      <c r="I40" s="4" t="n">
        <f aca="false">MIN(ROUNDUP(G40/MAX(1,24-H40),0),ROUNDDOWN(F40/H40,0))</f>
        <v>6</v>
      </c>
      <c r="J40" s="8" t="s">
        <v>346</v>
      </c>
    </row>
    <row r="41" customFormat="false" ht="15" hidden="false" customHeight="false" outlineLevel="0" collapsed="false">
      <c r="A41" s="8" t="s">
        <v>92</v>
      </c>
      <c r="B41" s="8" t="s">
        <v>20</v>
      </c>
      <c r="C41" s="8" t="n">
        <v>102021</v>
      </c>
      <c r="D41" s="8" t="s">
        <v>347</v>
      </c>
      <c r="E41" s="8" t="s">
        <v>93</v>
      </c>
      <c r="F41" s="4" t="n">
        <v>30</v>
      </c>
      <c r="G41" s="4" t="n">
        <v>115</v>
      </c>
      <c r="H41" s="4" t="n">
        <v>3</v>
      </c>
      <c r="I41" s="4" t="n">
        <f aca="false">MIN(ROUNDUP(G41/MAX(1,24-H41),0),ROUNDDOWN(F41/H41,0))</f>
        <v>6</v>
      </c>
      <c r="J41" s="8" t="s">
        <v>348</v>
      </c>
    </row>
    <row r="42" customFormat="false" ht="15" hidden="false" customHeight="false" outlineLevel="0" collapsed="false">
      <c r="A42" s="8" t="s">
        <v>92</v>
      </c>
      <c r="B42" s="8" t="s">
        <v>20</v>
      </c>
      <c r="C42" s="8" t="n">
        <v>101796</v>
      </c>
      <c r="D42" s="8" t="s">
        <v>349</v>
      </c>
      <c r="E42" s="8" t="s">
        <v>93</v>
      </c>
      <c r="F42" s="4" t="n">
        <v>27</v>
      </c>
      <c r="G42" s="4" t="n">
        <v>141</v>
      </c>
      <c r="H42" s="4" t="n">
        <v>3</v>
      </c>
      <c r="I42" s="4" t="n">
        <f aca="false">MIN(ROUNDUP(G42/MAX(1,24-H42),0),ROUNDDOWN(F42/H42,0))</f>
        <v>7</v>
      </c>
      <c r="J42" s="8" t="s">
        <v>350</v>
      </c>
    </row>
    <row r="43" customFormat="false" ht="15" hidden="false" customHeight="false" outlineLevel="0" collapsed="false">
      <c r="A43" s="8" t="s">
        <v>116</v>
      </c>
      <c r="B43" s="8" t="s">
        <v>25</v>
      </c>
      <c r="C43" s="8" t="n">
        <v>30070</v>
      </c>
      <c r="D43" s="8" t="s">
        <v>351</v>
      </c>
      <c r="E43" s="8" t="s">
        <v>117</v>
      </c>
      <c r="F43" s="4" t="n">
        <v>24</v>
      </c>
      <c r="G43" s="4" t="n">
        <v>137</v>
      </c>
      <c r="H43" s="4" t="n">
        <v>3</v>
      </c>
      <c r="I43" s="4" t="n">
        <f aca="false">MIN(ROUNDUP(G43/MAX(1,24-H43),0),ROUNDDOWN(F43/H43,0))</f>
        <v>7</v>
      </c>
      <c r="J43" s="8" t="s">
        <v>352</v>
      </c>
    </row>
    <row r="44" customFormat="false" ht="15" hidden="false" customHeight="false" outlineLevel="0" collapsed="false">
      <c r="A44" s="8" t="s">
        <v>177</v>
      </c>
      <c r="B44" s="8" t="s">
        <v>20</v>
      </c>
      <c r="C44" s="8" t="n">
        <v>230792</v>
      </c>
      <c r="D44" s="8" t="s">
        <v>353</v>
      </c>
      <c r="E44" s="8" t="s">
        <v>178</v>
      </c>
      <c r="F44" s="4" t="n">
        <v>21</v>
      </c>
      <c r="G44" s="4" t="n">
        <v>146</v>
      </c>
      <c r="H44" s="4" t="n">
        <v>3</v>
      </c>
      <c r="I44" s="4" t="n">
        <f aca="false">MIN(ROUNDUP(G44/MAX(1,24-H44),0),ROUNDDOWN(F44/H44,0))</f>
        <v>7</v>
      </c>
      <c r="J44" s="8" t="s">
        <v>354</v>
      </c>
    </row>
    <row r="45" customFormat="false" ht="15" hidden="false" customHeight="false" outlineLevel="0" collapsed="false">
      <c r="A45" s="8" t="s">
        <v>77</v>
      </c>
      <c r="B45" s="8" t="s">
        <v>20</v>
      </c>
      <c r="C45" s="8" t="n">
        <v>102495</v>
      </c>
      <c r="D45" s="8" t="s">
        <v>355</v>
      </c>
      <c r="E45" s="8" t="s">
        <v>78</v>
      </c>
      <c r="F45" s="4" t="n">
        <v>9</v>
      </c>
      <c r="G45" s="4" t="n">
        <v>59</v>
      </c>
      <c r="H45" s="4" t="n">
        <v>3</v>
      </c>
      <c r="I45" s="4" t="n">
        <f aca="false">MIN(ROUNDUP(G45/MAX(1,24-H45),0),ROUNDDOWN(F45/H45,0))</f>
        <v>3</v>
      </c>
      <c r="J45" s="8" t="s">
        <v>352</v>
      </c>
    </row>
    <row r="46" customFormat="false" ht="15" hidden="false" customHeight="false" outlineLevel="0" collapsed="false">
      <c r="A46" s="8" t="s">
        <v>90</v>
      </c>
      <c r="B46" s="8" t="s">
        <v>21</v>
      </c>
      <c r="C46" s="8" t="n">
        <v>110951</v>
      </c>
      <c r="D46" s="8" t="s">
        <v>356</v>
      </c>
      <c r="E46" s="8" t="s">
        <v>91</v>
      </c>
      <c r="F46" s="4" t="n">
        <v>6</v>
      </c>
      <c r="G46" s="4" t="n">
        <v>76</v>
      </c>
      <c r="H46" s="4" t="n">
        <v>3</v>
      </c>
      <c r="I46" s="4" t="n">
        <f aca="false">MIN(ROUNDUP(G46/MAX(1,24-H46),0),ROUNDDOWN(F46/H46,0))</f>
        <v>2</v>
      </c>
      <c r="J46" s="8" t="s">
        <v>357</v>
      </c>
    </row>
    <row r="47" customFormat="false" ht="15" hidden="false" customHeight="false" outlineLevel="0" collapsed="false">
      <c r="A47" s="8" t="s">
        <v>95</v>
      </c>
      <c r="B47" s="8" t="s">
        <v>20</v>
      </c>
      <c r="C47" s="8" t="n">
        <v>102259</v>
      </c>
      <c r="D47" s="8" t="s">
        <v>358</v>
      </c>
      <c r="E47" s="8" t="s">
        <v>96</v>
      </c>
      <c r="F47" s="4" t="n">
        <v>4</v>
      </c>
      <c r="G47" s="4" t="n">
        <v>76</v>
      </c>
      <c r="H47" s="4" t="n">
        <v>3</v>
      </c>
      <c r="I47" s="4" t="n">
        <f aca="false">MIN(ROUNDUP(G47/MAX(1,24-H47),0),ROUNDDOWN(F47/H47,0))</f>
        <v>1</v>
      </c>
      <c r="J47" s="8" t="s">
        <v>359</v>
      </c>
    </row>
    <row r="48" customFormat="false" ht="15" hidden="false" customHeight="false" outlineLevel="0" collapsed="false">
      <c r="A48" s="8" t="s">
        <v>141</v>
      </c>
      <c r="B48" s="8" t="s">
        <v>20</v>
      </c>
      <c r="C48" s="8" t="n">
        <v>102417</v>
      </c>
      <c r="D48" s="8" t="s">
        <v>360</v>
      </c>
      <c r="E48" s="18" t="s">
        <v>142</v>
      </c>
      <c r="F48" s="4" t="n">
        <v>3</v>
      </c>
      <c r="G48" s="4" t="n">
        <v>75</v>
      </c>
      <c r="H48" s="4" t="n">
        <v>3</v>
      </c>
      <c r="I48" s="4" t="n">
        <f aca="false">MIN(ROUNDUP(G48/MAX(1,24-H48),0),ROUNDDOWN(F48/H48,0))</f>
        <v>1</v>
      </c>
      <c r="J48" s="8" t="s">
        <v>361</v>
      </c>
    </row>
    <row r="49" customFormat="false" ht="15" hidden="false" customHeight="false" outlineLevel="0" collapsed="false">
      <c r="A49" s="8" t="s">
        <v>77</v>
      </c>
      <c r="B49" s="8" t="s">
        <v>20</v>
      </c>
      <c r="C49" s="8" t="n">
        <v>102493</v>
      </c>
      <c r="D49" s="8" t="s">
        <v>362</v>
      </c>
      <c r="E49" s="8" t="s">
        <v>78</v>
      </c>
      <c r="F49" s="4" t="n">
        <v>3</v>
      </c>
      <c r="G49" s="4" t="n">
        <v>68</v>
      </c>
      <c r="H49" s="4" t="n">
        <v>3</v>
      </c>
      <c r="I49" s="4" t="n">
        <f aca="false">MIN(ROUNDUP(G49/MAX(1,24-H49),0),ROUNDDOWN(F49/H49,0))</f>
        <v>1</v>
      </c>
      <c r="J49" s="8" t="s">
        <v>348</v>
      </c>
    </row>
    <row r="50" customFormat="false" ht="15" hidden="false" customHeight="false" outlineLevel="0" collapsed="false">
      <c r="A50" s="8" t="s">
        <v>90</v>
      </c>
      <c r="B50" s="8" t="s">
        <v>21</v>
      </c>
      <c r="C50" s="8" t="n">
        <v>110954</v>
      </c>
      <c r="D50" s="8" t="s">
        <v>363</v>
      </c>
      <c r="E50" s="8" t="s">
        <v>91</v>
      </c>
      <c r="F50" s="4" t="n">
        <v>2</v>
      </c>
      <c r="G50" s="4" t="n">
        <v>85</v>
      </c>
      <c r="H50" s="4" t="n">
        <v>3</v>
      </c>
      <c r="I50" s="4" t="n">
        <f aca="false">MIN(ROUNDUP(G50/MAX(1,24-H50),0),ROUNDDOWN(F50/H50,0))</f>
        <v>0</v>
      </c>
      <c r="J50" s="8" t="s">
        <v>364</v>
      </c>
    </row>
    <row r="51" customFormat="false" ht="15" hidden="false" customHeight="false" outlineLevel="0" collapsed="false">
      <c r="A51" s="8" t="s">
        <v>160</v>
      </c>
      <c r="B51" s="8" t="s">
        <v>22</v>
      </c>
      <c r="C51" s="8" t="n">
        <v>130671</v>
      </c>
      <c r="D51" s="8" t="s">
        <v>365</v>
      </c>
      <c r="E51" s="8" t="s">
        <v>161</v>
      </c>
      <c r="F51" s="4" t="n">
        <v>2712</v>
      </c>
      <c r="G51" s="4" t="n">
        <v>806</v>
      </c>
      <c r="H51" s="4" t="n">
        <v>2</v>
      </c>
      <c r="I51" s="4" t="n">
        <f aca="false">MIN(ROUNDUP(G51/MAX(1,24-H51),0),ROUNDDOWN(F51/H51,0))</f>
        <v>37</v>
      </c>
      <c r="J51" s="8" t="s">
        <v>366</v>
      </c>
    </row>
    <row r="52" customFormat="false" ht="15" hidden="false" customHeight="false" outlineLevel="0" collapsed="false">
      <c r="A52" s="8" t="s">
        <v>64</v>
      </c>
      <c r="B52" s="8" t="s">
        <v>24</v>
      </c>
      <c r="C52" s="8" t="n">
        <v>220059</v>
      </c>
      <c r="D52" s="8" t="s">
        <v>367</v>
      </c>
      <c r="E52" s="8" t="s">
        <v>65</v>
      </c>
      <c r="F52" s="4" t="n">
        <v>1499</v>
      </c>
      <c r="G52" s="4" t="n">
        <v>443</v>
      </c>
      <c r="H52" s="4" t="n">
        <v>2</v>
      </c>
      <c r="I52" s="4" t="n">
        <f aca="false">MIN(ROUNDUP(G52/MAX(1,24-H52),0),ROUNDDOWN(F52/H52,0))</f>
        <v>21</v>
      </c>
      <c r="J52" s="8" t="s">
        <v>366</v>
      </c>
    </row>
    <row r="53" customFormat="false" ht="15" hidden="false" customHeight="false" outlineLevel="0" collapsed="false">
      <c r="A53" s="8" t="s">
        <v>209</v>
      </c>
      <c r="B53" s="8" t="s">
        <v>28</v>
      </c>
      <c r="C53" s="8" t="n">
        <v>174509</v>
      </c>
      <c r="D53" s="8" t="s">
        <v>368</v>
      </c>
      <c r="E53" s="8" t="s">
        <v>210</v>
      </c>
      <c r="F53" s="4" t="n">
        <v>770</v>
      </c>
      <c r="G53" s="4" t="n">
        <v>267</v>
      </c>
      <c r="H53" s="4" t="n">
        <v>2</v>
      </c>
      <c r="I53" s="4" t="n">
        <f aca="false">MIN(ROUNDUP(G53/MAX(1,24-H53),0),ROUNDDOWN(F53/H53,0))</f>
        <v>13</v>
      </c>
      <c r="J53" s="8" t="s">
        <v>366</v>
      </c>
    </row>
    <row r="54" customFormat="false" ht="15" hidden="false" customHeight="false" outlineLevel="0" collapsed="false">
      <c r="A54" s="8" t="s">
        <v>64</v>
      </c>
      <c r="B54" s="8" t="s">
        <v>24</v>
      </c>
      <c r="C54" s="8" t="n">
        <v>220056</v>
      </c>
      <c r="D54" s="8" t="s">
        <v>369</v>
      </c>
      <c r="E54" s="8" t="s">
        <v>65</v>
      </c>
      <c r="F54" s="4" t="n">
        <v>481</v>
      </c>
      <c r="G54" s="4" t="n">
        <v>297</v>
      </c>
      <c r="H54" s="4" t="n">
        <v>2</v>
      </c>
      <c r="I54" s="4" t="n">
        <f aca="false">MIN(ROUNDUP(G54/MAX(1,24-H54),0),ROUNDDOWN(F54/H54,0))</f>
        <v>14</v>
      </c>
      <c r="J54" s="8" t="s">
        <v>366</v>
      </c>
    </row>
    <row r="55" customFormat="false" ht="15" hidden="false" customHeight="false" outlineLevel="0" collapsed="false">
      <c r="A55" s="8" t="s">
        <v>125</v>
      </c>
      <c r="B55" s="8" t="s">
        <v>25</v>
      </c>
      <c r="C55" s="8" t="n">
        <v>111038</v>
      </c>
      <c r="D55" s="8" t="s">
        <v>370</v>
      </c>
      <c r="E55" s="8" t="s">
        <v>126</v>
      </c>
      <c r="F55" s="4" t="n">
        <v>470</v>
      </c>
      <c r="G55" s="4" t="n">
        <v>252</v>
      </c>
      <c r="H55" s="4" t="n">
        <v>2</v>
      </c>
      <c r="I55" s="4" t="n">
        <f aca="false">MIN(ROUNDUP(G55/MAX(1,24-H55),0),ROUNDDOWN(F55/H55,0))</f>
        <v>12</v>
      </c>
      <c r="J55" s="8" t="s">
        <v>366</v>
      </c>
    </row>
    <row r="56" customFormat="false" ht="15" hidden="false" customHeight="false" outlineLevel="0" collapsed="false">
      <c r="A56" s="8" t="s">
        <v>145</v>
      </c>
      <c r="B56" s="8" t="s">
        <v>20</v>
      </c>
      <c r="C56" s="8" t="n">
        <v>101968</v>
      </c>
      <c r="D56" s="8" t="s">
        <v>371</v>
      </c>
      <c r="E56" s="8" t="s">
        <v>146</v>
      </c>
      <c r="F56" s="4" t="n">
        <v>345</v>
      </c>
      <c r="G56" s="4" t="n">
        <v>148</v>
      </c>
      <c r="H56" s="4" t="n">
        <v>2</v>
      </c>
      <c r="I56" s="4" t="n">
        <f aca="false">MIN(ROUNDUP(G56/MAX(1,24-H56),0),ROUNDDOWN(F56/H56,0))</f>
        <v>7</v>
      </c>
      <c r="J56" s="8" t="s">
        <v>372</v>
      </c>
    </row>
    <row r="57" customFormat="false" ht="15" hidden="false" customHeight="false" outlineLevel="0" collapsed="false">
      <c r="A57" s="8" t="s">
        <v>64</v>
      </c>
      <c r="B57" s="8" t="s">
        <v>24</v>
      </c>
      <c r="C57" s="8" t="n">
        <v>220057</v>
      </c>
      <c r="D57" s="8" t="s">
        <v>373</v>
      </c>
      <c r="E57" s="8" t="s">
        <v>65</v>
      </c>
      <c r="F57" s="4" t="n">
        <v>319</v>
      </c>
      <c r="G57" s="4" t="n">
        <v>348</v>
      </c>
      <c r="H57" s="4" t="n">
        <v>2</v>
      </c>
      <c r="I57" s="4" t="n">
        <f aca="false">MIN(ROUNDUP(G57/MAX(1,24-H57),0),ROUNDDOWN(F57/H57,0))</f>
        <v>16</v>
      </c>
      <c r="J57" s="8" t="s">
        <v>366</v>
      </c>
    </row>
    <row r="58" customFormat="false" ht="15" hidden="false" customHeight="false" outlineLevel="0" collapsed="false">
      <c r="A58" s="8" t="s">
        <v>64</v>
      </c>
      <c r="B58" s="8" t="s">
        <v>24</v>
      </c>
      <c r="C58" s="8" t="n">
        <v>220058</v>
      </c>
      <c r="D58" s="8" t="s">
        <v>374</v>
      </c>
      <c r="E58" s="8" t="s">
        <v>65</v>
      </c>
      <c r="F58" s="4" t="n">
        <v>310</v>
      </c>
      <c r="G58" s="4" t="n">
        <v>332</v>
      </c>
      <c r="H58" s="4" t="n">
        <v>2</v>
      </c>
      <c r="I58" s="4" t="n">
        <f aca="false">MIN(ROUNDUP(G58/MAX(1,24-H58),0),ROUNDDOWN(F58/H58,0))</f>
        <v>16</v>
      </c>
      <c r="J58" s="8" t="s">
        <v>366</v>
      </c>
    </row>
    <row r="59" customFormat="false" ht="15" hidden="false" customHeight="false" outlineLevel="0" collapsed="false">
      <c r="A59" s="8" t="s">
        <v>201</v>
      </c>
      <c r="B59" s="8" t="s">
        <v>28</v>
      </c>
      <c r="C59" s="8" t="n">
        <v>121489</v>
      </c>
      <c r="D59" s="8" t="s">
        <v>375</v>
      </c>
      <c r="E59" s="8" t="s">
        <v>202</v>
      </c>
      <c r="F59" s="4" t="n">
        <v>306</v>
      </c>
      <c r="G59" s="4" t="n">
        <v>1219</v>
      </c>
      <c r="H59" s="4" t="n">
        <v>2</v>
      </c>
      <c r="I59" s="4" t="n">
        <f aca="false">MIN(ROUNDUP(G59/MAX(1,24-H59),0),ROUNDDOWN(F59/H59,0))</f>
        <v>56</v>
      </c>
      <c r="J59" s="8" t="s">
        <v>366</v>
      </c>
    </row>
    <row r="60" customFormat="false" ht="15" hidden="false" customHeight="false" outlineLevel="0" collapsed="false">
      <c r="A60" s="8" t="s">
        <v>64</v>
      </c>
      <c r="B60" s="8" t="s">
        <v>24</v>
      </c>
      <c r="C60" s="8" t="n">
        <v>220054</v>
      </c>
      <c r="D60" s="8" t="s">
        <v>376</v>
      </c>
      <c r="E60" s="8" t="s">
        <v>65</v>
      </c>
      <c r="F60" s="4" t="n">
        <v>155</v>
      </c>
      <c r="G60" s="4" t="n">
        <v>309</v>
      </c>
      <c r="H60" s="4" t="n">
        <v>2</v>
      </c>
      <c r="I60" s="4" t="n">
        <f aca="false">MIN(ROUNDUP(G60/MAX(1,24-H60),0),ROUNDDOWN(F60/H60,0))</f>
        <v>15</v>
      </c>
      <c r="J60" s="8" t="s">
        <v>366</v>
      </c>
    </row>
    <row r="61" customFormat="false" ht="15" hidden="false" customHeight="false" outlineLevel="0" collapsed="false">
      <c r="A61" s="8" t="s">
        <v>81</v>
      </c>
      <c r="B61" s="8" t="s">
        <v>24</v>
      </c>
      <c r="C61" s="8" t="n">
        <v>220075</v>
      </c>
      <c r="D61" s="8" t="s">
        <v>377</v>
      </c>
      <c r="E61" s="8" t="s">
        <v>82</v>
      </c>
      <c r="F61" s="4" t="n">
        <v>146</v>
      </c>
      <c r="G61" s="4" t="n">
        <v>370</v>
      </c>
      <c r="H61" s="4" t="n">
        <v>2</v>
      </c>
      <c r="I61" s="4" t="n">
        <f aca="false">MIN(ROUNDUP(G61/MAX(1,24-H61),0),ROUNDDOWN(F61/H61,0))</f>
        <v>17</v>
      </c>
      <c r="J61" s="8" t="s">
        <v>366</v>
      </c>
    </row>
    <row r="62" customFormat="false" ht="15" hidden="false" customHeight="false" outlineLevel="0" collapsed="false">
      <c r="A62" s="8" t="s">
        <v>116</v>
      </c>
      <c r="B62" s="8" t="s">
        <v>25</v>
      </c>
      <c r="C62" s="8" t="n">
        <v>30064</v>
      </c>
      <c r="D62" s="8" t="s">
        <v>378</v>
      </c>
      <c r="E62" s="8" t="s">
        <v>117</v>
      </c>
      <c r="F62" s="4" t="n">
        <v>139</v>
      </c>
      <c r="G62" s="4" t="n">
        <v>148</v>
      </c>
      <c r="H62" s="4" t="n">
        <v>2</v>
      </c>
      <c r="I62" s="4" t="n">
        <f aca="false">MIN(ROUNDUP(G62/MAX(1,24-H62),0),ROUNDDOWN(F62/H62,0))</f>
        <v>7</v>
      </c>
      <c r="J62" s="8" t="s">
        <v>366</v>
      </c>
    </row>
    <row r="63" customFormat="false" ht="15" hidden="false" customHeight="false" outlineLevel="0" collapsed="false">
      <c r="A63" s="8" t="s">
        <v>187</v>
      </c>
      <c r="B63" s="8" t="s">
        <v>28</v>
      </c>
      <c r="C63" s="8" t="n">
        <v>121539</v>
      </c>
      <c r="D63" s="8" t="s">
        <v>379</v>
      </c>
      <c r="E63" s="8" t="s">
        <v>188</v>
      </c>
      <c r="F63" s="4" t="n">
        <v>138</v>
      </c>
      <c r="G63" s="4" t="n">
        <v>613</v>
      </c>
      <c r="H63" s="4" t="n">
        <v>2</v>
      </c>
      <c r="I63" s="4" t="n">
        <f aca="false">MIN(ROUNDUP(G63/MAX(1,24-H63),0),ROUNDDOWN(F63/H63,0))</f>
        <v>28</v>
      </c>
      <c r="J63" s="8" t="s">
        <v>380</v>
      </c>
    </row>
    <row r="64" customFormat="false" ht="15" hidden="false" customHeight="false" outlineLevel="0" collapsed="false">
      <c r="A64" s="8" t="s">
        <v>125</v>
      </c>
      <c r="B64" s="8" t="s">
        <v>25</v>
      </c>
      <c r="C64" s="8" t="n">
        <v>174510</v>
      </c>
      <c r="D64" s="8" t="s">
        <v>381</v>
      </c>
      <c r="E64" s="8" t="s">
        <v>126</v>
      </c>
      <c r="F64" s="4" t="n">
        <v>129</v>
      </c>
      <c r="G64" s="4" t="n">
        <v>265</v>
      </c>
      <c r="H64" s="4" t="n">
        <v>2</v>
      </c>
      <c r="I64" s="4" t="n">
        <f aca="false">MIN(ROUNDUP(G64/MAX(1,24-H64),0),ROUNDDOWN(F64/H64,0))</f>
        <v>13</v>
      </c>
      <c r="J64" s="8" t="s">
        <v>366</v>
      </c>
    </row>
    <row r="65" customFormat="false" ht="15" hidden="false" customHeight="false" outlineLevel="0" collapsed="false">
      <c r="A65" s="8" t="s">
        <v>77</v>
      </c>
      <c r="B65" s="8" t="s">
        <v>20</v>
      </c>
      <c r="C65" s="8" t="n">
        <v>102373</v>
      </c>
      <c r="D65" s="8" t="s">
        <v>382</v>
      </c>
      <c r="E65" s="8" t="s">
        <v>78</v>
      </c>
      <c r="F65" s="4" t="n">
        <v>122</v>
      </c>
      <c r="G65" s="4" t="n">
        <v>143</v>
      </c>
      <c r="H65" s="4" t="n">
        <v>2</v>
      </c>
      <c r="I65" s="4" t="n">
        <f aca="false">MIN(ROUNDUP(G65/MAX(1,24-H65),0),ROUNDDOWN(F65/H65,0))</f>
        <v>7</v>
      </c>
      <c r="J65" s="8" t="s">
        <v>366</v>
      </c>
    </row>
    <row r="66" customFormat="false" ht="15" hidden="false" customHeight="false" outlineLevel="0" collapsed="false">
      <c r="A66" s="8" t="s">
        <v>148</v>
      </c>
      <c r="B66" s="8" t="s">
        <v>25</v>
      </c>
      <c r="C66" s="8" t="n">
        <v>110388</v>
      </c>
      <c r="D66" s="8" t="s">
        <v>383</v>
      </c>
      <c r="E66" s="8" t="s">
        <v>149</v>
      </c>
      <c r="F66" s="4" t="n">
        <v>120</v>
      </c>
      <c r="G66" s="4" t="n">
        <v>192</v>
      </c>
      <c r="H66" s="4" t="n">
        <v>2</v>
      </c>
      <c r="I66" s="4" t="n">
        <f aca="false">MIN(ROUNDUP(G66/MAX(1,24-H66),0),ROUNDDOWN(F66/H66,0))</f>
        <v>9</v>
      </c>
      <c r="J66" s="8" t="s">
        <v>366</v>
      </c>
    </row>
    <row r="67" customFormat="false" ht="15" hidden="false" customHeight="false" outlineLevel="0" collapsed="false">
      <c r="A67" s="8" t="s">
        <v>148</v>
      </c>
      <c r="B67" s="8" t="s">
        <v>25</v>
      </c>
      <c r="C67" s="8" t="n">
        <v>110384</v>
      </c>
      <c r="D67" s="8" t="s">
        <v>384</v>
      </c>
      <c r="E67" s="8" t="s">
        <v>149</v>
      </c>
      <c r="F67" s="4" t="n">
        <v>120</v>
      </c>
      <c r="G67" s="4" t="n">
        <v>154</v>
      </c>
      <c r="H67" s="4" t="n">
        <v>2</v>
      </c>
      <c r="I67" s="4" t="n">
        <f aca="false">MIN(ROUNDUP(G67/MAX(1,24-H67),0),ROUNDDOWN(F67/H67,0))</f>
        <v>7</v>
      </c>
      <c r="J67" s="8" t="s">
        <v>366</v>
      </c>
    </row>
    <row r="68" customFormat="false" ht="15" hidden="false" customHeight="false" outlineLevel="0" collapsed="false">
      <c r="A68" s="8" t="s">
        <v>148</v>
      </c>
      <c r="B68" s="8" t="s">
        <v>25</v>
      </c>
      <c r="C68" s="8" t="n">
        <v>110386</v>
      </c>
      <c r="D68" s="8" t="s">
        <v>385</v>
      </c>
      <c r="E68" s="8" t="s">
        <v>149</v>
      </c>
      <c r="F68" s="4" t="n">
        <v>120</v>
      </c>
      <c r="G68" s="4" t="n">
        <v>166</v>
      </c>
      <c r="H68" s="4" t="n">
        <v>2</v>
      </c>
      <c r="I68" s="4" t="n">
        <f aca="false">MIN(ROUNDUP(G68/MAX(1,24-H68),0),ROUNDDOWN(F68/H68,0))</f>
        <v>8</v>
      </c>
      <c r="J68" s="8" t="s">
        <v>366</v>
      </c>
    </row>
    <row r="69" customFormat="false" ht="15" hidden="false" customHeight="false" outlineLevel="0" collapsed="false">
      <c r="A69" s="8" t="s">
        <v>77</v>
      </c>
      <c r="B69" s="8" t="s">
        <v>20</v>
      </c>
      <c r="C69" s="8" t="n">
        <v>102372</v>
      </c>
      <c r="D69" s="8" t="s">
        <v>386</v>
      </c>
      <c r="E69" s="8" t="s">
        <v>78</v>
      </c>
      <c r="F69" s="4" t="n">
        <v>88</v>
      </c>
      <c r="G69" s="4" t="n">
        <v>131</v>
      </c>
      <c r="H69" s="4" t="n">
        <v>2</v>
      </c>
      <c r="I69" s="4" t="n">
        <f aca="false">MIN(ROUNDUP(G69/MAX(1,24-H69),0),ROUNDDOWN(F69/H69,0))</f>
        <v>6</v>
      </c>
      <c r="J69" s="8" t="s">
        <v>366</v>
      </c>
    </row>
    <row r="70" customFormat="false" ht="15" hidden="false" customHeight="false" outlineLevel="0" collapsed="false">
      <c r="A70" s="8" t="s">
        <v>68</v>
      </c>
      <c r="B70" s="8" t="s">
        <v>25</v>
      </c>
      <c r="C70" s="8" t="n">
        <v>30024</v>
      </c>
      <c r="D70" s="8" t="s">
        <v>387</v>
      </c>
      <c r="E70" s="8" t="s">
        <v>69</v>
      </c>
      <c r="F70" s="4" t="n">
        <v>83</v>
      </c>
      <c r="G70" s="4" t="n">
        <v>226</v>
      </c>
      <c r="H70" s="4" t="n">
        <v>2</v>
      </c>
      <c r="I70" s="4" t="n">
        <f aca="false">MIN(ROUNDUP(G70/MAX(1,24-H70),0),ROUNDDOWN(F70/H70,0))</f>
        <v>11</v>
      </c>
      <c r="J70" s="8" t="s">
        <v>366</v>
      </c>
    </row>
    <row r="71" customFormat="false" ht="15" hidden="false" customHeight="false" outlineLevel="0" collapsed="false">
      <c r="A71" s="8" t="s">
        <v>68</v>
      </c>
      <c r="B71" s="8" t="s">
        <v>25</v>
      </c>
      <c r="C71" s="8" t="n">
        <v>30027</v>
      </c>
      <c r="D71" s="8" t="s">
        <v>388</v>
      </c>
      <c r="E71" s="8" t="s">
        <v>69</v>
      </c>
      <c r="F71" s="4" t="n">
        <v>72</v>
      </c>
      <c r="G71" s="4" t="n">
        <v>269</v>
      </c>
      <c r="H71" s="4" t="n">
        <v>2</v>
      </c>
      <c r="I71" s="4" t="n">
        <f aca="false">MIN(ROUNDUP(G71/MAX(1,24-H71),0),ROUNDDOWN(F71/H71,0))</f>
        <v>13</v>
      </c>
      <c r="J71" s="8" t="s">
        <v>366</v>
      </c>
    </row>
    <row r="72" customFormat="false" ht="15" hidden="false" customHeight="false" outlineLevel="0" collapsed="false">
      <c r="A72" s="8" t="s">
        <v>81</v>
      </c>
      <c r="B72" s="8" t="s">
        <v>24</v>
      </c>
      <c r="C72" s="8" t="n">
        <v>220076</v>
      </c>
      <c r="D72" s="8" t="s">
        <v>389</v>
      </c>
      <c r="E72" s="8" t="s">
        <v>82</v>
      </c>
      <c r="F72" s="4" t="n">
        <v>64</v>
      </c>
      <c r="G72" s="4" t="n">
        <v>269</v>
      </c>
      <c r="H72" s="4" t="n">
        <v>2</v>
      </c>
      <c r="I72" s="4" t="n">
        <f aca="false">MIN(ROUNDUP(G72/MAX(1,24-H72),0),ROUNDDOWN(F72/H72,0))</f>
        <v>13</v>
      </c>
      <c r="J72" s="8" t="s">
        <v>366</v>
      </c>
    </row>
    <row r="73" customFormat="false" ht="15" hidden="false" customHeight="false" outlineLevel="0" collapsed="false">
      <c r="A73" s="8" t="s">
        <v>77</v>
      </c>
      <c r="B73" s="8" t="s">
        <v>20</v>
      </c>
      <c r="C73" s="8" t="n">
        <v>102371</v>
      </c>
      <c r="D73" s="8" t="s">
        <v>390</v>
      </c>
      <c r="E73" s="8" t="s">
        <v>78</v>
      </c>
      <c r="F73" s="4" t="n">
        <v>62</v>
      </c>
      <c r="G73" s="4" t="n">
        <v>149</v>
      </c>
      <c r="H73" s="4" t="n">
        <v>2</v>
      </c>
      <c r="I73" s="4" t="n">
        <f aca="false">MIN(ROUNDUP(G73/MAX(1,24-H73),0),ROUNDDOWN(F73/H73,0))</f>
        <v>7</v>
      </c>
      <c r="J73" s="8" t="s">
        <v>366</v>
      </c>
    </row>
    <row r="74" customFormat="false" ht="15" hidden="false" customHeight="false" outlineLevel="0" collapsed="false">
      <c r="A74" s="8" t="s">
        <v>90</v>
      </c>
      <c r="B74" s="8" t="s">
        <v>21</v>
      </c>
      <c r="C74" s="8" t="n">
        <v>110953</v>
      </c>
      <c r="D74" s="8" t="s">
        <v>391</v>
      </c>
      <c r="E74" s="8" t="s">
        <v>91</v>
      </c>
      <c r="F74" s="4" t="n">
        <v>59</v>
      </c>
      <c r="G74" s="4" t="n">
        <v>73</v>
      </c>
      <c r="H74" s="4" t="n">
        <v>2</v>
      </c>
      <c r="I74" s="4" t="n">
        <f aca="false">MIN(ROUNDUP(G74/MAX(1,24-H74),0),ROUNDDOWN(F74/H74,0))</f>
        <v>4</v>
      </c>
      <c r="J74" s="8" t="s">
        <v>392</v>
      </c>
    </row>
    <row r="75" customFormat="false" ht="15" hidden="false" customHeight="false" outlineLevel="0" collapsed="false">
      <c r="A75" s="8" t="s">
        <v>92</v>
      </c>
      <c r="B75" s="8" t="s">
        <v>20</v>
      </c>
      <c r="C75" s="8" t="n">
        <v>101800</v>
      </c>
      <c r="D75" s="8" t="s">
        <v>393</v>
      </c>
      <c r="E75" s="8" t="s">
        <v>93</v>
      </c>
      <c r="F75" s="4" t="n">
        <v>52</v>
      </c>
      <c r="G75" s="4" t="n">
        <v>97</v>
      </c>
      <c r="H75" s="4" t="n">
        <v>2</v>
      </c>
      <c r="I75" s="4" t="n">
        <f aca="false">MIN(ROUNDUP(G75/MAX(1,24-H75),0),ROUNDDOWN(F75/H75,0))</f>
        <v>5</v>
      </c>
      <c r="J75" s="8" t="s">
        <v>394</v>
      </c>
    </row>
    <row r="76" customFormat="false" ht="15" hidden="false" customHeight="false" outlineLevel="0" collapsed="false">
      <c r="A76" s="8" t="s">
        <v>158</v>
      </c>
      <c r="B76" s="8" t="s">
        <v>25</v>
      </c>
      <c r="C76" s="8" t="n">
        <v>30055</v>
      </c>
      <c r="D76" s="8" t="s">
        <v>395</v>
      </c>
      <c r="E76" s="8" t="s">
        <v>159</v>
      </c>
      <c r="F76" s="4" t="n">
        <v>50</v>
      </c>
      <c r="G76" s="4" t="n">
        <v>198</v>
      </c>
      <c r="H76" s="4" t="n">
        <v>2</v>
      </c>
      <c r="I76" s="4" t="n">
        <f aca="false">MIN(ROUNDUP(G76/MAX(1,24-H76),0),ROUNDDOWN(F76/H76,0))</f>
        <v>9</v>
      </c>
      <c r="J76" s="8" t="s">
        <v>366</v>
      </c>
    </row>
    <row r="77" customFormat="false" ht="15" hidden="false" customHeight="false" outlineLevel="0" collapsed="false">
      <c r="A77" s="8" t="s">
        <v>116</v>
      </c>
      <c r="B77" s="8" t="s">
        <v>25</v>
      </c>
      <c r="C77" s="8" t="n">
        <v>30069</v>
      </c>
      <c r="D77" s="8" t="s">
        <v>396</v>
      </c>
      <c r="E77" s="8" t="s">
        <v>117</v>
      </c>
      <c r="F77" s="4" t="n">
        <v>48</v>
      </c>
      <c r="G77" s="4" t="n">
        <v>143</v>
      </c>
      <c r="H77" s="4" t="n">
        <v>2</v>
      </c>
      <c r="I77" s="4" t="n">
        <f aca="false">MIN(ROUNDUP(G77/MAX(1,24-H77),0),ROUNDDOWN(F77/H77,0))</f>
        <v>7</v>
      </c>
      <c r="J77" s="8" t="s">
        <v>366</v>
      </c>
    </row>
    <row r="78" customFormat="false" ht="15" hidden="false" customHeight="false" outlineLevel="0" collapsed="false">
      <c r="A78" s="8" t="s">
        <v>156</v>
      </c>
      <c r="B78" s="8" t="s">
        <v>25</v>
      </c>
      <c r="C78" s="8" t="n">
        <v>110866</v>
      </c>
      <c r="D78" s="8" t="s">
        <v>397</v>
      </c>
      <c r="E78" s="8" t="s">
        <v>157</v>
      </c>
      <c r="F78" s="4" t="n">
        <v>48</v>
      </c>
      <c r="G78" s="4" t="n">
        <v>169</v>
      </c>
      <c r="H78" s="4" t="n">
        <v>2</v>
      </c>
      <c r="I78" s="4" t="n">
        <f aca="false">MIN(ROUNDUP(G78/MAX(1,24-H78),0),ROUNDDOWN(F78/H78,0))</f>
        <v>8</v>
      </c>
      <c r="J78" s="8" t="s">
        <v>366</v>
      </c>
    </row>
    <row r="79" customFormat="false" ht="15" hidden="false" customHeight="false" outlineLevel="0" collapsed="false">
      <c r="A79" s="8" t="s">
        <v>129</v>
      </c>
      <c r="B79" s="8" t="s">
        <v>20</v>
      </c>
      <c r="C79" s="8" t="n">
        <v>102033</v>
      </c>
      <c r="D79" s="8" t="s">
        <v>398</v>
      </c>
      <c r="E79" s="18" t="s">
        <v>130</v>
      </c>
      <c r="F79" s="4" t="n">
        <v>46</v>
      </c>
      <c r="G79" s="4" t="n">
        <v>102</v>
      </c>
      <c r="H79" s="4" t="n">
        <v>2</v>
      </c>
      <c r="I79" s="4" t="n">
        <f aca="false">MIN(ROUNDUP(G79/MAX(1,24-H79),0),ROUNDDOWN(F79/H79,0))</f>
        <v>5</v>
      </c>
      <c r="J79" s="8" t="s">
        <v>366</v>
      </c>
    </row>
    <row r="80" customFormat="false" ht="15" hidden="false" customHeight="false" outlineLevel="0" collapsed="false">
      <c r="A80" s="8" t="s">
        <v>81</v>
      </c>
      <c r="B80" s="8" t="s">
        <v>24</v>
      </c>
      <c r="C80" s="8" t="n">
        <v>220072</v>
      </c>
      <c r="D80" s="8" t="s">
        <v>399</v>
      </c>
      <c r="E80" s="8" t="s">
        <v>82</v>
      </c>
      <c r="F80" s="4" t="n">
        <v>40</v>
      </c>
      <c r="G80" s="4" t="n">
        <v>215</v>
      </c>
      <c r="H80" s="4" t="n">
        <v>2</v>
      </c>
      <c r="I80" s="4" t="n">
        <f aca="false">MIN(ROUNDUP(G80/MAX(1,24-H80),0),ROUNDDOWN(F80/H80,0))</f>
        <v>10</v>
      </c>
      <c r="J80" s="8" t="s">
        <v>366</v>
      </c>
    </row>
    <row r="81" customFormat="false" ht="15" hidden="false" customHeight="false" outlineLevel="0" collapsed="false">
      <c r="A81" s="8" t="s">
        <v>68</v>
      </c>
      <c r="B81" s="8" t="s">
        <v>25</v>
      </c>
      <c r="C81" s="8" t="n">
        <v>30029</v>
      </c>
      <c r="D81" s="8" t="s">
        <v>400</v>
      </c>
      <c r="E81" s="8" t="s">
        <v>69</v>
      </c>
      <c r="F81" s="4" t="n">
        <v>40</v>
      </c>
      <c r="G81" s="4" t="n">
        <v>177</v>
      </c>
      <c r="H81" s="4" t="n">
        <v>2</v>
      </c>
      <c r="I81" s="4" t="n">
        <f aca="false">MIN(ROUNDUP(G81/MAX(1,24-H81),0),ROUNDDOWN(F81/H81,0))</f>
        <v>9</v>
      </c>
      <c r="J81" s="8" t="s">
        <v>366</v>
      </c>
    </row>
    <row r="82" customFormat="false" ht="15" hidden="false" customHeight="false" outlineLevel="0" collapsed="false">
      <c r="A82" s="8" t="s">
        <v>92</v>
      </c>
      <c r="B82" s="8" t="s">
        <v>20</v>
      </c>
      <c r="C82" s="8" t="n">
        <v>102020</v>
      </c>
      <c r="D82" s="8" t="s">
        <v>401</v>
      </c>
      <c r="E82" s="8" t="s">
        <v>93</v>
      </c>
      <c r="F82" s="4" t="n">
        <v>40</v>
      </c>
      <c r="G82" s="4" t="n">
        <v>130</v>
      </c>
      <c r="H82" s="4" t="n">
        <v>2</v>
      </c>
      <c r="I82" s="4" t="n">
        <f aca="false">MIN(ROUNDUP(G82/MAX(1,24-H82),0),ROUNDDOWN(F82/H82,0))</f>
        <v>6</v>
      </c>
      <c r="J82" s="8" t="s">
        <v>366</v>
      </c>
    </row>
    <row r="83" customFormat="false" ht="15" hidden="false" customHeight="false" outlineLevel="0" collapsed="false">
      <c r="A83" s="8" t="s">
        <v>116</v>
      </c>
      <c r="B83" s="8" t="s">
        <v>25</v>
      </c>
      <c r="C83" s="8" t="n">
        <v>30072</v>
      </c>
      <c r="D83" s="8" t="s">
        <v>402</v>
      </c>
      <c r="E83" s="8" t="s">
        <v>117</v>
      </c>
      <c r="F83" s="4" t="n">
        <v>32</v>
      </c>
      <c r="G83" s="4" t="n">
        <v>142</v>
      </c>
      <c r="H83" s="4" t="n">
        <v>2</v>
      </c>
      <c r="I83" s="4" t="n">
        <f aca="false">MIN(ROUNDUP(G83/MAX(1,24-H83),0),ROUNDDOWN(F83/H83,0))</f>
        <v>7</v>
      </c>
      <c r="J83" s="8" t="s">
        <v>366</v>
      </c>
    </row>
    <row r="84" customFormat="false" ht="15" hidden="false" customHeight="false" outlineLevel="0" collapsed="false">
      <c r="A84" s="8" t="s">
        <v>116</v>
      </c>
      <c r="B84" s="8" t="s">
        <v>25</v>
      </c>
      <c r="C84" s="8" t="n">
        <v>30065</v>
      </c>
      <c r="D84" s="8" t="s">
        <v>403</v>
      </c>
      <c r="E84" s="8" t="s">
        <v>117</v>
      </c>
      <c r="F84" s="4" t="n">
        <v>32</v>
      </c>
      <c r="G84" s="4" t="n">
        <v>126</v>
      </c>
      <c r="H84" s="4" t="n">
        <v>2</v>
      </c>
      <c r="I84" s="4" t="n">
        <f aca="false">MIN(ROUNDUP(G84/MAX(1,24-H84),0),ROUNDDOWN(F84/H84,0))</f>
        <v>6</v>
      </c>
      <c r="J84" s="8" t="s">
        <v>366</v>
      </c>
    </row>
    <row r="85" customFormat="false" ht="15" hidden="false" customHeight="false" outlineLevel="0" collapsed="false">
      <c r="A85" s="8" t="s">
        <v>68</v>
      </c>
      <c r="B85" s="8" t="s">
        <v>20</v>
      </c>
      <c r="C85" s="8" t="n">
        <v>102237</v>
      </c>
      <c r="D85" s="8" t="s">
        <v>404</v>
      </c>
      <c r="E85" s="8" t="s">
        <v>69</v>
      </c>
      <c r="F85" s="4" t="n">
        <v>32</v>
      </c>
      <c r="G85" s="4" t="n">
        <v>120</v>
      </c>
      <c r="H85" s="4" t="n">
        <v>2</v>
      </c>
      <c r="I85" s="4" t="n">
        <f aca="false">MIN(ROUNDUP(G85/MAX(1,24-H85),0),ROUNDDOWN(F85/H85,0))</f>
        <v>6</v>
      </c>
      <c r="J85" s="8" t="s">
        <v>366</v>
      </c>
    </row>
    <row r="86" customFormat="false" ht="15" hidden="false" customHeight="false" outlineLevel="0" collapsed="false">
      <c r="A86" s="8" t="s">
        <v>156</v>
      </c>
      <c r="B86" s="8" t="s">
        <v>25</v>
      </c>
      <c r="C86" s="8" t="n">
        <v>110865</v>
      </c>
      <c r="D86" s="8" t="s">
        <v>405</v>
      </c>
      <c r="E86" s="8" t="s">
        <v>157</v>
      </c>
      <c r="F86" s="4" t="n">
        <v>24</v>
      </c>
      <c r="G86" s="4" t="n">
        <v>150</v>
      </c>
      <c r="H86" s="4" t="n">
        <v>2</v>
      </c>
      <c r="I86" s="4" t="n">
        <f aca="false">MIN(ROUNDUP(G86/MAX(1,24-H86),0),ROUNDDOWN(F86/H86,0))</f>
        <v>7</v>
      </c>
      <c r="J86" s="8" t="s">
        <v>366</v>
      </c>
    </row>
    <row r="87" customFormat="false" ht="15" hidden="false" customHeight="false" outlineLevel="0" collapsed="false">
      <c r="A87" s="8" t="s">
        <v>156</v>
      </c>
      <c r="B87" s="8" t="s">
        <v>25</v>
      </c>
      <c r="C87" s="8" t="n">
        <v>110867</v>
      </c>
      <c r="D87" s="8" t="s">
        <v>406</v>
      </c>
      <c r="E87" s="8" t="s">
        <v>157</v>
      </c>
      <c r="F87" s="4" t="n">
        <v>20</v>
      </c>
      <c r="G87" s="4" t="n">
        <v>139</v>
      </c>
      <c r="H87" s="4" t="n">
        <v>2</v>
      </c>
      <c r="I87" s="4" t="n">
        <f aca="false">MIN(ROUNDUP(G87/MAX(1,24-H87),0),ROUNDDOWN(F87/H87,0))</f>
        <v>7</v>
      </c>
      <c r="J87" s="8" t="s">
        <v>366</v>
      </c>
    </row>
    <row r="88" customFormat="false" ht="15" hidden="false" customHeight="false" outlineLevel="0" collapsed="false">
      <c r="A88" s="8" t="s">
        <v>120</v>
      </c>
      <c r="B88" s="8" t="s">
        <v>21</v>
      </c>
      <c r="C88" s="8" t="n">
        <v>110501</v>
      </c>
      <c r="D88" s="8" t="s">
        <v>407</v>
      </c>
      <c r="E88" s="8" t="s">
        <v>121</v>
      </c>
      <c r="F88" s="4" t="n">
        <v>20</v>
      </c>
      <c r="G88" s="4" t="n">
        <v>110</v>
      </c>
      <c r="H88" s="4" t="n">
        <v>2</v>
      </c>
      <c r="I88" s="4" t="n">
        <f aca="false">MIN(ROUNDUP(G88/MAX(1,24-H88),0),ROUNDDOWN(F88/H88,0))</f>
        <v>5</v>
      </c>
      <c r="J88" s="8" t="s">
        <v>408</v>
      </c>
    </row>
    <row r="89" customFormat="false" ht="15" hidden="false" customHeight="false" outlineLevel="0" collapsed="false">
      <c r="A89" s="8" t="s">
        <v>68</v>
      </c>
      <c r="B89" s="8" t="s">
        <v>20</v>
      </c>
      <c r="C89" s="8" t="n">
        <v>102230</v>
      </c>
      <c r="D89" s="8" t="s">
        <v>409</v>
      </c>
      <c r="E89" s="8" t="s">
        <v>69</v>
      </c>
      <c r="F89" s="4" t="n">
        <v>15</v>
      </c>
      <c r="G89" s="4" t="n">
        <v>136</v>
      </c>
      <c r="H89" s="4" t="n">
        <v>2</v>
      </c>
      <c r="I89" s="4" t="n">
        <f aca="false">MIN(ROUNDUP(G89/MAX(1,24-H89),0),ROUNDDOWN(F89/H89,0))</f>
        <v>7</v>
      </c>
      <c r="J89" s="8" t="s">
        <v>410</v>
      </c>
    </row>
    <row r="90" customFormat="false" ht="15" hidden="false" customHeight="false" outlineLevel="0" collapsed="false">
      <c r="A90" s="8" t="s">
        <v>64</v>
      </c>
      <c r="B90" s="8" t="s">
        <v>24</v>
      </c>
      <c r="C90" s="8" t="n">
        <v>220055</v>
      </c>
      <c r="D90" s="8" t="s">
        <v>411</v>
      </c>
      <c r="E90" s="8" t="s">
        <v>65</v>
      </c>
      <c r="F90" s="4" t="n">
        <v>12</v>
      </c>
      <c r="G90" s="4" t="n">
        <v>223</v>
      </c>
      <c r="H90" s="4" t="n">
        <v>2</v>
      </c>
      <c r="I90" s="4" t="n">
        <f aca="false">MIN(ROUNDUP(G90/MAX(1,24-H90),0),ROUNDDOWN(F90/H90,0))</f>
        <v>6</v>
      </c>
      <c r="J90" s="8" t="s">
        <v>366</v>
      </c>
    </row>
    <row r="91" customFormat="false" ht="15" hidden="false" customHeight="false" outlineLevel="0" collapsed="false">
      <c r="A91" s="8" t="s">
        <v>95</v>
      </c>
      <c r="B91" s="8" t="s">
        <v>20</v>
      </c>
      <c r="C91" s="8" t="n">
        <v>102265</v>
      </c>
      <c r="D91" s="8" t="s">
        <v>412</v>
      </c>
      <c r="E91" s="8" t="s">
        <v>96</v>
      </c>
      <c r="F91" s="4" t="n">
        <v>12</v>
      </c>
      <c r="G91" s="4" t="n">
        <v>84</v>
      </c>
      <c r="H91" s="4" t="n">
        <v>2</v>
      </c>
      <c r="I91" s="4" t="n">
        <f aca="false">MIN(ROUNDUP(G91/MAX(1,24-H91),0),ROUNDDOWN(F91/H91,0))</f>
        <v>4</v>
      </c>
      <c r="J91" s="8" t="s">
        <v>366</v>
      </c>
    </row>
    <row r="92" customFormat="false" ht="15" hidden="false" customHeight="false" outlineLevel="0" collapsed="false">
      <c r="A92" s="8" t="s">
        <v>73</v>
      </c>
      <c r="B92" s="8" t="s">
        <v>22</v>
      </c>
      <c r="C92" s="8" t="n">
        <v>134198</v>
      </c>
      <c r="D92" s="8" t="s">
        <v>413</v>
      </c>
      <c r="E92" s="8" t="s">
        <v>74</v>
      </c>
      <c r="F92" s="4" t="n">
        <v>12</v>
      </c>
      <c r="G92" s="4" t="n">
        <v>328</v>
      </c>
      <c r="H92" s="4" t="n">
        <v>2</v>
      </c>
      <c r="I92" s="4" t="n">
        <f aca="false">MIN(ROUNDUP(G92/MAX(1,24-H92),0),ROUNDDOWN(F92/H92,0))</f>
        <v>6</v>
      </c>
      <c r="J92" s="8" t="s">
        <v>414</v>
      </c>
    </row>
    <row r="93" customFormat="false" ht="15" hidden="false" customHeight="false" outlineLevel="0" collapsed="false">
      <c r="A93" s="8" t="s">
        <v>154</v>
      </c>
      <c r="B93" s="8" t="s">
        <v>20</v>
      </c>
      <c r="C93" s="8" t="n">
        <v>101436</v>
      </c>
      <c r="D93" s="8" t="s">
        <v>415</v>
      </c>
      <c r="E93" s="18" t="s">
        <v>155</v>
      </c>
      <c r="F93" s="4" t="n">
        <v>11</v>
      </c>
      <c r="G93" s="4" t="n">
        <v>83</v>
      </c>
      <c r="H93" s="4" t="n">
        <v>2</v>
      </c>
      <c r="I93" s="4" t="n">
        <f aca="false">MIN(ROUNDUP(G93/MAX(1,24-H93),0),ROUNDDOWN(F93/H93,0))</f>
        <v>4</v>
      </c>
      <c r="J93" s="8" t="s">
        <v>410</v>
      </c>
    </row>
    <row r="94" customFormat="false" ht="15" hidden="false" customHeight="false" outlineLevel="0" collapsed="false">
      <c r="A94" s="8" t="s">
        <v>68</v>
      </c>
      <c r="B94" s="8" t="s">
        <v>20</v>
      </c>
      <c r="C94" s="8" t="n">
        <v>101990</v>
      </c>
      <c r="D94" s="8" t="s">
        <v>416</v>
      </c>
      <c r="E94" s="8" t="s">
        <v>69</v>
      </c>
      <c r="F94" s="4" t="n">
        <v>10</v>
      </c>
      <c r="G94" s="4" t="n">
        <v>192</v>
      </c>
      <c r="H94" s="4" t="n">
        <v>2</v>
      </c>
      <c r="I94" s="4" t="n">
        <f aca="false">MIN(ROUNDUP(G94/MAX(1,24-H94),0),ROUNDDOWN(F94/H94,0))</f>
        <v>5</v>
      </c>
      <c r="J94" s="8" t="s">
        <v>366</v>
      </c>
    </row>
    <row r="95" customFormat="false" ht="15" hidden="false" customHeight="false" outlineLevel="0" collapsed="false">
      <c r="A95" s="8" t="s">
        <v>95</v>
      </c>
      <c r="B95" s="8" t="s">
        <v>20</v>
      </c>
      <c r="C95" s="8" t="n">
        <v>102271</v>
      </c>
      <c r="D95" s="8" t="s">
        <v>417</v>
      </c>
      <c r="E95" s="8" t="s">
        <v>96</v>
      </c>
      <c r="F95" s="4" t="n">
        <v>9</v>
      </c>
      <c r="G95" s="4" t="n">
        <v>72</v>
      </c>
      <c r="H95" s="4" t="n">
        <v>2</v>
      </c>
      <c r="I95" s="4" t="n">
        <f aca="false">MIN(ROUNDUP(G95/MAX(1,24-H95),0),ROUNDDOWN(F95/H95,0))</f>
        <v>4</v>
      </c>
      <c r="J95" s="8" t="s">
        <v>372</v>
      </c>
    </row>
    <row r="96" customFormat="false" ht="15" hidden="false" customHeight="false" outlineLevel="0" collapsed="false">
      <c r="A96" s="8" t="s">
        <v>77</v>
      </c>
      <c r="B96" s="8" t="s">
        <v>20</v>
      </c>
      <c r="C96" s="8" t="n">
        <v>101733</v>
      </c>
      <c r="D96" s="8" t="s">
        <v>418</v>
      </c>
      <c r="E96" s="8" t="s">
        <v>78</v>
      </c>
      <c r="F96" s="4" t="n">
        <v>7</v>
      </c>
      <c r="G96" s="4" t="n">
        <v>92</v>
      </c>
      <c r="H96" s="4" t="n">
        <v>2</v>
      </c>
      <c r="I96" s="4" t="n">
        <f aca="false">MIN(ROUNDUP(G96/MAX(1,24-H96),0),ROUNDDOWN(F96/H96,0))</f>
        <v>3</v>
      </c>
      <c r="J96" s="8" t="s">
        <v>419</v>
      </c>
    </row>
    <row r="97" customFormat="false" ht="15" hidden="false" customHeight="false" outlineLevel="0" collapsed="false">
      <c r="A97" s="8" t="s">
        <v>152</v>
      </c>
      <c r="B97" s="8" t="s">
        <v>26</v>
      </c>
      <c r="C97" s="8" t="n">
        <v>154513</v>
      </c>
      <c r="D97" s="8" t="s">
        <v>420</v>
      </c>
      <c r="E97" s="8" t="s">
        <v>153</v>
      </c>
      <c r="F97" s="4" t="n">
        <v>6</v>
      </c>
      <c r="G97" s="4" t="n">
        <v>328</v>
      </c>
      <c r="H97" s="4" t="n">
        <v>2</v>
      </c>
      <c r="I97" s="4" t="n">
        <f aca="false">MIN(ROUNDUP(G97/MAX(1,24-H97),0),ROUNDDOWN(F97/H97,0))</f>
        <v>3</v>
      </c>
      <c r="J97" s="8" t="s">
        <v>421</v>
      </c>
    </row>
    <row r="98" customFormat="false" ht="15" hidden="false" customHeight="false" outlineLevel="0" collapsed="false">
      <c r="A98" s="8" t="s">
        <v>150</v>
      </c>
      <c r="B98" s="8" t="s">
        <v>20</v>
      </c>
      <c r="C98" s="8" t="n">
        <v>102301</v>
      </c>
      <c r="D98" s="8" t="s">
        <v>422</v>
      </c>
      <c r="E98" s="18" t="s">
        <v>151</v>
      </c>
      <c r="F98" s="4" t="n">
        <v>4</v>
      </c>
      <c r="G98" s="4" t="n">
        <v>117</v>
      </c>
      <c r="H98" s="4" t="n">
        <v>2</v>
      </c>
      <c r="I98" s="4" t="n">
        <f aca="false">MIN(ROUNDUP(G98/MAX(1,24-H98),0),ROUNDDOWN(F98/H98,0))</f>
        <v>2</v>
      </c>
      <c r="J98" s="8" t="s">
        <v>423</v>
      </c>
    </row>
    <row r="99" customFormat="false" ht="15" hidden="false" customHeight="false" outlineLevel="0" collapsed="false">
      <c r="A99" s="8" t="s">
        <v>95</v>
      </c>
      <c r="B99" s="8" t="s">
        <v>20</v>
      </c>
      <c r="C99" s="8" t="n">
        <v>102177</v>
      </c>
      <c r="D99" s="8" t="s">
        <v>424</v>
      </c>
      <c r="E99" s="8" t="s">
        <v>96</v>
      </c>
      <c r="F99" s="4" t="n">
        <v>4</v>
      </c>
      <c r="G99" s="4" t="n">
        <v>66</v>
      </c>
      <c r="H99" s="4" t="n">
        <v>2</v>
      </c>
      <c r="I99" s="4" t="n">
        <f aca="false">MIN(ROUNDUP(G99/MAX(1,24-H99),0),ROUNDDOWN(F99/H99,0))</f>
        <v>2</v>
      </c>
      <c r="J99" s="8" t="s">
        <v>425</v>
      </c>
    </row>
    <row r="100" customFormat="false" ht="15" hidden="false" customHeight="false" outlineLevel="0" collapsed="false">
      <c r="A100" s="8" t="s">
        <v>95</v>
      </c>
      <c r="B100" s="8" t="s">
        <v>20</v>
      </c>
      <c r="C100" s="8" t="n">
        <v>230112</v>
      </c>
      <c r="D100" s="8" t="s">
        <v>426</v>
      </c>
      <c r="E100" s="8" t="s">
        <v>96</v>
      </c>
      <c r="F100" s="4" t="n">
        <v>3</v>
      </c>
      <c r="G100" s="4" t="n">
        <v>77</v>
      </c>
      <c r="H100" s="4" t="n">
        <v>2</v>
      </c>
      <c r="I100" s="4" t="n">
        <f aca="false">MIN(ROUNDUP(G100/MAX(1,24-H100),0),ROUNDDOWN(F100/H100,0))</f>
        <v>1</v>
      </c>
      <c r="J100" s="8" t="s">
        <v>366</v>
      </c>
    </row>
    <row r="101" customFormat="false" ht="15" hidden="false" customHeight="false" outlineLevel="0" collapsed="false">
      <c r="A101" s="8" t="s">
        <v>53</v>
      </c>
      <c r="B101" s="8" t="s">
        <v>20</v>
      </c>
      <c r="C101" s="8" t="n">
        <v>102367</v>
      </c>
      <c r="D101" s="8" t="s">
        <v>427</v>
      </c>
      <c r="E101" s="8" t="s">
        <v>54</v>
      </c>
      <c r="F101" s="4" t="n">
        <v>2324</v>
      </c>
      <c r="G101" s="4" t="n">
        <v>221</v>
      </c>
      <c r="H101" s="4" t="n">
        <v>1</v>
      </c>
      <c r="I101" s="4" t="n">
        <f aca="false">MIN(ROUNDUP(G101/MAX(1,24-H101),0),ROUNDDOWN(F101/H101,0))</f>
        <v>10</v>
      </c>
      <c r="J101" s="8" t="s">
        <v>428</v>
      </c>
    </row>
    <row r="102" customFormat="false" ht="15" hidden="false" customHeight="false" outlineLevel="0" collapsed="false">
      <c r="A102" s="8" t="s">
        <v>122</v>
      </c>
      <c r="B102" s="8" t="s">
        <v>22</v>
      </c>
      <c r="C102" s="8" t="n">
        <v>134425</v>
      </c>
      <c r="D102" s="8" t="s">
        <v>429</v>
      </c>
      <c r="E102" s="8" t="s">
        <v>123</v>
      </c>
      <c r="F102" s="4" t="n">
        <v>1360</v>
      </c>
      <c r="G102" s="4" t="n">
        <v>775</v>
      </c>
      <c r="H102" s="4" t="n">
        <v>1</v>
      </c>
      <c r="I102" s="4" t="n">
        <f aca="false">MIN(ROUNDUP(G102/MAX(1,24-H102),0),ROUNDDOWN(F102/H102,0))</f>
        <v>34</v>
      </c>
      <c r="J102" s="8" t="s">
        <v>430</v>
      </c>
    </row>
    <row r="103" customFormat="false" ht="15" hidden="false" customHeight="false" outlineLevel="0" collapsed="false">
      <c r="A103" s="8" t="s">
        <v>108</v>
      </c>
      <c r="B103" s="8" t="s">
        <v>20</v>
      </c>
      <c r="C103" s="8" t="n">
        <v>102542</v>
      </c>
      <c r="D103" s="8" t="s">
        <v>431</v>
      </c>
      <c r="E103" s="8" t="s">
        <v>109</v>
      </c>
      <c r="F103" s="4" t="n">
        <v>1115</v>
      </c>
      <c r="G103" s="4" t="n">
        <v>241</v>
      </c>
      <c r="H103" s="4" t="n">
        <v>1</v>
      </c>
      <c r="I103" s="4" t="n">
        <f aca="false">MIN(ROUNDUP(G103/MAX(1,24-H103),0),ROUNDDOWN(F103/H103,0))</f>
        <v>11</v>
      </c>
      <c r="J103" s="8" t="s">
        <v>428</v>
      </c>
    </row>
    <row r="104" customFormat="false" ht="15" hidden="false" customHeight="false" outlineLevel="0" collapsed="false">
      <c r="A104" s="8" t="s">
        <v>125</v>
      </c>
      <c r="B104" s="8" t="s">
        <v>25</v>
      </c>
      <c r="C104" s="8" t="n">
        <v>110685</v>
      </c>
      <c r="D104" s="8" t="s">
        <v>432</v>
      </c>
      <c r="E104" s="8" t="s">
        <v>126</v>
      </c>
      <c r="F104" s="4" t="n">
        <v>686</v>
      </c>
      <c r="G104" s="4" t="n">
        <v>301</v>
      </c>
      <c r="H104" s="4" t="n">
        <v>1</v>
      </c>
      <c r="I104" s="4" t="n">
        <f aca="false">MIN(ROUNDUP(G104/MAX(1,24-H104),0),ROUNDDOWN(F104/H104,0))</f>
        <v>14</v>
      </c>
      <c r="J104" s="8" t="s">
        <v>428</v>
      </c>
    </row>
    <row r="105" customFormat="false" ht="15" hidden="false" customHeight="false" outlineLevel="0" collapsed="false">
      <c r="A105" s="8" t="s">
        <v>108</v>
      </c>
      <c r="B105" s="8" t="s">
        <v>20</v>
      </c>
      <c r="C105" s="8" t="n">
        <v>102541</v>
      </c>
      <c r="D105" s="8" t="s">
        <v>433</v>
      </c>
      <c r="E105" s="8" t="s">
        <v>109</v>
      </c>
      <c r="F105" s="4" t="n">
        <v>613</v>
      </c>
      <c r="G105" s="4" t="n">
        <v>237</v>
      </c>
      <c r="H105" s="4" t="n">
        <v>1</v>
      </c>
      <c r="I105" s="4" t="n">
        <f aca="false">MIN(ROUNDUP(G105/MAX(1,24-H105),0),ROUNDDOWN(F105/H105,0))</f>
        <v>11</v>
      </c>
      <c r="J105" s="8" t="s">
        <v>428</v>
      </c>
    </row>
    <row r="106" customFormat="false" ht="15" hidden="false" customHeight="false" outlineLevel="0" collapsed="false">
      <c r="A106" s="8" t="s">
        <v>73</v>
      </c>
      <c r="B106" s="8" t="s">
        <v>22</v>
      </c>
      <c r="C106" s="8" t="n">
        <v>134197</v>
      </c>
      <c r="D106" s="8" t="s">
        <v>434</v>
      </c>
      <c r="E106" s="8" t="s">
        <v>74</v>
      </c>
      <c r="F106" s="4" t="n">
        <v>214</v>
      </c>
      <c r="G106" s="4" t="n">
        <v>510</v>
      </c>
      <c r="H106" s="4" t="n">
        <v>1</v>
      </c>
      <c r="I106" s="4" t="n">
        <f aca="false">MIN(ROUNDUP(G106/MAX(1,24-H106),0),ROUNDDOWN(F106/H106,0))</f>
        <v>23</v>
      </c>
      <c r="J106" s="8" t="s">
        <v>430</v>
      </c>
    </row>
    <row r="107" customFormat="false" ht="15" hidden="false" customHeight="false" outlineLevel="0" collapsed="false">
      <c r="A107" s="8" t="s">
        <v>125</v>
      </c>
      <c r="B107" s="8" t="s">
        <v>25</v>
      </c>
      <c r="C107" s="8" t="n">
        <v>110683</v>
      </c>
      <c r="D107" s="8" t="s">
        <v>435</v>
      </c>
      <c r="E107" s="8" t="s">
        <v>126</v>
      </c>
      <c r="F107" s="4" t="n">
        <v>181</v>
      </c>
      <c r="G107" s="4" t="n">
        <v>411</v>
      </c>
      <c r="H107" s="4" t="n">
        <v>1</v>
      </c>
      <c r="I107" s="4" t="n">
        <f aca="false">MIN(ROUNDUP(G107/MAX(1,24-H107),0),ROUNDDOWN(F107/H107,0))</f>
        <v>18</v>
      </c>
      <c r="J107" s="8" t="s">
        <v>428</v>
      </c>
    </row>
    <row r="108" customFormat="false" ht="15" hidden="false" customHeight="false" outlineLevel="0" collapsed="false">
      <c r="A108" s="8" t="s">
        <v>125</v>
      </c>
      <c r="B108" s="8" t="s">
        <v>25</v>
      </c>
      <c r="C108" s="8" t="n">
        <v>110687</v>
      </c>
      <c r="D108" s="8" t="s">
        <v>436</v>
      </c>
      <c r="E108" s="8" t="s">
        <v>126</v>
      </c>
      <c r="F108" s="4" t="n">
        <v>145</v>
      </c>
      <c r="G108" s="4" t="n">
        <v>288</v>
      </c>
      <c r="H108" s="4" t="n">
        <v>1</v>
      </c>
      <c r="I108" s="4" t="n">
        <f aca="false">MIN(ROUNDUP(G108/MAX(1,24-H108),0),ROUNDDOWN(F108/H108,0))</f>
        <v>13</v>
      </c>
      <c r="J108" s="8" t="s">
        <v>428</v>
      </c>
    </row>
    <row r="109" customFormat="false" ht="15" hidden="false" customHeight="false" outlineLevel="0" collapsed="false">
      <c r="A109" s="8" t="s">
        <v>148</v>
      </c>
      <c r="B109" s="8" t="s">
        <v>25</v>
      </c>
      <c r="C109" s="8" t="n">
        <v>110385</v>
      </c>
      <c r="D109" s="8" t="s">
        <v>437</v>
      </c>
      <c r="E109" s="8" t="s">
        <v>149</v>
      </c>
      <c r="F109" s="4" t="n">
        <v>120</v>
      </c>
      <c r="G109" s="4" t="n">
        <v>175</v>
      </c>
      <c r="H109" s="4" t="n">
        <v>1</v>
      </c>
      <c r="I109" s="4" t="n">
        <f aca="false">MIN(ROUNDUP(G109/MAX(1,24-H109),0),ROUNDDOWN(F109/H109,0))</f>
        <v>8</v>
      </c>
      <c r="J109" s="8" t="s">
        <v>430</v>
      </c>
    </row>
    <row r="110" customFormat="false" ht="15" hidden="false" customHeight="false" outlineLevel="0" collapsed="false">
      <c r="A110" s="8" t="s">
        <v>181</v>
      </c>
      <c r="B110" s="8" t="s">
        <v>25</v>
      </c>
      <c r="C110" s="8" t="n">
        <v>30094</v>
      </c>
      <c r="D110" s="8" t="s">
        <v>438</v>
      </c>
      <c r="E110" s="8" t="s">
        <v>182</v>
      </c>
      <c r="F110" s="4" t="n">
        <v>89</v>
      </c>
      <c r="G110" s="4" t="n">
        <v>400</v>
      </c>
      <c r="H110" s="4" t="n">
        <v>1</v>
      </c>
      <c r="I110" s="4" t="n">
        <f aca="false">MIN(ROUNDUP(G110/MAX(1,24-H110),0),ROUNDDOWN(F110/H110,0))</f>
        <v>18</v>
      </c>
      <c r="J110" s="8" t="s">
        <v>428</v>
      </c>
    </row>
    <row r="111" customFormat="false" ht="15" hidden="false" customHeight="false" outlineLevel="0" collapsed="false">
      <c r="A111" s="8" t="s">
        <v>181</v>
      </c>
      <c r="B111" s="8" t="s">
        <v>25</v>
      </c>
      <c r="C111" s="8" t="n">
        <v>30093</v>
      </c>
      <c r="D111" s="8" t="s">
        <v>439</v>
      </c>
      <c r="E111" s="8" t="s">
        <v>182</v>
      </c>
      <c r="F111" s="4" t="n">
        <v>78</v>
      </c>
      <c r="G111" s="4" t="n">
        <v>399</v>
      </c>
      <c r="H111" s="4" t="n">
        <v>1</v>
      </c>
      <c r="I111" s="4" t="n">
        <f aca="false">MIN(ROUNDUP(G111/MAX(1,24-H111),0),ROUNDDOWN(F111/H111,0))</f>
        <v>18</v>
      </c>
      <c r="J111" s="8" t="s">
        <v>428</v>
      </c>
    </row>
    <row r="112" customFormat="false" ht="15" hidden="false" customHeight="false" outlineLevel="0" collapsed="false">
      <c r="A112" s="8" t="s">
        <v>68</v>
      </c>
      <c r="B112" s="8" t="s">
        <v>25</v>
      </c>
      <c r="C112" s="8" t="n">
        <v>30025</v>
      </c>
      <c r="D112" s="8" t="s">
        <v>440</v>
      </c>
      <c r="E112" s="8" t="s">
        <v>69</v>
      </c>
      <c r="F112" s="4" t="n">
        <v>72</v>
      </c>
      <c r="G112" s="4" t="n">
        <v>183</v>
      </c>
      <c r="H112" s="4" t="n">
        <v>1</v>
      </c>
      <c r="I112" s="4" t="n">
        <f aca="false">MIN(ROUNDUP(G112/MAX(1,24-H112),0),ROUNDDOWN(F112/H112,0))</f>
        <v>8</v>
      </c>
      <c r="J112" s="8" t="s">
        <v>428</v>
      </c>
    </row>
    <row r="113" customFormat="false" ht="15" hidden="false" customHeight="false" outlineLevel="0" collapsed="false">
      <c r="A113" s="8" t="s">
        <v>181</v>
      </c>
      <c r="B113" s="8" t="s">
        <v>25</v>
      </c>
      <c r="C113" s="8" t="n">
        <v>30091</v>
      </c>
      <c r="D113" s="8" t="s">
        <v>441</v>
      </c>
      <c r="E113" s="8" t="s">
        <v>182</v>
      </c>
      <c r="F113" s="4" t="n">
        <v>65</v>
      </c>
      <c r="G113" s="4" t="n">
        <v>342</v>
      </c>
      <c r="H113" s="4" t="n">
        <v>1</v>
      </c>
      <c r="I113" s="4" t="n">
        <f aca="false">MIN(ROUNDUP(G113/MAX(1,24-H113),0),ROUNDDOWN(F113/H113,0))</f>
        <v>15</v>
      </c>
      <c r="J113" s="8" t="s">
        <v>428</v>
      </c>
    </row>
    <row r="114" customFormat="false" ht="15" hidden="false" customHeight="false" outlineLevel="0" collapsed="false">
      <c r="A114" s="8" t="s">
        <v>68</v>
      </c>
      <c r="B114" s="8" t="s">
        <v>25</v>
      </c>
      <c r="C114" s="8" t="n">
        <v>110640</v>
      </c>
      <c r="D114" s="8" t="s">
        <v>442</v>
      </c>
      <c r="E114" s="8" t="s">
        <v>69</v>
      </c>
      <c r="F114" s="4" t="n">
        <v>30</v>
      </c>
      <c r="G114" s="4" t="n">
        <v>93</v>
      </c>
      <c r="H114" s="4" t="n">
        <v>1</v>
      </c>
      <c r="I114" s="4" t="n">
        <f aca="false">MIN(ROUNDUP(G114/MAX(1,24-H114),0),ROUNDDOWN(F114/H114,0))</f>
        <v>5</v>
      </c>
      <c r="J114" s="8" t="s">
        <v>430</v>
      </c>
    </row>
    <row r="115" customFormat="false" ht="15" hidden="false" customHeight="false" outlineLevel="0" collapsed="false">
      <c r="A115" s="8" t="s">
        <v>127</v>
      </c>
      <c r="B115" s="8" t="s">
        <v>20</v>
      </c>
      <c r="C115" s="8" t="n">
        <v>100281</v>
      </c>
      <c r="D115" s="8" t="s">
        <v>443</v>
      </c>
      <c r="E115" s="8" t="s">
        <v>128</v>
      </c>
      <c r="F115" s="4" t="n">
        <v>25</v>
      </c>
      <c r="G115" s="4" t="n">
        <v>162</v>
      </c>
      <c r="H115" s="4" t="n">
        <v>1</v>
      </c>
      <c r="I115" s="4" t="n">
        <f aca="false">MIN(ROUNDUP(G115/MAX(1,24-H115),0),ROUNDDOWN(F115/H115,0))</f>
        <v>8</v>
      </c>
      <c r="J115" s="8" t="s">
        <v>428</v>
      </c>
    </row>
    <row r="116" customFormat="false" ht="15" hidden="false" customHeight="false" outlineLevel="0" collapsed="false">
      <c r="A116" s="8" t="s">
        <v>150</v>
      </c>
      <c r="B116" s="8" t="s">
        <v>20</v>
      </c>
      <c r="C116" s="8" t="n">
        <v>101639</v>
      </c>
      <c r="D116" s="8" t="s">
        <v>444</v>
      </c>
      <c r="E116" s="18" t="s">
        <v>151</v>
      </c>
      <c r="F116" s="4" t="n">
        <v>24</v>
      </c>
      <c r="G116" s="4" t="n">
        <v>98</v>
      </c>
      <c r="H116" s="4" t="n">
        <v>1</v>
      </c>
      <c r="I116" s="4" t="n">
        <f aca="false">MIN(ROUNDUP(G116/MAX(1,24-H116),0),ROUNDDOWN(F116/H116,0))</f>
        <v>5</v>
      </c>
      <c r="J116" s="8" t="s">
        <v>430</v>
      </c>
    </row>
    <row r="117" customFormat="false" ht="15" hidden="false" customHeight="false" outlineLevel="0" collapsed="false">
      <c r="A117" s="8" t="s">
        <v>68</v>
      </c>
      <c r="B117" s="8" t="s">
        <v>20</v>
      </c>
      <c r="C117" s="8" t="n">
        <v>101992</v>
      </c>
      <c r="D117" s="8" t="s">
        <v>445</v>
      </c>
      <c r="E117" s="8" t="s">
        <v>69</v>
      </c>
      <c r="F117" s="4" t="n">
        <v>24</v>
      </c>
      <c r="G117" s="4" t="n">
        <v>141</v>
      </c>
      <c r="H117" s="4" t="n">
        <v>1</v>
      </c>
      <c r="I117" s="4" t="n">
        <f aca="false">MIN(ROUNDUP(G117/MAX(1,24-H117),0),ROUNDDOWN(F117/H117,0))</f>
        <v>7</v>
      </c>
      <c r="J117" s="8" t="s">
        <v>430</v>
      </c>
    </row>
    <row r="118" customFormat="false" ht="15" hidden="false" customHeight="false" outlineLevel="0" collapsed="false">
      <c r="A118" s="8" t="s">
        <v>110</v>
      </c>
      <c r="B118" s="8" t="s">
        <v>20</v>
      </c>
      <c r="C118" s="8" t="n">
        <v>174530</v>
      </c>
      <c r="D118" s="8" t="s">
        <v>446</v>
      </c>
      <c r="E118" s="8" t="s">
        <v>111</v>
      </c>
      <c r="F118" s="4" t="n">
        <v>22</v>
      </c>
      <c r="G118" s="4" t="n">
        <v>149</v>
      </c>
      <c r="H118" s="4" t="n">
        <v>1</v>
      </c>
      <c r="I118" s="4" t="n">
        <f aca="false">MIN(ROUNDUP(G118/MAX(1,24-H118),0),ROUNDDOWN(F118/H118,0))</f>
        <v>7</v>
      </c>
      <c r="J118" s="8" t="s">
        <v>428</v>
      </c>
    </row>
    <row r="119" customFormat="false" ht="15" hidden="false" customHeight="false" outlineLevel="0" collapsed="false">
      <c r="A119" s="8" t="s">
        <v>77</v>
      </c>
      <c r="B119" s="8" t="s">
        <v>20</v>
      </c>
      <c r="C119" s="8" t="n">
        <v>101873</v>
      </c>
      <c r="D119" s="8" t="s">
        <v>447</v>
      </c>
      <c r="E119" s="8" t="s">
        <v>78</v>
      </c>
      <c r="F119" s="4" t="n">
        <v>21</v>
      </c>
      <c r="G119" s="4" t="n">
        <v>99</v>
      </c>
      <c r="H119" s="4" t="n">
        <v>1</v>
      </c>
      <c r="I119" s="4" t="n">
        <f aca="false">MIN(ROUNDUP(G119/MAX(1,24-H119),0),ROUNDDOWN(F119/H119,0))</f>
        <v>5</v>
      </c>
      <c r="J119" s="8" t="s">
        <v>430</v>
      </c>
    </row>
    <row r="120" customFormat="false" ht="15" hidden="false" customHeight="false" outlineLevel="0" collapsed="false">
      <c r="A120" s="8" t="s">
        <v>181</v>
      </c>
      <c r="B120" s="8" t="s">
        <v>25</v>
      </c>
      <c r="C120" s="8" t="n">
        <v>30097</v>
      </c>
      <c r="D120" s="8" t="s">
        <v>448</v>
      </c>
      <c r="E120" s="8" t="s">
        <v>182</v>
      </c>
      <c r="F120" s="4" t="n">
        <v>19</v>
      </c>
      <c r="G120" s="4" t="n">
        <v>327</v>
      </c>
      <c r="H120" s="4" t="n">
        <v>1</v>
      </c>
      <c r="I120" s="4" t="n">
        <f aca="false">MIN(ROUNDUP(G120/MAX(1,24-H120),0),ROUNDDOWN(F120/H120,0))</f>
        <v>15</v>
      </c>
      <c r="J120" s="8" t="s">
        <v>430</v>
      </c>
    </row>
    <row r="121" customFormat="false" ht="15" hidden="false" customHeight="false" outlineLevel="0" collapsed="false">
      <c r="A121" s="8" t="s">
        <v>150</v>
      </c>
      <c r="B121" s="8" t="s">
        <v>20</v>
      </c>
      <c r="C121" s="8" t="n">
        <v>102381</v>
      </c>
      <c r="D121" s="8" t="s">
        <v>449</v>
      </c>
      <c r="E121" s="18" t="s">
        <v>151</v>
      </c>
      <c r="F121" s="4" t="n">
        <v>19</v>
      </c>
      <c r="G121" s="4" t="n">
        <v>117</v>
      </c>
      <c r="H121" s="4" t="n">
        <v>1</v>
      </c>
      <c r="I121" s="4" t="n">
        <f aca="false">MIN(ROUNDUP(G121/MAX(1,24-H121),0),ROUNDDOWN(F121/H121,0))</f>
        <v>6</v>
      </c>
      <c r="J121" s="8" t="s">
        <v>430</v>
      </c>
    </row>
    <row r="122" customFormat="false" ht="15" hidden="false" customHeight="false" outlineLevel="0" collapsed="false">
      <c r="A122" s="8" t="s">
        <v>120</v>
      </c>
      <c r="B122" s="8" t="s">
        <v>21</v>
      </c>
      <c r="C122" s="8" t="n">
        <v>230205</v>
      </c>
      <c r="D122" s="8" t="s">
        <v>450</v>
      </c>
      <c r="E122" s="8" t="s">
        <v>121</v>
      </c>
      <c r="F122" s="4" t="n">
        <v>16</v>
      </c>
      <c r="G122" s="4" t="n">
        <v>110</v>
      </c>
      <c r="H122" s="4" t="n">
        <v>1</v>
      </c>
      <c r="I122" s="4" t="n">
        <f aca="false">MIN(ROUNDUP(G122/MAX(1,24-H122),0),ROUNDDOWN(F122/H122,0))</f>
        <v>5</v>
      </c>
      <c r="J122" s="8" t="s">
        <v>430</v>
      </c>
    </row>
    <row r="123" customFormat="false" ht="15" hidden="false" customHeight="false" outlineLevel="0" collapsed="false">
      <c r="A123" s="8" t="s">
        <v>129</v>
      </c>
      <c r="B123" s="8" t="s">
        <v>20</v>
      </c>
      <c r="C123" s="8" t="n">
        <v>102194</v>
      </c>
      <c r="D123" s="8" t="s">
        <v>451</v>
      </c>
      <c r="E123" s="18" t="s">
        <v>130</v>
      </c>
      <c r="F123" s="4" t="n">
        <v>14</v>
      </c>
      <c r="G123" s="4" t="n">
        <v>101</v>
      </c>
      <c r="H123" s="4" t="n">
        <v>1</v>
      </c>
      <c r="I123" s="4" t="n">
        <f aca="false">MIN(ROUNDUP(G123/MAX(1,24-H123),0),ROUNDDOWN(F123/H123,0))</f>
        <v>5</v>
      </c>
      <c r="J123" s="8" t="s">
        <v>430</v>
      </c>
    </row>
    <row r="124" customFormat="false" ht="15" hidden="false" customHeight="false" outlineLevel="0" collapsed="false">
      <c r="A124" s="8" t="s">
        <v>68</v>
      </c>
      <c r="B124" s="8" t="s">
        <v>20</v>
      </c>
      <c r="C124" s="8" t="n">
        <v>101991</v>
      </c>
      <c r="D124" s="8" t="s">
        <v>452</v>
      </c>
      <c r="E124" s="8" t="s">
        <v>69</v>
      </c>
      <c r="F124" s="4" t="n">
        <v>12</v>
      </c>
      <c r="G124" s="4" t="n">
        <v>125</v>
      </c>
      <c r="H124" s="4" t="n">
        <v>1</v>
      </c>
      <c r="I124" s="4" t="n">
        <f aca="false">MIN(ROUNDUP(G124/MAX(1,24-H124),0),ROUNDDOWN(F124/H124,0))</f>
        <v>6</v>
      </c>
      <c r="J124" s="8" t="s">
        <v>430</v>
      </c>
    </row>
    <row r="125" customFormat="false" ht="15" hidden="false" customHeight="false" outlineLevel="0" collapsed="false">
      <c r="A125" s="8" t="s">
        <v>73</v>
      </c>
      <c r="B125" s="8" t="s">
        <v>22</v>
      </c>
      <c r="C125" s="8" t="n">
        <v>134196</v>
      </c>
      <c r="D125" s="8" t="s">
        <v>453</v>
      </c>
      <c r="E125" s="8" t="s">
        <v>74</v>
      </c>
      <c r="F125" s="4" t="n">
        <v>12</v>
      </c>
      <c r="G125" s="4" t="n">
        <v>347</v>
      </c>
      <c r="H125" s="4" t="n">
        <v>1</v>
      </c>
      <c r="I125" s="4" t="n">
        <f aca="false">MIN(ROUNDUP(G125/MAX(1,24-H125),0),ROUNDDOWN(F125/H125,0))</f>
        <v>12</v>
      </c>
      <c r="J125" s="8" t="s">
        <v>454</v>
      </c>
    </row>
    <row r="126" customFormat="false" ht="15" hidden="false" customHeight="false" outlineLevel="0" collapsed="false">
      <c r="A126" s="8" t="s">
        <v>92</v>
      </c>
      <c r="B126" s="8" t="s">
        <v>20</v>
      </c>
      <c r="C126" s="8" t="n">
        <v>101799</v>
      </c>
      <c r="D126" s="8" t="s">
        <v>455</v>
      </c>
      <c r="E126" s="8" t="s">
        <v>93</v>
      </c>
      <c r="F126" s="4" t="n">
        <v>12</v>
      </c>
      <c r="G126" s="4" t="n">
        <v>115</v>
      </c>
      <c r="H126" s="4" t="n">
        <v>1</v>
      </c>
      <c r="I126" s="4" t="n">
        <f aca="false">MIN(ROUNDUP(G126/MAX(1,24-H126),0),ROUNDDOWN(F126/H126,0))</f>
        <v>5</v>
      </c>
      <c r="J126" s="8" t="s">
        <v>430</v>
      </c>
    </row>
    <row r="127" customFormat="false" ht="15" hidden="false" customHeight="false" outlineLevel="0" collapsed="false">
      <c r="A127" s="8" t="s">
        <v>77</v>
      </c>
      <c r="B127" s="8" t="s">
        <v>20</v>
      </c>
      <c r="C127" s="8" t="n">
        <v>102374</v>
      </c>
      <c r="D127" s="8" t="s">
        <v>456</v>
      </c>
      <c r="E127" s="8" t="s">
        <v>78</v>
      </c>
      <c r="F127" s="4" t="n">
        <v>11</v>
      </c>
      <c r="G127" s="4" t="n">
        <v>147</v>
      </c>
      <c r="H127" s="4" t="n">
        <v>1</v>
      </c>
      <c r="I127" s="4" t="n">
        <f aca="false">MIN(ROUNDUP(G127/MAX(1,24-H127),0),ROUNDDOWN(F127/H127,0))</f>
        <v>7</v>
      </c>
      <c r="J127" s="8" t="s">
        <v>430</v>
      </c>
    </row>
    <row r="128" customFormat="false" ht="15" hidden="false" customHeight="false" outlineLevel="0" collapsed="false">
      <c r="A128" s="8" t="s">
        <v>68</v>
      </c>
      <c r="B128" s="8" t="s">
        <v>25</v>
      </c>
      <c r="C128" s="8" t="n">
        <v>110811</v>
      </c>
      <c r="D128" s="8" t="s">
        <v>457</v>
      </c>
      <c r="E128" s="8" t="s">
        <v>69</v>
      </c>
      <c r="F128" s="4" t="n">
        <v>9</v>
      </c>
      <c r="G128" s="4" t="n">
        <v>113</v>
      </c>
      <c r="H128" s="4" t="n">
        <v>1</v>
      </c>
      <c r="I128" s="4" t="n">
        <f aca="false">MIN(ROUNDUP(G128/MAX(1,24-H128),0),ROUNDDOWN(F128/H128,0))</f>
        <v>5</v>
      </c>
      <c r="J128" s="8" t="s">
        <v>430</v>
      </c>
    </row>
    <row r="129" customFormat="false" ht="15" hidden="false" customHeight="false" outlineLevel="0" collapsed="false">
      <c r="A129" s="8" t="s">
        <v>95</v>
      </c>
      <c r="B129" s="8" t="s">
        <v>20</v>
      </c>
      <c r="C129" s="8" t="n">
        <v>102264</v>
      </c>
      <c r="D129" s="8" t="s">
        <v>458</v>
      </c>
      <c r="E129" s="8" t="s">
        <v>96</v>
      </c>
      <c r="F129" s="4" t="n">
        <v>8</v>
      </c>
      <c r="G129" s="4" t="n">
        <v>78</v>
      </c>
      <c r="H129" s="4" t="n">
        <v>1</v>
      </c>
      <c r="I129" s="4" t="n">
        <f aca="false">MIN(ROUNDUP(G129/MAX(1,24-H129),0),ROUNDDOWN(F129/H129,0))</f>
        <v>4</v>
      </c>
      <c r="J129" s="8" t="s">
        <v>430</v>
      </c>
    </row>
    <row r="130" customFormat="false" ht="15" hidden="false" customHeight="false" outlineLevel="0" collapsed="false">
      <c r="A130" s="8" t="s">
        <v>95</v>
      </c>
      <c r="B130" s="8" t="s">
        <v>20</v>
      </c>
      <c r="C130" s="8" t="n">
        <v>102270</v>
      </c>
      <c r="D130" s="8" t="s">
        <v>459</v>
      </c>
      <c r="E130" s="8" t="s">
        <v>96</v>
      </c>
      <c r="F130" s="4" t="n">
        <v>7</v>
      </c>
      <c r="G130" s="4" t="n">
        <v>72</v>
      </c>
      <c r="H130" s="4" t="n">
        <v>1</v>
      </c>
      <c r="I130" s="4" t="n">
        <f aca="false">MIN(ROUNDUP(G130/MAX(1,24-H130),0),ROUNDDOWN(F130/H130,0))</f>
        <v>4</v>
      </c>
      <c r="J130" s="8" t="s">
        <v>430</v>
      </c>
    </row>
    <row r="131" customFormat="false" ht="15" hidden="false" customHeight="false" outlineLevel="0" collapsed="false">
      <c r="A131" s="8" t="s">
        <v>152</v>
      </c>
      <c r="B131" s="8" t="s">
        <v>26</v>
      </c>
      <c r="C131" s="8" t="n">
        <v>152124</v>
      </c>
      <c r="D131" s="8" t="s">
        <v>460</v>
      </c>
      <c r="E131" s="8" t="s">
        <v>153</v>
      </c>
      <c r="F131" s="4" t="n">
        <v>6</v>
      </c>
      <c r="G131" s="4" t="n">
        <v>408</v>
      </c>
      <c r="H131" s="4" t="n">
        <v>1</v>
      </c>
      <c r="I131" s="4" t="n">
        <f aca="false">MIN(ROUNDUP(G131/MAX(1,24-H131),0),ROUNDDOWN(F131/H131,0))</f>
        <v>6</v>
      </c>
      <c r="J131" s="8" t="s">
        <v>430</v>
      </c>
    </row>
    <row r="132" customFormat="false" ht="15" hidden="false" customHeight="false" outlineLevel="0" collapsed="false">
      <c r="A132" s="8" t="s">
        <v>129</v>
      </c>
      <c r="B132" s="8" t="s">
        <v>20</v>
      </c>
      <c r="C132" s="8" t="n">
        <v>102195</v>
      </c>
      <c r="D132" s="8" t="s">
        <v>461</v>
      </c>
      <c r="E132" s="18" t="s">
        <v>130</v>
      </c>
      <c r="F132" s="4" t="n">
        <v>4</v>
      </c>
      <c r="G132" s="4" t="n">
        <v>111</v>
      </c>
      <c r="H132" s="4" t="n">
        <v>1</v>
      </c>
      <c r="I132" s="4" t="n">
        <f aca="false">MIN(ROUNDUP(G132/MAX(1,24-H132),0),ROUNDDOWN(F132/H132,0))</f>
        <v>4</v>
      </c>
      <c r="J132" s="8" t="s">
        <v>430</v>
      </c>
    </row>
    <row r="133" customFormat="false" ht="15" hidden="false" customHeight="false" outlineLevel="0" collapsed="false">
      <c r="A133" s="8" t="s">
        <v>95</v>
      </c>
      <c r="B133" s="8" t="s">
        <v>20</v>
      </c>
      <c r="C133" s="8" t="n">
        <v>102266</v>
      </c>
      <c r="D133" s="8" t="s">
        <v>462</v>
      </c>
      <c r="E133" s="8" t="s">
        <v>96</v>
      </c>
      <c r="F133" s="4" t="n">
        <v>4</v>
      </c>
      <c r="G133" s="4" t="n">
        <v>80</v>
      </c>
      <c r="H133" s="4" t="n">
        <v>1</v>
      </c>
      <c r="I133" s="4" t="n">
        <f aca="false">MIN(ROUNDUP(G133/MAX(1,24-H133),0),ROUNDDOWN(F133/H133,0))</f>
        <v>4</v>
      </c>
      <c r="J133" s="8" t="s">
        <v>430</v>
      </c>
    </row>
    <row r="134" customFormat="false" ht="15" hidden="false" customHeight="false" outlineLevel="0" collapsed="false">
      <c r="A134" s="8" t="s">
        <v>141</v>
      </c>
      <c r="B134" s="8" t="s">
        <v>20</v>
      </c>
      <c r="C134" s="8" t="n">
        <v>102386</v>
      </c>
      <c r="D134" s="8" t="s">
        <v>463</v>
      </c>
      <c r="E134" s="18" t="s">
        <v>142</v>
      </c>
      <c r="F134" s="4" t="n">
        <v>3</v>
      </c>
      <c r="G134" s="4" t="n">
        <v>137</v>
      </c>
      <c r="H134" s="4" t="n">
        <v>1</v>
      </c>
      <c r="I134" s="4" t="n">
        <f aca="false">MIN(ROUNDUP(G134/MAX(1,24-H134),0),ROUNDDOWN(F134/H134,0))</f>
        <v>3</v>
      </c>
      <c r="J134" s="8" t="s">
        <v>430</v>
      </c>
    </row>
    <row r="135" customFormat="false" ht="15" hidden="false" customHeight="false" outlineLevel="0" collapsed="false">
      <c r="A135" s="8" t="s">
        <v>177</v>
      </c>
      <c r="B135" s="8" t="s">
        <v>20</v>
      </c>
      <c r="C135" s="8" t="n">
        <v>101828</v>
      </c>
      <c r="D135" s="8" t="s">
        <v>464</v>
      </c>
      <c r="E135" s="8" t="s">
        <v>178</v>
      </c>
      <c r="F135" s="4" t="n">
        <v>3</v>
      </c>
      <c r="G135" s="4" t="n">
        <v>256</v>
      </c>
      <c r="H135" s="4" t="n">
        <v>1</v>
      </c>
      <c r="I135" s="4" t="n">
        <f aca="false">MIN(ROUNDUP(G135/MAX(1,24-H135),0),ROUNDDOWN(F135/H135,0))</f>
        <v>3</v>
      </c>
      <c r="J135" s="8" t="s">
        <v>430</v>
      </c>
    </row>
    <row r="137" customFormat="false" ht="15" hidden="false" customHeight="false" outlineLevel="0" collapsed="false">
      <c r="A137" s="14" t="s">
        <v>465</v>
      </c>
    </row>
  </sheetData>
  <autoFilter ref="A3:J1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4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9"/>
    <col collapsed="false" customWidth="true" hidden="false" outlineLevel="0" max="4" min="4" style="0" width="40"/>
    <col collapsed="false" customWidth="true" hidden="false" outlineLevel="0" max="5" min="5" style="0" width="8"/>
    <col collapsed="false" customWidth="true" hidden="false" outlineLevel="0" max="30" min="6" style="0" width="6"/>
    <col collapsed="false" customWidth="true" hidden="false" outlineLevel="0" max="31" min="31" style="0" width="8"/>
  </cols>
  <sheetData>
    <row r="1" customFormat="false" ht="15" hidden="false" customHeight="false" outlineLevel="0" collapsed="false">
      <c r="A1" s="13" t="s">
        <v>466</v>
      </c>
    </row>
    <row r="3" customFormat="false" ht="150" hidden="false" customHeight="true" outlineLevel="0" collapsed="false">
      <c r="A3" s="7" t="s">
        <v>38</v>
      </c>
      <c r="B3" s="7" t="s">
        <v>10</v>
      </c>
      <c r="C3" s="7" t="s">
        <v>269</v>
      </c>
      <c r="D3" s="7" t="s">
        <v>270</v>
      </c>
      <c r="E3" s="7" t="s">
        <v>15</v>
      </c>
      <c r="F3" s="19" t="s">
        <v>428</v>
      </c>
      <c r="G3" s="19" t="s">
        <v>467</v>
      </c>
      <c r="H3" s="19" t="s">
        <v>468</v>
      </c>
      <c r="I3" s="19" t="s">
        <v>454</v>
      </c>
      <c r="J3" s="19" t="s">
        <v>469</v>
      </c>
      <c r="K3" s="19" t="s">
        <v>470</v>
      </c>
      <c r="L3" s="19" t="s">
        <v>471</v>
      </c>
      <c r="M3" s="19" t="s">
        <v>472</v>
      </c>
      <c r="N3" s="19" t="s">
        <v>473</v>
      </c>
      <c r="O3" s="19" t="s">
        <v>474</v>
      </c>
      <c r="P3" s="19" t="s">
        <v>475</v>
      </c>
      <c r="Q3" s="19" t="s">
        <v>476</v>
      </c>
      <c r="R3" s="19" t="s">
        <v>477</v>
      </c>
      <c r="S3" s="19" t="s">
        <v>478</v>
      </c>
      <c r="T3" s="19" t="s">
        <v>479</v>
      </c>
      <c r="U3" s="19" t="s">
        <v>480</v>
      </c>
      <c r="V3" s="19" t="s">
        <v>481</v>
      </c>
      <c r="W3" s="19" t="s">
        <v>482</v>
      </c>
      <c r="X3" s="19" t="s">
        <v>483</v>
      </c>
      <c r="Y3" s="19" t="s">
        <v>484</v>
      </c>
      <c r="Z3" s="19" t="s">
        <v>485</v>
      </c>
      <c r="AA3" s="19" t="s">
        <v>486</v>
      </c>
      <c r="AB3" s="19" t="s">
        <v>487</v>
      </c>
      <c r="AC3" s="19" t="s">
        <v>488</v>
      </c>
      <c r="AD3" s="19" t="s">
        <v>430</v>
      </c>
      <c r="AE3" s="7" t="s">
        <v>271</v>
      </c>
    </row>
    <row r="4" customFormat="false" ht="15" hidden="false" customHeight="false" outlineLevel="0" collapsed="false">
      <c r="A4" s="8" t="s">
        <v>97</v>
      </c>
      <c r="B4" s="8" t="s">
        <v>27</v>
      </c>
      <c r="C4" s="8" t="n">
        <v>151049</v>
      </c>
      <c r="D4" s="8" t="s">
        <v>489</v>
      </c>
      <c r="E4" s="4" t="n">
        <v>0</v>
      </c>
      <c r="F4" s="4" t="n">
        <v>32</v>
      </c>
      <c r="G4" s="4" t="n">
        <v>32</v>
      </c>
      <c r="H4" s="4" t="n">
        <v>49</v>
      </c>
      <c r="I4" s="4" t="n">
        <v>1</v>
      </c>
      <c r="J4" s="4" t="n">
        <v>0</v>
      </c>
      <c r="K4" s="4" t="n">
        <v>69</v>
      </c>
      <c r="L4" s="4" t="n">
        <v>18</v>
      </c>
      <c r="M4" s="4" t="n">
        <v>36</v>
      </c>
      <c r="N4" s="4" t="n">
        <v>0</v>
      </c>
      <c r="O4" s="4" t="n">
        <v>3</v>
      </c>
      <c r="P4" s="4" t="n">
        <v>18</v>
      </c>
      <c r="Q4" s="4" t="n">
        <v>4</v>
      </c>
      <c r="R4" s="4" t="n">
        <v>6</v>
      </c>
      <c r="S4" s="4" t="n">
        <v>37</v>
      </c>
      <c r="T4" s="4" t="n">
        <v>8</v>
      </c>
      <c r="U4" s="4" t="n">
        <v>79</v>
      </c>
      <c r="V4" s="4" t="n">
        <v>17</v>
      </c>
      <c r="W4" s="4" t="n">
        <v>0</v>
      </c>
      <c r="X4" s="4" t="n">
        <v>6</v>
      </c>
      <c r="Y4" s="4" t="n">
        <v>0</v>
      </c>
      <c r="Z4" s="4" t="n">
        <v>14</v>
      </c>
      <c r="AA4" s="4" t="n">
        <v>0</v>
      </c>
      <c r="AB4" s="4" t="n">
        <v>0</v>
      </c>
      <c r="AC4" s="4" t="n">
        <v>0</v>
      </c>
      <c r="AD4" s="4" t="n">
        <v>40</v>
      </c>
      <c r="AE4" s="8" t="n">
        <f aca="false">COUNTIF(F4:AD4,"&lt;=0")</f>
        <v>7</v>
      </c>
    </row>
    <row r="5" customFormat="false" ht="15" hidden="false" customHeight="false" outlineLevel="0" collapsed="false">
      <c r="A5" s="8" t="s">
        <v>97</v>
      </c>
      <c r="B5" s="8" t="s">
        <v>27</v>
      </c>
      <c r="C5" s="8" t="n">
        <v>151051</v>
      </c>
      <c r="D5" s="8" t="s">
        <v>490</v>
      </c>
      <c r="E5" s="4" t="n">
        <v>0</v>
      </c>
      <c r="F5" s="4" t="n">
        <v>22</v>
      </c>
      <c r="G5" s="4" t="n">
        <v>67</v>
      </c>
      <c r="H5" s="4" t="n">
        <v>50</v>
      </c>
      <c r="I5" s="4" t="n">
        <v>27</v>
      </c>
      <c r="J5" s="4" t="n">
        <v>22</v>
      </c>
      <c r="K5" s="4" t="n">
        <v>20</v>
      </c>
      <c r="L5" s="4" t="n">
        <v>20</v>
      </c>
      <c r="M5" s="4" t="n">
        <v>28</v>
      </c>
      <c r="N5" s="4" t="n">
        <v>37</v>
      </c>
      <c r="O5" s="4" t="n">
        <v>36</v>
      </c>
      <c r="P5" s="4" t="n">
        <v>2</v>
      </c>
      <c r="Q5" s="4" t="n">
        <v>15</v>
      </c>
      <c r="R5" s="4" t="n">
        <v>43</v>
      </c>
      <c r="S5" s="4" t="n">
        <v>11</v>
      </c>
      <c r="T5" s="4" t="n">
        <v>21</v>
      </c>
      <c r="U5" s="4" t="n">
        <v>74</v>
      </c>
      <c r="V5" s="4" t="n">
        <v>6</v>
      </c>
      <c r="W5" s="4" t="n">
        <v>0</v>
      </c>
      <c r="X5" s="4" t="n">
        <v>14</v>
      </c>
      <c r="Y5" s="4" t="n">
        <v>0</v>
      </c>
      <c r="Z5" s="4" t="n">
        <v>9</v>
      </c>
      <c r="AA5" s="4" t="n">
        <v>16</v>
      </c>
      <c r="AB5" s="4" t="n">
        <v>0</v>
      </c>
      <c r="AC5" s="4" t="n">
        <v>0</v>
      </c>
      <c r="AD5" s="4" t="n">
        <v>9</v>
      </c>
      <c r="AE5" s="8" t="n">
        <f aca="false">COUNTIF(F5:AD5,"&lt;=0")</f>
        <v>4</v>
      </c>
    </row>
    <row r="6" customFormat="false" ht="15" hidden="false" customHeight="false" outlineLevel="0" collapsed="false">
      <c r="A6" s="8" t="s">
        <v>97</v>
      </c>
      <c r="B6" s="8" t="s">
        <v>27</v>
      </c>
      <c r="C6" s="8" t="n">
        <v>151565</v>
      </c>
      <c r="D6" s="8" t="s">
        <v>491</v>
      </c>
      <c r="E6" s="4" t="n">
        <v>0</v>
      </c>
      <c r="F6" s="4" t="n">
        <v>12</v>
      </c>
      <c r="G6" s="4" t="n">
        <v>37</v>
      </c>
      <c r="H6" s="4" t="n">
        <v>39</v>
      </c>
      <c r="I6" s="4" t="n">
        <v>21</v>
      </c>
      <c r="J6" s="4" t="n">
        <v>5</v>
      </c>
      <c r="K6" s="4" t="n">
        <v>2</v>
      </c>
      <c r="L6" s="4" t="n">
        <v>34</v>
      </c>
      <c r="M6" s="4" t="n">
        <v>13</v>
      </c>
      <c r="N6" s="4" t="n">
        <v>16</v>
      </c>
      <c r="O6" s="4" t="n">
        <v>23</v>
      </c>
      <c r="P6" s="4" t="n">
        <v>16</v>
      </c>
      <c r="Q6" s="4" t="n">
        <v>6</v>
      </c>
      <c r="R6" s="4" t="n">
        <v>47</v>
      </c>
      <c r="S6" s="4" t="n">
        <v>18</v>
      </c>
      <c r="T6" s="4" t="n">
        <v>7</v>
      </c>
      <c r="U6" s="4" t="n">
        <v>46</v>
      </c>
      <c r="V6" s="4" t="n">
        <v>8</v>
      </c>
      <c r="W6" s="4" t="n">
        <v>0</v>
      </c>
      <c r="X6" s="4" t="n">
        <v>47</v>
      </c>
      <c r="Y6" s="4" t="n">
        <v>0</v>
      </c>
      <c r="Z6" s="4" t="n">
        <v>8</v>
      </c>
      <c r="AA6" s="4" t="n">
        <v>13</v>
      </c>
      <c r="AB6" s="4" t="n">
        <v>0</v>
      </c>
      <c r="AC6" s="4" t="n">
        <v>0</v>
      </c>
      <c r="AD6" s="4" t="n">
        <v>18</v>
      </c>
      <c r="AE6" s="8" t="n">
        <f aca="false">COUNTIF(F6:AD6,"&lt;=0")</f>
        <v>4</v>
      </c>
    </row>
    <row r="7" customFormat="false" ht="15" hidden="false" customHeight="false" outlineLevel="0" collapsed="false">
      <c r="A7" s="8" t="s">
        <v>97</v>
      </c>
      <c r="B7" s="8" t="s">
        <v>27</v>
      </c>
      <c r="C7" s="8" t="n">
        <v>151724</v>
      </c>
      <c r="D7" s="8" t="s">
        <v>492</v>
      </c>
      <c r="E7" s="4" t="n">
        <v>0</v>
      </c>
      <c r="F7" s="4" t="n">
        <v>18</v>
      </c>
      <c r="G7" s="4" t="n">
        <v>14</v>
      </c>
      <c r="H7" s="4" t="n">
        <v>39</v>
      </c>
      <c r="I7" s="4" t="n">
        <v>13</v>
      </c>
      <c r="J7" s="4" t="n">
        <v>17</v>
      </c>
      <c r="K7" s="4" t="n">
        <v>30</v>
      </c>
      <c r="L7" s="4" t="n">
        <v>0</v>
      </c>
      <c r="M7" s="4" t="n">
        <v>47</v>
      </c>
      <c r="N7" s="4" t="n">
        <v>24</v>
      </c>
      <c r="O7" s="4" t="n">
        <v>4</v>
      </c>
      <c r="P7" s="4" t="n">
        <v>11</v>
      </c>
      <c r="Q7" s="4" t="n">
        <v>0</v>
      </c>
      <c r="R7" s="4" t="n">
        <v>39</v>
      </c>
      <c r="S7" s="4" t="n">
        <v>0</v>
      </c>
      <c r="T7" s="4" t="n">
        <v>26</v>
      </c>
      <c r="U7" s="4" t="n">
        <v>50</v>
      </c>
      <c r="V7" s="4" t="n">
        <v>13</v>
      </c>
      <c r="W7" s="4" t="n">
        <v>0</v>
      </c>
      <c r="X7" s="4" t="n">
        <v>0</v>
      </c>
      <c r="Y7" s="4" t="n">
        <v>0</v>
      </c>
      <c r="Z7" s="4" t="n">
        <v>10</v>
      </c>
      <c r="AA7" s="4" t="n">
        <v>11</v>
      </c>
      <c r="AB7" s="4" t="n">
        <v>0</v>
      </c>
      <c r="AC7" s="4" t="n">
        <v>0</v>
      </c>
      <c r="AD7" s="4" t="n">
        <v>31</v>
      </c>
      <c r="AE7" s="8" t="n">
        <f aca="false">COUNTIF(F7:AD7,"&lt;=0")</f>
        <v>8</v>
      </c>
    </row>
    <row r="8" customFormat="false" ht="15" hidden="false" customHeight="false" outlineLevel="0" collapsed="false">
      <c r="A8" s="8" t="s">
        <v>97</v>
      </c>
      <c r="B8" s="8" t="s">
        <v>27</v>
      </c>
      <c r="C8" s="8" t="n">
        <v>174761</v>
      </c>
      <c r="D8" s="8" t="s">
        <v>493</v>
      </c>
      <c r="E8" s="4" t="n">
        <v>0</v>
      </c>
      <c r="F8" s="4" t="n">
        <v>0</v>
      </c>
      <c r="G8" s="4" t="n">
        <v>8</v>
      </c>
      <c r="H8" s="4" t="n">
        <v>6</v>
      </c>
      <c r="I8" s="4" t="n">
        <v>2</v>
      </c>
      <c r="J8" s="4" t="n">
        <v>0</v>
      </c>
      <c r="K8" s="4" t="n">
        <v>0</v>
      </c>
      <c r="L8" s="4" t="n">
        <v>0</v>
      </c>
      <c r="M8" s="4" t="n">
        <v>6</v>
      </c>
      <c r="N8" s="4" t="n">
        <v>0</v>
      </c>
      <c r="O8" s="4" t="n">
        <v>0</v>
      </c>
      <c r="P8" s="4" t="n">
        <v>0</v>
      </c>
      <c r="Q8" s="4" t="n">
        <v>23</v>
      </c>
      <c r="R8" s="4" t="n">
        <v>0</v>
      </c>
      <c r="S8" s="4" t="n">
        <v>0</v>
      </c>
      <c r="T8" s="4" t="n">
        <v>0</v>
      </c>
      <c r="U8" s="4" t="n">
        <v>13</v>
      </c>
      <c r="V8" s="4" t="n">
        <v>5</v>
      </c>
      <c r="W8" s="4" t="n">
        <v>0</v>
      </c>
      <c r="X8" s="4" t="n">
        <v>0</v>
      </c>
      <c r="Y8" s="4" t="n">
        <v>0</v>
      </c>
      <c r="Z8" s="4" t="n">
        <v>0</v>
      </c>
      <c r="AA8" s="4" t="n">
        <v>14</v>
      </c>
      <c r="AB8" s="4" t="n">
        <v>0</v>
      </c>
      <c r="AC8" s="4" t="n">
        <v>0</v>
      </c>
      <c r="AD8" s="4" t="n">
        <v>0</v>
      </c>
      <c r="AE8" s="8" t="n">
        <f aca="false">COUNTIF(F8:AD8,"&lt;=0")</f>
        <v>17</v>
      </c>
    </row>
    <row r="9" customFormat="false" ht="15" hidden="false" customHeight="false" outlineLevel="0" collapsed="false">
      <c r="A9" s="8" t="s">
        <v>97</v>
      </c>
      <c r="B9" s="8" t="s">
        <v>27</v>
      </c>
      <c r="C9" s="8" t="n">
        <v>174763</v>
      </c>
      <c r="D9" s="8" t="s">
        <v>494</v>
      </c>
      <c r="E9" s="4" t="n">
        <v>0</v>
      </c>
      <c r="F9" s="4" t="n">
        <v>23</v>
      </c>
      <c r="G9" s="4" t="n">
        <v>0</v>
      </c>
      <c r="H9" s="4" t="n">
        <v>18</v>
      </c>
      <c r="I9" s="4" t="n">
        <v>9</v>
      </c>
      <c r="J9" s="4" t="n">
        <v>0</v>
      </c>
      <c r="K9" s="4" t="n">
        <v>0</v>
      </c>
      <c r="L9" s="4" t="n">
        <v>0</v>
      </c>
      <c r="M9" s="4" t="n">
        <v>0</v>
      </c>
      <c r="N9" s="4" t="n">
        <v>0</v>
      </c>
      <c r="O9" s="4" t="n">
        <v>24</v>
      </c>
      <c r="P9" s="4" t="n">
        <v>23</v>
      </c>
      <c r="Q9" s="4" t="n">
        <v>0</v>
      </c>
      <c r="R9" s="4" t="n">
        <v>11</v>
      </c>
      <c r="S9" s="4" t="n">
        <v>0</v>
      </c>
      <c r="T9" s="4" t="n">
        <v>14</v>
      </c>
      <c r="U9" s="4" t="n">
        <v>27</v>
      </c>
      <c r="V9" s="4" t="n">
        <v>0</v>
      </c>
      <c r="W9" s="4" t="n">
        <v>0</v>
      </c>
      <c r="X9" s="4" t="n">
        <v>0</v>
      </c>
      <c r="Y9" s="4" t="n">
        <v>0</v>
      </c>
      <c r="Z9" s="4" t="n">
        <v>6</v>
      </c>
      <c r="AA9" s="4" t="n">
        <v>0</v>
      </c>
      <c r="AB9" s="4" t="n">
        <v>0</v>
      </c>
      <c r="AC9" s="4" t="n">
        <v>0</v>
      </c>
      <c r="AD9" s="4" t="n">
        <v>23</v>
      </c>
      <c r="AE9" s="8" t="n">
        <f aca="false">COUNTIF(F9:AD9,"&lt;=0")</f>
        <v>15</v>
      </c>
    </row>
    <row r="10" customFormat="false" ht="15" hidden="false" customHeight="false" outlineLevel="0" collapsed="false">
      <c r="A10" s="8" t="s">
        <v>97</v>
      </c>
      <c r="B10" s="8" t="s">
        <v>27</v>
      </c>
      <c r="C10" s="8" t="n">
        <v>174764</v>
      </c>
      <c r="D10" s="8" t="s">
        <v>495</v>
      </c>
      <c r="E10" s="4" t="n">
        <v>0</v>
      </c>
      <c r="F10" s="4" t="n">
        <v>23</v>
      </c>
      <c r="G10" s="4" t="n">
        <v>22</v>
      </c>
      <c r="H10" s="4" t="n">
        <v>40</v>
      </c>
      <c r="I10" s="4" t="n">
        <v>3</v>
      </c>
      <c r="J10" s="4" t="n">
        <v>3</v>
      </c>
      <c r="K10" s="4" t="n">
        <v>42</v>
      </c>
      <c r="L10" s="4" t="n">
        <v>0</v>
      </c>
      <c r="M10" s="4" t="n">
        <v>20</v>
      </c>
      <c r="N10" s="4" t="n">
        <v>0</v>
      </c>
      <c r="O10" s="4" t="n">
        <v>45</v>
      </c>
      <c r="P10" s="4" t="n">
        <v>24</v>
      </c>
      <c r="Q10" s="4" t="n">
        <v>24</v>
      </c>
      <c r="R10" s="4" t="n">
        <v>3</v>
      </c>
      <c r="S10" s="4" t="n">
        <v>0</v>
      </c>
      <c r="T10" s="4" t="n">
        <v>21</v>
      </c>
      <c r="U10" s="4" t="n">
        <v>25</v>
      </c>
      <c r="V10" s="4" t="n">
        <v>65</v>
      </c>
      <c r="W10" s="4" t="n">
        <v>0</v>
      </c>
      <c r="X10" s="4" t="n">
        <v>0</v>
      </c>
      <c r="Y10" s="4" t="n">
        <v>0</v>
      </c>
      <c r="Z10" s="4" t="n">
        <v>6</v>
      </c>
      <c r="AA10" s="4" t="n">
        <v>23</v>
      </c>
      <c r="AB10" s="4" t="n">
        <v>0</v>
      </c>
      <c r="AC10" s="4" t="n">
        <v>0</v>
      </c>
      <c r="AD10" s="4" t="n">
        <v>25</v>
      </c>
      <c r="AE10" s="8" t="n">
        <f aca="false">COUNTIF(F10:AD10,"&lt;=0")</f>
        <v>8</v>
      </c>
    </row>
    <row r="11" customFormat="false" ht="15" hidden="false" customHeight="false" outlineLevel="0" collapsed="false">
      <c r="A11" s="8" t="s">
        <v>97</v>
      </c>
      <c r="B11" s="8" t="s">
        <v>27</v>
      </c>
      <c r="C11" s="8" t="n">
        <v>174765</v>
      </c>
      <c r="D11" s="8" t="s">
        <v>496</v>
      </c>
      <c r="E11" s="4" t="n">
        <v>0</v>
      </c>
      <c r="F11" s="4" t="n">
        <v>21</v>
      </c>
      <c r="G11" s="4" t="n">
        <v>18</v>
      </c>
      <c r="H11" s="4" t="n">
        <v>34</v>
      </c>
      <c r="I11" s="4" t="n">
        <v>20</v>
      </c>
      <c r="J11" s="4" t="n">
        <v>2</v>
      </c>
      <c r="K11" s="4" t="n">
        <v>22</v>
      </c>
      <c r="L11" s="4" t="n">
        <v>0</v>
      </c>
      <c r="M11" s="4" t="n">
        <v>7</v>
      </c>
      <c r="N11" s="4" t="n">
        <v>0</v>
      </c>
      <c r="O11" s="4" t="n">
        <v>18</v>
      </c>
      <c r="P11" s="4" t="n">
        <v>25</v>
      </c>
      <c r="Q11" s="4" t="n">
        <v>12</v>
      </c>
      <c r="R11" s="4" t="n">
        <v>6</v>
      </c>
      <c r="S11" s="4" t="n">
        <v>0</v>
      </c>
      <c r="T11" s="4" t="n">
        <v>7</v>
      </c>
      <c r="U11" s="4" t="n">
        <v>21</v>
      </c>
      <c r="V11" s="4" t="n">
        <v>0</v>
      </c>
      <c r="W11" s="4" t="n">
        <v>0</v>
      </c>
      <c r="X11" s="4" t="n">
        <v>0</v>
      </c>
      <c r="Y11" s="4" t="n">
        <v>0</v>
      </c>
      <c r="Z11" s="4" t="n">
        <v>2</v>
      </c>
      <c r="AA11" s="4" t="n">
        <v>21</v>
      </c>
      <c r="AB11" s="4" t="n">
        <v>0</v>
      </c>
      <c r="AC11" s="4" t="n">
        <v>0</v>
      </c>
      <c r="AD11" s="4" t="n">
        <v>4</v>
      </c>
      <c r="AE11" s="8" t="n">
        <f aca="false">COUNTIF(F11:AD11,"&lt;=0")</f>
        <v>9</v>
      </c>
    </row>
    <row r="12" customFormat="false" ht="15" hidden="false" customHeight="false" outlineLevel="0" collapsed="false">
      <c r="A12" s="8" t="s">
        <v>97</v>
      </c>
      <c r="B12" s="8" t="s">
        <v>27</v>
      </c>
      <c r="C12" s="8" t="n">
        <v>174766</v>
      </c>
      <c r="D12" s="8" t="s">
        <v>497</v>
      </c>
      <c r="E12" s="4" t="n">
        <v>0</v>
      </c>
      <c r="F12" s="4" t="n">
        <v>21</v>
      </c>
      <c r="G12" s="4" t="n">
        <v>19</v>
      </c>
      <c r="H12" s="4" t="n">
        <v>11</v>
      </c>
      <c r="I12" s="4" t="n">
        <v>-2</v>
      </c>
      <c r="J12" s="4" t="n">
        <v>2</v>
      </c>
      <c r="K12" s="4" t="n">
        <v>19</v>
      </c>
      <c r="L12" s="4" t="n">
        <v>7</v>
      </c>
      <c r="M12" s="4" t="n">
        <v>14</v>
      </c>
      <c r="N12" s="4" t="n">
        <v>0</v>
      </c>
      <c r="O12" s="4" t="n">
        <v>26</v>
      </c>
      <c r="P12" s="4" t="n">
        <v>2</v>
      </c>
      <c r="Q12" s="4" t="n">
        <v>0</v>
      </c>
      <c r="R12" s="4" t="n">
        <v>13</v>
      </c>
      <c r="S12" s="4" t="n">
        <v>0</v>
      </c>
      <c r="T12" s="4" t="n">
        <v>19</v>
      </c>
      <c r="U12" s="4" t="n">
        <v>41</v>
      </c>
      <c r="V12" s="4" t="n">
        <v>14</v>
      </c>
      <c r="W12" s="4" t="n">
        <v>0</v>
      </c>
      <c r="X12" s="4" t="n">
        <v>0</v>
      </c>
      <c r="Y12" s="4" t="n">
        <v>0</v>
      </c>
      <c r="Z12" s="4" t="n">
        <v>0</v>
      </c>
      <c r="AA12" s="4" t="n">
        <v>23</v>
      </c>
      <c r="AB12" s="4" t="n">
        <v>0</v>
      </c>
      <c r="AC12" s="4" t="n">
        <v>0</v>
      </c>
      <c r="AD12" s="4" t="n">
        <v>2</v>
      </c>
      <c r="AE12" s="8" t="n">
        <f aca="false">COUNTIF(F12:AD12,"&lt;=0")</f>
        <v>10</v>
      </c>
    </row>
    <row r="13" customFormat="false" ht="15" hidden="false" customHeight="false" outlineLevel="0" collapsed="false">
      <c r="A13" s="8" t="s">
        <v>97</v>
      </c>
      <c r="B13" s="8" t="s">
        <v>27</v>
      </c>
      <c r="C13" s="8" t="n">
        <v>152392</v>
      </c>
      <c r="D13" s="8" t="s">
        <v>498</v>
      </c>
      <c r="E13" s="4" t="n">
        <v>0</v>
      </c>
      <c r="F13" s="4" t="n">
        <v>10</v>
      </c>
      <c r="G13" s="4" t="n">
        <v>19</v>
      </c>
      <c r="H13" s="4" t="n">
        <v>2</v>
      </c>
      <c r="I13" s="4" t="n">
        <v>21</v>
      </c>
      <c r="J13" s="4" t="n">
        <v>14</v>
      </c>
      <c r="K13" s="4" t="n">
        <v>0</v>
      </c>
      <c r="L13" s="4" t="n">
        <v>44</v>
      </c>
      <c r="M13" s="4" t="n">
        <v>13</v>
      </c>
      <c r="N13" s="4" t="n">
        <v>0</v>
      </c>
      <c r="O13" s="4" t="n">
        <v>19</v>
      </c>
      <c r="P13" s="4" t="n">
        <v>10</v>
      </c>
      <c r="Q13" s="4" t="n">
        <v>0</v>
      </c>
      <c r="R13" s="4" t="n">
        <v>13</v>
      </c>
      <c r="S13" s="4" t="n">
        <v>0</v>
      </c>
      <c r="T13" s="4" t="n">
        <v>10</v>
      </c>
      <c r="U13" s="4" t="n">
        <v>4</v>
      </c>
      <c r="V13" s="4" t="n">
        <v>13</v>
      </c>
      <c r="W13" s="4" t="n">
        <v>0</v>
      </c>
      <c r="X13" s="4" t="n">
        <v>0</v>
      </c>
      <c r="Y13" s="4" t="n">
        <v>0</v>
      </c>
      <c r="Z13" s="4" t="n">
        <v>25</v>
      </c>
      <c r="AA13" s="4" t="n">
        <v>21</v>
      </c>
      <c r="AB13" s="4" t="n">
        <v>0</v>
      </c>
      <c r="AC13" s="4" t="n">
        <v>0</v>
      </c>
      <c r="AD13" s="4" t="n">
        <v>18</v>
      </c>
      <c r="AE13" s="8" t="n">
        <f aca="false">COUNTIF(F13:AD13,"&lt;=0")</f>
        <v>9</v>
      </c>
    </row>
    <row r="14" customFormat="false" ht="15" hidden="false" customHeight="false" outlineLevel="0" collapsed="false">
      <c r="A14" s="8" t="s">
        <v>97</v>
      </c>
      <c r="B14" s="8" t="s">
        <v>27</v>
      </c>
      <c r="C14" s="8" t="n">
        <v>152557</v>
      </c>
      <c r="D14" s="8" t="s">
        <v>499</v>
      </c>
      <c r="E14" s="4" t="n">
        <v>0</v>
      </c>
      <c r="F14" s="4" t="n">
        <v>5</v>
      </c>
      <c r="G14" s="4" t="n">
        <v>15</v>
      </c>
      <c r="H14" s="4" t="n">
        <v>0</v>
      </c>
      <c r="I14" s="4" t="n">
        <v>8</v>
      </c>
      <c r="J14" s="4" t="n">
        <v>7</v>
      </c>
      <c r="K14" s="4" t="n">
        <v>9</v>
      </c>
      <c r="L14" s="4" t="n">
        <v>13</v>
      </c>
      <c r="M14" s="4" t="n">
        <v>13</v>
      </c>
      <c r="N14" s="4" t="n">
        <v>0</v>
      </c>
      <c r="O14" s="4" t="n">
        <v>16</v>
      </c>
      <c r="P14" s="4" t="n">
        <v>0</v>
      </c>
      <c r="Q14" s="4" t="n">
        <v>0</v>
      </c>
      <c r="R14" s="4" t="n">
        <v>0</v>
      </c>
      <c r="S14" s="4" t="n">
        <v>0</v>
      </c>
      <c r="T14" s="4" t="n">
        <v>5</v>
      </c>
      <c r="U14" s="4" t="n">
        <v>13</v>
      </c>
      <c r="V14" s="4" t="n">
        <v>1</v>
      </c>
      <c r="W14" s="4" t="n">
        <v>0</v>
      </c>
      <c r="X14" s="4" t="n">
        <v>8</v>
      </c>
      <c r="Y14" s="4" t="n">
        <v>0</v>
      </c>
      <c r="Z14" s="4" t="n">
        <v>8</v>
      </c>
      <c r="AA14" s="4" t="n">
        <v>12</v>
      </c>
      <c r="AB14" s="4" t="n">
        <v>0</v>
      </c>
      <c r="AC14" s="4" t="n">
        <v>0</v>
      </c>
      <c r="AD14" s="4" t="n">
        <v>8</v>
      </c>
      <c r="AE14" s="8" t="n">
        <f aca="false">COUNTIF(F14:AD14,"&lt;=0")</f>
        <v>10</v>
      </c>
    </row>
    <row r="15" customFormat="false" ht="15" hidden="false" customHeight="false" outlineLevel="0" collapsed="false">
      <c r="A15" s="8" t="s">
        <v>97</v>
      </c>
      <c r="B15" s="8" t="s">
        <v>27</v>
      </c>
      <c r="C15" s="8" t="n">
        <v>152872</v>
      </c>
      <c r="D15" s="8" t="s">
        <v>500</v>
      </c>
      <c r="E15" s="4" t="n">
        <v>0</v>
      </c>
      <c r="F15" s="4" t="n">
        <v>6</v>
      </c>
      <c r="G15" s="4" t="n">
        <v>14</v>
      </c>
      <c r="H15" s="4" t="n">
        <v>0</v>
      </c>
      <c r="I15" s="4" t="n">
        <v>2</v>
      </c>
      <c r="J15" s="4" t="n">
        <v>4</v>
      </c>
      <c r="K15" s="4" t="n">
        <v>0</v>
      </c>
      <c r="L15" s="4" t="n">
        <v>25</v>
      </c>
      <c r="M15" s="4" t="n">
        <v>9</v>
      </c>
      <c r="N15" s="4" t="n">
        <v>10</v>
      </c>
      <c r="O15" s="4" t="n">
        <v>11</v>
      </c>
      <c r="P15" s="4" t="n">
        <v>1</v>
      </c>
      <c r="Q15" s="4" t="n">
        <v>0</v>
      </c>
      <c r="R15" s="4" t="n">
        <v>34</v>
      </c>
      <c r="S15" s="4" t="n">
        <v>3</v>
      </c>
      <c r="T15" s="4" t="n">
        <v>7</v>
      </c>
      <c r="U15" s="4" t="n">
        <v>17</v>
      </c>
      <c r="V15" s="4" t="n">
        <v>5</v>
      </c>
      <c r="W15" s="4" t="n">
        <v>0</v>
      </c>
      <c r="X15" s="4" t="n">
        <v>19</v>
      </c>
      <c r="Y15" s="4" t="n">
        <v>0</v>
      </c>
      <c r="Z15" s="4" t="n">
        <v>1</v>
      </c>
      <c r="AA15" s="4" t="n">
        <v>10</v>
      </c>
      <c r="AB15" s="4" t="n">
        <v>0</v>
      </c>
      <c r="AC15" s="4" t="n">
        <v>0</v>
      </c>
      <c r="AD15" s="4" t="n">
        <v>0</v>
      </c>
      <c r="AE15" s="8" t="n">
        <f aca="false">COUNTIF(F15:AD15,"&lt;=0")</f>
        <v>8</v>
      </c>
    </row>
    <row r="16" customFormat="false" ht="15" hidden="false" customHeight="false" outlineLevel="0" collapsed="false">
      <c r="A16" s="8" t="s">
        <v>97</v>
      </c>
      <c r="B16" s="8" t="s">
        <v>27</v>
      </c>
      <c r="C16" s="8" t="n">
        <v>152873</v>
      </c>
      <c r="D16" s="8" t="s">
        <v>501</v>
      </c>
      <c r="E16" s="4" t="n">
        <v>0</v>
      </c>
      <c r="F16" s="4" t="n">
        <v>0</v>
      </c>
      <c r="G16" s="4" t="n">
        <v>28</v>
      </c>
      <c r="H16" s="4" t="n">
        <v>24</v>
      </c>
      <c r="I16" s="4" t="n">
        <v>0</v>
      </c>
      <c r="J16" s="4" t="n">
        <v>0</v>
      </c>
      <c r="K16" s="4" t="n">
        <v>6</v>
      </c>
      <c r="L16" s="4" t="n">
        <v>0</v>
      </c>
      <c r="M16" s="4" t="n">
        <v>-1</v>
      </c>
      <c r="N16" s="4" t="n">
        <v>2</v>
      </c>
      <c r="O16" s="4" t="n">
        <v>1</v>
      </c>
      <c r="P16" s="4" t="n">
        <v>25</v>
      </c>
      <c r="Q16" s="4" t="n">
        <v>12</v>
      </c>
      <c r="R16" s="4" t="n">
        <v>8</v>
      </c>
      <c r="S16" s="4" t="n">
        <v>0</v>
      </c>
      <c r="T16" s="4" t="n">
        <v>8</v>
      </c>
      <c r="U16" s="4" t="n">
        <v>5</v>
      </c>
      <c r="V16" s="4" t="n">
        <v>0</v>
      </c>
      <c r="W16" s="4" t="n">
        <v>0</v>
      </c>
      <c r="X16" s="4" t="n">
        <v>0</v>
      </c>
      <c r="Y16" s="4" t="n">
        <v>0</v>
      </c>
      <c r="Z16" s="4" t="n">
        <v>12</v>
      </c>
      <c r="AA16" s="4" t="n">
        <v>29</v>
      </c>
      <c r="AB16" s="4" t="n">
        <v>0</v>
      </c>
      <c r="AC16" s="4" t="n">
        <v>0</v>
      </c>
      <c r="AD16" s="4" t="n">
        <v>0</v>
      </c>
      <c r="AE16" s="8" t="n">
        <f aca="false">COUNTIF(F16:AD16,"&lt;=0")</f>
        <v>13</v>
      </c>
    </row>
    <row r="17" customFormat="false" ht="15" hidden="false" customHeight="false" outlineLevel="0" collapsed="false">
      <c r="A17" s="8" t="s">
        <v>97</v>
      </c>
      <c r="B17" s="8" t="s">
        <v>27</v>
      </c>
      <c r="C17" s="8" t="n">
        <v>154010</v>
      </c>
      <c r="D17" s="8" t="s">
        <v>502</v>
      </c>
      <c r="E17" s="4" t="n">
        <v>0</v>
      </c>
      <c r="F17" s="4" t="n">
        <v>9</v>
      </c>
      <c r="G17" s="4" t="n">
        <v>7</v>
      </c>
      <c r="H17" s="4" t="n">
        <v>9</v>
      </c>
      <c r="I17" s="4" t="n">
        <v>0</v>
      </c>
      <c r="J17" s="4" t="n">
        <v>0</v>
      </c>
      <c r="K17" s="4" t="n">
        <v>0</v>
      </c>
      <c r="L17" s="4" t="n">
        <v>34</v>
      </c>
      <c r="M17" s="4" t="n">
        <v>19</v>
      </c>
      <c r="N17" s="4" t="n">
        <v>12</v>
      </c>
      <c r="O17" s="4" t="n">
        <v>0</v>
      </c>
      <c r="P17" s="4" t="n">
        <v>0</v>
      </c>
      <c r="Q17" s="4" t="n">
        <v>0</v>
      </c>
      <c r="R17" s="4" t="n">
        <v>24</v>
      </c>
      <c r="S17" s="4" t="n">
        <v>0</v>
      </c>
      <c r="T17" s="4" t="n">
        <v>9</v>
      </c>
      <c r="U17" s="4" t="n">
        <v>0</v>
      </c>
      <c r="V17" s="4" t="n">
        <v>3</v>
      </c>
      <c r="W17" s="4" t="n">
        <v>0</v>
      </c>
      <c r="X17" s="4" t="n">
        <v>15</v>
      </c>
      <c r="Y17" s="4" t="n">
        <v>0</v>
      </c>
      <c r="Z17" s="4" t="n">
        <v>0</v>
      </c>
      <c r="AA17" s="4" t="n">
        <v>0</v>
      </c>
      <c r="AB17" s="4" t="n">
        <v>0</v>
      </c>
      <c r="AC17" s="4" t="n">
        <v>0</v>
      </c>
      <c r="AD17" s="4" t="n">
        <v>0</v>
      </c>
      <c r="AE17" s="8" t="n">
        <f aca="false">COUNTIF(F17:AD17,"&lt;=0")</f>
        <v>15</v>
      </c>
    </row>
    <row r="18" customFormat="false" ht="15" hidden="false" customHeight="false" outlineLevel="0" collapsed="false">
      <c r="A18" s="8" t="s">
        <v>97</v>
      </c>
      <c r="B18" s="8" t="s">
        <v>27</v>
      </c>
      <c r="C18" s="8" t="n">
        <v>154012</v>
      </c>
      <c r="D18" s="8" t="s">
        <v>503</v>
      </c>
      <c r="E18" s="4" t="n">
        <v>0</v>
      </c>
      <c r="F18" s="4" t="n">
        <v>22</v>
      </c>
      <c r="G18" s="4" t="n">
        <v>14</v>
      </c>
      <c r="H18" s="4" t="n">
        <v>24</v>
      </c>
      <c r="I18" s="4" t="n">
        <v>17</v>
      </c>
      <c r="J18" s="4" t="n">
        <v>29</v>
      </c>
      <c r="K18" s="4" t="n">
        <v>62</v>
      </c>
      <c r="L18" s="4" t="n">
        <v>24</v>
      </c>
      <c r="M18" s="4" t="n">
        <v>46</v>
      </c>
      <c r="N18" s="4" t="n">
        <v>5</v>
      </c>
      <c r="O18" s="4" t="n">
        <v>44</v>
      </c>
      <c r="P18" s="4" t="n">
        <v>24</v>
      </c>
      <c r="Q18" s="4" t="n">
        <v>26</v>
      </c>
      <c r="R18" s="4" t="n">
        <v>18</v>
      </c>
      <c r="S18" s="4" t="n">
        <v>36</v>
      </c>
      <c r="T18" s="4" t="n">
        <v>31</v>
      </c>
      <c r="U18" s="4" t="n">
        <v>23</v>
      </c>
      <c r="V18" s="4" t="n">
        <v>13</v>
      </c>
      <c r="W18" s="4" t="n">
        <v>0</v>
      </c>
      <c r="X18" s="4" t="n">
        <v>54</v>
      </c>
      <c r="Y18" s="4" t="n">
        <v>0</v>
      </c>
      <c r="Z18" s="4" t="n">
        <v>0</v>
      </c>
      <c r="AA18" s="4" t="n">
        <v>10</v>
      </c>
      <c r="AB18" s="4" t="n">
        <v>0</v>
      </c>
      <c r="AC18" s="4" t="n">
        <v>0</v>
      </c>
      <c r="AD18" s="4" t="n">
        <v>40</v>
      </c>
      <c r="AE18" s="8" t="n">
        <f aca="false">COUNTIF(F18:AD18,"&lt;=0")</f>
        <v>5</v>
      </c>
    </row>
    <row r="19" customFormat="false" ht="15" hidden="false" customHeight="false" outlineLevel="0" collapsed="false">
      <c r="A19" s="8" t="s">
        <v>97</v>
      </c>
      <c r="B19" s="8" t="s">
        <v>27</v>
      </c>
      <c r="C19" s="8" t="n">
        <v>154018</v>
      </c>
      <c r="D19" s="8" t="s">
        <v>504</v>
      </c>
      <c r="E19" s="4" t="n">
        <v>0</v>
      </c>
      <c r="F19" s="4" t="n">
        <v>10</v>
      </c>
      <c r="G19" s="4" t="n">
        <v>0</v>
      </c>
      <c r="H19" s="4" t="n">
        <v>16</v>
      </c>
      <c r="I19" s="4" t="n">
        <v>0</v>
      </c>
      <c r="J19" s="4" t="n">
        <v>9</v>
      </c>
      <c r="K19" s="4" t="n">
        <v>12</v>
      </c>
      <c r="L19" s="4" t="n">
        <v>0</v>
      </c>
      <c r="M19" s="4" t="n">
        <v>6</v>
      </c>
      <c r="N19" s="4" t="n">
        <v>0</v>
      </c>
      <c r="O19" s="4" t="n">
        <v>0</v>
      </c>
      <c r="P19" s="4" t="n">
        <v>7</v>
      </c>
      <c r="Q19" s="4" t="n">
        <v>0</v>
      </c>
      <c r="R19" s="4" t="n">
        <v>0</v>
      </c>
      <c r="S19" s="4" t="n">
        <v>0</v>
      </c>
      <c r="T19" s="4" t="n">
        <v>0</v>
      </c>
      <c r="U19" s="4" t="n">
        <v>0</v>
      </c>
      <c r="V19" s="4" t="n">
        <v>2</v>
      </c>
      <c r="W19" s="4" t="n">
        <v>0</v>
      </c>
      <c r="X19" s="4" t="n">
        <v>0</v>
      </c>
      <c r="Y19" s="4" t="n">
        <v>0</v>
      </c>
      <c r="Z19" s="4" t="n">
        <v>0</v>
      </c>
      <c r="AA19" s="4" t="n">
        <v>0</v>
      </c>
      <c r="AB19" s="4" t="n">
        <v>0</v>
      </c>
      <c r="AC19" s="4" t="n">
        <v>0</v>
      </c>
      <c r="AD19" s="4" t="n">
        <v>0</v>
      </c>
      <c r="AE19" s="8" t="n">
        <f aca="false">COUNTIF(F19:AD19,"&lt;=0")</f>
        <v>18</v>
      </c>
    </row>
    <row r="20" customFormat="false" ht="15" hidden="false" customHeight="false" outlineLevel="0" collapsed="false">
      <c r="A20" s="8" t="s">
        <v>97</v>
      </c>
      <c r="B20" s="8" t="s">
        <v>27</v>
      </c>
      <c r="C20" s="8" t="n">
        <v>154170</v>
      </c>
      <c r="D20" s="8" t="s">
        <v>505</v>
      </c>
      <c r="E20" s="4" t="n">
        <v>0</v>
      </c>
      <c r="F20" s="4" t="n">
        <v>27</v>
      </c>
      <c r="G20" s="4" t="n">
        <v>0</v>
      </c>
      <c r="H20" s="4" t="n">
        <v>5</v>
      </c>
      <c r="I20" s="4" t="n">
        <v>0</v>
      </c>
      <c r="J20" s="4" t="n">
        <v>39</v>
      </c>
      <c r="K20" s="4" t="n">
        <v>26</v>
      </c>
      <c r="L20" s="4" t="n">
        <v>0</v>
      </c>
      <c r="M20" s="4" t="n">
        <v>52</v>
      </c>
      <c r="N20" s="4" t="n">
        <v>0</v>
      </c>
      <c r="O20" s="4" t="n">
        <v>0</v>
      </c>
      <c r="P20" s="4" t="n">
        <v>17</v>
      </c>
      <c r="Q20" s="4" t="n">
        <v>0</v>
      </c>
      <c r="R20" s="4" t="n">
        <v>0</v>
      </c>
      <c r="S20" s="4" t="n">
        <v>0</v>
      </c>
      <c r="T20" s="4" t="n">
        <v>0</v>
      </c>
      <c r="U20" s="4" t="n">
        <v>0</v>
      </c>
      <c r="V20" s="4" t="n">
        <v>0</v>
      </c>
      <c r="W20" s="4" t="n">
        <v>0</v>
      </c>
      <c r="X20" s="4" t="n">
        <v>0</v>
      </c>
      <c r="Y20" s="4" t="n">
        <v>0</v>
      </c>
      <c r="Z20" s="4" t="n">
        <v>0</v>
      </c>
      <c r="AA20" s="4" t="n">
        <v>9</v>
      </c>
      <c r="AB20" s="4" t="n">
        <v>0</v>
      </c>
      <c r="AC20" s="4" t="n">
        <v>0</v>
      </c>
      <c r="AD20" s="4" t="n">
        <v>38</v>
      </c>
      <c r="AE20" s="8" t="n">
        <f aca="false">COUNTIF(F20:AD20,"&lt;=0")</f>
        <v>17</v>
      </c>
    </row>
    <row r="21" customFormat="false" ht="15" hidden="false" customHeight="false" outlineLevel="0" collapsed="false">
      <c r="A21" s="8" t="s">
        <v>97</v>
      </c>
      <c r="B21" s="8" t="s">
        <v>27</v>
      </c>
      <c r="C21" s="8" t="n">
        <v>154281</v>
      </c>
      <c r="D21" s="8" t="s">
        <v>506</v>
      </c>
      <c r="E21" s="4" t="n">
        <v>0</v>
      </c>
      <c r="F21" s="4" t="n">
        <v>29</v>
      </c>
      <c r="G21" s="4" t="n">
        <v>0</v>
      </c>
      <c r="H21" s="4" t="n">
        <v>18</v>
      </c>
      <c r="I21" s="4" t="n">
        <v>29</v>
      </c>
      <c r="J21" s="4" t="n">
        <v>5</v>
      </c>
      <c r="K21" s="4" t="n">
        <v>9</v>
      </c>
      <c r="L21" s="4" t="n">
        <v>0</v>
      </c>
      <c r="M21" s="4" t="n">
        <v>0</v>
      </c>
      <c r="N21" s="4" t="n">
        <v>0</v>
      </c>
      <c r="O21" s="4" t="n">
        <v>17</v>
      </c>
      <c r="P21" s="4" t="n">
        <v>1</v>
      </c>
      <c r="Q21" s="4" t="n">
        <v>18</v>
      </c>
      <c r="R21" s="4" t="n">
        <v>40</v>
      </c>
      <c r="S21" s="4" t="n">
        <v>0</v>
      </c>
      <c r="T21" s="4" t="n">
        <v>0</v>
      </c>
      <c r="U21" s="4" t="n">
        <v>10</v>
      </c>
      <c r="V21" s="4" t="n">
        <v>0</v>
      </c>
      <c r="W21" s="4" t="n">
        <v>0</v>
      </c>
      <c r="X21" s="4" t="n">
        <v>22</v>
      </c>
      <c r="Y21" s="4" t="n">
        <v>0</v>
      </c>
      <c r="Z21" s="4" t="n">
        <v>0</v>
      </c>
      <c r="AA21" s="4" t="n">
        <v>1</v>
      </c>
      <c r="AB21" s="4" t="n">
        <v>0</v>
      </c>
      <c r="AC21" s="4" t="n">
        <v>0</v>
      </c>
      <c r="AD21" s="4" t="n">
        <v>7</v>
      </c>
      <c r="AE21" s="8" t="n">
        <f aca="false">COUNTIF(F21:AD21,"&lt;=0")</f>
        <v>12</v>
      </c>
    </row>
    <row r="22" customFormat="false" ht="15" hidden="false" customHeight="false" outlineLevel="0" collapsed="false">
      <c r="A22" s="8" t="s">
        <v>97</v>
      </c>
      <c r="B22" s="8" t="s">
        <v>27</v>
      </c>
      <c r="C22" s="8" t="n">
        <v>154608</v>
      </c>
      <c r="D22" s="8" t="s">
        <v>507</v>
      </c>
      <c r="E22" s="4" t="n">
        <v>0</v>
      </c>
      <c r="F22" s="4" t="n">
        <v>7</v>
      </c>
      <c r="G22" s="4" t="n">
        <v>12</v>
      </c>
      <c r="H22" s="4" t="n">
        <v>0</v>
      </c>
      <c r="I22" s="4" t="n">
        <v>0</v>
      </c>
      <c r="J22" s="4" t="n">
        <v>0</v>
      </c>
      <c r="K22" s="4" t="n">
        <v>9</v>
      </c>
      <c r="L22" s="4" t="n">
        <v>7</v>
      </c>
      <c r="M22" s="4" t="n">
        <v>0</v>
      </c>
      <c r="N22" s="4" t="n">
        <v>0</v>
      </c>
      <c r="O22" s="4" t="n">
        <v>13</v>
      </c>
      <c r="P22" s="4" t="n">
        <v>12</v>
      </c>
      <c r="Q22" s="4" t="n">
        <v>3</v>
      </c>
      <c r="R22" s="4" t="n">
        <v>30</v>
      </c>
      <c r="S22" s="4" t="n">
        <v>0</v>
      </c>
      <c r="T22" s="4" t="n">
        <v>10</v>
      </c>
      <c r="U22" s="4" t="n">
        <v>6</v>
      </c>
      <c r="V22" s="4" t="n">
        <v>14</v>
      </c>
      <c r="W22" s="4" t="n">
        <v>0</v>
      </c>
      <c r="X22" s="4" t="n">
        <v>0</v>
      </c>
      <c r="Y22" s="4" t="n">
        <v>0</v>
      </c>
      <c r="Z22" s="4" t="n">
        <v>0</v>
      </c>
      <c r="AA22" s="4" t="n">
        <v>0</v>
      </c>
      <c r="AB22" s="4" t="n">
        <v>0</v>
      </c>
      <c r="AC22" s="4" t="n">
        <v>0</v>
      </c>
      <c r="AD22" s="4" t="n">
        <v>0</v>
      </c>
      <c r="AE22" s="8" t="n">
        <f aca="false">COUNTIF(F22:AD22,"&lt;=0")</f>
        <v>14</v>
      </c>
    </row>
    <row r="23" customFormat="false" ht="15" hidden="false" customHeight="false" outlineLevel="0" collapsed="false">
      <c r="A23" s="8" t="s">
        <v>97</v>
      </c>
      <c r="B23" s="8" t="s">
        <v>27</v>
      </c>
      <c r="C23" s="8" t="n">
        <v>154671</v>
      </c>
      <c r="D23" s="8" t="s">
        <v>508</v>
      </c>
      <c r="E23" s="4" t="n">
        <v>0</v>
      </c>
      <c r="F23" s="4" t="n">
        <v>6</v>
      </c>
      <c r="G23" s="4" t="n">
        <v>0</v>
      </c>
      <c r="H23" s="4" t="n">
        <v>0</v>
      </c>
      <c r="I23" s="4" t="n">
        <v>4</v>
      </c>
      <c r="J23" s="4" t="n">
        <v>0</v>
      </c>
      <c r="K23" s="4" t="n">
        <v>15</v>
      </c>
      <c r="L23" s="4" t="n">
        <v>0</v>
      </c>
      <c r="M23" s="4" t="n">
        <v>0</v>
      </c>
      <c r="N23" s="4" t="n">
        <v>0</v>
      </c>
      <c r="O23" s="4" t="n">
        <v>29</v>
      </c>
      <c r="P23" s="4" t="n">
        <v>0</v>
      </c>
      <c r="Q23" s="4" t="n">
        <v>0</v>
      </c>
      <c r="R23" s="4" t="n">
        <v>0</v>
      </c>
      <c r="S23" s="4" t="n">
        <v>0</v>
      </c>
      <c r="T23" s="4" t="n">
        <v>0</v>
      </c>
      <c r="U23" s="4" t="n">
        <v>0</v>
      </c>
      <c r="V23" s="4" t="n">
        <v>0</v>
      </c>
      <c r="W23" s="4" t="n">
        <v>0</v>
      </c>
      <c r="X23" s="4" t="n">
        <v>0</v>
      </c>
      <c r="Y23" s="4" t="n">
        <v>0</v>
      </c>
      <c r="Z23" s="4" t="n">
        <v>0</v>
      </c>
      <c r="AA23" s="4" t="n">
        <v>0</v>
      </c>
      <c r="AB23" s="4" t="n">
        <v>0</v>
      </c>
      <c r="AC23" s="4" t="n">
        <v>0</v>
      </c>
      <c r="AD23" s="4" t="n">
        <v>5</v>
      </c>
      <c r="AE23" s="8" t="n">
        <f aca="false">COUNTIF(F23:AD23,"&lt;=0")</f>
        <v>20</v>
      </c>
    </row>
    <row r="24" customFormat="false" ht="15" hidden="false" customHeight="false" outlineLevel="0" collapsed="false">
      <c r="A24" s="8" t="s">
        <v>97</v>
      </c>
      <c r="B24" s="8" t="s">
        <v>27</v>
      </c>
      <c r="C24" s="8" t="n">
        <v>154672</v>
      </c>
      <c r="D24" s="8" t="s">
        <v>509</v>
      </c>
      <c r="E24" s="4" t="n">
        <v>0</v>
      </c>
      <c r="F24" s="4" t="n">
        <v>3</v>
      </c>
      <c r="G24" s="4" t="n">
        <v>0</v>
      </c>
      <c r="H24" s="4" t="n">
        <v>0</v>
      </c>
      <c r="I24" s="4" t="n">
        <v>0</v>
      </c>
      <c r="J24" s="4" t="n">
        <v>0</v>
      </c>
      <c r="K24" s="4" t="n">
        <v>13</v>
      </c>
      <c r="L24" s="4" t="n">
        <v>0</v>
      </c>
      <c r="M24" s="4" t="n">
        <v>0</v>
      </c>
      <c r="N24" s="4" t="n">
        <v>0</v>
      </c>
      <c r="O24" s="4" t="n">
        <v>32</v>
      </c>
      <c r="P24" s="4" t="n">
        <v>0</v>
      </c>
      <c r="Q24" s="4" t="n">
        <v>0</v>
      </c>
      <c r="R24" s="4" t="n">
        <v>0</v>
      </c>
      <c r="S24" s="4" t="n">
        <v>0</v>
      </c>
      <c r="T24" s="4" t="n">
        <v>0</v>
      </c>
      <c r="U24" s="4" t="n">
        <v>0</v>
      </c>
      <c r="V24" s="4" t="n">
        <v>0</v>
      </c>
      <c r="W24" s="4" t="n">
        <v>0</v>
      </c>
      <c r="X24" s="4" t="n">
        <v>0</v>
      </c>
      <c r="Y24" s="4" t="n">
        <v>0</v>
      </c>
      <c r="Z24" s="4" t="n">
        <v>0</v>
      </c>
      <c r="AA24" s="4" t="n">
        <v>0</v>
      </c>
      <c r="AB24" s="4" t="n">
        <v>0</v>
      </c>
      <c r="AC24" s="4" t="n">
        <v>0</v>
      </c>
      <c r="AD24" s="4" t="n">
        <v>3</v>
      </c>
      <c r="AE24" s="8" t="n">
        <f aca="false">COUNTIF(F24:AD24,"&lt;=0")</f>
        <v>21</v>
      </c>
    </row>
    <row r="25" customFormat="false" ht="15" hidden="false" customHeight="false" outlineLevel="0" collapsed="false">
      <c r="A25" s="8" t="s">
        <v>64</v>
      </c>
      <c r="B25" s="8" t="s">
        <v>24</v>
      </c>
      <c r="C25" s="8" t="n">
        <v>220054</v>
      </c>
      <c r="D25" s="8" t="s">
        <v>376</v>
      </c>
      <c r="E25" s="4" t="n">
        <v>155</v>
      </c>
      <c r="F25" s="4" t="n">
        <v>0</v>
      </c>
      <c r="G25" s="4" t="n">
        <v>12</v>
      </c>
      <c r="H25" s="4" t="n">
        <v>12</v>
      </c>
      <c r="I25" s="4" t="n">
        <v>22</v>
      </c>
      <c r="J25" s="4" t="n">
        <v>17</v>
      </c>
      <c r="K25" s="4" t="n">
        <v>32</v>
      </c>
      <c r="L25" s="4" t="n">
        <v>12</v>
      </c>
      <c r="M25" s="4" t="n">
        <v>13</v>
      </c>
      <c r="N25" s="4" t="n">
        <v>8</v>
      </c>
      <c r="O25" s="4" t="n">
        <v>13</v>
      </c>
      <c r="P25" s="4" t="n">
        <v>15</v>
      </c>
      <c r="Q25" s="4" t="n">
        <v>13</v>
      </c>
      <c r="R25" s="4" t="n">
        <v>23</v>
      </c>
      <c r="S25" s="4" t="n">
        <v>14</v>
      </c>
      <c r="T25" s="4" t="n">
        <v>10</v>
      </c>
      <c r="U25" s="4" t="n">
        <v>16</v>
      </c>
      <c r="V25" s="4" t="n">
        <v>11</v>
      </c>
      <c r="W25" s="4" t="n">
        <v>12</v>
      </c>
      <c r="X25" s="4" t="n">
        <v>11</v>
      </c>
      <c r="Y25" s="4" t="n">
        <v>15</v>
      </c>
      <c r="Z25" s="4" t="n">
        <v>12</v>
      </c>
      <c r="AA25" s="4" t="n">
        <v>6</v>
      </c>
      <c r="AB25" s="4" t="n">
        <v>0</v>
      </c>
      <c r="AC25" s="4" t="n">
        <v>10</v>
      </c>
      <c r="AD25" s="4" t="n">
        <v>0</v>
      </c>
      <c r="AE25" s="8" t="n">
        <f aca="false">COUNTIF(F25:AD25,"&lt;=0")</f>
        <v>3</v>
      </c>
    </row>
    <row r="26" customFormat="false" ht="15" hidden="false" customHeight="false" outlineLevel="0" collapsed="false">
      <c r="A26" s="8" t="s">
        <v>64</v>
      </c>
      <c r="B26" s="8" t="s">
        <v>24</v>
      </c>
      <c r="C26" s="8" t="n">
        <v>220055</v>
      </c>
      <c r="D26" s="8" t="s">
        <v>411</v>
      </c>
      <c r="E26" s="4" t="n">
        <v>12</v>
      </c>
      <c r="F26" s="4" t="n">
        <v>0</v>
      </c>
      <c r="G26" s="4" t="n">
        <v>10</v>
      </c>
      <c r="H26" s="4" t="n">
        <v>11</v>
      </c>
      <c r="I26" s="4" t="n">
        <v>9</v>
      </c>
      <c r="J26" s="4" t="n">
        <v>18</v>
      </c>
      <c r="K26" s="4" t="n">
        <v>18</v>
      </c>
      <c r="L26" s="4" t="n">
        <v>11</v>
      </c>
      <c r="M26" s="4" t="n">
        <v>8</v>
      </c>
      <c r="N26" s="4" t="n">
        <v>8</v>
      </c>
      <c r="O26" s="4" t="n">
        <v>8</v>
      </c>
      <c r="P26" s="4" t="n">
        <v>6</v>
      </c>
      <c r="Q26" s="4" t="n">
        <v>11</v>
      </c>
      <c r="R26" s="4" t="n">
        <v>10</v>
      </c>
      <c r="S26" s="4" t="n">
        <v>9</v>
      </c>
      <c r="T26" s="4" t="n">
        <v>5</v>
      </c>
      <c r="U26" s="4" t="n">
        <v>11</v>
      </c>
      <c r="V26" s="4" t="n">
        <v>10</v>
      </c>
      <c r="W26" s="4" t="n">
        <v>10</v>
      </c>
      <c r="X26" s="4" t="n">
        <v>12</v>
      </c>
      <c r="Y26" s="4" t="n">
        <v>13</v>
      </c>
      <c r="Z26" s="4" t="n">
        <v>10</v>
      </c>
      <c r="AA26" s="4" t="n">
        <v>7</v>
      </c>
      <c r="AB26" s="4" t="n">
        <v>0</v>
      </c>
      <c r="AC26" s="4" t="n">
        <v>8</v>
      </c>
      <c r="AD26" s="4" t="n">
        <v>0</v>
      </c>
      <c r="AE26" s="8" t="n">
        <f aca="false">COUNTIF(F26:AD26,"&lt;=0")</f>
        <v>3</v>
      </c>
    </row>
    <row r="27" customFormat="false" ht="15" hidden="false" customHeight="false" outlineLevel="0" collapsed="false">
      <c r="A27" s="8" t="s">
        <v>64</v>
      </c>
      <c r="B27" s="8" t="s">
        <v>24</v>
      </c>
      <c r="C27" s="8" t="n">
        <v>220056</v>
      </c>
      <c r="D27" s="8" t="s">
        <v>369</v>
      </c>
      <c r="E27" s="4" t="n">
        <v>481</v>
      </c>
      <c r="F27" s="4" t="n">
        <v>0</v>
      </c>
      <c r="G27" s="4" t="n">
        <v>11</v>
      </c>
      <c r="H27" s="4" t="n">
        <v>12</v>
      </c>
      <c r="I27" s="4" t="n">
        <v>12</v>
      </c>
      <c r="J27" s="4" t="n">
        <v>15</v>
      </c>
      <c r="K27" s="4" t="n">
        <v>10</v>
      </c>
      <c r="L27" s="4" t="n">
        <v>10</v>
      </c>
      <c r="M27" s="4" t="n">
        <v>14</v>
      </c>
      <c r="N27" s="4" t="n">
        <v>15</v>
      </c>
      <c r="O27" s="4" t="n">
        <v>38</v>
      </c>
      <c r="P27" s="4" t="n">
        <v>11</v>
      </c>
      <c r="Q27" s="4" t="n">
        <v>10</v>
      </c>
      <c r="R27" s="4" t="n">
        <v>8</v>
      </c>
      <c r="S27" s="4" t="n">
        <v>5</v>
      </c>
      <c r="T27" s="4" t="n">
        <v>19</v>
      </c>
      <c r="U27" s="4" t="n">
        <v>11</v>
      </c>
      <c r="V27" s="4" t="n">
        <v>10</v>
      </c>
      <c r="W27" s="4" t="n">
        <v>19</v>
      </c>
      <c r="X27" s="4" t="n">
        <v>12</v>
      </c>
      <c r="Y27" s="4" t="n">
        <v>17</v>
      </c>
      <c r="Z27" s="4" t="n">
        <v>6</v>
      </c>
      <c r="AA27" s="4" t="n">
        <v>21</v>
      </c>
      <c r="AB27" s="4" t="n">
        <v>0</v>
      </c>
      <c r="AC27" s="4" t="n">
        <v>11</v>
      </c>
      <c r="AD27" s="4" t="n">
        <v>0</v>
      </c>
      <c r="AE27" s="8" t="n">
        <f aca="false">COUNTIF(F27:AD27,"&lt;=0")</f>
        <v>3</v>
      </c>
    </row>
    <row r="28" customFormat="false" ht="15" hidden="false" customHeight="false" outlineLevel="0" collapsed="false">
      <c r="A28" s="8" t="s">
        <v>64</v>
      </c>
      <c r="B28" s="8" t="s">
        <v>24</v>
      </c>
      <c r="C28" s="8" t="n">
        <v>220057</v>
      </c>
      <c r="D28" s="8" t="s">
        <v>373</v>
      </c>
      <c r="E28" s="4" t="n">
        <v>319</v>
      </c>
      <c r="F28" s="4" t="n">
        <v>0</v>
      </c>
      <c r="G28" s="4" t="n">
        <v>9</v>
      </c>
      <c r="H28" s="4" t="n">
        <v>11</v>
      </c>
      <c r="I28" s="4" t="n">
        <v>17</v>
      </c>
      <c r="J28" s="4" t="n">
        <v>35</v>
      </c>
      <c r="K28" s="4" t="n">
        <v>38</v>
      </c>
      <c r="L28" s="4" t="n">
        <v>15</v>
      </c>
      <c r="M28" s="4" t="n">
        <v>22</v>
      </c>
      <c r="N28" s="4" t="n">
        <v>17</v>
      </c>
      <c r="O28" s="4" t="n">
        <v>20</v>
      </c>
      <c r="P28" s="4" t="n">
        <v>14</v>
      </c>
      <c r="Q28" s="4" t="n">
        <v>5</v>
      </c>
      <c r="R28" s="4" t="n">
        <v>18</v>
      </c>
      <c r="S28" s="4" t="n">
        <v>11</v>
      </c>
      <c r="T28" s="4" t="n">
        <v>5</v>
      </c>
      <c r="U28" s="4" t="n">
        <v>16</v>
      </c>
      <c r="V28" s="4" t="n">
        <v>23</v>
      </c>
      <c r="W28" s="4" t="n">
        <v>16</v>
      </c>
      <c r="X28" s="4" t="n">
        <v>30</v>
      </c>
      <c r="Y28" s="4" t="n">
        <v>7</v>
      </c>
      <c r="Z28" s="4" t="n">
        <v>10</v>
      </c>
      <c r="AA28" s="4" t="n">
        <v>3</v>
      </c>
      <c r="AB28" s="4" t="n">
        <v>0</v>
      </c>
      <c r="AC28" s="4" t="n">
        <v>6</v>
      </c>
      <c r="AD28" s="4" t="n">
        <v>0</v>
      </c>
      <c r="AE28" s="8" t="n">
        <f aca="false">COUNTIF(F28:AD28,"&lt;=0")</f>
        <v>3</v>
      </c>
    </row>
    <row r="29" customFormat="false" ht="15" hidden="false" customHeight="false" outlineLevel="0" collapsed="false">
      <c r="A29" s="8" t="s">
        <v>64</v>
      </c>
      <c r="B29" s="8" t="s">
        <v>24</v>
      </c>
      <c r="C29" s="8" t="n">
        <v>220058</v>
      </c>
      <c r="D29" s="8" t="s">
        <v>374</v>
      </c>
      <c r="E29" s="4" t="n">
        <v>310</v>
      </c>
      <c r="F29" s="4" t="n">
        <v>0</v>
      </c>
      <c r="G29" s="4" t="n">
        <v>13</v>
      </c>
      <c r="H29" s="4" t="n">
        <v>11</v>
      </c>
      <c r="I29" s="4" t="n">
        <v>18</v>
      </c>
      <c r="J29" s="4" t="n">
        <v>9</v>
      </c>
      <c r="K29" s="4" t="n">
        <v>15</v>
      </c>
      <c r="L29" s="4" t="n">
        <v>11</v>
      </c>
      <c r="M29" s="4" t="n">
        <v>27</v>
      </c>
      <c r="N29" s="4" t="n">
        <v>19</v>
      </c>
      <c r="O29" s="4" t="n">
        <v>28</v>
      </c>
      <c r="P29" s="4" t="n">
        <v>9</v>
      </c>
      <c r="Q29" s="4" t="n">
        <v>10</v>
      </c>
      <c r="R29" s="4" t="n">
        <v>19</v>
      </c>
      <c r="S29" s="4" t="n">
        <v>14</v>
      </c>
      <c r="T29" s="4" t="n">
        <v>10</v>
      </c>
      <c r="U29" s="4" t="n">
        <v>11</v>
      </c>
      <c r="V29" s="4" t="n">
        <v>16</v>
      </c>
      <c r="W29" s="4" t="n">
        <v>7</v>
      </c>
      <c r="X29" s="4" t="n">
        <v>39</v>
      </c>
      <c r="Y29" s="4" t="n">
        <v>12</v>
      </c>
      <c r="Z29" s="4" t="n">
        <v>10</v>
      </c>
      <c r="AA29" s="4" t="n">
        <v>9</v>
      </c>
      <c r="AB29" s="4" t="n">
        <v>0</v>
      </c>
      <c r="AC29" s="4" t="n">
        <v>15</v>
      </c>
      <c r="AD29" s="4" t="n">
        <v>0</v>
      </c>
      <c r="AE29" s="8" t="n">
        <f aca="false">COUNTIF(F29:AD29,"&lt;=0")</f>
        <v>3</v>
      </c>
    </row>
    <row r="30" customFormat="false" ht="15" hidden="false" customHeight="false" outlineLevel="0" collapsed="false">
      <c r="A30" s="8" t="s">
        <v>64</v>
      </c>
      <c r="B30" s="8" t="s">
        <v>24</v>
      </c>
      <c r="C30" s="8" t="n">
        <v>220059</v>
      </c>
      <c r="D30" s="8" t="s">
        <v>367</v>
      </c>
      <c r="E30" s="4" t="n">
        <v>1499</v>
      </c>
      <c r="F30" s="4" t="n">
        <v>0</v>
      </c>
      <c r="G30" s="4" t="n">
        <v>13</v>
      </c>
      <c r="H30" s="4" t="n">
        <v>29</v>
      </c>
      <c r="I30" s="4" t="n">
        <v>20</v>
      </c>
      <c r="J30" s="4" t="n">
        <v>33</v>
      </c>
      <c r="K30" s="4" t="n">
        <v>24</v>
      </c>
      <c r="L30" s="4" t="n">
        <v>13</v>
      </c>
      <c r="M30" s="4" t="n">
        <v>19</v>
      </c>
      <c r="N30" s="4" t="n">
        <v>12</v>
      </c>
      <c r="O30" s="4" t="n">
        <v>38</v>
      </c>
      <c r="P30" s="4" t="n">
        <v>9</v>
      </c>
      <c r="Q30" s="4" t="n">
        <v>16</v>
      </c>
      <c r="R30" s="4" t="n">
        <v>17</v>
      </c>
      <c r="S30" s="4" t="n">
        <v>12</v>
      </c>
      <c r="T30" s="4" t="n">
        <v>16</v>
      </c>
      <c r="U30" s="4" t="n">
        <v>25</v>
      </c>
      <c r="V30" s="4" t="n">
        <v>31</v>
      </c>
      <c r="W30" s="4" t="n">
        <v>23</v>
      </c>
      <c r="X30" s="4" t="n">
        <v>20</v>
      </c>
      <c r="Y30" s="4" t="n">
        <v>19</v>
      </c>
      <c r="Z30" s="4" t="n">
        <v>23</v>
      </c>
      <c r="AA30" s="4" t="n">
        <v>14</v>
      </c>
      <c r="AB30" s="4" t="n">
        <v>0</v>
      </c>
      <c r="AC30" s="4" t="n">
        <v>17</v>
      </c>
      <c r="AD30" s="4" t="n">
        <v>0</v>
      </c>
      <c r="AE30" s="8" t="n">
        <f aca="false">COUNTIF(F30:AD30,"&lt;=0")</f>
        <v>3</v>
      </c>
    </row>
    <row r="31" customFormat="false" ht="15" hidden="false" customHeight="false" outlineLevel="0" collapsed="false">
      <c r="A31" s="8" t="s">
        <v>64</v>
      </c>
      <c r="B31" s="8" t="s">
        <v>24</v>
      </c>
      <c r="C31" s="8" t="n">
        <v>220060</v>
      </c>
      <c r="D31" s="8" t="s">
        <v>510</v>
      </c>
      <c r="E31" s="4" t="n">
        <v>0</v>
      </c>
      <c r="F31" s="4" t="n">
        <v>0</v>
      </c>
      <c r="G31" s="4" t="n">
        <v>13</v>
      </c>
      <c r="H31" s="4" t="n">
        <v>24</v>
      </c>
      <c r="I31" s="4" t="n">
        <v>14</v>
      </c>
      <c r="J31" s="4" t="n">
        <v>21</v>
      </c>
      <c r="K31" s="4" t="n">
        <v>29</v>
      </c>
      <c r="L31" s="4" t="n">
        <v>18</v>
      </c>
      <c r="M31" s="4" t="n">
        <v>21</v>
      </c>
      <c r="N31" s="4" t="n">
        <v>10</v>
      </c>
      <c r="O31" s="4" t="n">
        <v>11</v>
      </c>
      <c r="P31" s="4" t="n">
        <v>19</v>
      </c>
      <c r="Q31" s="4" t="n">
        <v>14</v>
      </c>
      <c r="R31" s="4" t="n">
        <v>18</v>
      </c>
      <c r="S31" s="4" t="n">
        <v>16</v>
      </c>
      <c r="T31" s="4" t="n">
        <v>12</v>
      </c>
      <c r="U31" s="4" t="n">
        <v>12</v>
      </c>
      <c r="V31" s="4" t="n">
        <v>19</v>
      </c>
      <c r="W31" s="4" t="n">
        <v>12</v>
      </c>
      <c r="X31" s="4" t="n">
        <v>20</v>
      </c>
      <c r="Y31" s="4" t="n">
        <v>13</v>
      </c>
      <c r="Z31" s="4" t="n">
        <v>15</v>
      </c>
      <c r="AA31" s="4" t="n">
        <v>23</v>
      </c>
      <c r="AB31" s="4" t="n">
        <v>0</v>
      </c>
      <c r="AC31" s="4" t="n">
        <v>23</v>
      </c>
      <c r="AD31" s="4" t="n">
        <v>0</v>
      </c>
      <c r="AE31" s="8" t="n">
        <f aca="false">COUNTIF(F31:AD31,"&lt;=0")</f>
        <v>3</v>
      </c>
    </row>
    <row r="32" customFormat="false" ht="15" hidden="false" customHeight="false" outlineLevel="0" collapsed="false">
      <c r="A32" s="8" t="s">
        <v>81</v>
      </c>
      <c r="B32" s="8" t="s">
        <v>24</v>
      </c>
      <c r="C32" s="8" t="n">
        <v>220071</v>
      </c>
      <c r="D32" s="8" t="s">
        <v>511</v>
      </c>
      <c r="E32" s="4" t="n">
        <v>0</v>
      </c>
      <c r="F32" s="4" t="n">
        <v>0</v>
      </c>
      <c r="G32" s="4" t="n">
        <v>5</v>
      </c>
      <c r="H32" s="4" t="n">
        <v>7</v>
      </c>
      <c r="I32" s="4" t="n">
        <v>7</v>
      </c>
      <c r="J32" s="4" t="n">
        <v>4</v>
      </c>
      <c r="K32" s="4" t="n">
        <v>3</v>
      </c>
      <c r="L32" s="4" t="n">
        <v>5</v>
      </c>
      <c r="M32" s="4" t="n">
        <v>9</v>
      </c>
      <c r="N32" s="4" t="n">
        <v>2</v>
      </c>
      <c r="O32" s="4" t="n">
        <v>0</v>
      </c>
      <c r="P32" s="4" t="n">
        <v>4</v>
      </c>
      <c r="Q32" s="4" t="n">
        <v>7</v>
      </c>
      <c r="R32" s="4" t="n">
        <v>8</v>
      </c>
      <c r="S32" s="4" t="n">
        <v>0</v>
      </c>
      <c r="T32" s="4" t="n">
        <v>8</v>
      </c>
      <c r="U32" s="4" t="n">
        <v>7</v>
      </c>
      <c r="V32" s="4" t="n">
        <v>2</v>
      </c>
      <c r="W32" s="4" t="n">
        <v>13</v>
      </c>
      <c r="X32" s="4" t="n">
        <v>11</v>
      </c>
      <c r="Y32" s="4" t="n">
        <v>2</v>
      </c>
      <c r="Z32" s="4" t="n">
        <v>0</v>
      </c>
      <c r="AA32" s="4" t="n">
        <v>0</v>
      </c>
      <c r="AB32" s="4" t="n">
        <v>0</v>
      </c>
      <c r="AC32" s="4" t="n">
        <v>9</v>
      </c>
      <c r="AD32" s="4" t="n">
        <v>0</v>
      </c>
      <c r="AE32" s="8" t="n">
        <f aca="false">COUNTIF(F32:AD32,"&lt;=0")</f>
        <v>7</v>
      </c>
    </row>
    <row r="33" customFormat="false" ht="15" hidden="false" customHeight="false" outlineLevel="0" collapsed="false">
      <c r="A33" s="8" t="s">
        <v>81</v>
      </c>
      <c r="B33" s="8" t="s">
        <v>24</v>
      </c>
      <c r="C33" s="8" t="n">
        <v>220072</v>
      </c>
      <c r="D33" s="8" t="s">
        <v>399</v>
      </c>
      <c r="E33" s="4" t="n">
        <v>40</v>
      </c>
      <c r="F33" s="4" t="n">
        <v>0</v>
      </c>
      <c r="G33" s="4" t="n">
        <v>7</v>
      </c>
      <c r="H33" s="4" t="n">
        <v>13</v>
      </c>
      <c r="I33" s="4" t="n">
        <v>10</v>
      </c>
      <c r="J33" s="4" t="n">
        <v>10</v>
      </c>
      <c r="K33" s="4" t="n">
        <v>12</v>
      </c>
      <c r="L33" s="4" t="n">
        <v>15</v>
      </c>
      <c r="M33" s="4" t="n">
        <v>4</v>
      </c>
      <c r="N33" s="4" t="n">
        <v>11</v>
      </c>
      <c r="O33" s="4" t="n">
        <v>7</v>
      </c>
      <c r="P33" s="4" t="n">
        <v>11</v>
      </c>
      <c r="Q33" s="4" t="n">
        <v>8</v>
      </c>
      <c r="R33" s="4" t="n">
        <v>9</v>
      </c>
      <c r="S33" s="4" t="n">
        <v>12</v>
      </c>
      <c r="T33" s="4" t="n">
        <v>6</v>
      </c>
      <c r="U33" s="4" t="n">
        <v>10</v>
      </c>
      <c r="V33" s="4" t="n">
        <v>6</v>
      </c>
      <c r="W33" s="4" t="n">
        <v>9</v>
      </c>
      <c r="X33" s="4" t="n">
        <v>7</v>
      </c>
      <c r="Y33" s="4" t="n">
        <v>19</v>
      </c>
      <c r="Z33" s="4" t="n">
        <v>10</v>
      </c>
      <c r="AA33" s="4" t="n">
        <v>8</v>
      </c>
      <c r="AB33" s="4" t="n">
        <v>0</v>
      </c>
      <c r="AC33" s="4" t="n">
        <v>11</v>
      </c>
      <c r="AD33" s="4" t="n">
        <v>0</v>
      </c>
      <c r="AE33" s="8" t="n">
        <f aca="false">COUNTIF(F33:AD33,"&lt;=0")</f>
        <v>3</v>
      </c>
    </row>
    <row r="34" customFormat="false" ht="15" hidden="false" customHeight="false" outlineLevel="0" collapsed="false">
      <c r="A34" s="8" t="s">
        <v>81</v>
      </c>
      <c r="B34" s="8" t="s">
        <v>24</v>
      </c>
      <c r="C34" s="8" t="n">
        <v>220073</v>
      </c>
      <c r="D34" s="8" t="s">
        <v>512</v>
      </c>
      <c r="E34" s="4" t="n">
        <v>0</v>
      </c>
      <c r="F34" s="4" t="n">
        <v>0</v>
      </c>
      <c r="G34" s="4" t="n">
        <v>0</v>
      </c>
      <c r="H34" s="4" t="n">
        <v>6</v>
      </c>
      <c r="I34" s="4" t="n">
        <v>6</v>
      </c>
      <c r="J34" s="4" t="n">
        <v>0</v>
      </c>
      <c r="K34" s="4" t="n">
        <v>4</v>
      </c>
      <c r="L34" s="4" t="n">
        <v>0</v>
      </c>
      <c r="M34" s="4" t="n">
        <v>3</v>
      </c>
      <c r="N34" s="4" t="n">
        <v>4</v>
      </c>
      <c r="O34" s="4" t="n">
        <v>0</v>
      </c>
      <c r="P34" s="4" t="n">
        <v>4</v>
      </c>
      <c r="Q34" s="4" t="n">
        <v>1</v>
      </c>
      <c r="R34" s="4" t="n">
        <v>8</v>
      </c>
      <c r="S34" s="4" t="n">
        <v>2</v>
      </c>
      <c r="T34" s="4" t="n">
        <v>0</v>
      </c>
      <c r="U34" s="4" t="n">
        <v>0</v>
      </c>
      <c r="V34" s="4" t="n">
        <v>1</v>
      </c>
      <c r="W34" s="4" t="n">
        <v>3</v>
      </c>
      <c r="X34" s="4" t="n">
        <v>11</v>
      </c>
      <c r="Y34" s="4" t="n">
        <v>0</v>
      </c>
      <c r="Z34" s="4" t="n">
        <v>3</v>
      </c>
      <c r="AA34" s="4" t="n">
        <v>5</v>
      </c>
      <c r="AB34" s="4" t="n">
        <v>0</v>
      </c>
      <c r="AC34" s="4" t="n">
        <v>0</v>
      </c>
      <c r="AD34" s="4" t="n">
        <v>0</v>
      </c>
      <c r="AE34" s="8" t="n">
        <f aca="false">COUNTIF(F34:AD34,"&lt;=0")</f>
        <v>11</v>
      </c>
    </row>
    <row r="35" customFormat="false" ht="15" hidden="false" customHeight="false" outlineLevel="0" collapsed="false">
      <c r="A35" s="8" t="s">
        <v>81</v>
      </c>
      <c r="B35" s="8" t="s">
        <v>24</v>
      </c>
      <c r="C35" s="8" t="n">
        <v>220078</v>
      </c>
      <c r="D35" s="8" t="s">
        <v>512</v>
      </c>
      <c r="E35" s="4" t="n">
        <v>0</v>
      </c>
      <c r="F35" s="4" t="n">
        <v>0</v>
      </c>
      <c r="G35" s="4" t="n">
        <v>0</v>
      </c>
      <c r="H35" s="4" t="n">
        <v>3</v>
      </c>
      <c r="I35" s="4" t="n">
        <v>0</v>
      </c>
      <c r="J35" s="4" t="n">
        <v>8</v>
      </c>
      <c r="K35" s="4" t="n">
        <v>8</v>
      </c>
      <c r="L35" s="4" t="n">
        <v>13</v>
      </c>
      <c r="M35" s="4" t="n">
        <v>7</v>
      </c>
      <c r="N35" s="4" t="n">
        <v>3</v>
      </c>
      <c r="O35" s="4" t="n">
        <v>1</v>
      </c>
      <c r="P35" s="4" t="n">
        <v>7</v>
      </c>
      <c r="Q35" s="4" t="n">
        <v>6</v>
      </c>
      <c r="R35" s="4" t="n">
        <v>8</v>
      </c>
      <c r="S35" s="4" t="n">
        <v>2</v>
      </c>
      <c r="T35" s="4" t="n">
        <v>3</v>
      </c>
      <c r="U35" s="4" t="n">
        <v>1</v>
      </c>
      <c r="V35" s="4" t="n">
        <v>2</v>
      </c>
      <c r="W35" s="4" t="n">
        <v>4</v>
      </c>
      <c r="X35" s="4" t="n">
        <v>5</v>
      </c>
      <c r="Y35" s="4" t="n">
        <v>2</v>
      </c>
      <c r="Z35" s="4" t="n">
        <v>6</v>
      </c>
      <c r="AA35" s="4" t="n">
        <v>2</v>
      </c>
      <c r="AB35" s="4" t="n">
        <v>0</v>
      </c>
      <c r="AC35" s="4" t="n">
        <v>14</v>
      </c>
      <c r="AD35" s="4" t="n">
        <v>0</v>
      </c>
      <c r="AE35" s="8" t="n">
        <f aca="false">COUNTIF(F35:AD35,"&lt;=0")</f>
        <v>5</v>
      </c>
    </row>
    <row r="36" customFormat="false" ht="15" hidden="false" customHeight="false" outlineLevel="0" collapsed="false">
      <c r="A36" s="8" t="s">
        <v>81</v>
      </c>
      <c r="B36" s="8" t="s">
        <v>24</v>
      </c>
      <c r="C36" s="8" t="n">
        <v>220074</v>
      </c>
      <c r="D36" s="8" t="s">
        <v>513</v>
      </c>
      <c r="E36" s="4" t="n">
        <v>0</v>
      </c>
      <c r="F36" s="4" t="n">
        <v>0</v>
      </c>
      <c r="G36" s="4" t="n">
        <v>18</v>
      </c>
      <c r="H36" s="4" t="n">
        <v>10</v>
      </c>
      <c r="I36" s="4" t="n">
        <v>1</v>
      </c>
      <c r="J36" s="4" t="n">
        <v>16</v>
      </c>
      <c r="K36" s="4" t="n">
        <v>3</v>
      </c>
      <c r="L36" s="4" t="n">
        <v>4</v>
      </c>
      <c r="M36" s="4" t="n">
        <v>9</v>
      </c>
      <c r="N36" s="4" t="n">
        <v>4</v>
      </c>
      <c r="O36" s="4" t="n">
        <v>6</v>
      </c>
      <c r="P36" s="4" t="n">
        <v>5</v>
      </c>
      <c r="Q36" s="4" t="n">
        <v>12</v>
      </c>
      <c r="R36" s="4" t="n">
        <v>0</v>
      </c>
      <c r="S36" s="4" t="n">
        <v>3</v>
      </c>
      <c r="T36" s="4" t="n">
        <v>6</v>
      </c>
      <c r="U36" s="4" t="n">
        <v>-1</v>
      </c>
      <c r="V36" s="4" t="n">
        <v>7</v>
      </c>
      <c r="W36" s="4" t="n">
        <v>6</v>
      </c>
      <c r="X36" s="4" t="n">
        <v>0</v>
      </c>
      <c r="Y36" s="4" t="n">
        <v>8</v>
      </c>
      <c r="Z36" s="4" t="n">
        <v>10</v>
      </c>
      <c r="AA36" s="4" t="n">
        <v>-2</v>
      </c>
      <c r="AB36" s="4" t="n">
        <v>0</v>
      </c>
      <c r="AC36" s="4" t="n">
        <v>24</v>
      </c>
      <c r="AD36" s="4" t="n">
        <v>0</v>
      </c>
      <c r="AE36" s="8" t="n">
        <f aca="false">COUNTIF(F36:AD36,"&lt;=0")</f>
        <v>7</v>
      </c>
    </row>
    <row r="37" customFormat="false" ht="15" hidden="false" customHeight="false" outlineLevel="0" collapsed="false">
      <c r="A37" s="8" t="s">
        <v>81</v>
      </c>
      <c r="B37" s="8" t="s">
        <v>24</v>
      </c>
      <c r="C37" s="8" t="n">
        <v>220075</v>
      </c>
      <c r="D37" s="8" t="s">
        <v>377</v>
      </c>
      <c r="E37" s="4" t="n">
        <v>146</v>
      </c>
      <c r="F37" s="4" t="n">
        <v>0</v>
      </c>
      <c r="G37" s="4" t="n">
        <v>28</v>
      </c>
      <c r="H37" s="4" t="n">
        <v>21</v>
      </c>
      <c r="I37" s="4" t="n">
        <v>21</v>
      </c>
      <c r="J37" s="4" t="n">
        <v>22</v>
      </c>
      <c r="K37" s="4" t="n">
        <v>29</v>
      </c>
      <c r="L37" s="4" t="n">
        <v>16</v>
      </c>
      <c r="M37" s="4" t="n">
        <v>23</v>
      </c>
      <c r="N37" s="4" t="n">
        <v>12</v>
      </c>
      <c r="O37" s="4" t="n">
        <v>24</v>
      </c>
      <c r="P37" s="4" t="n">
        <v>25</v>
      </c>
      <c r="Q37" s="4" t="n">
        <v>11</v>
      </c>
      <c r="R37" s="4" t="n">
        <v>11</v>
      </c>
      <c r="S37" s="4" t="n">
        <v>11</v>
      </c>
      <c r="T37" s="4" t="n">
        <v>8</v>
      </c>
      <c r="U37" s="4" t="n">
        <v>25</v>
      </c>
      <c r="V37" s="4" t="n">
        <v>19</v>
      </c>
      <c r="W37" s="4" t="n">
        <v>8</v>
      </c>
      <c r="X37" s="4" t="n">
        <v>11</v>
      </c>
      <c r="Y37" s="4" t="n">
        <v>10</v>
      </c>
      <c r="Z37" s="4" t="n">
        <v>13</v>
      </c>
      <c r="AA37" s="4" t="n">
        <v>12</v>
      </c>
      <c r="AB37" s="4" t="n">
        <v>0</v>
      </c>
      <c r="AC37" s="4" t="n">
        <v>10</v>
      </c>
      <c r="AD37" s="4" t="n">
        <v>0</v>
      </c>
      <c r="AE37" s="8" t="n">
        <f aca="false">COUNTIF(F37:AD37,"&lt;=0")</f>
        <v>3</v>
      </c>
    </row>
    <row r="38" customFormat="false" ht="15" hidden="false" customHeight="false" outlineLevel="0" collapsed="false">
      <c r="A38" s="8" t="s">
        <v>81</v>
      </c>
      <c r="B38" s="8" t="s">
        <v>24</v>
      </c>
      <c r="C38" s="8" t="n">
        <v>220076</v>
      </c>
      <c r="D38" s="8" t="s">
        <v>389</v>
      </c>
      <c r="E38" s="4" t="n">
        <v>64</v>
      </c>
      <c r="F38" s="4" t="n">
        <v>0</v>
      </c>
      <c r="G38" s="4" t="n">
        <v>11</v>
      </c>
      <c r="H38" s="4" t="n">
        <v>16</v>
      </c>
      <c r="I38" s="4" t="n">
        <v>16</v>
      </c>
      <c r="J38" s="4" t="n">
        <v>15</v>
      </c>
      <c r="K38" s="4" t="n">
        <v>13</v>
      </c>
      <c r="L38" s="4" t="n">
        <v>16</v>
      </c>
      <c r="M38" s="4" t="n">
        <v>18</v>
      </c>
      <c r="N38" s="4" t="n">
        <v>10</v>
      </c>
      <c r="O38" s="4" t="n">
        <v>15</v>
      </c>
      <c r="P38" s="4" t="n">
        <v>16</v>
      </c>
      <c r="Q38" s="4" t="n">
        <v>10</v>
      </c>
      <c r="R38" s="4" t="n">
        <v>10</v>
      </c>
      <c r="S38" s="4" t="n">
        <v>8</v>
      </c>
      <c r="T38" s="4" t="n">
        <v>6</v>
      </c>
      <c r="U38" s="4" t="n">
        <v>23</v>
      </c>
      <c r="V38" s="4" t="n">
        <v>14</v>
      </c>
      <c r="W38" s="4" t="n">
        <v>6</v>
      </c>
      <c r="X38" s="4" t="n">
        <v>9</v>
      </c>
      <c r="Y38" s="4" t="n">
        <v>10</v>
      </c>
      <c r="Z38" s="4" t="n">
        <v>9</v>
      </c>
      <c r="AA38" s="4" t="n">
        <v>10</v>
      </c>
      <c r="AB38" s="4" t="n">
        <v>0</v>
      </c>
      <c r="AC38" s="4" t="n">
        <v>8</v>
      </c>
      <c r="AD38" s="4" t="n">
        <v>0</v>
      </c>
      <c r="AE38" s="8" t="n">
        <f aca="false">COUNTIF(F38:AD38,"&lt;=0")</f>
        <v>3</v>
      </c>
    </row>
    <row r="39" customFormat="false" ht="15" hidden="false" customHeight="false" outlineLevel="0" collapsed="false">
      <c r="A39" s="8" t="s">
        <v>81</v>
      </c>
      <c r="B39" s="8" t="s">
        <v>24</v>
      </c>
      <c r="C39" s="8" t="n">
        <v>220077</v>
      </c>
      <c r="D39" s="8" t="s">
        <v>514</v>
      </c>
      <c r="E39" s="4" t="n">
        <v>0</v>
      </c>
      <c r="F39" s="4" t="n">
        <v>0</v>
      </c>
      <c r="G39" s="4" t="n">
        <v>18</v>
      </c>
      <c r="H39" s="4" t="n">
        <v>10</v>
      </c>
      <c r="I39" s="4" t="n">
        <v>16</v>
      </c>
      <c r="J39" s="4" t="n">
        <v>21</v>
      </c>
      <c r="K39" s="4" t="n">
        <v>11</v>
      </c>
      <c r="L39" s="4" t="n">
        <v>22</v>
      </c>
      <c r="M39" s="4" t="n">
        <v>23</v>
      </c>
      <c r="N39" s="4" t="n">
        <v>10</v>
      </c>
      <c r="O39" s="4" t="n">
        <v>15</v>
      </c>
      <c r="P39" s="4" t="n">
        <v>20</v>
      </c>
      <c r="Q39" s="4" t="n">
        <v>10</v>
      </c>
      <c r="R39" s="4" t="n">
        <v>-4</v>
      </c>
      <c r="S39" s="4" t="n">
        <v>11</v>
      </c>
      <c r="T39" s="4" t="n">
        <v>12</v>
      </c>
      <c r="U39" s="4" t="n">
        <v>8</v>
      </c>
      <c r="V39" s="4" t="n">
        <v>9</v>
      </c>
      <c r="W39" s="4" t="n">
        <v>12</v>
      </c>
      <c r="X39" s="4" t="n">
        <v>11</v>
      </c>
      <c r="Y39" s="4" t="n">
        <v>0</v>
      </c>
      <c r="Z39" s="4" t="n">
        <v>10</v>
      </c>
      <c r="AA39" s="4" t="n">
        <v>9</v>
      </c>
      <c r="AB39" s="4" t="n">
        <v>0</v>
      </c>
      <c r="AC39" s="4" t="n">
        <v>14</v>
      </c>
      <c r="AD39" s="4" t="n">
        <v>0</v>
      </c>
      <c r="AE39" s="8" t="n">
        <f aca="false">COUNTIF(F39:AD39,"&lt;=0")</f>
        <v>5</v>
      </c>
    </row>
    <row r="40" customFormat="false" ht="15" hidden="false" customHeight="false" outlineLevel="0" collapsed="false">
      <c r="A40" s="8" t="s">
        <v>235</v>
      </c>
      <c r="B40" s="8" t="s">
        <v>24</v>
      </c>
      <c r="C40" s="8" t="n">
        <v>220044</v>
      </c>
      <c r="D40" s="8" t="s">
        <v>515</v>
      </c>
      <c r="E40" s="4" t="n">
        <v>0</v>
      </c>
      <c r="F40" s="4" t="n">
        <v>0</v>
      </c>
      <c r="G40" s="4" t="n">
        <v>0</v>
      </c>
      <c r="H40" s="4" t="n">
        <v>2</v>
      </c>
      <c r="I40" s="4" t="n">
        <v>0</v>
      </c>
      <c r="J40" s="4" t="n">
        <v>0</v>
      </c>
      <c r="K40" s="4" t="n">
        <v>1</v>
      </c>
      <c r="L40" s="4" t="n">
        <v>6</v>
      </c>
      <c r="M40" s="4" t="n">
        <v>0</v>
      </c>
      <c r="N40" s="4" t="n">
        <v>11</v>
      </c>
      <c r="O40" s="4" t="n">
        <v>3</v>
      </c>
      <c r="P40" s="4" t="n">
        <v>0</v>
      </c>
      <c r="Q40" s="4" t="n">
        <v>8</v>
      </c>
      <c r="R40" s="4" t="n">
        <v>0</v>
      </c>
      <c r="S40" s="4" t="n">
        <v>2</v>
      </c>
      <c r="T40" s="4" t="n">
        <v>0</v>
      </c>
      <c r="U40" s="4" t="n">
        <v>0</v>
      </c>
      <c r="V40" s="4" t="n">
        <v>0</v>
      </c>
      <c r="W40" s="4" t="n">
        <v>5</v>
      </c>
      <c r="X40" s="4" t="n">
        <v>0</v>
      </c>
      <c r="Y40" s="4" t="n">
        <v>0</v>
      </c>
      <c r="Z40" s="4" t="n">
        <v>7</v>
      </c>
      <c r="AA40" s="4" t="n">
        <v>0</v>
      </c>
      <c r="AB40" s="4" t="n">
        <v>0</v>
      </c>
      <c r="AC40" s="4" t="n">
        <v>5</v>
      </c>
      <c r="AD40" s="4" t="n">
        <v>0</v>
      </c>
      <c r="AE40" s="8" t="n">
        <f aca="false">COUNTIF(F40:AD40,"&lt;=0")</f>
        <v>15</v>
      </c>
    </row>
    <row r="41" customFormat="false" ht="15" hidden="false" customHeight="false" outlineLevel="0" collapsed="false">
      <c r="A41" s="8" t="s">
        <v>68</v>
      </c>
      <c r="B41" s="8" t="s">
        <v>25</v>
      </c>
      <c r="C41" s="8" t="n">
        <v>110545</v>
      </c>
      <c r="D41" s="8" t="s">
        <v>313</v>
      </c>
      <c r="E41" s="4" t="n">
        <v>86</v>
      </c>
      <c r="F41" s="4" t="n">
        <v>16</v>
      </c>
      <c r="G41" s="4" t="n">
        <v>6</v>
      </c>
      <c r="H41" s="4" t="n">
        <v>4</v>
      </c>
      <c r="I41" s="4" t="n">
        <v>8</v>
      </c>
      <c r="J41" s="4" t="n">
        <v>6</v>
      </c>
      <c r="K41" s="4" t="n">
        <v>5</v>
      </c>
      <c r="L41" s="4" t="n">
        <v>3</v>
      </c>
      <c r="M41" s="4" t="n">
        <v>5</v>
      </c>
      <c r="N41" s="4" t="n">
        <v>4</v>
      </c>
      <c r="O41" s="4" t="n">
        <v>0</v>
      </c>
      <c r="P41" s="4" t="n">
        <v>7</v>
      </c>
      <c r="Q41" s="4" t="n">
        <v>3</v>
      </c>
      <c r="R41" s="4" t="n">
        <v>3</v>
      </c>
      <c r="S41" s="4" t="n">
        <v>0</v>
      </c>
      <c r="T41" s="4" t="n">
        <v>3</v>
      </c>
      <c r="U41" s="4" t="n">
        <v>6</v>
      </c>
      <c r="V41" s="4" t="n">
        <v>3</v>
      </c>
      <c r="W41" s="4" t="n">
        <v>3</v>
      </c>
      <c r="X41" s="4" t="n">
        <v>0</v>
      </c>
      <c r="Y41" s="4" t="n">
        <v>3</v>
      </c>
      <c r="Z41" s="4" t="n">
        <v>3</v>
      </c>
      <c r="AA41" s="4" t="n">
        <v>0</v>
      </c>
      <c r="AB41" s="4" t="n">
        <v>0</v>
      </c>
      <c r="AC41" s="4" t="n">
        <v>3</v>
      </c>
      <c r="AD41" s="4" t="n">
        <v>0</v>
      </c>
      <c r="AE41" s="8" t="n">
        <f aca="false">COUNTIF(F41:AD41,"&lt;=0")</f>
        <v>6</v>
      </c>
    </row>
    <row r="42" customFormat="false" ht="15" hidden="false" customHeight="false" outlineLevel="0" collapsed="false">
      <c r="A42" s="8" t="s">
        <v>68</v>
      </c>
      <c r="B42" s="8" t="s">
        <v>25</v>
      </c>
      <c r="C42" s="8" t="n">
        <v>110636</v>
      </c>
      <c r="D42" s="8" t="s">
        <v>516</v>
      </c>
      <c r="E42" s="4" t="n">
        <v>0</v>
      </c>
      <c r="F42" s="4" t="n">
        <v>14</v>
      </c>
      <c r="G42" s="4" t="n">
        <v>3</v>
      </c>
      <c r="H42" s="4" t="n">
        <v>7</v>
      </c>
      <c r="I42" s="4" t="n">
        <v>4</v>
      </c>
      <c r="J42" s="4" t="n">
        <v>1</v>
      </c>
      <c r="K42" s="4" t="n">
        <v>8</v>
      </c>
      <c r="L42" s="4" t="n">
        <v>0</v>
      </c>
      <c r="M42" s="4" t="n">
        <v>4</v>
      </c>
      <c r="N42" s="4" t="n">
        <v>2</v>
      </c>
      <c r="O42" s="4" t="n">
        <v>6</v>
      </c>
      <c r="P42" s="4" t="n">
        <v>2</v>
      </c>
      <c r="Q42" s="4" t="n">
        <v>3</v>
      </c>
      <c r="R42" s="4" t="n">
        <v>3</v>
      </c>
      <c r="S42" s="4" t="n">
        <v>5</v>
      </c>
      <c r="T42" s="4" t="n">
        <v>3</v>
      </c>
      <c r="U42" s="4" t="n">
        <v>0</v>
      </c>
      <c r="V42" s="4" t="n">
        <v>4</v>
      </c>
      <c r="W42" s="4" t="n">
        <v>2</v>
      </c>
      <c r="X42" s="4" t="n">
        <v>4</v>
      </c>
      <c r="Y42" s="4" t="n">
        <v>1</v>
      </c>
      <c r="Z42" s="4" t="n">
        <v>3</v>
      </c>
      <c r="AA42" s="4" t="n">
        <v>5</v>
      </c>
      <c r="AB42" s="4" t="n">
        <v>0</v>
      </c>
      <c r="AC42" s="4" t="n">
        <v>3</v>
      </c>
      <c r="AD42" s="4" t="n">
        <v>0</v>
      </c>
      <c r="AE42" s="8" t="n">
        <f aca="false">COUNTIF(F42:AD42,"&lt;=0")</f>
        <v>4</v>
      </c>
    </row>
    <row r="43" customFormat="false" ht="15" hidden="false" customHeight="false" outlineLevel="0" collapsed="false">
      <c r="A43" s="8" t="s">
        <v>68</v>
      </c>
      <c r="B43" s="8" t="s">
        <v>25</v>
      </c>
      <c r="C43" s="8" t="n">
        <v>110637</v>
      </c>
      <c r="D43" s="8" t="s">
        <v>517</v>
      </c>
      <c r="E43" s="4" t="n">
        <v>0</v>
      </c>
      <c r="F43" s="4" t="n">
        <v>6</v>
      </c>
      <c r="G43" s="4" t="n">
        <v>6</v>
      </c>
      <c r="H43" s="4" t="n">
        <v>6</v>
      </c>
      <c r="I43" s="4" t="n">
        <v>5</v>
      </c>
      <c r="J43" s="4" t="n">
        <v>4</v>
      </c>
      <c r="K43" s="4" t="n">
        <v>6</v>
      </c>
      <c r="L43" s="4" t="n">
        <v>2</v>
      </c>
      <c r="M43" s="4" t="n">
        <v>6</v>
      </c>
      <c r="N43" s="4" t="n">
        <v>4</v>
      </c>
      <c r="O43" s="4" t="n">
        <v>4</v>
      </c>
      <c r="P43" s="4" t="n">
        <v>4</v>
      </c>
      <c r="Q43" s="4" t="n">
        <v>3</v>
      </c>
      <c r="R43" s="4" t="n">
        <v>3</v>
      </c>
      <c r="S43" s="4" t="n">
        <v>5</v>
      </c>
      <c r="T43" s="4" t="n">
        <v>3</v>
      </c>
      <c r="U43" s="4" t="n">
        <v>10</v>
      </c>
      <c r="V43" s="4" t="n">
        <v>3</v>
      </c>
      <c r="W43" s="4" t="n">
        <v>2</v>
      </c>
      <c r="X43" s="4" t="n">
        <v>3</v>
      </c>
      <c r="Y43" s="4" t="n">
        <v>3</v>
      </c>
      <c r="Z43" s="4" t="n">
        <v>4</v>
      </c>
      <c r="AA43" s="4" t="n">
        <v>8</v>
      </c>
      <c r="AB43" s="4" t="n">
        <v>0</v>
      </c>
      <c r="AC43" s="4" t="n">
        <v>5</v>
      </c>
      <c r="AD43" s="4" t="n">
        <v>0</v>
      </c>
      <c r="AE43" s="8" t="n">
        <f aca="false">COUNTIF(F43:AD43,"&lt;=0")</f>
        <v>2</v>
      </c>
    </row>
    <row r="44" customFormat="false" ht="15" hidden="false" customHeight="false" outlineLevel="0" collapsed="false">
      <c r="A44" s="8" t="s">
        <v>68</v>
      </c>
      <c r="B44" s="8" t="s">
        <v>25</v>
      </c>
      <c r="C44" s="8" t="n">
        <v>110639</v>
      </c>
      <c r="D44" s="8" t="s">
        <v>518</v>
      </c>
      <c r="E44" s="4" t="n">
        <v>0</v>
      </c>
      <c r="F44" s="4" t="n">
        <v>6</v>
      </c>
      <c r="G44" s="4" t="n">
        <v>3</v>
      </c>
      <c r="H44" s="4" t="n">
        <v>4</v>
      </c>
      <c r="I44" s="4" t="n">
        <v>6</v>
      </c>
      <c r="J44" s="4" t="n">
        <v>6</v>
      </c>
      <c r="K44" s="4" t="n">
        <v>3</v>
      </c>
      <c r="L44" s="4" t="n">
        <v>2</v>
      </c>
      <c r="M44" s="4" t="n">
        <v>5</v>
      </c>
      <c r="N44" s="4" t="n">
        <v>4</v>
      </c>
      <c r="O44" s="4" t="n">
        <v>4</v>
      </c>
      <c r="P44" s="4" t="n">
        <v>4</v>
      </c>
      <c r="Q44" s="4" t="n">
        <v>6</v>
      </c>
      <c r="R44" s="4" t="n">
        <v>1</v>
      </c>
      <c r="S44" s="4" t="n">
        <v>4</v>
      </c>
      <c r="T44" s="4" t="n">
        <v>5</v>
      </c>
      <c r="U44" s="4" t="n">
        <v>3</v>
      </c>
      <c r="V44" s="4" t="n">
        <v>3</v>
      </c>
      <c r="W44" s="4" t="n">
        <v>5</v>
      </c>
      <c r="X44" s="4" t="n">
        <v>2</v>
      </c>
      <c r="Y44" s="4" t="n">
        <v>2</v>
      </c>
      <c r="Z44" s="4" t="n">
        <v>4</v>
      </c>
      <c r="AA44" s="4" t="n">
        <v>13</v>
      </c>
      <c r="AB44" s="4" t="n">
        <v>0</v>
      </c>
      <c r="AC44" s="4" t="n">
        <v>3</v>
      </c>
      <c r="AD44" s="4" t="n">
        <v>0</v>
      </c>
      <c r="AE44" s="8" t="n">
        <f aca="false">COUNTIF(F44:AD44,"&lt;=0")</f>
        <v>2</v>
      </c>
    </row>
    <row r="45" customFormat="false" ht="15" hidden="false" customHeight="false" outlineLevel="0" collapsed="false">
      <c r="A45" s="8" t="s">
        <v>68</v>
      </c>
      <c r="B45" s="8" t="s">
        <v>25</v>
      </c>
      <c r="C45" s="8" t="n">
        <v>110640</v>
      </c>
      <c r="D45" s="8" t="s">
        <v>442</v>
      </c>
      <c r="E45" s="4" t="n">
        <v>30</v>
      </c>
      <c r="F45" s="4" t="n">
        <v>5</v>
      </c>
      <c r="G45" s="4" t="n">
        <v>4</v>
      </c>
      <c r="H45" s="4" t="n">
        <v>4</v>
      </c>
      <c r="I45" s="4" t="n">
        <v>5</v>
      </c>
      <c r="J45" s="4" t="n">
        <v>3</v>
      </c>
      <c r="K45" s="4" t="n">
        <v>5</v>
      </c>
      <c r="L45" s="4" t="n">
        <v>5</v>
      </c>
      <c r="M45" s="4" t="n">
        <v>3</v>
      </c>
      <c r="N45" s="4" t="n">
        <v>5</v>
      </c>
      <c r="O45" s="4" t="n">
        <v>5</v>
      </c>
      <c r="P45" s="4" t="n">
        <v>5</v>
      </c>
      <c r="Q45" s="4" t="n">
        <v>3</v>
      </c>
      <c r="R45" s="4" t="n">
        <v>4</v>
      </c>
      <c r="S45" s="4" t="n">
        <v>4</v>
      </c>
      <c r="T45" s="4" t="n">
        <v>4</v>
      </c>
      <c r="U45" s="4" t="n">
        <v>1</v>
      </c>
      <c r="V45" s="4" t="n">
        <v>2</v>
      </c>
      <c r="W45" s="4" t="n">
        <v>5</v>
      </c>
      <c r="X45" s="4" t="n">
        <v>5</v>
      </c>
      <c r="Y45" s="4" t="n">
        <v>4</v>
      </c>
      <c r="Z45" s="4" t="n">
        <v>2</v>
      </c>
      <c r="AA45" s="4" t="n">
        <v>6</v>
      </c>
      <c r="AB45" s="4" t="n">
        <v>0</v>
      </c>
      <c r="AC45" s="4" t="n">
        <v>4</v>
      </c>
      <c r="AD45" s="4" t="n">
        <v>0</v>
      </c>
      <c r="AE45" s="8" t="n">
        <f aca="false">COUNTIF(F45:AD45,"&lt;=0")</f>
        <v>2</v>
      </c>
    </row>
    <row r="46" customFormat="false" ht="15" hidden="false" customHeight="false" outlineLevel="0" collapsed="false">
      <c r="A46" s="8" t="s">
        <v>68</v>
      </c>
      <c r="B46" s="8" t="s">
        <v>25</v>
      </c>
      <c r="C46" s="8" t="n">
        <v>110800</v>
      </c>
      <c r="D46" s="8" t="s">
        <v>519</v>
      </c>
      <c r="E46" s="4" t="n">
        <v>0</v>
      </c>
      <c r="F46" s="4" t="n">
        <v>5</v>
      </c>
      <c r="G46" s="4" t="n">
        <v>4</v>
      </c>
      <c r="H46" s="4" t="n">
        <v>6</v>
      </c>
      <c r="I46" s="4" t="n">
        <v>6</v>
      </c>
      <c r="J46" s="4" t="n">
        <v>5</v>
      </c>
      <c r="K46" s="4" t="n">
        <v>8</v>
      </c>
      <c r="L46" s="4" t="n">
        <v>5</v>
      </c>
      <c r="M46" s="4" t="n">
        <v>4</v>
      </c>
      <c r="N46" s="4" t="n">
        <v>6</v>
      </c>
      <c r="O46" s="4" t="n">
        <v>5</v>
      </c>
      <c r="P46" s="4" t="n">
        <v>5</v>
      </c>
      <c r="Q46" s="4" t="n">
        <v>3</v>
      </c>
      <c r="R46" s="4" t="n">
        <v>5</v>
      </c>
      <c r="S46" s="4" t="n">
        <v>2</v>
      </c>
      <c r="T46" s="4" t="n">
        <v>4</v>
      </c>
      <c r="U46" s="4" t="n">
        <v>6</v>
      </c>
      <c r="V46" s="4" t="n">
        <v>4</v>
      </c>
      <c r="W46" s="4" t="n">
        <v>4</v>
      </c>
      <c r="X46" s="4" t="n">
        <v>4</v>
      </c>
      <c r="Y46" s="4" t="n">
        <v>4</v>
      </c>
      <c r="Z46" s="4" t="n">
        <v>5</v>
      </c>
      <c r="AA46" s="4" t="n">
        <v>2</v>
      </c>
      <c r="AB46" s="4" t="n">
        <v>0</v>
      </c>
      <c r="AC46" s="4" t="n">
        <v>4</v>
      </c>
      <c r="AD46" s="4" t="n">
        <v>0</v>
      </c>
      <c r="AE46" s="8" t="n">
        <f aca="false">COUNTIF(F46:AD46,"&lt;=0")</f>
        <v>2</v>
      </c>
    </row>
    <row r="47" customFormat="false" ht="15" hidden="false" customHeight="false" outlineLevel="0" collapsed="false">
      <c r="A47" s="8" t="s">
        <v>68</v>
      </c>
      <c r="B47" s="8" t="s">
        <v>25</v>
      </c>
      <c r="C47" s="8" t="n">
        <v>110802</v>
      </c>
      <c r="D47" s="8" t="s">
        <v>520</v>
      </c>
      <c r="E47" s="4" t="n">
        <v>0</v>
      </c>
      <c r="F47" s="4" t="n">
        <v>6</v>
      </c>
      <c r="G47" s="4" t="n">
        <v>4</v>
      </c>
      <c r="H47" s="4" t="n">
        <v>6</v>
      </c>
      <c r="I47" s="4" t="n">
        <v>6</v>
      </c>
      <c r="J47" s="4" t="n">
        <v>6</v>
      </c>
      <c r="K47" s="4" t="n">
        <v>8</v>
      </c>
      <c r="L47" s="4" t="n">
        <v>2</v>
      </c>
      <c r="M47" s="4" t="n">
        <v>6</v>
      </c>
      <c r="N47" s="4" t="n">
        <v>5</v>
      </c>
      <c r="O47" s="4" t="n">
        <v>5</v>
      </c>
      <c r="P47" s="4" t="n">
        <v>6</v>
      </c>
      <c r="Q47" s="4" t="n">
        <v>6</v>
      </c>
      <c r="R47" s="4" t="n">
        <v>5</v>
      </c>
      <c r="S47" s="4" t="n">
        <v>5</v>
      </c>
      <c r="T47" s="4" t="n">
        <v>3</v>
      </c>
      <c r="U47" s="4" t="n">
        <v>5</v>
      </c>
      <c r="V47" s="4" t="n">
        <v>6</v>
      </c>
      <c r="W47" s="4" t="n">
        <v>3</v>
      </c>
      <c r="X47" s="4" t="n">
        <v>3</v>
      </c>
      <c r="Y47" s="4" t="n">
        <v>3</v>
      </c>
      <c r="Z47" s="4" t="n">
        <v>4</v>
      </c>
      <c r="AA47" s="4" t="n">
        <v>2</v>
      </c>
      <c r="AB47" s="4" t="n">
        <v>0</v>
      </c>
      <c r="AC47" s="4" t="n">
        <v>0</v>
      </c>
      <c r="AD47" s="4" t="n">
        <v>0</v>
      </c>
      <c r="AE47" s="8" t="n">
        <f aca="false">COUNTIF(F47:AD47,"&lt;=0")</f>
        <v>3</v>
      </c>
    </row>
    <row r="48" customFormat="false" ht="15" hidden="false" customHeight="false" outlineLevel="0" collapsed="false">
      <c r="A48" s="8" t="s">
        <v>68</v>
      </c>
      <c r="B48" s="8" t="s">
        <v>25</v>
      </c>
      <c r="C48" s="8" t="n">
        <v>110803</v>
      </c>
      <c r="D48" s="8" t="s">
        <v>521</v>
      </c>
      <c r="E48" s="4" t="n">
        <v>0</v>
      </c>
      <c r="F48" s="4" t="n">
        <v>5</v>
      </c>
      <c r="G48" s="4" t="n">
        <v>4</v>
      </c>
      <c r="H48" s="4" t="n">
        <v>5</v>
      </c>
      <c r="I48" s="4" t="n">
        <v>6</v>
      </c>
      <c r="J48" s="4" t="n">
        <v>3</v>
      </c>
      <c r="K48" s="4" t="n">
        <v>8</v>
      </c>
      <c r="L48" s="4" t="n">
        <v>6</v>
      </c>
      <c r="M48" s="4" t="n">
        <v>6</v>
      </c>
      <c r="N48" s="4" t="n">
        <v>5</v>
      </c>
      <c r="O48" s="4" t="n">
        <v>3</v>
      </c>
      <c r="P48" s="4" t="n">
        <v>5</v>
      </c>
      <c r="Q48" s="4" t="n">
        <v>3</v>
      </c>
      <c r="R48" s="4" t="n">
        <v>4</v>
      </c>
      <c r="S48" s="4" t="n">
        <v>5</v>
      </c>
      <c r="T48" s="4" t="n">
        <v>3</v>
      </c>
      <c r="U48" s="4" t="n">
        <v>6</v>
      </c>
      <c r="V48" s="4" t="n">
        <v>6</v>
      </c>
      <c r="W48" s="4" t="n">
        <v>3</v>
      </c>
      <c r="X48" s="4" t="n">
        <v>4</v>
      </c>
      <c r="Y48" s="4" t="n">
        <v>3</v>
      </c>
      <c r="Z48" s="4" t="n">
        <v>3</v>
      </c>
      <c r="AA48" s="4" t="n">
        <v>3</v>
      </c>
      <c r="AB48" s="4" t="n">
        <v>0</v>
      </c>
      <c r="AC48" s="4" t="n">
        <v>5</v>
      </c>
      <c r="AD48" s="4" t="n">
        <v>0</v>
      </c>
      <c r="AE48" s="8" t="n">
        <f aca="false">COUNTIF(F48:AD48,"&lt;=0")</f>
        <v>2</v>
      </c>
    </row>
    <row r="49" customFormat="false" ht="15" hidden="false" customHeight="false" outlineLevel="0" collapsed="false">
      <c r="A49" s="8" t="s">
        <v>68</v>
      </c>
      <c r="B49" s="8" t="s">
        <v>25</v>
      </c>
      <c r="C49" s="8" t="n">
        <v>110804</v>
      </c>
      <c r="D49" s="8" t="s">
        <v>522</v>
      </c>
      <c r="E49" s="4" t="n">
        <v>0</v>
      </c>
      <c r="F49" s="4" t="n">
        <v>5</v>
      </c>
      <c r="G49" s="4" t="n">
        <v>5</v>
      </c>
      <c r="H49" s="4" t="n">
        <v>5</v>
      </c>
      <c r="I49" s="4" t="n">
        <v>4</v>
      </c>
      <c r="J49" s="4" t="n">
        <v>5</v>
      </c>
      <c r="K49" s="4" t="n">
        <v>6</v>
      </c>
      <c r="L49" s="4" t="n">
        <v>4</v>
      </c>
      <c r="M49" s="4" t="n">
        <v>4</v>
      </c>
      <c r="N49" s="4" t="n">
        <v>4</v>
      </c>
      <c r="O49" s="4" t="n">
        <v>4</v>
      </c>
      <c r="P49" s="4" t="n">
        <v>6</v>
      </c>
      <c r="Q49" s="4" t="n">
        <v>5</v>
      </c>
      <c r="R49" s="4" t="n">
        <v>4</v>
      </c>
      <c r="S49" s="4" t="n">
        <v>4</v>
      </c>
      <c r="T49" s="4" t="n">
        <v>5</v>
      </c>
      <c r="U49" s="4" t="n">
        <v>5</v>
      </c>
      <c r="V49" s="4" t="n">
        <v>5</v>
      </c>
      <c r="W49" s="4" t="n">
        <v>5</v>
      </c>
      <c r="X49" s="4" t="n">
        <v>5</v>
      </c>
      <c r="Y49" s="4" t="n">
        <v>4</v>
      </c>
      <c r="Z49" s="4" t="n">
        <v>2</v>
      </c>
      <c r="AA49" s="4" t="n">
        <v>6</v>
      </c>
      <c r="AB49" s="4" t="n">
        <v>0</v>
      </c>
      <c r="AC49" s="4" t="n">
        <v>4</v>
      </c>
      <c r="AD49" s="4" t="n">
        <v>0</v>
      </c>
      <c r="AE49" s="8" t="n">
        <f aca="false">COUNTIF(F49:AD49,"&lt;=0")</f>
        <v>2</v>
      </c>
    </row>
    <row r="50" customFormat="false" ht="15" hidden="false" customHeight="false" outlineLevel="0" collapsed="false">
      <c r="A50" s="8" t="s">
        <v>68</v>
      </c>
      <c r="B50" s="8" t="s">
        <v>25</v>
      </c>
      <c r="C50" s="8" t="n">
        <v>110805</v>
      </c>
      <c r="D50" s="8" t="s">
        <v>523</v>
      </c>
      <c r="E50" s="4" t="n">
        <v>0</v>
      </c>
      <c r="F50" s="4" t="n">
        <v>6</v>
      </c>
      <c r="G50" s="4" t="n">
        <v>6</v>
      </c>
      <c r="H50" s="4" t="n">
        <v>6</v>
      </c>
      <c r="I50" s="4" t="n">
        <v>5</v>
      </c>
      <c r="J50" s="4" t="n">
        <v>5</v>
      </c>
      <c r="K50" s="4" t="n">
        <v>7</v>
      </c>
      <c r="L50" s="4" t="n">
        <v>5</v>
      </c>
      <c r="M50" s="4" t="n">
        <v>4</v>
      </c>
      <c r="N50" s="4" t="n">
        <v>4</v>
      </c>
      <c r="O50" s="4" t="n">
        <v>7</v>
      </c>
      <c r="P50" s="4" t="n">
        <v>4</v>
      </c>
      <c r="Q50" s="4" t="n">
        <v>3</v>
      </c>
      <c r="R50" s="4" t="n">
        <v>6</v>
      </c>
      <c r="S50" s="4" t="n">
        <v>5</v>
      </c>
      <c r="T50" s="4" t="n">
        <v>3</v>
      </c>
      <c r="U50" s="4" t="n">
        <v>6</v>
      </c>
      <c r="V50" s="4" t="n">
        <v>4</v>
      </c>
      <c r="W50" s="4" t="n">
        <v>3</v>
      </c>
      <c r="X50" s="4" t="n">
        <v>4</v>
      </c>
      <c r="Y50" s="4" t="n">
        <v>3</v>
      </c>
      <c r="Z50" s="4" t="n">
        <v>3</v>
      </c>
      <c r="AA50" s="4" t="n">
        <v>2</v>
      </c>
      <c r="AB50" s="4" t="n">
        <v>0</v>
      </c>
      <c r="AC50" s="4" t="n">
        <v>4</v>
      </c>
      <c r="AD50" s="4" t="n">
        <v>0</v>
      </c>
      <c r="AE50" s="8" t="n">
        <f aca="false">COUNTIF(F50:AD50,"&lt;=0")</f>
        <v>2</v>
      </c>
    </row>
    <row r="51" customFormat="false" ht="15" hidden="false" customHeight="false" outlineLevel="0" collapsed="false">
      <c r="A51" s="8" t="s">
        <v>68</v>
      </c>
      <c r="B51" s="8" t="s">
        <v>25</v>
      </c>
      <c r="C51" s="8" t="n">
        <v>110807</v>
      </c>
      <c r="D51" s="8" t="s">
        <v>524</v>
      </c>
      <c r="E51" s="4" t="n">
        <v>0</v>
      </c>
      <c r="F51" s="4" t="n">
        <v>5</v>
      </c>
      <c r="G51" s="4" t="n">
        <v>6</v>
      </c>
      <c r="H51" s="4" t="n">
        <v>4</v>
      </c>
      <c r="I51" s="4" t="n">
        <v>5</v>
      </c>
      <c r="J51" s="4" t="n">
        <v>4</v>
      </c>
      <c r="K51" s="4" t="n">
        <v>6</v>
      </c>
      <c r="L51" s="4" t="n">
        <v>7</v>
      </c>
      <c r="M51" s="4" t="n">
        <v>6</v>
      </c>
      <c r="N51" s="4" t="n">
        <v>6</v>
      </c>
      <c r="O51" s="4" t="n">
        <v>4</v>
      </c>
      <c r="P51" s="4" t="n">
        <v>4</v>
      </c>
      <c r="Q51" s="4" t="n">
        <v>3</v>
      </c>
      <c r="R51" s="4" t="n">
        <v>6</v>
      </c>
      <c r="S51" s="4" t="n">
        <v>6</v>
      </c>
      <c r="T51" s="4" t="n">
        <v>4</v>
      </c>
      <c r="U51" s="4" t="n">
        <v>5</v>
      </c>
      <c r="V51" s="4" t="n">
        <v>4</v>
      </c>
      <c r="W51" s="4" t="n">
        <v>3</v>
      </c>
      <c r="X51" s="4" t="n">
        <v>4</v>
      </c>
      <c r="Y51" s="4" t="n">
        <v>4</v>
      </c>
      <c r="Z51" s="4" t="n">
        <v>5</v>
      </c>
      <c r="AA51" s="4" t="n">
        <v>6</v>
      </c>
      <c r="AB51" s="4" t="n">
        <v>0</v>
      </c>
      <c r="AC51" s="4" t="n">
        <v>5</v>
      </c>
      <c r="AD51" s="4" t="n">
        <v>0</v>
      </c>
      <c r="AE51" s="8" t="n">
        <f aca="false">COUNTIF(F51:AD51,"&lt;=0")</f>
        <v>2</v>
      </c>
    </row>
    <row r="52" customFormat="false" ht="15" hidden="false" customHeight="false" outlineLevel="0" collapsed="false">
      <c r="A52" s="8" t="s">
        <v>68</v>
      </c>
      <c r="B52" s="8" t="s">
        <v>25</v>
      </c>
      <c r="C52" s="8" t="n">
        <v>110808</v>
      </c>
      <c r="D52" s="8" t="s">
        <v>525</v>
      </c>
      <c r="E52" s="4" t="n">
        <v>0</v>
      </c>
      <c r="F52" s="4" t="n">
        <v>0</v>
      </c>
      <c r="G52" s="4" t="n">
        <v>4</v>
      </c>
      <c r="H52" s="4" t="n">
        <v>6</v>
      </c>
      <c r="I52" s="4" t="n">
        <v>8</v>
      </c>
      <c r="J52" s="4" t="n">
        <v>7</v>
      </c>
      <c r="K52" s="4" t="n">
        <v>8</v>
      </c>
      <c r="L52" s="4" t="n">
        <v>3</v>
      </c>
      <c r="M52" s="4" t="n">
        <v>3</v>
      </c>
      <c r="N52" s="4" t="n">
        <v>3</v>
      </c>
      <c r="O52" s="4" t="n">
        <v>4</v>
      </c>
      <c r="P52" s="4" t="n">
        <v>4</v>
      </c>
      <c r="Q52" s="4" t="n">
        <v>4</v>
      </c>
      <c r="R52" s="4" t="n">
        <v>4</v>
      </c>
      <c r="S52" s="4" t="n">
        <v>3</v>
      </c>
      <c r="T52" s="4" t="n">
        <v>3</v>
      </c>
      <c r="U52" s="4" t="n">
        <v>6</v>
      </c>
      <c r="V52" s="4" t="n">
        <v>3</v>
      </c>
      <c r="W52" s="4" t="n">
        <v>4</v>
      </c>
      <c r="X52" s="4" t="n">
        <v>7</v>
      </c>
      <c r="Y52" s="4" t="n">
        <v>1</v>
      </c>
      <c r="Z52" s="4" t="n">
        <v>2</v>
      </c>
      <c r="AA52" s="4" t="n">
        <v>6</v>
      </c>
      <c r="AB52" s="4" t="n">
        <v>0</v>
      </c>
      <c r="AC52" s="4" t="n">
        <v>3</v>
      </c>
      <c r="AD52" s="4" t="n">
        <v>0</v>
      </c>
      <c r="AE52" s="8" t="n">
        <f aca="false">COUNTIF(F52:AD52,"&lt;=0")</f>
        <v>3</v>
      </c>
    </row>
    <row r="53" customFormat="false" ht="15" hidden="false" customHeight="false" outlineLevel="0" collapsed="false">
      <c r="A53" s="8" t="s">
        <v>68</v>
      </c>
      <c r="B53" s="8" t="s">
        <v>25</v>
      </c>
      <c r="C53" s="8" t="n">
        <v>110809</v>
      </c>
      <c r="D53" s="8" t="s">
        <v>526</v>
      </c>
      <c r="E53" s="4" t="n">
        <v>0</v>
      </c>
      <c r="F53" s="4" t="n">
        <v>3</v>
      </c>
      <c r="G53" s="4" t="n">
        <v>5</v>
      </c>
      <c r="H53" s="4" t="n">
        <v>3</v>
      </c>
      <c r="I53" s="4" t="n">
        <v>4</v>
      </c>
      <c r="J53" s="4" t="n">
        <v>1</v>
      </c>
      <c r="K53" s="4" t="n">
        <v>4</v>
      </c>
      <c r="L53" s="4" t="n">
        <v>3</v>
      </c>
      <c r="M53" s="4" t="n">
        <v>3</v>
      </c>
      <c r="N53" s="4" t="n">
        <v>0</v>
      </c>
      <c r="O53" s="4" t="n">
        <v>9</v>
      </c>
      <c r="P53" s="4" t="n">
        <v>3</v>
      </c>
      <c r="Q53" s="4" t="n">
        <v>3</v>
      </c>
      <c r="R53" s="4" t="n">
        <v>3</v>
      </c>
      <c r="S53" s="4" t="n">
        <v>0</v>
      </c>
      <c r="T53" s="4" t="n">
        <v>3</v>
      </c>
      <c r="U53" s="4" t="n">
        <v>3</v>
      </c>
      <c r="V53" s="4" t="n">
        <v>3</v>
      </c>
      <c r="W53" s="4" t="n">
        <v>0</v>
      </c>
      <c r="X53" s="4" t="n">
        <v>0</v>
      </c>
      <c r="Y53" s="4" t="n">
        <v>2</v>
      </c>
      <c r="Z53" s="4" t="n">
        <v>3</v>
      </c>
      <c r="AA53" s="4" t="n">
        <v>1</v>
      </c>
      <c r="AB53" s="4" t="n">
        <v>0</v>
      </c>
      <c r="AC53" s="4" t="n">
        <v>5</v>
      </c>
      <c r="AD53" s="4" t="n">
        <v>0</v>
      </c>
      <c r="AE53" s="8" t="n">
        <f aca="false">COUNTIF(F53:AD53,"&lt;=0")</f>
        <v>6</v>
      </c>
    </row>
    <row r="54" customFormat="false" ht="15" hidden="false" customHeight="false" outlineLevel="0" collapsed="false">
      <c r="A54" s="8" t="s">
        <v>68</v>
      </c>
      <c r="B54" s="8" t="s">
        <v>25</v>
      </c>
      <c r="C54" s="8" t="n">
        <v>110810</v>
      </c>
      <c r="D54" s="8" t="s">
        <v>527</v>
      </c>
      <c r="E54" s="4" t="n">
        <v>0</v>
      </c>
      <c r="F54" s="4" t="n">
        <v>0</v>
      </c>
      <c r="G54" s="4" t="n">
        <v>1</v>
      </c>
      <c r="H54" s="4" t="n">
        <v>3</v>
      </c>
      <c r="I54" s="4" t="n">
        <v>7</v>
      </c>
      <c r="J54" s="4" t="n">
        <v>1</v>
      </c>
      <c r="K54" s="4" t="n">
        <v>2</v>
      </c>
      <c r="L54" s="4" t="n">
        <v>2</v>
      </c>
      <c r="M54" s="4" t="n">
        <v>1</v>
      </c>
      <c r="N54" s="4" t="n">
        <v>2</v>
      </c>
      <c r="O54" s="4" t="n">
        <v>3</v>
      </c>
      <c r="P54" s="4" t="n">
        <v>1</v>
      </c>
      <c r="Q54" s="4" t="n">
        <v>4</v>
      </c>
      <c r="R54" s="4" t="n">
        <v>3</v>
      </c>
      <c r="S54" s="4" t="n">
        <v>2</v>
      </c>
      <c r="T54" s="4" t="n">
        <v>0</v>
      </c>
      <c r="U54" s="4" t="n">
        <v>3</v>
      </c>
      <c r="V54" s="4" t="n">
        <v>5</v>
      </c>
      <c r="W54" s="4" t="n">
        <v>0</v>
      </c>
      <c r="X54" s="4" t="n">
        <v>3</v>
      </c>
      <c r="Y54" s="4" t="n">
        <v>4</v>
      </c>
      <c r="Z54" s="4" t="n">
        <v>4</v>
      </c>
      <c r="AA54" s="4" t="n">
        <v>0</v>
      </c>
      <c r="AB54" s="4" t="n">
        <v>0</v>
      </c>
      <c r="AC54" s="4" t="n">
        <v>3</v>
      </c>
      <c r="AD54" s="4" t="n">
        <v>0</v>
      </c>
      <c r="AE54" s="8" t="n">
        <f aca="false">COUNTIF(F54:AD54,"&lt;=0")</f>
        <v>6</v>
      </c>
    </row>
    <row r="55" customFormat="false" ht="15" hidden="false" customHeight="false" outlineLevel="0" collapsed="false">
      <c r="A55" s="8" t="s">
        <v>68</v>
      </c>
      <c r="B55" s="8" t="s">
        <v>25</v>
      </c>
      <c r="C55" s="8" t="n">
        <v>110811</v>
      </c>
      <c r="D55" s="8" t="s">
        <v>457</v>
      </c>
      <c r="E55" s="4" t="n">
        <v>9</v>
      </c>
      <c r="F55" s="4" t="n">
        <v>6</v>
      </c>
      <c r="G55" s="4" t="n">
        <v>6</v>
      </c>
      <c r="H55" s="4" t="n">
        <v>4</v>
      </c>
      <c r="I55" s="4" t="n">
        <v>5</v>
      </c>
      <c r="J55" s="4" t="n">
        <v>4</v>
      </c>
      <c r="K55" s="4" t="n">
        <v>4</v>
      </c>
      <c r="L55" s="4" t="n">
        <v>6</v>
      </c>
      <c r="M55" s="4" t="n">
        <v>5</v>
      </c>
      <c r="N55" s="4" t="n">
        <v>5</v>
      </c>
      <c r="O55" s="4" t="n">
        <v>4</v>
      </c>
      <c r="P55" s="4" t="n">
        <v>5</v>
      </c>
      <c r="Q55" s="4" t="n">
        <v>6</v>
      </c>
      <c r="R55" s="4" t="n">
        <v>4</v>
      </c>
      <c r="S55" s="4" t="n">
        <v>6</v>
      </c>
      <c r="T55" s="4" t="n">
        <v>6</v>
      </c>
      <c r="U55" s="4" t="n">
        <v>4</v>
      </c>
      <c r="V55" s="4" t="n">
        <v>4</v>
      </c>
      <c r="W55" s="4" t="n">
        <v>4</v>
      </c>
      <c r="X55" s="4" t="n">
        <v>5</v>
      </c>
      <c r="Y55" s="4" t="n">
        <v>4</v>
      </c>
      <c r="Z55" s="4" t="n">
        <v>6</v>
      </c>
      <c r="AA55" s="4" t="n">
        <v>5</v>
      </c>
      <c r="AB55" s="4" t="n">
        <v>0</v>
      </c>
      <c r="AC55" s="4" t="n">
        <v>5</v>
      </c>
      <c r="AD55" s="4" t="n">
        <v>0</v>
      </c>
      <c r="AE55" s="8" t="n">
        <f aca="false">COUNTIF(F55:AD55,"&lt;=0")</f>
        <v>2</v>
      </c>
    </row>
    <row r="56" customFormat="false" ht="15" hidden="false" customHeight="false" outlineLevel="0" collapsed="false">
      <c r="A56" s="8" t="s">
        <v>68</v>
      </c>
      <c r="B56" s="8" t="s">
        <v>25</v>
      </c>
      <c r="C56" s="8" t="n">
        <v>30107</v>
      </c>
      <c r="D56" s="8" t="s">
        <v>528</v>
      </c>
      <c r="E56" s="4" t="n">
        <v>0</v>
      </c>
      <c r="F56" s="4" t="n">
        <v>5</v>
      </c>
      <c r="G56" s="4" t="n">
        <v>3</v>
      </c>
      <c r="H56" s="4" t="n">
        <v>5</v>
      </c>
      <c r="I56" s="4" t="n">
        <v>12</v>
      </c>
      <c r="J56" s="4" t="n">
        <v>4</v>
      </c>
      <c r="K56" s="4" t="n">
        <v>3</v>
      </c>
      <c r="L56" s="4" t="n">
        <v>7</v>
      </c>
      <c r="M56" s="4" t="n">
        <v>4</v>
      </c>
      <c r="N56" s="4" t="n">
        <v>7</v>
      </c>
      <c r="O56" s="4" t="n">
        <v>3</v>
      </c>
      <c r="P56" s="4" t="n">
        <v>5</v>
      </c>
      <c r="Q56" s="4" t="n">
        <v>3</v>
      </c>
      <c r="R56" s="4" t="n">
        <v>2</v>
      </c>
      <c r="S56" s="4" t="n">
        <v>3</v>
      </c>
      <c r="T56" s="4" t="n">
        <v>4</v>
      </c>
      <c r="U56" s="4" t="n">
        <v>8</v>
      </c>
      <c r="V56" s="4" t="n">
        <v>2</v>
      </c>
      <c r="W56" s="4" t="n">
        <v>4</v>
      </c>
      <c r="X56" s="4" t="n">
        <v>3</v>
      </c>
      <c r="Y56" s="4" t="n">
        <v>2</v>
      </c>
      <c r="Z56" s="4" t="n">
        <v>2</v>
      </c>
      <c r="AA56" s="4" t="n">
        <v>3</v>
      </c>
      <c r="AB56" s="4" t="n">
        <v>0</v>
      </c>
      <c r="AC56" s="4" t="n">
        <v>5</v>
      </c>
      <c r="AD56" s="4" t="n">
        <v>0</v>
      </c>
      <c r="AE56" s="8" t="n">
        <f aca="false">COUNTIF(F56:AD56,"&lt;=0")</f>
        <v>2</v>
      </c>
    </row>
    <row r="57" customFormat="false" ht="15" hidden="false" customHeight="false" outlineLevel="0" collapsed="false">
      <c r="A57" s="8" t="s">
        <v>68</v>
      </c>
      <c r="B57" s="8" t="s">
        <v>25</v>
      </c>
      <c r="C57" s="8" t="n">
        <v>30024</v>
      </c>
      <c r="D57" s="8" t="s">
        <v>387</v>
      </c>
      <c r="E57" s="4" t="n">
        <v>83</v>
      </c>
      <c r="F57" s="4" t="n">
        <v>0</v>
      </c>
      <c r="G57" s="4" t="n">
        <v>8</v>
      </c>
      <c r="H57" s="4" t="n">
        <v>6</v>
      </c>
      <c r="I57" s="4" t="n">
        <v>6</v>
      </c>
      <c r="J57" s="4" t="n">
        <v>6</v>
      </c>
      <c r="K57" s="4" t="n">
        <v>7</v>
      </c>
      <c r="L57" s="4" t="n">
        <v>10</v>
      </c>
      <c r="M57" s="4" t="n">
        <v>6</v>
      </c>
      <c r="N57" s="4" t="n">
        <v>3</v>
      </c>
      <c r="O57" s="4" t="n">
        <v>6</v>
      </c>
      <c r="P57" s="4" t="n">
        <v>12</v>
      </c>
      <c r="Q57" s="4" t="n">
        <v>21</v>
      </c>
      <c r="R57" s="4" t="n">
        <v>13</v>
      </c>
      <c r="S57" s="4" t="n">
        <v>31</v>
      </c>
      <c r="T57" s="4" t="n">
        <v>14</v>
      </c>
      <c r="U57" s="4" t="n">
        <v>7</v>
      </c>
      <c r="V57" s="4" t="n">
        <v>7</v>
      </c>
      <c r="W57" s="4" t="n">
        <v>19</v>
      </c>
      <c r="X57" s="4" t="n">
        <v>14</v>
      </c>
      <c r="Y57" s="4" t="n">
        <v>8</v>
      </c>
      <c r="Z57" s="4" t="n">
        <v>10</v>
      </c>
      <c r="AA57" s="4" t="n">
        <v>6</v>
      </c>
      <c r="AB57" s="4" t="n">
        <v>0</v>
      </c>
      <c r="AC57" s="4" t="n">
        <v>6</v>
      </c>
      <c r="AD57" s="4" t="n">
        <v>0</v>
      </c>
      <c r="AE57" s="8" t="n">
        <f aca="false">COUNTIF(F57:AD57,"&lt;=0")</f>
        <v>3</v>
      </c>
    </row>
    <row r="58" customFormat="false" ht="15" hidden="false" customHeight="false" outlineLevel="0" collapsed="false">
      <c r="A58" s="8" t="s">
        <v>68</v>
      </c>
      <c r="B58" s="8" t="s">
        <v>25</v>
      </c>
      <c r="C58" s="8" t="n">
        <v>30025</v>
      </c>
      <c r="D58" s="8" t="s">
        <v>440</v>
      </c>
      <c r="E58" s="4" t="n">
        <v>72</v>
      </c>
      <c r="F58" s="4" t="n">
        <v>0</v>
      </c>
      <c r="G58" s="4" t="n">
        <v>6</v>
      </c>
      <c r="H58" s="4" t="n">
        <v>8</v>
      </c>
      <c r="I58" s="4" t="n">
        <v>7</v>
      </c>
      <c r="J58" s="4" t="n">
        <v>12</v>
      </c>
      <c r="K58" s="4" t="n">
        <v>15</v>
      </c>
      <c r="L58" s="4" t="n">
        <v>4</v>
      </c>
      <c r="M58" s="4" t="n">
        <v>10</v>
      </c>
      <c r="N58" s="4" t="n">
        <v>7</v>
      </c>
      <c r="O58" s="4" t="n">
        <v>4</v>
      </c>
      <c r="P58" s="4" t="n">
        <v>1</v>
      </c>
      <c r="Q58" s="4" t="n">
        <v>12</v>
      </c>
      <c r="R58" s="4" t="n">
        <v>5</v>
      </c>
      <c r="S58" s="4" t="n">
        <v>10</v>
      </c>
      <c r="T58" s="4" t="n">
        <v>18</v>
      </c>
      <c r="U58" s="4" t="n">
        <v>6</v>
      </c>
      <c r="V58" s="4" t="n">
        <v>9</v>
      </c>
      <c r="W58" s="4" t="n">
        <v>13</v>
      </c>
      <c r="X58" s="4" t="n">
        <v>6</v>
      </c>
      <c r="Y58" s="4" t="n">
        <v>10</v>
      </c>
      <c r="Z58" s="4" t="n">
        <v>7</v>
      </c>
      <c r="AA58" s="4" t="n">
        <v>8</v>
      </c>
      <c r="AB58" s="4" t="n">
        <v>0</v>
      </c>
      <c r="AC58" s="4" t="n">
        <v>2</v>
      </c>
      <c r="AD58" s="4" t="n">
        <v>3</v>
      </c>
      <c r="AE58" s="8" t="n">
        <f aca="false">COUNTIF(F58:AD58,"&lt;=0")</f>
        <v>2</v>
      </c>
    </row>
    <row r="59" customFormat="false" ht="15" hidden="false" customHeight="false" outlineLevel="0" collapsed="false">
      <c r="A59" s="8" t="s">
        <v>68</v>
      </c>
      <c r="B59" s="8" t="s">
        <v>25</v>
      </c>
      <c r="C59" s="8" t="n">
        <v>30026</v>
      </c>
      <c r="D59" s="8" t="s">
        <v>529</v>
      </c>
      <c r="E59" s="4" t="n">
        <v>0</v>
      </c>
      <c r="F59" s="4" t="n">
        <v>0</v>
      </c>
      <c r="G59" s="4" t="n">
        <v>7</v>
      </c>
      <c r="H59" s="4" t="n">
        <v>7</v>
      </c>
      <c r="I59" s="4" t="n">
        <v>8</v>
      </c>
      <c r="J59" s="4" t="n">
        <v>7</v>
      </c>
      <c r="K59" s="4" t="n">
        <v>4</v>
      </c>
      <c r="L59" s="4" t="n">
        <v>2</v>
      </c>
      <c r="M59" s="4" t="n">
        <v>2</v>
      </c>
      <c r="N59" s="4" t="n">
        <v>5</v>
      </c>
      <c r="O59" s="4" t="n">
        <v>4</v>
      </c>
      <c r="P59" s="4" t="n">
        <v>1</v>
      </c>
      <c r="Q59" s="4" t="n">
        <v>11</v>
      </c>
      <c r="R59" s="4" t="n">
        <v>5</v>
      </c>
      <c r="S59" s="4" t="n">
        <v>21</v>
      </c>
      <c r="T59" s="4" t="n">
        <v>12</v>
      </c>
      <c r="U59" s="4" t="n">
        <v>5</v>
      </c>
      <c r="V59" s="4" t="n">
        <v>8</v>
      </c>
      <c r="W59" s="4" t="n">
        <v>17</v>
      </c>
      <c r="X59" s="4" t="n">
        <v>3</v>
      </c>
      <c r="Y59" s="4" t="n">
        <v>1</v>
      </c>
      <c r="Z59" s="4" t="n">
        <v>4</v>
      </c>
      <c r="AA59" s="4" t="n">
        <v>11</v>
      </c>
      <c r="AB59" s="4" t="n">
        <v>0</v>
      </c>
      <c r="AC59" s="4" t="n">
        <v>3</v>
      </c>
      <c r="AD59" s="4" t="n">
        <v>0</v>
      </c>
      <c r="AE59" s="8" t="n">
        <f aca="false">COUNTIF(F59:AD59,"&lt;=0")</f>
        <v>3</v>
      </c>
    </row>
    <row r="60" customFormat="false" ht="15" hidden="false" customHeight="false" outlineLevel="0" collapsed="false">
      <c r="A60" s="8" t="s">
        <v>68</v>
      </c>
      <c r="B60" s="8" t="s">
        <v>25</v>
      </c>
      <c r="C60" s="8" t="n">
        <v>30027</v>
      </c>
      <c r="D60" s="8" t="s">
        <v>388</v>
      </c>
      <c r="E60" s="4" t="n">
        <v>72</v>
      </c>
      <c r="F60" s="4" t="n">
        <v>0</v>
      </c>
      <c r="G60" s="4" t="n">
        <v>7</v>
      </c>
      <c r="H60" s="4" t="n">
        <v>5</v>
      </c>
      <c r="I60" s="4" t="n">
        <v>8</v>
      </c>
      <c r="J60" s="4" t="n">
        <v>12</v>
      </c>
      <c r="K60" s="4" t="n">
        <v>4</v>
      </c>
      <c r="L60" s="4" t="n">
        <v>7</v>
      </c>
      <c r="M60" s="4" t="n">
        <v>7</v>
      </c>
      <c r="N60" s="4" t="n">
        <v>16</v>
      </c>
      <c r="O60" s="4" t="n">
        <v>7</v>
      </c>
      <c r="P60" s="4" t="n">
        <v>7</v>
      </c>
      <c r="Q60" s="4" t="n">
        <v>26</v>
      </c>
      <c r="R60" s="4" t="n">
        <v>7</v>
      </c>
      <c r="S60" s="4" t="n">
        <v>29</v>
      </c>
      <c r="T60" s="4" t="n">
        <v>34</v>
      </c>
      <c r="U60" s="4" t="n">
        <v>5</v>
      </c>
      <c r="V60" s="4" t="n">
        <v>9</v>
      </c>
      <c r="W60" s="4" t="n">
        <v>25</v>
      </c>
      <c r="X60" s="4" t="n">
        <v>8</v>
      </c>
      <c r="Y60" s="4" t="n">
        <v>11</v>
      </c>
      <c r="Z60" s="4" t="n">
        <v>22</v>
      </c>
      <c r="AA60" s="4" t="n">
        <v>7</v>
      </c>
      <c r="AB60" s="4" t="n">
        <v>0</v>
      </c>
      <c r="AC60" s="4" t="n">
        <v>6</v>
      </c>
      <c r="AD60" s="4" t="n">
        <v>0</v>
      </c>
      <c r="AE60" s="8" t="n">
        <f aca="false">COUNTIF(F60:AD60,"&lt;=0")</f>
        <v>3</v>
      </c>
    </row>
    <row r="61" customFormat="false" ht="15" hidden="false" customHeight="false" outlineLevel="0" collapsed="false">
      <c r="A61" s="8" t="s">
        <v>68</v>
      </c>
      <c r="B61" s="8" t="s">
        <v>25</v>
      </c>
      <c r="C61" s="8" t="n">
        <v>30028</v>
      </c>
      <c r="D61" s="8" t="s">
        <v>530</v>
      </c>
      <c r="E61" s="4" t="n">
        <v>133</v>
      </c>
      <c r="F61" s="4" t="n">
        <v>6</v>
      </c>
      <c r="G61" s="4" t="n">
        <v>6</v>
      </c>
      <c r="H61" s="4" t="n">
        <v>4</v>
      </c>
      <c r="I61" s="4" t="n">
        <v>10</v>
      </c>
      <c r="J61" s="4" t="n">
        <v>6</v>
      </c>
      <c r="K61" s="4" t="n">
        <v>11</v>
      </c>
      <c r="L61" s="4" t="n">
        <v>4</v>
      </c>
      <c r="M61" s="4" t="n">
        <v>12</v>
      </c>
      <c r="N61" s="4" t="n">
        <v>5</v>
      </c>
      <c r="O61" s="4" t="n">
        <v>11</v>
      </c>
      <c r="P61" s="4" t="n">
        <v>7</v>
      </c>
      <c r="Q61" s="4" t="n">
        <v>2</v>
      </c>
      <c r="R61" s="4" t="n">
        <v>6</v>
      </c>
      <c r="S61" s="4" t="n">
        <v>7</v>
      </c>
      <c r="T61" s="4" t="n">
        <v>11</v>
      </c>
      <c r="U61" s="4" t="n">
        <v>4</v>
      </c>
      <c r="V61" s="4" t="n">
        <v>10</v>
      </c>
      <c r="W61" s="4" t="n">
        <v>5</v>
      </c>
      <c r="X61" s="4" t="n">
        <v>10</v>
      </c>
      <c r="Y61" s="4" t="n">
        <v>5</v>
      </c>
      <c r="Z61" s="4" t="n">
        <v>14</v>
      </c>
      <c r="AA61" s="4" t="n">
        <v>5</v>
      </c>
      <c r="AB61" s="4" t="n">
        <v>0</v>
      </c>
      <c r="AC61" s="4" t="n">
        <v>9</v>
      </c>
      <c r="AD61" s="4" t="n">
        <v>19</v>
      </c>
      <c r="AE61" s="8" t="n">
        <f aca="false">COUNTIF(F61:AD61,"&lt;=0")</f>
        <v>1</v>
      </c>
    </row>
    <row r="62" customFormat="false" ht="15" hidden="false" customHeight="false" outlineLevel="0" collapsed="false">
      <c r="A62" s="8" t="s">
        <v>68</v>
      </c>
      <c r="B62" s="8" t="s">
        <v>25</v>
      </c>
      <c r="C62" s="8" t="n">
        <v>30029</v>
      </c>
      <c r="D62" s="8" t="s">
        <v>400</v>
      </c>
      <c r="E62" s="4" t="n">
        <v>40</v>
      </c>
      <c r="F62" s="4" t="n">
        <v>0</v>
      </c>
      <c r="G62" s="4" t="n">
        <v>8</v>
      </c>
      <c r="H62" s="4" t="n">
        <v>7</v>
      </c>
      <c r="I62" s="4" t="n">
        <v>9</v>
      </c>
      <c r="J62" s="4" t="n">
        <v>10</v>
      </c>
      <c r="K62" s="4" t="n">
        <v>10</v>
      </c>
      <c r="L62" s="4" t="n">
        <v>8</v>
      </c>
      <c r="M62" s="4" t="n">
        <v>6</v>
      </c>
      <c r="N62" s="4" t="n">
        <v>6</v>
      </c>
      <c r="O62" s="4" t="n">
        <v>5</v>
      </c>
      <c r="P62" s="4" t="n">
        <v>9</v>
      </c>
      <c r="Q62" s="4" t="n">
        <v>7</v>
      </c>
      <c r="R62" s="4" t="n">
        <v>8</v>
      </c>
      <c r="S62" s="4" t="n">
        <v>12</v>
      </c>
      <c r="T62" s="4" t="n">
        <v>6</v>
      </c>
      <c r="U62" s="4" t="n">
        <v>9</v>
      </c>
      <c r="V62" s="4" t="n">
        <v>5</v>
      </c>
      <c r="W62" s="4" t="n">
        <v>7</v>
      </c>
      <c r="X62" s="4" t="n">
        <v>7</v>
      </c>
      <c r="Y62" s="4" t="n">
        <v>6</v>
      </c>
      <c r="Z62" s="4" t="n">
        <v>11</v>
      </c>
      <c r="AA62" s="4" t="n">
        <v>10</v>
      </c>
      <c r="AB62" s="4" t="n">
        <v>0</v>
      </c>
      <c r="AC62" s="4" t="n">
        <v>11</v>
      </c>
      <c r="AD62" s="4" t="n">
        <v>0</v>
      </c>
      <c r="AE62" s="8" t="n">
        <f aca="false">COUNTIF(F62:AD62,"&lt;=0")</f>
        <v>3</v>
      </c>
    </row>
    <row r="63" customFormat="false" ht="15" hidden="false" customHeight="false" outlineLevel="0" collapsed="false">
      <c r="A63" s="8" t="s">
        <v>68</v>
      </c>
      <c r="B63" s="8" t="s">
        <v>25</v>
      </c>
      <c r="C63" s="8" t="n">
        <v>30032</v>
      </c>
      <c r="D63" s="8" t="s">
        <v>531</v>
      </c>
      <c r="E63" s="4" t="n">
        <v>36</v>
      </c>
      <c r="F63" s="4" t="n">
        <v>5</v>
      </c>
      <c r="G63" s="4" t="n">
        <v>7</v>
      </c>
      <c r="H63" s="4" t="n">
        <v>5</v>
      </c>
      <c r="I63" s="4" t="n">
        <v>12</v>
      </c>
      <c r="J63" s="4" t="n">
        <v>9</v>
      </c>
      <c r="K63" s="4" t="n">
        <v>11</v>
      </c>
      <c r="L63" s="4" t="n">
        <v>7</v>
      </c>
      <c r="M63" s="4" t="n">
        <v>5</v>
      </c>
      <c r="N63" s="4" t="n">
        <v>7</v>
      </c>
      <c r="O63" s="4" t="n">
        <v>10</v>
      </c>
      <c r="P63" s="4" t="n">
        <v>8</v>
      </c>
      <c r="Q63" s="4" t="n">
        <v>7</v>
      </c>
      <c r="R63" s="4" t="n">
        <v>9</v>
      </c>
      <c r="S63" s="4" t="n">
        <v>7</v>
      </c>
      <c r="T63" s="4" t="n">
        <v>11</v>
      </c>
      <c r="U63" s="4" t="n">
        <v>7</v>
      </c>
      <c r="V63" s="4" t="n">
        <v>13</v>
      </c>
      <c r="W63" s="4" t="n">
        <v>6</v>
      </c>
      <c r="X63" s="4" t="n">
        <v>5</v>
      </c>
      <c r="Y63" s="4" t="n">
        <v>4</v>
      </c>
      <c r="Z63" s="4" t="n">
        <v>6</v>
      </c>
      <c r="AA63" s="4" t="n">
        <v>6</v>
      </c>
      <c r="AB63" s="4" t="n">
        <v>0</v>
      </c>
      <c r="AC63" s="4" t="n">
        <v>11</v>
      </c>
      <c r="AD63" s="4" t="n">
        <v>11</v>
      </c>
      <c r="AE63" s="8" t="n">
        <f aca="false">COUNTIF(F63:AD63,"&lt;=0")</f>
        <v>1</v>
      </c>
    </row>
    <row r="64" customFormat="false" ht="15" hidden="false" customHeight="false" outlineLevel="0" collapsed="false">
      <c r="A64" s="8" t="s">
        <v>118</v>
      </c>
      <c r="B64" s="8" t="s">
        <v>25</v>
      </c>
      <c r="C64" s="8" t="n">
        <v>110028</v>
      </c>
      <c r="D64" s="8" t="s">
        <v>532</v>
      </c>
      <c r="E64" s="4" t="n">
        <v>0</v>
      </c>
      <c r="F64" s="4" t="n">
        <v>4</v>
      </c>
      <c r="G64" s="4" t="n">
        <v>63</v>
      </c>
      <c r="H64" s="4" t="n">
        <v>52</v>
      </c>
      <c r="I64" s="4" t="n">
        <v>48</v>
      </c>
      <c r="J64" s="4" t="n">
        <v>137</v>
      </c>
      <c r="K64" s="4" t="n">
        <v>80</v>
      </c>
      <c r="L64" s="4" t="n">
        <v>40</v>
      </c>
      <c r="M64" s="4" t="n">
        <v>48</v>
      </c>
      <c r="N64" s="4" t="n">
        <v>8</v>
      </c>
      <c r="O64" s="4" t="n">
        <v>50</v>
      </c>
      <c r="P64" s="4" t="n">
        <v>27</v>
      </c>
      <c r="Q64" s="4" t="n">
        <v>-1</v>
      </c>
      <c r="R64" s="4" t="n">
        <v>52</v>
      </c>
      <c r="S64" s="4" t="n">
        <v>11</v>
      </c>
      <c r="T64" s="4" t="n">
        <v>6</v>
      </c>
      <c r="U64" s="4" t="n">
        <v>18</v>
      </c>
      <c r="V64" s="4" t="n">
        <v>40</v>
      </c>
      <c r="W64" s="4" t="n">
        <v>19</v>
      </c>
      <c r="X64" s="4" t="n">
        <v>5</v>
      </c>
      <c r="Y64" s="4" t="n">
        <v>6</v>
      </c>
      <c r="Z64" s="4" t="n">
        <v>58</v>
      </c>
      <c r="AA64" s="4" t="n">
        <v>0</v>
      </c>
      <c r="AB64" s="4" t="n">
        <v>0</v>
      </c>
      <c r="AC64" s="4" t="n">
        <v>31</v>
      </c>
      <c r="AD64" s="4" t="n">
        <v>24</v>
      </c>
      <c r="AE64" s="8" t="n">
        <f aca="false">COUNTIF(F64:AD64,"&lt;=0")</f>
        <v>3</v>
      </c>
    </row>
    <row r="65" customFormat="false" ht="15" hidden="false" customHeight="false" outlineLevel="0" collapsed="false">
      <c r="A65" s="8" t="s">
        <v>118</v>
      </c>
      <c r="B65" s="8" t="s">
        <v>25</v>
      </c>
      <c r="C65" s="8" t="n">
        <v>110221</v>
      </c>
      <c r="D65" s="8" t="s">
        <v>533</v>
      </c>
      <c r="E65" s="4" t="n">
        <v>638</v>
      </c>
      <c r="F65" s="4" t="n">
        <v>4</v>
      </c>
      <c r="G65" s="4" t="n">
        <v>66</v>
      </c>
      <c r="H65" s="4" t="n">
        <v>77</v>
      </c>
      <c r="I65" s="4" t="n">
        <v>64</v>
      </c>
      <c r="J65" s="4" t="n">
        <v>112</v>
      </c>
      <c r="K65" s="4" t="n">
        <v>227</v>
      </c>
      <c r="L65" s="4" t="n">
        <v>100</v>
      </c>
      <c r="M65" s="4" t="n">
        <v>87</v>
      </c>
      <c r="N65" s="4" t="n">
        <v>78</v>
      </c>
      <c r="O65" s="4" t="n">
        <v>166</v>
      </c>
      <c r="P65" s="4" t="n">
        <v>45</v>
      </c>
      <c r="Q65" s="4" t="n">
        <v>103</v>
      </c>
      <c r="R65" s="4" t="n">
        <v>115</v>
      </c>
      <c r="S65" s="4" t="n">
        <v>73</v>
      </c>
      <c r="T65" s="4" t="n">
        <v>49</v>
      </c>
      <c r="U65" s="4" t="n">
        <v>83</v>
      </c>
      <c r="V65" s="4" t="n">
        <v>34</v>
      </c>
      <c r="W65" s="4" t="n">
        <v>33</v>
      </c>
      <c r="X65" s="4" t="n">
        <v>83</v>
      </c>
      <c r="Y65" s="4" t="n">
        <v>40</v>
      </c>
      <c r="Z65" s="4" t="n">
        <v>73</v>
      </c>
      <c r="AA65" s="4" t="n">
        <v>67</v>
      </c>
      <c r="AB65" s="4" t="n">
        <v>0</v>
      </c>
      <c r="AC65" s="4" t="n">
        <v>75</v>
      </c>
      <c r="AD65" s="4" t="n">
        <v>33</v>
      </c>
      <c r="AE65" s="8" t="n">
        <f aca="false">COUNTIF(F65:AD65,"&lt;=0")</f>
        <v>1</v>
      </c>
    </row>
    <row r="66" customFormat="false" ht="15" hidden="false" customHeight="false" outlineLevel="0" collapsed="false">
      <c r="A66" s="8" t="s">
        <v>125</v>
      </c>
      <c r="B66" s="8" t="s">
        <v>25</v>
      </c>
      <c r="C66" s="8" t="n">
        <v>174510</v>
      </c>
      <c r="D66" s="8" t="s">
        <v>381</v>
      </c>
      <c r="E66" s="4" t="n">
        <v>129</v>
      </c>
      <c r="F66" s="4" t="n">
        <v>0</v>
      </c>
      <c r="G66" s="4" t="n">
        <v>10</v>
      </c>
      <c r="H66" s="4" t="n">
        <v>18</v>
      </c>
      <c r="I66" s="4" t="n">
        <v>15</v>
      </c>
      <c r="J66" s="4" t="n">
        <v>14</v>
      </c>
      <c r="K66" s="4" t="n">
        <v>11</v>
      </c>
      <c r="L66" s="4" t="n">
        <v>11</v>
      </c>
      <c r="M66" s="4" t="n">
        <v>9</v>
      </c>
      <c r="N66" s="4" t="n">
        <v>15</v>
      </c>
      <c r="O66" s="4" t="n">
        <v>16</v>
      </c>
      <c r="P66" s="4" t="n">
        <v>13</v>
      </c>
      <c r="Q66" s="4" t="n">
        <v>11</v>
      </c>
      <c r="R66" s="4" t="n">
        <v>8</v>
      </c>
      <c r="S66" s="4" t="n">
        <v>14</v>
      </c>
      <c r="T66" s="4" t="n">
        <v>14</v>
      </c>
      <c r="U66" s="4" t="n">
        <v>13</v>
      </c>
      <c r="V66" s="4" t="n">
        <v>15</v>
      </c>
      <c r="W66" s="4" t="n">
        <v>6</v>
      </c>
      <c r="X66" s="4" t="n">
        <v>13</v>
      </c>
      <c r="Y66" s="4" t="n">
        <v>6</v>
      </c>
      <c r="Z66" s="4" t="n">
        <v>11</v>
      </c>
      <c r="AA66" s="4" t="n">
        <v>12</v>
      </c>
      <c r="AB66" s="4" t="n">
        <v>0</v>
      </c>
      <c r="AC66" s="4" t="n">
        <v>10</v>
      </c>
      <c r="AD66" s="4" t="n">
        <v>0</v>
      </c>
      <c r="AE66" s="8" t="n">
        <f aca="false">COUNTIF(F66:AD66,"&lt;=0")</f>
        <v>3</v>
      </c>
    </row>
    <row r="67" customFormat="false" ht="15" hidden="false" customHeight="false" outlineLevel="0" collapsed="false">
      <c r="A67" s="8" t="s">
        <v>125</v>
      </c>
      <c r="B67" s="8" t="s">
        <v>25</v>
      </c>
      <c r="C67" s="8" t="n">
        <v>110535</v>
      </c>
      <c r="D67" s="8" t="s">
        <v>534</v>
      </c>
      <c r="E67" s="4" t="n">
        <v>0</v>
      </c>
      <c r="F67" s="4" t="n">
        <v>0</v>
      </c>
      <c r="G67" s="4" t="n">
        <v>3</v>
      </c>
      <c r="H67" s="4" t="n">
        <v>0</v>
      </c>
      <c r="I67" s="4" t="n">
        <v>0</v>
      </c>
      <c r="J67" s="4" t="n">
        <v>0</v>
      </c>
      <c r="K67" s="4" t="n">
        <v>0</v>
      </c>
      <c r="L67" s="4" t="n">
        <v>0</v>
      </c>
      <c r="M67" s="4" t="n">
        <v>1</v>
      </c>
      <c r="N67" s="4" t="n">
        <v>4</v>
      </c>
      <c r="O67" s="4" t="n">
        <v>0</v>
      </c>
      <c r="P67" s="4" t="n">
        <v>0</v>
      </c>
      <c r="Q67" s="4" t="n">
        <v>0</v>
      </c>
      <c r="R67" s="4" t="n">
        <v>0</v>
      </c>
      <c r="S67" s="4" t="n">
        <v>4</v>
      </c>
      <c r="T67" s="4" t="n">
        <v>0</v>
      </c>
      <c r="U67" s="4" t="n">
        <v>3</v>
      </c>
      <c r="V67" s="4" t="n">
        <v>8</v>
      </c>
      <c r="W67" s="4" t="n">
        <v>9</v>
      </c>
      <c r="X67" s="4" t="n">
        <v>3</v>
      </c>
      <c r="Y67" s="4" t="n">
        <v>2</v>
      </c>
      <c r="Z67" s="4" t="n">
        <v>9</v>
      </c>
      <c r="AA67" s="4" t="n">
        <v>6</v>
      </c>
      <c r="AB67" s="4" t="n">
        <v>0</v>
      </c>
      <c r="AC67" s="4" t="n">
        <v>0</v>
      </c>
      <c r="AD67" s="4" t="n">
        <v>0</v>
      </c>
      <c r="AE67" s="8" t="n">
        <f aca="false">COUNTIF(F67:AD67,"&lt;=0")</f>
        <v>14</v>
      </c>
    </row>
    <row r="68" customFormat="false" ht="15" hidden="false" customHeight="false" outlineLevel="0" collapsed="false">
      <c r="A68" s="8" t="s">
        <v>125</v>
      </c>
      <c r="B68" s="8" t="s">
        <v>25</v>
      </c>
      <c r="C68" s="8" t="n">
        <v>110652</v>
      </c>
      <c r="D68" s="8" t="s">
        <v>535</v>
      </c>
      <c r="E68" s="4" t="n">
        <v>0</v>
      </c>
      <c r="F68" s="4" t="n">
        <v>0</v>
      </c>
      <c r="G68" s="4" t="n">
        <v>9</v>
      </c>
      <c r="H68" s="4" t="n">
        <v>16</v>
      </c>
      <c r="I68" s="4" t="n">
        <v>4</v>
      </c>
      <c r="J68" s="4" t="n">
        <v>11</v>
      </c>
      <c r="K68" s="4" t="n">
        <v>18</v>
      </c>
      <c r="L68" s="4" t="n">
        <v>15</v>
      </c>
      <c r="M68" s="4" t="n">
        <v>15</v>
      </c>
      <c r="N68" s="4" t="n">
        <v>10</v>
      </c>
      <c r="O68" s="4" t="n">
        <v>17</v>
      </c>
      <c r="P68" s="4" t="n">
        <v>14</v>
      </c>
      <c r="Q68" s="4" t="n">
        <v>10</v>
      </c>
      <c r="R68" s="4" t="n">
        <v>14</v>
      </c>
      <c r="S68" s="4" t="n">
        <v>8</v>
      </c>
      <c r="T68" s="4" t="n">
        <v>11</v>
      </c>
      <c r="U68" s="4" t="n">
        <v>14</v>
      </c>
      <c r="V68" s="4" t="n">
        <v>7</v>
      </c>
      <c r="W68" s="4" t="n">
        <v>14</v>
      </c>
      <c r="X68" s="4" t="n">
        <v>11</v>
      </c>
      <c r="Y68" s="4" t="n">
        <v>14</v>
      </c>
      <c r="Z68" s="4" t="n">
        <v>14</v>
      </c>
      <c r="AA68" s="4" t="n">
        <v>19</v>
      </c>
      <c r="AB68" s="4" t="n">
        <v>0</v>
      </c>
      <c r="AC68" s="4" t="n">
        <v>9</v>
      </c>
      <c r="AD68" s="4" t="n">
        <v>11</v>
      </c>
      <c r="AE68" s="8" t="n">
        <f aca="false">COUNTIF(F68:AD68,"&lt;=0")</f>
        <v>2</v>
      </c>
    </row>
    <row r="69" customFormat="false" ht="15" hidden="false" customHeight="false" outlineLevel="0" collapsed="false">
      <c r="A69" s="8" t="s">
        <v>125</v>
      </c>
      <c r="B69" s="8" t="s">
        <v>25</v>
      </c>
      <c r="C69" s="8" t="n">
        <v>110683</v>
      </c>
      <c r="D69" s="8" t="s">
        <v>435</v>
      </c>
      <c r="E69" s="4" t="n">
        <v>181</v>
      </c>
      <c r="F69" s="4" t="n">
        <v>0</v>
      </c>
      <c r="G69" s="4" t="n">
        <v>18</v>
      </c>
      <c r="H69" s="4" t="n">
        <v>26</v>
      </c>
      <c r="I69" s="4" t="n">
        <v>20</v>
      </c>
      <c r="J69" s="4" t="n">
        <v>11</v>
      </c>
      <c r="K69" s="4" t="n">
        <v>22</v>
      </c>
      <c r="L69" s="4" t="n">
        <v>16</v>
      </c>
      <c r="M69" s="4" t="n">
        <v>16</v>
      </c>
      <c r="N69" s="4" t="n">
        <v>18</v>
      </c>
      <c r="O69" s="4" t="n">
        <v>20</v>
      </c>
      <c r="P69" s="4" t="n">
        <v>15</v>
      </c>
      <c r="Q69" s="4" t="n">
        <v>9</v>
      </c>
      <c r="R69" s="4" t="n">
        <v>9</v>
      </c>
      <c r="S69" s="4" t="n">
        <v>12</v>
      </c>
      <c r="T69" s="4" t="n">
        <v>21</v>
      </c>
      <c r="U69" s="4" t="n">
        <v>17</v>
      </c>
      <c r="V69" s="4" t="n">
        <v>29</v>
      </c>
      <c r="W69" s="4" t="n">
        <v>21</v>
      </c>
      <c r="X69" s="4" t="n">
        <v>19</v>
      </c>
      <c r="Y69" s="4" t="n">
        <v>30</v>
      </c>
      <c r="Z69" s="4" t="n">
        <v>17</v>
      </c>
      <c r="AA69" s="4" t="n">
        <v>11</v>
      </c>
      <c r="AB69" s="4" t="n">
        <v>0</v>
      </c>
      <c r="AC69" s="4" t="n">
        <v>23</v>
      </c>
      <c r="AD69" s="4" t="n">
        <v>11</v>
      </c>
      <c r="AE69" s="8" t="n">
        <f aca="false">COUNTIF(F69:AD69,"&lt;=0")</f>
        <v>2</v>
      </c>
    </row>
    <row r="70" customFormat="false" ht="15" hidden="false" customHeight="false" outlineLevel="0" collapsed="false">
      <c r="A70" s="8" t="s">
        <v>125</v>
      </c>
      <c r="B70" s="8" t="s">
        <v>25</v>
      </c>
      <c r="C70" s="8" t="n">
        <v>110685</v>
      </c>
      <c r="D70" s="8" t="s">
        <v>432</v>
      </c>
      <c r="E70" s="4" t="n">
        <v>686</v>
      </c>
      <c r="F70" s="4" t="n">
        <v>0</v>
      </c>
      <c r="G70" s="4" t="n">
        <v>14</v>
      </c>
      <c r="H70" s="4" t="n">
        <v>17</v>
      </c>
      <c r="I70" s="4" t="n">
        <v>18</v>
      </c>
      <c r="J70" s="4" t="n">
        <v>9</v>
      </c>
      <c r="K70" s="4" t="n">
        <v>9</v>
      </c>
      <c r="L70" s="4" t="n">
        <v>7</v>
      </c>
      <c r="M70" s="4" t="n">
        <v>9</v>
      </c>
      <c r="N70" s="4" t="n">
        <v>13</v>
      </c>
      <c r="O70" s="4" t="n">
        <v>14</v>
      </c>
      <c r="P70" s="4" t="n">
        <v>16</v>
      </c>
      <c r="Q70" s="4" t="n">
        <v>11</v>
      </c>
      <c r="R70" s="4" t="n">
        <v>14</v>
      </c>
      <c r="S70" s="4" t="n">
        <v>9</v>
      </c>
      <c r="T70" s="4" t="n">
        <v>13</v>
      </c>
      <c r="U70" s="4" t="n">
        <v>16</v>
      </c>
      <c r="V70" s="4" t="n">
        <v>9</v>
      </c>
      <c r="W70" s="4" t="n">
        <v>11</v>
      </c>
      <c r="X70" s="4" t="n">
        <v>15</v>
      </c>
      <c r="Y70" s="4" t="n">
        <v>27</v>
      </c>
      <c r="Z70" s="4" t="n">
        <v>14</v>
      </c>
      <c r="AA70" s="4" t="n">
        <v>18</v>
      </c>
      <c r="AB70" s="4" t="n">
        <v>0</v>
      </c>
      <c r="AC70" s="4" t="n">
        <v>10</v>
      </c>
      <c r="AD70" s="4" t="n">
        <v>8</v>
      </c>
      <c r="AE70" s="8" t="n">
        <f aca="false">COUNTIF(F70:AD70,"&lt;=0")</f>
        <v>2</v>
      </c>
    </row>
    <row r="71" customFormat="false" ht="15" hidden="false" customHeight="false" outlineLevel="0" collapsed="false">
      <c r="A71" s="8" t="s">
        <v>125</v>
      </c>
      <c r="B71" s="8" t="s">
        <v>25</v>
      </c>
      <c r="C71" s="8" t="n">
        <v>110686</v>
      </c>
      <c r="D71" s="8" t="s">
        <v>536</v>
      </c>
      <c r="E71" s="4" t="n">
        <v>0</v>
      </c>
      <c r="F71" s="4" t="n">
        <v>0</v>
      </c>
      <c r="G71" s="4" t="n">
        <v>17</v>
      </c>
      <c r="H71" s="4" t="n">
        <v>12</v>
      </c>
      <c r="I71" s="4" t="n">
        <v>22</v>
      </c>
      <c r="J71" s="4" t="n">
        <v>2</v>
      </c>
      <c r="K71" s="4" t="n">
        <v>0</v>
      </c>
      <c r="L71" s="4" t="n">
        <v>9</v>
      </c>
      <c r="M71" s="4" t="n">
        <v>10</v>
      </c>
      <c r="N71" s="4" t="n">
        <v>11</v>
      </c>
      <c r="O71" s="4" t="n">
        <v>0</v>
      </c>
      <c r="P71" s="4" t="n">
        <v>9</v>
      </c>
      <c r="Q71" s="4" t="n">
        <v>12</v>
      </c>
      <c r="R71" s="4" t="n">
        <v>5</v>
      </c>
      <c r="S71" s="4" t="n">
        <v>12</v>
      </c>
      <c r="T71" s="4" t="n">
        <v>9</v>
      </c>
      <c r="U71" s="4" t="n">
        <v>9</v>
      </c>
      <c r="V71" s="4" t="n">
        <v>10</v>
      </c>
      <c r="W71" s="4" t="n">
        <v>4</v>
      </c>
      <c r="X71" s="4" t="n">
        <v>11</v>
      </c>
      <c r="Y71" s="4" t="n">
        <v>9</v>
      </c>
      <c r="Z71" s="4" t="n">
        <v>2</v>
      </c>
      <c r="AA71" s="4" t="n">
        <v>12</v>
      </c>
      <c r="AB71" s="4" t="n">
        <v>0</v>
      </c>
      <c r="AC71" s="4" t="n">
        <v>11</v>
      </c>
      <c r="AD71" s="4" t="n">
        <v>10</v>
      </c>
      <c r="AE71" s="8" t="n">
        <f aca="false">COUNTIF(F71:AD71,"&lt;=0")</f>
        <v>4</v>
      </c>
    </row>
    <row r="72" customFormat="false" ht="15" hidden="false" customHeight="false" outlineLevel="0" collapsed="false">
      <c r="A72" s="8" t="s">
        <v>125</v>
      </c>
      <c r="B72" s="8" t="s">
        <v>25</v>
      </c>
      <c r="C72" s="8" t="n">
        <v>110687</v>
      </c>
      <c r="D72" s="8" t="s">
        <v>436</v>
      </c>
      <c r="E72" s="4" t="n">
        <v>145</v>
      </c>
      <c r="F72" s="4" t="n">
        <v>0</v>
      </c>
      <c r="G72" s="4" t="n">
        <v>15</v>
      </c>
      <c r="H72" s="4" t="n">
        <v>12</v>
      </c>
      <c r="I72" s="4" t="n">
        <v>17</v>
      </c>
      <c r="J72" s="4" t="n">
        <v>14</v>
      </c>
      <c r="K72" s="4" t="n">
        <v>11</v>
      </c>
      <c r="L72" s="4" t="n">
        <v>11</v>
      </c>
      <c r="M72" s="4" t="n">
        <v>16</v>
      </c>
      <c r="N72" s="4" t="n">
        <v>10</v>
      </c>
      <c r="O72" s="4" t="n">
        <v>14</v>
      </c>
      <c r="P72" s="4" t="n">
        <v>9</v>
      </c>
      <c r="Q72" s="4" t="n">
        <v>11</v>
      </c>
      <c r="R72" s="4" t="n">
        <v>13</v>
      </c>
      <c r="S72" s="4" t="n">
        <v>17</v>
      </c>
      <c r="T72" s="4" t="n">
        <v>13</v>
      </c>
      <c r="U72" s="4" t="n">
        <v>17</v>
      </c>
      <c r="V72" s="4" t="n">
        <v>12</v>
      </c>
      <c r="W72" s="4" t="n">
        <v>9</v>
      </c>
      <c r="X72" s="4" t="n">
        <v>12</v>
      </c>
      <c r="Y72" s="4" t="n">
        <v>19</v>
      </c>
      <c r="Z72" s="4" t="n">
        <v>4</v>
      </c>
      <c r="AA72" s="4" t="n">
        <v>12</v>
      </c>
      <c r="AB72" s="4" t="n">
        <v>0</v>
      </c>
      <c r="AC72" s="4" t="n">
        <v>9</v>
      </c>
      <c r="AD72" s="4" t="n">
        <v>11</v>
      </c>
      <c r="AE72" s="8" t="n">
        <f aca="false">COUNTIF(F72:AD72,"&lt;=0")</f>
        <v>2</v>
      </c>
    </row>
    <row r="73" customFormat="false" ht="15" hidden="false" customHeight="false" outlineLevel="0" collapsed="false">
      <c r="A73" s="8" t="s">
        <v>125</v>
      </c>
      <c r="B73" s="8" t="s">
        <v>25</v>
      </c>
      <c r="C73" s="8" t="n">
        <v>111038</v>
      </c>
      <c r="D73" s="8" t="s">
        <v>370</v>
      </c>
      <c r="E73" s="4" t="n">
        <v>470</v>
      </c>
      <c r="F73" s="4" t="n">
        <v>0</v>
      </c>
      <c r="G73" s="4" t="n">
        <v>15</v>
      </c>
      <c r="H73" s="4" t="n">
        <v>8</v>
      </c>
      <c r="I73" s="4" t="n">
        <v>10</v>
      </c>
      <c r="J73" s="4" t="n">
        <v>12</v>
      </c>
      <c r="K73" s="4" t="n">
        <v>16</v>
      </c>
      <c r="L73" s="4" t="n">
        <v>15</v>
      </c>
      <c r="M73" s="4" t="n">
        <v>14</v>
      </c>
      <c r="N73" s="4" t="n">
        <v>7</v>
      </c>
      <c r="O73" s="4" t="n">
        <v>15</v>
      </c>
      <c r="P73" s="4" t="n">
        <v>7</v>
      </c>
      <c r="Q73" s="4" t="n">
        <v>4</v>
      </c>
      <c r="R73" s="4" t="n">
        <v>16</v>
      </c>
      <c r="S73" s="4" t="n">
        <v>18</v>
      </c>
      <c r="T73" s="4" t="n">
        <v>9</v>
      </c>
      <c r="U73" s="4" t="n">
        <v>15</v>
      </c>
      <c r="V73" s="4" t="n">
        <v>9</v>
      </c>
      <c r="W73" s="4" t="n">
        <v>14</v>
      </c>
      <c r="X73" s="4" t="n">
        <v>8</v>
      </c>
      <c r="Y73" s="4" t="n">
        <v>15</v>
      </c>
      <c r="Z73" s="4" t="n">
        <v>11</v>
      </c>
      <c r="AA73" s="4" t="n">
        <v>11</v>
      </c>
      <c r="AB73" s="4" t="n">
        <v>0</v>
      </c>
      <c r="AC73" s="4" t="n">
        <v>3</v>
      </c>
      <c r="AD73" s="4" t="n">
        <v>0</v>
      </c>
      <c r="AE73" s="8" t="n">
        <f aca="false">COUNTIF(F73:AD73,"&lt;=0")</f>
        <v>3</v>
      </c>
    </row>
    <row r="74" customFormat="false" ht="15" hidden="false" customHeight="false" outlineLevel="0" collapsed="false">
      <c r="A74" s="8" t="s">
        <v>181</v>
      </c>
      <c r="B74" s="8" t="s">
        <v>25</v>
      </c>
      <c r="C74" s="8" t="n">
        <v>30090</v>
      </c>
      <c r="D74" s="8" t="s">
        <v>537</v>
      </c>
      <c r="E74" s="4" t="n">
        <v>0</v>
      </c>
      <c r="F74" s="4" t="n">
        <v>0</v>
      </c>
      <c r="G74" s="4" t="n">
        <v>9</v>
      </c>
      <c r="H74" s="4" t="n">
        <v>7</v>
      </c>
      <c r="I74" s="4" t="n">
        <v>7</v>
      </c>
      <c r="J74" s="4" t="n">
        <v>13</v>
      </c>
      <c r="K74" s="4" t="n">
        <v>2</v>
      </c>
      <c r="L74" s="4" t="n">
        <v>14</v>
      </c>
      <c r="M74" s="4" t="n">
        <v>11</v>
      </c>
      <c r="N74" s="4" t="n">
        <v>0</v>
      </c>
      <c r="O74" s="4" t="n">
        <v>15</v>
      </c>
      <c r="P74" s="4" t="n">
        <v>14</v>
      </c>
      <c r="Q74" s="4" t="n">
        <v>3</v>
      </c>
      <c r="R74" s="4" t="n">
        <v>9</v>
      </c>
      <c r="S74" s="4" t="n">
        <v>8</v>
      </c>
      <c r="T74" s="4" t="n">
        <v>9</v>
      </c>
      <c r="U74" s="4" t="n">
        <v>13</v>
      </c>
      <c r="V74" s="4" t="n">
        <v>8</v>
      </c>
      <c r="W74" s="4" t="n">
        <v>20</v>
      </c>
      <c r="X74" s="4" t="n">
        <v>11</v>
      </c>
      <c r="Y74" s="4" t="n">
        <v>20</v>
      </c>
      <c r="Z74" s="4" t="n">
        <v>13</v>
      </c>
      <c r="AA74" s="4" t="n">
        <v>3</v>
      </c>
      <c r="AB74" s="4" t="n">
        <v>0</v>
      </c>
      <c r="AC74" s="4" t="n">
        <v>7</v>
      </c>
      <c r="AD74" s="4" t="n">
        <v>0</v>
      </c>
      <c r="AE74" s="8" t="n">
        <f aca="false">COUNTIF(F74:AD74,"&lt;=0")</f>
        <v>4</v>
      </c>
    </row>
    <row r="75" customFormat="false" ht="15" hidden="false" customHeight="false" outlineLevel="0" collapsed="false">
      <c r="A75" s="8" t="s">
        <v>181</v>
      </c>
      <c r="B75" s="8" t="s">
        <v>25</v>
      </c>
      <c r="C75" s="8" t="n">
        <v>30091</v>
      </c>
      <c r="D75" s="8" t="s">
        <v>441</v>
      </c>
      <c r="E75" s="4" t="n">
        <v>65</v>
      </c>
      <c r="F75" s="4" t="n">
        <v>0</v>
      </c>
      <c r="G75" s="4" t="n">
        <v>10</v>
      </c>
      <c r="H75" s="4" t="n">
        <v>14</v>
      </c>
      <c r="I75" s="4" t="n">
        <v>17</v>
      </c>
      <c r="J75" s="4" t="n">
        <v>15</v>
      </c>
      <c r="K75" s="4" t="n">
        <v>12</v>
      </c>
      <c r="L75" s="4" t="n">
        <v>21</v>
      </c>
      <c r="M75" s="4" t="n">
        <v>10</v>
      </c>
      <c r="N75" s="4" t="n">
        <v>11</v>
      </c>
      <c r="O75" s="4" t="n">
        <v>13</v>
      </c>
      <c r="P75" s="4" t="n">
        <v>11</v>
      </c>
      <c r="Q75" s="4" t="n">
        <v>14</v>
      </c>
      <c r="R75" s="4" t="n">
        <v>14</v>
      </c>
      <c r="S75" s="4" t="n">
        <v>12</v>
      </c>
      <c r="T75" s="4" t="n">
        <v>10</v>
      </c>
      <c r="U75" s="4" t="n">
        <v>23</v>
      </c>
      <c r="V75" s="4" t="n">
        <v>17</v>
      </c>
      <c r="W75" s="4" t="n">
        <v>20</v>
      </c>
      <c r="X75" s="4" t="n">
        <v>17</v>
      </c>
      <c r="Y75" s="4" t="n">
        <v>20</v>
      </c>
      <c r="Z75" s="4" t="n">
        <v>12</v>
      </c>
      <c r="AA75" s="4" t="n">
        <v>15</v>
      </c>
      <c r="AB75" s="4" t="n">
        <v>0</v>
      </c>
      <c r="AC75" s="4" t="n">
        <v>23</v>
      </c>
      <c r="AD75" s="4" t="n">
        <v>11</v>
      </c>
      <c r="AE75" s="8" t="n">
        <f aca="false">COUNTIF(F75:AD75,"&lt;=0")</f>
        <v>2</v>
      </c>
    </row>
    <row r="76" customFormat="false" ht="15" hidden="false" customHeight="false" outlineLevel="0" collapsed="false">
      <c r="A76" s="8" t="s">
        <v>181</v>
      </c>
      <c r="B76" s="8" t="s">
        <v>25</v>
      </c>
      <c r="C76" s="8" t="n">
        <v>30093</v>
      </c>
      <c r="D76" s="8" t="s">
        <v>439</v>
      </c>
      <c r="E76" s="4" t="n">
        <v>78</v>
      </c>
      <c r="F76" s="4" t="n">
        <v>0</v>
      </c>
      <c r="G76" s="4" t="n">
        <v>16</v>
      </c>
      <c r="H76" s="4" t="n">
        <v>15</v>
      </c>
      <c r="I76" s="4" t="n">
        <v>17</v>
      </c>
      <c r="J76" s="4" t="n">
        <v>14</v>
      </c>
      <c r="K76" s="4" t="n">
        <v>21</v>
      </c>
      <c r="L76" s="4" t="n">
        <v>32</v>
      </c>
      <c r="M76" s="4" t="n">
        <v>20</v>
      </c>
      <c r="N76" s="4" t="n">
        <v>12</v>
      </c>
      <c r="O76" s="4" t="n">
        <v>24</v>
      </c>
      <c r="P76" s="4" t="n">
        <v>18</v>
      </c>
      <c r="Q76" s="4" t="n">
        <v>13</v>
      </c>
      <c r="R76" s="4" t="n">
        <v>11</v>
      </c>
      <c r="S76" s="4" t="n">
        <v>17</v>
      </c>
      <c r="T76" s="4" t="n">
        <v>9</v>
      </c>
      <c r="U76" s="4" t="n">
        <v>20</v>
      </c>
      <c r="V76" s="4" t="n">
        <v>13</v>
      </c>
      <c r="W76" s="4" t="n">
        <v>20</v>
      </c>
      <c r="X76" s="4" t="n">
        <v>16</v>
      </c>
      <c r="Y76" s="4" t="n">
        <v>20</v>
      </c>
      <c r="Z76" s="4" t="n">
        <v>21</v>
      </c>
      <c r="AA76" s="4" t="n">
        <v>20</v>
      </c>
      <c r="AB76" s="4" t="n">
        <v>0</v>
      </c>
      <c r="AC76" s="4" t="n">
        <v>16</v>
      </c>
      <c r="AD76" s="4" t="n">
        <v>14</v>
      </c>
      <c r="AE76" s="8" t="n">
        <f aca="false">COUNTIF(F76:AD76,"&lt;=0")</f>
        <v>2</v>
      </c>
    </row>
    <row r="77" customFormat="false" ht="15" hidden="false" customHeight="false" outlineLevel="0" collapsed="false">
      <c r="A77" s="8" t="s">
        <v>181</v>
      </c>
      <c r="B77" s="8" t="s">
        <v>25</v>
      </c>
      <c r="C77" s="8" t="n">
        <v>30094</v>
      </c>
      <c r="D77" s="8" t="s">
        <v>438</v>
      </c>
      <c r="E77" s="4" t="n">
        <v>89</v>
      </c>
      <c r="F77" s="4" t="n">
        <v>0</v>
      </c>
      <c r="G77" s="4" t="n">
        <v>17</v>
      </c>
      <c r="H77" s="4" t="n">
        <v>16</v>
      </c>
      <c r="I77" s="4" t="n">
        <v>16</v>
      </c>
      <c r="J77" s="4" t="n">
        <v>18</v>
      </c>
      <c r="K77" s="4" t="n">
        <v>22</v>
      </c>
      <c r="L77" s="4" t="n">
        <v>37</v>
      </c>
      <c r="M77" s="4" t="n">
        <v>13</v>
      </c>
      <c r="N77" s="4" t="n">
        <v>12</v>
      </c>
      <c r="O77" s="4" t="n">
        <v>19</v>
      </c>
      <c r="P77" s="4" t="n">
        <v>15</v>
      </c>
      <c r="Q77" s="4" t="n">
        <v>19</v>
      </c>
      <c r="R77" s="4" t="n">
        <v>16</v>
      </c>
      <c r="S77" s="4" t="n">
        <v>13</v>
      </c>
      <c r="T77" s="4" t="n">
        <v>21</v>
      </c>
      <c r="U77" s="4" t="n">
        <v>19</v>
      </c>
      <c r="V77" s="4" t="n">
        <v>13</v>
      </c>
      <c r="W77" s="4" t="n">
        <v>19</v>
      </c>
      <c r="X77" s="4" t="n">
        <v>15</v>
      </c>
      <c r="Y77" s="4" t="n">
        <v>18</v>
      </c>
      <c r="Z77" s="4" t="n">
        <v>20</v>
      </c>
      <c r="AA77" s="4" t="n">
        <v>8</v>
      </c>
      <c r="AB77" s="4" t="n">
        <v>0</v>
      </c>
      <c r="AC77" s="4" t="n">
        <v>19</v>
      </c>
      <c r="AD77" s="4" t="n">
        <v>15</v>
      </c>
      <c r="AE77" s="8" t="n">
        <f aca="false">COUNTIF(F77:AD77,"&lt;=0")</f>
        <v>2</v>
      </c>
    </row>
    <row r="78" customFormat="false" ht="15" hidden="false" customHeight="false" outlineLevel="0" collapsed="false">
      <c r="A78" s="8" t="s">
        <v>181</v>
      </c>
      <c r="B78" s="8" t="s">
        <v>25</v>
      </c>
      <c r="C78" s="8" t="n">
        <v>30095</v>
      </c>
      <c r="D78" s="8" t="s">
        <v>538</v>
      </c>
      <c r="E78" s="4" t="n">
        <v>0</v>
      </c>
      <c r="F78" s="4" t="n">
        <v>4</v>
      </c>
      <c r="G78" s="4" t="n">
        <v>11</v>
      </c>
      <c r="H78" s="4" t="n">
        <v>15</v>
      </c>
      <c r="I78" s="4" t="n">
        <v>12</v>
      </c>
      <c r="J78" s="4" t="n">
        <v>12</v>
      </c>
      <c r="K78" s="4" t="n">
        <v>17</v>
      </c>
      <c r="L78" s="4" t="n">
        <v>42</v>
      </c>
      <c r="M78" s="4" t="n">
        <v>10</v>
      </c>
      <c r="N78" s="4" t="n">
        <v>11</v>
      </c>
      <c r="O78" s="4" t="n">
        <v>19</v>
      </c>
      <c r="P78" s="4" t="n">
        <v>6</v>
      </c>
      <c r="Q78" s="4" t="n">
        <v>8</v>
      </c>
      <c r="R78" s="4" t="n">
        <v>10</v>
      </c>
      <c r="S78" s="4" t="n">
        <v>9</v>
      </c>
      <c r="T78" s="4" t="n">
        <v>9</v>
      </c>
      <c r="U78" s="4" t="n">
        <v>15</v>
      </c>
      <c r="V78" s="4" t="n">
        <v>14</v>
      </c>
      <c r="W78" s="4" t="n">
        <v>18</v>
      </c>
      <c r="X78" s="4" t="n">
        <v>11</v>
      </c>
      <c r="Y78" s="4" t="n">
        <v>19</v>
      </c>
      <c r="Z78" s="4" t="n">
        <v>12</v>
      </c>
      <c r="AA78" s="4" t="n">
        <v>13</v>
      </c>
      <c r="AB78" s="4" t="n">
        <v>0</v>
      </c>
      <c r="AC78" s="4" t="n">
        <v>7</v>
      </c>
      <c r="AD78" s="4" t="n">
        <v>0</v>
      </c>
      <c r="AE78" s="8" t="n">
        <f aca="false">COUNTIF(F78:AD78,"&lt;=0")</f>
        <v>2</v>
      </c>
    </row>
    <row r="79" customFormat="false" ht="15" hidden="false" customHeight="false" outlineLevel="0" collapsed="false">
      <c r="A79" s="8" t="s">
        <v>181</v>
      </c>
      <c r="B79" s="8" t="s">
        <v>25</v>
      </c>
      <c r="C79" s="8" t="n">
        <v>30096</v>
      </c>
      <c r="D79" s="8" t="s">
        <v>539</v>
      </c>
      <c r="E79" s="4" t="n">
        <v>0</v>
      </c>
      <c r="F79" s="4" t="n">
        <v>5</v>
      </c>
      <c r="G79" s="4" t="n">
        <v>14</v>
      </c>
      <c r="H79" s="4" t="n">
        <v>16</v>
      </c>
      <c r="I79" s="4" t="n">
        <v>10</v>
      </c>
      <c r="J79" s="4" t="n">
        <v>2</v>
      </c>
      <c r="K79" s="4" t="n">
        <v>16</v>
      </c>
      <c r="L79" s="4" t="n">
        <v>11</v>
      </c>
      <c r="M79" s="4" t="n">
        <v>0</v>
      </c>
      <c r="N79" s="4" t="n">
        <v>11</v>
      </c>
      <c r="O79" s="4" t="n">
        <v>16</v>
      </c>
      <c r="P79" s="4" t="n">
        <v>8</v>
      </c>
      <c r="Q79" s="4" t="n">
        <v>8</v>
      </c>
      <c r="R79" s="4" t="n">
        <v>8</v>
      </c>
      <c r="S79" s="4" t="n">
        <v>12</v>
      </c>
      <c r="T79" s="4" t="n">
        <v>17</v>
      </c>
      <c r="U79" s="4" t="n">
        <v>17</v>
      </c>
      <c r="V79" s="4" t="n">
        <v>12</v>
      </c>
      <c r="W79" s="4" t="n">
        <v>20</v>
      </c>
      <c r="X79" s="4" t="n">
        <v>18</v>
      </c>
      <c r="Y79" s="4" t="n">
        <v>5</v>
      </c>
      <c r="Z79" s="4" t="n">
        <v>18</v>
      </c>
      <c r="AA79" s="4" t="n">
        <v>12</v>
      </c>
      <c r="AB79" s="4" t="n">
        <v>0</v>
      </c>
      <c r="AC79" s="4" t="n">
        <v>9</v>
      </c>
      <c r="AD79" s="4" t="n">
        <v>0</v>
      </c>
      <c r="AE79" s="8" t="n">
        <f aca="false">COUNTIF(F79:AD79,"&lt;=0")</f>
        <v>3</v>
      </c>
    </row>
    <row r="80" customFormat="false" ht="15" hidden="false" customHeight="false" outlineLevel="0" collapsed="false">
      <c r="A80" s="8" t="s">
        <v>181</v>
      </c>
      <c r="B80" s="8" t="s">
        <v>25</v>
      </c>
      <c r="C80" s="8" t="n">
        <v>30097</v>
      </c>
      <c r="D80" s="8" t="s">
        <v>448</v>
      </c>
      <c r="E80" s="4" t="n">
        <v>19</v>
      </c>
      <c r="F80" s="4" t="n">
        <v>4</v>
      </c>
      <c r="G80" s="4" t="n">
        <v>12</v>
      </c>
      <c r="H80" s="4" t="n">
        <v>12</v>
      </c>
      <c r="I80" s="4" t="n">
        <v>13</v>
      </c>
      <c r="J80" s="4" t="n">
        <v>6</v>
      </c>
      <c r="K80" s="4" t="n">
        <v>21</v>
      </c>
      <c r="L80" s="4" t="n">
        <v>15</v>
      </c>
      <c r="M80" s="4" t="n">
        <v>11</v>
      </c>
      <c r="N80" s="4" t="n">
        <v>13</v>
      </c>
      <c r="O80" s="4" t="n">
        <v>16</v>
      </c>
      <c r="P80" s="4" t="n">
        <v>17</v>
      </c>
      <c r="Q80" s="4" t="n">
        <v>10</v>
      </c>
      <c r="R80" s="4" t="n">
        <v>10</v>
      </c>
      <c r="S80" s="4" t="n">
        <v>19</v>
      </c>
      <c r="T80" s="4" t="n">
        <v>17</v>
      </c>
      <c r="U80" s="4" t="n">
        <v>16</v>
      </c>
      <c r="V80" s="4" t="n">
        <v>16</v>
      </c>
      <c r="W80" s="4" t="n">
        <v>20</v>
      </c>
      <c r="X80" s="4" t="n">
        <v>13</v>
      </c>
      <c r="Y80" s="4" t="n">
        <v>20</v>
      </c>
      <c r="Z80" s="4" t="n">
        <v>16</v>
      </c>
      <c r="AA80" s="4" t="n">
        <v>18</v>
      </c>
      <c r="AB80" s="4" t="n">
        <v>0</v>
      </c>
      <c r="AC80" s="4" t="n">
        <v>12</v>
      </c>
      <c r="AD80" s="4" t="n">
        <v>0</v>
      </c>
      <c r="AE80" s="8" t="n">
        <f aca="false">COUNTIF(F80:AD80,"&lt;=0")</f>
        <v>2</v>
      </c>
    </row>
    <row r="81" customFormat="false" ht="15" hidden="false" customHeight="false" outlineLevel="0" collapsed="false">
      <c r="A81" s="8" t="s">
        <v>116</v>
      </c>
      <c r="B81" s="8" t="s">
        <v>25</v>
      </c>
      <c r="C81" s="8" t="n">
        <v>30072</v>
      </c>
      <c r="D81" s="8" t="s">
        <v>402</v>
      </c>
      <c r="E81" s="4" t="n">
        <v>32</v>
      </c>
      <c r="F81" s="4" t="n">
        <v>0</v>
      </c>
      <c r="G81" s="4" t="n">
        <v>7</v>
      </c>
      <c r="H81" s="4" t="n">
        <v>5</v>
      </c>
      <c r="I81" s="4" t="n">
        <v>7</v>
      </c>
      <c r="J81" s="4" t="n">
        <v>8</v>
      </c>
      <c r="K81" s="4" t="n">
        <v>8</v>
      </c>
      <c r="L81" s="4" t="n">
        <v>11</v>
      </c>
      <c r="M81" s="4" t="n">
        <v>8</v>
      </c>
      <c r="N81" s="4" t="n">
        <v>6</v>
      </c>
      <c r="O81" s="4" t="n">
        <v>6</v>
      </c>
      <c r="P81" s="4" t="n">
        <v>6</v>
      </c>
      <c r="Q81" s="4" t="n">
        <v>3</v>
      </c>
      <c r="R81" s="4" t="n">
        <v>6</v>
      </c>
      <c r="S81" s="4" t="n">
        <v>6</v>
      </c>
      <c r="T81" s="4" t="n">
        <v>8</v>
      </c>
      <c r="U81" s="4" t="n">
        <v>7</v>
      </c>
      <c r="V81" s="4" t="n">
        <v>7</v>
      </c>
      <c r="W81" s="4" t="n">
        <v>2</v>
      </c>
      <c r="X81" s="4" t="n">
        <v>8</v>
      </c>
      <c r="Y81" s="4" t="n">
        <v>5</v>
      </c>
      <c r="Z81" s="4" t="n">
        <v>6</v>
      </c>
      <c r="AA81" s="4" t="n">
        <v>6</v>
      </c>
      <c r="AB81" s="4" t="n">
        <v>0</v>
      </c>
      <c r="AC81" s="4" t="n">
        <v>6</v>
      </c>
      <c r="AD81" s="4" t="n">
        <v>0</v>
      </c>
      <c r="AE81" s="8" t="n">
        <f aca="false">COUNTIF(F81:AD81,"&lt;=0")</f>
        <v>3</v>
      </c>
    </row>
    <row r="82" customFormat="false" ht="15" hidden="false" customHeight="false" outlineLevel="0" collapsed="false">
      <c r="A82" s="8" t="s">
        <v>116</v>
      </c>
      <c r="B82" s="8" t="s">
        <v>25</v>
      </c>
      <c r="C82" s="8" t="n">
        <v>30060</v>
      </c>
      <c r="D82" s="8" t="s">
        <v>315</v>
      </c>
      <c r="E82" s="4" t="n">
        <v>48</v>
      </c>
      <c r="F82" s="4" t="n">
        <v>0</v>
      </c>
      <c r="G82" s="4" t="n">
        <v>7</v>
      </c>
      <c r="H82" s="4" t="n">
        <v>7</v>
      </c>
      <c r="I82" s="4" t="n">
        <v>7</v>
      </c>
      <c r="J82" s="4" t="n">
        <v>8</v>
      </c>
      <c r="K82" s="4" t="n">
        <v>10</v>
      </c>
      <c r="L82" s="4" t="n">
        <v>11</v>
      </c>
      <c r="M82" s="4" t="n">
        <v>7</v>
      </c>
      <c r="N82" s="4" t="n">
        <v>0</v>
      </c>
      <c r="O82" s="4" t="n">
        <v>8</v>
      </c>
      <c r="P82" s="4" t="n">
        <v>7</v>
      </c>
      <c r="Q82" s="4" t="n">
        <v>0</v>
      </c>
      <c r="R82" s="4" t="n">
        <v>10</v>
      </c>
      <c r="S82" s="4" t="n">
        <v>8</v>
      </c>
      <c r="T82" s="4" t="n">
        <v>8</v>
      </c>
      <c r="U82" s="4" t="n">
        <v>7</v>
      </c>
      <c r="V82" s="4" t="n">
        <v>7</v>
      </c>
      <c r="W82" s="4" t="n">
        <v>0</v>
      </c>
      <c r="X82" s="4" t="n">
        <v>11</v>
      </c>
      <c r="Y82" s="4" t="n">
        <v>2</v>
      </c>
      <c r="Z82" s="4" t="n">
        <v>11</v>
      </c>
      <c r="AA82" s="4" t="n">
        <v>6</v>
      </c>
      <c r="AB82" s="4" t="n">
        <v>0</v>
      </c>
      <c r="AC82" s="4" t="n">
        <v>7</v>
      </c>
      <c r="AD82" s="4" t="n">
        <v>0</v>
      </c>
      <c r="AE82" s="8" t="n">
        <f aca="false">COUNTIF(F82:AD82,"&lt;=0")</f>
        <v>6</v>
      </c>
    </row>
    <row r="83" customFormat="false" ht="15" hidden="false" customHeight="false" outlineLevel="0" collapsed="false">
      <c r="A83" s="8" t="s">
        <v>116</v>
      </c>
      <c r="B83" s="8" t="s">
        <v>25</v>
      </c>
      <c r="C83" s="8" t="n">
        <v>30061</v>
      </c>
      <c r="D83" s="8" t="s">
        <v>343</v>
      </c>
      <c r="E83" s="4" t="n">
        <v>48</v>
      </c>
      <c r="F83" s="4" t="n">
        <v>0</v>
      </c>
      <c r="G83" s="4" t="n">
        <v>7</v>
      </c>
      <c r="H83" s="4" t="n">
        <v>9</v>
      </c>
      <c r="I83" s="4" t="n">
        <v>7</v>
      </c>
      <c r="J83" s="4" t="n">
        <v>7</v>
      </c>
      <c r="K83" s="4" t="n">
        <v>8</v>
      </c>
      <c r="L83" s="4" t="n">
        <v>7</v>
      </c>
      <c r="M83" s="4" t="n">
        <v>2</v>
      </c>
      <c r="N83" s="4" t="n">
        <v>6</v>
      </c>
      <c r="O83" s="4" t="n">
        <v>6</v>
      </c>
      <c r="P83" s="4" t="n">
        <v>8</v>
      </c>
      <c r="Q83" s="4" t="n">
        <v>3</v>
      </c>
      <c r="R83" s="4" t="n">
        <v>9</v>
      </c>
      <c r="S83" s="4" t="n">
        <v>7</v>
      </c>
      <c r="T83" s="4" t="n">
        <v>5</v>
      </c>
      <c r="U83" s="4" t="n">
        <v>6</v>
      </c>
      <c r="V83" s="4" t="n">
        <v>11</v>
      </c>
      <c r="W83" s="4" t="n">
        <v>6</v>
      </c>
      <c r="X83" s="4" t="n">
        <v>2</v>
      </c>
      <c r="Y83" s="4" t="n">
        <v>5</v>
      </c>
      <c r="Z83" s="4" t="n">
        <v>7</v>
      </c>
      <c r="AA83" s="4" t="n">
        <v>0</v>
      </c>
      <c r="AB83" s="4" t="n">
        <v>0</v>
      </c>
      <c r="AC83" s="4" t="n">
        <v>5</v>
      </c>
      <c r="AD83" s="4" t="n">
        <v>0</v>
      </c>
      <c r="AE83" s="8" t="n">
        <f aca="false">COUNTIF(F83:AD83,"&lt;=0")</f>
        <v>4</v>
      </c>
    </row>
    <row r="84" customFormat="false" ht="15" hidden="false" customHeight="false" outlineLevel="0" collapsed="false">
      <c r="A84" s="8" t="s">
        <v>116</v>
      </c>
      <c r="B84" s="8" t="s">
        <v>25</v>
      </c>
      <c r="C84" s="8" t="n">
        <v>30059</v>
      </c>
      <c r="D84" s="8" t="s">
        <v>305</v>
      </c>
      <c r="E84" s="4" t="n">
        <v>40</v>
      </c>
      <c r="F84" s="4" t="n">
        <v>0</v>
      </c>
      <c r="G84" s="4" t="n">
        <v>6</v>
      </c>
      <c r="H84" s="4" t="n">
        <v>1</v>
      </c>
      <c r="I84" s="4" t="n">
        <v>4</v>
      </c>
      <c r="J84" s="4" t="n">
        <v>21</v>
      </c>
      <c r="K84" s="4" t="n">
        <v>1</v>
      </c>
      <c r="L84" s="4" t="n">
        <v>2</v>
      </c>
      <c r="M84" s="4" t="n">
        <v>3</v>
      </c>
      <c r="N84" s="4" t="n">
        <v>19</v>
      </c>
      <c r="O84" s="4" t="n">
        <v>1</v>
      </c>
      <c r="P84" s="4" t="n">
        <v>0</v>
      </c>
      <c r="Q84" s="4" t="n">
        <v>0</v>
      </c>
      <c r="R84" s="4" t="n">
        <v>51</v>
      </c>
      <c r="S84" s="4" t="n">
        <v>40</v>
      </c>
      <c r="T84" s="4" t="n">
        <v>3</v>
      </c>
      <c r="U84" s="4" t="n">
        <v>3</v>
      </c>
      <c r="V84" s="4" t="n">
        <v>19</v>
      </c>
      <c r="W84" s="4" t="n">
        <v>0</v>
      </c>
      <c r="X84" s="4" t="n">
        <v>3</v>
      </c>
      <c r="Y84" s="4" t="n">
        <v>5</v>
      </c>
      <c r="Z84" s="4" t="n">
        <v>43</v>
      </c>
      <c r="AA84" s="4" t="n">
        <v>0</v>
      </c>
      <c r="AB84" s="4" t="n">
        <v>0</v>
      </c>
      <c r="AC84" s="4" t="n">
        <v>4</v>
      </c>
      <c r="AD84" s="4" t="n">
        <v>0</v>
      </c>
      <c r="AE84" s="8" t="n">
        <f aca="false">COUNTIF(F84:AD84,"&lt;=0")</f>
        <v>7</v>
      </c>
    </row>
    <row r="85" customFormat="false" ht="15" hidden="false" customHeight="false" outlineLevel="0" collapsed="false">
      <c r="A85" s="8" t="s">
        <v>116</v>
      </c>
      <c r="B85" s="8" t="s">
        <v>25</v>
      </c>
      <c r="C85" s="8" t="n">
        <v>30068</v>
      </c>
      <c r="D85" s="8" t="s">
        <v>327</v>
      </c>
      <c r="E85" s="4" t="n">
        <v>40</v>
      </c>
      <c r="F85" s="4" t="n">
        <v>0</v>
      </c>
      <c r="G85" s="4" t="n">
        <v>6</v>
      </c>
      <c r="H85" s="4" t="n">
        <v>5</v>
      </c>
      <c r="I85" s="4" t="n">
        <v>8</v>
      </c>
      <c r="J85" s="4" t="n">
        <v>4</v>
      </c>
      <c r="K85" s="4" t="n">
        <v>19</v>
      </c>
      <c r="L85" s="4" t="n">
        <v>6</v>
      </c>
      <c r="M85" s="4" t="n">
        <v>8</v>
      </c>
      <c r="N85" s="4" t="n">
        <v>9</v>
      </c>
      <c r="O85" s="4" t="n">
        <v>5</v>
      </c>
      <c r="P85" s="4" t="n">
        <v>6</v>
      </c>
      <c r="Q85" s="4" t="n">
        <v>0</v>
      </c>
      <c r="R85" s="4" t="n">
        <v>4</v>
      </c>
      <c r="S85" s="4" t="n">
        <v>5</v>
      </c>
      <c r="T85" s="4" t="n">
        <v>6</v>
      </c>
      <c r="U85" s="4" t="n">
        <v>6</v>
      </c>
      <c r="V85" s="4" t="n">
        <v>8</v>
      </c>
      <c r="W85" s="4" t="n">
        <v>6</v>
      </c>
      <c r="X85" s="4" t="n">
        <v>3</v>
      </c>
      <c r="Y85" s="4" t="n">
        <v>5</v>
      </c>
      <c r="Z85" s="4" t="n">
        <v>6</v>
      </c>
      <c r="AA85" s="4" t="n">
        <v>0</v>
      </c>
      <c r="AB85" s="4" t="n">
        <v>0</v>
      </c>
      <c r="AC85" s="4" t="n">
        <v>8</v>
      </c>
      <c r="AD85" s="4" t="n">
        <v>0</v>
      </c>
      <c r="AE85" s="8" t="n">
        <f aca="false">COUNTIF(F85:AD85,"&lt;=0")</f>
        <v>5</v>
      </c>
    </row>
    <row r="86" customFormat="false" ht="15" hidden="false" customHeight="false" outlineLevel="0" collapsed="false">
      <c r="A86" s="8" t="s">
        <v>116</v>
      </c>
      <c r="B86" s="8" t="s">
        <v>25</v>
      </c>
      <c r="C86" s="8" t="n">
        <v>30069</v>
      </c>
      <c r="D86" s="8" t="s">
        <v>396</v>
      </c>
      <c r="E86" s="4" t="n">
        <v>48</v>
      </c>
      <c r="F86" s="4" t="n">
        <v>0</v>
      </c>
      <c r="G86" s="4" t="n">
        <v>7</v>
      </c>
      <c r="H86" s="4" t="n">
        <v>2</v>
      </c>
      <c r="I86" s="4" t="n">
        <v>6</v>
      </c>
      <c r="J86" s="4" t="n">
        <v>8</v>
      </c>
      <c r="K86" s="4" t="n">
        <v>12</v>
      </c>
      <c r="L86" s="4" t="n">
        <v>7</v>
      </c>
      <c r="M86" s="4" t="n">
        <v>6</v>
      </c>
      <c r="N86" s="4" t="n">
        <v>2</v>
      </c>
      <c r="O86" s="4" t="n">
        <v>7</v>
      </c>
      <c r="P86" s="4" t="n">
        <v>8</v>
      </c>
      <c r="Q86" s="4" t="n">
        <v>2</v>
      </c>
      <c r="R86" s="4" t="n">
        <v>8</v>
      </c>
      <c r="S86" s="4" t="n">
        <v>11</v>
      </c>
      <c r="T86" s="4" t="n">
        <v>6</v>
      </c>
      <c r="U86" s="4" t="n">
        <v>8</v>
      </c>
      <c r="V86" s="4" t="n">
        <v>11</v>
      </c>
      <c r="W86" s="4" t="n">
        <v>6</v>
      </c>
      <c r="X86" s="4" t="n">
        <v>5</v>
      </c>
      <c r="Y86" s="4" t="n">
        <v>5</v>
      </c>
      <c r="Z86" s="4" t="n">
        <v>6</v>
      </c>
      <c r="AA86" s="4" t="n">
        <v>3</v>
      </c>
      <c r="AB86" s="4" t="n">
        <v>0</v>
      </c>
      <c r="AC86" s="4" t="n">
        <v>7</v>
      </c>
      <c r="AD86" s="4" t="n">
        <v>0</v>
      </c>
      <c r="AE86" s="8" t="n">
        <f aca="false">COUNTIF(F86:AD86,"&lt;=0")</f>
        <v>3</v>
      </c>
    </row>
    <row r="87" customFormat="false" ht="15" hidden="false" customHeight="false" outlineLevel="0" collapsed="false">
      <c r="A87" s="8" t="s">
        <v>116</v>
      </c>
      <c r="B87" s="8" t="s">
        <v>25</v>
      </c>
      <c r="C87" s="8" t="n">
        <v>30070</v>
      </c>
      <c r="D87" s="8" t="s">
        <v>351</v>
      </c>
      <c r="E87" s="4" t="n">
        <v>24</v>
      </c>
      <c r="F87" s="4" t="n">
        <v>0</v>
      </c>
      <c r="G87" s="4" t="n">
        <v>8</v>
      </c>
      <c r="H87" s="4" t="n">
        <v>4</v>
      </c>
      <c r="I87" s="4" t="n">
        <v>5</v>
      </c>
      <c r="J87" s="4" t="n">
        <v>9</v>
      </c>
      <c r="K87" s="4" t="n">
        <v>11</v>
      </c>
      <c r="L87" s="4" t="n">
        <v>4</v>
      </c>
      <c r="M87" s="4" t="n">
        <v>6</v>
      </c>
      <c r="N87" s="4" t="n">
        <v>6</v>
      </c>
      <c r="O87" s="4" t="n">
        <v>7</v>
      </c>
      <c r="P87" s="4" t="n">
        <v>5</v>
      </c>
      <c r="Q87" s="4" t="n">
        <v>7</v>
      </c>
      <c r="R87" s="4" t="n">
        <v>7</v>
      </c>
      <c r="S87" s="4" t="n">
        <v>8</v>
      </c>
      <c r="T87" s="4" t="n">
        <v>5</v>
      </c>
      <c r="U87" s="4" t="n">
        <v>5</v>
      </c>
      <c r="V87" s="4" t="n">
        <v>9</v>
      </c>
      <c r="W87" s="4" t="n">
        <v>8</v>
      </c>
      <c r="X87" s="4" t="n">
        <v>10</v>
      </c>
      <c r="Y87" s="4" t="n">
        <v>0</v>
      </c>
      <c r="Z87" s="4" t="n">
        <v>7</v>
      </c>
      <c r="AA87" s="4" t="n">
        <v>1</v>
      </c>
      <c r="AB87" s="4" t="n">
        <v>0</v>
      </c>
      <c r="AC87" s="4" t="n">
        <v>5</v>
      </c>
      <c r="AD87" s="4" t="n">
        <v>0</v>
      </c>
      <c r="AE87" s="8" t="n">
        <f aca="false">COUNTIF(F87:AD87,"&lt;=0")</f>
        <v>4</v>
      </c>
    </row>
    <row r="88" customFormat="false" ht="15" hidden="false" customHeight="false" outlineLevel="0" collapsed="false">
      <c r="A88" s="8" t="s">
        <v>116</v>
      </c>
      <c r="B88" s="8" t="s">
        <v>25</v>
      </c>
      <c r="C88" s="8" t="n">
        <v>30071</v>
      </c>
      <c r="D88" s="8" t="s">
        <v>540</v>
      </c>
      <c r="E88" s="4" t="n">
        <v>0</v>
      </c>
      <c r="F88" s="4" t="n">
        <v>0</v>
      </c>
      <c r="G88" s="4" t="n">
        <v>7</v>
      </c>
      <c r="H88" s="4" t="n">
        <v>0</v>
      </c>
      <c r="I88" s="4" t="n">
        <v>3</v>
      </c>
      <c r="J88" s="4" t="n">
        <v>9</v>
      </c>
      <c r="K88" s="4" t="n">
        <v>13</v>
      </c>
      <c r="L88" s="4" t="n">
        <v>1</v>
      </c>
      <c r="M88" s="4" t="n">
        <v>6</v>
      </c>
      <c r="N88" s="4" t="n">
        <v>10</v>
      </c>
      <c r="O88" s="4" t="n">
        <v>4</v>
      </c>
      <c r="P88" s="4" t="n">
        <v>2</v>
      </c>
      <c r="Q88" s="4" t="n">
        <v>6</v>
      </c>
      <c r="R88" s="4" t="n">
        <v>8</v>
      </c>
      <c r="S88" s="4" t="n">
        <v>11</v>
      </c>
      <c r="T88" s="4" t="n">
        <v>6</v>
      </c>
      <c r="U88" s="4" t="n">
        <v>2</v>
      </c>
      <c r="V88" s="4" t="n">
        <v>11</v>
      </c>
      <c r="W88" s="4" t="n">
        <v>10</v>
      </c>
      <c r="X88" s="4" t="n">
        <v>10</v>
      </c>
      <c r="Y88" s="4" t="n">
        <v>0</v>
      </c>
      <c r="Z88" s="4" t="n">
        <v>5</v>
      </c>
      <c r="AA88" s="4" t="n">
        <v>2</v>
      </c>
      <c r="AB88" s="4" t="n">
        <v>0</v>
      </c>
      <c r="AC88" s="4" t="n">
        <v>5</v>
      </c>
      <c r="AD88" s="4" t="n">
        <v>0</v>
      </c>
      <c r="AE88" s="8" t="n">
        <f aca="false">COUNTIF(F88:AD88,"&lt;=0")</f>
        <v>5</v>
      </c>
    </row>
    <row r="89" customFormat="false" ht="15" hidden="false" customHeight="false" outlineLevel="0" collapsed="false">
      <c r="A89" s="8" t="s">
        <v>116</v>
      </c>
      <c r="B89" s="8" t="s">
        <v>25</v>
      </c>
      <c r="C89" s="8" t="n">
        <v>30065</v>
      </c>
      <c r="D89" s="8" t="s">
        <v>403</v>
      </c>
      <c r="E89" s="4" t="n">
        <v>32</v>
      </c>
      <c r="F89" s="4" t="n">
        <v>0</v>
      </c>
      <c r="G89" s="4" t="n">
        <v>7</v>
      </c>
      <c r="H89" s="4" t="n">
        <v>6</v>
      </c>
      <c r="I89" s="4" t="n">
        <v>8</v>
      </c>
      <c r="J89" s="4" t="n">
        <v>6</v>
      </c>
      <c r="K89" s="4" t="n">
        <v>7</v>
      </c>
      <c r="L89" s="4" t="n">
        <v>7</v>
      </c>
      <c r="M89" s="4" t="n">
        <v>6</v>
      </c>
      <c r="N89" s="4" t="n">
        <v>1</v>
      </c>
      <c r="O89" s="4" t="n">
        <v>7</v>
      </c>
      <c r="P89" s="4" t="n">
        <v>8</v>
      </c>
      <c r="Q89" s="4" t="n">
        <v>2</v>
      </c>
      <c r="R89" s="4" t="n">
        <v>3</v>
      </c>
      <c r="S89" s="4" t="n">
        <v>3</v>
      </c>
      <c r="T89" s="4" t="n">
        <v>6</v>
      </c>
      <c r="U89" s="4" t="n">
        <v>8</v>
      </c>
      <c r="V89" s="4" t="n">
        <v>7</v>
      </c>
      <c r="W89" s="4" t="n">
        <v>3</v>
      </c>
      <c r="X89" s="4" t="n">
        <v>9</v>
      </c>
      <c r="Y89" s="4" t="n">
        <v>7</v>
      </c>
      <c r="Z89" s="4" t="n">
        <v>6</v>
      </c>
      <c r="AA89" s="4" t="n">
        <v>3</v>
      </c>
      <c r="AB89" s="4" t="n">
        <v>0</v>
      </c>
      <c r="AC89" s="4" t="n">
        <v>6</v>
      </c>
      <c r="AD89" s="4" t="n">
        <v>0</v>
      </c>
      <c r="AE89" s="8" t="n">
        <f aca="false">COUNTIF(F89:AD89,"&lt;=0")</f>
        <v>3</v>
      </c>
    </row>
    <row r="90" customFormat="false" ht="15" hidden="false" customHeight="false" outlineLevel="0" collapsed="false">
      <c r="A90" s="8" t="s">
        <v>116</v>
      </c>
      <c r="B90" s="8" t="s">
        <v>25</v>
      </c>
      <c r="C90" s="8" t="n">
        <v>30062</v>
      </c>
      <c r="D90" s="8" t="s">
        <v>329</v>
      </c>
      <c r="E90" s="4" t="n">
        <v>40</v>
      </c>
      <c r="F90" s="4" t="n">
        <v>0</v>
      </c>
      <c r="G90" s="4" t="n">
        <v>9</v>
      </c>
      <c r="H90" s="4" t="n">
        <v>2</v>
      </c>
      <c r="I90" s="4" t="n">
        <v>8</v>
      </c>
      <c r="J90" s="4" t="n">
        <v>7</v>
      </c>
      <c r="K90" s="4" t="n">
        <v>0</v>
      </c>
      <c r="L90" s="4" t="n">
        <v>5</v>
      </c>
      <c r="M90" s="4" t="n">
        <v>4</v>
      </c>
      <c r="N90" s="4" t="n">
        <v>0</v>
      </c>
      <c r="O90" s="4" t="n">
        <v>5</v>
      </c>
      <c r="P90" s="4" t="n">
        <v>6</v>
      </c>
      <c r="Q90" s="4" t="n">
        <v>3</v>
      </c>
      <c r="R90" s="4" t="n">
        <v>8</v>
      </c>
      <c r="S90" s="4" t="n">
        <v>11</v>
      </c>
      <c r="T90" s="4" t="n">
        <v>7</v>
      </c>
      <c r="U90" s="4" t="n">
        <v>4</v>
      </c>
      <c r="V90" s="4" t="n">
        <v>18</v>
      </c>
      <c r="W90" s="4" t="n">
        <v>8</v>
      </c>
      <c r="X90" s="4" t="n">
        <v>6</v>
      </c>
      <c r="Y90" s="4" t="n">
        <v>1</v>
      </c>
      <c r="Z90" s="4" t="n">
        <v>4</v>
      </c>
      <c r="AA90" s="4" t="n">
        <v>6</v>
      </c>
      <c r="AB90" s="4" t="n">
        <v>0</v>
      </c>
      <c r="AC90" s="4" t="n">
        <v>7</v>
      </c>
      <c r="AD90" s="4" t="n">
        <v>0</v>
      </c>
      <c r="AE90" s="8" t="n">
        <f aca="false">COUNTIF(F90:AD90,"&lt;=0")</f>
        <v>5</v>
      </c>
    </row>
    <row r="91" customFormat="false" ht="15" hidden="false" customHeight="false" outlineLevel="0" collapsed="false">
      <c r="A91" s="8" t="s">
        <v>116</v>
      </c>
      <c r="B91" s="8" t="s">
        <v>25</v>
      </c>
      <c r="C91" s="8" t="n">
        <v>30063</v>
      </c>
      <c r="D91" s="8" t="s">
        <v>325</v>
      </c>
      <c r="E91" s="4" t="n">
        <v>72</v>
      </c>
      <c r="F91" s="4" t="n">
        <v>0</v>
      </c>
      <c r="G91" s="4" t="n">
        <v>5</v>
      </c>
      <c r="H91" s="4" t="n">
        <v>9</v>
      </c>
      <c r="I91" s="4" t="n">
        <v>9</v>
      </c>
      <c r="J91" s="4" t="n">
        <v>6</v>
      </c>
      <c r="K91" s="4" t="n">
        <v>11</v>
      </c>
      <c r="L91" s="4" t="n">
        <v>6</v>
      </c>
      <c r="M91" s="4" t="n">
        <v>3</v>
      </c>
      <c r="N91" s="4" t="n">
        <v>0</v>
      </c>
      <c r="O91" s="4" t="n">
        <v>9</v>
      </c>
      <c r="P91" s="4" t="n">
        <v>8</v>
      </c>
      <c r="Q91" s="4" t="n">
        <v>0</v>
      </c>
      <c r="R91" s="4" t="n">
        <v>5</v>
      </c>
      <c r="S91" s="4" t="n">
        <v>5</v>
      </c>
      <c r="T91" s="4" t="n">
        <v>5</v>
      </c>
      <c r="U91" s="4" t="n">
        <v>6</v>
      </c>
      <c r="V91" s="4" t="n">
        <v>5</v>
      </c>
      <c r="W91" s="4" t="n">
        <v>12</v>
      </c>
      <c r="X91" s="4" t="n">
        <v>6</v>
      </c>
      <c r="Y91" s="4" t="n">
        <v>9</v>
      </c>
      <c r="Z91" s="4" t="n">
        <v>5</v>
      </c>
      <c r="AA91" s="4" t="n">
        <v>3</v>
      </c>
      <c r="AB91" s="4" t="n">
        <v>0</v>
      </c>
      <c r="AC91" s="4" t="n">
        <v>4</v>
      </c>
      <c r="AD91" s="4" t="n">
        <v>0</v>
      </c>
      <c r="AE91" s="8" t="n">
        <f aca="false">COUNTIF(F91:AD91,"&lt;=0")</f>
        <v>5</v>
      </c>
    </row>
    <row r="92" customFormat="false" ht="15" hidden="false" customHeight="false" outlineLevel="0" collapsed="false">
      <c r="A92" s="8" t="s">
        <v>116</v>
      </c>
      <c r="B92" s="8" t="s">
        <v>25</v>
      </c>
      <c r="C92" s="8" t="n">
        <v>30064</v>
      </c>
      <c r="D92" s="8" t="s">
        <v>378</v>
      </c>
      <c r="E92" s="4" t="n">
        <v>139</v>
      </c>
      <c r="F92" s="4" t="n">
        <v>0</v>
      </c>
      <c r="G92" s="4" t="n">
        <v>7</v>
      </c>
      <c r="H92" s="4" t="n">
        <v>9</v>
      </c>
      <c r="I92" s="4" t="n">
        <v>8</v>
      </c>
      <c r="J92" s="4" t="n">
        <v>6</v>
      </c>
      <c r="K92" s="4" t="n">
        <v>9</v>
      </c>
      <c r="L92" s="4" t="n">
        <v>7</v>
      </c>
      <c r="M92" s="4" t="n">
        <v>8</v>
      </c>
      <c r="N92" s="4" t="n">
        <v>2</v>
      </c>
      <c r="O92" s="4" t="n">
        <v>6</v>
      </c>
      <c r="P92" s="4" t="n">
        <v>10</v>
      </c>
      <c r="Q92" s="4" t="n">
        <v>4</v>
      </c>
      <c r="R92" s="4" t="n">
        <v>7</v>
      </c>
      <c r="S92" s="4" t="n">
        <v>8</v>
      </c>
      <c r="T92" s="4" t="n">
        <v>6</v>
      </c>
      <c r="U92" s="4" t="n">
        <v>7</v>
      </c>
      <c r="V92" s="4" t="n">
        <v>5</v>
      </c>
      <c r="W92" s="4" t="n">
        <v>9</v>
      </c>
      <c r="X92" s="4" t="n">
        <v>8</v>
      </c>
      <c r="Y92" s="4" t="n">
        <v>5</v>
      </c>
      <c r="Z92" s="4" t="n">
        <v>8</v>
      </c>
      <c r="AA92" s="4" t="n">
        <v>2</v>
      </c>
      <c r="AB92" s="4" t="n">
        <v>0</v>
      </c>
      <c r="AC92" s="4" t="n">
        <v>7</v>
      </c>
      <c r="AD92" s="4" t="n">
        <v>0</v>
      </c>
      <c r="AE92" s="8" t="n">
        <f aca="false">COUNTIF(F92:AD92,"&lt;=0")</f>
        <v>3</v>
      </c>
    </row>
    <row r="93" customFormat="false" ht="15" hidden="false" customHeight="false" outlineLevel="0" collapsed="false">
      <c r="A93" s="8" t="s">
        <v>158</v>
      </c>
      <c r="B93" s="8" t="s">
        <v>25</v>
      </c>
      <c r="C93" s="8" t="n">
        <v>30116</v>
      </c>
      <c r="D93" s="8" t="s">
        <v>278</v>
      </c>
      <c r="E93" s="4" t="n">
        <v>10</v>
      </c>
      <c r="F93" s="4" t="n">
        <v>0</v>
      </c>
      <c r="G93" s="4" t="n">
        <v>11</v>
      </c>
      <c r="H93" s="4" t="n">
        <v>1</v>
      </c>
      <c r="I93" s="4" t="n">
        <v>14</v>
      </c>
      <c r="J93" s="4" t="n">
        <v>35</v>
      </c>
      <c r="K93" s="4" t="n">
        <v>20</v>
      </c>
      <c r="L93" s="4" t="n">
        <v>0</v>
      </c>
      <c r="M93" s="4" t="n">
        <v>0</v>
      </c>
      <c r="N93" s="4" t="n">
        <v>2</v>
      </c>
      <c r="O93" s="4" t="n">
        <v>10</v>
      </c>
      <c r="P93" s="4" t="n">
        <v>0</v>
      </c>
      <c r="Q93" s="4" t="n">
        <v>33</v>
      </c>
      <c r="R93" s="4" t="n">
        <v>0</v>
      </c>
      <c r="S93" s="4" t="n">
        <v>16</v>
      </c>
      <c r="T93" s="4" t="n">
        <v>-1</v>
      </c>
      <c r="U93" s="4" t="n">
        <v>0</v>
      </c>
      <c r="V93" s="4" t="n">
        <v>0</v>
      </c>
      <c r="W93" s="4" t="n">
        <v>0</v>
      </c>
      <c r="X93" s="4" t="n">
        <v>0</v>
      </c>
      <c r="Y93" s="4" t="n">
        <v>2</v>
      </c>
      <c r="Z93" s="4" t="n">
        <v>0</v>
      </c>
      <c r="AA93" s="4" t="n">
        <v>2</v>
      </c>
      <c r="AB93" s="4" t="n">
        <v>0</v>
      </c>
      <c r="AC93" s="4" t="n">
        <v>0</v>
      </c>
      <c r="AD93" s="4" t="n">
        <v>0</v>
      </c>
      <c r="AE93" s="8" t="n">
        <f aca="false">COUNTIF(F93:AD93,"&lt;=0")</f>
        <v>14</v>
      </c>
    </row>
    <row r="94" customFormat="false" ht="15" hidden="false" customHeight="false" outlineLevel="0" collapsed="false">
      <c r="A94" s="8" t="s">
        <v>158</v>
      </c>
      <c r="B94" s="8" t="s">
        <v>25</v>
      </c>
      <c r="C94" s="8" t="n">
        <v>30115</v>
      </c>
      <c r="D94" s="8" t="s">
        <v>289</v>
      </c>
      <c r="E94" s="4" t="n">
        <v>83</v>
      </c>
      <c r="F94" s="4" t="n">
        <v>6</v>
      </c>
      <c r="G94" s="4" t="n">
        <v>12</v>
      </c>
      <c r="H94" s="4" t="n">
        <v>7</v>
      </c>
      <c r="I94" s="4" t="n">
        <v>18</v>
      </c>
      <c r="J94" s="4" t="n">
        <v>34</v>
      </c>
      <c r="K94" s="4" t="n">
        <v>20</v>
      </c>
      <c r="L94" s="4" t="n">
        <v>0</v>
      </c>
      <c r="M94" s="4" t="n">
        <v>0</v>
      </c>
      <c r="N94" s="4" t="n">
        <v>1</v>
      </c>
      <c r="O94" s="4" t="n">
        <v>10</v>
      </c>
      <c r="P94" s="4" t="n">
        <v>0</v>
      </c>
      <c r="Q94" s="4" t="n">
        <v>36</v>
      </c>
      <c r="R94" s="4" t="n">
        <v>0</v>
      </c>
      <c r="S94" s="4" t="n">
        <v>14</v>
      </c>
      <c r="T94" s="4" t="n">
        <v>0</v>
      </c>
      <c r="U94" s="4" t="n">
        <v>3</v>
      </c>
      <c r="V94" s="4" t="n">
        <v>4</v>
      </c>
      <c r="W94" s="4" t="n">
        <v>0</v>
      </c>
      <c r="X94" s="4" t="n">
        <v>0</v>
      </c>
      <c r="Y94" s="4" t="n">
        <v>1</v>
      </c>
      <c r="Z94" s="4" t="n">
        <v>0</v>
      </c>
      <c r="AA94" s="4" t="n">
        <v>7</v>
      </c>
      <c r="AB94" s="4" t="n">
        <v>0</v>
      </c>
      <c r="AC94" s="4" t="n">
        <v>0</v>
      </c>
      <c r="AD94" s="4" t="n">
        <v>5</v>
      </c>
      <c r="AE94" s="8" t="n">
        <f aca="false">COUNTIF(F94:AD94,"&lt;=0")</f>
        <v>10</v>
      </c>
    </row>
    <row r="95" customFormat="false" ht="15" hidden="false" customHeight="false" outlineLevel="0" collapsed="false">
      <c r="A95" s="8" t="s">
        <v>158</v>
      </c>
      <c r="B95" s="8" t="s">
        <v>25</v>
      </c>
      <c r="C95" s="8" t="n">
        <v>30054</v>
      </c>
      <c r="D95" s="8" t="s">
        <v>541</v>
      </c>
      <c r="E95" s="4" t="n">
        <v>0</v>
      </c>
      <c r="F95" s="4" t="n">
        <v>0</v>
      </c>
      <c r="G95" s="4" t="n">
        <v>23</v>
      </c>
      <c r="H95" s="4" t="n">
        <v>9</v>
      </c>
      <c r="I95" s="4" t="n">
        <v>8</v>
      </c>
      <c r="J95" s="4" t="n">
        <v>23</v>
      </c>
      <c r="K95" s="4" t="n">
        <v>26</v>
      </c>
      <c r="L95" s="4" t="n">
        <v>8</v>
      </c>
      <c r="M95" s="4" t="n">
        <v>12</v>
      </c>
      <c r="N95" s="4" t="n">
        <v>1</v>
      </c>
      <c r="O95" s="4" t="n">
        <v>0</v>
      </c>
      <c r="P95" s="4" t="n">
        <v>2</v>
      </c>
      <c r="Q95" s="4" t="n">
        <v>16</v>
      </c>
      <c r="R95" s="4" t="n">
        <v>11</v>
      </c>
      <c r="S95" s="4" t="n">
        <v>5</v>
      </c>
      <c r="T95" s="4" t="n">
        <v>6</v>
      </c>
      <c r="U95" s="4" t="n">
        <v>14</v>
      </c>
      <c r="V95" s="4" t="n">
        <v>9</v>
      </c>
      <c r="W95" s="4" t="n">
        <v>8</v>
      </c>
      <c r="X95" s="4" t="n">
        <v>22</v>
      </c>
      <c r="Y95" s="4" t="n">
        <v>4</v>
      </c>
      <c r="Z95" s="4" t="n">
        <v>15</v>
      </c>
      <c r="AA95" s="4" t="n">
        <v>5</v>
      </c>
      <c r="AB95" s="4" t="n">
        <v>0</v>
      </c>
      <c r="AC95" s="4" t="n">
        <v>7</v>
      </c>
      <c r="AD95" s="4" t="n">
        <v>5</v>
      </c>
      <c r="AE95" s="8" t="n">
        <f aca="false">COUNTIF(F95:AD95,"&lt;=0")</f>
        <v>3</v>
      </c>
    </row>
    <row r="96" customFormat="false" ht="15" hidden="false" customHeight="false" outlineLevel="0" collapsed="false">
      <c r="A96" s="8" t="s">
        <v>158</v>
      </c>
      <c r="B96" s="8" t="s">
        <v>25</v>
      </c>
      <c r="C96" s="8" t="n">
        <v>30055</v>
      </c>
      <c r="D96" s="8" t="s">
        <v>395</v>
      </c>
      <c r="E96" s="4" t="n">
        <v>50</v>
      </c>
      <c r="F96" s="4" t="n">
        <v>0</v>
      </c>
      <c r="G96" s="4" t="n">
        <v>17</v>
      </c>
      <c r="H96" s="4" t="n">
        <v>13</v>
      </c>
      <c r="I96" s="4" t="n">
        <v>2</v>
      </c>
      <c r="J96" s="4" t="n">
        <v>26</v>
      </c>
      <c r="K96" s="4" t="n">
        <v>9</v>
      </c>
      <c r="L96" s="4" t="n">
        <v>1</v>
      </c>
      <c r="M96" s="4" t="n">
        <v>4</v>
      </c>
      <c r="N96" s="4" t="n">
        <v>6</v>
      </c>
      <c r="O96" s="4" t="n">
        <v>10</v>
      </c>
      <c r="P96" s="4" t="n">
        <v>2</v>
      </c>
      <c r="Q96" s="4" t="n">
        <v>19</v>
      </c>
      <c r="R96" s="4" t="n">
        <v>12</v>
      </c>
      <c r="S96" s="4" t="n">
        <v>8</v>
      </c>
      <c r="T96" s="4" t="n">
        <v>2</v>
      </c>
      <c r="U96" s="4" t="n">
        <v>7</v>
      </c>
      <c r="V96" s="4" t="n">
        <v>7</v>
      </c>
      <c r="W96" s="4" t="n">
        <v>4</v>
      </c>
      <c r="X96" s="4" t="n">
        <v>13</v>
      </c>
      <c r="Y96" s="4" t="n">
        <v>7</v>
      </c>
      <c r="Z96" s="4" t="n">
        <v>13</v>
      </c>
      <c r="AA96" s="4" t="n">
        <v>12</v>
      </c>
      <c r="AB96" s="4" t="n">
        <v>0</v>
      </c>
      <c r="AC96" s="4" t="n">
        <v>4</v>
      </c>
      <c r="AD96" s="4" t="n">
        <v>0</v>
      </c>
      <c r="AE96" s="8" t="n">
        <f aca="false">COUNTIF(F96:AD96,"&lt;=0")</f>
        <v>3</v>
      </c>
    </row>
    <row r="97" customFormat="false" ht="15" hidden="false" customHeight="false" outlineLevel="0" collapsed="false">
      <c r="A97" s="8" t="s">
        <v>158</v>
      </c>
      <c r="B97" s="8" t="s">
        <v>25</v>
      </c>
      <c r="C97" s="8" t="n">
        <v>30052</v>
      </c>
      <c r="D97" s="8" t="s">
        <v>301</v>
      </c>
      <c r="E97" s="4" t="n">
        <v>95</v>
      </c>
      <c r="F97" s="4" t="n">
        <v>0</v>
      </c>
      <c r="G97" s="4" t="n">
        <v>19</v>
      </c>
      <c r="H97" s="4" t="n">
        <v>5</v>
      </c>
      <c r="I97" s="4" t="n">
        <v>0</v>
      </c>
      <c r="J97" s="4" t="n">
        <v>26</v>
      </c>
      <c r="K97" s="4" t="n">
        <v>26</v>
      </c>
      <c r="L97" s="4" t="n">
        <v>4</v>
      </c>
      <c r="M97" s="4" t="n">
        <v>1</v>
      </c>
      <c r="N97" s="4" t="n">
        <v>0</v>
      </c>
      <c r="O97" s="4" t="n">
        <v>10</v>
      </c>
      <c r="P97" s="4" t="n">
        <v>0</v>
      </c>
      <c r="Q97" s="4" t="n">
        <v>10</v>
      </c>
      <c r="R97" s="4" t="n">
        <v>10</v>
      </c>
      <c r="S97" s="4" t="n">
        <v>5</v>
      </c>
      <c r="T97" s="4" t="n">
        <v>0</v>
      </c>
      <c r="U97" s="4" t="n">
        <v>2</v>
      </c>
      <c r="V97" s="4" t="n">
        <v>5</v>
      </c>
      <c r="W97" s="4" t="n">
        <v>4</v>
      </c>
      <c r="X97" s="4" t="n">
        <v>29</v>
      </c>
      <c r="Y97" s="4" t="n">
        <v>6</v>
      </c>
      <c r="Z97" s="4" t="n">
        <v>12</v>
      </c>
      <c r="AA97" s="4" t="n">
        <v>1</v>
      </c>
      <c r="AB97" s="4" t="n">
        <v>0</v>
      </c>
      <c r="AC97" s="4" t="n">
        <v>4</v>
      </c>
      <c r="AD97" s="4" t="n">
        <v>0</v>
      </c>
      <c r="AE97" s="8" t="n">
        <f aca="false">COUNTIF(F97:AD97,"&lt;=0")</f>
        <v>7</v>
      </c>
    </row>
    <row r="98" customFormat="false" ht="15" hidden="false" customHeight="false" outlineLevel="0" collapsed="false">
      <c r="A98" s="8" t="s">
        <v>158</v>
      </c>
      <c r="B98" s="8" t="s">
        <v>25</v>
      </c>
      <c r="C98" s="8" t="n">
        <v>30053</v>
      </c>
      <c r="D98" s="8" t="s">
        <v>303</v>
      </c>
      <c r="E98" s="4" t="n">
        <v>60</v>
      </c>
      <c r="F98" s="4" t="n">
        <v>0</v>
      </c>
      <c r="G98" s="4" t="n">
        <v>2</v>
      </c>
      <c r="H98" s="4" t="n">
        <v>6</v>
      </c>
      <c r="I98" s="4" t="n">
        <v>6</v>
      </c>
      <c r="J98" s="4" t="n">
        <v>0</v>
      </c>
      <c r="K98" s="4" t="n">
        <v>22</v>
      </c>
      <c r="L98" s="4" t="n">
        <v>4</v>
      </c>
      <c r="M98" s="4" t="n">
        <v>0</v>
      </c>
      <c r="N98" s="4" t="n">
        <v>0</v>
      </c>
      <c r="O98" s="4" t="n">
        <v>10</v>
      </c>
      <c r="P98" s="4" t="n">
        <v>6</v>
      </c>
      <c r="Q98" s="4" t="n">
        <v>1</v>
      </c>
      <c r="R98" s="4" t="n">
        <v>25</v>
      </c>
      <c r="S98" s="4" t="n">
        <v>3</v>
      </c>
      <c r="T98" s="4" t="n">
        <v>10</v>
      </c>
      <c r="U98" s="4" t="n">
        <v>0</v>
      </c>
      <c r="V98" s="4" t="n">
        <v>7</v>
      </c>
      <c r="W98" s="4" t="n">
        <v>1</v>
      </c>
      <c r="X98" s="4" t="n">
        <v>27</v>
      </c>
      <c r="Y98" s="4" t="n">
        <v>2</v>
      </c>
      <c r="Z98" s="4" t="n">
        <v>4</v>
      </c>
      <c r="AA98" s="4" t="n">
        <v>3</v>
      </c>
      <c r="AB98" s="4" t="n">
        <v>0</v>
      </c>
      <c r="AC98" s="4" t="n">
        <v>2</v>
      </c>
      <c r="AD98" s="4" t="n">
        <v>0</v>
      </c>
      <c r="AE98" s="8" t="n">
        <f aca="false">COUNTIF(F98:AD98,"&lt;=0")</f>
        <v>7</v>
      </c>
    </row>
    <row r="99" customFormat="false" ht="15" hidden="false" customHeight="false" outlineLevel="0" collapsed="false">
      <c r="A99" s="8" t="s">
        <v>158</v>
      </c>
      <c r="B99" s="8" t="s">
        <v>25</v>
      </c>
      <c r="C99" s="8" t="n">
        <v>30051</v>
      </c>
      <c r="D99" s="8" t="s">
        <v>331</v>
      </c>
      <c r="E99" s="4" t="n">
        <v>30</v>
      </c>
      <c r="F99" s="4" t="n">
        <v>0</v>
      </c>
      <c r="G99" s="4" t="n">
        <v>21</v>
      </c>
      <c r="H99" s="4" t="n">
        <v>0</v>
      </c>
      <c r="I99" s="4" t="n">
        <v>3</v>
      </c>
      <c r="J99" s="4" t="n">
        <v>19</v>
      </c>
      <c r="K99" s="4" t="n">
        <v>26</v>
      </c>
      <c r="L99" s="4" t="n">
        <v>4</v>
      </c>
      <c r="M99" s="4" t="n">
        <v>0</v>
      </c>
      <c r="N99" s="4" t="n">
        <v>4</v>
      </c>
      <c r="O99" s="4" t="n">
        <v>11</v>
      </c>
      <c r="P99" s="4" t="n">
        <v>2</v>
      </c>
      <c r="Q99" s="4" t="n">
        <v>14</v>
      </c>
      <c r="R99" s="4" t="n">
        <v>13</v>
      </c>
      <c r="S99" s="4" t="n">
        <v>7</v>
      </c>
      <c r="T99" s="4" t="n">
        <v>7</v>
      </c>
      <c r="U99" s="4" t="n">
        <v>4</v>
      </c>
      <c r="V99" s="4" t="n">
        <v>15</v>
      </c>
      <c r="W99" s="4" t="n">
        <v>8</v>
      </c>
      <c r="X99" s="4" t="n">
        <v>16</v>
      </c>
      <c r="Y99" s="4" t="n">
        <v>4</v>
      </c>
      <c r="Z99" s="4" t="n">
        <v>12</v>
      </c>
      <c r="AA99" s="4" t="n">
        <v>6</v>
      </c>
      <c r="AB99" s="4" t="n">
        <v>0</v>
      </c>
      <c r="AC99" s="4" t="n">
        <v>2</v>
      </c>
      <c r="AD99" s="4" t="n">
        <v>0</v>
      </c>
      <c r="AE99" s="8" t="n">
        <f aca="false">COUNTIF(F99:AD99,"&lt;=0")</f>
        <v>5</v>
      </c>
    </row>
    <row r="100" customFormat="false" ht="15" hidden="false" customHeight="false" outlineLevel="0" collapsed="false">
      <c r="A100" s="8" t="s">
        <v>148</v>
      </c>
      <c r="B100" s="8" t="s">
        <v>25</v>
      </c>
      <c r="C100" s="8" t="n">
        <v>110388</v>
      </c>
      <c r="D100" s="8" t="s">
        <v>383</v>
      </c>
      <c r="E100" s="4" t="n">
        <v>120</v>
      </c>
      <c r="F100" s="4" t="n">
        <v>0</v>
      </c>
      <c r="G100" s="4" t="n">
        <v>15</v>
      </c>
      <c r="H100" s="4" t="n">
        <v>15</v>
      </c>
      <c r="I100" s="4" t="n">
        <v>4</v>
      </c>
      <c r="J100" s="4" t="n">
        <v>12</v>
      </c>
      <c r="K100" s="4" t="n">
        <v>12</v>
      </c>
      <c r="L100" s="4" t="n">
        <v>1</v>
      </c>
      <c r="M100" s="4" t="n">
        <v>12</v>
      </c>
      <c r="N100" s="4" t="n">
        <v>6</v>
      </c>
      <c r="O100" s="4" t="n">
        <v>12</v>
      </c>
      <c r="P100" s="4" t="n">
        <v>8</v>
      </c>
      <c r="Q100" s="4" t="n">
        <v>10</v>
      </c>
      <c r="R100" s="4" t="n">
        <v>9</v>
      </c>
      <c r="S100" s="4" t="n">
        <v>7</v>
      </c>
      <c r="T100" s="4" t="n">
        <v>7</v>
      </c>
      <c r="U100" s="4" t="n">
        <v>8</v>
      </c>
      <c r="V100" s="4" t="n">
        <v>11</v>
      </c>
      <c r="W100" s="4" t="n">
        <v>13</v>
      </c>
      <c r="X100" s="4" t="n">
        <v>8</v>
      </c>
      <c r="Y100" s="4" t="n">
        <v>3</v>
      </c>
      <c r="Z100" s="4" t="n">
        <v>6</v>
      </c>
      <c r="AA100" s="4" t="n">
        <v>4</v>
      </c>
      <c r="AB100" s="4" t="n">
        <v>0</v>
      </c>
      <c r="AC100" s="4" t="n">
        <v>9</v>
      </c>
      <c r="AD100" s="4" t="n">
        <v>0</v>
      </c>
      <c r="AE100" s="8" t="n">
        <f aca="false">COUNTIF(F100:AD100,"&lt;=0")</f>
        <v>3</v>
      </c>
    </row>
    <row r="101" customFormat="false" ht="15" hidden="false" customHeight="false" outlineLevel="0" collapsed="false">
      <c r="A101" s="8" t="s">
        <v>148</v>
      </c>
      <c r="B101" s="8" t="s">
        <v>25</v>
      </c>
      <c r="C101" s="8" t="n">
        <v>110384</v>
      </c>
      <c r="D101" s="8" t="s">
        <v>384</v>
      </c>
      <c r="E101" s="4" t="n">
        <v>120</v>
      </c>
      <c r="F101" s="4" t="n">
        <v>0</v>
      </c>
      <c r="G101" s="4" t="n">
        <v>6</v>
      </c>
      <c r="H101" s="4" t="n">
        <v>7</v>
      </c>
      <c r="I101" s="4" t="n">
        <v>4</v>
      </c>
      <c r="J101" s="4" t="n">
        <v>6</v>
      </c>
      <c r="K101" s="4" t="n">
        <v>17</v>
      </c>
      <c r="L101" s="4" t="n">
        <v>8</v>
      </c>
      <c r="M101" s="4" t="n">
        <v>3</v>
      </c>
      <c r="N101" s="4" t="n">
        <v>5</v>
      </c>
      <c r="O101" s="4" t="n">
        <v>3</v>
      </c>
      <c r="P101" s="4" t="n">
        <v>7</v>
      </c>
      <c r="Q101" s="4" t="n">
        <v>4</v>
      </c>
      <c r="R101" s="4" t="n">
        <v>5</v>
      </c>
      <c r="S101" s="4" t="n">
        <v>5</v>
      </c>
      <c r="T101" s="4" t="n">
        <v>7</v>
      </c>
      <c r="U101" s="4" t="n">
        <v>7</v>
      </c>
      <c r="V101" s="4" t="n">
        <v>9</v>
      </c>
      <c r="W101" s="4" t="n">
        <v>6</v>
      </c>
      <c r="X101" s="4" t="n">
        <v>6</v>
      </c>
      <c r="Y101" s="4" t="n">
        <v>10</v>
      </c>
      <c r="Z101" s="4" t="n">
        <v>8</v>
      </c>
      <c r="AA101" s="4" t="n">
        <v>11</v>
      </c>
      <c r="AB101" s="4" t="n">
        <v>0</v>
      </c>
      <c r="AC101" s="4" t="n">
        <v>10</v>
      </c>
      <c r="AD101" s="4" t="n">
        <v>0</v>
      </c>
      <c r="AE101" s="8" t="n">
        <f aca="false">COUNTIF(F101:AD101,"&lt;=0")</f>
        <v>3</v>
      </c>
    </row>
    <row r="102" customFormat="false" ht="15" hidden="false" customHeight="false" outlineLevel="0" collapsed="false">
      <c r="A102" s="8" t="s">
        <v>148</v>
      </c>
      <c r="B102" s="8" t="s">
        <v>25</v>
      </c>
      <c r="C102" s="8" t="n">
        <v>110386</v>
      </c>
      <c r="D102" s="8" t="s">
        <v>385</v>
      </c>
      <c r="E102" s="4" t="n">
        <v>120</v>
      </c>
      <c r="F102" s="4" t="n">
        <v>0</v>
      </c>
      <c r="G102" s="4" t="n">
        <v>4</v>
      </c>
      <c r="H102" s="4" t="n">
        <v>3</v>
      </c>
      <c r="I102" s="4" t="n">
        <v>4</v>
      </c>
      <c r="J102" s="4" t="n">
        <v>2</v>
      </c>
      <c r="K102" s="4" t="n">
        <v>10</v>
      </c>
      <c r="L102" s="4" t="n">
        <v>1</v>
      </c>
      <c r="M102" s="4" t="n">
        <v>4</v>
      </c>
      <c r="N102" s="4" t="n">
        <v>10</v>
      </c>
      <c r="O102" s="4" t="n">
        <v>3</v>
      </c>
      <c r="P102" s="4" t="n">
        <v>3</v>
      </c>
      <c r="Q102" s="4" t="n">
        <v>5</v>
      </c>
      <c r="R102" s="4" t="n">
        <v>3</v>
      </c>
      <c r="S102" s="4" t="n">
        <v>12</v>
      </c>
      <c r="T102" s="4" t="n">
        <v>7</v>
      </c>
      <c r="U102" s="4" t="n">
        <v>10</v>
      </c>
      <c r="V102" s="4" t="n">
        <v>17</v>
      </c>
      <c r="W102" s="4" t="n">
        <v>19</v>
      </c>
      <c r="X102" s="4" t="n">
        <v>12</v>
      </c>
      <c r="Y102" s="4" t="n">
        <v>15</v>
      </c>
      <c r="Z102" s="4" t="n">
        <v>7</v>
      </c>
      <c r="AA102" s="4" t="n">
        <v>9</v>
      </c>
      <c r="AB102" s="4" t="n">
        <v>0</v>
      </c>
      <c r="AC102" s="4" t="n">
        <v>6</v>
      </c>
      <c r="AD102" s="4" t="n">
        <v>0</v>
      </c>
      <c r="AE102" s="8" t="n">
        <f aca="false">COUNTIF(F102:AD102,"&lt;=0")</f>
        <v>3</v>
      </c>
    </row>
    <row r="103" customFormat="false" ht="15" hidden="false" customHeight="false" outlineLevel="0" collapsed="false">
      <c r="A103" s="8" t="s">
        <v>148</v>
      </c>
      <c r="B103" s="8" t="s">
        <v>25</v>
      </c>
      <c r="C103" s="8" t="n">
        <v>110385</v>
      </c>
      <c r="D103" s="8" t="s">
        <v>437</v>
      </c>
      <c r="E103" s="4" t="n">
        <v>120</v>
      </c>
      <c r="F103" s="4" t="n">
        <v>4</v>
      </c>
      <c r="G103" s="4" t="n">
        <v>6</v>
      </c>
      <c r="H103" s="4" t="n">
        <v>7</v>
      </c>
      <c r="I103" s="4" t="n">
        <v>9</v>
      </c>
      <c r="J103" s="4" t="n">
        <v>9</v>
      </c>
      <c r="K103" s="4" t="n">
        <v>10</v>
      </c>
      <c r="L103" s="4" t="n">
        <v>9</v>
      </c>
      <c r="M103" s="4" t="n">
        <v>7</v>
      </c>
      <c r="N103" s="4" t="n">
        <v>7</v>
      </c>
      <c r="O103" s="4" t="n">
        <v>2</v>
      </c>
      <c r="P103" s="4" t="n">
        <v>6</v>
      </c>
      <c r="Q103" s="4" t="n">
        <v>10</v>
      </c>
      <c r="R103" s="4" t="n">
        <v>11</v>
      </c>
      <c r="S103" s="4" t="n">
        <v>7</v>
      </c>
      <c r="T103" s="4" t="n">
        <v>8</v>
      </c>
      <c r="U103" s="4" t="n">
        <v>9</v>
      </c>
      <c r="V103" s="4" t="n">
        <v>11</v>
      </c>
      <c r="W103" s="4" t="n">
        <v>4</v>
      </c>
      <c r="X103" s="4" t="n">
        <v>9</v>
      </c>
      <c r="Y103" s="4" t="n">
        <v>5</v>
      </c>
      <c r="Z103" s="4" t="n">
        <v>7</v>
      </c>
      <c r="AA103" s="4" t="n">
        <v>9</v>
      </c>
      <c r="AB103" s="4" t="n">
        <v>0</v>
      </c>
      <c r="AC103" s="4" t="n">
        <v>9</v>
      </c>
      <c r="AD103" s="4" t="n">
        <v>0</v>
      </c>
      <c r="AE103" s="8" t="n">
        <f aca="false">COUNTIF(F103:AD103,"&lt;=0")</f>
        <v>2</v>
      </c>
    </row>
    <row r="104" customFormat="false" ht="15" hidden="false" customHeight="false" outlineLevel="0" collapsed="false">
      <c r="A104" s="8" t="s">
        <v>148</v>
      </c>
      <c r="B104" s="8" t="s">
        <v>25</v>
      </c>
      <c r="C104" s="8" t="n">
        <v>110389</v>
      </c>
      <c r="D104" s="8" t="s">
        <v>293</v>
      </c>
      <c r="E104" s="4" t="n">
        <v>120</v>
      </c>
      <c r="F104" s="4" t="n">
        <v>5</v>
      </c>
      <c r="G104" s="4" t="n">
        <v>0</v>
      </c>
      <c r="H104" s="4" t="n">
        <v>5</v>
      </c>
      <c r="I104" s="4" t="n">
        <v>1</v>
      </c>
      <c r="J104" s="4" t="n">
        <v>0</v>
      </c>
      <c r="K104" s="4" t="n">
        <v>0</v>
      </c>
      <c r="L104" s="4" t="n">
        <v>3</v>
      </c>
      <c r="M104" s="4" t="n">
        <v>8</v>
      </c>
      <c r="N104" s="4" t="n">
        <v>7</v>
      </c>
      <c r="O104" s="4" t="n">
        <v>0</v>
      </c>
      <c r="P104" s="4" t="n">
        <v>0</v>
      </c>
      <c r="Q104" s="4" t="n">
        <v>3</v>
      </c>
      <c r="R104" s="4" t="n">
        <v>0</v>
      </c>
      <c r="S104" s="4" t="n">
        <v>9</v>
      </c>
      <c r="T104" s="4" t="n">
        <v>6</v>
      </c>
      <c r="U104" s="4" t="n">
        <v>1</v>
      </c>
      <c r="V104" s="4" t="n">
        <v>12</v>
      </c>
      <c r="W104" s="4" t="n">
        <v>5</v>
      </c>
      <c r="X104" s="4" t="n">
        <v>10</v>
      </c>
      <c r="Y104" s="4" t="n">
        <v>4</v>
      </c>
      <c r="Z104" s="4" t="n">
        <v>2</v>
      </c>
      <c r="AA104" s="4" t="n">
        <v>6</v>
      </c>
      <c r="AB104" s="4" t="n">
        <v>0</v>
      </c>
      <c r="AC104" s="4" t="n">
        <v>3</v>
      </c>
      <c r="AD104" s="4" t="n">
        <v>0</v>
      </c>
      <c r="AE104" s="8" t="n">
        <f aca="false">COUNTIF(F104:AD104,"&lt;=0")</f>
        <v>8</v>
      </c>
    </row>
    <row r="105" customFormat="false" ht="15" hidden="false" customHeight="false" outlineLevel="0" collapsed="false">
      <c r="A105" s="8" t="s">
        <v>156</v>
      </c>
      <c r="B105" s="8" t="s">
        <v>25</v>
      </c>
      <c r="C105" s="8" t="n">
        <v>110863</v>
      </c>
      <c r="D105" s="8" t="s">
        <v>542</v>
      </c>
      <c r="E105" s="4" t="n">
        <v>0</v>
      </c>
      <c r="F105" s="4" t="n">
        <v>6</v>
      </c>
      <c r="G105" s="4" t="n">
        <v>2</v>
      </c>
      <c r="H105" s="4" t="n">
        <v>0</v>
      </c>
      <c r="I105" s="4" t="n">
        <v>2</v>
      </c>
      <c r="J105" s="4" t="n">
        <v>1</v>
      </c>
      <c r="K105" s="4" t="n">
        <v>0</v>
      </c>
      <c r="L105" s="4" t="n">
        <v>0</v>
      </c>
      <c r="M105" s="4" t="n">
        <v>0</v>
      </c>
      <c r="N105" s="4" t="n">
        <v>0</v>
      </c>
      <c r="O105" s="4" t="n">
        <v>3</v>
      </c>
      <c r="P105" s="4" t="n">
        <v>4</v>
      </c>
      <c r="Q105" s="4" t="n">
        <v>6</v>
      </c>
      <c r="R105" s="4" t="n">
        <v>4</v>
      </c>
      <c r="S105" s="4" t="n">
        <v>0</v>
      </c>
      <c r="T105" s="4" t="n">
        <v>8</v>
      </c>
      <c r="U105" s="4" t="n">
        <v>0</v>
      </c>
      <c r="V105" s="4" t="n">
        <v>0</v>
      </c>
      <c r="W105" s="4" t="n">
        <v>4</v>
      </c>
      <c r="X105" s="4" t="n">
        <v>0</v>
      </c>
      <c r="Y105" s="4" t="n">
        <v>7</v>
      </c>
      <c r="Z105" s="4" t="n">
        <v>3</v>
      </c>
      <c r="AA105" s="4" t="n">
        <v>5</v>
      </c>
      <c r="AB105" s="4" t="n">
        <v>0</v>
      </c>
      <c r="AC105" s="4" t="n">
        <v>4</v>
      </c>
      <c r="AD105" s="4" t="n">
        <v>0</v>
      </c>
      <c r="AE105" s="8" t="n">
        <f aca="false">COUNTIF(F105:AD105,"&lt;=0")</f>
        <v>11</v>
      </c>
    </row>
    <row r="106" customFormat="false" ht="15" hidden="false" customHeight="false" outlineLevel="0" collapsed="false">
      <c r="A106" s="8" t="s">
        <v>156</v>
      </c>
      <c r="B106" s="8" t="s">
        <v>25</v>
      </c>
      <c r="C106" s="8" t="n">
        <v>110864</v>
      </c>
      <c r="D106" s="8" t="s">
        <v>341</v>
      </c>
      <c r="E106" s="4" t="n">
        <v>69</v>
      </c>
      <c r="F106" s="4" t="n">
        <v>0</v>
      </c>
      <c r="G106" s="4" t="n">
        <v>7</v>
      </c>
      <c r="H106" s="4" t="n">
        <v>6</v>
      </c>
      <c r="I106" s="4" t="n">
        <v>4</v>
      </c>
      <c r="J106" s="4" t="n">
        <v>1</v>
      </c>
      <c r="K106" s="4" t="n">
        <v>7</v>
      </c>
      <c r="L106" s="4" t="n">
        <v>4</v>
      </c>
      <c r="M106" s="4" t="n">
        <v>6</v>
      </c>
      <c r="N106" s="4" t="n">
        <v>0</v>
      </c>
      <c r="O106" s="4" t="n">
        <v>5</v>
      </c>
      <c r="P106" s="4" t="n">
        <v>8</v>
      </c>
      <c r="Q106" s="4" t="n">
        <v>6</v>
      </c>
      <c r="R106" s="4" t="n">
        <v>7</v>
      </c>
      <c r="S106" s="4" t="n">
        <v>5</v>
      </c>
      <c r="T106" s="4" t="n">
        <v>5</v>
      </c>
      <c r="U106" s="4" t="n">
        <v>4</v>
      </c>
      <c r="V106" s="4" t="n">
        <v>4</v>
      </c>
      <c r="W106" s="4" t="n">
        <v>6</v>
      </c>
      <c r="X106" s="4" t="n">
        <v>5</v>
      </c>
      <c r="Y106" s="4" t="n">
        <v>4</v>
      </c>
      <c r="Z106" s="4" t="n">
        <v>6</v>
      </c>
      <c r="AA106" s="4" t="n">
        <v>5</v>
      </c>
      <c r="AB106" s="4" t="n">
        <v>0</v>
      </c>
      <c r="AC106" s="4" t="n">
        <v>2</v>
      </c>
      <c r="AD106" s="4" t="n">
        <v>0</v>
      </c>
      <c r="AE106" s="8" t="n">
        <f aca="false">COUNTIF(F106:AD106,"&lt;=0")</f>
        <v>4</v>
      </c>
    </row>
    <row r="107" customFormat="false" ht="15" hidden="false" customHeight="false" outlineLevel="0" collapsed="false">
      <c r="A107" s="8" t="s">
        <v>156</v>
      </c>
      <c r="B107" s="8" t="s">
        <v>25</v>
      </c>
      <c r="C107" s="8" t="n">
        <v>110865</v>
      </c>
      <c r="D107" s="8" t="s">
        <v>405</v>
      </c>
      <c r="E107" s="4" t="n">
        <v>24</v>
      </c>
      <c r="F107" s="4" t="n">
        <v>0</v>
      </c>
      <c r="G107" s="4" t="n">
        <v>7</v>
      </c>
      <c r="H107" s="4" t="n">
        <v>8</v>
      </c>
      <c r="I107" s="4" t="n">
        <v>6</v>
      </c>
      <c r="J107" s="4" t="n">
        <v>5</v>
      </c>
      <c r="K107" s="4" t="n">
        <v>9</v>
      </c>
      <c r="L107" s="4" t="n">
        <v>6</v>
      </c>
      <c r="M107" s="4" t="n">
        <v>7</v>
      </c>
      <c r="N107" s="4" t="n">
        <v>7</v>
      </c>
      <c r="O107" s="4" t="n">
        <v>6</v>
      </c>
      <c r="P107" s="4" t="n">
        <v>8</v>
      </c>
      <c r="Q107" s="4" t="n">
        <v>6</v>
      </c>
      <c r="R107" s="4" t="n">
        <v>7</v>
      </c>
      <c r="S107" s="4" t="n">
        <v>7</v>
      </c>
      <c r="T107" s="4" t="n">
        <v>6</v>
      </c>
      <c r="U107" s="4" t="n">
        <v>5</v>
      </c>
      <c r="V107" s="4" t="n">
        <v>10</v>
      </c>
      <c r="W107" s="4" t="n">
        <v>6</v>
      </c>
      <c r="X107" s="4" t="n">
        <v>6</v>
      </c>
      <c r="Y107" s="4" t="n">
        <v>4</v>
      </c>
      <c r="Z107" s="4" t="n">
        <v>7</v>
      </c>
      <c r="AA107" s="4" t="n">
        <v>5</v>
      </c>
      <c r="AB107" s="4" t="n">
        <v>0</v>
      </c>
      <c r="AC107" s="4" t="n">
        <v>12</v>
      </c>
      <c r="AD107" s="4" t="n">
        <v>0</v>
      </c>
      <c r="AE107" s="8" t="n">
        <f aca="false">COUNTIF(F107:AD107,"&lt;=0")</f>
        <v>3</v>
      </c>
    </row>
    <row r="108" customFormat="false" ht="15" hidden="false" customHeight="false" outlineLevel="0" collapsed="false">
      <c r="A108" s="8" t="s">
        <v>156</v>
      </c>
      <c r="B108" s="8" t="s">
        <v>25</v>
      </c>
      <c r="C108" s="8" t="n">
        <v>110866</v>
      </c>
      <c r="D108" s="8" t="s">
        <v>397</v>
      </c>
      <c r="E108" s="4" t="n">
        <v>48</v>
      </c>
      <c r="F108" s="4" t="n">
        <v>0</v>
      </c>
      <c r="G108" s="4" t="n">
        <v>8</v>
      </c>
      <c r="H108" s="4" t="n">
        <v>6</v>
      </c>
      <c r="I108" s="4" t="n">
        <v>10</v>
      </c>
      <c r="J108" s="4" t="n">
        <v>8</v>
      </c>
      <c r="K108" s="4" t="n">
        <v>8</v>
      </c>
      <c r="L108" s="4" t="n">
        <v>8</v>
      </c>
      <c r="M108" s="4" t="n">
        <v>5</v>
      </c>
      <c r="N108" s="4" t="n">
        <v>8</v>
      </c>
      <c r="O108" s="4" t="n">
        <v>9</v>
      </c>
      <c r="P108" s="4" t="n">
        <v>9</v>
      </c>
      <c r="Q108" s="4" t="n">
        <v>9</v>
      </c>
      <c r="R108" s="4" t="n">
        <v>11</v>
      </c>
      <c r="S108" s="4" t="n">
        <v>8</v>
      </c>
      <c r="T108" s="4" t="n">
        <v>8</v>
      </c>
      <c r="U108" s="4" t="n">
        <v>15</v>
      </c>
      <c r="V108" s="4" t="n">
        <v>6</v>
      </c>
      <c r="W108" s="4" t="n">
        <v>5</v>
      </c>
      <c r="X108" s="4" t="n">
        <v>4</v>
      </c>
      <c r="Y108" s="4" t="n">
        <v>5</v>
      </c>
      <c r="Z108" s="4" t="n">
        <v>7</v>
      </c>
      <c r="AA108" s="4" t="n">
        <v>4</v>
      </c>
      <c r="AB108" s="4" t="n">
        <v>0</v>
      </c>
      <c r="AC108" s="4" t="n">
        <v>8</v>
      </c>
      <c r="AD108" s="4" t="n">
        <v>0</v>
      </c>
      <c r="AE108" s="8" t="n">
        <f aca="false">COUNTIF(F108:AD108,"&lt;=0")</f>
        <v>3</v>
      </c>
    </row>
    <row r="109" customFormat="false" ht="15" hidden="false" customHeight="false" outlineLevel="0" collapsed="false">
      <c r="A109" s="8" t="s">
        <v>156</v>
      </c>
      <c r="B109" s="8" t="s">
        <v>25</v>
      </c>
      <c r="C109" s="8" t="n">
        <v>110867</v>
      </c>
      <c r="D109" s="8" t="s">
        <v>406</v>
      </c>
      <c r="E109" s="4" t="n">
        <v>20</v>
      </c>
      <c r="F109" s="4" t="n">
        <v>0</v>
      </c>
      <c r="G109" s="4" t="n">
        <v>5</v>
      </c>
      <c r="H109" s="4" t="n">
        <v>4</v>
      </c>
      <c r="I109" s="4" t="n">
        <v>6</v>
      </c>
      <c r="J109" s="4" t="n">
        <v>9</v>
      </c>
      <c r="K109" s="4" t="n">
        <v>11</v>
      </c>
      <c r="L109" s="4" t="n">
        <v>9</v>
      </c>
      <c r="M109" s="4" t="n">
        <v>3</v>
      </c>
      <c r="N109" s="4" t="n">
        <v>8</v>
      </c>
      <c r="O109" s="4" t="n">
        <v>6</v>
      </c>
      <c r="P109" s="4" t="n">
        <v>7</v>
      </c>
      <c r="Q109" s="4" t="n">
        <v>5</v>
      </c>
      <c r="R109" s="4" t="n">
        <v>6</v>
      </c>
      <c r="S109" s="4" t="n">
        <v>6</v>
      </c>
      <c r="T109" s="4" t="n">
        <v>6</v>
      </c>
      <c r="U109" s="4" t="n">
        <v>6</v>
      </c>
      <c r="V109" s="4" t="n">
        <v>7</v>
      </c>
      <c r="W109" s="4" t="n">
        <v>6</v>
      </c>
      <c r="X109" s="4" t="n">
        <v>7</v>
      </c>
      <c r="Y109" s="4" t="n">
        <v>4</v>
      </c>
      <c r="Z109" s="4" t="n">
        <v>6</v>
      </c>
      <c r="AA109" s="4" t="n">
        <v>5</v>
      </c>
      <c r="AB109" s="4" t="n">
        <v>0</v>
      </c>
      <c r="AC109" s="4" t="n">
        <v>7</v>
      </c>
      <c r="AD109" s="4" t="n">
        <v>0</v>
      </c>
      <c r="AE109" s="8" t="n">
        <f aca="false">COUNTIF(F109:AD109,"&lt;=0")</f>
        <v>3</v>
      </c>
    </row>
    <row r="110" customFormat="false" ht="15" hidden="false" customHeight="false" outlineLevel="0" collapsed="false">
      <c r="A110" s="8" t="s">
        <v>156</v>
      </c>
      <c r="B110" s="8" t="s">
        <v>25</v>
      </c>
      <c r="C110" s="8" t="n">
        <v>30016</v>
      </c>
      <c r="D110" s="8" t="s">
        <v>543</v>
      </c>
      <c r="E110" s="4" t="n">
        <v>0</v>
      </c>
      <c r="F110" s="4" t="n">
        <v>0</v>
      </c>
      <c r="G110" s="4" t="n">
        <v>16</v>
      </c>
      <c r="H110" s="4" t="n">
        <v>0</v>
      </c>
      <c r="I110" s="4" t="n">
        <v>7</v>
      </c>
      <c r="J110" s="4" t="n">
        <v>0</v>
      </c>
      <c r="K110" s="4" t="n">
        <v>30</v>
      </c>
      <c r="L110" s="4" t="n">
        <v>33</v>
      </c>
      <c r="M110" s="4" t="n">
        <v>8</v>
      </c>
      <c r="N110" s="4" t="n">
        <v>3</v>
      </c>
      <c r="O110" s="4" t="n">
        <v>0</v>
      </c>
      <c r="P110" s="4" t="n">
        <v>6</v>
      </c>
      <c r="Q110" s="4" t="n">
        <v>0</v>
      </c>
      <c r="R110" s="4" t="n">
        <v>0</v>
      </c>
      <c r="S110" s="4" t="n">
        <v>0</v>
      </c>
      <c r="T110" s="4" t="n">
        <v>0</v>
      </c>
      <c r="U110" s="4" t="n">
        <v>21</v>
      </c>
      <c r="V110" s="4" t="n">
        <v>0</v>
      </c>
      <c r="W110" s="4" t="n">
        <v>-2</v>
      </c>
      <c r="X110" s="4" t="n">
        <v>0</v>
      </c>
      <c r="Y110" s="4" t="n">
        <v>0</v>
      </c>
      <c r="Z110" s="4" t="n">
        <v>0</v>
      </c>
      <c r="AA110" s="4" t="n">
        <v>12</v>
      </c>
      <c r="AB110" s="4" t="n">
        <v>0</v>
      </c>
      <c r="AC110" s="4" t="n">
        <v>24</v>
      </c>
      <c r="AD110" s="4" t="n">
        <v>0</v>
      </c>
      <c r="AE110" s="8" t="n">
        <f aca="false">COUNTIF(F110:AD110,"&lt;=0")</f>
        <v>15</v>
      </c>
    </row>
    <row r="111" customFormat="false" ht="15" hidden="false" customHeight="false" outlineLevel="0" collapsed="false">
      <c r="A111" s="8" t="s">
        <v>68</v>
      </c>
      <c r="B111" s="8" t="s">
        <v>20</v>
      </c>
      <c r="C111" s="8" t="n">
        <v>101906</v>
      </c>
      <c r="D111" s="8" t="s">
        <v>544</v>
      </c>
      <c r="E111" s="4" t="n">
        <v>0</v>
      </c>
      <c r="F111" s="4" t="n">
        <v>4</v>
      </c>
      <c r="G111" s="4" t="n">
        <v>1</v>
      </c>
      <c r="H111" s="4" t="n">
        <v>3</v>
      </c>
      <c r="I111" s="4" t="n">
        <v>6</v>
      </c>
      <c r="J111" s="4" t="n">
        <v>5</v>
      </c>
      <c r="K111" s="4" t="n">
        <v>10</v>
      </c>
      <c r="L111" s="4" t="n">
        <v>4</v>
      </c>
      <c r="M111" s="4" t="n">
        <v>1</v>
      </c>
      <c r="N111" s="4" t="n">
        <v>4</v>
      </c>
      <c r="O111" s="4" t="n">
        <v>6</v>
      </c>
      <c r="P111" s="4" t="n">
        <v>4</v>
      </c>
      <c r="Q111" s="4" t="n">
        <v>1</v>
      </c>
      <c r="R111" s="4" t="n">
        <v>1</v>
      </c>
      <c r="S111" s="4" t="n">
        <v>1</v>
      </c>
      <c r="T111" s="4" t="n">
        <v>2</v>
      </c>
      <c r="U111" s="4" t="n">
        <v>5</v>
      </c>
      <c r="V111" s="4" t="n">
        <v>3</v>
      </c>
      <c r="W111" s="4" t="n">
        <v>3</v>
      </c>
      <c r="X111" s="4" t="n">
        <v>2</v>
      </c>
      <c r="Y111" s="4" t="n">
        <v>3</v>
      </c>
      <c r="Z111" s="4" t="n">
        <v>3</v>
      </c>
      <c r="AA111" s="4" t="n">
        <v>0</v>
      </c>
      <c r="AB111" s="4" t="n">
        <v>0</v>
      </c>
      <c r="AC111" s="4" t="n">
        <v>4</v>
      </c>
      <c r="AD111" s="4" t="n">
        <v>1</v>
      </c>
      <c r="AE111" s="8" t="n">
        <f aca="false">COUNTIF(F111:AD111,"&lt;=0")</f>
        <v>2</v>
      </c>
    </row>
    <row r="112" customFormat="false" ht="15" hidden="false" customHeight="false" outlineLevel="0" collapsed="false">
      <c r="A112" s="8" t="s">
        <v>68</v>
      </c>
      <c r="B112" s="8" t="s">
        <v>20</v>
      </c>
      <c r="C112" s="8" t="n">
        <v>100160</v>
      </c>
      <c r="D112" s="8" t="s">
        <v>545</v>
      </c>
      <c r="E112" s="4" t="n">
        <v>0</v>
      </c>
      <c r="F112" s="4" t="n">
        <v>5</v>
      </c>
      <c r="G112" s="4" t="n">
        <v>0</v>
      </c>
      <c r="H112" s="4" t="n">
        <v>0</v>
      </c>
      <c r="I112" s="4" t="n">
        <v>1</v>
      </c>
      <c r="J112" s="4" t="n">
        <v>5</v>
      </c>
      <c r="K112" s="4" t="n">
        <v>2</v>
      </c>
      <c r="L112" s="4" t="n">
        <v>5</v>
      </c>
      <c r="M112" s="4" t="n">
        <v>1</v>
      </c>
      <c r="N112" s="4" t="n">
        <v>3</v>
      </c>
      <c r="O112" s="4" t="n">
        <v>5</v>
      </c>
      <c r="P112" s="4" t="n">
        <v>3</v>
      </c>
      <c r="Q112" s="4" t="n">
        <v>3</v>
      </c>
      <c r="R112" s="4" t="n">
        <v>2</v>
      </c>
      <c r="S112" s="4" t="n">
        <v>1</v>
      </c>
      <c r="T112" s="4" t="n">
        <v>1</v>
      </c>
      <c r="U112" s="4" t="n">
        <v>5</v>
      </c>
      <c r="V112" s="4" t="n">
        <v>3</v>
      </c>
      <c r="W112" s="4" t="n">
        <v>3</v>
      </c>
      <c r="X112" s="4" t="n">
        <v>3</v>
      </c>
      <c r="Y112" s="4" t="n">
        <v>3</v>
      </c>
      <c r="Z112" s="4" t="n">
        <v>4</v>
      </c>
      <c r="AA112" s="4" t="n">
        <v>1</v>
      </c>
      <c r="AB112" s="4" t="n">
        <v>0</v>
      </c>
      <c r="AC112" s="4" t="n">
        <v>2</v>
      </c>
      <c r="AD112" s="4" t="n">
        <v>0</v>
      </c>
      <c r="AE112" s="8" t="n">
        <f aca="false">COUNTIF(F112:AD112,"&lt;=0")</f>
        <v>4</v>
      </c>
    </row>
    <row r="113" customFormat="false" ht="15" hidden="false" customHeight="false" outlineLevel="0" collapsed="false">
      <c r="A113" s="8" t="s">
        <v>68</v>
      </c>
      <c r="B113" s="8" t="s">
        <v>20</v>
      </c>
      <c r="C113" s="8" t="n">
        <v>101904</v>
      </c>
      <c r="D113" s="8" t="s">
        <v>546</v>
      </c>
      <c r="E113" s="4" t="n">
        <v>0</v>
      </c>
      <c r="F113" s="4" t="n">
        <v>5</v>
      </c>
      <c r="G113" s="4" t="n">
        <v>1</v>
      </c>
      <c r="H113" s="4" t="n">
        <v>6</v>
      </c>
      <c r="I113" s="4" t="n">
        <v>4</v>
      </c>
      <c r="J113" s="4" t="n">
        <v>11</v>
      </c>
      <c r="K113" s="4" t="n">
        <v>17</v>
      </c>
      <c r="L113" s="4" t="n">
        <v>7</v>
      </c>
      <c r="M113" s="4" t="n">
        <v>5</v>
      </c>
      <c r="N113" s="4" t="n">
        <v>4</v>
      </c>
      <c r="O113" s="4" t="n">
        <v>5</v>
      </c>
      <c r="P113" s="4" t="n">
        <v>7</v>
      </c>
      <c r="Q113" s="4" t="n">
        <v>2</v>
      </c>
      <c r="R113" s="4" t="n">
        <v>2</v>
      </c>
      <c r="S113" s="4" t="n">
        <v>1</v>
      </c>
      <c r="T113" s="4" t="n">
        <v>3</v>
      </c>
      <c r="U113" s="4" t="n">
        <v>7</v>
      </c>
      <c r="V113" s="4" t="n">
        <v>2</v>
      </c>
      <c r="W113" s="4" t="n">
        <v>3</v>
      </c>
      <c r="X113" s="4" t="n">
        <v>3</v>
      </c>
      <c r="Y113" s="4" t="n">
        <v>3</v>
      </c>
      <c r="Z113" s="4" t="n">
        <v>4</v>
      </c>
      <c r="AA113" s="4" t="n">
        <v>2</v>
      </c>
      <c r="AB113" s="4" t="n">
        <v>0</v>
      </c>
      <c r="AC113" s="4" t="n">
        <v>3</v>
      </c>
      <c r="AD113" s="4" t="n">
        <v>3</v>
      </c>
      <c r="AE113" s="8" t="n">
        <f aca="false">COUNTIF(F113:AD113,"&lt;=0")</f>
        <v>1</v>
      </c>
    </row>
    <row r="114" customFormat="false" ht="15" hidden="false" customHeight="false" outlineLevel="0" collapsed="false">
      <c r="A114" s="8" t="s">
        <v>68</v>
      </c>
      <c r="B114" s="8" t="s">
        <v>20</v>
      </c>
      <c r="C114" s="8" t="n">
        <v>101991</v>
      </c>
      <c r="D114" s="8" t="s">
        <v>452</v>
      </c>
      <c r="E114" s="4" t="n">
        <v>12</v>
      </c>
      <c r="F114" s="4" t="n">
        <v>4</v>
      </c>
      <c r="G114" s="4" t="n">
        <v>5</v>
      </c>
      <c r="H114" s="4" t="n">
        <v>6</v>
      </c>
      <c r="I114" s="4" t="n">
        <v>5</v>
      </c>
      <c r="J114" s="4" t="n">
        <v>5</v>
      </c>
      <c r="K114" s="4" t="n">
        <v>18</v>
      </c>
      <c r="L114" s="4" t="n">
        <v>5</v>
      </c>
      <c r="M114" s="4" t="n">
        <v>5</v>
      </c>
      <c r="N114" s="4" t="n">
        <v>4</v>
      </c>
      <c r="O114" s="4" t="n">
        <v>7</v>
      </c>
      <c r="P114" s="4" t="n">
        <v>4</v>
      </c>
      <c r="Q114" s="4" t="n">
        <v>3</v>
      </c>
      <c r="R114" s="4" t="n">
        <v>4</v>
      </c>
      <c r="S114" s="4" t="n">
        <v>6</v>
      </c>
      <c r="T114" s="4" t="n">
        <v>5</v>
      </c>
      <c r="U114" s="4" t="n">
        <v>5</v>
      </c>
      <c r="V114" s="4" t="n">
        <v>6</v>
      </c>
      <c r="W114" s="4" t="n">
        <v>2</v>
      </c>
      <c r="X114" s="4" t="n">
        <v>6</v>
      </c>
      <c r="Y114" s="4" t="n">
        <v>5</v>
      </c>
      <c r="Z114" s="4" t="n">
        <v>6</v>
      </c>
      <c r="AA114" s="4" t="n">
        <v>5</v>
      </c>
      <c r="AB114" s="4" t="n">
        <v>0</v>
      </c>
      <c r="AC114" s="4" t="n">
        <v>4</v>
      </c>
      <c r="AD114" s="4" t="n">
        <v>0</v>
      </c>
      <c r="AE114" s="8" t="n">
        <f aca="false">COUNTIF(F114:AD114,"&lt;=0")</f>
        <v>2</v>
      </c>
    </row>
    <row r="115" customFormat="false" ht="15" hidden="false" customHeight="false" outlineLevel="0" collapsed="false">
      <c r="A115" s="8" t="s">
        <v>68</v>
      </c>
      <c r="B115" s="8" t="s">
        <v>20</v>
      </c>
      <c r="C115" s="8" t="n">
        <v>101992</v>
      </c>
      <c r="D115" s="8" t="s">
        <v>445</v>
      </c>
      <c r="E115" s="4" t="n">
        <v>24</v>
      </c>
      <c r="F115" s="4" t="n">
        <v>4</v>
      </c>
      <c r="G115" s="4" t="n">
        <v>6</v>
      </c>
      <c r="H115" s="4" t="n">
        <v>8</v>
      </c>
      <c r="I115" s="4" t="n">
        <v>4</v>
      </c>
      <c r="J115" s="4" t="n">
        <v>16</v>
      </c>
      <c r="K115" s="4" t="n">
        <v>10</v>
      </c>
      <c r="L115" s="4" t="n">
        <v>6</v>
      </c>
      <c r="M115" s="4" t="n">
        <v>5</v>
      </c>
      <c r="N115" s="4" t="n">
        <v>5</v>
      </c>
      <c r="O115" s="4" t="n">
        <v>4</v>
      </c>
      <c r="P115" s="4" t="n">
        <v>6</v>
      </c>
      <c r="Q115" s="4" t="n">
        <v>4</v>
      </c>
      <c r="R115" s="4" t="n">
        <v>8</v>
      </c>
      <c r="S115" s="4" t="n">
        <v>4</v>
      </c>
      <c r="T115" s="4" t="n">
        <v>6</v>
      </c>
      <c r="U115" s="4" t="n">
        <v>5</v>
      </c>
      <c r="V115" s="4" t="n">
        <v>8</v>
      </c>
      <c r="W115" s="4" t="n">
        <v>5</v>
      </c>
      <c r="X115" s="4" t="n">
        <v>8</v>
      </c>
      <c r="Y115" s="4" t="n">
        <v>7</v>
      </c>
      <c r="Z115" s="4" t="n">
        <v>3</v>
      </c>
      <c r="AA115" s="4" t="n">
        <v>5</v>
      </c>
      <c r="AB115" s="4" t="n">
        <v>0</v>
      </c>
      <c r="AC115" s="4" t="n">
        <v>4</v>
      </c>
      <c r="AD115" s="4" t="n">
        <v>0</v>
      </c>
      <c r="AE115" s="8" t="n">
        <f aca="false">COUNTIF(F115:AD115,"&lt;=0")</f>
        <v>2</v>
      </c>
    </row>
    <row r="116" customFormat="false" ht="15" hidden="false" customHeight="false" outlineLevel="0" collapsed="false">
      <c r="A116" s="8" t="s">
        <v>68</v>
      </c>
      <c r="B116" s="8" t="s">
        <v>20</v>
      </c>
      <c r="C116" s="8" t="n">
        <v>101993</v>
      </c>
      <c r="D116" s="8" t="s">
        <v>547</v>
      </c>
      <c r="E116" s="4" t="n">
        <v>0</v>
      </c>
      <c r="F116" s="4" t="n">
        <v>4</v>
      </c>
      <c r="G116" s="4" t="n">
        <v>4</v>
      </c>
      <c r="H116" s="4" t="n">
        <v>6</v>
      </c>
      <c r="I116" s="4" t="n">
        <v>4</v>
      </c>
      <c r="J116" s="4" t="n">
        <v>6</v>
      </c>
      <c r="K116" s="4" t="n">
        <v>9</v>
      </c>
      <c r="L116" s="4" t="n">
        <v>6</v>
      </c>
      <c r="M116" s="4" t="n">
        <v>4</v>
      </c>
      <c r="N116" s="4" t="n">
        <v>4</v>
      </c>
      <c r="O116" s="4" t="n">
        <v>7</v>
      </c>
      <c r="P116" s="4" t="n">
        <v>5</v>
      </c>
      <c r="Q116" s="4" t="n">
        <v>3</v>
      </c>
      <c r="R116" s="4" t="n">
        <v>5</v>
      </c>
      <c r="S116" s="4" t="n">
        <v>4</v>
      </c>
      <c r="T116" s="4" t="n">
        <v>6</v>
      </c>
      <c r="U116" s="4" t="n">
        <v>5</v>
      </c>
      <c r="V116" s="4" t="n">
        <v>4</v>
      </c>
      <c r="W116" s="4" t="n">
        <v>6</v>
      </c>
      <c r="X116" s="4" t="n">
        <v>6</v>
      </c>
      <c r="Y116" s="4" t="n">
        <v>6</v>
      </c>
      <c r="Z116" s="4" t="n">
        <v>4</v>
      </c>
      <c r="AA116" s="4" t="n">
        <v>6</v>
      </c>
      <c r="AB116" s="4" t="n">
        <v>0</v>
      </c>
      <c r="AC116" s="4" t="n">
        <v>5</v>
      </c>
      <c r="AD116" s="4" t="n">
        <v>0</v>
      </c>
      <c r="AE116" s="8" t="n">
        <f aca="false">COUNTIF(F116:AD116,"&lt;=0")</f>
        <v>2</v>
      </c>
    </row>
    <row r="117" customFormat="false" ht="15" hidden="false" customHeight="false" outlineLevel="0" collapsed="false">
      <c r="A117" s="8" t="s">
        <v>68</v>
      </c>
      <c r="B117" s="8" t="s">
        <v>20</v>
      </c>
      <c r="C117" s="8" t="n">
        <v>101990</v>
      </c>
      <c r="D117" s="8" t="s">
        <v>416</v>
      </c>
      <c r="E117" s="4" t="n">
        <v>10</v>
      </c>
      <c r="F117" s="4" t="n">
        <v>0</v>
      </c>
      <c r="G117" s="4" t="n">
        <v>6</v>
      </c>
      <c r="H117" s="4" t="n">
        <v>14</v>
      </c>
      <c r="I117" s="4" t="n">
        <v>15</v>
      </c>
      <c r="J117" s="4" t="n">
        <v>22</v>
      </c>
      <c r="K117" s="4" t="n">
        <v>20</v>
      </c>
      <c r="L117" s="4" t="n">
        <v>13</v>
      </c>
      <c r="M117" s="4" t="n">
        <v>13</v>
      </c>
      <c r="N117" s="4" t="n">
        <v>5</v>
      </c>
      <c r="O117" s="4" t="n">
        <v>14</v>
      </c>
      <c r="P117" s="4" t="n">
        <v>4</v>
      </c>
      <c r="Q117" s="4" t="n">
        <v>5</v>
      </c>
      <c r="R117" s="4" t="n">
        <v>11</v>
      </c>
      <c r="S117" s="4" t="n">
        <v>5</v>
      </c>
      <c r="T117" s="4" t="n">
        <v>4</v>
      </c>
      <c r="U117" s="4" t="n">
        <v>11</v>
      </c>
      <c r="V117" s="4" t="n">
        <v>2</v>
      </c>
      <c r="W117" s="4" t="n">
        <v>5</v>
      </c>
      <c r="X117" s="4" t="n">
        <v>4</v>
      </c>
      <c r="Y117" s="4" t="n">
        <v>5</v>
      </c>
      <c r="Z117" s="4" t="n">
        <v>9</v>
      </c>
      <c r="AA117" s="4" t="n">
        <v>2</v>
      </c>
      <c r="AB117" s="4" t="n">
        <v>0</v>
      </c>
      <c r="AC117" s="4" t="n">
        <v>3</v>
      </c>
      <c r="AD117" s="4" t="n">
        <v>0</v>
      </c>
      <c r="AE117" s="8" t="n">
        <f aca="false">COUNTIF(F117:AD117,"&lt;=0")</f>
        <v>3</v>
      </c>
    </row>
    <row r="118" customFormat="false" ht="15" hidden="false" customHeight="false" outlineLevel="0" collapsed="false">
      <c r="A118" s="8" t="s">
        <v>68</v>
      </c>
      <c r="B118" s="8" t="s">
        <v>20</v>
      </c>
      <c r="C118" s="8" t="n">
        <v>102225</v>
      </c>
      <c r="D118" s="8" t="s">
        <v>548</v>
      </c>
      <c r="E118" s="4" t="n">
        <v>0</v>
      </c>
      <c r="F118" s="4" t="n">
        <v>0</v>
      </c>
      <c r="G118" s="4" t="n">
        <v>0</v>
      </c>
      <c r="H118" s="4" t="n">
        <v>3</v>
      </c>
      <c r="I118" s="4" t="n">
        <v>9</v>
      </c>
      <c r="J118" s="4" t="n">
        <v>0</v>
      </c>
      <c r="K118" s="4" t="n">
        <v>6</v>
      </c>
      <c r="L118" s="4" t="n">
        <v>1</v>
      </c>
      <c r="M118" s="4" t="n">
        <v>7</v>
      </c>
      <c r="N118" s="4" t="n">
        <v>3</v>
      </c>
      <c r="O118" s="4" t="n">
        <v>1</v>
      </c>
      <c r="P118" s="4" t="n">
        <v>7</v>
      </c>
      <c r="Q118" s="4" t="n">
        <v>3</v>
      </c>
      <c r="R118" s="4" t="n">
        <v>7</v>
      </c>
      <c r="S118" s="4" t="n">
        <v>0</v>
      </c>
      <c r="T118" s="4" t="n">
        <v>2</v>
      </c>
      <c r="U118" s="4" t="n">
        <v>22</v>
      </c>
      <c r="V118" s="4" t="n">
        <v>0</v>
      </c>
      <c r="W118" s="4" t="n">
        <v>0</v>
      </c>
      <c r="X118" s="4" t="n">
        <v>0</v>
      </c>
      <c r="Y118" s="4" t="n">
        <v>0</v>
      </c>
      <c r="Z118" s="4" t="n">
        <v>4</v>
      </c>
      <c r="AA118" s="4" t="n">
        <v>0</v>
      </c>
      <c r="AB118" s="4" t="n">
        <v>0</v>
      </c>
      <c r="AC118" s="4" t="n">
        <v>14</v>
      </c>
      <c r="AD118" s="4" t="n">
        <v>0</v>
      </c>
      <c r="AE118" s="8" t="n">
        <f aca="false">COUNTIF(F118:AD118,"&lt;=0")</f>
        <v>11</v>
      </c>
    </row>
    <row r="119" customFormat="false" ht="15" hidden="false" customHeight="false" outlineLevel="0" collapsed="false">
      <c r="A119" s="8" t="s">
        <v>68</v>
      </c>
      <c r="B119" s="8" t="s">
        <v>20</v>
      </c>
      <c r="C119" s="8" t="n">
        <v>231051</v>
      </c>
      <c r="D119" s="8" t="s">
        <v>549</v>
      </c>
      <c r="E119" s="4" t="n">
        <v>0</v>
      </c>
      <c r="F119" s="4" t="n">
        <v>0</v>
      </c>
      <c r="G119" s="4" t="n">
        <v>1</v>
      </c>
      <c r="H119" s="4" t="n">
        <v>2</v>
      </c>
      <c r="I119" s="4" t="n">
        <v>4</v>
      </c>
      <c r="J119" s="4" t="n">
        <v>0</v>
      </c>
      <c r="K119" s="4" t="n">
        <v>5</v>
      </c>
      <c r="L119" s="4" t="n">
        <v>2</v>
      </c>
      <c r="M119" s="4" t="n">
        <v>2</v>
      </c>
      <c r="N119" s="4" t="n">
        <v>8</v>
      </c>
      <c r="O119" s="4" t="n">
        <v>3</v>
      </c>
      <c r="P119" s="4" t="n">
        <v>3</v>
      </c>
      <c r="Q119" s="4" t="n">
        <v>3</v>
      </c>
      <c r="R119" s="4" t="n">
        <v>0</v>
      </c>
      <c r="S119" s="4" t="n">
        <v>0</v>
      </c>
      <c r="T119" s="4" t="n">
        <v>0</v>
      </c>
      <c r="U119" s="4" t="n">
        <v>12</v>
      </c>
      <c r="V119" s="4" t="n">
        <v>0</v>
      </c>
      <c r="W119" s="4" t="n">
        <v>0</v>
      </c>
      <c r="X119" s="4" t="n">
        <v>0</v>
      </c>
      <c r="Y119" s="4" t="n">
        <v>1</v>
      </c>
      <c r="Z119" s="4" t="n">
        <v>5</v>
      </c>
      <c r="AA119" s="4" t="n">
        <v>0</v>
      </c>
      <c r="AB119" s="4" t="n">
        <v>0</v>
      </c>
      <c r="AC119" s="4" t="n">
        <v>4</v>
      </c>
      <c r="AD119" s="4" t="n">
        <v>0</v>
      </c>
      <c r="AE119" s="8" t="n">
        <f aca="false">COUNTIF(F119:AD119,"&lt;=0")</f>
        <v>11</v>
      </c>
    </row>
    <row r="120" customFormat="false" ht="15" hidden="false" customHeight="false" outlineLevel="0" collapsed="false">
      <c r="A120" s="8" t="s">
        <v>68</v>
      </c>
      <c r="B120" s="8" t="s">
        <v>20</v>
      </c>
      <c r="C120" s="8" t="n">
        <v>231052</v>
      </c>
      <c r="D120" s="8" t="s">
        <v>550</v>
      </c>
      <c r="E120" s="4" t="n">
        <v>0</v>
      </c>
      <c r="F120" s="4" t="n">
        <v>0</v>
      </c>
      <c r="G120" s="4" t="n">
        <v>0</v>
      </c>
      <c r="H120" s="4" t="n">
        <v>0</v>
      </c>
      <c r="I120" s="4" t="n">
        <v>5</v>
      </c>
      <c r="J120" s="4" t="n">
        <v>3</v>
      </c>
      <c r="K120" s="4" t="n">
        <v>5</v>
      </c>
      <c r="L120" s="4" t="n">
        <v>0</v>
      </c>
      <c r="M120" s="4" t="n">
        <v>6</v>
      </c>
      <c r="N120" s="4" t="n">
        <v>7</v>
      </c>
      <c r="O120" s="4" t="n">
        <v>1</v>
      </c>
      <c r="P120" s="4" t="n">
        <v>4</v>
      </c>
      <c r="Q120" s="4" t="n">
        <v>4</v>
      </c>
      <c r="R120" s="4" t="n">
        <v>3</v>
      </c>
      <c r="S120" s="4" t="n">
        <v>0</v>
      </c>
      <c r="T120" s="4" t="n">
        <v>0</v>
      </c>
      <c r="U120" s="4" t="n">
        <v>9</v>
      </c>
      <c r="V120" s="4" t="n">
        <v>0</v>
      </c>
      <c r="W120" s="4" t="n">
        <v>0</v>
      </c>
      <c r="X120" s="4" t="n">
        <v>0</v>
      </c>
      <c r="Y120" s="4" t="n">
        <v>0</v>
      </c>
      <c r="Z120" s="4" t="n">
        <v>3</v>
      </c>
      <c r="AA120" s="4" t="n">
        <v>0</v>
      </c>
      <c r="AB120" s="4" t="n">
        <v>0</v>
      </c>
      <c r="AC120" s="4" t="n">
        <v>7</v>
      </c>
      <c r="AD120" s="4" t="n">
        <v>0</v>
      </c>
      <c r="AE120" s="8" t="n">
        <f aca="false">COUNTIF(F120:AD120,"&lt;=0")</f>
        <v>13</v>
      </c>
    </row>
    <row r="121" customFormat="false" ht="15" hidden="false" customHeight="false" outlineLevel="0" collapsed="false">
      <c r="A121" s="8" t="s">
        <v>68</v>
      </c>
      <c r="B121" s="8" t="s">
        <v>20</v>
      </c>
      <c r="C121" s="8" t="n">
        <v>102173</v>
      </c>
      <c r="D121" s="8" t="s">
        <v>551</v>
      </c>
      <c r="E121" s="4" t="n">
        <v>0</v>
      </c>
      <c r="F121" s="4" t="n">
        <v>3</v>
      </c>
      <c r="G121" s="4" t="n">
        <v>0</v>
      </c>
      <c r="H121" s="4" t="n">
        <v>5</v>
      </c>
      <c r="I121" s="4" t="n">
        <v>8</v>
      </c>
      <c r="J121" s="4" t="n">
        <v>11</v>
      </c>
      <c r="K121" s="4" t="n">
        <v>8</v>
      </c>
      <c r="L121" s="4" t="n">
        <v>10</v>
      </c>
      <c r="M121" s="4" t="n">
        <v>1</v>
      </c>
      <c r="N121" s="4" t="n">
        <v>2</v>
      </c>
      <c r="O121" s="4" t="n">
        <v>0</v>
      </c>
      <c r="P121" s="4" t="n">
        <v>8</v>
      </c>
      <c r="Q121" s="4" t="n">
        <v>0</v>
      </c>
      <c r="R121" s="4" t="n">
        <v>4</v>
      </c>
      <c r="S121" s="4" t="n">
        <v>1</v>
      </c>
      <c r="T121" s="4" t="n">
        <v>6</v>
      </c>
      <c r="U121" s="4" t="n">
        <v>7</v>
      </c>
      <c r="V121" s="4" t="n">
        <v>0</v>
      </c>
      <c r="W121" s="4" t="n">
        <v>2</v>
      </c>
      <c r="X121" s="4" t="n">
        <v>0</v>
      </c>
      <c r="Y121" s="4" t="n">
        <v>2</v>
      </c>
      <c r="Z121" s="4" t="n">
        <v>0</v>
      </c>
      <c r="AA121" s="4" t="n">
        <v>0</v>
      </c>
      <c r="AB121" s="4" t="n">
        <v>0</v>
      </c>
      <c r="AC121" s="4" t="n">
        <v>0</v>
      </c>
      <c r="AD121" s="4" t="n">
        <v>0</v>
      </c>
      <c r="AE121" s="8" t="n">
        <f aca="false">COUNTIF(F121:AD121,"&lt;=0")</f>
        <v>10</v>
      </c>
    </row>
    <row r="122" customFormat="false" ht="15" hidden="false" customHeight="false" outlineLevel="0" collapsed="false">
      <c r="A122" s="8" t="s">
        <v>68</v>
      </c>
      <c r="B122" s="8" t="s">
        <v>20</v>
      </c>
      <c r="C122" s="8" t="n">
        <v>102174</v>
      </c>
      <c r="D122" s="8" t="s">
        <v>552</v>
      </c>
      <c r="E122" s="4" t="n">
        <v>0</v>
      </c>
      <c r="F122" s="4" t="n">
        <v>6</v>
      </c>
      <c r="G122" s="4" t="n">
        <v>2</v>
      </c>
      <c r="H122" s="4" t="n">
        <v>7</v>
      </c>
      <c r="I122" s="4" t="n">
        <v>9</v>
      </c>
      <c r="J122" s="4" t="n">
        <v>4</v>
      </c>
      <c r="K122" s="4" t="n">
        <v>9</v>
      </c>
      <c r="L122" s="4" t="n">
        <v>4</v>
      </c>
      <c r="M122" s="4" t="n">
        <v>0</v>
      </c>
      <c r="N122" s="4" t="n">
        <v>3</v>
      </c>
      <c r="O122" s="4" t="n">
        <v>0</v>
      </c>
      <c r="P122" s="4" t="n">
        <v>10</v>
      </c>
      <c r="Q122" s="4" t="n">
        <v>4</v>
      </c>
      <c r="R122" s="4" t="n">
        <v>4</v>
      </c>
      <c r="S122" s="4" t="n">
        <v>1</v>
      </c>
      <c r="T122" s="4" t="n">
        <v>5</v>
      </c>
      <c r="U122" s="4" t="n">
        <v>12</v>
      </c>
      <c r="V122" s="4" t="n">
        <v>1</v>
      </c>
      <c r="W122" s="4" t="n">
        <v>4</v>
      </c>
      <c r="X122" s="4" t="n">
        <v>9</v>
      </c>
      <c r="Y122" s="4" t="n">
        <v>0</v>
      </c>
      <c r="Z122" s="4" t="n">
        <v>1</v>
      </c>
      <c r="AA122" s="4" t="n">
        <v>4</v>
      </c>
      <c r="AB122" s="4" t="n">
        <v>0</v>
      </c>
      <c r="AC122" s="4" t="n">
        <v>2</v>
      </c>
      <c r="AD122" s="4" t="n">
        <v>0</v>
      </c>
      <c r="AE122" s="8" t="n">
        <f aca="false">COUNTIF(F122:AD122,"&lt;=0")</f>
        <v>5</v>
      </c>
    </row>
    <row r="123" customFormat="false" ht="15" hidden="false" customHeight="false" outlineLevel="0" collapsed="false">
      <c r="A123" s="8" t="s">
        <v>68</v>
      </c>
      <c r="B123" s="8" t="s">
        <v>20</v>
      </c>
      <c r="C123" s="8" t="n">
        <v>102172</v>
      </c>
      <c r="D123" s="8" t="s">
        <v>553</v>
      </c>
      <c r="E123" s="4" t="n">
        <v>0</v>
      </c>
      <c r="F123" s="4" t="n">
        <v>0</v>
      </c>
      <c r="G123" s="4" t="n">
        <v>1</v>
      </c>
      <c r="H123" s="4" t="n">
        <v>5</v>
      </c>
      <c r="I123" s="4" t="n">
        <v>11</v>
      </c>
      <c r="J123" s="4" t="n">
        <v>0</v>
      </c>
      <c r="K123" s="4" t="n">
        <v>1</v>
      </c>
      <c r="L123" s="4" t="n">
        <v>4</v>
      </c>
      <c r="M123" s="4" t="n">
        <v>0</v>
      </c>
      <c r="N123" s="4" t="n">
        <v>4</v>
      </c>
      <c r="O123" s="4" t="n">
        <v>6</v>
      </c>
      <c r="P123" s="4" t="n">
        <v>3</v>
      </c>
      <c r="Q123" s="4" t="n">
        <v>3</v>
      </c>
      <c r="R123" s="4" t="n">
        <v>3</v>
      </c>
      <c r="S123" s="4" t="n">
        <v>0</v>
      </c>
      <c r="T123" s="4" t="n">
        <v>1</v>
      </c>
      <c r="U123" s="4" t="n">
        <v>16</v>
      </c>
      <c r="V123" s="4" t="n">
        <v>0</v>
      </c>
      <c r="W123" s="4" t="n">
        <v>1</v>
      </c>
      <c r="X123" s="4" t="n">
        <v>2</v>
      </c>
      <c r="Y123" s="4" t="n">
        <v>5</v>
      </c>
      <c r="Z123" s="4" t="n">
        <v>2</v>
      </c>
      <c r="AA123" s="4" t="n">
        <v>3</v>
      </c>
      <c r="AB123" s="4" t="n">
        <v>0</v>
      </c>
      <c r="AC123" s="4" t="n">
        <v>5</v>
      </c>
      <c r="AD123" s="4" t="n">
        <v>0</v>
      </c>
      <c r="AE123" s="8" t="n">
        <f aca="false">COUNTIF(F123:AD123,"&lt;=0")</f>
        <v>7</v>
      </c>
    </row>
    <row r="124" customFormat="false" ht="15" hidden="false" customHeight="false" outlineLevel="0" collapsed="false">
      <c r="A124" s="8" t="s">
        <v>68</v>
      </c>
      <c r="B124" s="8" t="s">
        <v>20</v>
      </c>
      <c r="C124" s="8" t="n">
        <v>102170</v>
      </c>
      <c r="D124" s="8" t="s">
        <v>554</v>
      </c>
      <c r="E124" s="4" t="n">
        <v>0</v>
      </c>
      <c r="F124" s="4" t="n">
        <v>0</v>
      </c>
      <c r="G124" s="4" t="n">
        <v>0</v>
      </c>
      <c r="H124" s="4" t="n">
        <v>1</v>
      </c>
      <c r="I124" s="4" t="n">
        <v>12</v>
      </c>
      <c r="J124" s="4" t="n">
        <v>1</v>
      </c>
      <c r="K124" s="4" t="n">
        <v>3</v>
      </c>
      <c r="L124" s="4" t="n">
        <v>0</v>
      </c>
      <c r="M124" s="4" t="n">
        <v>0</v>
      </c>
      <c r="N124" s="4" t="n">
        <v>3</v>
      </c>
      <c r="O124" s="4" t="n">
        <v>5</v>
      </c>
      <c r="P124" s="4" t="n">
        <v>0</v>
      </c>
      <c r="Q124" s="4" t="n">
        <v>1</v>
      </c>
      <c r="R124" s="4" t="n">
        <v>0</v>
      </c>
      <c r="S124" s="4" t="n">
        <v>0</v>
      </c>
      <c r="T124" s="4" t="n">
        <v>1</v>
      </c>
      <c r="U124" s="4" t="n">
        <v>10</v>
      </c>
      <c r="V124" s="4" t="n">
        <v>1</v>
      </c>
      <c r="W124" s="4" t="n">
        <v>2</v>
      </c>
      <c r="X124" s="4" t="n">
        <v>2</v>
      </c>
      <c r="Y124" s="4" t="n">
        <v>1</v>
      </c>
      <c r="Z124" s="4" t="n">
        <v>0</v>
      </c>
      <c r="AA124" s="4" t="n">
        <v>5</v>
      </c>
      <c r="AB124" s="4" t="n">
        <v>0</v>
      </c>
      <c r="AC124" s="4" t="n">
        <v>0</v>
      </c>
      <c r="AD124" s="4" t="n">
        <v>0</v>
      </c>
      <c r="AE124" s="8" t="n">
        <f aca="false">COUNTIF(F124:AD124,"&lt;=0")</f>
        <v>11</v>
      </c>
    </row>
    <row r="125" customFormat="false" ht="15" hidden="false" customHeight="false" outlineLevel="0" collapsed="false">
      <c r="A125" s="8" t="s">
        <v>68</v>
      </c>
      <c r="B125" s="8" t="s">
        <v>20</v>
      </c>
      <c r="C125" s="8" t="n">
        <v>102237</v>
      </c>
      <c r="D125" s="8" t="s">
        <v>404</v>
      </c>
      <c r="E125" s="4" t="n">
        <v>32</v>
      </c>
      <c r="F125" s="4" t="n">
        <v>0</v>
      </c>
      <c r="G125" s="4" t="n">
        <v>5</v>
      </c>
      <c r="H125" s="4" t="n">
        <v>2</v>
      </c>
      <c r="I125" s="4" t="n">
        <v>7</v>
      </c>
      <c r="J125" s="4" t="n">
        <v>7</v>
      </c>
      <c r="K125" s="4" t="n">
        <v>8</v>
      </c>
      <c r="L125" s="4" t="n">
        <v>4</v>
      </c>
      <c r="M125" s="4" t="n">
        <v>2</v>
      </c>
      <c r="N125" s="4" t="n">
        <v>6</v>
      </c>
      <c r="O125" s="4" t="n">
        <v>6</v>
      </c>
      <c r="P125" s="4" t="n">
        <v>7</v>
      </c>
      <c r="Q125" s="4" t="n">
        <v>5</v>
      </c>
      <c r="R125" s="4" t="n">
        <v>6</v>
      </c>
      <c r="S125" s="4" t="n">
        <v>6</v>
      </c>
      <c r="T125" s="4" t="n">
        <v>5</v>
      </c>
      <c r="U125" s="4" t="n">
        <v>7</v>
      </c>
      <c r="V125" s="4" t="n">
        <v>5</v>
      </c>
      <c r="W125" s="4" t="n">
        <v>6</v>
      </c>
      <c r="X125" s="4" t="n">
        <v>6</v>
      </c>
      <c r="Y125" s="4" t="n">
        <v>4</v>
      </c>
      <c r="Z125" s="4" t="n">
        <v>3</v>
      </c>
      <c r="AA125" s="4" t="n">
        <v>3</v>
      </c>
      <c r="AB125" s="4" t="n">
        <v>0</v>
      </c>
      <c r="AC125" s="4" t="n">
        <v>10</v>
      </c>
      <c r="AD125" s="4" t="n">
        <v>0</v>
      </c>
      <c r="AE125" s="8" t="n">
        <f aca="false">COUNTIF(F125:AD125,"&lt;=0")</f>
        <v>3</v>
      </c>
    </row>
    <row r="126" customFormat="false" ht="15" hidden="false" customHeight="false" outlineLevel="0" collapsed="false">
      <c r="A126" s="8" t="s">
        <v>68</v>
      </c>
      <c r="B126" s="8" t="s">
        <v>20</v>
      </c>
      <c r="C126" s="8" t="n">
        <v>102229</v>
      </c>
      <c r="D126" s="8" t="s">
        <v>555</v>
      </c>
      <c r="E126" s="4" t="n">
        <v>0</v>
      </c>
      <c r="F126" s="4" t="n">
        <v>6</v>
      </c>
      <c r="G126" s="4" t="n">
        <v>2</v>
      </c>
      <c r="H126" s="4" t="n">
        <v>5</v>
      </c>
      <c r="I126" s="4" t="n">
        <v>4</v>
      </c>
      <c r="J126" s="4" t="n">
        <v>24</v>
      </c>
      <c r="K126" s="4" t="n">
        <v>13</v>
      </c>
      <c r="L126" s="4" t="n">
        <v>5</v>
      </c>
      <c r="M126" s="4" t="n">
        <v>3</v>
      </c>
      <c r="N126" s="4" t="n">
        <v>5</v>
      </c>
      <c r="O126" s="4" t="n">
        <v>8</v>
      </c>
      <c r="P126" s="4" t="n">
        <v>7</v>
      </c>
      <c r="Q126" s="4" t="n">
        <v>5</v>
      </c>
      <c r="R126" s="4" t="n">
        <v>0</v>
      </c>
      <c r="S126" s="4" t="n">
        <v>9</v>
      </c>
      <c r="T126" s="4" t="n">
        <v>13</v>
      </c>
      <c r="U126" s="4" t="n">
        <v>7</v>
      </c>
      <c r="V126" s="4" t="n">
        <v>9</v>
      </c>
      <c r="W126" s="4" t="n">
        <v>12</v>
      </c>
      <c r="X126" s="4" t="n">
        <v>10</v>
      </c>
      <c r="Y126" s="4" t="n">
        <v>9</v>
      </c>
      <c r="Z126" s="4" t="n">
        <v>23</v>
      </c>
      <c r="AA126" s="4" t="n">
        <v>10</v>
      </c>
      <c r="AB126" s="4" t="n">
        <v>0</v>
      </c>
      <c r="AC126" s="4" t="n">
        <v>1</v>
      </c>
      <c r="AD126" s="4" t="n">
        <v>0</v>
      </c>
      <c r="AE126" s="8" t="n">
        <f aca="false">COUNTIF(F126:AD126,"&lt;=0")</f>
        <v>3</v>
      </c>
    </row>
    <row r="127" customFormat="false" ht="15" hidden="false" customHeight="false" outlineLevel="0" collapsed="false">
      <c r="A127" s="8" t="s">
        <v>68</v>
      </c>
      <c r="B127" s="8" t="s">
        <v>20</v>
      </c>
      <c r="C127" s="8" t="n">
        <v>102227</v>
      </c>
      <c r="D127" s="8" t="s">
        <v>556</v>
      </c>
      <c r="E127" s="4" t="n">
        <v>0</v>
      </c>
      <c r="F127" s="4" t="n">
        <v>0</v>
      </c>
      <c r="G127" s="4" t="n">
        <v>3</v>
      </c>
      <c r="H127" s="4" t="n">
        <v>3</v>
      </c>
      <c r="I127" s="4" t="n">
        <v>8</v>
      </c>
      <c r="J127" s="4" t="n">
        <v>9</v>
      </c>
      <c r="K127" s="4" t="n">
        <v>2</v>
      </c>
      <c r="L127" s="4" t="n">
        <v>2</v>
      </c>
      <c r="M127" s="4" t="n">
        <v>8</v>
      </c>
      <c r="N127" s="4" t="n">
        <v>5</v>
      </c>
      <c r="O127" s="4" t="n">
        <v>8</v>
      </c>
      <c r="P127" s="4" t="n">
        <v>4</v>
      </c>
      <c r="Q127" s="4" t="n">
        <v>2</v>
      </c>
      <c r="R127" s="4" t="n">
        <v>0</v>
      </c>
      <c r="S127" s="4" t="n">
        <v>6</v>
      </c>
      <c r="T127" s="4" t="n">
        <v>5</v>
      </c>
      <c r="U127" s="4" t="n">
        <v>3</v>
      </c>
      <c r="V127" s="4" t="n">
        <v>3</v>
      </c>
      <c r="W127" s="4" t="n">
        <v>11</v>
      </c>
      <c r="X127" s="4" t="n">
        <v>3</v>
      </c>
      <c r="Y127" s="4" t="n">
        <v>3</v>
      </c>
      <c r="Z127" s="4" t="n">
        <v>7</v>
      </c>
      <c r="AA127" s="4" t="n">
        <v>2</v>
      </c>
      <c r="AB127" s="4" t="n">
        <v>0</v>
      </c>
      <c r="AC127" s="4" t="n">
        <v>1</v>
      </c>
      <c r="AD127" s="4" t="n">
        <v>2</v>
      </c>
      <c r="AE127" s="8" t="n">
        <f aca="false">COUNTIF(F127:AD127,"&lt;=0")</f>
        <v>3</v>
      </c>
    </row>
    <row r="128" customFormat="false" ht="15" hidden="false" customHeight="false" outlineLevel="0" collapsed="false">
      <c r="A128" s="8" t="s">
        <v>68</v>
      </c>
      <c r="B128" s="8" t="s">
        <v>20</v>
      </c>
      <c r="C128" s="8" t="n">
        <v>102240</v>
      </c>
      <c r="D128" s="8" t="s">
        <v>557</v>
      </c>
      <c r="E128" s="4" t="n">
        <v>0</v>
      </c>
      <c r="F128" s="4" t="n">
        <v>7</v>
      </c>
      <c r="G128" s="4" t="n">
        <v>1</v>
      </c>
      <c r="H128" s="4" t="n">
        <v>2</v>
      </c>
      <c r="I128" s="4" t="n">
        <v>9</v>
      </c>
      <c r="J128" s="4" t="n">
        <v>6</v>
      </c>
      <c r="K128" s="4" t="n">
        <v>6</v>
      </c>
      <c r="L128" s="4" t="n">
        <v>9</v>
      </c>
      <c r="M128" s="4" t="n">
        <v>0</v>
      </c>
      <c r="N128" s="4" t="n">
        <v>10</v>
      </c>
      <c r="O128" s="4" t="n">
        <v>9</v>
      </c>
      <c r="P128" s="4" t="n">
        <v>5</v>
      </c>
      <c r="Q128" s="4" t="n">
        <v>3</v>
      </c>
      <c r="R128" s="4" t="n">
        <v>10</v>
      </c>
      <c r="S128" s="4" t="n">
        <v>1</v>
      </c>
      <c r="T128" s="4" t="n">
        <v>3</v>
      </c>
      <c r="U128" s="4" t="n">
        <v>3</v>
      </c>
      <c r="V128" s="4" t="n">
        <v>4</v>
      </c>
      <c r="W128" s="4" t="n">
        <v>8</v>
      </c>
      <c r="X128" s="4" t="n">
        <v>0</v>
      </c>
      <c r="Y128" s="4" t="n">
        <v>3</v>
      </c>
      <c r="Z128" s="4" t="n">
        <v>3</v>
      </c>
      <c r="AA128" s="4" t="n">
        <v>5</v>
      </c>
      <c r="AB128" s="4" t="n">
        <v>0</v>
      </c>
      <c r="AC128" s="4" t="n">
        <v>6</v>
      </c>
      <c r="AD128" s="4" t="n">
        <v>3</v>
      </c>
      <c r="AE128" s="8" t="n">
        <f aca="false">COUNTIF(F128:AD128,"&lt;=0")</f>
        <v>3</v>
      </c>
    </row>
    <row r="129" customFormat="false" ht="15" hidden="false" customHeight="false" outlineLevel="0" collapsed="false">
      <c r="A129" s="8" t="s">
        <v>68</v>
      </c>
      <c r="B129" s="8" t="s">
        <v>20</v>
      </c>
      <c r="C129" s="8" t="n">
        <v>102238</v>
      </c>
      <c r="D129" s="8" t="s">
        <v>558</v>
      </c>
      <c r="E129" s="4" t="n">
        <v>0</v>
      </c>
      <c r="F129" s="4" t="n">
        <v>0</v>
      </c>
      <c r="G129" s="4" t="n">
        <v>8</v>
      </c>
      <c r="H129" s="4" t="n">
        <v>1</v>
      </c>
      <c r="I129" s="4" t="n">
        <v>3</v>
      </c>
      <c r="J129" s="4" t="n">
        <v>15</v>
      </c>
      <c r="K129" s="4" t="n">
        <v>5</v>
      </c>
      <c r="L129" s="4" t="n">
        <v>0</v>
      </c>
      <c r="M129" s="4" t="n">
        <v>6</v>
      </c>
      <c r="N129" s="4" t="n">
        <v>3</v>
      </c>
      <c r="O129" s="4" t="n">
        <v>5</v>
      </c>
      <c r="P129" s="4" t="n">
        <v>1</v>
      </c>
      <c r="Q129" s="4" t="n">
        <v>4</v>
      </c>
      <c r="R129" s="4" t="n">
        <v>10</v>
      </c>
      <c r="S129" s="4" t="n">
        <v>4</v>
      </c>
      <c r="T129" s="4" t="n">
        <v>4</v>
      </c>
      <c r="U129" s="4" t="n">
        <v>5</v>
      </c>
      <c r="V129" s="4" t="n">
        <v>2</v>
      </c>
      <c r="W129" s="4" t="n">
        <v>7</v>
      </c>
      <c r="X129" s="4" t="n">
        <v>5</v>
      </c>
      <c r="Y129" s="4" t="n">
        <v>4</v>
      </c>
      <c r="Z129" s="4" t="n">
        <v>7</v>
      </c>
      <c r="AA129" s="4" t="n">
        <v>10</v>
      </c>
      <c r="AB129" s="4" t="n">
        <v>0</v>
      </c>
      <c r="AC129" s="4" t="n">
        <v>0</v>
      </c>
      <c r="AD129" s="4" t="n">
        <v>0</v>
      </c>
      <c r="AE129" s="8" t="n">
        <f aca="false">COUNTIF(F129:AD129,"&lt;=0")</f>
        <v>5</v>
      </c>
    </row>
    <row r="130" customFormat="false" ht="15" hidden="false" customHeight="false" outlineLevel="0" collapsed="false">
      <c r="A130" s="8" t="s">
        <v>68</v>
      </c>
      <c r="B130" s="8" t="s">
        <v>20</v>
      </c>
      <c r="C130" s="8" t="n">
        <v>102233</v>
      </c>
      <c r="D130" s="8" t="s">
        <v>559</v>
      </c>
      <c r="E130" s="4" t="n">
        <v>0</v>
      </c>
      <c r="F130" s="4" t="n">
        <v>0</v>
      </c>
      <c r="G130" s="4" t="n">
        <v>4</v>
      </c>
      <c r="H130" s="4" t="n">
        <v>6</v>
      </c>
      <c r="I130" s="4" t="n">
        <v>6</v>
      </c>
      <c r="J130" s="4" t="n">
        <v>7</v>
      </c>
      <c r="K130" s="4" t="n">
        <v>4</v>
      </c>
      <c r="L130" s="4" t="n">
        <v>6</v>
      </c>
      <c r="M130" s="4" t="n">
        <v>2</v>
      </c>
      <c r="N130" s="4" t="n">
        <v>5</v>
      </c>
      <c r="O130" s="4" t="n">
        <v>5</v>
      </c>
      <c r="P130" s="4" t="n">
        <v>6</v>
      </c>
      <c r="Q130" s="4" t="n">
        <v>4</v>
      </c>
      <c r="R130" s="4" t="n">
        <v>4</v>
      </c>
      <c r="S130" s="4" t="n">
        <v>4</v>
      </c>
      <c r="T130" s="4" t="n">
        <v>2</v>
      </c>
      <c r="U130" s="4" t="n">
        <v>3</v>
      </c>
      <c r="V130" s="4" t="n">
        <v>4</v>
      </c>
      <c r="W130" s="4" t="n">
        <v>2</v>
      </c>
      <c r="X130" s="4" t="n">
        <v>4</v>
      </c>
      <c r="Y130" s="4" t="n">
        <v>4</v>
      </c>
      <c r="Z130" s="4" t="n">
        <v>4</v>
      </c>
      <c r="AA130" s="4" t="n">
        <v>4</v>
      </c>
      <c r="AB130" s="4" t="n">
        <v>0</v>
      </c>
      <c r="AC130" s="4" t="n">
        <v>6</v>
      </c>
      <c r="AD130" s="4" t="n">
        <v>0</v>
      </c>
      <c r="AE130" s="8" t="n">
        <f aca="false">COUNTIF(F130:AD130,"&lt;=0")</f>
        <v>3</v>
      </c>
    </row>
    <row r="131" customFormat="false" ht="15" hidden="false" customHeight="false" outlineLevel="0" collapsed="false">
      <c r="A131" s="8" t="s">
        <v>68</v>
      </c>
      <c r="B131" s="8" t="s">
        <v>20</v>
      </c>
      <c r="C131" s="8" t="n">
        <v>102230</v>
      </c>
      <c r="D131" s="8" t="s">
        <v>409</v>
      </c>
      <c r="E131" s="4" t="n">
        <v>15</v>
      </c>
      <c r="F131" s="4" t="n">
        <v>8</v>
      </c>
      <c r="G131" s="4" t="n">
        <v>8</v>
      </c>
      <c r="H131" s="4" t="n">
        <v>4</v>
      </c>
      <c r="I131" s="4" t="n">
        <v>5</v>
      </c>
      <c r="J131" s="4" t="n">
        <v>10</v>
      </c>
      <c r="K131" s="4" t="n">
        <v>6</v>
      </c>
      <c r="L131" s="4" t="n">
        <v>3</v>
      </c>
      <c r="M131" s="4" t="n">
        <v>10</v>
      </c>
      <c r="N131" s="4" t="n">
        <v>5</v>
      </c>
      <c r="O131" s="4" t="n">
        <v>6</v>
      </c>
      <c r="P131" s="4" t="n">
        <v>4</v>
      </c>
      <c r="Q131" s="4" t="n">
        <v>5</v>
      </c>
      <c r="R131" s="4" t="n">
        <v>4</v>
      </c>
      <c r="S131" s="4" t="n">
        <v>2</v>
      </c>
      <c r="T131" s="4" t="n">
        <v>6</v>
      </c>
      <c r="U131" s="4" t="n">
        <v>5</v>
      </c>
      <c r="V131" s="4" t="n">
        <v>3</v>
      </c>
      <c r="W131" s="4" t="n">
        <v>5</v>
      </c>
      <c r="X131" s="4" t="n">
        <v>4</v>
      </c>
      <c r="Y131" s="4" t="n">
        <v>4</v>
      </c>
      <c r="Z131" s="4" t="n">
        <v>22</v>
      </c>
      <c r="AA131" s="4" t="n">
        <v>7</v>
      </c>
      <c r="AB131" s="4" t="n">
        <v>0</v>
      </c>
      <c r="AC131" s="4" t="n">
        <v>0</v>
      </c>
      <c r="AD131" s="4" t="n">
        <v>0</v>
      </c>
      <c r="AE131" s="8" t="n">
        <f aca="false">COUNTIF(F131:AD131,"&lt;=0")</f>
        <v>3</v>
      </c>
    </row>
    <row r="132" customFormat="false" ht="15" hidden="false" customHeight="false" outlineLevel="0" collapsed="false">
      <c r="A132" s="8" t="s">
        <v>68</v>
      </c>
      <c r="B132" s="8" t="s">
        <v>20</v>
      </c>
      <c r="C132" s="8" t="n">
        <v>102228</v>
      </c>
      <c r="D132" s="8" t="s">
        <v>560</v>
      </c>
      <c r="E132" s="4" t="n">
        <v>0</v>
      </c>
      <c r="F132" s="4" t="n">
        <v>0</v>
      </c>
      <c r="G132" s="4" t="n">
        <v>0</v>
      </c>
      <c r="H132" s="4" t="n">
        <v>4</v>
      </c>
      <c r="I132" s="4" t="n">
        <v>5</v>
      </c>
      <c r="J132" s="4" t="n">
        <v>2</v>
      </c>
      <c r="K132" s="4" t="n">
        <v>3</v>
      </c>
      <c r="L132" s="4" t="n">
        <v>0</v>
      </c>
      <c r="M132" s="4" t="n">
        <v>0</v>
      </c>
      <c r="N132" s="4" t="n">
        <v>0</v>
      </c>
      <c r="O132" s="4" t="n">
        <v>1</v>
      </c>
      <c r="P132" s="4" t="n">
        <v>7</v>
      </c>
      <c r="Q132" s="4" t="n">
        <v>3</v>
      </c>
      <c r="R132" s="4" t="n">
        <v>2</v>
      </c>
      <c r="S132" s="4" t="n">
        <v>3</v>
      </c>
      <c r="T132" s="4" t="n">
        <v>2</v>
      </c>
      <c r="U132" s="4" t="n">
        <v>0</v>
      </c>
      <c r="V132" s="4" t="n">
        <v>5</v>
      </c>
      <c r="W132" s="4" t="n">
        <v>5</v>
      </c>
      <c r="X132" s="4" t="n">
        <v>3</v>
      </c>
      <c r="Y132" s="4" t="n">
        <v>4</v>
      </c>
      <c r="Z132" s="4" t="n">
        <v>19</v>
      </c>
      <c r="AA132" s="4" t="n">
        <v>5</v>
      </c>
      <c r="AB132" s="4" t="n">
        <v>0</v>
      </c>
      <c r="AC132" s="4" t="n">
        <v>4</v>
      </c>
      <c r="AD132" s="4" t="n">
        <v>4</v>
      </c>
      <c r="AE132" s="8" t="n">
        <f aca="false">COUNTIF(F132:AD132,"&lt;=0")</f>
        <v>7</v>
      </c>
    </row>
    <row r="133" customFormat="false" ht="15" hidden="false" customHeight="false" outlineLevel="0" collapsed="false">
      <c r="A133" s="8" t="s">
        <v>68</v>
      </c>
      <c r="B133" s="8" t="s">
        <v>20</v>
      </c>
      <c r="C133" s="8" t="n">
        <v>102251</v>
      </c>
      <c r="D133" s="8" t="s">
        <v>561</v>
      </c>
      <c r="E133" s="4" t="n">
        <v>0</v>
      </c>
      <c r="F133" s="4" t="n">
        <v>7</v>
      </c>
      <c r="G133" s="4" t="n">
        <v>4</v>
      </c>
      <c r="H133" s="4" t="n">
        <v>6</v>
      </c>
      <c r="I133" s="4" t="n">
        <v>7</v>
      </c>
      <c r="J133" s="4" t="n">
        <v>4</v>
      </c>
      <c r="K133" s="4" t="n">
        <v>7</v>
      </c>
      <c r="L133" s="4" t="n">
        <v>7</v>
      </c>
      <c r="M133" s="4" t="n">
        <v>5</v>
      </c>
      <c r="N133" s="4" t="n">
        <v>3</v>
      </c>
      <c r="O133" s="4" t="n">
        <v>4</v>
      </c>
      <c r="P133" s="4" t="n">
        <v>8</v>
      </c>
      <c r="Q133" s="4" t="n">
        <v>4</v>
      </c>
      <c r="R133" s="4" t="n">
        <v>5</v>
      </c>
      <c r="S133" s="4" t="n">
        <v>6</v>
      </c>
      <c r="T133" s="4" t="n">
        <v>5</v>
      </c>
      <c r="U133" s="4" t="n">
        <v>6</v>
      </c>
      <c r="V133" s="4" t="n">
        <v>5</v>
      </c>
      <c r="W133" s="4" t="n">
        <v>3</v>
      </c>
      <c r="X133" s="4" t="n">
        <v>8</v>
      </c>
      <c r="Y133" s="4" t="n">
        <v>7</v>
      </c>
      <c r="Z133" s="4" t="n">
        <v>3</v>
      </c>
      <c r="AA133" s="4" t="n">
        <v>4</v>
      </c>
      <c r="AB133" s="4" t="n">
        <v>0</v>
      </c>
      <c r="AC133" s="4" t="n">
        <v>4</v>
      </c>
      <c r="AD133" s="4" t="n">
        <v>5</v>
      </c>
      <c r="AE133" s="8" t="n">
        <f aca="false">COUNTIF(F133:AD133,"&lt;=0")</f>
        <v>1</v>
      </c>
    </row>
    <row r="134" customFormat="false" ht="15" hidden="false" customHeight="false" outlineLevel="0" collapsed="false">
      <c r="A134" s="8" t="s">
        <v>68</v>
      </c>
      <c r="B134" s="8" t="s">
        <v>20</v>
      </c>
      <c r="C134" s="8" t="n">
        <v>102239</v>
      </c>
      <c r="D134" s="8" t="s">
        <v>562</v>
      </c>
      <c r="E134" s="4" t="n">
        <v>0</v>
      </c>
      <c r="F134" s="4" t="n">
        <v>0</v>
      </c>
      <c r="G134" s="4" t="n">
        <v>6</v>
      </c>
      <c r="H134" s="4" t="n">
        <v>5</v>
      </c>
      <c r="I134" s="4" t="n">
        <v>5</v>
      </c>
      <c r="J134" s="4" t="n">
        <v>22</v>
      </c>
      <c r="K134" s="4" t="n">
        <v>23</v>
      </c>
      <c r="L134" s="4" t="n">
        <v>9</v>
      </c>
      <c r="M134" s="4" t="n">
        <v>8</v>
      </c>
      <c r="N134" s="4" t="n">
        <v>7</v>
      </c>
      <c r="O134" s="4" t="n">
        <v>11</v>
      </c>
      <c r="P134" s="4" t="n">
        <v>0</v>
      </c>
      <c r="Q134" s="4" t="n">
        <v>5</v>
      </c>
      <c r="R134" s="4" t="n">
        <v>4</v>
      </c>
      <c r="S134" s="4" t="n">
        <v>6</v>
      </c>
      <c r="T134" s="4" t="n">
        <v>7</v>
      </c>
      <c r="U134" s="4" t="n">
        <v>2</v>
      </c>
      <c r="V134" s="4" t="n">
        <v>7</v>
      </c>
      <c r="W134" s="4" t="n">
        <v>6</v>
      </c>
      <c r="X134" s="4" t="n">
        <v>3</v>
      </c>
      <c r="Y134" s="4" t="n">
        <v>5</v>
      </c>
      <c r="Z134" s="4" t="n">
        <v>4</v>
      </c>
      <c r="AA134" s="4" t="n">
        <v>5</v>
      </c>
      <c r="AB134" s="4" t="n">
        <v>0</v>
      </c>
      <c r="AC134" s="4" t="n">
        <v>1</v>
      </c>
      <c r="AD134" s="4" t="n">
        <v>0</v>
      </c>
      <c r="AE134" s="8" t="n">
        <f aca="false">COUNTIF(F134:AD134,"&lt;=0")</f>
        <v>4</v>
      </c>
    </row>
    <row r="135" customFormat="false" ht="15" hidden="false" customHeight="false" outlineLevel="0" collapsed="false">
      <c r="A135" s="8" t="s">
        <v>68</v>
      </c>
      <c r="B135" s="8" t="s">
        <v>20</v>
      </c>
      <c r="C135" s="8" t="n">
        <v>102234</v>
      </c>
      <c r="D135" s="8" t="s">
        <v>563</v>
      </c>
      <c r="E135" s="4" t="n">
        <v>0</v>
      </c>
      <c r="F135" s="4" t="n">
        <v>0</v>
      </c>
      <c r="G135" s="4" t="n">
        <v>4</v>
      </c>
      <c r="H135" s="4" t="n">
        <v>4</v>
      </c>
      <c r="I135" s="4" t="n">
        <v>3</v>
      </c>
      <c r="J135" s="4" t="n">
        <v>5</v>
      </c>
      <c r="K135" s="4" t="n">
        <v>6</v>
      </c>
      <c r="L135" s="4" t="n">
        <v>5</v>
      </c>
      <c r="M135" s="4" t="n">
        <v>4</v>
      </c>
      <c r="N135" s="4" t="n">
        <v>4</v>
      </c>
      <c r="O135" s="4" t="n">
        <v>6</v>
      </c>
      <c r="P135" s="4" t="n">
        <v>5</v>
      </c>
      <c r="Q135" s="4" t="n">
        <v>3</v>
      </c>
      <c r="R135" s="4" t="n">
        <v>4</v>
      </c>
      <c r="S135" s="4" t="n">
        <v>5</v>
      </c>
      <c r="T135" s="4" t="n">
        <v>2</v>
      </c>
      <c r="U135" s="4" t="n">
        <v>0</v>
      </c>
      <c r="V135" s="4" t="n">
        <v>5</v>
      </c>
      <c r="W135" s="4" t="n">
        <v>4</v>
      </c>
      <c r="X135" s="4" t="n">
        <v>4</v>
      </c>
      <c r="Y135" s="4" t="n">
        <v>3</v>
      </c>
      <c r="Z135" s="4" t="n">
        <v>5</v>
      </c>
      <c r="AA135" s="4" t="n">
        <v>4</v>
      </c>
      <c r="AB135" s="4" t="n">
        <v>0</v>
      </c>
      <c r="AC135" s="4" t="n">
        <v>4</v>
      </c>
      <c r="AD135" s="4" t="n">
        <v>0</v>
      </c>
      <c r="AE135" s="8" t="n">
        <f aca="false">COUNTIF(F135:AD135,"&lt;=0")</f>
        <v>4</v>
      </c>
    </row>
    <row r="136" customFormat="false" ht="15" hidden="false" customHeight="false" outlineLevel="0" collapsed="false">
      <c r="A136" s="8" t="s">
        <v>68</v>
      </c>
      <c r="B136" s="8" t="s">
        <v>20</v>
      </c>
      <c r="C136" s="8" t="n">
        <v>102439</v>
      </c>
      <c r="D136" s="8" t="s">
        <v>333</v>
      </c>
      <c r="E136" s="4" t="n">
        <v>20</v>
      </c>
      <c r="F136" s="4" t="n">
        <v>0</v>
      </c>
      <c r="G136" s="4" t="n">
        <v>4</v>
      </c>
      <c r="H136" s="4" t="n">
        <v>4</v>
      </c>
      <c r="I136" s="4" t="n">
        <v>2</v>
      </c>
      <c r="J136" s="4" t="n">
        <v>3</v>
      </c>
      <c r="K136" s="4" t="n">
        <v>7</v>
      </c>
      <c r="L136" s="4" t="n">
        <v>2</v>
      </c>
      <c r="M136" s="4" t="n">
        <v>2</v>
      </c>
      <c r="N136" s="4" t="n">
        <v>2</v>
      </c>
      <c r="O136" s="4" t="n">
        <v>4</v>
      </c>
      <c r="P136" s="4" t="n">
        <v>4</v>
      </c>
      <c r="Q136" s="4" t="n">
        <v>4</v>
      </c>
      <c r="R136" s="4" t="n">
        <v>0</v>
      </c>
      <c r="S136" s="4" t="n">
        <v>2</v>
      </c>
      <c r="T136" s="4" t="n">
        <v>3</v>
      </c>
      <c r="U136" s="4" t="n">
        <v>5</v>
      </c>
      <c r="V136" s="4" t="n">
        <v>4</v>
      </c>
      <c r="W136" s="4" t="n">
        <v>3</v>
      </c>
      <c r="X136" s="4" t="n">
        <v>3</v>
      </c>
      <c r="Y136" s="4" t="n">
        <v>3</v>
      </c>
      <c r="Z136" s="4" t="n">
        <v>3</v>
      </c>
      <c r="AA136" s="4" t="n">
        <v>1</v>
      </c>
      <c r="AB136" s="4" t="n">
        <v>0</v>
      </c>
      <c r="AC136" s="4" t="n">
        <v>0</v>
      </c>
      <c r="AD136" s="4" t="n">
        <v>0</v>
      </c>
      <c r="AE136" s="8" t="n">
        <f aca="false">COUNTIF(F136:AD136,"&lt;=0")</f>
        <v>5</v>
      </c>
    </row>
    <row r="137" customFormat="false" ht="15" hidden="false" customHeight="false" outlineLevel="0" collapsed="false">
      <c r="A137" s="8" t="s">
        <v>68</v>
      </c>
      <c r="B137" s="8" t="s">
        <v>20</v>
      </c>
      <c r="C137" s="8" t="n">
        <v>102440</v>
      </c>
      <c r="D137" s="8" t="s">
        <v>564</v>
      </c>
      <c r="E137" s="4" t="n">
        <v>0</v>
      </c>
      <c r="F137" s="4" t="n">
        <v>0</v>
      </c>
      <c r="G137" s="4" t="n">
        <v>6</v>
      </c>
      <c r="H137" s="4" t="n">
        <v>5</v>
      </c>
      <c r="I137" s="4" t="n">
        <v>4</v>
      </c>
      <c r="J137" s="4" t="n">
        <v>3</v>
      </c>
      <c r="K137" s="4" t="n">
        <v>4</v>
      </c>
      <c r="L137" s="4" t="n">
        <v>3</v>
      </c>
      <c r="M137" s="4" t="n">
        <v>3</v>
      </c>
      <c r="N137" s="4" t="n">
        <v>6</v>
      </c>
      <c r="O137" s="4" t="n">
        <v>0</v>
      </c>
      <c r="P137" s="4" t="n">
        <v>5</v>
      </c>
      <c r="Q137" s="4" t="n">
        <v>5</v>
      </c>
      <c r="R137" s="4" t="n">
        <v>1</v>
      </c>
      <c r="S137" s="4" t="n">
        <v>6</v>
      </c>
      <c r="T137" s="4" t="n">
        <v>6</v>
      </c>
      <c r="U137" s="4" t="n">
        <v>5</v>
      </c>
      <c r="V137" s="4" t="n">
        <v>4</v>
      </c>
      <c r="W137" s="4" t="n">
        <v>6</v>
      </c>
      <c r="X137" s="4" t="n">
        <v>5</v>
      </c>
      <c r="Y137" s="4" t="n">
        <v>4</v>
      </c>
      <c r="Z137" s="4" t="n">
        <v>4</v>
      </c>
      <c r="AA137" s="4" t="n">
        <v>2</v>
      </c>
      <c r="AB137" s="4" t="n">
        <v>0</v>
      </c>
      <c r="AC137" s="4" t="n">
        <v>0</v>
      </c>
      <c r="AD137" s="4" t="n">
        <v>0</v>
      </c>
      <c r="AE137" s="8" t="n">
        <f aca="false">COUNTIF(F137:AD137,"&lt;=0")</f>
        <v>5</v>
      </c>
    </row>
    <row r="138" customFormat="false" ht="15" hidden="false" customHeight="false" outlineLevel="0" collapsed="false">
      <c r="A138" s="8" t="s">
        <v>68</v>
      </c>
      <c r="B138" s="8" t="s">
        <v>20</v>
      </c>
      <c r="C138" s="8" t="n">
        <v>102437</v>
      </c>
      <c r="D138" s="8" t="s">
        <v>565</v>
      </c>
      <c r="E138" s="4" t="n">
        <v>0</v>
      </c>
      <c r="F138" s="4" t="n">
        <v>5</v>
      </c>
      <c r="G138" s="4" t="n">
        <v>0</v>
      </c>
      <c r="H138" s="4" t="n">
        <v>0</v>
      </c>
      <c r="I138" s="4" t="n">
        <v>2</v>
      </c>
      <c r="J138" s="4" t="n">
        <v>0</v>
      </c>
      <c r="K138" s="4" t="n">
        <v>8</v>
      </c>
      <c r="L138" s="4" t="n">
        <v>5</v>
      </c>
      <c r="M138" s="4" t="n">
        <v>0</v>
      </c>
      <c r="N138" s="4" t="n">
        <v>0</v>
      </c>
      <c r="O138" s="4" t="n">
        <v>5</v>
      </c>
      <c r="P138" s="4" t="n">
        <v>5</v>
      </c>
      <c r="Q138" s="4" t="n">
        <v>1</v>
      </c>
      <c r="R138" s="4" t="n">
        <v>0</v>
      </c>
      <c r="S138" s="4" t="n">
        <v>0</v>
      </c>
      <c r="T138" s="4" t="n">
        <v>3</v>
      </c>
      <c r="U138" s="4" t="n">
        <v>7</v>
      </c>
      <c r="V138" s="4" t="n">
        <v>0</v>
      </c>
      <c r="W138" s="4" t="n">
        <v>4</v>
      </c>
      <c r="X138" s="4" t="n">
        <v>3</v>
      </c>
      <c r="Y138" s="4" t="n">
        <v>4</v>
      </c>
      <c r="Z138" s="4" t="n">
        <v>0</v>
      </c>
      <c r="AA138" s="4" t="n">
        <v>4</v>
      </c>
      <c r="AB138" s="4" t="n">
        <v>0</v>
      </c>
      <c r="AC138" s="4" t="n">
        <v>0</v>
      </c>
      <c r="AD138" s="4" t="n">
        <v>0</v>
      </c>
      <c r="AE138" s="8" t="n">
        <f aca="false">COUNTIF(F138:AD138,"&lt;=0")</f>
        <v>12</v>
      </c>
    </row>
    <row r="139" customFormat="false" ht="15" hidden="false" customHeight="false" outlineLevel="0" collapsed="false">
      <c r="A139" s="8" t="s">
        <v>68</v>
      </c>
      <c r="B139" s="8" t="s">
        <v>20</v>
      </c>
      <c r="C139" s="8" t="n">
        <v>102436</v>
      </c>
      <c r="D139" s="8" t="s">
        <v>282</v>
      </c>
      <c r="E139" s="4" t="n">
        <v>34</v>
      </c>
      <c r="F139" s="4" t="n">
        <v>3</v>
      </c>
      <c r="G139" s="4" t="n">
        <v>1</v>
      </c>
      <c r="H139" s="4" t="n">
        <v>0</v>
      </c>
      <c r="I139" s="4" t="n">
        <v>2</v>
      </c>
      <c r="J139" s="4" t="n">
        <v>1</v>
      </c>
      <c r="K139" s="4" t="n">
        <v>4</v>
      </c>
      <c r="L139" s="4" t="n">
        <v>6</v>
      </c>
      <c r="M139" s="4" t="n">
        <v>1</v>
      </c>
      <c r="N139" s="4" t="n">
        <v>0</v>
      </c>
      <c r="O139" s="4" t="n">
        <v>4</v>
      </c>
      <c r="P139" s="4" t="n">
        <v>0</v>
      </c>
      <c r="Q139" s="4" t="n">
        <v>0</v>
      </c>
      <c r="R139" s="4" t="n">
        <v>0</v>
      </c>
      <c r="S139" s="4" t="n">
        <v>0</v>
      </c>
      <c r="T139" s="4" t="n">
        <v>3</v>
      </c>
      <c r="U139" s="4" t="n">
        <v>0</v>
      </c>
      <c r="V139" s="4" t="n">
        <v>0</v>
      </c>
      <c r="W139" s="4" t="n">
        <v>0</v>
      </c>
      <c r="X139" s="4" t="n">
        <v>3</v>
      </c>
      <c r="Y139" s="4" t="n">
        <v>1</v>
      </c>
      <c r="Z139" s="4" t="n">
        <v>4</v>
      </c>
      <c r="AA139" s="4" t="n">
        <v>3</v>
      </c>
      <c r="AB139" s="4" t="n">
        <v>0</v>
      </c>
      <c r="AC139" s="4" t="n">
        <v>0</v>
      </c>
      <c r="AD139" s="4" t="n">
        <v>0</v>
      </c>
      <c r="AE139" s="8" t="n">
        <f aca="false">COUNTIF(F139:AD139,"&lt;=0")</f>
        <v>12</v>
      </c>
    </row>
    <row r="140" customFormat="false" ht="15" hidden="false" customHeight="false" outlineLevel="0" collapsed="false">
      <c r="A140" s="8" t="s">
        <v>77</v>
      </c>
      <c r="B140" s="8" t="s">
        <v>20</v>
      </c>
      <c r="C140" s="8" t="n">
        <v>102497</v>
      </c>
      <c r="D140" s="8" t="s">
        <v>566</v>
      </c>
      <c r="E140" s="4" t="n">
        <v>0</v>
      </c>
      <c r="F140" s="4" t="n">
        <v>5</v>
      </c>
      <c r="G140" s="4" t="n">
        <v>3</v>
      </c>
      <c r="H140" s="4" t="n">
        <v>2</v>
      </c>
      <c r="I140" s="4" t="n">
        <v>4</v>
      </c>
      <c r="J140" s="4" t="n">
        <v>1</v>
      </c>
      <c r="K140" s="4" t="n">
        <v>6</v>
      </c>
      <c r="L140" s="4" t="n">
        <v>4</v>
      </c>
      <c r="M140" s="4" t="n">
        <v>1</v>
      </c>
      <c r="N140" s="4" t="n">
        <v>2</v>
      </c>
      <c r="O140" s="4" t="n">
        <v>4</v>
      </c>
      <c r="P140" s="4" t="n">
        <v>2</v>
      </c>
      <c r="Q140" s="4" t="n">
        <v>1</v>
      </c>
      <c r="R140" s="4" t="n">
        <v>2</v>
      </c>
      <c r="S140" s="4" t="n">
        <v>3</v>
      </c>
      <c r="T140" s="4" t="n">
        <v>1</v>
      </c>
      <c r="U140" s="4" t="n">
        <v>4</v>
      </c>
      <c r="V140" s="4" t="n">
        <v>2</v>
      </c>
      <c r="W140" s="4" t="n">
        <v>3</v>
      </c>
      <c r="X140" s="4" t="n">
        <v>1</v>
      </c>
      <c r="Y140" s="4" t="n">
        <v>2</v>
      </c>
      <c r="Z140" s="4" t="n">
        <v>3</v>
      </c>
      <c r="AA140" s="4" t="n">
        <v>0</v>
      </c>
      <c r="AB140" s="4" t="n">
        <v>0</v>
      </c>
      <c r="AC140" s="4" t="n">
        <v>2</v>
      </c>
      <c r="AD140" s="4" t="n">
        <v>0</v>
      </c>
      <c r="AE140" s="8" t="n">
        <f aca="false">COUNTIF(F140:AD140,"&lt;=0")</f>
        <v>3</v>
      </c>
    </row>
    <row r="141" customFormat="false" ht="15" hidden="false" customHeight="false" outlineLevel="0" collapsed="false">
      <c r="A141" s="8" t="s">
        <v>77</v>
      </c>
      <c r="B141" s="8" t="s">
        <v>20</v>
      </c>
      <c r="C141" s="8" t="n">
        <v>102496</v>
      </c>
      <c r="D141" s="8" t="s">
        <v>567</v>
      </c>
      <c r="E141" s="4" t="n">
        <v>0</v>
      </c>
      <c r="F141" s="4" t="n">
        <v>5</v>
      </c>
      <c r="G141" s="4" t="n">
        <v>3</v>
      </c>
      <c r="H141" s="4" t="n">
        <v>4</v>
      </c>
      <c r="I141" s="4" t="n">
        <v>2</v>
      </c>
      <c r="J141" s="4" t="n">
        <v>1</v>
      </c>
      <c r="K141" s="4" t="n">
        <v>3</v>
      </c>
      <c r="L141" s="4" t="n">
        <v>3</v>
      </c>
      <c r="M141" s="4" t="n">
        <v>0</v>
      </c>
      <c r="N141" s="4" t="n">
        <v>3</v>
      </c>
      <c r="O141" s="4" t="n">
        <v>4</v>
      </c>
      <c r="P141" s="4" t="n">
        <v>2</v>
      </c>
      <c r="Q141" s="4" t="n">
        <v>0</v>
      </c>
      <c r="R141" s="4" t="n">
        <v>2</v>
      </c>
      <c r="S141" s="4" t="n">
        <v>0</v>
      </c>
      <c r="T141" s="4" t="n">
        <v>0</v>
      </c>
      <c r="U141" s="4" t="n">
        <v>4</v>
      </c>
      <c r="V141" s="4" t="n">
        <v>3</v>
      </c>
      <c r="W141" s="4" t="n">
        <v>2</v>
      </c>
      <c r="X141" s="4" t="n">
        <v>2</v>
      </c>
      <c r="Y141" s="4" t="n">
        <v>2</v>
      </c>
      <c r="Z141" s="4" t="n">
        <v>3</v>
      </c>
      <c r="AA141" s="4" t="n">
        <v>3</v>
      </c>
      <c r="AB141" s="4" t="n">
        <v>0</v>
      </c>
      <c r="AC141" s="4" t="n">
        <v>3</v>
      </c>
      <c r="AD141" s="4" t="n">
        <v>0</v>
      </c>
      <c r="AE141" s="8" t="n">
        <f aca="false">COUNTIF(F141:AD141,"&lt;=0")</f>
        <v>6</v>
      </c>
    </row>
    <row r="142" customFormat="false" ht="15" hidden="false" customHeight="false" outlineLevel="0" collapsed="false">
      <c r="A142" s="8" t="s">
        <v>77</v>
      </c>
      <c r="B142" s="8" t="s">
        <v>20</v>
      </c>
      <c r="C142" s="8" t="n">
        <v>101751</v>
      </c>
      <c r="D142" s="8" t="s">
        <v>568</v>
      </c>
      <c r="E142" s="4" t="n">
        <v>0</v>
      </c>
      <c r="F142" s="4" t="n">
        <v>0</v>
      </c>
      <c r="G142" s="4" t="n">
        <v>6</v>
      </c>
      <c r="H142" s="4" t="n">
        <v>1</v>
      </c>
      <c r="I142" s="4" t="n">
        <v>2</v>
      </c>
      <c r="J142" s="4" t="n">
        <v>0</v>
      </c>
      <c r="K142" s="4" t="n">
        <v>3</v>
      </c>
      <c r="L142" s="4" t="n">
        <v>3</v>
      </c>
      <c r="M142" s="4" t="n">
        <v>0</v>
      </c>
      <c r="N142" s="4" t="n">
        <v>4</v>
      </c>
      <c r="O142" s="4" t="n">
        <v>3</v>
      </c>
      <c r="P142" s="4" t="n">
        <v>2</v>
      </c>
      <c r="Q142" s="4" t="n">
        <v>0</v>
      </c>
      <c r="R142" s="4" t="n">
        <v>3</v>
      </c>
      <c r="S142" s="4" t="n">
        <v>3</v>
      </c>
      <c r="T142" s="4" t="n">
        <v>3</v>
      </c>
      <c r="U142" s="4" t="n">
        <v>2</v>
      </c>
      <c r="V142" s="4" t="n">
        <v>3</v>
      </c>
      <c r="W142" s="4" t="n">
        <v>3</v>
      </c>
      <c r="X142" s="4" t="n">
        <v>1</v>
      </c>
      <c r="Y142" s="4" t="n">
        <v>4</v>
      </c>
      <c r="Z142" s="4" t="n">
        <v>3</v>
      </c>
      <c r="AA142" s="4" t="n">
        <v>3</v>
      </c>
      <c r="AB142" s="4" t="n">
        <v>0</v>
      </c>
      <c r="AC142" s="4" t="n">
        <v>2</v>
      </c>
      <c r="AD142" s="4" t="n">
        <v>0</v>
      </c>
      <c r="AE142" s="8" t="n">
        <f aca="false">COUNTIF(F142:AD142,"&lt;=0")</f>
        <v>6</v>
      </c>
    </row>
    <row r="143" customFormat="false" ht="15" hidden="false" customHeight="false" outlineLevel="0" collapsed="false">
      <c r="A143" s="8" t="s">
        <v>77</v>
      </c>
      <c r="B143" s="8" t="s">
        <v>20</v>
      </c>
      <c r="C143" s="8" t="n">
        <v>101752</v>
      </c>
      <c r="D143" s="8" t="s">
        <v>569</v>
      </c>
      <c r="E143" s="4" t="n">
        <v>0</v>
      </c>
      <c r="F143" s="4" t="n">
        <v>0</v>
      </c>
      <c r="G143" s="4" t="n">
        <v>4</v>
      </c>
      <c r="H143" s="4" t="n">
        <v>2</v>
      </c>
      <c r="I143" s="4" t="n">
        <v>2</v>
      </c>
      <c r="J143" s="4" t="n">
        <v>0</v>
      </c>
      <c r="K143" s="4" t="n">
        <v>2</v>
      </c>
      <c r="L143" s="4" t="n">
        <v>5</v>
      </c>
      <c r="M143" s="4" t="n">
        <v>0</v>
      </c>
      <c r="N143" s="4" t="n">
        <v>4</v>
      </c>
      <c r="O143" s="4" t="n">
        <v>0</v>
      </c>
      <c r="P143" s="4" t="n">
        <v>7</v>
      </c>
      <c r="Q143" s="4" t="n">
        <v>1</v>
      </c>
      <c r="R143" s="4" t="n">
        <v>5</v>
      </c>
      <c r="S143" s="4" t="n">
        <v>6</v>
      </c>
      <c r="T143" s="4" t="n">
        <v>0</v>
      </c>
      <c r="U143" s="4" t="n">
        <v>3</v>
      </c>
      <c r="V143" s="4" t="n">
        <v>5</v>
      </c>
      <c r="W143" s="4" t="n">
        <v>3</v>
      </c>
      <c r="X143" s="4" t="n">
        <v>6</v>
      </c>
      <c r="Y143" s="4" t="n">
        <v>3</v>
      </c>
      <c r="Z143" s="4" t="n">
        <v>1</v>
      </c>
      <c r="AA143" s="4" t="n">
        <v>4</v>
      </c>
      <c r="AB143" s="4" t="n">
        <v>0</v>
      </c>
      <c r="AC143" s="4" t="n">
        <v>5</v>
      </c>
      <c r="AD143" s="4" t="n">
        <v>0</v>
      </c>
      <c r="AE143" s="8" t="n">
        <f aca="false">COUNTIF(F143:AD143,"&lt;=0")</f>
        <v>7</v>
      </c>
    </row>
    <row r="144" customFormat="false" ht="15" hidden="false" customHeight="false" outlineLevel="0" collapsed="false">
      <c r="A144" s="8" t="s">
        <v>77</v>
      </c>
      <c r="B144" s="8" t="s">
        <v>20</v>
      </c>
      <c r="C144" s="8" t="n">
        <v>101749</v>
      </c>
      <c r="D144" s="8" t="s">
        <v>570</v>
      </c>
      <c r="E144" s="4" t="n">
        <v>0</v>
      </c>
      <c r="F144" s="4" t="n">
        <v>0</v>
      </c>
      <c r="G144" s="4" t="n">
        <v>5</v>
      </c>
      <c r="H144" s="4" t="n">
        <v>0</v>
      </c>
      <c r="I144" s="4" t="n">
        <v>0</v>
      </c>
      <c r="J144" s="4" t="n">
        <v>1</v>
      </c>
      <c r="K144" s="4" t="n">
        <v>4</v>
      </c>
      <c r="L144" s="4" t="n">
        <v>4</v>
      </c>
      <c r="M144" s="4" t="n">
        <v>0</v>
      </c>
      <c r="N144" s="4" t="n">
        <v>4</v>
      </c>
      <c r="O144" s="4" t="n">
        <v>0</v>
      </c>
      <c r="P144" s="4" t="n">
        <v>4</v>
      </c>
      <c r="Q144" s="4" t="n">
        <v>4</v>
      </c>
      <c r="R144" s="4" t="n">
        <v>5</v>
      </c>
      <c r="S144" s="4" t="n">
        <v>6</v>
      </c>
      <c r="T144" s="4" t="n">
        <v>3</v>
      </c>
      <c r="U144" s="4" t="n">
        <v>2</v>
      </c>
      <c r="V144" s="4" t="n">
        <v>4</v>
      </c>
      <c r="W144" s="4" t="n">
        <v>2</v>
      </c>
      <c r="X144" s="4" t="n">
        <v>1</v>
      </c>
      <c r="Y144" s="4" t="n">
        <v>5</v>
      </c>
      <c r="Z144" s="4" t="n">
        <v>3</v>
      </c>
      <c r="AA144" s="4" t="n">
        <v>6</v>
      </c>
      <c r="AB144" s="4" t="n">
        <v>0</v>
      </c>
      <c r="AC144" s="4" t="n">
        <v>6</v>
      </c>
      <c r="AD144" s="4" t="n">
        <v>0</v>
      </c>
      <c r="AE144" s="8" t="n">
        <f aca="false">COUNTIF(F144:AD144,"&lt;=0")</f>
        <v>7</v>
      </c>
    </row>
    <row r="145" customFormat="false" ht="15" hidden="false" customHeight="false" outlineLevel="0" collapsed="false">
      <c r="A145" s="8" t="s">
        <v>77</v>
      </c>
      <c r="B145" s="8" t="s">
        <v>20</v>
      </c>
      <c r="C145" s="8" t="n">
        <v>101748</v>
      </c>
      <c r="D145" s="8" t="s">
        <v>571</v>
      </c>
      <c r="E145" s="4" t="n">
        <v>0</v>
      </c>
      <c r="F145" s="4" t="n">
        <v>0</v>
      </c>
      <c r="G145" s="4" t="n">
        <v>4</v>
      </c>
      <c r="H145" s="4" t="n">
        <v>0</v>
      </c>
      <c r="I145" s="4" t="n">
        <v>0</v>
      </c>
      <c r="J145" s="4" t="n">
        <v>3</v>
      </c>
      <c r="K145" s="4" t="n">
        <v>8</v>
      </c>
      <c r="L145" s="4" t="n">
        <v>0</v>
      </c>
      <c r="M145" s="4" t="n">
        <v>5</v>
      </c>
      <c r="N145" s="4" t="n">
        <v>3</v>
      </c>
      <c r="O145" s="4" t="n">
        <v>6</v>
      </c>
      <c r="P145" s="4" t="n">
        <v>4</v>
      </c>
      <c r="Q145" s="4" t="n">
        <v>4</v>
      </c>
      <c r="R145" s="4" t="n">
        <v>3</v>
      </c>
      <c r="S145" s="4" t="n">
        <v>4</v>
      </c>
      <c r="T145" s="4" t="n">
        <v>4</v>
      </c>
      <c r="U145" s="4" t="n">
        <v>3</v>
      </c>
      <c r="V145" s="4" t="n">
        <v>2</v>
      </c>
      <c r="W145" s="4" t="n">
        <v>4</v>
      </c>
      <c r="X145" s="4" t="n">
        <v>5</v>
      </c>
      <c r="Y145" s="4" t="n">
        <v>9</v>
      </c>
      <c r="Z145" s="4" t="n">
        <v>5</v>
      </c>
      <c r="AA145" s="4" t="n">
        <v>7</v>
      </c>
      <c r="AB145" s="4" t="n">
        <v>0</v>
      </c>
      <c r="AC145" s="4" t="n">
        <v>5</v>
      </c>
      <c r="AD145" s="4" t="n">
        <v>0</v>
      </c>
      <c r="AE145" s="8" t="n">
        <f aca="false">COUNTIF(F145:AD145,"&lt;=0")</f>
        <v>6</v>
      </c>
    </row>
    <row r="146" customFormat="false" ht="15" hidden="false" customHeight="false" outlineLevel="0" collapsed="false">
      <c r="A146" s="8" t="s">
        <v>77</v>
      </c>
      <c r="B146" s="8" t="s">
        <v>20</v>
      </c>
      <c r="C146" s="8" t="n">
        <v>101750</v>
      </c>
      <c r="D146" s="8" t="s">
        <v>572</v>
      </c>
      <c r="E146" s="4" t="n">
        <v>0</v>
      </c>
      <c r="F146" s="4" t="n">
        <v>0</v>
      </c>
      <c r="G146" s="4" t="n">
        <v>7</v>
      </c>
      <c r="H146" s="4" t="n">
        <v>5</v>
      </c>
      <c r="I146" s="4" t="n">
        <v>8</v>
      </c>
      <c r="J146" s="4" t="n">
        <v>6</v>
      </c>
      <c r="K146" s="4" t="n">
        <v>14</v>
      </c>
      <c r="L146" s="4" t="n">
        <v>6</v>
      </c>
      <c r="M146" s="4" t="n">
        <v>4</v>
      </c>
      <c r="N146" s="4" t="n">
        <v>6</v>
      </c>
      <c r="O146" s="4" t="n">
        <v>4</v>
      </c>
      <c r="P146" s="4" t="n">
        <v>8</v>
      </c>
      <c r="Q146" s="4" t="n">
        <v>2</v>
      </c>
      <c r="R146" s="4" t="n">
        <v>5</v>
      </c>
      <c r="S146" s="4" t="n">
        <v>5</v>
      </c>
      <c r="T146" s="4" t="n">
        <v>6</v>
      </c>
      <c r="U146" s="4" t="n">
        <v>7</v>
      </c>
      <c r="V146" s="4" t="n">
        <v>4</v>
      </c>
      <c r="W146" s="4" t="n">
        <v>5</v>
      </c>
      <c r="X146" s="4" t="n">
        <v>8</v>
      </c>
      <c r="Y146" s="4" t="n">
        <v>6</v>
      </c>
      <c r="Z146" s="4" t="n">
        <v>9</v>
      </c>
      <c r="AA146" s="4" t="n">
        <v>7</v>
      </c>
      <c r="AB146" s="4" t="n">
        <v>0</v>
      </c>
      <c r="AC146" s="4" t="n">
        <v>8</v>
      </c>
      <c r="AD146" s="4" t="n">
        <v>0</v>
      </c>
      <c r="AE146" s="8" t="n">
        <f aca="false">COUNTIF(F146:AD146,"&lt;=0")</f>
        <v>3</v>
      </c>
    </row>
    <row r="147" customFormat="false" ht="15" hidden="false" customHeight="false" outlineLevel="0" collapsed="false">
      <c r="A147" s="8" t="s">
        <v>77</v>
      </c>
      <c r="B147" s="8" t="s">
        <v>20</v>
      </c>
      <c r="C147" s="8" t="n">
        <v>101722</v>
      </c>
      <c r="D147" s="8" t="s">
        <v>573</v>
      </c>
      <c r="E147" s="4" t="n">
        <v>0</v>
      </c>
      <c r="F147" s="4" t="n">
        <v>0</v>
      </c>
      <c r="G147" s="4" t="n">
        <v>3</v>
      </c>
      <c r="H147" s="4" t="n">
        <v>4</v>
      </c>
      <c r="I147" s="4" t="n">
        <v>4</v>
      </c>
      <c r="J147" s="4" t="n">
        <v>5</v>
      </c>
      <c r="K147" s="4" t="n">
        <v>7</v>
      </c>
      <c r="L147" s="4" t="n">
        <v>1</v>
      </c>
      <c r="M147" s="4" t="n">
        <v>2</v>
      </c>
      <c r="N147" s="4" t="n">
        <v>4</v>
      </c>
      <c r="O147" s="4" t="n">
        <v>4</v>
      </c>
      <c r="P147" s="4" t="n">
        <v>4</v>
      </c>
      <c r="Q147" s="4" t="n">
        <v>2</v>
      </c>
      <c r="R147" s="4" t="n">
        <v>2</v>
      </c>
      <c r="S147" s="4" t="n">
        <v>3</v>
      </c>
      <c r="T147" s="4" t="n">
        <v>2</v>
      </c>
      <c r="U147" s="4" t="n">
        <v>6</v>
      </c>
      <c r="V147" s="4" t="n">
        <v>5</v>
      </c>
      <c r="W147" s="4" t="n">
        <v>3</v>
      </c>
      <c r="X147" s="4" t="n">
        <v>3</v>
      </c>
      <c r="Y147" s="4" t="n">
        <v>4</v>
      </c>
      <c r="Z147" s="4" t="n">
        <v>3</v>
      </c>
      <c r="AA147" s="4" t="n">
        <v>5</v>
      </c>
      <c r="AB147" s="4" t="n">
        <v>0</v>
      </c>
      <c r="AC147" s="4" t="n">
        <v>5</v>
      </c>
      <c r="AD147" s="4" t="n">
        <v>0</v>
      </c>
      <c r="AE147" s="8" t="n">
        <f aca="false">COUNTIF(F147:AD147,"&lt;=0")</f>
        <v>3</v>
      </c>
    </row>
    <row r="148" customFormat="false" ht="15" hidden="false" customHeight="false" outlineLevel="0" collapsed="false">
      <c r="A148" s="8" t="s">
        <v>77</v>
      </c>
      <c r="B148" s="8" t="s">
        <v>20</v>
      </c>
      <c r="C148" s="8" t="n">
        <v>101723</v>
      </c>
      <c r="D148" s="8" t="s">
        <v>574</v>
      </c>
      <c r="E148" s="4" t="n">
        <v>0</v>
      </c>
      <c r="F148" s="4" t="n">
        <v>3</v>
      </c>
      <c r="G148" s="4" t="n">
        <v>6</v>
      </c>
      <c r="H148" s="4" t="n">
        <v>3</v>
      </c>
      <c r="I148" s="4" t="n">
        <v>2</v>
      </c>
      <c r="J148" s="4" t="n">
        <v>11</v>
      </c>
      <c r="K148" s="4" t="n">
        <v>2</v>
      </c>
      <c r="L148" s="4" t="n">
        <v>3</v>
      </c>
      <c r="M148" s="4" t="n">
        <v>2</v>
      </c>
      <c r="N148" s="4" t="n">
        <v>4</v>
      </c>
      <c r="O148" s="4" t="n">
        <v>3</v>
      </c>
      <c r="P148" s="4" t="n">
        <v>6</v>
      </c>
      <c r="Q148" s="4" t="n">
        <v>5</v>
      </c>
      <c r="R148" s="4" t="n">
        <v>3</v>
      </c>
      <c r="S148" s="4" t="n">
        <v>3</v>
      </c>
      <c r="T148" s="4" t="n">
        <v>2</v>
      </c>
      <c r="U148" s="4" t="n">
        <v>4</v>
      </c>
      <c r="V148" s="4" t="n">
        <v>2</v>
      </c>
      <c r="W148" s="4" t="n">
        <v>2</v>
      </c>
      <c r="X148" s="4" t="n">
        <v>1</v>
      </c>
      <c r="Y148" s="4" t="n">
        <v>3</v>
      </c>
      <c r="Z148" s="4" t="n">
        <v>2</v>
      </c>
      <c r="AA148" s="4" t="n">
        <v>3</v>
      </c>
      <c r="AB148" s="4" t="n">
        <v>0</v>
      </c>
      <c r="AC148" s="4" t="n">
        <v>4</v>
      </c>
      <c r="AD148" s="4" t="n">
        <v>0</v>
      </c>
      <c r="AE148" s="8" t="n">
        <f aca="false">COUNTIF(F148:AD148,"&lt;=0")</f>
        <v>2</v>
      </c>
    </row>
    <row r="149" customFormat="false" ht="15" hidden="false" customHeight="false" outlineLevel="0" collapsed="false">
      <c r="A149" s="8" t="s">
        <v>77</v>
      </c>
      <c r="B149" s="8" t="s">
        <v>20</v>
      </c>
      <c r="C149" s="8" t="n">
        <v>102456</v>
      </c>
      <c r="D149" s="8" t="s">
        <v>575</v>
      </c>
      <c r="E149" s="4" t="n">
        <v>0</v>
      </c>
      <c r="F149" s="4" t="n">
        <v>2</v>
      </c>
      <c r="G149" s="4" t="n">
        <v>5</v>
      </c>
      <c r="H149" s="4" t="n">
        <v>7</v>
      </c>
      <c r="I149" s="4" t="n">
        <v>4</v>
      </c>
      <c r="J149" s="4" t="n">
        <v>7</v>
      </c>
      <c r="K149" s="4" t="n">
        <v>8</v>
      </c>
      <c r="L149" s="4" t="n">
        <v>4</v>
      </c>
      <c r="M149" s="4" t="n">
        <v>2</v>
      </c>
      <c r="N149" s="4" t="n">
        <v>5</v>
      </c>
      <c r="O149" s="4" t="n">
        <v>4</v>
      </c>
      <c r="P149" s="4" t="n">
        <v>3</v>
      </c>
      <c r="Q149" s="4" t="n">
        <v>3</v>
      </c>
      <c r="R149" s="4" t="n">
        <v>3</v>
      </c>
      <c r="S149" s="4" t="n">
        <v>3</v>
      </c>
      <c r="T149" s="4" t="n">
        <v>5</v>
      </c>
      <c r="U149" s="4" t="n">
        <v>6</v>
      </c>
      <c r="V149" s="4" t="n">
        <v>3</v>
      </c>
      <c r="W149" s="4" t="n">
        <v>3</v>
      </c>
      <c r="X149" s="4" t="n">
        <v>3</v>
      </c>
      <c r="Y149" s="4" t="n">
        <v>44</v>
      </c>
      <c r="Z149" s="4" t="n">
        <v>5</v>
      </c>
      <c r="AA149" s="4" t="n">
        <v>4</v>
      </c>
      <c r="AB149" s="4" t="n">
        <v>0</v>
      </c>
      <c r="AC149" s="4" t="n">
        <v>4</v>
      </c>
      <c r="AD149" s="4" t="n">
        <v>0</v>
      </c>
      <c r="AE149" s="8" t="n">
        <f aca="false">COUNTIF(F149:AD149,"&lt;=0")</f>
        <v>2</v>
      </c>
    </row>
    <row r="150" customFormat="false" ht="15" hidden="false" customHeight="false" outlineLevel="0" collapsed="false">
      <c r="A150" s="8" t="s">
        <v>77</v>
      </c>
      <c r="B150" s="8" t="s">
        <v>20</v>
      </c>
      <c r="C150" s="8" t="n">
        <v>102491</v>
      </c>
      <c r="D150" s="8" t="s">
        <v>309</v>
      </c>
      <c r="E150" s="4" t="n">
        <v>4</v>
      </c>
      <c r="F150" s="4" t="n">
        <v>2</v>
      </c>
      <c r="G150" s="4" t="n">
        <v>3</v>
      </c>
      <c r="H150" s="4" t="n">
        <v>0</v>
      </c>
      <c r="I150" s="4" t="n">
        <v>2</v>
      </c>
      <c r="J150" s="4" t="n">
        <v>0</v>
      </c>
      <c r="K150" s="4" t="n">
        <v>4</v>
      </c>
      <c r="L150" s="4" t="n">
        <v>0</v>
      </c>
      <c r="M150" s="4" t="n">
        <v>2</v>
      </c>
      <c r="N150" s="4" t="n">
        <v>1</v>
      </c>
      <c r="O150" s="4" t="n">
        <v>4</v>
      </c>
      <c r="P150" s="4" t="n">
        <v>4</v>
      </c>
      <c r="Q150" s="4" t="n">
        <v>3</v>
      </c>
      <c r="R150" s="4" t="n">
        <v>0</v>
      </c>
      <c r="S150" s="4" t="n">
        <v>2</v>
      </c>
      <c r="T150" s="4" t="n">
        <v>3</v>
      </c>
      <c r="U150" s="4" t="n">
        <v>4</v>
      </c>
      <c r="V150" s="4" t="n">
        <v>1</v>
      </c>
      <c r="W150" s="4" t="n">
        <v>3</v>
      </c>
      <c r="X150" s="4" t="n">
        <v>2</v>
      </c>
      <c r="Y150" s="4" t="n">
        <v>0</v>
      </c>
      <c r="Z150" s="4" t="n">
        <v>3</v>
      </c>
      <c r="AA150" s="4" t="n">
        <v>3</v>
      </c>
      <c r="AB150" s="4" t="n">
        <v>0</v>
      </c>
      <c r="AC150" s="4" t="n">
        <v>2</v>
      </c>
      <c r="AD150" s="4" t="n">
        <v>0</v>
      </c>
      <c r="AE150" s="8" t="n">
        <f aca="false">COUNTIF(F150:AD150,"&lt;=0")</f>
        <v>7</v>
      </c>
    </row>
    <row r="151" customFormat="false" ht="15" hidden="false" customHeight="false" outlineLevel="0" collapsed="false">
      <c r="A151" s="8" t="s">
        <v>77</v>
      </c>
      <c r="B151" s="8" t="s">
        <v>20</v>
      </c>
      <c r="C151" s="8" t="n">
        <v>102492</v>
      </c>
      <c r="D151" s="8" t="s">
        <v>576</v>
      </c>
      <c r="E151" s="4" t="n">
        <v>0</v>
      </c>
      <c r="F151" s="4" t="n">
        <v>3</v>
      </c>
      <c r="G151" s="4" t="n">
        <v>1</v>
      </c>
      <c r="H151" s="4" t="n">
        <v>0</v>
      </c>
      <c r="I151" s="4" t="n">
        <v>2</v>
      </c>
      <c r="J151" s="4" t="n">
        <v>0</v>
      </c>
      <c r="K151" s="4" t="n">
        <v>0</v>
      </c>
      <c r="L151" s="4" t="n">
        <v>2</v>
      </c>
      <c r="M151" s="4" t="n">
        <v>0</v>
      </c>
      <c r="N151" s="4" t="n">
        <v>0</v>
      </c>
      <c r="O151" s="4" t="n">
        <v>1</v>
      </c>
      <c r="P151" s="4" t="n">
        <v>3</v>
      </c>
      <c r="Q151" s="4" t="n">
        <v>2</v>
      </c>
      <c r="R151" s="4" t="n">
        <v>1</v>
      </c>
      <c r="S151" s="4" t="n">
        <v>3</v>
      </c>
      <c r="T151" s="4" t="n">
        <v>3</v>
      </c>
      <c r="U151" s="4" t="n">
        <v>0</v>
      </c>
      <c r="V151" s="4" t="n">
        <v>0</v>
      </c>
      <c r="W151" s="4" t="n">
        <v>0</v>
      </c>
      <c r="X151" s="4" t="n">
        <v>2</v>
      </c>
      <c r="Y151" s="4" t="n">
        <v>32</v>
      </c>
      <c r="Z151" s="4" t="n">
        <v>1</v>
      </c>
      <c r="AA151" s="4" t="n">
        <v>0</v>
      </c>
      <c r="AB151" s="4" t="n">
        <v>0</v>
      </c>
      <c r="AC151" s="4" t="n">
        <v>2</v>
      </c>
      <c r="AD151" s="4" t="n">
        <v>0</v>
      </c>
      <c r="AE151" s="8" t="n">
        <f aca="false">COUNTIF(F151:AD151,"&lt;=0")</f>
        <v>11</v>
      </c>
    </row>
    <row r="152" customFormat="false" ht="15" hidden="false" customHeight="false" outlineLevel="0" collapsed="false">
      <c r="A152" s="8" t="s">
        <v>77</v>
      </c>
      <c r="B152" s="8" t="s">
        <v>20</v>
      </c>
      <c r="C152" s="8" t="n">
        <v>101731</v>
      </c>
      <c r="D152" s="8" t="s">
        <v>577</v>
      </c>
      <c r="E152" s="4" t="n">
        <v>0</v>
      </c>
      <c r="F152" s="4" t="n">
        <v>1</v>
      </c>
      <c r="G152" s="4" t="n">
        <v>4</v>
      </c>
      <c r="H152" s="4" t="n">
        <v>4</v>
      </c>
      <c r="I152" s="4" t="n">
        <v>2</v>
      </c>
      <c r="J152" s="4" t="n">
        <v>2</v>
      </c>
      <c r="K152" s="4" t="n">
        <v>4</v>
      </c>
      <c r="L152" s="4" t="n">
        <v>4</v>
      </c>
      <c r="M152" s="4" t="n">
        <v>4</v>
      </c>
      <c r="N152" s="4" t="n">
        <v>6</v>
      </c>
      <c r="O152" s="4" t="n">
        <v>5</v>
      </c>
      <c r="P152" s="4" t="n">
        <v>2</v>
      </c>
      <c r="Q152" s="4" t="n">
        <v>3</v>
      </c>
      <c r="R152" s="4" t="n">
        <v>3</v>
      </c>
      <c r="S152" s="4" t="n">
        <v>3</v>
      </c>
      <c r="T152" s="4" t="n">
        <v>4</v>
      </c>
      <c r="U152" s="4" t="n">
        <v>10</v>
      </c>
      <c r="V152" s="4" t="n">
        <v>6</v>
      </c>
      <c r="W152" s="4" t="n">
        <v>2</v>
      </c>
      <c r="X152" s="4" t="n">
        <v>4</v>
      </c>
      <c r="Y152" s="4" t="n">
        <v>6</v>
      </c>
      <c r="Z152" s="4" t="n">
        <v>5</v>
      </c>
      <c r="AA152" s="4" t="n">
        <v>6</v>
      </c>
      <c r="AB152" s="4" t="n">
        <v>0</v>
      </c>
      <c r="AC152" s="4" t="n">
        <v>7</v>
      </c>
      <c r="AD152" s="4" t="n">
        <v>0</v>
      </c>
      <c r="AE152" s="8" t="n">
        <f aca="false">COUNTIF(F152:AD152,"&lt;=0")</f>
        <v>2</v>
      </c>
    </row>
    <row r="153" customFormat="false" ht="15" hidden="false" customHeight="false" outlineLevel="0" collapsed="false">
      <c r="A153" s="8" t="s">
        <v>77</v>
      </c>
      <c r="B153" s="8" t="s">
        <v>20</v>
      </c>
      <c r="C153" s="8" t="n">
        <v>101733</v>
      </c>
      <c r="D153" s="8" t="s">
        <v>418</v>
      </c>
      <c r="E153" s="4" t="n">
        <v>7</v>
      </c>
      <c r="F153" s="4" t="n">
        <v>3</v>
      </c>
      <c r="G153" s="4" t="n">
        <v>3</v>
      </c>
      <c r="H153" s="4" t="n">
        <v>4</v>
      </c>
      <c r="I153" s="4" t="n">
        <v>4</v>
      </c>
      <c r="J153" s="4" t="n">
        <v>2</v>
      </c>
      <c r="K153" s="4" t="n">
        <v>6</v>
      </c>
      <c r="L153" s="4" t="n">
        <v>3</v>
      </c>
      <c r="M153" s="4" t="n">
        <v>4</v>
      </c>
      <c r="N153" s="4" t="n">
        <v>4</v>
      </c>
      <c r="O153" s="4" t="n">
        <v>4</v>
      </c>
      <c r="P153" s="4" t="n">
        <v>2</v>
      </c>
      <c r="Q153" s="4" t="n">
        <v>5</v>
      </c>
      <c r="R153" s="4" t="n">
        <v>0</v>
      </c>
      <c r="S153" s="4" t="n">
        <v>6</v>
      </c>
      <c r="T153" s="4" t="n">
        <v>3</v>
      </c>
      <c r="U153" s="4" t="n">
        <v>8</v>
      </c>
      <c r="V153" s="4" t="n">
        <v>7</v>
      </c>
      <c r="W153" s="4" t="n">
        <v>3</v>
      </c>
      <c r="X153" s="4" t="n">
        <v>4</v>
      </c>
      <c r="Y153" s="4" t="n">
        <v>3</v>
      </c>
      <c r="Z153" s="4" t="n">
        <v>4</v>
      </c>
      <c r="AA153" s="4" t="n">
        <v>5</v>
      </c>
      <c r="AB153" s="4" t="n">
        <v>0</v>
      </c>
      <c r="AC153" s="4" t="n">
        <v>5</v>
      </c>
      <c r="AD153" s="4" t="n">
        <v>0</v>
      </c>
      <c r="AE153" s="8" t="n">
        <f aca="false">COUNTIF(F153:AD153,"&lt;=0")</f>
        <v>3</v>
      </c>
    </row>
    <row r="154" customFormat="false" ht="15" hidden="false" customHeight="false" outlineLevel="0" collapsed="false">
      <c r="A154" s="8" t="s">
        <v>77</v>
      </c>
      <c r="B154" s="8" t="s">
        <v>20</v>
      </c>
      <c r="C154" s="8" t="n">
        <v>101734</v>
      </c>
      <c r="D154" s="8" t="s">
        <v>578</v>
      </c>
      <c r="E154" s="4" t="n">
        <v>0</v>
      </c>
      <c r="F154" s="4" t="n">
        <v>3</v>
      </c>
      <c r="G154" s="4" t="n">
        <v>4</v>
      </c>
      <c r="H154" s="4" t="n">
        <v>5</v>
      </c>
      <c r="I154" s="4" t="n">
        <v>8</v>
      </c>
      <c r="J154" s="4" t="n">
        <v>6</v>
      </c>
      <c r="K154" s="4" t="n">
        <v>14</v>
      </c>
      <c r="L154" s="4" t="n">
        <v>6</v>
      </c>
      <c r="M154" s="4" t="n">
        <v>4</v>
      </c>
      <c r="N154" s="4" t="n">
        <v>4</v>
      </c>
      <c r="O154" s="4" t="n">
        <v>9</v>
      </c>
      <c r="P154" s="4" t="n">
        <v>3</v>
      </c>
      <c r="Q154" s="4" t="n">
        <v>5</v>
      </c>
      <c r="R154" s="4" t="n">
        <v>0</v>
      </c>
      <c r="S154" s="4" t="n">
        <v>3</v>
      </c>
      <c r="T154" s="4" t="n">
        <v>3</v>
      </c>
      <c r="U154" s="4" t="n">
        <v>4</v>
      </c>
      <c r="V154" s="4" t="n">
        <v>6</v>
      </c>
      <c r="W154" s="4" t="n">
        <v>2</v>
      </c>
      <c r="X154" s="4" t="n">
        <v>5</v>
      </c>
      <c r="Y154" s="4" t="n">
        <v>3</v>
      </c>
      <c r="Z154" s="4" t="n">
        <v>5</v>
      </c>
      <c r="AA154" s="4" t="n">
        <v>3</v>
      </c>
      <c r="AB154" s="4" t="n">
        <v>0</v>
      </c>
      <c r="AC154" s="4" t="n">
        <v>4</v>
      </c>
      <c r="AD154" s="4" t="n">
        <v>0</v>
      </c>
      <c r="AE154" s="8" t="n">
        <f aca="false">COUNTIF(F154:AD154,"&lt;=0")</f>
        <v>3</v>
      </c>
    </row>
    <row r="155" customFormat="false" ht="15" hidden="false" customHeight="false" outlineLevel="0" collapsed="false">
      <c r="A155" s="8" t="s">
        <v>77</v>
      </c>
      <c r="B155" s="8" t="s">
        <v>20</v>
      </c>
      <c r="C155" s="8" t="n">
        <v>101719</v>
      </c>
      <c r="D155" s="8" t="s">
        <v>579</v>
      </c>
      <c r="E155" s="4" t="n">
        <v>0</v>
      </c>
      <c r="F155" s="4" t="n">
        <v>0</v>
      </c>
      <c r="G155" s="4" t="n">
        <v>3</v>
      </c>
      <c r="H155" s="4" t="n">
        <v>0</v>
      </c>
      <c r="I155" s="4" t="n">
        <v>3</v>
      </c>
      <c r="J155" s="4" t="n">
        <v>11</v>
      </c>
      <c r="K155" s="4" t="n">
        <v>2</v>
      </c>
      <c r="L155" s="4" t="n">
        <v>4</v>
      </c>
      <c r="M155" s="4" t="n">
        <v>2</v>
      </c>
      <c r="N155" s="4" t="n">
        <v>0</v>
      </c>
      <c r="O155" s="4" t="n">
        <v>28</v>
      </c>
      <c r="P155" s="4" t="n">
        <v>3</v>
      </c>
      <c r="Q155" s="4" t="n">
        <v>4</v>
      </c>
      <c r="R155" s="4" t="n">
        <v>4</v>
      </c>
      <c r="S155" s="4" t="n">
        <v>4</v>
      </c>
      <c r="T155" s="4" t="n">
        <v>3</v>
      </c>
      <c r="U155" s="4" t="n">
        <v>2</v>
      </c>
      <c r="V155" s="4" t="n">
        <v>3</v>
      </c>
      <c r="W155" s="4" t="n">
        <v>5</v>
      </c>
      <c r="X155" s="4" t="n">
        <v>3</v>
      </c>
      <c r="Y155" s="4" t="n">
        <v>19</v>
      </c>
      <c r="Z155" s="4" t="n">
        <v>4</v>
      </c>
      <c r="AA155" s="4" t="n">
        <v>7</v>
      </c>
      <c r="AB155" s="4" t="n">
        <v>0</v>
      </c>
      <c r="AC155" s="4" t="n">
        <v>8</v>
      </c>
      <c r="AD155" s="4" t="n">
        <v>0</v>
      </c>
      <c r="AE155" s="8" t="n">
        <f aca="false">COUNTIF(F155:AD155,"&lt;=0")</f>
        <v>5</v>
      </c>
    </row>
    <row r="156" customFormat="false" ht="15" hidden="false" customHeight="false" outlineLevel="0" collapsed="false">
      <c r="A156" s="8" t="s">
        <v>77</v>
      </c>
      <c r="B156" s="8" t="s">
        <v>20</v>
      </c>
      <c r="C156" s="8" t="n">
        <v>101720</v>
      </c>
      <c r="D156" s="8" t="s">
        <v>580</v>
      </c>
      <c r="E156" s="4" t="n">
        <v>0</v>
      </c>
      <c r="F156" s="4" t="n">
        <v>0</v>
      </c>
      <c r="G156" s="4" t="n">
        <v>6</v>
      </c>
      <c r="H156" s="4" t="n">
        <v>5</v>
      </c>
      <c r="I156" s="4" t="n">
        <v>5</v>
      </c>
      <c r="J156" s="4" t="n">
        <v>13</v>
      </c>
      <c r="K156" s="4" t="n">
        <v>10</v>
      </c>
      <c r="L156" s="4" t="n">
        <v>7</v>
      </c>
      <c r="M156" s="4" t="n">
        <v>4</v>
      </c>
      <c r="N156" s="4" t="n">
        <v>1</v>
      </c>
      <c r="O156" s="4" t="n">
        <v>4</v>
      </c>
      <c r="P156" s="4" t="n">
        <v>6</v>
      </c>
      <c r="Q156" s="4" t="n">
        <v>5</v>
      </c>
      <c r="R156" s="4" t="n">
        <v>4</v>
      </c>
      <c r="S156" s="4" t="n">
        <v>5</v>
      </c>
      <c r="T156" s="4" t="n">
        <v>4</v>
      </c>
      <c r="U156" s="4" t="n">
        <v>5</v>
      </c>
      <c r="V156" s="4" t="n">
        <v>3</v>
      </c>
      <c r="W156" s="4" t="n">
        <v>5</v>
      </c>
      <c r="X156" s="4" t="n">
        <v>6</v>
      </c>
      <c r="Y156" s="4" t="n">
        <v>27</v>
      </c>
      <c r="Z156" s="4" t="n">
        <v>5</v>
      </c>
      <c r="AA156" s="4" t="n">
        <v>5</v>
      </c>
      <c r="AB156" s="4" t="n">
        <v>0</v>
      </c>
      <c r="AC156" s="4" t="n">
        <v>6</v>
      </c>
      <c r="AD156" s="4" t="n">
        <v>0</v>
      </c>
      <c r="AE156" s="8" t="n">
        <f aca="false">COUNTIF(F156:AD156,"&lt;=0")</f>
        <v>3</v>
      </c>
    </row>
    <row r="157" customFormat="false" ht="15" hidden="false" customHeight="false" outlineLevel="0" collapsed="false">
      <c r="A157" s="8" t="s">
        <v>77</v>
      </c>
      <c r="B157" s="8" t="s">
        <v>20</v>
      </c>
      <c r="C157" s="8" t="n">
        <v>101721</v>
      </c>
      <c r="D157" s="8" t="s">
        <v>581</v>
      </c>
      <c r="E157" s="4" t="n">
        <v>0</v>
      </c>
      <c r="F157" s="4" t="n">
        <v>2</v>
      </c>
      <c r="G157" s="4" t="n">
        <v>5</v>
      </c>
      <c r="H157" s="4" t="n">
        <v>4</v>
      </c>
      <c r="I157" s="4" t="n">
        <v>1</v>
      </c>
      <c r="J157" s="4" t="n">
        <v>1</v>
      </c>
      <c r="K157" s="4" t="n">
        <v>11</v>
      </c>
      <c r="L157" s="4" t="n">
        <v>1</v>
      </c>
      <c r="M157" s="4" t="n">
        <v>2</v>
      </c>
      <c r="N157" s="4" t="n">
        <v>5</v>
      </c>
      <c r="O157" s="4" t="n">
        <v>5</v>
      </c>
      <c r="P157" s="4" t="n">
        <v>2</v>
      </c>
      <c r="Q157" s="4" t="n">
        <v>5</v>
      </c>
      <c r="R157" s="4" t="n">
        <v>3</v>
      </c>
      <c r="S157" s="4" t="n">
        <v>4</v>
      </c>
      <c r="T157" s="4" t="n">
        <v>0</v>
      </c>
      <c r="U157" s="4" t="n">
        <v>10</v>
      </c>
      <c r="V157" s="4" t="n">
        <v>4</v>
      </c>
      <c r="W157" s="4" t="n">
        <v>3</v>
      </c>
      <c r="X157" s="4" t="n">
        <v>5</v>
      </c>
      <c r="Y157" s="4" t="n">
        <v>3</v>
      </c>
      <c r="Z157" s="4" t="n">
        <v>4</v>
      </c>
      <c r="AA157" s="4" t="n">
        <v>3</v>
      </c>
      <c r="AB157" s="4" t="n">
        <v>0</v>
      </c>
      <c r="AC157" s="4" t="n">
        <v>5</v>
      </c>
      <c r="AD157" s="4" t="n">
        <v>0</v>
      </c>
      <c r="AE157" s="8" t="n">
        <f aca="false">COUNTIF(F157:AD157,"&lt;=0")</f>
        <v>3</v>
      </c>
    </row>
    <row r="158" customFormat="false" ht="15" hidden="false" customHeight="false" outlineLevel="0" collapsed="false">
      <c r="A158" s="8" t="s">
        <v>77</v>
      </c>
      <c r="B158" s="8" t="s">
        <v>20</v>
      </c>
      <c r="C158" s="8" t="n">
        <v>102494</v>
      </c>
      <c r="D158" s="8" t="s">
        <v>582</v>
      </c>
      <c r="E158" s="4" t="n">
        <v>0</v>
      </c>
      <c r="F158" s="4" t="n">
        <v>0</v>
      </c>
      <c r="G158" s="4" t="n">
        <v>4</v>
      </c>
      <c r="H158" s="4" t="n">
        <v>4</v>
      </c>
      <c r="I158" s="4" t="n">
        <v>4</v>
      </c>
      <c r="J158" s="4" t="n">
        <v>4</v>
      </c>
      <c r="K158" s="4" t="n">
        <v>4</v>
      </c>
      <c r="L158" s="4" t="n">
        <v>4</v>
      </c>
      <c r="M158" s="4" t="n">
        <v>3</v>
      </c>
      <c r="N158" s="4" t="n">
        <v>3</v>
      </c>
      <c r="O158" s="4" t="n">
        <v>4</v>
      </c>
      <c r="P158" s="4" t="n">
        <v>4</v>
      </c>
      <c r="Q158" s="4" t="n">
        <v>3</v>
      </c>
      <c r="R158" s="4" t="n">
        <v>3</v>
      </c>
      <c r="S158" s="4" t="n">
        <v>3</v>
      </c>
      <c r="T158" s="4" t="n">
        <v>3</v>
      </c>
      <c r="U158" s="4" t="n">
        <v>4</v>
      </c>
      <c r="V158" s="4" t="n">
        <v>3</v>
      </c>
      <c r="W158" s="4" t="n">
        <v>3</v>
      </c>
      <c r="X158" s="4" t="n">
        <v>3</v>
      </c>
      <c r="Y158" s="4" t="n">
        <v>3</v>
      </c>
      <c r="Z158" s="4" t="n">
        <v>2</v>
      </c>
      <c r="AA158" s="4" t="n">
        <v>3</v>
      </c>
      <c r="AB158" s="4" t="n">
        <v>0</v>
      </c>
      <c r="AC158" s="4" t="n">
        <v>3</v>
      </c>
      <c r="AD158" s="4" t="n">
        <v>0</v>
      </c>
      <c r="AE158" s="8" t="n">
        <f aca="false">COUNTIF(F158:AD158,"&lt;=0")</f>
        <v>3</v>
      </c>
    </row>
    <row r="159" customFormat="false" ht="15" hidden="false" customHeight="false" outlineLevel="0" collapsed="false">
      <c r="A159" s="8" t="s">
        <v>77</v>
      </c>
      <c r="B159" s="8" t="s">
        <v>20</v>
      </c>
      <c r="C159" s="8" t="n">
        <v>102498</v>
      </c>
      <c r="D159" s="8" t="s">
        <v>335</v>
      </c>
      <c r="E159" s="4" t="n">
        <v>11</v>
      </c>
      <c r="F159" s="4" t="n">
        <v>0</v>
      </c>
      <c r="G159" s="4" t="n">
        <v>4</v>
      </c>
      <c r="H159" s="4" t="n">
        <v>2</v>
      </c>
      <c r="I159" s="4" t="n">
        <v>4</v>
      </c>
      <c r="J159" s="4" t="n">
        <v>0</v>
      </c>
      <c r="K159" s="4" t="n">
        <v>4</v>
      </c>
      <c r="L159" s="4" t="n">
        <v>3</v>
      </c>
      <c r="M159" s="4" t="n">
        <v>2</v>
      </c>
      <c r="N159" s="4" t="n">
        <v>3</v>
      </c>
      <c r="O159" s="4" t="n">
        <v>6</v>
      </c>
      <c r="P159" s="4" t="n">
        <v>4</v>
      </c>
      <c r="Q159" s="4" t="n">
        <v>2</v>
      </c>
      <c r="R159" s="4" t="n">
        <v>0</v>
      </c>
      <c r="S159" s="4" t="n">
        <v>3</v>
      </c>
      <c r="T159" s="4" t="n">
        <v>3</v>
      </c>
      <c r="U159" s="4" t="n">
        <v>3</v>
      </c>
      <c r="V159" s="4" t="n">
        <v>3</v>
      </c>
      <c r="W159" s="4" t="n">
        <v>3</v>
      </c>
      <c r="X159" s="4" t="n">
        <v>3</v>
      </c>
      <c r="Y159" s="4" t="n">
        <v>3</v>
      </c>
      <c r="Z159" s="4" t="n">
        <v>3</v>
      </c>
      <c r="AA159" s="4" t="n">
        <v>3</v>
      </c>
      <c r="AB159" s="4" t="n">
        <v>0</v>
      </c>
      <c r="AC159" s="4" t="n">
        <v>3</v>
      </c>
      <c r="AD159" s="4" t="n">
        <v>0</v>
      </c>
      <c r="AE159" s="8" t="n">
        <f aca="false">COUNTIF(F159:AD159,"&lt;=0")</f>
        <v>5</v>
      </c>
    </row>
    <row r="160" customFormat="false" ht="15" hidden="false" customHeight="false" outlineLevel="0" collapsed="false">
      <c r="A160" s="8" t="s">
        <v>77</v>
      </c>
      <c r="B160" s="8" t="s">
        <v>20</v>
      </c>
      <c r="C160" s="8" t="n">
        <v>102373</v>
      </c>
      <c r="D160" s="8" t="s">
        <v>382</v>
      </c>
      <c r="E160" s="4" t="n">
        <v>122</v>
      </c>
      <c r="F160" s="4" t="n">
        <v>0</v>
      </c>
      <c r="G160" s="4" t="n">
        <v>7</v>
      </c>
      <c r="H160" s="4" t="n">
        <v>11</v>
      </c>
      <c r="I160" s="4" t="n">
        <v>9</v>
      </c>
      <c r="J160" s="4" t="n">
        <v>8</v>
      </c>
      <c r="K160" s="4" t="n">
        <v>7</v>
      </c>
      <c r="L160" s="4" t="n">
        <v>9</v>
      </c>
      <c r="M160" s="4" t="n">
        <v>5</v>
      </c>
      <c r="N160" s="4" t="n">
        <v>5</v>
      </c>
      <c r="O160" s="4" t="n">
        <v>10</v>
      </c>
      <c r="P160" s="4" t="n">
        <v>7</v>
      </c>
      <c r="Q160" s="4" t="n">
        <v>4</v>
      </c>
      <c r="R160" s="4" t="n">
        <v>7</v>
      </c>
      <c r="S160" s="4" t="n">
        <v>6</v>
      </c>
      <c r="T160" s="4" t="n">
        <v>4</v>
      </c>
      <c r="U160" s="4" t="n">
        <v>9</v>
      </c>
      <c r="V160" s="4" t="n">
        <v>5</v>
      </c>
      <c r="W160" s="4" t="n">
        <v>4</v>
      </c>
      <c r="X160" s="4" t="n">
        <v>5</v>
      </c>
      <c r="Y160" s="4" t="n">
        <v>5</v>
      </c>
      <c r="Z160" s="4" t="n">
        <v>4</v>
      </c>
      <c r="AA160" s="4" t="n">
        <v>7</v>
      </c>
      <c r="AB160" s="4" t="n">
        <v>0</v>
      </c>
      <c r="AC160" s="4" t="n">
        <v>5</v>
      </c>
      <c r="AD160" s="4" t="n">
        <v>0</v>
      </c>
      <c r="AE160" s="8" t="n">
        <f aca="false">COUNTIF(F160:AD160,"&lt;=0")</f>
        <v>3</v>
      </c>
    </row>
    <row r="161" customFormat="false" ht="15" hidden="false" customHeight="false" outlineLevel="0" collapsed="false">
      <c r="A161" s="8" t="s">
        <v>77</v>
      </c>
      <c r="B161" s="8" t="s">
        <v>20</v>
      </c>
      <c r="C161" s="8" t="n">
        <v>102372</v>
      </c>
      <c r="D161" s="8" t="s">
        <v>386</v>
      </c>
      <c r="E161" s="4" t="n">
        <v>88</v>
      </c>
      <c r="F161" s="4" t="n">
        <v>0</v>
      </c>
      <c r="G161" s="4" t="n">
        <v>9</v>
      </c>
      <c r="H161" s="4" t="n">
        <v>10</v>
      </c>
      <c r="I161" s="4" t="n">
        <v>6</v>
      </c>
      <c r="J161" s="4" t="n">
        <v>6</v>
      </c>
      <c r="K161" s="4" t="n">
        <v>6</v>
      </c>
      <c r="L161" s="4" t="n">
        <v>7</v>
      </c>
      <c r="M161" s="4" t="n">
        <v>8</v>
      </c>
      <c r="N161" s="4" t="n">
        <v>4</v>
      </c>
      <c r="O161" s="4" t="n">
        <v>7</v>
      </c>
      <c r="P161" s="4" t="n">
        <v>7</v>
      </c>
      <c r="Q161" s="4" t="n">
        <v>4</v>
      </c>
      <c r="R161" s="4" t="n">
        <v>4</v>
      </c>
      <c r="S161" s="4" t="n">
        <v>5</v>
      </c>
      <c r="T161" s="4" t="n">
        <v>5</v>
      </c>
      <c r="U161" s="4" t="n">
        <v>8</v>
      </c>
      <c r="V161" s="4" t="n">
        <v>4</v>
      </c>
      <c r="W161" s="4" t="n">
        <v>6</v>
      </c>
      <c r="X161" s="4" t="n">
        <v>6</v>
      </c>
      <c r="Y161" s="4" t="n">
        <v>4</v>
      </c>
      <c r="Z161" s="4" t="n">
        <v>5</v>
      </c>
      <c r="AA161" s="4" t="n">
        <v>5</v>
      </c>
      <c r="AB161" s="4" t="n">
        <v>0</v>
      </c>
      <c r="AC161" s="4" t="n">
        <v>5</v>
      </c>
      <c r="AD161" s="4" t="n">
        <v>0</v>
      </c>
      <c r="AE161" s="8" t="n">
        <f aca="false">COUNTIF(F161:AD161,"&lt;=0")</f>
        <v>3</v>
      </c>
    </row>
    <row r="162" customFormat="false" ht="15" hidden="false" customHeight="false" outlineLevel="0" collapsed="false">
      <c r="A162" s="8" t="s">
        <v>77</v>
      </c>
      <c r="B162" s="8" t="s">
        <v>20</v>
      </c>
      <c r="C162" s="8" t="n">
        <v>102453</v>
      </c>
      <c r="D162" s="8" t="s">
        <v>583</v>
      </c>
      <c r="E162" s="4" t="n">
        <v>0</v>
      </c>
      <c r="F162" s="4" t="n">
        <v>0</v>
      </c>
      <c r="G162" s="4" t="n">
        <v>5</v>
      </c>
      <c r="H162" s="4" t="n">
        <v>6</v>
      </c>
      <c r="I162" s="4" t="n">
        <v>4</v>
      </c>
      <c r="J162" s="4" t="n">
        <v>4</v>
      </c>
      <c r="K162" s="4" t="n">
        <v>5</v>
      </c>
      <c r="L162" s="4" t="n">
        <v>2</v>
      </c>
      <c r="M162" s="4" t="n">
        <v>3</v>
      </c>
      <c r="N162" s="4" t="n">
        <v>4</v>
      </c>
      <c r="O162" s="4" t="n">
        <v>5</v>
      </c>
      <c r="P162" s="4" t="n">
        <v>2</v>
      </c>
      <c r="Q162" s="4" t="n">
        <v>3</v>
      </c>
      <c r="R162" s="4" t="n">
        <v>2</v>
      </c>
      <c r="S162" s="4" t="n">
        <v>3</v>
      </c>
      <c r="T162" s="4" t="n">
        <v>3</v>
      </c>
      <c r="U162" s="4" t="n">
        <v>6</v>
      </c>
      <c r="V162" s="4" t="n">
        <v>2</v>
      </c>
      <c r="W162" s="4" t="n">
        <v>3</v>
      </c>
      <c r="X162" s="4" t="n">
        <v>2</v>
      </c>
      <c r="Y162" s="4" t="n">
        <v>12</v>
      </c>
      <c r="Z162" s="4" t="n">
        <v>5</v>
      </c>
      <c r="AA162" s="4" t="n">
        <v>3</v>
      </c>
      <c r="AB162" s="4" t="n">
        <v>0</v>
      </c>
      <c r="AC162" s="4" t="n">
        <v>5</v>
      </c>
      <c r="AD162" s="4" t="n">
        <v>0</v>
      </c>
      <c r="AE162" s="8" t="n">
        <f aca="false">COUNTIF(F162:AD162,"&lt;=0")</f>
        <v>3</v>
      </c>
    </row>
    <row r="163" customFormat="false" ht="15" hidden="false" customHeight="false" outlineLevel="0" collapsed="false">
      <c r="A163" s="8" t="s">
        <v>77</v>
      </c>
      <c r="B163" s="8" t="s">
        <v>20</v>
      </c>
      <c r="C163" s="8" t="n">
        <v>102371</v>
      </c>
      <c r="D163" s="8" t="s">
        <v>390</v>
      </c>
      <c r="E163" s="4" t="n">
        <v>62</v>
      </c>
      <c r="F163" s="4" t="n">
        <v>0</v>
      </c>
      <c r="G163" s="4" t="n">
        <v>9</v>
      </c>
      <c r="H163" s="4" t="n">
        <v>9</v>
      </c>
      <c r="I163" s="4" t="n">
        <v>5</v>
      </c>
      <c r="J163" s="4" t="n">
        <v>6</v>
      </c>
      <c r="K163" s="4" t="n">
        <v>7</v>
      </c>
      <c r="L163" s="4" t="n">
        <v>8</v>
      </c>
      <c r="M163" s="4" t="n">
        <v>8</v>
      </c>
      <c r="N163" s="4" t="n">
        <v>6</v>
      </c>
      <c r="O163" s="4" t="n">
        <v>6</v>
      </c>
      <c r="P163" s="4" t="n">
        <v>8</v>
      </c>
      <c r="Q163" s="4" t="n">
        <v>4</v>
      </c>
      <c r="R163" s="4" t="n">
        <v>6</v>
      </c>
      <c r="S163" s="4" t="n">
        <v>4</v>
      </c>
      <c r="T163" s="4" t="n">
        <v>6</v>
      </c>
      <c r="U163" s="4" t="n">
        <v>9</v>
      </c>
      <c r="V163" s="4" t="n">
        <v>6</v>
      </c>
      <c r="W163" s="4" t="n">
        <v>5</v>
      </c>
      <c r="X163" s="4" t="n">
        <v>5</v>
      </c>
      <c r="Y163" s="4" t="n">
        <v>12</v>
      </c>
      <c r="Z163" s="4" t="n">
        <v>6</v>
      </c>
      <c r="AA163" s="4" t="n">
        <v>8</v>
      </c>
      <c r="AB163" s="4" t="n">
        <v>0</v>
      </c>
      <c r="AC163" s="4" t="n">
        <v>6</v>
      </c>
      <c r="AD163" s="4" t="n">
        <v>0</v>
      </c>
      <c r="AE163" s="8" t="n">
        <f aca="false">COUNTIF(F163:AD163,"&lt;=0")</f>
        <v>3</v>
      </c>
    </row>
    <row r="164" customFormat="false" ht="15" hidden="false" customHeight="false" outlineLevel="0" collapsed="false">
      <c r="A164" s="8" t="s">
        <v>77</v>
      </c>
      <c r="B164" s="8" t="s">
        <v>20</v>
      </c>
      <c r="C164" s="8" t="n">
        <v>102522</v>
      </c>
      <c r="D164" s="8" t="s">
        <v>584</v>
      </c>
      <c r="E164" s="4" t="n">
        <v>0</v>
      </c>
      <c r="F164" s="4" t="n">
        <v>0</v>
      </c>
      <c r="G164" s="4" t="n">
        <v>3</v>
      </c>
      <c r="H164" s="4" t="n">
        <v>2</v>
      </c>
      <c r="I164" s="4" t="n">
        <v>3</v>
      </c>
      <c r="J164" s="4" t="n">
        <v>7</v>
      </c>
      <c r="K164" s="4" t="n">
        <v>5</v>
      </c>
      <c r="L164" s="4" t="n">
        <v>1</v>
      </c>
      <c r="M164" s="4" t="n">
        <v>1</v>
      </c>
      <c r="N164" s="4" t="n">
        <v>3</v>
      </c>
      <c r="O164" s="4" t="n">
        <v>6</v>
      </c>
      <c r="P164" s="4" t="n">
        <v>2</v>
      </c>
      <c r="Q164" s="4" t="n">
        <v>3</v>
      </c>
      <c r="R164" s="4" t="n">
        <v>3</v>
      </c>
      <c r="S164" s="4" t="n">
        <v>3</v>
      </c>
      <c r="T164" s="4" t="n">
        <v>3</v>
      </c>
      <c r="U164" s="4" t="n">
        <v>3</v>
      </c>
      <c r="V164" s="4" t="n">
        <v>3</v>
      </c>
      <c r="W164" s="4" t="n">
        <v>2</v>
      </c>
      <c r="X164" s="4" t="n">
        <v>3</v>
      </c>
      <c r="Y164" s="4" t="n">
        <v>3</v>
      </c>
      <c r="Z164" s="4" t="n">
        <v>3</v>
      </c>
      <c r="AA164" s="4" t="n">
        <v>3</v>
      </c>
      <c r="AB164" s="4" t="n">
        <v>0</v>
      </c>
      <c r="AC164" s="4" t="n">
        <v>3</v>
      </c>
      <c r="AD164" s="4" t="n">
        <v>0</v>
      </c>
      <c r="AE164" s="8" t="n">
        <f aca="false">COUNTIF(F164:AD164,"&lt;=0")</f>
        <v>3</v>
      </c>
    </row>
    <row r="165" customFormat="false" ht="15" hidden="false" customHeight="false" outlineLevel="0" collapsed="false">
      <c r="A165" s="8" t="s">
        <v>77</v>
      </c>
      <c r="B165" s="8" t="s">
        <v>20</v>
      </c>
      <c r="C165" s="8" t="n">
        <v>102514</v>
      </c>
      <c r="D165" s="8" t="s">
        <v>585</v>
      </c>
      <c r="E165" s="4" t="n">
        <v>0</v>
      </c>
      <c r="F165" s="4" t="n">
        <v>0</v>
      </c>
      <c r="G165" s="4" t="n">
        <v>2</v>
      </c>
      <c r="H165" s="4" t="n">
        <v>2</v>
      </c>
      <c r="I165" s="4" t="n">
        <v>3</v>
      </c>
      <c r="J165" s="4" t="n">
        <v>5</v>
      </c>
      <c r="K165" s="4" t="n">
        <v>5</v>
      </c>
      <c r="L165" s="4" t="n">
        <v>3</v>
      </c>
      <c r="M165" s="4" t="n">
        <v>0</v>
      </c>
      <c r="N165" s="4" t="n">
        <v>3</v>
      </c>
      <c r="O165" s="4" t="n">
        <v>5</v>
      </c>
      <c r="P165" s="4" t="n">
        <v>1</v>
      </c>
      <c r="Q165" s="4" t="n">
        <v>3</v>
      </c>
      <c r="R165" s="4" t="n">
        <v>3</v>
      </c>
      <c r="S165" s="4" t="n">
        <v>3</v>
      </c>
      <c r="T165" s="4" t="n">
        <v>2</v>
      </c>
      <c r="U165" s="4" t="n">
        <v>3</v>
      </c>
      <c r="V165" s="4" t="n">
        <v>3</v>
      </c>
      <c r="W165" s="4" t="n">
        <v>3</v>
      </c>
      <c r="X165" s="4" t="n">
        <v>3</v>
      </c>
      <c r="Y165" s="4" t="n">
        <v>2</v>
      </c>
      <c r="Z165" s="4" t="n">
        <v>3</v>
      </c>
      <c r="AA165" s="4" t="n">
        <v>3</v>
      </c>
      <c r="AB165" s="4" t="n">
        <v>0</v>
      </c>
      <c r="AC165" s="4" t="n">
        <v>3</v>
      </c>
      <c r="AD165" s="4" t="n">
        <v>0</v>
      </c>
      <c r="AE165" s="8" t="n">
        <f aca="false">COUNTIF(F165:AD165,"&lt;=0")</f>
        <v>4</v>
      </c>
    </row>
    <row r="166" customFormat="false" ht="15" hidden="false" customHeight="false" outlineLevel="0" collapsed="false">
      <c r="A166" s="8" t="s">
        <v>77</v>
      </c>
      <c r="B166" s="8" t="s">
        <v>20</v>
      </c>
      <c r="C166" s="8" t="n">
        <v>102515</v>
      </c>
      <c r="D166" s="8" t="s">
        <v>586</v>
      </c>
      <c r="E166" s="4" t="n">
        <v>0</v>
      </c>
      <c r="F166" s="4" t="n">
        <v>0</v>
      </c>
      <c r="G166" s="4" t="n">
        <v>3</v>
      </c>
      <c r="H166" s="4" t="n">
        <v>2</v>
      </c>
      <c r="I166" s="4" t="n">
        <v>6</v>
      </c>
      <c r="J166" s="4" t="n">
        <v>4</v>
      </c>
      <c r="K166" s="4" t="n">
        <v>6</v>
      </c>
      <c r="L166" s="4" t="n">
        <v>1</v>
      </c>
      <c r="M166" s="4" t="n">
        <v>2</v>
      </c>
      <c r="N166" s="4" t="n">
        <v>3</v>
      </c>
      <c r="O166" s="4" t="n">
        <v>3</v>
      </c>
      <c r="P166" s="4" t="n">
        <v>3</v>
      </c>
      <c r="Q166" s="4" t="n">
        <v>2</v>
      </c>
      <c r="R166" s="4" t="n">
        <v>3</v>
      </c>
      <c r="S166" s="4" t="n">
        <v>3</v>
      </c>
      <c r="T166" s="4" t="n">
        <v>3</v>
      </c>
      <c r="U166" s="4" t="n">
        <v>2</v>
      </c>
      <c r="V166" s="4" t="n">
        <v>3</v>
      </c>
      <c r="W166" s="4" t="n">
        <v>3</v>
      </c>
      <c r="X166" s="4" t="n">
        <v>2</v>
      </c>
      <c r="Y166" s="4" t="n">
        <v>3</v>
      </c>
      <c r="Z166" s="4" t="n">
        <v>3</v>
      </c>
      <c r="AA166" s="4" t="n">
        <v>3</v>
      </c>
      <c r="AB166" s="4" t="n">
        <v>0</v>
      </c>
      <c r="AC166" s="4" t="n">
        <v>3</v>
      </c>
      <c r="AD166" s="4" t="n">
        <v>0</v>
      </c>
      <c r="AE166" s="8" t="n">
        <f aca="false">COUNTIF(F166:AD166,"&lt;=0")</f>
        <v>3</v>
      </c>
    </row>
    <row r="167" customFormat="false" ht="15" hidden="false" customHeight="false" outlineLevel="0" collapsed="false">
      <c r="A167" s="8" t="s">
        <v>77</v>
      </c>
      <c r="B167" s="8" t="s">
        <v>20</v>
      </c>
      <c r="C167" s="8" t="n">
        <v>102452</v>
      </c>
      <c r="D167" s="8" t="s">
        <v>587</v>
      </c>
      <c r="E167" s="4" t="n">
        <v>0</v>
      </c>
      <c r="F167" s="4" t="n">
        <v>0</v>
      </c>
      <c r="G167" s="4" t="n">
        <v>3</v>
      </c>
      <c r="H167" s="4" t="n">
        <v>3</v>
      </c>
      <c r="I167" s="4" t="n">
        <v>3</v>
      </c>
      <c r="J167" s="4" t="n">
        <v>5</v>
      </c>
      <c r="K167" s="4" t="n">
        <v>5</v>
      </c>
      <c r="L167" s="4" t="n">
        <v>4</v>
      </c>
      <c r="M167" s="4" t="n">
        <v>3</v>
      </c>
      <c r="N167" s="4" t="n">
        <v>3</v>
      </c>
      <c r="O167" s="4" t="n">
        <v>2</v>
      </c>
      <c r="P167" s="4" t="n">
        <v>3</v>
      </c>
      <c r="Q167" s="4" t="n">
        <v>4</v>
      </c>
      <c r="R167" s="4" t="n">
        <v>5</v>
      </c>
      <c r="S167" s="4" t="n">
        <v>3</v>
      </c>
      <c r="T167" s="4" t="n">
        <v>3</v>
      </c>
      <c r="U167" s="4" t="n">
        <v>2</v>
      </c>
      <c r="V167" s="4" t="n">
        <v>3</v>
      </c>
      <c r="W167" s="4" t="n">
        <v>3</v>
      </c>
      <c r="X167" s="4" t="n">
        <v>5</v>
      </c>
      <c r="Y167" s="4" t="n">
        <v>4</v>
      </c>
      <c r="Z167" s="4" t="n">
        <v>2</v>
      </c>
      <c r="AA167" s="4" t="n">
        <v>5</v>
      </c>
      <c r="AB167" s="4" t="n">
        <v>0</v>
      </c>
      <c r="AC167" s="4" t="n">
        <v>3</v>
      </c>
      <c r="AD167" s="4" t="n">
        <v>0</v>
      </c>
      <c r="AE167" s="8" t="n">
        <f aca="false">COUNTIF(F167:AD167,"&lt;=0")</f>
        <v>3</v>
      </c>
    </row>
    <row r="168" customFormat="false" ht="15" hidden="false" customHeight="false" outlineLevel="0" collapsed="false">
      <c r="A168" s="8" t="s">
        <v>77</v>
      </c>
      <c r="B168" s="8" t="s">
        <v>20</v>
      </c>
      <c r="C168" s="8" t="n">
        <v>102454</v>
      </c>
      <c r="D168" s="8" t="s">
        <v>588</v>
      </c>
      <c r="E168" s="4" t="n">
        <v>0</v>
      </c>
      <c r="F168" s="4" t="n">
        <v>0</v>
      </c>
      <c r="G168" s="4" t="n">
        <v>6</v>
      </c>
      <c r="H168" s="4" t="n">
        <v>7</v>
      </c>
      <c r="I168" s="4" t="n">
        <v>6</v>
      </c>
      <c r="J168" s="4" t="n">
        <v>3</v>
      </c>
      <c r="K168" s="4" t="n">
        <v>12</v>
      </c>
      <c r="L168" s="4" t="n">
        <v>3</v>
      </c>
      <c r="M168" s="4" t="n">
        <v>5</v>
      </c>
      <c r="N168" s="4" t="n">
        <v>2</v>
      </c>
      <c r="O168" s="4" t="n">
        <v>2</v>
      </c>
      <c r="P168" s="4" t="n">
        <v>3</v>
      </c>
      <c r="Q168" s="4" t="n">
        <v>4</v>
      </c>
      <c r="R168" s="4" t="n">
        <v>5</v>
      </c>
      <c r="S168" s="4" t="n">
        <v>5</v>
      </c>
      <c r="T168" s="4" t="n">
        <v>7</v>
      </c>
      <c r="U168" s="4" t="n">
        <v>4</v>
      </c>
      <c r="V168" s="4" t="n">
        <v>6</v>
      </c>
      <c r="W168" s="4" t="n">
        <v>5</v>
      </c>
      <c r="X168" s="4" t="n">
        <v>4</v>
      </c>
      <c r="Y168" s="4" t="n">
        <v>3</v>
      </c>
      <c r="Z168" s="4" t="n">
        <v>4</v>
      </c>
      <c r="AA168" s="4" t="n">
        <v>3</v>
      </c>
      <c r="AB168" s="4" t="n">
        <v>0</v>
      </c>
      <c r="AC168" s="4" t="n">
        <v>6</v>
      </c>
      <c r="AD168" s="4" t="n">
        <v>0</v>
      </c>
      <c r="AE168" s="8" t="n">
        <f aca="false">COUNTIF(F168:AD168,"&lt;=0")</f>
        <v>3</v>
      </c>
    </row>
    <row r="169" customFormat="false" ht="15" hidden="false" customHeight="false" outlineLevel="0" collapsed="false">
      <c r="A169" s="8" t="s">
        <v>77</v>
      </c>
      <c r="B169" s="8" t="s">
        <v>20</v>
      </c>
      <c r="C169" s="8" t="n">
        <v>102374</v>
      </c>
      <c r="D169" s="8" t="s">
        <v>456</v>
      </c>
      <c r="E169" s="4" t="n">
        <v>11</v>
      </c>
      <c r="F169" s="4" t="n">
        <v>3</v>
      </c>
      <c r="G169" s="4" t="n">
        <v>7</v>
      </c>
      <c r="H169" s="4" t="n">
        <v>4</v>
      </c>
      <c r="I169" s="4" t="n">
        <v>5</v>
      </c>
      <c r="J169" s="4" t="n">
        <v>11</v>
      </c>
      <c r="K169" s="4" t="n">
        <v>4</v>
      </c>
      <c r="L169" s="4" t="n">
        <v>7</v>
      </c>
      <c r="M169" s="4" t="n">
        <v>3</v>
      </c>
      <c r="N169" s="4" t="n">
        <v>3</v>
      </c>
      <c r="O169" s="4" t="n">
        <v>6</v>
      </c>
      <c r="P169" s="4" t="n">
        <v>5</v>
      </c>
      <c r="Q169" s="4" t="n">
        <v>8</v>
      </c>
      <c r="R169" s="4" t="n">
        <v>10</v>
      </c>
      <c r="S169" s="4" t="n">
        <v>4</v>
      </c>
      <c r="T169" s="4" t="n">
        <v>2</v>
      </c>
      <c r="U169" s="4" t="n">
        <v>5</v>
      </c>
      <c r="V169" s="4" t="n">
        <v>8</v>
      </c>
      <c r="W169" s="4" t="n">
        <v>10</v>
      </c>
      <c r="X169" s="4" t="n">
        <v>5</v>
      </c>
      <c r="Y169" s="4" t="n">
        <v>17</v>
      </c>
      <c r="Z169" s="4" t="n">
        <v>9</v>
      </c>
      <c r="AA169" s="4" t="n">
        <v>8</v>
      </c>
      <c r="AB169" s="4" t="n">
        <v>0</v>
      </c>
      <c r="AC169" s="4" t="n">
        <v>3</v>
      </c>
      <c r="AD169" s="4" t="n">
        <v>0</v>
      </c>
      <c r="AE169" s="8" t="n">
        <f aca="false">COUNTIF(F169:AD169,"&lt;=0")</f>
        <v>2</v>
      </c>
    </row>
    <row r="170" customFormat="false" ht="15" hidden="false" customHeight="false" outlineLevel="0" collapsed="false">
      <c r="A170" s="8" t="s">
        <v>77</v>
      </c>
      <c r="B170" s="8" t="s">
        <v>20</v>
      </c>
      <c r="C170" s="8" t="n">
        <v>102493</v>
      </c>
      <c r="D170" s="8" t="s">
        <v>362</v>
      </c>
      <c r="E170" s="4" t="n">
        <v>3</v>
      </c>
      <c r="F170" s="4" t="n">
        <v>0</v>
      </c>
      <c r="G170" s="4" t="n">
        <v>4</v>
      </c>
      <c r="H170" s="4" t="n">
        <v>4</v>
      </c>
      <c r="I170" s="4" t="n">
        <v>2</v>
      </c>
      <c r="J170" s="4" t="n">
        <v>3</v>
      </c>
      <c r="K170" s="4" t="n">
        <v>6</v>
      </c>
      <c r="L170" s="4" t="n">
        <v>3</v>
      </c>
      <c r="M170" s="4" t="n">
        <v>4</v>
      </c>
      <c r="N170" s="4" t="n">
        <v>3</v>
      </c>
      <c r="O170" s="4" t="n">
        <v>5</v>
      </c>
      <c r="P170" s="4" t="n">
        <v>4</v>
      </c>
      <c r="Q170" s="4" t="n">
        <v>4</v>
      </c>
      <c r="R170" s="4" t="n">
        <v>0</v>
      </c>
      <c r="S170" s="4" t="n">
        <v>2</v>
      </c>
      <c r="T170" s="4" t="n">
        <v>3</v>
      </c>
      <c r="U170" s="4" t="n">
        <v>4</v>
      </c>
      <c r="V170" s="4" t="n">
        <v>3</v>
      </c>
      <c r="W170" s="4" t="n">
        <v>3</v>
      </c>
      <c r="X170" s="4" t="n">
        <v>2</v>
      </c>
      <c r="Y170" s="4" t="n">
        <v>1</v>
      </c>
      <c r="Z170" s="4" t="n">
        <v>2</v>
      </c>
      <c r="AA170" s="4" t="n">
        <v>3</v>
      </c>
      <c r="AB170" s="4" t="n">
        <v>0</v>
      </c>
      <c r="AC170" s="4" t="n">
        <v>3</v>
      </c>
      <c r="AD170" s="4" t="n">
        <v>0</v>
      </c>
      <c r="AE170" s="8" t="n">
        <f aca="false">COUNTIF(F170:AD170,"&lt;=0")</f>
        <v>4</v>
      </c>
    </row>
    <row r="171" customFormat="false" ht="15" hidden="false" customHeight="false" outlineLevel="0" collapsed="false">
      <c r="A171" s="8" t="s">
        <v>77</v>
      </c>
      <c r="B171" s="8" t="s">
        <v>20</v>
      </c>
      <c r="C171" s="8" t="n">
        <v>102495</v>
      </c>
      <c r="D171" s="8" t="s">
        <v>355</v>
      </c>
      <c r="E171" s="4" t="n">
        <v>9</v>
      </c>
      <c r="F171" s="4" t="n">
        <v>0</v>
      </c>
      <c r="G171" s="4" t="n">
        <v>4</v>
      </c>
      <c r="H171" s="4" t="n">
        <v>5</v>
      </c>
      <c r="I171" s="4" t="n">
        <v>3</v>
      </c>
      <c r="J171" s="4" t="n">
        <v>4</v>
      </c>
      <c r="K171" s="4" t="n">
        <v>4</v>
      </c>
      <c r="L171" s="4" t="n">
        <v>2</v>
      </c>
      <c r="M171" s="4" t="n">
        <v>4</v>
      </c>
      <c r="N171" s="4" t="n">
        <v>3</v>
      </c>
      <c r="O171" s="4" t="n">
        <v>5</v>
      </c>
      <c r="P171" s="4" t="n">
        <v>3</v>
      </c>
      <c r="Q171" s="4" t="n">
        <v>3</v>
      </c>
      <c r="R171" s="4" t="n">
        <v>2</v>
      </c>
      <c r="S171" s="4" t="n">
        <v>2</v>
      </c>
      <c r="T171" s="4" t="n">
        <v>1</v>
      </c>
      <c r="U171" s="4" t="n">
        <v>1</v>
      </c>
      <c r="V171" s="4" t="n">
        <v>2</v>
      </c>
      <c r="W171" s="4" t="n">
        <v>3</v>
      </c>
      <c r="X171" s="4" t="n">
        <v>3</v>
      </c>
      <c r="Y171" s="4" t="n">
        <v>0</v>
      </c>
      <c r="Z171" s="4" t="n">
        <v>1</v>
      </c>
      <c r="AA171" s="4" t="n">
        <v>1</v>
      </c>
      <c r="AB171" s="4" t="n">
        <v>0</v>
      </c>
      <c r="AC171" s="4" t="n">
        <v>3</v>
      </c>
      <c r="AD171" s="4" t="n">
        <v>0</v>
      </c>
      <c r="AE171" s="8" t="n">
        <f aca="false">COUNTIF(F171:AD171,"&lt;=0")</f>
        <v>4</v>
      </c>
    </row>
    <row r="172" customFormat="false" ht="15" hidden="false" customHeight="false" outlineLevel="0" collapsed="false">
      <c r="A172" s="8" t="s">
        <v>77</v>
      </c>
      <c r="B172" s="8" t="s">
        <v>20</v>
      </c>
      <c r="C172" s="8" t="n">
        <v>101873</v>
      </c>
      <c r="D172" s="8" t="s">
        <v>447</v>
      </c>
      <c r="E172" s="4" t="n">
        <v>21</v>
      </c>
      <c r="F172" s="4" t="n">
        <v>3</v>
      </c>
      <c r="G172" s="4" t="n">
        <v>4</v>
      </c>
      <c r="H172" s="4" t="n">
        <v>4</v>
      </c>
      <c r="I172" s="4" t="n">
        <v>4</v>
      </c>
      <c r="J172" s="4" t="n">
        <v>9</v>
      </c>
      <c r="K172" s="4" t="n">
        <v>8</v>
      </c>
      <c r="L172" s="4" t="n">
        <v>5</v>
      </c>
      <c r="M172" s="4" t="n">
        <v>5</v>
      </c>
      <c r="N172" s="4" t="n">
        <v>5</v>
      </c>
      <c r="O172" s="4" t="n">
        <v>3</v>
      </c>
      <c r="P172" s="4" t="n">
        <v>6</v>
      </c>
      <c r="Q172" s="4" t="n">
        <v>4</v>
      </c>
      <c r="R172" s="4" t="n">
        <v>2</v>
      </c>
      <c r="S172" s="4" t="n">
        <v>3</v>
      </c>
      <c r="T172" s="4" t="n">
        <v>2</v>
      </c>
      <c r="U172" s="4" t="n">
        <v>2</v>
      </c>
      <c r="V172" s="4" t="n">
        <v>3</v>
      </c>
      <c r="W172" s="4" t="n">
        <v>4</v>
      </c>
      <c r="X172" s="4" t="n">
        <v>3</v>
      </c>
      <c r="Y172" s="4" t="n">
        <v>4</v>
      </c>
      <c r="Z172" s="4" t="n">
        <v>4</v>
      </c>
      <c r="AA172" s="4" t="n">
        <v>5</v>
      </c>
      <c r="AB172" s="4" t="n">
        <v>0</v>
      </c>
      <c r="AC172" s="4" t="n">
        <v>7</v>
      </c>
      <c r="AD172" s="4" t="n">
        <v>0</v>
      </c>
      <c r="AE172" s="8" t="n">
        <f aca="false">COUNTIF(F172:AD172,"&lt;=0")</f>
        <v>2</v>
      </c>
    </row>
    <row r="173" customFormat="false" ht="15" hidden="false" customHeight="false" outlineLevel="0" collapsed="false">
      <c r="A173" s="8" t="s">
        <v>77</v>
      </c>
      <c r="B173" s="8" t="s">
        <v>20</v>
      </c>
      <c r="C173" s="8" t="n">
        <v>231176</v>
      </c>
      <c r="D173" s="8" t="s">
        <v>589</v>
      </c>
      <c r="E173" s="4" t="n">
        <v>0</v>
      </c>
      <c r="F173" s="4" t="n">
        <v>2</v>
      </c>
      <c r="G173" s="4" t="n">
        <v>4</v>
      </c>
      <c r="H173" s="4" t="n">
        <v>2</v>
      </c>
      <c r="I173" s="4" t="n">
        <v>1</v>
      </c>
      <c r="J173" s="4" t="n">
        <v>0</v>
      </c>
      <c r="K173" s="4" t="n">
        <v>4</v>
      </c>
      <c r="L173" s="4" t="n">
        <v>3</v>
      </c>
      <c r="M173" s="4" t="n">
        <v>2</v>
      </c>
      <c r="N173" s="4" t="n">
        <v>3</v>
      </c>
      <c r="O173" s="4" t="n">
        <v>2</v>
      </c>
      <c r="P173" s="4" t="n">
        <v>4</v>
      </c>
      <c r="Q173" s="4" t="n">
        <v>1</v>
      </c>
      <c r="R173" s="4" t="n">
        <v>3</v>
      </c>
      <c r="S173" s="4" t="n">
        <v>3</v>
      </c>
      <c r="T173" s="4" t="n">
        <v>2</v>
      </c>
      <c r="U173" s="4" t="n">
        <v>4</v>
      </c>
      <c r="V173" s="4" t="n">
        <v>0</v>
      </c>
      <c r="W173" s="4" t="n">
        <v>2</v>
      </c>
      <c r="X173" s="4" t="n">
        <v>3</v>
      </c>
      <c r="Y173" s="4" t="n">
        <v>3</v>
      </c>
      <c r="Z173" s="4" t="n">
        <v>2</v>
      </c>
      <c r="AA173" s="4" t="n">
        <v>3</v>
      </c>
      <c r="AB173" s="4" t="n">
        <v>0</v>
      </c>
      <c r="AC173" s="4" t="n">
        <v>3</v>
      </c>
      <c r="AD173" s="4" t="n">
        <v>0</v>
      </c>
      <c r="AE173" s="8" t="n">
        <f aca="false">COUNTIF(F173:AD173,"&lt;=0")</f>
        <v>4</v>
      </c>
    </row>
    <row r="174" customFormat="false" ht="15" hidden="false" customHeight="false" outlineLevel="0" collapsed="false">
      <c r="A174" s="8" t="s">
        <v>53</v>
      </c>
      <c r="B174" s="8" t="s">
        <v>20</v>
      </c>
      <c r="C174" s="8" t="n">
        <v>102367</v>
      </c>
      <c r="D174" s="8" t="s">
        <v>427</v>
      </c>
      <c r="E174" s="4" t="n">
        <v>2324</v>
      </c>
      <c r="F174" s="4" t="n">
        <v>0</v>
      </c>
      <c r="G174" s="4" t="n">
        <v>6</v>
      </c>
      <c r="H174" s="4" t="n">
        <v>8</v>
      </c>
      <c r="I174" s="4" t="n">
        <v>8</v>
      </c>
      <c r="J174" s="4" t="n">
        <v>6</v>
      </c>
      <c r="K174" s="4" t="n">
        <v>19</v>
      </c>
      <c r="L174" s="4" t="n">
        <v>7</v>
      </c>
      <c r="M174" s="4" t="n">
        <v>7</v>
      </c>
      <c r="N174" s="4" t="n">
        <v>7</v>
      </c>
      <c r="O174" s="4" t="n">
        <v>11</v>
      </c>
      <c r="P174" s="4" t="n">
        <v>31</v>
      </c>
      <c r="Q174" s="4" t="n">
        <v>9</v>
      </c>
      <c r="R174" s="4" t="n">
        <v>11</v>
      </c>
      <c r="S174" s="4" t="n">
        <v>10</v>
      </c>
      <c r="T174" s="4" t="n">
        <v>9</v>
      </c>
      <c r="U174" s="4" t="n">
        <v>9</v>
      </c>
      <c r="V174" s="4" t="n">
        <v>8</v>
      </c>
      <c r="W174" s="4" t="n">
        <v>9</v>
      </c>
      <c r="X174" s="4" t="n">
        <v>9</v>
      </c>
      <c r="Y174" s="4" t="n">
        <v>8</v>
      </c>
      <c r="Z174" s="4" t="n">
        <v>7</v>
      </c>
      <c r="AA174" s="4" t="n">
        <v>9</v>
      </c>
      <c r="AB174" s="4" t="n">
        <v>0</v>
      </c>
      <c r="AC174" s="4" t="n">
        <v>7</v>
      </c>
      <c r="AD174" s="4" t="n">
        <v>6</v>
      </c>
      <c r="AE174" s="8" t="n">
        <f aca="false">COUNTIF(F174:AD174,"&lt;=0")</f>
        <v>2</v>
      </c>
    </row>
    <row r="175" customFormat="false" ht="15" hidden="false" customHeight="false" outlineLevel="0" collapsed="false">
      <c r="A175" s="8" t="s">
        <v>108</v>
      </c>
      <c r="B175" s="8" t="s">
        <v>20</v>
      </c>
      <c r="C175" s="8" t="n">
        <v>102542</v>
      </c>
      <c r="D175" s="8" t="s">
        <v>431</v>
      </c>
      <c r="E175" s="4" t="n">
        <v>1115</v>
      </c>
      <c r="F175" s="4" t="n">
        <v>0</v>
      </c>
      <c r="G175" s="4" t="n">
        <v>7</v>
      </c>
      <c r="H175" s="4" t="n">
        <v>10</v>
      </c>
      <c r="I175" s="4" t="n">
        <v>7</v>
      </c>
      <c r="J175" s="4" t="n">
        <v>8</v>
      </c>
      <c r="K175" s="4" t="n">
        <v>9</v>
      </c>
      <c r="L175" s="4" t="n">
        <v>9</v>
      </c>
      <c r="M175" s="4" t="n">
        <v>8</v>
      </c>
      <c r="N175" s="4" t="n">
        <v>4</v>
      </c>
      <c r="O175" s="4" t="n">
        <v>14</v>
      </c>
      <c r="P175" s="4" t="n">
        <v>6</v>
      </c>
      <c r="Q175" s="4" t="n">
        <v>6</v>
      </c>
      <c r="R175" s="4" t="n">
        <v>6</v>
      </c>
      <c r="S175" s="4" t="n">
        <v>10</v>
      </c>
      <c r="T175" s="4" t="n">
        <v>6</v>
      </c>
      <c r="U175" s="4" t="n">
        <v>8</v>
      </c>
      <c r="V175" s="4" t="n">
        <v>8</v>
      </c>
      <c r="W175" s="4" t="n">
        <v>8</v>
      </c>
      <c r="X175" s="4" t="n">
        <v>5</v>
      </c>
      <c r="Y175" s="4" t="n">
        <v>4</v>
      </c>
      <c r="Z175" s="4" t="n">
        <v>51</v>
      </c>
      <c r="AA175" s="4" t="n">
        <v>4</v>
      </c>
      <c r="AB175" s="4" t="n">
        <v>0</v>
      </c>
      <c r="AC175" s="4" t="n">
        <v>7</v>
      </c>
      <c r="AD175" s="4" t="n">
        <v>36</v>
      </c>
      <c r="AE175" s="8" t="n">
        <f aca="false">COUNTIF(F175:AD175,"&lt;=0")</f>
        <v>2</v>
      </c>
    </row>
    <row r="176" customFormat="false" ht="15" hidden="false" customHeight="false" outlineLevel="0" collapsed="false">
      <c r="A176" s="8" t="s">
        <v>108</v>
      </c>
      <c r="B176" s="8" t="s">
        <v>20</v>
      </c>
      <c r="C176" s="8" t="n">
        <v>102541</v>
      </c>
      <c r="D176" s="8" t="s">
        <v>433</v>
      </c>
      <c r="E176" s="4" t="n">
        <v>613</v>
      </c>
      <c r="F176" s="4" t="n">
        <v>0</v>
      </c>
      <c r="G176" s="4" t="n">
        <v>7</v>
      </c>
      <c r="H176" s="4" t="n">
        <v>11</v>
      </c>
      <c r="I176" s="4" t="n">
        <v>7</v>
      </c>
      <c r="J176" s="4" t="n">
        <v>8</v>
      </c>
      <c r="K176" s="4" t="n">
        <v>14</v>
      </c>
      <c r="L176" s="4" t="n">
        <v>9</v>
      </c>
      <c r="M176" s="4" t="n">
        <v>7</v>
      </c>
      <c r="N176" s="4" t="n">
        <v>4</v>
      </c>
      <c r="O176" s="4" t="n">
        <v>9</v>
      </c>
      <c r="P176" s="4" t="n">
        <v>6</v>
      </c>
      <c r="Q176" s="4" t="n">
        <v>6</v>
      </c>
      <c r="R176" s="4" t="n">
        <v>6</v>
      </c>
      <c r="S176" s="4" t="n">
        <v>6</v>
      </c>
      <c r="T176" s="4" t="n">
        <v>6</v>
      </c>
      <c r="U176" s="4" t="n">
        <v>8</v>
      </c>
      <c r="V176" s="4" t="n">
        <v>8</v>
      </c>
      <c r="W176" s="4" t="n">
        <v>4</v>
      </c>
      <c r="X176" s="4" t="n">
        <v>9</v>
      </c>
      <c r="Y176" s="4" t="n">
        <v>4</v>
      </c>
      <c r="Z176" s="4" t="n">
        <v>51</v>
      </c>
      <c r="AA176" s="4" t="n">
        <v>4</v>
      </c>
      <c r="AB176" s="4" t="n">
        <v>0</v>
      </c>
      <c r="AC176" s="4" t="n">
        <v>7</v>
      </c>
      <c r="AD176" s="4" t="n">
        <v>36</v>
      </c>
      <c r="AE176" s="8" t="n">
        <f aca="false">COUNTIF(F176:AD176,"&lt;=0")</f>
        <v>2</v>
      </c>
    </row>
    <row r="177" customFormat="false" ht="15" hidden="false" customHeight="false" outlineLevel="0" collapsed="false">
      <c r="A177" s="8" t="s">
        <v>185</v>
      </c>
      <c r="B177" s="8" t="s">
        <v>20</v>
      </c>
      <c r="C177" s="8" t="n">
        <v>102212</v>
      </c>
      <c r="D177" s="8" t="s">
        <v>590</v>
      </c>
      <c r="E177" s="4" t="n">
        <v>0</v>
      </c>
      <c r="F177" s="4" t="n">
        <v>0</v>
      </c>
      <c r="G177" s="4" t="n">
        <v>9</v>
      </c>
      <c r="H177" s="4" t="n">
        <v>3</v>
      </c>
      <c r="I177" s="4" t="n">
        <v>6</v>
      </c>
      <c r="J177" s="4" t="n">
        <v>281</v>
      </c>
      <c r="K177" s="4" t="n">
        <v>4</v>
      </c>
      <c r="L177" s="4" t="n">
        <v>1</v>
      </c>
      <c r="M177" s="4" t="n">
        <v>0</v>
      </c>
      <c r="N177" s="4" t="n">
        <v>0</v>
      </c>
      <c r="O177" s="4" t="n">
        <v>0</v>
      </c>
      <c r="P177" s="4" t="n">
        <v>9</v>
      </c>
      <c r="Q177" s="4" t="n">
        <v>0</v>
      </c>
      <c r="R177" s="4" t="n">
        <v>0</v>
      </c>
      <c r="S177" s="4" t="n">
        <v>0</v>
      </c>
      <c r="T177" s="4" t="n">
        <v>0</v>
      </c>
      <c r="U177" s="4" t="n">
        <v>7</v>
      </c>
      <c r="V177" s="4" t="n">
        <v>0</v>
      </c>
      <c r="W177" s="4" t="n">
        <v>0</v>
      </c>
      <c r="X177" s="4" t="n">
        <v>0</v>
      </c>
      <c r="Y177" s="4" t="n">
        <v>0</v>
      </c>
      <c r="Z177" s="4" t="n">
        <v>0</v>
      </c>
      <c r="AA177" s="4" t="n">
        <v>0</v>
      </c>
      <c r="AB177" s="4" t="n">
        <v>0</v>
      </c>
      <c r="AC177" s="4" t="n">
        <v>6</v>
      </c>
      <c r="AD177" s="4" t="n">
        <v>0</v>
      </c>
      <c r="AE177" s="8" t="n">
        <f aca="false">COUNTIF(F177:AD177,"&lt;=0")</f>
        <v>16</v>
      </c>
    </row>
    <row r="178" customFormat="false" ht="15" hidden="false" customHeight="false" outlineLevel="0" collapsed="false">
      <c r="A178" s="8" t="s">
        <v>185</v>
      </c>
      <c r="B178" s="8" t="s">
        <v>20</v>
      </c>
      <c r="C178" s="8" t="n">
        <v>102210</v>
      </c>
      <c r="D178" s="8" t="s">
        <v>591</v>
      </c>
      <c r="E178" s="4" t="n">
        <v>0</v>
      </c>
      <c r="F178" s="4" t="n">
        <v>0</v>
      </c>
      <c r="G178" s="4" t="n">
        <v>1</v>
      </c>
      <c r="H178" s="4" t="n">
        <v>0</v>
      </c>
      <c r="I178" s="4" t="n">
        <v>0</v>
      </c>
      <c r="J178" s="4" t="n">
        <v>382</v>
      </c>
      <c r="K178" s="4" t="n">
        <v>0</v>
      </c>
      <c r="L178" s="4" t="n">
        <v>0</v>
      </c>
      <c r="M178" s="4" t="n">
        <v>0</v>
      </c>
      <c r="N178" s="4" t="n">
        <v>1</v>
      </c>
      <c r="O178" s="4" t="n">
        <v>1</v>
      </c>
      <c r="P178" s="4" t="n">
        <v>0</v>
      </c>
      <c r="Q178" s="4" t="n">
        <v>0</v>
      </c>
      <c r="R178" s="4" t="n">
        <v>0</v>
      </c>
      <c r="S178" s="4" t="n">
        <v>0</v>
      </c>
      <c r="T178" s="4" t="n">
        <v>0</v>
      </c>
      <c r="U178" s="4" t="n">
        <v>0</v>
      </c>
      <c r="V178" s="4" t="n">
        <v>0</v>
      </c>
      <c r="W178" s="4" t="n">
        <v>0</v>
      </c>
      <c r="X178" s="4" t="n">
        <v>0</v>
      </c>
      <c r="Y178" s="4" t="n">
        <v>0</v>
      </c>
      <c r="Z178" s="4" t="n">
        <v>0</v>
      </c>
      <c r="AA178" s="4" t="n">
        <v>0</v>
      </c>
      <c r="AB178" s="4" t="n">
        <v>0</v>
      </c>
      <c r="AC178" s="4" t="n">
        <v>4</v>
      </c>
      <c r="AD178" s="4" t="n">
        <v>0</v>
      </c>
      <c r="AE178" s="8" t="n">
        <f aca="false">COUNTIF(F178:AD178,"&lt;=0")</f>
        <v>20</v>
      </c>
    </row>
    <row r="179" customFormat="false" ht="15" hidden="false" customHeight="false" outlineLevel="0" collapsed="false">
      <c r="A179" s="8" t="s">
        <v>185</v>
      </c>
      <c r="B179" s="8" t="s">
        <v>20</v>
      </c>
      <c r="C179" s="8" t="n">
        <v>102208</v>
      </c>
      <c r="D179" s="8" t="s">
        <v>592</v>
      </c>
      <c r="E179" s="4" t="n">
        <v>0</v>
      </c>
      <c r="F179" s="4" t="n">
        <v>0</v>
      </c>
      <c r="G179" s="4" t="n">
        <v>0</v>
      </c>
      <c r="H179" s="4" t="n">
        <v>0</v>
      </c>
      <c r="I179" s="4" t="n">
        <v>0</v>
      </c>
      <c r="J179" s="4" t="n">
        <v>141</v>
      </c>
      <c r="K179" s="4" t="n">
        <v>0</v>
      </c>
      <c r="L179" s="4" t="n">
        <v>0</v>
      </c>
      <c r="M179" s="4" t="n">
        <v>0</v>
      </c>
      <c r="N179" s="4" t="n">
        <v>0</v>
      </c>
      <c r="O179" s="4" t="n">
        <v>0</v>
      </c>
      <c r="P179" s="4" t="n">
        <v>0</v>
      </c>
      <c r="Q179" s="4" t="n">
        <v>0</v>
      </c>
      <c r="R179" s="4" t="n">
        <v>0</v>
      </c>
      <c r="S179" s="4" t="n">
        <v>0</v>
      </c>
      <c r="T179" s="4" t="n">
        <v>0</v>
      </c>
      <c r="U179" s="4" t="n">
        <v>0</v>
      </c>
      <c r="V179" s="4" t="n">
        <v>0</v>
      </c>
      <c r="W179" s="4" t="n">
        <v>0</v>
      </c>
      <c r="X179" s="4" t="n">
        <v>0</v>
      </c>
      <c r="Y179" s="4" t="n">
        <v>0</v>
      </c>
      <c r="Z179" s="4" t="n">
        <v>0</v>
      </c>
      <c r="AA179" s="4" t="n">
        <v>0</v>
      </c>
      <c r="AB179" s="4" t="n">
        <v>0</v>
      </c>
      <c r="AC179" s="4" t="n">
        <v>0</v>
      </c>
      <c r="AD179" s="4" t="n">
        <v>0</v>
      </c>
      <c r="AE179" s="8" t="n">
        <f aca="false">COUNTIF(F179:AD179,"&lt;=0")</f>
        <v>24</v>
      </c>
    </row>
    <row r="180" customFormat="false" ht="15" hidden="false" customHeight="false" outlineLevel="0" collapsed="false">
      <c r="A180" s="8" t="s">
        <v>185</v>
      </c>
      <c r="B180" s="8" t="s">
        <v>20</v>
      </c>
      <c r="C180" s="8" t="n">
        <v>102211</v>
      </c>
      <c r="D180" s="8" t="s">
        <v>593</v>
      </c>
      <c r="E180" s="4" t="n">
        <v>0</v>
      </c>
      <c r="F180" s="4" t="n">
        <v>6</v>
      </c>
      <c r="G180" s="4" t="n">
        <v>0</v>
      </c>
      <c r="H180" s="4" t="n">
        <v>0</v>
      </c>
      <c r="I180" s="4" t="n">
        <v>0</v>
      </c>
      <c r="J180" s="4" t="n">
        <v>337</v>
      </c>
      <c r="K180" s="4" t="n">
        <v>0</v>
      </c>
      <c r="L180" s="4" t="n">
        <v>1</v>
      </c>
      <c r="M180" s="4" t="n">
        <v>0</v>
      </c>
      <c r="N180" s="4" t="n">
        <v>5</v>
      </c>
      <c r="O180" s="4" t="n">
        <v>0</v>
      </c>
      <c r="P180" s="4" t="n">
        <v>1</v>
      </c>
      <c r="Q180" s="4" t="n">
        <v>5</v>
      </c>
      <c r="R180" s="4" t="n">
        <v>0</v>
      </c>
      <c r="S180" s="4" t="n">
        <v>0</v>
      </c>
      <c r="T180" s="4" t="n">
        <v>5</v>
      </c>
      <c r="U180" s="4" t="n">
        <v>2</v>
      </c>
      <c r="V180" s="4" t="n">
        <v>5</v>
      </c>
      <c r="W180" s="4" t="n">
        <v>5</v>
      </c>
      <c r="X180" s="4" t="n">
        <v>0</v>
      </c>
      <c r="Y180" s="4" t="n">
        <v>3</v>
      </c>
      <c r="Z180" s="4" t="n">
        <v>3</v>
      </c>
      <c r="AA180" s="4" t="n">
        <v>2</v>
      </c>
      <c r="AB180" s="4" t="n">
        <v>0</v>
      </c>
      <c r="AC180" s="4" t="n">
        <v>3</v>
      </c>
      <c r="AD180" s="4" t="n">
        <v>0</v>
      </c>
      <c r="AE180" s="8" t="n">
        <f aca="false">COUNTIF(F180:AD180,"&lt;=0")</f>
        <v>11</v>
      </c>
    </row>
    <row r="181" customFormat="false" ht="15" hidden="false" customHeight="false" outlineLevel="0" collapsed="false">
      <c r="A181" s="8" t="s">
        <v>185</v>
      </c>
      <c r="B181" s="8" t="s">
        <v>20</v>
      </c>
      <c r="C181" s="8" t="n">
        <v>102207</v>
      </c>
      <c r="D181" s="8" t="s">
        <v>594</v>
      </c>
      <c r="E181" s="4" t="n">
        <v>0</v>
      </c>
      <c r="F181" s="4" t="n">
        <v>3</v>
      </c>
      <c r="G181" s="4" t="n">
        <v>7</v>
      </c>
      <c r="H181" s="4" t="n">
        <v>0</v>
      </c>
      <c r="I181" s="4" t="n">
        <v>0</v>
      </c>
      <c r="J181" s="4" t="n">
        <v>156</v>
      </c>
      <c r="K181" s="4" t="n">
        <v>0</v>
      </c>
      <c r="L181" s="4" t="n">
        <v>1</v>
      </c>
      <c r="M181" s="4" t="n">
        <v>0</v>
      </c>
      <c r="N181" s="4" t="n">
        <v>4</v>
      </c>
      <c r="O181" s="4" t="n">
        <v>0</v>
      </c>
      <c r="P181" s="4" t="n">
        <v>5</v>
      </c>
      <c r="Q181" s="4" t="n">
        <v>6</v>
      </c>
      <c r="R181" s="4" t="n">
        <v>0</v>
      </c>
      <c r="S181" s="4" t="n">
        <v>0</v>
      </c>
      <c r="T181" s="4" t="n">
        <v>6</v>
      </c>
      <c r="U181" s="4" t="n">
        <v>4</v>
      </c>
      <c r="V181" s="4" t="n">
        <v>5</v>
      </c>
      <c r="W181" s="4" t="n">
        <v>4</v>
      </c>
      <c r="X181" s="4" t="n">
        <v>4</v>
      </c>
      <c r="Y181" s="4" t="n">
        <v>1</v>
      </c>
      <c r="Z181" s="4" t="n">
        <v>7</v>
      </c>
      <c r="AA181" s="4" t="n">
        <v>6</v>
      </c>
      <c r="AB181" s="4" t="n">
        <v>0</v>
      </c>
      <c r="AC181" s="4" t="n">
        <v>10</v>
      </c>
      <c r="AD181" s="4" t="n">
        <v>0</v>
      </c>
      <c r="AE181" s="8" t="n">
        <f aca="false">COUNTIF(F181:AD181,"&lt;=0")</f>
        <v>9</v>
      </c>
    </row>
    <row r="182" customFormat="false" ht="15" hidden="false" customHeight="false" outlineLevel="0" collapsed="false">
      <c r="A182" s="8" t="s">
        <v>185</v>
      </c>
      <c r="B182" s="8" t="s">
        <v>20</v>
      </c>
      <c r="C182" s="8" t="n">
        <v>102209</v>
      </c>
      <c r="D182" s="8" t="s">
        <v>595</v>
      </c>
      <c r="E182" s="4" t="n">
        <v>0</v>
      </c>
      <c r="F182" s="4" t="n">
        <v>5</v>
      </c>
      <c r="G182" s="4" t="n">
        <v>0</v>
      </c>
      <c r="H182" s="4" t="n">
        <v>0</v>
      </c>
      <c r="I182" s="4" t="n">
        <v>1</v>
      </c>
      <c r="J182" s="4" t="n">
        <v>379</v>
      </c>
      <c r="K182" s="4" t="n">
        <v>5</v>
      </c>
      <c r="L182" s="4" t="n">
        <v>1</v>
      </c>
      <c r="M182" s="4" t="n">
        <v>26</v>
      </c>
      <c r="N182" s="4" t="n">
        <v>0</v>
      </c>
      <c r="O182" s="4" t="n">
        <v>1</v>
      </c>
      <c r="P182" s="4" t="n">
        <v>4</v>
      </c>
      <c r="Q182" s="4" t="n">
        <v>0</v>
      </c>
      <c r="R182" s="4" t="n">
        <v>0</v>
      </c>
      <c r="S182" s="4" t="n">
        <v>0</v>
      </c>
      <c r="T182" s="4" t="n">
        <v>2</v>
      </c>
      <c r="U182" s="4" t="n">
        <v>0</v>
      </c>
      <c r="V182" s="4" t="n">
        <v>4</v>
      </c>
      <c r="W182" s="4" t="n">
        <v>2</v>
      </c>
      <c r="X182" s="4" t="n">
        <v>6</v>
      </c>
      <c r="Y182" s="4" t="n">
        <v>12</v>
      </c>
      <c r="Z182" s="4" t="n">
        <v>11</v>
      </c>
      <c r="AA182" s="4" t="n">
        <v>20</v>
      </c>
      <c r="AB182" s="4" t="n">
        <v>0</v>
      </c>
      <c r="AC182" s="4" t="n">
        <v>18</v>
      </c>
      <c r="AD182" s="4" t="n">
        <v>0</v>
      </c>
      <c r="AE182" s="8" t="n">
        <f aca="false">COUNTIF(F182:AD182,"&lt;=0")</f>
        <v>9</v>
      </c>
    </row>
    <row r="183" customFormat="false" ht="15" hidden="false" customHeight="false" outlineLevel="0" collapsed="false">
      <c r="A183" s="8" t="s">
        <v>92</v>
      </c>
      <c r="B183" s="8" t="s">
        <v>20</v>
      </c>
      <c r="C183" s="8" t="n">
        <v>101799</v>
      </c>
      <c r="D183" s="8" t="s">
        <v>455</v>
      </c>
      <c r="E183" s="4" t="n">
        <v>12</v>
      </c>
      <c r="F183" s="4" t="n">
        <v>6</v>
      </c>
      <c r="G183" s="4" t="n">
        <v>9</v>
      </c>
      <c r="H183" s="4" t="n">
        <v>3</v>
      </c>
      <c r="I183" s="4" t="n">
        <v>4</v>
      </c>
      <c r="J183" s="4" t="n">
        <v>3</v>
      </c>
      <c r="K183" s="4" t="n">
        <v>6</v>
      </c>
      <c r="L183" s="4" t="n">
        <v>4</v>
      </c>
      <c r="M183" s="4" t="n">
        <v>7</v>
      </c>
      <c r="N183" s="4" t="n">
        <v>7</v>
      </c>
      <c r="O183" s="4" t="n">
        <v>5</v>
      </c>
      <c r="P183" s="4" t="n">
        <v>4</v>
      </c>
      <c r="Q183" s="4" t="n">
        <v>5</v>
      </c>
      <c r="R183" s="4" t="n">
        <v>14</v>
      </c>
      <c r="S183" s="4" t="n">
        <v>4</v>
      </c>
      <c r="T183" s="4" t="n">
        <v>1</v>
      </c>
      <c r="U183" s="4" t="n">
        <v>3</v>
      </c>
      <c r="V183" s="4" t="n">
        <v>6</v>
      </c>
      <c r="W183" s="4" t="n">
        <v>2</v>
      </c>
      <c r="X183" s="4" t="n">
        <v>2</v>
      </c>
      <c r="Y183" s="4" t="n">
        <v>6</v>
      </c>
      <c r="Z183" s="4" t="n">
        <v>6</v>
      </c>
      <c r="AA183" s="4" t="n">
        <v>5</v>
      </c>
      <c r="AB183" s="4" t="n">
        <v>0</v>
      </c>
      <c r="AC183" s="4" t="n">
        <v>3</v>
      </c>
      <c r="AD183" s="4" t="n">
        <v>0</v>
      </c>
      <c r="AE183" s="8" t="n">
        <f aca="false">COUNTIF(F183:AD183,"&lt;=0")</f>
        <v>2</v>
      </c>
    </row>
    <row r="184" customFormat="false" ht="15" hidden="false" customHeight="false" outlineLevel="0" collapsed="false">
      <c r="A184" s="8" t="s">
        <v>92</v>
      </c>
      <c r="B184" s="8" t="s">
        <v>20</v>
      </c>
      <c r="C184" s="8" t="n">
        <v>101800</v>
      </c>
      <c r="D184" s="8" t="s">
        <v>393</v>
      </c>
      <c r="E184" s="4" t="n">
        <v>52</v>
      </c>
      <c r="F184" s="4" t="n">
        <v>6</v>
      </c>
      <c r="G184" s="4" t="n">
        <v>4</v>
      </c>
      <c r="H184" s="4" t="n">
        <v>4</v>
      </c>
      <c r="I184" s="4" t="n">
        <v>6</v>
      </c>
      <c r="J184" s="4" t="n">
        <v>4</v>
      </c>
      <c r="K184" s="4" t="n">
        <v>4</v>
      </c>
      <c r="L184" s="4" t="n">
        <v>3</v>
      </c>
      <c r="M184" s="4" t="n">
        <v>3</v>
      </c>
      <c r="N184" s="4" t="n">
        <v>2</v>
      </c>
      <c r="O184" s="4" t="n">
        <v>4</v>
      </c>
      <c r="P184" s="4" t="n">
        <v>4</v>
      </c>
      <c r="Q184" s="4" t="n">
        <v>5</v>
      </c>
      <c r="R184" s="4" t="n">
        <v>12</v>
      </c>
      <c r="S184" s="4" t="n">
        <v>3</v>
      </c>
      <c r="T184" s="4" t="n">
        <v>5</v>
      </c>
      <c r="U184" s="4" t="n">
        <v>5</v>
      </c>
      <c r="V184" s="4" t="n">
        <v>3</v>
      </c>
      <c r="W184" s="4" t="n">
        <v>3</v>
      </c>
      <c r="X184" s="4" t="n">
        <v>6</v>
      </c>
      <c r="Y184" s="4" t="n">
        <v>0</v>
      </c>
      <c r="Z184" s="4" t="n">
        <v>5</v>
      </c>
      <c r="AA184" s="4" t="n">
        <v>1</v>
      </c>
      <c r="AB184" s="4" t="n">
        <v>0</v>
      </c>
      <c r="AC184" s="4" t="n">
        <v>0</v>
      </c>
      <c r="AD184" s="4" t="n">
        <v>5</v>
      </c>
      <c r="AE184" s="8" t="n">
        <f aca="false">COUNTIF(F184:AD184,"&lt;=0")</f>
        <v>3</v>
      </c>
    </row>
    <row r="185" customFormat="false" ht="15" hidden="false" customHeight="false" outlineLevel="0" collapsed="false">
      <c r="A185" s="8" t="s">
        <v>92</v>
      </c>
      <c r="B185" s="8" t="s">
        <v>20</v>
      </c>
      <c r="C185" s="8" t="n">
        <v>101798</v>
      </c>
      <c r="D185" s="8" t="s">
        <v>345</v>
      </c>
      <c r="E185" s="4" t="n">
        <v>42</v>
      </c>
      <c r="F185" s="4" t="n">
        <v>6</v>
      </c>
      <c r="G185" s="4" t="n">
        <v>4</v>
      </c>
      <c r="H185" s="4" t="n">
        <v>4</v>
      </c>
      <c r="I185" s="4" t="n">
        <v>4</v>
      </c>
      <c r="J185" s="4" t="n">
        <v>13</v>
      </c>
      <c r="K185" s="4" t="n">
        <v>0</v>
      </c>
      <c r="L185" s="4" t="n">
        <v>0</v>
      </c>
      <c r="M185" s="4" t="n">
        <v>3</v>
      </c>
      <c r="N185" s="4" t="n">
        <v>2</v>
      </c>
      <c r="O185" s="4" t="n">
        <v>6</v>
      </c>
      <c r="P185" s="4" t="n">
        <v>7</v>
      </c>
      <c r="Q185" s="4" t="n">
        <v>6</v>
      </c>
      <c r="R185" s="4" t="n">
        <v>13</v>
      </c>
      <c r="S185" s="4" t="n">
        <v>6</v>
      </c>
      <c r="T185" s="4" t="n">
        <v>2</v>
      </c>
      <c r="U185" s="4" t="n">
        <v>4</v>
      </c>
      <c r="V185" s="4" t="n">
        <v>4</v>
      </c>
      <c r="W185" s="4" t="n">
        <v>2</v>
      </c>
      <c r="X185" s="4" t="n">
        <v>6</v>
      </c>
      <c r="Y185" s="4" t="n">
        <v>4</v>
      </c>
      <c r="Z185" s="4" t="n">
        <v>5</v>
      </c>
      <c r="AA185" s="4" t="n">
        <v>4</v>
      </c>
      <c r="AB185" s="4" t="n">
        <v>0</v>
      </c>
      <c r="AC185" s="4" t="n">
        <v>2</v>
      </c>
      <c r="AD185" s="4" t="n">
        <v>0</v>
      </c>
      <c r="AE185" s="8" t="n">
        <f aca="false">COUNTIF(F185:AD185,"&lt;=0")</f>
        <v>4</v>
      </c>
    </row>
    <row r="186" customFormat="false" ht="15" hidden="false" customHeight="false" outlineLevel="0" collapsed="false">
      <c r="A186" s="8" t="s">
        <v>92</v>
      </c>
      <c r="B186" s="8" t="s">
        <v>20</v>
      </c>
      <c r="C186" s="8" t="n">
        <v>101802</v>
      </c>
      <c r="D186" s="8" t="s">
        <v>323</v>
      </c>
      <c r="E186" s="4" t="n">
        <v>89</v>
      </c>
      <c r="F186" s="4" t="n">
        <v>5</v>
      </c>
      <c r="G186" s="4" t="n">
        <v>5</v>
      </c>
      <c r="H186" s="4" t="n">
        <v>4</v>
      </c>
      <c r="I186" s="4" t="n">
        <v>3</v>
      </c>
      <c r="J186" s="4" t="n">
        <v>6</v>
      </c>
      <c r="K186" s="4" t="n">
        <v>20</v>
      </c>
      <c r="L186" s="4" t="n">
        <v>0</v>
      </c>
      <c r="M186" s="4" t="n">
        <v>0</v>
      </c>
      <c r="N186" s="4" t="n">
        <v>0</v>
      </c>
      <c r="O186" s="4" t="n">
        <v>7</v>
      </c>
      <c r="P186" s="4" t="n">
        <v>4</v>
      </c>
      <c r="Q186" s="4" t="n">
        <v>5</v>
      </c>
      <c r="R186" s="4" t="n">
        <v>10</v>
      </c>
      <c r="S186" s="4" t="n">
        <v>4</v>
      </c>
      <c r="T186" s="4" t="n">
        <v>1</v>
      </c>
      <c r="U186" s="4" t="n">
        <v>5</v>
      </c>
      <c r="V186" s="4" t="n">
        <v>7</v>
      </c>
      <c r="W186" s="4" t="n">
        <v>4</v>
      </c>
      <c r="X186" s="4" t="n">
        <v>4</v>
      </c>
      <c r="Y186" s="4" t="n">
        <v>3</v>
      </c>
      <c r="Z186" s="4" t="n">
        <v>2</v>
      </c>
      <c r="AA186" s="4" t="n">
        <v>0</v>
      </c>
      <c r="AB186" s="4" t="n">
        <v>0</v>
      </c>
      <c r="AC186" s="4" t="n">
        <v>3</v>
      </c>
      <c r="AD186" s="4" t="n">
        <v>9</v>
      </c>
      <c r="AE186" s="8" t="n">
        <f aca="false">COUNTIF(F186:AD186,"&lt;=0")</f>
        <v>5</v>
      </c>
    </row>
    <row r="187" customFormat="false" ht="15" hidden="false" customHeight="false" outlineLevel="0" collapsed="false">
      <c r="A187" s="8" t="s">
        <v>92</v>
      </c>
      <c r="B187" s="8" t="s">
        <v>20</v>
      </c>
      <c r="C187" s="8" t="n">
        <v>102021</v>
      </c>
      <c r="D187" s="8" t="s">
        <v>347</v>
      </c>
      <c r="E187" s="4" t="n">
        <v>30</v>
      </c>
      <c r="F187" s="4" t="n">
        <v>0</v>
      </c>
      <c r="G187" s="4" t="n">
        <v>6</v>
      </c>
      <c r="H187" s="4" t="n">
        <v>2</v>
      </c>
      <c r="I187" s="4" t="n">
        <v>3</v>
      </c>
      <c r="J187" s="4" t="n">
        <v>12</v>
      </c>
      <c r="K187" s="4" t="n">
        <v>19</v>
      </c>
      <c r="L187" s="4" t="n">
        <v>6</v>
      </c>
      <c r="M187" s="4" t="n">
        <v>5</v>
      </c>
      <c r="N187" s="4" t="n">
        <v>3</v>
      </c>
      <c r="O187" s="4" t="n">
        <v>8</v>
      </c>
      <c r="P187" s="4" t="n">
        <v>3</v>
      </c>
      <c r="Q187" s="4" t="n">
        <v>6</v>
      </c>
      <c r="R187" s="4" t="n">
        <v>-1</v>
      </c>
      <c r="S187" s="4" t="n">
        <v>3</v>
      </c>
      <c r="T187" s="4" t="n">
        <v>3</v>
      </c>
      <c r="U187" s="4" t="n">
        <v>5</v>
      </c>
      <c r="V187" s="4" t="n">
        <v>8</v>
      </c>
      <c r="W187" s="4" t="n">
        <v>5</v>
      </c>
      <c r="X187" s="4" t="n">
        <v>1</v>
      </c>
      <c r="Y187" s="4" t="n">
        <v>4</v>
      </c>
      <c r="Z187" s="4" t="n">
        <v>4</v>
      </c>
      <c r="AA187" s="4" t="n">
        <v>4</v>
      </c>
      <c r="AB187" s="4" t="n">
        <v>0</v>
      </c>
      <c r="AC187" s="4" t="n">
        <v>5</v>
      </c>
      <c r="AD187" s="4" t="n">
        <v>0</v>
      </c>
      <c r="AE187" s="8" t="n">
        <f aca="false">COUNTIF(F187:AD187,"&lt;=0")</f>
        <v>4</v>
      </c>
    </row>
    <row r="188" customFormat="false" ht="15" hidden="false" customHeight="false" outlineLevel="0" collapsed="false">
      <c r="A188" s="8" t="s">
        <v>92</v>
      </c>
      <c r="B188" s="8" t="s">
        <v>20</v>
      </c>
      <c r="C188" s="8" t="n">
        <v>101801</v>
      </c>
      <c r="D188" s="8" t="s">
        <v>596</v>
      </c>
      <c r="E188" s="4" t="n">
        <v>12</v>
      </c>
      <c r="F188" s="4" t="n">
        <v>6</v>
      </c>
      <c r="G188" s="4" t="n">
        <v>2</v>
      </c>
      <c r="H188" s="4" t="n">
        <v>4</v>
      </c>
      <c r="I188" s="4" t="n">
        <v>7</v>
      </c>
      <c r="J188" s="4" t="n">
        <v>3</v>
      </c>
      <c r="K188" s="4" t="n">
        <v>26</v>
      </c>
      <c r="L188" s="4" t="n">
        <v>3</v>
      </c>
      <c r="M188" s="4" t="n">
        <v>7</v>
      </c>
      <c r="N188" s="4" t="n">
        <v>2</v>
      </c>
      <c r="O188" s="4" t="n">
        <v>9</v>
      </c>
      <c r="P188" s="4" t="n">
        <v>8</v>
      </c>
      <c r="Q188" s="4" t="n">
        <v>5</v>
      </c>
      <c r="R188" s="4" t="n">
        <v>11</v>
      </c>
      <c r="S188" s="4" t="n">
        <v>5</v>
      </c>
      <c r="T188" s="4" t="n">
        <v>3</v>
      </c>
      <c r="U188" s="4" t="n">
        <v>2</v>
      </c>
      <c r="V188" s="4" t="n">
        <v>4</v>
      </c>
      <c r="W188" s="4" t="n">
        <v>2</v>
      </c>
      <c r="X188" s="4" t="n">
        <v>3</v>
      </c>
      <c r="Y188" s="4" t="n">
        <v>2</v>
      </c>
      <c r="Z188" s="4" t="n">
        <v>5</v>
      </c>
      <c r="AA188" s="4" t="n">
        <v>3</v>
      </c>
      <c r="AB188" s="4" t="n">
        <v>0</v>
      </c>
      <c r="AC188" s="4" t="n">
        <v>3</v>
      </c>
      <c r="AD188" s="4" t="n">
        <v>5</v>
      </c>
      <c r="AE188" s="8" t="n">
        <f aca="false">COUNTIF(F188:AD188,"&lt;=0")</f>
        <v>1</v>
      </c>
    </row>
    <row r="189" customFormat="false" ht="15" hidden="false" customHeight="false" outlineLevel="0" collapsed="false">
      <c r="A189" s="8" t="s">
        <v>92</v>
      </c>
      <c r="B189" s="8" t="s">
        <v>20</v>
      </c>
      <c r="C189" s="8" t="n">
        <v>101803</v>
      </c>
      <c r="D189" s="8" t="s">
        <v>339</v>
      </c>
      <c r="E189" s="4" t="n">
        <v>74</v>
      </c>
      <c r="F189" s="4" t="n">
        <v>5</v>
      </c>
      <c r="G189" s="4" t="n">
        <v>2</v>
      </c>
      <c r="H189" s="4" t="n">
        <v>2</v>
      </c>
      <c r="I189" s="4" t="n">
        <v>3</v>
      </c>
      <c r="J189" s="4" t="n">
        <v>8</v>
      </c>
      <c r="K189" s="4" t="n">
        <v>12</v>
      </c>
      <c r="L189" s="4" t="n">
        <v>3</v>
      </c>
      <c r="M189" s="4" t="n">
        <v>1</v>
      </c>
      <c r="N189" s="4" t="n">
        <v>2</v>
      </c>
      <c r="O189" s="4" t="n">
        <v>5</v>
      </c>
      <c r="P189" s="4" t="n">
        <v>6</v>
      </c>
      <c r="Q189" s="4" t="n">
        <v>5</v>
      </c>
      <c r="R189" s="4" t="n">
        <v>9</v>
      </c>
      <c r="S189" s="4" t="n">
        <v>1</v>
      </c>
      <c r="T189" s="4" t="n">
        <v>5</v>
      </c>
      <c r="U189" s="4" t="n">
        <v>3</v>
      </c>
      <c r="V189" s="4" t="n">
        <v>2</v>
      </c>
      <c r="W189" s="4" t="n">
        <v>5</v>
      </c>
      <c r="X189" s="4" t="n">
        <v>0</v>
      </c>
      <c r="Y189" s="4" t="n">
        <v>3</v>
      </c>
      <c r="Z189" s="4" t="n">
        <v>4</v>
      </c>
      <c r="AA189" s="4" t="n">
        <v>0</v>
      </c>
      <c r="AB189" s="4" t="n">
        <v>0</v>
      </c>
      <c r="AC189" s="4" t="n">
        <v>0</v>
      </c>
      <c r="AD189" s="4" t="n">
        <v>4</v>
      </c>
      <c r="AE189" s="8" t="n">
        <f aca="false">COUNTIF(F189:AD189,"&lt;=0")</f>
        <v>4</v>
      </c>
    </row>
    <row r="190" customFormat="false" ht="15" hidden="false" customHeight="false" outlineLevel="0" collapsed="false">
      <c r="A190" s="8" t="s">
        <v>92</v>
      </c>
      <c r="B190" s="8" t="s">
        <v>20</v>
      </c>
      <c r="C190" s="8" t="n">
        <v>102020</v>
      </c>
      <c r="D190" s="8" t="s">
        <v>401</v>
      </c>
      <c r="E190" s="4" t="n">
        <v>40</v>
      </c>
      <c r="F190" s="4" t="n">
        <v>0</v>
      </c>
      <c r="G190" s="4" t="n">
        <v>5</v>
      </c>
      <c r="H190" s="4" t="n">
        <v>1</v>
      </c>
      <c r="I190" s="4" t="n">
        <v>3</v>
      </c>
      <c r="J190" s="4" t="n">
        <v>10</v>
      </c>
      <c r="K190" s="4" t="n">
        <v>14</v>
      </c>
      <c r="L190" s="4" t="n">
        <v>6</v>
      </c>
      <c r="M190" s="4" t="n">
        <v>4</v>
      </c>
      <c r="N190" s="4" t="n">
        <v>7</v>
      </c>
      <c r="O190" s="4" t="n">
        <v>5</v>
      </c>
      <c r="P190" s="4" t="n">
        <v>5</v>
      </c>
      <c r="Q190" s="4" t="n">
        <v>7</v>
      </c>
      <c r="R190" s="4" t="n">
        <v>5</v>
      </c>
      <c r="S190" s="4" t="n">
        <v>7</v>
      </c>
      <c r="T190" s="4" t="n">
        <v>5</v>
      </c>
      <c r="U190" s="4" t="n">
        <v>6</v>
      </c>
      <c r="V190" s="4" t="n">
        <v>7</v>
      </c>
      <c r="W190" s="4" t="n">
        <v>6</v>
      </c>
      <c r="X190" s="4" t="n">
        <v>8</v>
      </c>
      <c r="Y190" s="4" t="n">
        <v>6</v>
      </c>
      <c r="Z190" s="4" t="n">
        <v>3</v>
      </c>
      <c r="AA190" s="4" t="n">
        <v>4</v>
      </c>
      <c r="AB190" s="4" t="n">
        <v>0</v>
      </c>
      <c r="AC190" s="4" t="n">
        <v>6</v>
      </c>
      <c r="AD190" s="4" t="n">
        <v>0</v>
      </c>
      <c r="AE190" s="8" t="n">
        <f aca="false">COUNTIF(F190:AD190,"&lt;=0")</f>
        <v>3</v>
      </c>
    </row>
    <row r="191" customFormat="false" ht="15" hidden="false" customHeight="false" outlineLevel="0" collapsed="false">
      <c r="A191" s="8" t="s">
        <v>92</v>
      </c>
      <c r="B191" s="8" t="s">
        <v>20</v>
      </c>
      <c r="C191" s="8" t="n">
        <v>101796</v>
      </c>
      <c r="D191" s="8" t="s">
        <v>349</v>
      </c>
      <c r="E191" s="4" t="n">
        <v>27</v>
      </c>
      <c r="F191" s="4" t="n">
        <v>0</v>
      </c>
      <c r="G191" s="4" t="n">
        <v>6</v>
      </c>
      <c r="H191" s="4" t="n">
        <v>0</v>
      </c>
      <c r="I191" s="4" t="n">
        <v>8</v>
      </c>
      <c r="J191" s="4" t="n">
        <v>21</v>
      </c>
      <c r="K191" s="4" t="n">
        <v>6</v>
      </c>
      <c r="L191" s="4" t="n">
        <v>5</v>
      </c>
      <c r="M191" s="4" t="n">
        <v>4</v>
      </c>
      <c r="N191" s="4" t="n">
        <v>7</v>
      </c>
      <c r="O191" s="4" t="n">
        <v>10</v>
      </c>
      <c r="P191" s="4" t="n">
        <v>4</v>
      </c>
      <c r="Q191" s="4" t="n">
        <v>5</v>
      </c>
      <c r="R191" s="4" t="n">
        <v>10</v>
      </c>
      <c r="S191" s="4" t="n">
        <v>5</v>
      </c>
      <c r="T191" s="4" t="n">
        <v>5</v>
      </c>
      <c r="U191" s="4" t="n">
        <v>7</v>
      </c>
      <c r="V191" s="4" t="n">
        <v>6</v>
      </c>
      <c r="W191" s="4" t="n">
        <v>8</v>
      </c>
      <c r="X191" s="4" t="n">
        <v>0</v>
      </c>
      <c r="Y191" s="4" t="n">
        <v>6</v>
      </c>
      <c r="Z191" s="4" t="n">
        <v>6</v>
      </c>
      <c r="AA191" s="4" t="n">
        <v>2</v>
      </c>
      <c r="AB191" s="4" t="n">
        <v>0</v>
      </c>
      <c r="AC191" s="4" t="n">
        <v>5</v>
      </c>
      <c r="AD191" s="4" t="n">
        <v>5</v>
      </c>
      <c r="AE191" s="8" t="n">
        <f aca="false">COUNTIF(F191:AD191,"&lt;=0")</f>
        <v>4</v>
      </c>
    </row>
    <row r="192" customFormat="false" ht="15" hidden="false" customHeight="false" outlineLevel="0" collapsed="false">
      <c r="A192" s="8" t="s">
        <v>92</v>
      </c>
      <c r="B192" s="8" t="s">
        <v>20</v>
      </c>
      <c r="C192" s="8" t="n">
        <v>101797</v>
      </c>
      <c r="D192" s="8" t="s">
        <v>597</v>
      </c>
      <c r="E192" s="4" t="n">
        <v>0</v>
      </c>
      <c r="F192" s="4" t="n">
        <v>0</v>
      </c>
      <c r="G192" s="4" t="n">
        <v>4</v>
      </c>
      <c r="H192" s="4" t="n">
        <v>5</v>
      </c>
      <c r="I192" s="4" t="n">
        <v>7</v>
      </c>
      <c r="J192" s="4" t="n">
        <v>21</v>
      </c>
      <c r="K192" s="4" t="n">
        <v>14</v>
      </c>
      <c r="L192" s="4" t="n">
        <v>5</v>
      </c>
      <c r="M192" s="4" t="n">
        <v>8</v>
      </c>
      <c r="N192" s="4" t="n">
        <v>6</v>
      </c>
      <c r="O192" s="4" t="n">
        <v>14</v>
      </c>
      <c r="P192" s="4" t="n">
        <v>3</v>
      </c>
      <c r="Q192" s="4" t="n">
        <v>7</v>
      </c>
      <c r="R192" s="4" t="n">
        <v>10</v>
      </c>
      <c r="S192" s="4" t="n">
        <v>5</v>
      </c>
      <c r="T192" s="4" t="n">
        <v>8</v>
      </c>
      <c r="U192" s="4" t="n">
        <v>4</v>
      </c>
      <c r="V192" s="4" t="n">
        <v>6</v>
      </c>
      <c r="W192" s="4" t="n">
        <v>8</v>
      </c>
      <c r="X192" s="4" t="n">
        <v>2</v>
      </c>
      <c r="Y192" s="4" t="n">
        <v>7</v>
      </c>
      <c r="Z192" s="4" t="n">
        <v>5</v>
      </c>
      <c r="AA192" s="4" t="n">
        <v>3</v>
      </c>
      <c r="AB192" s="4" t="n">
        <v>0</v>
      </c>
      <c r="AC192" s="4" t="n">
        <v>6</v>
      </c>
      <c r="AD192" s="4" t="n">
        <v>8</v>
      </c>
      <c r="AE192" s="8" t="n">
        <f aca="false">COUNTIF(F192:AD192,"&lt;=0")</f>
        <v>2</v>
      </c>
    </row>
    <row r="193" customFormat="false" ht="15" hidden="false" customHeight="false" outlineLevel="0" collapsed="false">
      <c r="A193" s="8" t="s">
        <v>95</v>
      </c>
      <c r="B193" s="8" t="s">
        <v>20</v>
      </c>
      <c r="C193" s="8" t="n">
        <v>102260</v>
      </c>
      <c r="D193" s="8" t="s">
        <v>337</v>
      </c>
      <c r="E193" s="4" t="n">
        <v>4</v>
      </c>
      <c r="F193" s="4" t="n">
        <v>3</v>
      </c>
      <c r="G193" s="4" t="n">
        <v>5</v>
      </c>
      <c r="H193" s="4" t="n">
        <v>8</v>
      </c>
      <c r="I193" s="4" t="n">
        <v>7</v>
      </c>
      <c r="J193" s="4" t="n">
        <v>3</v>
      </c>
      <c r="K193" s="4" t="n">
        <v>4</v>
      </c>
      <c r="L193" s="4" t="n">
        <v>3</v>
      </c>
      <c r="M193" s="4" t="n">
        <v>1</v>
      </c>
      <c r="N193" s="4" t="n">
        <v>5</v>
      </c>
      <c r="O193" s="4" t="n">
        <v>4</v>
      </c>
      <c r="P193" s="4" t="n">
        <v>5</v>
      </c>
      <c r="Q193" s="4" t="n">
        <v>3</v>
      </c>
      <c r="R193" s="4" t="n">
        <v>4</v>
      </c>
      <c r="S193" s="4" t="n">
        <v>4</v>
      </c>
      <c r="T193" s="4" t="n">
        <v>0</v>
      </c>
      <c r="U193" s="4" t="n">
        <v>3</v>
      </c>
      <c r="V193" s="4" t="n">
        <v>1</v>
      </c>
      <c r="W193" s="4" t="n">
        <v>0</v>
      </c>
      <c r="X193" s="4" t="n">
        <v>2</v>
      </c>
      <c r="Y193" s="4" t="n">
        <v>0</v>
      </c>
      <c r="Z193" s="4" t="n">
        <v>2</v>
      </c>
      <c r="AA193" s="4" t="n">
        <v>3</v>
      </c>
      <c r="AB193" s="4" t="n">
        <v>0</v>
      </c>
      <c r="AC193" s="4" t="n">
        <v>3</v>
      </c>
      <c r="AD193" s="4" t="n">
        <v>0</v>
      </c>
      <c r="AE193" s="8" t="n">
        <f aca="false">COUNTIF(F193:AD193,"&lt;=0")</f>
        <v>5</v>
      </c>
    </row>
    <row r="194" customFormat="false" ht="15" hidden="false" customHeight="false" outlineLevel="0" collapsed="false">
      <c r="A194" s="8" t="s">
        <v>95</v>
      </c>
      <c r="B194" s="8" t="s">
        <v>20</v>
      </c>
      <c r="C194" s="8" t="n">
        <v>102261</v>
      </c>
      <c r="D194" s="8" t="s">
        <v>317</v>
      </c>
      <c r="E194" s="4" t="n">
        <v>4</v>
      </c>
      <c r="F194" s="4" t="n">
        <v>3</v>
      </c>
      <c r="G194" s="4" t="n">
        <v>4</v>
      </c>
      <c r="H194" s="4" t="n">
        <v>4</v>
      </c>
      <c r="I194" s="4" t="n">
        <v>7</v>
      </c>
      <c r="J194" s="4" t="n">
        <v>7</v>
      </c>
      <c r="K194" s="4" t="n">
        <v>18</v>
      </c>
      <c r="L194" s="4" t="n">
        <v>4</v>
      </c>
      <c r="M194" s="4" t="n">
        <v>2</v>
      </c>
      <c r="N194" s="4" t="n">
        <v>2</v>
      </c>
      <c r="O194" s="4" t="n">
        <v>4</v>
      </c>
      <c r="P194" s="4" t="n">
        <v>4</v>
      </c>
      <c r="Q194" s="4" t="n">
        <v>3</v>
      </c>
      <c r="R194" s="4" t="n">
        <v>2</v>
      </c>
      <c r="S194" s="4" t="n">
        <v>2</v>
      </c>
      <c r="T194" s="4" t="n">
        <v>0</v>
      </c>
      <c r="U194" s="4" t="n">
        <v>2</v>
      </c>
      <c r="V194" s="4" t="n">
        <v>2</v>
      </c>
      <c r="W194" s="4" t="n">
        <v>0</v>
      </c>
      <c r="X194" s="4" t="n">
        <v>2</v>
      </c>
      <c r="Y194" s="4" t="n">
        <v>0</v>
      </c>
      <c r="Z194" s="4" t="n">
        <v>0</v>
      </c>
      <c r="AA194" s="4" t="n">
        <v>4</v>
      </c>
      <c r="AB194" s="4" t="n">
        <v>0</v>
      </c>
      <c r="AC194" s="4" t="n">
        <v>1</v>
      </c>
      <c r="AD194" s="4" t="n">
        <v>0</v>
      </c>
      <c r="AE194" s="8" t="n">
        <f aca="false">COUNTIF(F194:AD194,"&lt;=0")</f>
        <v>6</v>
      </c>
    </row>
    <row r="195" customFormat="false" ht="15" hidden="false" customHeight="false" outlineLevel="0" collapsed="false">
      <c r="A195" s="8" t="s">
        <v>95</v>
      </c>
      <c r="B195" s="8" t="s">
        <v>20</v>
      </c>
      <c r="C195" s="8" t="n">
        <v>102254</v>
      </c>
      <c r="D195" s="8" t="s">
        <v>598</v>
      </c>
      <c r="E195" s="4" t="n">
        <v>0</v>
      </c>
      <c r="F195" s="4" t="n">
        <v>3</v>
      </c>
      <c r="G195" s="4" t="n">
        <v>2</v>
      </c>
      <c r="H195" s="4" t="n">
        <v>1</v>
      </c>
      <c r="I195" s="4" t="n">
        <v>2</v>
      </c>
      <c r="J195" s="4" t="n">
        <v>3</v>
      </c>
      <c r="K195" s="4" t="n">
        <v>7</v>
      </c>
      <c r="L195" s="4" t="n">
        <v>3</v>
      </c>
      <c r="M195" s="4" t="n">
        <v>4</v>
      </c>
      <c r="N195" s="4" t="n">
        <v>5</v>
      </c>
      <c r="O195" s="4" t="n">
        <v>4</v>
      </c>
      <c r="P195" s="4" t="n">
        <v>2</v>
      </c>
      <c r="Q195" s="4" t="n">
        <v>3</v>
      </c>
      <c r="R195" s="4" t="n">
        <v>4</v>
      </c>
      <c r="S195" s="4" t="n">
        <v>3</v>
      </c>
      <c r="T195" s="4" t="n">
        <v>5</v>
      </c>
      <c r="U195" s="4" t="n">
        <v>3</v>
      </c>
      <c r="V195" s="4" t="n">
        <v>4</v>
      </c>
      <c r="W195" s="4" t="n">
        <v>2</v>
      </c>
      <c r="X195" s="4" t="n">
        <v>5</v>
      </c>
      <c r="Y195" s="4" t="n">
        <v>5</v>
      </c>
      <c r="Z195" s="4" t="n">
        <v>4</v>
      </c>
      <c r="AA195" s="4" t="n">
        <v>3</v>
      </c>
      <c r="AB195" s="4" t="n">
        <v>0</v>
      </c>
      <c r="AC195" s="4" t="n">
        <v>2</v>
      </c>
      <c r="AD195" s="4" t="n">
        <v>0</v>
      </c>
      <c r="AE195" s="8" t="n">
        <f aca="false">COUNTIF(F195:AD195,"&lt;=0")</f>
        <v>2</v>
      </c>
    </row>
    <row r="196" customFormat="false" ht="15" hidden="false" customHeight="false" outlineLevel="0" collapsed="false">
      <c r="A196" s="8" t="s">
        <v>95</v>
      </c>
      <c r="B196" s="8" t="s">
        <v>20</v>
      </c>
      <c r="C196" s="8" t="n">
        <v>102255</v>
      </c>
      <c r="D196" s="8" t="s">
        <v>599</v>
      </c>
      <c r="E196" s="4" t="n">
        <v>0</v>
      </c>
      <c r="F196" s="4" t="n">
        <v>3</v>
      </c>
      <c r="G196" s="4" t="n">
        <v>3</v>
      </c>
      <c r="H196" s="4" t="n">
        <v>2</v>
      </c>
      <c r="I196" s="4" t="n">
        <v>3</v>
      </c>
      <c r="J196" s="4" t="n">
        <v>2</v>
      </c>
      <c r="K196" s="4" t="n">
        <v>4</v>
      </c>
      <c r="L196" s="4" t="n">
        <v>0</v>
      </c>
      <c r="M196" s="4" t="n">
        <v>5</v>
      </c>
      <c r="N196" s="4" t="n">
        <v>3</v>
      </c>
      <c r="O196" s="4" t="n">
        <v>5</v>
      </c>
      <c r="P196" s="4" t="n">
        <v>5</v>
      </c>
      <c r="Q196" s="4" t="n">
        <v>5</v>
      </c>
      <c r="R196" s="4" t="n">
        <v>3</v>
      </c>
      <c r="S196" s="4" t="n">
        <v>2</v>
      </c>
      <c r="T196" s="4" t="n">
        <v>3</v>
      </c>
      <c r="U196" s="4" t="n">
        <v>3</v>
      </c>
      <c r="V196" s="4" t="n">
        <v>2</v>
      </c>
      <c r="W196" s="4" t="n">
        <v>3</v>
      </c>
      <c r="X196" s="4" t="n">
        <v>2</v>
      </c>
      <c r="Y196" s="4" t="n">
        <v>2</v>
      </c>
      <c r="Z196" s="4" t="n">
        <v>2</v>
      </c>
      <c r="AA196" s="4" t="n">
        <v>4</v>
      </c>
      <c r="AB196" s="4" t="n">
        <v>0</v>
      </c>
      <c r="AC196" s="4" t="n">
        <v>3</v>
      </c>
      <c r="AD196" s="4" t="n">
        <v>0</v>
      </c>
      <c r="AE196" s="8" t="n">
        <f aca="false">COUNTIF(F196:AD196,"&lt;=0")</f>
        <v>3</v>
      </c>
    </row>
    <row r="197" customFormat="false" ht="15" hidden="false" customHeight="false" outlineLevel="0" collapsed="false">
      <c r="A197" s="8" t="s">
        <v>95</v>
      </c>
      <c r="B197" s="8" t="s">
        <v>20</v>
      </c>
      <c r="C197" s="8" t="n">
        <v>102258</v>
      </c>
      <c r="D197" s="8" t="s">
        <v>600</v>
      </c>
      <c r="E197" s="4" t="n">
        <v>0</v>
      </c>
      <c r="F197" s="4" t="n">
        <v>3</v>
      </c>
      <c r="G197" s="4" t="n">
        <v>5</v>
      </c>
      <c r="H197" s="4" t="n">
        <v>1</v>
      </c>
      <c r="I197" s="4" t="n">
        <v>3</v>
      </c>
      <c r="J197" s="4" t="n">
        <v>5</v>
      </c>
      <c r="K197" s="4" t="n">
        <v>10</v>
      </c>
      <c r="L197" s="4" t="n">
        <v>6</v>
      </c>
      <c r="M197" s="4" t="n">
        <v>2</v>
      </c>
      <c r="N197" s="4" t="n">
        <v>3</v>
      </c>
      <c r="O197" s="4" t="n">
        <v>4</v>
      </c>
      <c r="P197" s="4" t="n">
        <v>5</v>
      </c>
      <c r="Q197" s="4" t="n">
        <v>2</v>
      </c>
      <c r="R197" s="4" t="n">
        <v>4</v>
      </c>
      <c r="S197" s="4" t="n">
        <v>2</v>
      </c>
      <c r="T197" s="4" t="n">
        <v>5</v>
      </c>
      <c r="U197" s="4" t="n">
        <v>2</v>
      </c>
      <c r="V197" s="4" t="n">
        <v>2</v>
      </c>
      <c r="W197" s="4" t="n">
        <v>1</v>
      </c>
      <c r="X197" s="4" t="n">
        <v>4</v>
      </c>
      <c r="Y197" s="4" t="n">
        <v>0</v>
      </c>
      <c r="Z197" s="4" t="n">
        <v>3</v>
      </c>
      <c r="AA197" s="4" t="n">
        <v>1</v>
      </c>
      <c r="AB197" s="4" t="n">
        <v>0</v>
      </c>
      <c r="AC197" s="4" t="n">
        <v>3</v>
      </c>
      <c r="AD197" s="4" t="n">
        <v>0</v>
      </c>
      <c r="AE197" s="8" t="n">
        <f aca="false">COUNTIF(F197:AD197,"&lt;=0")</f>
        <v>3</v>
      </c>
    </row>
    <row r="198" customFormat="false" ht="15" hidden="false" customHeight="false" outlineLevel="0" collapsed="false">
      <c r="A198" s="8" t="s">
        <v>95</v>
      </c>
      <c r="B198" s="8" t="s">
        <v>20</v>
      </c>
      <c r="C198" s="8" t="n">
        <v>102259</v>
      </c>
      <c r="D198" s="8" t="s">
        <v>358</v>
      </c>
      <c r="E198" s="4" t="n">
        <v>4</v>
      </c>
      <c r="F198" s="4" t="n">
        <v>3</v>
      </c>
      <c r="G198" s="4" t="n">
        <v>2</v>
      </c>
      <c r="H198" s="4" t="n">
        <v>3</v>
      </c>
      <c r="I198" s="4" t="n">
        <v>4</v>
      </c>
      <c r="J198" s="4" t="n">
        <v>3</v>
      </c>
      <c r="K198" s="4" t="n">
        <v>14</v>
      </c>
      <c r="L198" s="4" t="n">
        <v>3</v>
      </c>
      <c r="M198" s="4" t="n">
        <v>1</v>
      </c>
      <c r="N198" s="4" t="n">
        <v>5</v>
      </c>
      <c r="O198" s="4" t="n">
        <v>2</v>
      </c>
      <c r="P198" s="4" t="n">
        <v>5</v>
      </c>
      <c r="Q198" s="4" t="n">
        <v>3</v>
      </c>
      <c r="R198" s="4" t="n">
        <v>4</v>
      </c>
      <c r="S198" s="4" t="n">
        <v>2</v>
      </c>
      <c r="T198" s="4" t="n">
        <v>3</v>
      </c>
      <c r="U198" s="4" t="n">
        <v>4</v>
      </c>
      <c r="V198" s="4" t="n">
        <v>4</v>
      </c>
      <c r="W198" s="4" t="n">
        <v>0</v>
      </c>
      <c r="X198" s="4" t="n">
        <v>3</v>
      </c>
      <c r="Y198" s="4" t="n">
        <v>0</v>
      </c>
      <c r="Z198" s="4" t="n">
        <v>2</v>
      </c>
      <c r="AA198" s="4" t="n">
        <v>4</v>
      </c>
      <c r="AB198" s="4" t="n">
        <v>0</v>
      </c>
      <c r="AC198" s="4" t="n">
        <v>2</v>
      </c>
      <c r="AD198" s="4" t="n">
        <v>0</v>
      </c>
      <c r="AE198" s="8" t="n">
        <f aca="false">COUNTIF(F198:AD198,"&lt;=0")</f>
        <v>4</v>
      </c>
    </row>
    <row r="199" customFormat="false" ht="15" hidden="false" customHeight="false" outlineLevel="0" collapsed="false">
      <c r="A199" s="8" t="s">
        <v>95</v>
      </c>
      <c r="B199" s="8" t="s">
        <v>20</v>
      </c>
      <c r="C199" s="8" t="n">
        <v>102269</v>
      </c>
      <c r="D199" s="8" t="s">
        <v>601</v>
      </c>
      <c r="E199" s="4" t="n">
        <v>0</v>
      </c>
      <c r="F199" s="4" t="n">
        <v>0</v>
      </c>
      <c r="G199" s="4" t="n">
        <v>4</v>
      </c>
      <c r="H199" s="4" t="n">
        <v>4</v>
      </c>
      <c r="I199" s="4" t="n">
        <v>5</v>
      </c>
      <c r="J199" s="4" t="n">
        <v>3</v>
      </c>
      <c r="K199" s="4" t="n">
        <v>13</v>
      </c>
      <c r="L199" s="4" t="n">
        <v>4</v>
      </c>
      <c r="M199" s="4" t="n">
        <v>3</v>
      </c>
      <c r="N199" s="4" t="n">
        <v>6</v>
      </c>
      <c r="O199" s="4" t="n">
        <v>4</v>
      </c>
      <c r="P199" s="4" t="n">
        <v>3</v>
      </c>
      <c r="Q199" s="4" t="n">
        <v>3</v>
      </c>
      <c r="R199" s="4" t="n">
        <v>3</v>
      </c>
      <c r="S199" s="4" t="n">
        <v>0</v>
      </c>
      <c r="T199" s="4" t="n">
        <v>0</v>
      </c>
      <c r="U199" s="4" t="n">
        <v>4</v>
      </c>
      <c r="V199" s="4" t="n">
        <v>3</v>
      </c>
      <c r="W199" s="4" t="n">
        <v>0</v>
      </c>
      <c r="X199" s="4" t="n">
        <v>4</v>
      </c>
      <c r="Y199" s="4" t="n">
        <v>0</v>
      </c>
      <c r="Z199" s="4" t="n">
        <v>2</v>
      </c>
      <c r="AA199" s="4" t="n">
        <v>2</v>
      </c>
      <c r="AB199" s="4" t="n">
        <v>0</v>
      </c>
      <c r="AC199" s="4" t="n">
        <v>3</v>
      </c>
      <c r="AD199" s="4" t="n">
        <v>0</v>
      </c>
      <c r="AE199" s="8" t="n">
        <f aca="false">COUNTIF(F199:AD199,"&lt;=0")</f>
        <v>7</v>
      </c>
    </row>
    <row r="200" customFormat="false" ht="15" hidden="false" customHeight="false" outlineLevel="0" collapsed="false">
      <c r="A200" s="8" t="s">
        <v>95</v>
      </c>
      <c r="B200" s="8" t="s">
        <v>20</v>
      </c>
      <c r="C200" s="8" t="n">
        <v>102268</v>
      </c>
      <c r="D200" s="8" t="s">
        <v>602</v>
      </c>
      <c r="E200" s="4" t="n">
        <v>0</v>
      </c>
      <c r="F200" s="4" t="n">
        <v>0</v>
      </c>
      <c r="G200" s="4" t="n">
        <v>4</v>
      </c>
      <c r="H200" s="4" t="n">
        <v>6</v>
      </c>
      <c r="I200" s="4" t="n">
        <v>3</v>
      </c>
      <c r="J200" s="4" t="n">
        <v>6</v>
      </c>
      <c r="K200" s="4" t="n">
        <v>18</v>
      </c>
      <c r="L200" s="4" t="n">
        <v>5</v>
      </c>
      <c r="M200" s="4" t="n">
        <v>3</v>
      </c>
      <c r="N200" s="4" t="n">
        <v>3</v>
      </c>
      <c r="O200" s="4" t="n">
        <v>6</v>
      </c>
      <c r="P200" s="4" t="n">
        <v>5</v>
      </c>
      <c r="Q200" s="4" t="n">
        <v>2</v>
      </c>
      <c r="R200" s="4" t="n">
        <v>5</v>
      </c>
      <c r="S200" s="4" t="n">
        <v>5</v>
      </c>
      <c r="T200" s="4" t="n">
        <v>2</v>
      </c>
      <c r="U200" s="4" t="n">
        <v>4</v>
      </c>
      <c r="V200" s="4" t="n">
        <v>3</v>
      </c>
      <c r="W200" s="4" t="n">
        <v>4</v>
      </c>
      <c r="X200" s="4" t="n">
        <v>3</v>
      </c>
      <c r="Y200" s="4" t="n">
        <v>3</v>
      </c>
      <c r="Z200" s="4" t="n">
        <v>5</v>
      </c>
      <c r="AA200" s="4" t="n">
        <v>6</v>
      </c>
      <c r="AB200" s="4" t="n">
        <v>0</v>
      </c>
      <c r="AC200" s="4" t="n">
        <v>4</v>
      </c>
      <c r="AD200" s="4" t="n">
        <v>0</v>
      </c>
      <c r="AE200" s="8" t="n">
        <f aca="false">COUNTIF(F200:AD200,"&lt;=0")</f>
        <v>3</v>
      </c>
    </row>
    <row r="201" customFormat="false" ht="15" hidden="false" customHeight="false" outlineLevel="0" collapsed="false">
      <c r="A201" s="8" t="s">
        <v>95</v>
      </c>
      <c r="B201" s="8" t="s">
        <v>20</v>
      </c>
      <c r="C201" s="8" t="n">
        <v>102272</v>
      </c>
      <c r="D201" s="8" t="s">
        <v>603</v>
      </c>
      <c r="E201" s="4" t="n">
        <v>0</v>
      </c>
      <c r="F201" s="4" t="n">
        <v>0</v>
      </c>
      <c r="G201" s="4" t="n">
        <v>3</v>
      </c>
      <c r="H201" s="4" t="n">
        <v>4</v>
      </c>
      <c r="I201" s="4" t="n">
        <v>5</v>
      </c>
      <c r="J201" s="4" t="n">
        <v>5</v>
      </c>
      <c r="K201" s="4" t="n">
        <v>3</v>
      </c>
      <c r="L201" s="4" t="n">
        <v>1</v>
      </c>
      <c r="M201" s="4" t="n">
        <v>2</v>
      </c>
      <c r="N201" s="4" t="n">
        <v>3</v>
      </c>
      <c r="O201" s="4" t="n">
        <v>3</v>
      </c>
      <c r="P201" s="4" t="n">
        <v>2</v>
      </c>
      <c r="Q201" s="4" t="n">
        <v>3</v>
      </c>
      <c r="R201" s="4" t="n">
        <v>5</v>
      </c>
      <c r="S201" s="4" t="n">
        <v>0</v>
      </c>
      <c r="T201" s="4" t="n">
        <v>4</v>
      </c>
      <c r="U201" s="4" t="n">
        <v>3</v>
      </c>
      <c r="V201" s="4" t="n">
        <v>3</v>
      </c>
      <c r="W201" s="4" t="n">
        <v>2</v>
      </c>
      <c r="X201" s="4" t="n">
        <v>2</v>
      </c>
      <c r="Y201" s="4" t="n">
        <v>4</v>
      </c>
      <c r="Z201" s="4" t="n">
        <v>5</v>
      </c>
      <c r="AA201" s="4" t="n">
        <v>0</v>
      </c>
      <c r="AB201" s="4" t="n">
        <v>0</v>
      </c>
      <c r="AC201" s="4" t="n">
        <v>3</v>
      </c>
      <c r="AD201" s="4" t="n">
        <v>0</v>
      </c>
      <c r="AE201" s="8" t="n">
        <f aca="false">COUNTIF(F201:AD201,"&lt;=0")</f>
        <v>5</v>
      </c>
    </row>
    <row r="202" customFormat="false" ht="15" hidden="false" customHeight="false" outlineLevel="0" collapsed="false">
      <c r="A202" s="8" t="s">
        <v>95</v>
      </c>
      <c r="B202" s="8" t="s">
        <v>20</v>
      </c>
      <c r="C202" s="8" t="n">
        <v>102273</v>
      </c>
      <c r="D202" s="8" t="s">
        <v>604</v>
      </c>
      <c r="E202" s="4" t="n">
        <v>0</v>
      </c>
      <c r="F202" s="4" t="n">
        <v>0</v>
      </c>
      <c r="G202" s="4" t="n">
        <v>5</v>
      </c>
      <c r="H202" s="4" t="n">
        <v>4</v>
      </c>
      <c r="I202" s="4" t="n">
        <v>2</v>
      </c>
      <c r="J202" s="4" t="n">
        <v>3</v>
      </c>
      <c r="K202" s="4" t="n">
        <v>2</v>
      </c>
      <c r="L202" s="4" t="n">
        <v>1</v>
      </c>
      <c r="M202" s="4" t="n">
        <v>6</v>
      </c>
      <c r="N202" s="4" t="n">
        <v>3</v>
      </c>
      <c r="O202" s="4" t="n">
        <v>3</v>
      </c>
      <c r="P202" s="4" t="n">
        <v>3</v>
      </c>
      <c r="Q202" s="4" t="n">
        <v>3</v>
      </c>
      <c r="R202" s="4" t="n">
        <v>2</v>
      </c>
      <c r="S202" s="4" t="n">
        <v>4</v>
      </c>
      <c r="T202" s="4" t="n">
        <v>3</v>
      </c>
      <c r="U202" s="4" t="n">
        <v>5</v>
      </c>
      <c r="V202" s="4" t="n">
        <v>4</v>
      </c>
      <c r="W202" s="4" t="n">
        <v>0</v>
      </c>
      <c r="X202" s="4" t="n">
        <v>1</v>
      </c>
      <c r="Y202" s="4" t="n">
        <v>0</v>
      </c>
      <c r="Z202" s="4" t="n">
        <v>5</v>
      </c>
      <c r="AA202" s="4" t="n">
        <v>1</v>
      </c>
      <c r="AB202" s="4" t="n">
        <v>0</v>
      </c>
      <c r="AC202" s="4" t="n">
        <v>3</v>
      </c>
      <c r="AD202" s="4" t="n">
        <v>0</v>
      </c>
      <c r="AE202" s="8" t="n">
        <f aca="false">COUNTIF(F202:AD202,"&lt;=0")</f>
        <v>5</v>
      </c>
    </row>
    <row r="203" customFormat="false" ht="15" hidden="false" customHeight="false" outlineLevel="0" collapsed="false">
      <c r="A203" s="8" t="s">
        <v>95</v>
      </c>
      <c r="B203" s="8" t="s">
        <v>20</v>
      </c>
      <c r="C203" s="8" t="n">
        <v>102270</v>
      </c>
      <c r="D203" s="8" t="s">
        <v>459</v>
      </c>
      <c r="E203" s="4" t="n">
        <v>7</v>
      </c>
      <c r="F203" s="4" t="n">
        <v>3</v>
      </c>
      <c r="G203" s="4" t="n">
        <v>6</v>
      </c>
      <c r="H203" s="4" t="n">
        <v>3</v>
      </c>
      <c r="I203" s="4" t="n">
        <v>2</v>
      </c>
      <c r="J203" s="4" t="n">
        <v>5</v>
      </c>
      <c r="K203" s="4" t="n">
        <v>3</v>
      </c>
      <c r="L203" s="4" t="n">
        <v>4</v>
      </c>
      <c r="M203" s="4" t="n">
        <v>2</v>
      </c>
      <c r="N203" s="4" t="n">
        <v>3</v>
      </c>
      <c r="O203" s="4" t="n">
        <v>5</v>
      </c>
      <c r="P203" s="4" t="n">
        <v>3</v>
      </c>
      <c r="Q203" s="4" t="n">
        <v>3</v>
      </c>
      <c r="R203" s="4" t="n">
        <v>2</v>
      </c>
      <c r="S203" s="4" t="n">
        <v>2</v>
      </c>
      <c r="T203" s="4" t="n">
        <v>2</v>
      </c>
      <c r="U203" s="4" t="n">
        <v>4</v>
      </c>
      <c r="V203" s="4" t="n">
        <v>2</v>
      </c>
      <c r="W203" s="4" t="n">
        <v>2</v>
      </c>
      <c r="X203" s="4" t="n">
        <v>4</v>
      </c>
      <c r="Y203" s="4" t="n">
        <v>4</v>
      </c>
      <c r="Z203" s="4" t="n">
        <v>2</v>
      </c>
      <c r="AA203" s="4" t="n">
        <v>3</v>
      </c>
      <c r="AB203" s="4" t="n">
        <v>0</v>
      </c>
      <c r="AC203" s="4" t="n">
        <v>3</v>
      </c>
      <c r="AD203" s="4" t="n">
        <v>0</v>
      </c>
      <c r="AE203" s="8" t="n">
        <f aca="false">COUNTIF(F203:AD203,"&lt;=0")</f>
        <v>2</v>
      </c>
    </row>
    <row r="204" customFormat="false" ht="15" hidden="false" customHeight="false" outlineLevel="0" collapsed="false">
      <c r="A204" s="8" t="s">
        <v>95</v>
      </c>
      <c r="B204" s="8" t="s">
        <v>20</v>
      </c>
      <c r="C204" s="8" t="n">
        <v>102271</v>
      </c>
      <c r="D204" s="8" t="s">
        <v>417</v>
      </c>
      <c r="E204" s="4" t="n">
        <v>9</v>
      </c>
      <c r="F204" s="4" t="n">
        <v>2</v>
      </c>
      <c r="G204" s="4" t="n">
        <v>4</v>
      </c>
      <c r="H204" s="4" t="n">
        <v>4</v>
      </c>
      <c r="I204" s="4" t="n">
        <v>4</v>
      </c>
      <c r="J204" s="4" t="n">
        <v>4</v>
      </c>
      <c r="K204" s="4" t="n">
        <v>3</v>
      </c>
      <c r="L204" s="4" t="n">
        <v>0</v>
      </c>
      <c r="M204" s="4" t="n">
        <v>3</v>
      </c>
      <c r="N204" s="4" t="n">
        <v>1</v>
      </c>
      <c r="O204" s="4" t="n">
        <v>4</v>
      </c>
      <c r="P204" s="4" t="n">
        <v>4</v>
      </c>
      <c r="Q204" s="4" t="n">
        <v>2</v>
      </c>
      <c r="R204" s="4" t="n">
        <v>3</v>
      </c>
      <c r="S204" s="4" t="n">
        <v>3</v>
      </c>
      <c r="T204" s="4" t="n">
        <v>3</v>
      </c>
      <c r="U204" s="4" t="n">
        <v>2</v>
      </c>
      <c r="V204" s="4" t="n">
        <v>4</v>
      </c>
      <c r="W204" s="4" t="n">
        <v>3</v>
      </c>
      <c r="X204" s="4" t="n">
        <v>5</v>
      </c>
      <c r="Y204" s="4" t="n">
        <v>2</v>
      </c>
      <c r="Z204" s="4" t="n">
        <v>5</v>
      </c>
      <c r="AA204" s="4" t="n">
        <v>4</v>
      </c>
      <c r="AB204" s="4" t="n">
        <v>0</v>
      </c>
      <c r="AC204" s="4" t="n">
        <v>3</v>
      </c>
      <c r="AD204" s="4" t="n">
        <v>0</v>
      </c>
      <c r="AE204" s="8" t="n">
        <f aca="false">COUNTIF(F204:AD204,"&lt;=0")</f>
        <v>3</v>
      </c>
    </row>
    <row r="205" customFormat="false" ht="15" hidden="false" customHeight="false" outlineLevel="0" collapsed="false">
      <c r="A205" s="8" t="s">
        <v>95</v>
      </c>
      <c r="B205" s="8" t="s">
        <v>20</v>
      </c>
      <c r="C205" s="8" t="n">
        <v>102266</v>
      </c>
      <c r="D205" s="8" t="s">
        <v>462</v>
      </c>
      <c r="E205" s="4" t="n">
        <v>4</v>
      </c>
      <c r="F205" s="4" t="n">
        <v>3</v>
      </c>
      <c r="G205" s="4" t="n">
        <v>3</v>
      </c>
      <c r="H205" s="4" t="n">
        <v>6</v>
      </c>
      <c r="I205" s="4" t="n">
        <v>2</v>
      </c>
      <c r="J205" s="4" t="n">
        <v>6</v>
      </c>
      <c r="K205" s="4" t="n">
        <v>4</v>
      </c>
      <c r="L205" s="4" t="n">
        <v>4</v>
      </c>
      <c r="M205" s="4" t="n">
        <v>5</v>
      </c>
      <c r="N205" s="4" t="n">
        <v>4</v>
      </c>
      <c r="O205" s="4" t="n">
        <v>4</v>
      </c>
      <c r="P205" s="4" t="n">
        <v>3</v>
      </c>
      <c r="Q205" s="4" t="n">
        <v>2</v>
      </c>
      <c r="R205" s="4" t="n">
        <v>2</v>
      </c>
      <c r="S205" s="4" t="n">
        <v>5</v>
      </c>
      <c r="T205" s="4" t="n">
        <v>3</v>
      </c>
      <c r="U205" s="4" t="n">
        <v>3</v>
      </c>
      <c r="V205" s="4" t="n">
        <v>3</v>
      </c>
      <c r="W205" s="4" t="n">
        <v>3</v>
      </c>
      <c r="X205" s="4" t="n">
        <v>3</v>
      </c>
      <c r="Y205" s="4" t="n">
        <v>3</v>
      </c>
      <c r="Z205" s="4" t="n">
        <v>4</v>
      </c>
      <c r="AA205" s="4" t="n">
        <v>2</v>
      </c>
      <c r="AB205" s="4" t="n">
        <v>0</v>
      </c>
      <c r="AC205" s="4" t="n">
        <v>3</v>
      </c>
      <c r="AD205" s="4" t="n">
        <v>0</v>
      </c>
      <c r="AE205" s="8" t="n">
        <f aca="false">COUNTIF(F205:AD205,"&lt;=0")</f>
        <v>2</v>
      </c>
    </row>
    <row r="206" customFormat="false" ht="15" hidden="false" customHeight="false" outlineLevel="0" collapsed="false">
      <c r="A206" s="8" t="s">
        <v>95</v>
      </c>
      <c r="B206" s="8" t="s">
        <v>20</v>
      </c>
      <c r="C206" s="8" t="n">
        <v>102267</v>
      </c>
      <c r="D206" s="8" t="s">
        <v>605</v>
      </c>
      <c r="E206" s="4" t="n">
        <v>0</v>
      </c>
      <c r="F206" s="4" t="n">
        <v>0</v>
      </c>
      <c r="G206" s="4" t="n">
        <v>5</v>
      </c>
      <c r="H206" s="4" t="n">
        <v>3</v>
      </c>
      <c r="I206" s="4" t="n">
        <v>2</v>
      </c>
      <c r="J206" s="4" t="n">
        <v>5</v>
      </c>
      <c r="K206" s="4" t="n">
        <v>5</v>
      </c>
      <c r="L206" s="4" t="n">
        <v>3</v>
      </c>
      <c r="M206" s="4" t="n">
        <v>3</v>
      </c>
      <c r="N206" s="4" t="n">
        <v>1</v>
      </c>
      <c r="O206" s="4" t="n">
        <v>8</v>
      </c>
      <c r="P206" s="4" t="n">
        <v>4</v>
      </c>
      <c r="Q206" s="4" t="n">
        <v>2</v>
      </c>
      <c r="R206" s="4" t="n">
        <v>2</v>
      </c>
      <c r="S206" s="4" t="n">
        <v>6</v>
      </c>
      <c r="T206" s="4" t="n">
        <v>1</v>
      </c>
      <c r="U206" s="4" t="n">
        <v>2</v>
      </c>
      <c r="V206" s="4" t="n">
        <v>2</v>
      </c>
      <c r="W206" s="4" t="n">
        <v>0</v>
      </c>
      <c r="X206" s="4" t="n">
        <v>4</v>
      </c>
      <c r="Y206" s="4" t="n">
        <v>0</v>
      </c>
      <c r="Z206" s="4" t="n">
        <v>4</v>
      </c>
      <c r="AA206" s="4" t="n">
        <v>4</v>
      </c>
      <c r="AB206" s="4" t="n">
        <v>0</v>
      </c>
      <c r="AC206" s="4" t="n">
        <v>4</v>
      </c>
      <c r="AD206" s="4" t="n">
        <v>0</v>
      </c>
      <c r="AE206" s="8" t="n">
        <f aca="false">COUNTIF(F206:AD206,"&lt;=0")</f>
        <v>5</v>
      </c>
    </row>
    <row r="207" customFormat="false" ht="15" hidden="false" customHeight="false" outlineLevel="0" collapsed="false">
      <c r="A207" s="8" t="s">
        <v>95</v>
      </c>
      <c r="B207" s="8" t="s">
        <v>20</v>
      </c>
      <c r="C207" s="8" t="n">
        <v>102264</v>
      </c>
      <c r="D207" s="8" t="s">
        <v>458</v>
      </c>
      <c r="E207" s="4" t="n">
        <v>8</v>
      </c>
      <c r="F207" s="4" t="n">
        <v>1</v>
      </c>
      <c r="G207" s="4" t="n">
        <v>5</v>
      </c>
      <c r="H207" s="4" t="n">
        <v>4</v>
      </c>
      <c r="I207" s="4" t="n">
        <v>4</v>
      </c>
      <c r="J207" s="4" t="n">
        <v>5</v>
      </c>
      <c r="K207" s="4" t="n">
        <v>6</v>
      </c>
      <c r="L207" s="4" t="n">
        <v>2</v>
      </c>
      <c r="M207" s="4" t="n">
        <v>7</v>
      </c>
      <c r="N207" s="4" t="n">
        <v>1</v>
      </c>
      <c r="O207" s="4" t="n">
        <v>4</v>
      </c>
      <c r="P207" s="4" t="n">
        <v>3</v>
      </c>
      <c r="Q207" s="4" t="n">
        <v>2</v>
      </c>
      <c r="R207" s="4" t="n">
        <v>3</v>
      </c>
      <c r="S207" s="4" t="n">
        <v>3</v>
      </c>
      <c r="T207" s="4" t="n">
        <v>5</v>
      </c>
      <c r="U207" s="4" t="n">
        <v>4</v>
      </c>
      <c r="V207" s="4" t="n">
        <v>1</v>
      </c>
      <c r="W207" s="4" t="n">
        <v>3</v>
      </c>
      <c r="X207" s="4" t="n">
        <v>7</v>
      </c>
      <c r="Y207" s="4" t="n">
        <v>3</v>
      </c>
      <c r="Z207" s="4" t="n">
        <v>1</v>
      </c>
      <c r="AA207" s="4" t="n">
        <v>2</v>
      </c>
      <c r="AB207" s="4" t="n">
        <v>0</v>
      </c>
      <c r="AC207" s="4" t="n">
        <v>2</v>
      </c>
      <c r="AD207" s="4" t="n">
        <v>0</v>
      </c>
      <c r="AE207" s="8" t="n">
        <f aca="false">COUNTIF(F207:AD207,"&lt;=0")</f>
        <v>2</v>
      </c>
    </row>
    <row r="208" customFormat="false" ht="15" hidden="false" customHeight="false" outlineLevel="0" collapsed="false">
      <c r="A208" s="8" t="s">
        <v>95</v>
      </c>
      <c r="B208" s="8" t="s">
        <v>20</v>
      </c>
      <c r="C208" s="8" t="n">
        <v>102265</v>
      </c>
      <c r="D208" s="8" t="s">
        <v>412</v>
      </c>
      <c r="E208" s="4" t="n">
        <v>12</v>
      </c>
      <c r="F208" s="4" t="n">
        <v>0</v>
      </c>
      <c r="G208" s="4" t="n">
        <v>6</v>
      </c>
      <c r="H208" s="4" t="n">
        <v>3</v>
      </c>
      <c r="I208" s="4" t="n">
        <v>3</v>
      </c>
      <c r="J208" s="4" t="n">
        <v>5</v>
      </c>
      <c r="K208" s="4" t="n">
        <v>6</v>
      </c>
      <c r="L208" s="4" t="n">
        <v>3</v>
      </c>
      <c r="M208" s="4" t="n">
        <v>2</v>
      </c>
      <c r="N208" s="4" t="n">
        <v>4</v>
      </c>
      <c r="O208" s="4" t="n">
        <v>4</v>
      </c>
      <c r="P208" s="4" t="n">
        <v>5</v>
      </c>
      <c r="Q208" s="4" t="n">
        <v>3</v>
      </c>
      <c r="R208" s="4" t="n">
        <v>4</v>
      </c>
      <c r="S208" s="4" t="n">
        <v>5</v>
      </c>
      <c r="T208" s="4" t="n">
        <v>5</v>
      </c>
      <c r="U208" s="4" t="n">
        <v>3</v>
      </c>
      <c r="V208" s="4" t="n">
        <v>4</v>
      </c>
      <c r="W208" s="4" t="n">
        <v>1</v>
      </c>
      <c r="X208" s="4" t="n">
        <v>3</v>
      </c>
      <c r="Y208" s="4" t="n">
        <v>3</v>
      </c>
      <c r="Z208" s="4" t="n">
        <v>6</v>
      </c>
      <c r="AA208" s="4" t="n">
        <v>2</v>
      </c>
      <c r="AB208" s="4" t="n">
        <v>0</v>
      </c>
      <c r="AC208" s="4" t="n">
        <v>4</v>
      </c>
      <c r="AD208" s="4" t="n">
        <v>0</v>
      </c>
      <c r="AE208" s="8" t="n">
        <f aca="false">COUNTIF(F208:AD208,"&lt;=0")</f>
        <v>3</v>
      </c>
    </row>
    <row r="209" customFormat="false" ht="15" hidden="false" customHeight="false" outlineLevel="0" collapsed="false">
      <c r="A209" s="8" t="s">
        <v>95</v>
      </c>
      <c r="B209" s="8" t="s">
        <v>20</v>
      </c>
      <c r="C209" s="8" t="n">
        <v>102176</v>
      </c>
      <c r="D209" s="8" t="s">
        <v>606</v>
      </c>
      <c r="E209" s="4" t="n">
        <v>0</v>
      </c>
      <c r="F209" s="4" t="n">
        <v>0</v>
      </c>
      <c r="G209" s="4" t="n">
        <v>1</v>
      </c>
      <c r="H209" s="4" t="n">
        <v>4</v>
      </c>
      <c r="I209" s="4" t="n">
        <v>2</v>
      </c>
      <c r="J209" s="4" t="n">
        <v>3</v>
      </c>
      <c r="K209" s="4" t="n">
        <v>12</v>
      </c>
      <c r="L209" s="4" t="n">
        <v>0</v>
      </c>
      <c r="M209" s="4" t="n">
        <v>0</v>
      </c>
      <c r="N209" s="4" t="n">
        <v>1</v>
      </c>
      <c r="O209" s="4" t="n">
        <v>3</v>
      </c>
      <c r="P209" s="4" t="n">
        <v>2</v>
      </c>
      <c r="Q209" s="4" t="n">
        <v>4</v>
      </c>
      <c r="R209" s="4" t="n">
        <v>2</v>
      </c>
      <c r="S209" s="4" t="n">
        <v>2</v>
      </c>
      <c r="T209" s="4" t="n">
        <v>2</v>
      </c>
      <c r="U209" s="4" t="n">
        <v>0</v>
      </c>
      <c r="V209" s="4" t="n">
        <v>0</v>
      </c>
      <c r="W209" s="4" t="n">
        <v>5</v>
      </c>
      <c r="X209" s="4" t="n">
        <v>2</v>
      </c>
      <c r="Y209" s="4" t="n">
        <v>2</v>
      </c>
      <c r="Z209" s="4" t="n">
        <v>4</v>
      </c>
      <c r="AA209" s="4" t="n">
        <v>1</v>
      </c>
      <c r="AB209" s="4" t="n">
        <v>0</v>
      </c>
      <c r="AC209" s="4" t="n">
        <v>6</v>
      </c>
      <c r="AD209" s="4" t="n">
        <v>0</v>
      </c>
      <c r="AE209" s="8" t="n">
        <f aca="false">COUNTIF(F209:AD209,"&lt;=0")</f>
        <v>7</v>
      </c>
    </row>
    <row r="210" customFormat="false" ht="15" hidden="false" customHeight="false" outlineLevel="0" collapsed="false">
      <c r="A210" s="8" t="s">
        <v>95</v>
      </c>
      <c r="B210" s="8" t="s">
        <v>20</v>
      </c>
      <c r="C210" s="8" t="n">
        <v>102177</v>
      </c>
      <c r="D210" s="8" t="s">
        <v>424</v>
      </c>
      <c r="E210" s="4" t="n">
        <v>4</v>
      </c>
      <c r="F210" s="4" t="n">
        <v>3</v>
      </c>
      <c r="G210" s="4" t="n">
        <v>2</v>
      </c>
      <c r="H210" s="4" t="n">
        <v>3</v>
      </c>
      <c r="I210" s="4" t="n">
        <v>3</v>
      </c>
      <c r="J210" s="4" t="n">
        <v>5</v>
      </c>
      <c r="K210" s="4" t="n">
        <v>5</v>
      </c>
      <c r="L210" s="4" t="n">
        <v>2</v>
      </c>
      <c r="M210" s="4" t="n">
        <v>6</v>
      </c>
      <c r="N210" s="4" t="n">
        <v>3</v>
      </c>
      <c r="O210" s="4" t="n">
        <v>4</v>
      </c>
      <c r="P210" s="4" t="n">
        <v>3</v>
      </c>
      <c r="Q210" s="4" t="n">
        <v>3</v>
      </c>
      <c r="R210" s="4" t="n">
        <v>4</v>
      </c>
      <c r="S210" s="4" t="n">
        <v>1</v>
      </c>
      <c r="T210" s="4" t="n">
        <v>4</v>
      </c>
      <c r="U210" s="4" t="n">
        <v>1</v>
      </c>
      <c r="V210" s="4" t="n">
        <v>1</v>
      </c>
      <c r="W210" s="4" t="n">
        <v>5</v>
      </c>
      <c r="X210" s="4" t="n">
        <v>2</v>
      </c>
      <c r="Y210" s="4" t="n">
        <v>1</v>
      </c>
      <c r="Z210" s="4" t="n">
        <v>0</v>
      </c>
      <c r="AA210" s="4" t="n">
        <v>1</v>
      </c>
      <c r="AB210" s="4" t="n">
        <v>0</v>
      </c>
      <c r="AC210" s="4" t="n">
        <v>4</v>
      </c>
      <c r="AD210" s="4" t="n">
        <v>0</v>
      </c>
      <c r="AE210" s="8" t="n">
        <f aca="false">COUNTIF(F210:AD210,"&lt;=0")</f>
        <v>3</v>
      </c>
    </row>
    <row r="211" customFormat="false" ht="15" hidden="false" customHeight="false" outlineLevel="0" collapsed="false">
      <c r="A211" s="8" t="s">
        <v>95</v>
      </c>
      <c r="B211" s="8" t="s">
        <v>20</v>
      </c>
      <c r="C211" s="8" t="n">
        <v>230110</v>
      </c>
      <c r="D211" s="8" t="s">
        <v>607</v>
      </c>
      <c r="E211" s="4" t="n">
        <v>0</v>
      </c>
      <c r="F211" s="4" t="n">
        <v>3</v>
      </c>
      <c r="G211" s="4" t="n">
        <v>3</v>
      </c>
      <c r="H211" s="4" t="n">
        <v>3</v>
      </c>
      <c r="I211" s="4" t="n">
        <v>2</v>
      </c>
      <c r="J211" s="4" t="n">
        <v>1</v>
      </c>
      <c r="K211" s="4" t="n">
        <v>1</v>
      </c>
      <c r="L211" s="4" t="n">
        <v>1</v>
      </c>
      <c r="M211" s="4" t="n">
        <v>1</v>
      </c>
      <c r="N211" s="4" t="n">
        <v>5</v>
      </c>
      <c r="O211" s="4" t="n">
        <v>6</v>
      </c>
      <c r="P211" s="4" t="n">
        <v>19</v>
      </c>
      <c r="Q211" s="4" t="n">
        <v>5</v>
      </c>
      <c r="R211" s="4" t="n">
        <v>6</v>
      </c>
      <c r="S211" s="4" t="n">
        <v>2</v>
      </c>
      <c r="T211" s="4" t="n">
        <v>3</v>
      </c>
      <c r="U211" s="4" t="n">
        <v>5</v>
      </c>
      <c r="V211" s="4" t="n">
        <v>0</v>
      </c>
      <c r="W211" s="4" t="n">
        <v>3</v>
      </c>
      <c r="X211" s="4" t="n">
        <v>4</v>
      </c>
      <c r="Y211" s="4" t="n">
        <v>3</v>
      </c>
      <c r="Z211" s="4" t="n">
        <v>1</v>
      </c>
      <c r="AA211" s="4" t="n">
        <v>2</v>
      </c>
      <c r="AB211" s="4" t="n">
        <v>0</v>
      </c>
      <c r="AC211" s="4" t="n">
        <v>3</v>
      </c>
      <c r="AD211" s="4" t="n">
        <v>0</v>
      </c>
      <c r="AE211" s="8" t="n">
        <f aca="false">COUNTIF(F211:AD211,"&lt;=0")</f>
        <v>3</v>
      </c>
    </row>
    <row r="212" customFormat="false" ht="15" hidden="false" customHeight="false" outlineLevel="0" collapsed="false">
      <c r="A212" s="8" t="s">
        <v>95</v>
      </c>
      <c r="B212" s="8" t="s">
        <v>20</v>
      </c>
      <c r="C212" s="8" t="n">
        <v>230112</v>
      </c>
      <c r="D212" s="8" t="s">
        <v>426</v>
      </c>
      <c r="E212" s="4" t="n">
        <v>3</v>
      </c>
      <c r="F212" s="4" t="n">
        <v>0</v>
      </c>
      <c r="G212" s="4" t="n">
        <v>3</v>
      </c>
      <c r="H212" s="4" t="n">
        <v>1</v>
      </c>
      <c r="I212" s="4" t="n">
        <v>4</v>
      </c>
      <c r="J212" s="4" t="n">
        <v>6</v>
      </c>
      <c r="K212" s="4" t="n">
        <v>4</v>
      </c>
      <c r="L212" s="4" t="n">
        <v>2</v>
      </c>
      <c r="M212" s="4" t="n">
        <v>6</v>
      </c>
      <c r="N212" s="4" t="n">
        <v>4</v>
      </c>
      <c r="O212" s="4" t="n">
        <v>1</v>
      </c>
      <c r="P212" s="4" t="n">
        <v>6</v>
      </c>
      <c r="Q212" s="4" t="n">
        <v>2</v>
      </c>
      <c r="R212" s="4" t="n">
        <v>3</v>
      </c>
      <c r="S212" s="4" t="n">
        <v>2</v>
      </c>
      <c r="T212" s="4" t="n">
        <v>2</v>
      </c>
      <c r="U212" s="4" t="n">
        <v>3</v>
      </c>
      <c r="V212" s="4" t="n">
        <v>2</v>
      </c>
      <c r="W212" s="4" t="n">
        <v>2</v>
      </c>
      <c r="X212" s="4" t="n">
        <v>5</v>
      </c>
      <c r="Y212" s="4" t="n">
        <v>2</v>
      </c>
      <c r="Z212" s="4" t="n">
        <v>9</v>
      </c>
      <c r="AA212" s="4" t="n">
        <v>2</v>
      </c>
      <c r="AB212" s="4" t="n">
        <v>0</v>
      </c>
      <c r="AC212" s="4" t="n">
        <v>6</v>
      </c>
      <c r="AD212" s="4" t="n">
        <v>0</v>
      </c>
      <c r="AE212" s="8" t="n">
        <f aca="false">COUNTIF(F212:AD212,"&lt;=0")</f>
        <v>3</v>
      </c>
    </row>
    <row r="213" customFormat="false" ht="15" hidden="false" customHeight="false" outlineLevel="0" collapsed="false">
      <c r="A213" s="8" t="s">
        <v>95</v>
      </c>
      <c r="B213" s="8" t="s">
        <v>20</v>
      </c>
      <c r="C213" s="8" t="n">
        <v>230113</v>
      </c>
      <c r="D213" s="8" t="s">
        <v>608</v>
      </c>
      <c r="E213" s="4" t="n">
        <v>0</v>
      </c>
      <c r="F213" s="4" t="n">
        <v>0</v>
      </c>
      <c r="G213" s="4" t="n">
        <v>3</v>
      </c>
      <c r="H213" s="4" t="n">
        <v>5</v>
      </c>
      <c r="I213" s="4" t="n">
        <v>4</v>
      </c>
      <c r="J213" s="4" t="n">
        <v>4</v>
      </c>
      <c r="K213" s="4" t="n">
        <v>6</v>
      </c>
      <c r="L213" s="4" t="n">
        <v>2</v>
      </c>
      <c r="M213" s="4" t="n">
        <v>4</v>
      </c>
      <c r="N213" s="4" t="n">
        <v>5</v>
      </c>
      <c r="O213" s="4" t="n">
        <v>5</v>
      </c>
      <c r="P213" s="4" t="n">
        <v>5</v>
      </c>
      <c r="Q213" s="4" t="n">
        <v>6</v>
      </c>
      <c r="R213" s="4" t="n">
        <v>4</v>
      </c>
      <c r="S213" s="4" t="n">
        <v>3</v>
      </c>
      <c r="T213" s="4" t="n">
        <v>4</v>
      </c>
      <c r="U213" s="4" t="n">
        <v>3</v>
      </c>
      <c r="V213" s="4" t="n">
        <v>2</v>
      </c>
      <c r="W213" s="4" t="n">
        <v>7</v>
      </c>
      <c r="X213" s="4" t="n">
        <v>5</v>
      </c>
      <c r="Y213" s="4" t="n">
        <v>2</v>
      </c>
      <c r="Z213" s="4" t="n">
        <v>3</v>
      </c>
      <c r="AA213" s="4" t="n">
        <v>0</v>
      </c>
      <c r="AB213" s="4" t="n">
        <v>0</v>
      </c>
      <c r="AC213" s="4" t="n">
        <v>3</v>
      </c>
      <c r="AD213" s="4" t="n">
        <v>0</v>
      </c>
      <c r="AE213" s="8" t="n">
        <f aca="false">COUNTIF(F213:AD213,"&lt;=0")</f>
        <v>4</v>
      </c>
    </row>
    <row r="214" customFormat="false" ht="15" hidden="false" customHeight="false" outlineLevel="0" collapsed="false">
      <c r="A214" s="8" t="s">
        <v>212</v>
      </c>
      <c r="B214" s="8" t="s">
        <v>20</v>
      </c>
      <c r="C214" s="8" t="n">
        <v>101865</v>
      </c>
      <c r="D214" s="8" t="s">
        <v>609</v>
      </c>
      <c r="E214" s="4" t="n">
        <v>0</v>
      </c>
      <c r="F214" s="4" t="n">
        <v>6</v>
      </c>
      <c r="G214" s="4" t="n">
        <v>19</v>
      </c>
      <c r="H214" s="4" t="n">
        <v>24</v>
      </c>
      <c r="I214" s="4" t="n">
        <v>17</v>
      </c>
      <c r="J214" s="4" t="n">
        <v>67</v>
      </c>
      <c r="K214" s="4" t="n">
        <v>75</v>
      </c>
      <c r="L214" s="4" t="n">
        <v>27</v>
      </c>
      <c r="M214" s="4" t="n">
        <v>34</v>
      </c>
      <c r="N214" s="4" t="n">
        <v>13</v>
      </c>
      <c r="O214" s="4" t="n">
        <v>4</v>
      </c>
      <c r="P214" s="4" t="n">
        <v>14</v>
      </c>
      <c r="Q214" s="4" t="n">
        <v>20</v>
      </c>
      <c r="R214" s="4" t="n">
        <v>22</v>
      </c>
      <c r="S214" s="4" t="n">
        <v>14</v>
      </c>
      <c r="T214" s="4" t="n">
        <v>16</v>
      </c>
      <c r="U214" s="4" t="n">
        <v>30</v>
      </c>
      <c r="V214" s="4" t="n">
        <v>9</v>
      </c>
      <c r="W214" s="4" t="n">
        <v>13</v>
      </c>
      <c r="X214" s="4" t="n">
        <v>6</v>
      </c>
      <c r="Y214" s="4" t="n">
        <v>42</v>
      </c>
      <c r="Z214" s="4" t="n">
        <v>137</v>
      </c>
      <c r="AA214" s="4" t="n">
        <v>6</v>
      </c>
      <c r="AB214" s="4" t="n">
        <v>0</v>
      </c>
      <c r="AC214" s="4" t="n">
        <v>20</v>
      </c>
      <c r="AD214" s="4" t="n">
        <v>18</v>
      </c>
      <c r="AE214" s="8" t="n">
        <f aca="false">COUNTIF(F214:AD214,"&lt;=0")</f>
        <v>1</v>
      </c>
    </row>
    <row r="215" customFormat="false" ht="15" hidden="false" customHeight="false" outlineLevel="0" collapsed="false">
      <c r="A215" s="8" t="s">
        <v>212</v>
      </c>
      <c r="B215" s="8" t="s">
        <v>20</v>
      </c>
      <c r="C215" s="8" t="n">
        <v>101866</v>
      </c>
      <c r="D215" s="8" t="s">
        <v>610</v>
      </c>
      <c r="E215" s="4" t="n">
        <v>0</v>
      </c>
      <c r="F215" s="4" t="n">
        <v>5</v>
      </c>
      <c r="G215" s="4" t="n">
        <v>5</v>
      </c>
      <c r="H215" s="4" t="n">
        <v>3</v>
      </c>
      <c r="I215" s="4" t="n">
        <v>1</v>
      </c>
      <c r="J215" s="4" t="n">
        <v>102</v>
      </c>
      <c r="K215" s="4" t="n">
        <v>31</v>
      </c>
      <c r="L215" s="4" t="n">
        <v>0</v>
      </c>
      <c r="M215" s="4" t="n">
        <v>12</v>
      </c>
      <c r="N215" s="4" t="n">
        <v>14</v>
      </c>
      <c r="O215" s="4" t="n">
        <v>0</v>
      </c>
      <c r="P215" s="4" t="n">
        <v>0</v>
      </c>
      <c r="Q215" s="4" t="n">
        <v>20</v>
      </c>
      <c r="R215" s="4" t="n">
        <v>10</v>
      </c>
      <c r="S215" s="4" t="n">
        <v>0</v>
      </c>
      <c r="T215" s="4" t="n">
        <v>39</v>
      </c>
      <c r="U215" s="4" t="n">
        <v>11</v>
      </c>
      <c r="V215" s="4" t="n">
        <v>0</v>
      </c>
      <c r="W215" s="4" t="n">
        <v>4</v>
      </c>
      <c r="X215" s="4" t="n">
        <v>0</v>
      </c>
      <c r="Y215" s="4" t="n">
        <v>0</v>
      </c>
      <c r="Z215" s="4" t="n">
        <v>4</v>
      </c>
      <c r="AA215" s="4" t="n">
        <v>7</v>
      </c>
      <c r="AB215" s="4" t="n">
        <v>0</v>
      </c>
      <c r="AC215" s="4" t="n">
        <v>0</v>
      </c>
      <c r="AD215" s="4" t="n">
        <v>14</v>
      </c>
      <c r="AE215" s="8" t="n">
        <f aca="false">COUNTIF(F215:AD215,"&lt;=0")</f>
        <v>9</v>
      </c>
    </row>
    <row r="216" customFormat="false" ht="15" hidden="false" customHeight="false" outlineLevel="0" collapsed="false">
      <c r="A216" s="8" t="s">
        <v>212</v>
      </c>
      <c r="B216" s="8" t="s">
        <v>20</v>
      </c>
      <c r="C216" s="8" t="n">
        <v>101867</v>
      </c>
      <c r="D216" s="8" t="s">
        <v>611</v>
      </c>
      <c r="E216" s="4" t="n">
        <v>0</v>
      </c>
      <c r="F216" s="4" t="n">
        <v>5</v>
      </c>
      <c r="G216" s="4" t="n">
        <v>15</v>
      </c>
      <c r="H216" s="4" t="n">
        <v>24</v>
      </c>
      <c r="I216" s="4" t="n">
        <v>15</v>
      </c>
      <c r="J216" s="4" t="n">
        <v>46</v>
      </c>
      <c r="K216" s="4" t="n">
        <v>63</v>
      </c>
      <c r="L216" s="4" t="n">
        <v>12</v>
      </c>
      <c r="M216" s="4" t="n">
        <v>8</v>
      </c>
      <c r="N216" s="4" t="n">
        <v>21</v>
      </c>
      <c r="O216" s="4" t="n">
        <v>2</v>
      </c>
      <c r="P216" s="4" t="n">
        <v>12</v>
      </c>
      <c r="Q216" s="4" t="n">
        <v>22</v>
      </c>
      <c r="R216" s="4" t="n">
        <v>9</v>
      </c>
      <c r="S216" s="4" t="n">
        <v>14</v>
      </c>
      <c r="T216" s="4" t="n">
        <v>15</v>
      </c>
      <c r="U216" s="4" t="n">
        <v>9</v>
      </c>
      <c r="V216" s="4" t="n">
        <v>10</v>
      </c>
      <c r="W216" s="4" t="n">
        <v>7</v>
      </c>
      <c r="X216" s="4" t="n">
        <v>15</v>
      </c>
      <c r="Y216" s="4" t="n">
        <v>10</v>
      </c>
      <c r="Z216" s="4" t="n">
        <v>17</v>
      </c>
      <c r="AA216" s="4" t="n">
        <v>18</v>
      </c>
      <c r="AB216" s="4" t="n">
        <v>0</v>
      </c>
      <c r="AC216" s="4" t="n">
        <v>21</v>
      </c>
      <c r="AD216" s="4" t="n">
        <v>17</v>
      </c>
      <c r="AE216" s="8" t="n">
        <f aca="false">COUNTIF(F216:AD216,"&lt;=0")</f>
        <v>1</v>
      </c>
    </row>
    <row r="217" customFormat="false" ht="15" hidden="false" customHeight="false" outlineLevel="0" collapsed="false">
      <c r="A217" s="8" t="s">
        <v>224</v>
      </c>
      <c r="B217" s="8" t="s">
        <v>20</v>
      </c>
      <c r="C217" s="8" t="n">
        <v>101998</v>
      </c>
      <c r="D217" s="8" t="s">
        <v>612</v>
      </c>
      <c r="E217" s="4" t="n">
        <v>0</v>
      </c>
      <c r="F217" s="4" t="n">
        <v>0</v>
      </c>
      <c r="G217" s="4" t="n">
        <v>45</v>
      </c>
      <c r="H217" s="4" t="n">
        <v>41</v>
      </c>
      <c r="I217" s="4" t="n">
        <v>57</v>
      </c>
      <c r="J217" s="4" t="n">
        <v>170</v>
      </c>
      <c r="K217" s="4" t="n">
        <v>62</v>
      </c>
      <c r="L217" s="4" t="n">
        <v>51</v>
      </c>
      <c r="M217" s="4" t="n">
        <v>48</v>
      </c>
      <c r="N217" s="4" t="n">
        <v>50</v>
      </c>
      <c r="O217" s="4" t="n">
        <v>61</v>
      </c>
      <c r="P217" s="4" t="n">
        <v>46</v>
      </c>
      <c r="Q217" s="4" t="n">
        <v>48</v>
      </c>
      <c r="R217" s="4" t="n">
        <v>46</v>
      </c>
      <c r="S217" s="4" t="n">
        <v>50</v>
      </c>
      <c r="T217" s="4" t="n">
        <v>50</v>
      </c>
      <c r="U217" s="4" t="n">
        <v>41</v>
      </c>
      <c r="V217" s="4" t="n">
        <v>50</v>
      </c>
      <c r="W217" s="4" t="n">
        <v>50</v>
      </c>
      <c r="X217" s="4" t="n">
        <v>48</v>
      </c>
      <c r="Y217" s="4" t="n">
        <v>50</v>
      </c>
      <c r="Z217" s="4" t="n">
        <v>50</v>
      </c>
      <c r="AA217" s="4" t="n">
        <v>50</v>
      </c>
      <c r="AB217" s="4" t="n">
        <v>0</v>
      </c>
      <c r="AC217" s="4" t="n">
        <v>6</v>
      </c>
      <c r="AD217" s="4" t="n">
        <v>0</v>
      </c>
      <c r="AE217" s="8" t="n">
        <f aca="false">COUNTIF(F217:AD217,"&lt;=0")</f>
        <v>3</v>
      </c>
    </row>
    <row r="218" customFormat="false" ht="15" hidden="false" customHeight="false" outlineLevel="0" collapsed="false">
      <c r="A218" s="8" t="s">
        <v>110</v>
      </c>
      <c r="B218" s="8" t="s">
        <v>20</v>
      </c>
      <c r="C218" s="8" t="n">
        <v>174527</v>
      </c>
      <c r="D218" s="8" t="s">
        <v>613</v>
      </c>
      <c r="E218" s="4" t="n">
        <v>0</v>
      </c>
      <c r="F218" s="4" t="n">
        <v>0</v>
      </c>
      <c r="G218" s="4" t="n">
        <v>4</v>
      </c>
      <c r="H218" s="4" t="n">
        <v>4</v>
      </c>
      <c r="I218" s="4" t="n">
        <v>13</v>
      </c>
      <c r="J218" s="4" t="n">
        <v>12</v>
      </c>
      <c r="K218" s="4" t="n">
        <v>18</v>
      </c>
      <c r="L218" s="4" t="n">
        <v>8</v>
      </c>
      <c r="M218" s="4" t="n">
        <v>5</v>
      </c>
      <c r="N218" s="4" t="n">
        <v>5</v>
      </c>
      <c r="O218" s="4" t="n">
        <v>12</v>
      </c>
      <c r="P218" s="4" t="n">
        <v>8</v>
      </c>
      <c r="Q218" s="4" t="n">
        <v>5</v>
      </c>
      <c r="R218" s="4" t="n">
        <v>6</v>
      </c>
      <c r="S218" s="4" t="n">
        <v>7</v>
      </c>
      <c r="T218" s="4" t="n">
        <v>9</v>
      </c>
      <c r="U218" s="4" t="n">
        <v>11</v>
      </c>
      <c r="V218" s="4" t="n">
        <v>6</v>
      </c>
      <c r="W218" s="4" t="n">
        <v>7</v>
      </c>
      <c r="X218" s="4" t="n">
        <v>6</v>
      </c>
      <c r="Y218" s="4" t="n">
        <v>6</v>
      </c>
      <c r="Z218" s="4" t="n">
        <v>10</v>
      </c>
      <c r="AA218" s="4" t="n">
        <v>8</v>
      </c>
      <c r="AB218" s="4" t="n">
        <v>0</v>
      </c>
      <c r="AC218" s="4" t="n">
        <v>7</v>
      </c>
      <c r="AD218" s="4" t="n">
        <v>0</v>
      </c>
      <c r="AE218" s="8" t="n">
        <f aca="false">COUNTIF(F218:AD218,"&lt;=0")</f>
        <v>3</v>
      </c>
    </row>
    <row r="219" customFormat="false" ht="15" hidden="false" customHeight="false" outlineLevel="0" collapsed="false">
      <c r="A219" s="8" t="s">
        <v>110</v>
      </c>
      <c r="B219" s="8" t="s">
        <v>20</v>
      </c>
      <c r="C219" s="8" t="n">
        <v>102162</v>
      </c>
      <c r="D219" s="8" t="s">
        <v>614</v>
      </c>
      <c r="E219" s="4" t="n">
        <v>0</v>
      </c>
      <c r="F219" s="4" t="n">
        <v>0</v>
      </c>
      <c r="G219" s="4" t="n">
        <v>6</v>
      </c>
      <c r="H219" s="4" t="n">
        <v>0</v>
      </c>
      <c r="I219" s="4" t="n">
        <v>7</v>
      </c>
      <c r="J219" s="4" t="n">
        <v>7</v>
      </c>
      <c r="K219" s="4" t="n">
        <v>6</v>
      </c>
      <c r="L219" s="4" t="n">
        <v>4</v>
      </c>
      <c r="M219" s="4" t="n">
        <v>8</v>
      </c>
      <c r="N219" s="4" t="n">
        <v>5</v>
      </c>
      <c r="O219" s="4" t="n">
        <v>13</v>
      </c>
      <c r="P219" s="4" t="n">
        <v>8</v>
      </c>
      <c r="Q219" s="4" t="n">
        <v>7</v>
      </c>
      <c r="R219" s="4" t="n">
        <v>5</v>
      </c>
      <c r="S219" s="4" t="n">
        <v>2</v>
      </c>
      <c r="T219" s="4" t="n">
        <v>6</v>
      </c>
      <c r="U219" s="4" t="n">
        <v>6</v>
      </c>
      <c r="V219" s="4" t="n">
        <v>6</v>
      </c>
      <c r="W219" s="4" t="n">
        <v>6</v>
      </c>
      <c r="X219" s="4" t="n">
        <v>7</v>
      </c>
      <c r="Y219" s="4" t="n">
        <v>5</v>
      </c>
      <c r="Z219" s="4" t="n">
        <v>9</v>
      </c>
      <c r="AA219" s="4" t="n">
        <v>6</v>
      </c>
      <c r="AB219" s="4" t="n">
        <v>0</v>
      </c>
      <c r="AC219" s="4" t="n">
        <v>4</v>
      </c>
      <c r="AD219" s="4" t="n">
        <v>0</v>
      </c>
      <c r="AE219" s="8" t="n">
        <f aca="false">COUNTIF(F219:AD219,"&lt;=0")</f>
        <v>4</v>
      </c>
    </row>
    <row r="220" customFormat="false" ht="15" hidden="false" customHeight="false" outlineLevel="0" collapsed="false">
      <c r="A220" s="8" t="s">
        <v>110</v>
      </c>
      <c r="B220" s="8" t="s">
        <v>20</v>
      </c>
      <c r="C220" s="8" t="n">
        <v>174525</v>
      </c>
      <c r="D220" s="8" t="s">
        <v>615</v>
      </c>
      <c r="E220" s="4" t="n">
        <v>0</v>
      </c>
      <c r="F220" s="4" t="n">
        <v>0</v>
      </c>
      <c r="G220" s="4" t="n">
        <v>4</v>
      </c>
      <c r="H220" s="4" t="n">
        <v>5</v>
      </c>
      <c r="I220" s="4" t="n">
        <v>9</v>
      </c>
      <c r="J220" s="4" t="n">
        <v>7</v>
      </c>
      <c r="K220" s="4" t="n">
        <v>11</v>
      </c>
      <c r="L220" s="4" t="n">
        <v>3</v>
      </c>
      <c r="M220" s="4" t="n">
        <v>5</v>
      </c>
      <c r="N220" s="4" t="n">
        <v>7</v>
      </c>
      <c r="O220" s="4" t="n">
        <v>5</v>
      </c>
      <c r="P220" s="4" t="n">
        <v>5</v>
      </c>
      <c r="Q220" s="4" t="n">
        <v>6</v>
      </c>
      <c r="R220" s="4" t="n">
        <v>6</v>
      </c>
      <c r="S220" s="4" t="n">
        <v>6</v>
      </c>
      <c r="T220" s="4" t="n">
        <v>6</v>
      </c>
      <c r="U220" s="4" t="n">
        <v>4</v>
      </c>
      <c r="V220" s="4" t="n">
        <v>7</v>
      </c>
      <c r="W220" s="4" t="n">
        <v>3</v>
      </c>
      <c r="X220" s="4" t="n">
        <v>3</v>
      </c>
      <c r="Y220" s="4" t="n">
        <v>10</v>
      </c>
      <c r="Z220" s="4" t="n">
        <v>4</v>
      </c>
      <c r="AA220" s="4" t="n">
        <v>4</v>
      </c>
      <c r="AB220" s="4" t="n">
        <v>0</v>
      </c>
      <c r="AC220" s="4" t="n">
        <v>8</v>
      </c>
      <c r="AD220" s="4" t="n">
        <v>9</v>
      </c>
      <c r="AE220" s="8" t="n">
        <f aca="false">COUNTIF(F220:AD220,"&lt;=0")</f>
        <v>2</v>
      </c>
    </row>
    <row r="221" customFormat="false" ht="15" hidden="false" customHeight="false" outlineLevel="0" collapsed="false">
      <c r="A221" s="8" t="s">
        <v>110</v>
      </c>
      <c r="B221" s="8" t="s">
        <v>20</v>
      </c>
      <c r="C221" s="8" t="n">
        <v>174530</v>
      </c>
      <c r="D221" s="8" t="s">
        <v>446</v>
      </c>
      <c r="E221" s="4" t="n">
        <v>22</v>
      </c>
      <c r="F221" s="4" t="n">
        <v>0</v>
      </c>
      <c r="G221" s="4" t="n">
        <v>4</v>
      </c>
      <c r="H221" s="4" t="n">
        <v>10</v>
      </c>
      <c r="I221" s="4" t="n">
        <v>5</v>
      </c>
      <c r="J221" s="4" t="n">
        <v>5</v>
      </c>
      <c r="K221" s="4" t="n">
        <v>14</v>
      </c>
      <c r="L221" s="4" t="n">
        <v>5</v>
      </c>
      <c r="M221" s="4" t="n">
        <v>5</v>
      </c>
      <c r="N221" s="4" t="n">
        <v>6</v>
      </c>
      <c r="O221" s="4" t="n">
        <v>6</v>
      </c>
      <c r="P221" s="4" t="n">
        <v>5</v>
      </c>
      <c r="Q221" s="4" t="n">
        <v>4</v>
      </c>
      <c r="R221" s="4" t="n">
        <v>7</v>
      </c>
      <c r="S221" s="4" t="n">
        <v>5</v>
      </c>
      <c r="T221" s="4" t="n">
        <v>6</v>
      </c>
      <c r="U221" s="4" t="n">
        <v>9</v>
      </c>
      <c r="V221" s="4" t="n">
        <v>4</v>
      </c>
      <c r="W221" s="4" t="n">
        <v>5</v>
      </c>
      <c r="X221" s="4" t="n">
        <v>13</v>
      </c>
      <c r="Y221" s="4" t="n">
        <v>6</v>
      </c>
      <c r="Z221" s="4" t="n">
        <v>5</v>
      </c>
      <c r="AA221" s="4" t="n">
        <v>5</v>
      </c>
      <c r="AB221" s="4" t="n">
        <v>0</v>
      </c>
      <c r="AC221" s="4" t="n">
        <v>6</v>
      </c>
      <c r="AD221" s="4" t="n">
        <v>9</v>
      </c>
      <c r="AE221" s="8" t="n">
        <f aca="false">COUNTIF(F221:AD221,"&lt;=0")</f>
        <v>2</v>
      </c>
    </row>
    <row r="222" customFormat="false" ht="15" hidden="false" customHeight="false" outlineLevel="0" collapsed="false">
      <c r="A222" s="8" t="s">
        <v>110</v>
      </c>
      <c r="B222" s="8" t="s">
        <v>20</v>
      </c>
      <c r="C222" s="8" t="n">
        <v>174526</v>
      </c>
      <c r="D222" s="8" t="s">
        <v>616</v>
      </c>
      <c r="E222" s="4" t="n">
        <v>0</v>
      </c>
      <c r="F222" s="4" t="n">
        <v>0</v>
      </c>
      <c r="G222" s="4" t="n">
        <v>7</v>
      </c>
      <c r="H222" s="4" t="n">
        <v>9</v>
      </c>
      <c r="I222" s="4" t="n">
        <v>8</v>
      </c>
      <c r="J222" s="4" t="n">
        <v>2</v>
      </c>
      <c r="K222" s="4" t="n">
        <v>13</v>
      </c>
      <c r="L222" s="4" t="n">
        <v>5</v>
      </c>
      <c r="M222" s="4" t="n">
        <v>4</v>
      </c>
      <c r="N222" s="4" t="n">
        <v>7</v>
      </c>
      <c r="O222" s="4" t="n">
        <v>5</v>
      </c>
      <c r="P222" s="4" t="n">
        <v>6</v>
      </c>
      <c r="Q222" s="4" t="n">
        <v>8</v>
      </c>
      <c r="R222" s="4" t="n">
        <v>8</v>
      </c>
      <c r="S222" s="4" t="n">
        <v>7</v>
      </c>
      <c r="T222" s="4" t="n">
        <v>6</v>
      </c>
      <c r="U222" s="4" t="n">
        <v>4</v>
      </c>
      <c r="V222" s="4" t="n">
        <v>7</v>
      </c>
      <c r="W222" s="4" t="n">
        <v>2</v>
      </c>
      <c r="X222" s="4" t="n">
        <v>6</v>
      </c>
      <c r="Y222" s="4" t="n">
        <v>7</v>
      </c>
      <c r="Z222" s="4" t="n">
        <v>12</v>
      </c>
      <c r="AA222" s="4" t="n">
        <v>5</v>
      </c>
      <c r="AB222" s="4" t="n">
        <v>0</v>
      </c>
      <c r="AC222" s="4" t="n">
        <v>6</v>
      </c>
      <c r="AD222" s="4" t="n">
        <v>10</v>
      </c>
      <c r="AE222" s="8" t="n">
        <f aca="false">COUNTIF(F222:AD222,"&lt;=0")</f>
        <v>2</v>
      </c>
    </row>
    <row r="223" customFormat="false" ht="15" hidden="false" customHeight="false" outlineLevel="0" collapsed="false">
      <c r="A223" s="8" t="s">
        <v>110</v>
      </c>
      <c r="B223" s="8" t="s">
        <v>20</v>
      </c>
      <c r="C223" s="8" t="n">
        <v>174528</v>
      </c>
      <c r="D223" s="8" t="s">
        <v>617</v>
      </c>
      <c r="E223" s="4" t="n">
        <v>0</v>
      </c>
      <c r="F223" s="4" t="n">
        <v>0</v>
      </c>
      <c r="G223" s="4" t="n">
        <v>7</v>
      </c>
      <c r="H223" s="4" t="n">
        <v>3</v>
      </c>
      <c r="I223" s="4" t="n">
        <v>5</v>
      </c>
      <c r="J223" s="4" t="n">
        <v>5</v>
      </c>
      <c r="K223" s="4" t="n">
        <v>13</v>
      </c>
      <c r="L223" s="4" t="n">
        <v>6</v>
      </c>
      <c r="M223" s="4" t="n">
        <v>5</v>
      </c>
      <c r="N223" s="4" t="n">
        <v>5</v>
      </c>
      <c r="O223" s="4" t="n">
        <v>6</v>
      </c>
      <c r="P223" s="4" t="n">
        <v>7</v>
      </c>
      <c r="Q223" s="4" t="n">
        <v>6</v>
      </c>
      <c r="R223" s="4" t="n">
        <v>8</v>
      </c>
      <c r="S223" s="4" t="n">
        <v>4</v>
      </c>
      <c r="T223" s="4" t="n">
        <v>5</v>
      </c>
      <c r="U223" s="4" t="n">
        <v>6</v>
      </c>
      <c r="V223" s="4" t="n">
        <v>7</v>
      </c>
      <c r="W223" s="4" t="n">
        <v>4</v>
      </c>
      <c r="X223" s="4" t="n">
        <v>6</v>
      </c>
      <c r="Y223" s="4" t="n">
        <v>5</v>
      </c>
      <c r="Z223" s="4" t="n">
        <v>11</v>
      </c>
      <c r="AA223" s="4" t="n">
        <v>4</v>
      </c>
      <c r="AB223" s="4" t="n">
        <v>0</v>
      </c>
      <c r="AC223" s="4" t="n">
        <v>6</v>
      </c>
      <c r="AD223" s="4" t="n">
        <v>8</v>
      </c>
      <c r="AE223" s="8" t="n">
        <f aca="false">COUNTIF(F223:AD223,"&lt;=0")</f>
        <v>2</v>
      </c>
    </row>
    <row r="224" customFormat="false" ht="15" hidden="false" customHeight="false" outlineLevel="0" collapsed="false">
      <c r="A224" s="8" t="s">
        <v>177</v>
      </c>
      <c r="B224" s="8" t="s">
        <v>20</v>
      </c>
      <c r="C224" s="8" t="n">
        <v>230792</v>
      </c>
      <c r="D224" s="8" t="s">
        <v>353</v>
      </c>
      <c r="E224" s="4" t="n">
        <v>21</v>
      </c>
      <c r="F224" s="4" t="n">
        <v>4</v>
      </c>
      <c r="G224" s="4" t="n">
        <v>6</v>
      </c>
      <c r="H224" s="4" t="n">
        <v>0</v>
      </c>
      <c r="I224" s="4" t="n">
        <v>1</v>
      </c>
      <c r="J224" s="4" t="n">
        <v>4</v>
      </c>
      <c r="K224" s="4" t="n">
        <v>58</v>
      </c>
      <c r="L224" s="4" t="n">
        <v>0</v>
      </c>
      <c r="M224" s="4" t="n">
        <v>3</v>
      </c>
      <c r="N224" s="4" t="n">
        <v>3</v>
      </c>
      <c r="O224" s="4" t="n">
        <v>9</v>
      </c>
      <c r="P224" s="4" t="n">
        <v>6</v>
      </c>
      <c r="Q224" s="4" t="n">
        <v>8</v>
      </c>
      <c r="R224" s="4" t="n">
        <v>3</v>
      </c>
      <c r="S224" s="4" t="n">
        <v>5</v>
      </c>
      <c r="T224" s="4" t="n">
        <v>5</v>
      </c>
      <c r="U224" s="4" t="n">
        <v>12</v>
      </c>
      <c r="V224" s="4" t="n">
        <v>4</v>
      </c>
      <c r="W224" s="4" t="n">
        <v>3</v>
      </c>
      <c r="X224" s="4" t="n">
        <v>4</v>
      </c>
      <c r="Y224" s="4" t="n">
        <v>3</v>
      </c>
      <c r="Z224" s="4" t="n">
        <v>2</v>
      </c>
      <c r="AA224" s="4" t="n">
        <v>2</v>
      </c>
      <c r="AB224" s="4" t="n">
        <v>0</v>
      </c>
      <c r="AC224" s="4" t="n">
        <v>1</v>
      </c>
      <c r="AD224" s="4" t="n">
        <v>0</v>
      </c>
      <c r="AE224" s="8" t="n">
        <f aca="false">COUNTIF(F224:AD224,"&lt;=0")</f>
        <v>4</v>
      </c>
    </row>
    <row r="225" customFormat="false" ht="15" hidden="false" customHeight="false" outlineLevel="0" collapsed="false">
      <c r="A225" s="8" t="s">
        <v>177</v>
      </c>
      <c r="B225" s="8" t="s">
        <v>20</v>
      </c>
      <c r="C225" s="8" t="n">
        <v>101828</v>
      </c>
      <c r="D225" s="8" t="s">
        <v>464</v>
      </c>
      <c r="E225" s="4" t="n">
        <v>3</v>
      </c>
      <c r="F225" s="4" t="n">
        <v>3</v>
      </c>
      <c r="G225" s="4" t="n">
        <v>20</v>
      </c>
      <c r="H225" s="4" t="n">
        <v>11</v>
      </c>
      <c r="I225" s="4" t="n">
        <v>17</v>
      </c>
      <c r="J225" s="4" t="n">
        <v>18</v>
      </c>
      <c r="K225" s="4" t="n">
        <v>28</v>
      </c>
      <c r="L225" s="4" t="n">
        <v>7</v>
      </c>
      <c r="M225" s="4" t="n">
        <v>4</v>
      </c>
      <c r="N225" s="4" t="n">
        <v>7</v>
      </c>
      <c r="O225" s="4" t="n">
        <v>26</v>
      </c>
      <c r="P225" s="4" t="n">
        <v>7</v>
      </c>
      <c r="Q225" s="4" t="n">
        <v>8</v>
      </c>
      <c r="R225" s="4" t="n">
        <v>9</v>
      </c>
      <c r="S225" s="4" t="n">
        <v>6</v>
      </c>
      <c r="T225" s="4" t="n">
        <v>4</v>
      </c>
      <c r="U225" s="4" t="n">
        <v>8</v>
      </c>
      <c r="V225" s="4" t="n">
        <v>19</v>
      </c>
      <c r="W225" s="4" t="n">
        <v>6</v>
      </c>
      <c r="X225" s="4" t="n">
        <v>7</v>
      </c>
      <c r="Y225" s="4" t="n">
        <v>8</v>
      </c>
      <c r="Z225" s="4" t="n">
        <v>19</v>
      </c>
      <c r="AA225" s="4" t="n">
        <v>7</v>
      </c>
      <c r="AB225" s="4" t="n">
        <v>0</v>
      </c>
      <c r="AC225" s="4" t="n">
        <v>7</v>
      </c>
      <c r="AD225" s="4" t="n">
        <v>0</v>
      </c>
      <c r="AE225" s="8" t="n">
        <f aca="false">COUNTIF(F225:AD225,"&lt;=0")</f>
        <v>2</v>
      </c>
    </row>
    <row r="226" customFormat="false" ht="15" hidden="false" customHeight="false" outlineLevel="0" collapsed="false">
      <c r="A226" s="8" t="s">
        <v>177</v>
      </c>
      <c r="B226" s="8" t="s">
        <v>20</v>
      </c>
      <c r="C226" s="8" t="n">
        <v>101762</v>
      </c>
      <c r="D226" s="8" t="s">
        <v>618</v>
      </c>
      <c r="E226" s="4" t="n">
        <v>3</v>
      </c>
      <c r="F226" s="4" t="n">
        <v>1</v>
      </c>
      <c r="G226" s="4" t="n">
        <v>13</v>
      </c>
      <c r="H226" s="4" t="n">
        <v>8</v>
      </c>
      <c r="I226" s="4" t="n">
        <v>10</v>
      </c>
      <c r="J226" s="4" t="n">
        <v>8</v>
      </c>
      <c r="K226" s="4" t="n">
        <v>59</v>
      </c>
      <c r="L226" s="4" t="n">
        <v>4</v>
      </c>
      <c r="M226" s="4" t="n">
        <v>8</v>
      </c>
      <c r="N226" s="4" t="n">
        <v>6</v>
      </c>
      <c r="O226" s="4" t="n">
        <v>17</v>
      </c>
      <c r="P226" s="4" t="n">
        <v>11</v>
      </c>
      <c r="Q226" s="4" t="n">
        <v>9</v>
      </c>
      <c r="R226" s="4" t="n">
        <v>9</v>
      </c>
      <c r="S226" s="4" t="n">
        <v>9</v>
      </c>
      <c r="T226" s="4" t="n">
        <v>11</v>
      </c>
      <c r="U226" s="4" t="n">
        <v>9</v>
      </c>
      <c r="V226" s="4" t="n">
        <v>19</v>
      </c>
      <c r="W226" s="4" t="n">
        <v>8</v>
      </c>
      <c r="X226" s="4" t="n">
        <v>8</v>
      </c>
      <c r="Y226" s="4" t="n">
        <v>9</v>
      </c>
      <c r="Z226" s="4" t="n">
        <v>13</v>
      </c>
      <c r="AA226" s="4" t="n">
        <v>8</v>
      </c>
      <c r="AB226" s="4" t="n">
        <v>0</v>
      </c>
      <c r="AC226" s="4" t="n">
        <v>9</v>
      </c>
      <c r="AD226" s="4" t="n">
        <v>8</v>
      </c>
      <c r="AE226" s="8" t="n">
        <f aca="false">COUNTIF(F226:AD226,"&lt;=0")</f>
        <v>1</v>
      </c>
    </row>
    <row r="227" customFormat="false" ht="15" hidden="false" customHeight="false" outlineLevel="0" collapsed="false">
      <c r="A227" s="8" t="s">
        <v>145</v>
      </c>
      <c r="B227" s="8" t="s">
        <v>20</v>
      </c>
      <c r="C227" s="8" t="n">
        <v>101968</v>
      </c>
      <c r="D227" s="8" t="s">
        <v>371</v>
      </c>
      <c r="E227" s="4" t="n">
        <v>345</v>
      </c>
      <c r="F227" s="4" t="n">
        <v>4</v>
      </c>
      <c r="G227" s="4" t="n">
        <v>7</v>
      </c>
      <c r="H227" s="4" t="n">
        <v>5</v>
      </c>
      <c r="I227" s="4" t="n">
        <v>5</v>
      </c>
      <c r="J227" s="4" t="n">
        <v>11</v>
      </c>
      <c r="K227" s="4" t="n">
        <v>14</v>
      </c>
      <c r="L227" s="4" t="n">
        <v>0</v>
      </c>
      <c r="M227" s="4" t="n">
        <v>7</v>
      </c>
      <c r="N227" s="4" t="n">
        <v>7</v>
      </c>
      <c r="O227" s="4" t="n">
        <v>10</v>
      </c>
      <c r="P227" s="4" t="n">
        <v>4</v>
      </c>
      <c r="Q227" s="4" t="n">
        <v>5</v>
      </c>
      <c r="R227" s="4" t="n">
        <v>6</v>
      </c>
      <c r="S227" s="4" t="n">
        <v>8</v>
      </c>
      <c r="T227" s="4" t="n">
        <v>6</v>
      </c>
      <c r="U227" s="4" t="n">
        <v>6</v>
      </c>
      <c r="V227" s="4" t="n">
        <v>6</v>
      </c>
      <c r="W227" s="4" t="n">
        <v>5</v>
      </c>
      <c r="X227" s="4" t="n">
        <v>5</v>
      </c>
      <c r="Y227" s="4" t="n">
        <v>4</v>
      </c>
      <c r="Z227" s="4" t="n">
        <v>10</v>
      </c>
      <c r="AA227" s="4" t="n">
        <v>6</v>
      </c>
      <c r="AB227" s="4" t="n">
        <v>0</v>
      </c>
      <c r="AC227" s="4" t="n">
        <v>7</v>
      </c>
      <c r="AD227" s="4" t="n">
        <v>0</v>
      </c>
      <c r="AE227" s="8" t="n">
        <f aca="false">COUNTIF(F227:AD227,"&lt;=0")</f>
        <v>3</v>
      </c>
    </row>
    <row r="228" customFormat="false" ht="15" hidden="false" customHeight="false" outlineLevel="0" collapsed="false">
      <c r="A228" s="8" t="s">
        <v>205</v>
      </c>
      <c r="B228" s="8" t="s">
        <v>20</v>
      </c>
      <c r="C228" s="8" t="n">
        <v>100348</v>
      </c>
      <c r="D228" s="8" t="s">
        <v>619</v>
      </c>
      <c r="E228" s="4" t="n">
        <v>0</v>
      </c>
      <c r="F228" s="4" t="n">
        <v>27</v>
      </c>
      <c r="G228" s="4" t="n">
        <v>6</v>
      </c>
      <c r="H228" s="4" t="n">
        <v>12</v>
      </c>
      <c r="I228" s="4" t="n">
        <v>0</v>
      </c>
      <c r="J228" s="4" t="n">
        <v>0</v>
      </c>
      <c r="K228" s="4" t="n">
        <v>12</v>
      </c>
      <c r="L228" s="4" t="n">
        <v>17</v>
      </c>
      <c r="M228" s="4" t="n">
        <v>45</v>
      </c>
      <c r="N228" s="4" t="n">
        <v>6</v>
      </c>
      <c r="O228" s="4" t="n">
        <v>38</v>
      </c>
      <c r="P228" s="4" t="n">
        <v>32</v>
      </c>
      <c r="Q228" s="4" t="n">
        <v>17</v>
      </c>
      <c r="R228" s="4" t="n">
        <v>33</v>
      </c>
      <c r="S228" s="4" t="n">
        <v>21</v>
      </c>
      <c r="T228" s="4" t="n">
        <v>28</v>
      </c>
      <c r="U228" s="4" t="n">
        <v>34</v>
      </c>
      <c r="V228" s="4" t="n">
        <v>35</v>
      </c>
      <c r="W228" s="4" t="n">
        <v>17</v>
      </c>
      <c r="X228" s="4" t="n">
        <v>3</v>
      </c>
      <c r="Y228" s="4" t="n">
        <v>13</v>
      </c>
      <c r="Z228" s="4" t="n">
        <v>37</v>
      </c>
      <c r="AA228" s="4" t="n">
        <v>29</v>
      </c>
      <c r="AB228" s="4" t="n">
        <v>0</v>
      </c>
      <c r="AC228" s="4" t="n">
        <v>16</v>
      </c>
      <c r="AD228" s="4" t="n">
        <v>0</v>
      </c>
      <c r="AE228" s="8" t="n">
        <f aca="false">COUNTIF(F228:AD228,"&lt;=0")</f>
        <v>4</v>
      </c>
    </row>
    <row r="229" customFormat="false" ht="15" hidden="false" customHeight="false" outlineLevel="0" collapsed="false">
      <c r="A229" s="8" t="s">
        <v>129</v>
      </c>
      <c r="B229" s="8" t="s">
        <v>20</v>
      </c>
      <c r="C229" s="8" t="n">
        <v>102033</v>
      </c>
      <c r="D229" s="8" t="s">
        <v>398</v>
      </c>
      <c r="E229" s="4" t="n">
        <v>46</v>
      </c>
      <c r="F229" s="4" t="n">
        <v>0</v>
      </c>
      <c r="G229" s="4" t="n">
        <v>6</v>
      </c>
      <c r="H229" s="4" t="n">
        <v>6</v>
      </c>
      <c r="I229" s="4" t="n">
        <v>1</v>
      </c>
      <c r="J229" s="4" t="n">
        <v>6</v>
      </c>
      <c r="K229" s="4" t="n">
        <v>6</v>
      </c>
      <c r="L229" s="4" t="n">
        <v>3</v>
      </c>
      <c r="M229" s="4" t="n">
        <v>8</v>
      </c>
      <c r="N229" s="4" t="n">
        <v>3</v>
      </c>
      <c r="O229" s="4" t="n">
        <v>6</v>
      </c>
      <c r="P229" s="4" t="n">
        <v>2</v>
      </c>
      <c r="Q229" s="4" t="n">
        <v>5</v>
      </c>
      <c r="R229" s="4" t="n">
        <v>5</v>
      </c>
      <c r="S229" s="4" t="n">
        <v>5</v>
      </c>
      <c r="T229" s="4" t="n">
        <v>3</v>
      </c>
      <c r="U229" s="4" t="n">
        <v>5</v>
      </c>
      <c r="V229" s="4" t="n">
        <v>6</v>
      </c>
      <c r="W229" s="4" t="n">
        <v>3</v>
      </c>
      <c r="X229" s="4" t="n">
        <v>5</v>
      </c>
      <c r="Y229" s="4" t="n">
        <v>3</v>
      </c>
      <c r="Z229" s="4" t="n">
        <v>8</v>
      </c>
      <c r="AA229" s="4" t="n">
        <v>4</v>
      </c>
      <c r="AB229" s="4" t="n">
        <v>0</v>
      </c>
      <c r="AC229" s="4" t="n">
        <v>3</v>
      </c>
      <c r="AD229" s="4" t="n">
        <v>0</v>
      </c>
      <c r="AE229" s="8" t="n">
        <f aca="false">COUNTIF(F229:AD229,"&lt;=0")</f>
        <v>3</v>
      </c>
    </row>
    <row r="230" customFormat="false" ht="15" hidden="false" customHeight="false" outlineLevel="0" collapsed="false">
      <c r="A230" s="8" t="s">
        <v>129</v>
      </c>
      <c r="B230" s="8" t="s">
        <v>20</v>
      </c>
      <c r="C230" s="8" t="n">
        <v>102385</v>
      </c>
      <c r="D230" s="8" t="s">
        <v>620</v>
      </c>
      <c r="E230" s="4" t="n">
        <v>0</v>
      </c>
      <c r="F230" s="4" t="n">
        <v>3</v>
      </c>
      <c r="G230" s="4" t="n">
        <v>7</v>
      </c>
      <c r="H230" s="4" t="n">
        <v>4</v>
      </c>
      <c r="I230" s="4" t="n">
        <v>6</v>
      </c>
      <c r="J230" s="4" t="n">
        <v>6</v>
      </c>
      <c r="K230" s="4" t="n">
        <v>9</v>
      </c>
      <c r="L230" s="4" t="n">
        <v>8</v>
      </c>
      <c r="M230" s="4" t="n">
        <v>8</v>
      </c>
      <c r="N230" s="4" t="n">
        <v>7</v>
      </c>
      <c r="O230" s="4" t="n">
        <v>6</v>
      </c>
      <c r="P230" s="4" t="n">
        <v>6</v>
      </c>
      <c r="Q230" s="4" t="n">
        <v>5</v>
      </c>
      <c r="R230" s="4" t="n">
        <v>7</v>
      </c>
      <c r="S230" s="4" t="n">
        <v>7</v>
      </c>
      <c r="T230" s="4" t="n">
        <v>6</v>
      </c>
      <c r="U230" s="4" t="n">
        <v>7</v>
      </c>
      <c r="V230" s="4" t="n">
        <v>6</v>
      </c>
      <c r="W230" s="4" t="n">
        <v>7</v>
      </c>
      <c r="X230" s="4" t="n">
        <v>3</v>
      </c>
      <c r="Y230" s="4" t="n">
        <v>2</v>
      </c>
      <c r="Z230" s="4" t="n">
        <v>8</v>
      </c>
      <c r="AA230" s="4" t="n">
        <v>6</v>
      </c>
      <c r="AB230" s="4" t="n">
        <v>0</v>
      </c>
      <c r="AC230" s="4" t="n">
        <v>9</v>
      </c>
      <c r="AD230" s="4" t="n">
        <v>0</v>
      </c>
      <c r="AE230" s="8" t="n">
        <f aca="false">COUNTIF(F230:AD230,"&lt;=0")</f>
        <v>2</v>
      </c>
    </row>
    <row r="231" customFormat="false" ht="15" hidden="false" customHeight="false" outlineLevel="0" collapsed="false">
      <c r="A231" s="8" t="s">
        <v>129</v>
      </c>
      <c r="B231" s="8" t="s">
        <v>20</v>
      </c>
      <c r="C231" s="8" t="n">
        <v>102195</v>
      </c>
      <c r="D231" s="8" t="s">
        <v>461</v>
      </c>
      <c r="E231" s="4" t="n">
        <v>4</v>
      </c>
      <c r="F231" s="4" t="n">
        <v>3</v>
      </c>
      <c r="G231" s="4" t="n">
        <v>3</v>
      </c>
      <c r="H231" s="4" t="n">
        <v>2</v>
      </c>
      <c r="I231" s="4" t="n">
        <v>4</v>
      </c>
      <c r="J231" s="4" t="n">
        <v>6</v>
      </c>
      <c r="K231" s="4" t="n">
        <v>6</v>
      </c>
      <c r="L231" s="4" t="n">
        <v>5</v>
      </c>
      <c r="M231" s="4" t="n">
        <v>4</v>
      </c>
      <c r="N231" s="4" t="n">
        <v>5</v>
      </c>
      <c r="O231" s="4" t="n">
        <v>5</v>
      </c>
      <c r="P231" s="4" t="n">
        <v>5</v>
      </c>
      <c r="Q231" s="4" t="n">
        <v>6</v>
      </c>
      <c r="R231" s="4" t="n">
        <v>7</v>
      </c>
      <c r="S231" s="4" t="n">
        <v>5</v>
      </c>
      <c r="T231" s="4" t="n">
        <v>6</v>
      </c>
      <c r="U231" s="4" t="n">
        <v>4</v>
      </c>
      <c r="V231" s="4" t="n">
        <v>2</v>
      </c>
      <c r="W231" s="4" t="n">
        <v>5</v>
      </c>
      <c r="X231" s="4" t="n">
        <v>6</v>
      </c>
      <c r="Y231" s="4" t="n">
        <v>4</v>
      </c>
      <c r="Z231" s="4" t="n">
        <v>5</v>
      </c>
      <c r="AA231" s="4" t="n">
        <v>5</v>
      </c>
      <c r="AB231" s="4" t="n">
        <v>0</v>
      </c>
      <c r="AC231" s="4" t="n">
        <v>8</v>
      </c>
      <c r="AD231" s="4" t="n">
        <v>0</v>
      </c>
      <c r="AE231" s="8" t="n">
        <f aca="false">COUNTIF(F231:AD231,"&lt;=0")</f>
        <v>2</v>
      </c>
    </row>
    <row r="232" customFormat="false" ht="15" hidden="false" customHeight="false" outlineLevel="0" collapsed="false">
      <c r="A232" s="8" t="s">
        <v>129</v>
      </c>
      <c r="B232" s="8" t="s">
        <v>20</v>
      </c>
      <c r="C232" s="8" t="n">
        <v>102194</v>
      </c>
      <c r="D232" s="8" t="s">
        <v>451</v>
      </c>
      <c r="E232" s="4" t="n">
        <v>14</v>
      </c>
      <c r="F232" s="4" t="n">
        <v>6</v>
      </c>
      <c r="G232" s="4" t="n">
        <v>2</v>
      </c>
      <c r="H232" s="4" t="n">
        <v>3</v>
      </c>
      <c r="I232" s="4" t="n">
        <v>4</v>
      </c>
      <c r="J232" s="4" t="n">
        <v>6</v>
      </c>
      <c r="K232" s="4" t="n">
        <v>6</v>
      </c>
      <c r="L232" s="4" t="n">
        <v>5</v>
      </c>
      <c r="M232" s="4" t="n">
        <v>3</v>
      </c>
      <c r="N232" s="4" t="n">
        <v>2</v>
      </c>
      <c r="O232" s="4" t="n">
        <v>7</v>
      </c>
      <c r="P232" s="4" t="n">
        <v>4</v>
      </c>
      <c r="Q232" s="4" t="n">
        <v>3</v>
      </c>
      <c r="R232" s="4" t="n">
        <v>5</v>
      </c>
      <c r="S232" s="4" t="n">
        <v>5</v>
      </c>
      <c r="T232" s="4" t="n">
        <v>6</v>
      </c>
      <c r="U232" s="4" t="n">
        <v>5</v>
      </c>
      <c r="V232" s="4" t="n">
        <v>4</v>
      </c>
      <c r="W232" s="4" t="n">
        <v>2</v>
      </c>
      <c r="X232" s="4" t="n">
        <v>6</v>
      </c>
      <c r="Y232" s="4" t="n">
        <v>2</v>
      </c>
      <c r="Z232" s="4" t="n">
        <v>4</v>
      </c>
      <c r="AA232" s="4" t="n">
        <v>4</v>
      </c>
      <c r="AB232" s="4" t="n">
        <v>0</v>
      </c>
      <c r="AC232" s="4" t="n">
        <v>7</v>
      </c>
      <c r="AD232" s="4" t="n">
        <v>0</v>
      </c>
      <c r="AE232" s="8" t="n">
        <f aca="false">COUNTIF(F232:AD232,"&lt;=0")</f>
        <v>2</v>
      </c>
    </row>
    <row r="233" customFormat="false" ht="15" hidden="false" customHeight="false" outlineLevel="0" collapsed="false">
      <c r="A233" s="8" t="s">
        <v>175</v>
      </c>
      <c r="B233" s="8" t="s">
        <v>20</v>
      </c>
      <c r="C233" s="8" t="n">
        <v>100060</v>
      </c>
      <c r="D233" s="8" t="s">
        <v>621</v>
      </c>
      <c r="E233" s="4" t="n">
        <v>0</v>
      </c>
      <c r="F233" s="4" t="n">
        <v>6</v>
      </c>
      <c r="G233" s="4" t="n">
        <v>5</v>
      </c>
      <c r="H233" s="4" t="n">
        <v>12</v>
      </c>
      <c r="I233" s="4" t="n">
        <v>8</v>
      </c>
      <c r="J233" s="4" t="n">
        <v>9</v>
      </c>
      <c r="K233" s="4" t="n">
        <v>3</v>
      </c>
      <c r="L233" s="4" t="n">
        <v>8</v>
      </c>
      <c r="M233" s="4" t="n">
        <v>10</v>
      </c>
      <c r="N233" s="4" t="n">
        <v>7</v>
      </c>
      <c r="O233" s="4" t="n">
        <v>12</v>
      </c>
      <c r="P233" s="4" t="n">
        <v>5</v>
      </c>
      <c r="Q233" s="4" t="n">
        <v>8</v>
      </c>
      <c r="R233" s="4" t="n">
        <v>4</v>
      </c>
      <c r="S233" s="4" t="n">
        <v>13</v>
      </c>
      <c r="T233" s="4" t="n">
        <v>4</v>
      </c>
      <c r="U233" s="4" t="n">
        <v>10</v>
      </c>
      <c r="V233" s="4" t="n">
        <v>5</v>
      </c>
      <c r="W233" s="4" t="n">
        <v>5</v>
      </c>
      <c r="X233" s="4" t="n">
        <v>4</v>
      </c>
      <c r="Y233" s="4" t="n">
        <v>8</v>
      </c>
      <c r="Z233" s="4" t="n">
        <v>4</v>
      </c>
      <c r="AA233" s="4" t="n">
        <v>4</v>
      </c>
      <c r="AB233" s="4" t="n">
        <v>0</v>
      </c>
      <c r="AC233" s="4" t="n">
        <v>7</v>
      </c>
      <c r="AD233" s="4" t="n">
        <v>11</v>
      </c>
      <c r="AE233" s="8" t="n">
        <f aca="false">COUNTIF(F233:AD233,"&lt;=0")</f>
        <v>1</v>
      </c>
    </row>
    <row r="234" customFormat="false" ht="15" hidden="false" customHeight="false" outlineLevel="0" collapsed="false">
      <c r="A234" s="8" t="s">
        <v>175</v>
      </c>
      <c r="B234" s="8" t="s">
        <v>20</v>
      </c>
      <c r="C234" s="8" t="n">
        <v>100058</v>
      </c>
      <c r="D234" s="8" t="s">
        <v>622</v>
      </c>
      <c r="E234" s="4" t="n">
        <v>0</v>
      </c>
      <c r="F234" s="4" t="n">
        <v>5</v>
      </c>
      <c r="G234" s="4" t="n">
        <v>7</v>
      </c>
      <c r="H234" s="4" t="n">
        <v>7</v>
      </c>
      <c r="I234" s="4" t="n">
        <v>13</v>
      </c>
      <c r="J234" s="4" t="n">
        <v>12</v>
      </c>
      <c r="K234" s="4" t="n">
        <v>19</v>
      </c>
      <c r="L234" s="4" t="n">
        <v>7</v>
      </c>
      <c r="M234" s="4" t="n">
        <v>7</v>
      </c>
      <c r="N234" s="4" t="n">
        <v>4</v>
      </c>
      <c r="O234" s="4" t="n">
        <v>7</v>
      </c>
      <c r="P234" s="4" t="n">
        <v>0</v>
      </c>
      <c r="Q234" s="4" t="n">
        <v>5</v>
      </c>
      <c r="R234" s="4" t="n">
        <v>7</v>
      </c>
      <c r="S234" s="4" t="n">
        <v>8</v>
      </c>
      <c r="T234" s="4" t="n">
        <v>9</v>
      </c>
      <c r="U234" s="4" t="n">
        <v>8</v>
      </c>
      <c r="V234" s="4" t="n">
        <v>9</v>
      </c>
      <c r="W234" s="4" t="n">
        <v>4</v>
      </c>
      <c r="X234" s="4" t="n">
        <v>4</v>
      </c>
      <c r="Y234" s="4" t="n">
        <v>5</v>
      </c>
      <c r="Z234" s="4" t="n">
        <v>9</v>
      </c>
      <c r="AA234" s="4" t="n">
        <v>6</v>
      </c>
      <c r="AB234" s="4" t="n">
        <v>0</v>
      </c>
      <c r="AC234" s="4" t="n">
        <v>5</v>
      </c>
      <c r="AD234" s="4" t="n">
        <v>6</v>
      </c>
      <c r="AE234" s="8" t="n">
        <f aca="false">COUNTIF(F234:AD234,"&lt;=0")</f>
        <v>2</v>
      </c>
    </row>
    <row r="235" customFormat="false" ht="15" hidden="false" customHeight="false" outlineLevel="0" collapsed="false">
      <c r="A235" s="8" t="s">
        <v>175</v>
      </c>
      <c r="B235" s="8" t="s">
        <v>20</v>
      </c>
      <c r="C235" s="8" t="n">
        <v>100059</v>
      </c>
      <c r="D235" s="8" t="s">
        <v>623</v>
      </c>
      <c r="E235" s="4" t="n">
        <v>0</v>
      </c>
      <c r="F235" s="4" t="n">
        <v>6</v>
      </c>
      <c r="G235" s="4" t="n">
        <v>5</v>
      </c>
      <c r="H235" s="4" t="n">
        <v>6</v>
      </c>
      <c r="I235" s="4" t="n">
        <v>3</v>
      </c>
      <c r="J235" s="4" t="n">
        <v>1</v>
      </c>
      <c r="K235" s="4" t="n">
        <v>9</v>
      </c>
      <c r="L235" s="4" t="n">
        <v>2</v>
      </c>
      <c r="M235" s="4" t="n">
        <v>7</v>
      </c>
      <c r="N235" s="4" t="n">
        <v>7</v>
      </c>
      <c r="O235" s="4" t="n">
        <v>8</v>
      </c>
      <c r="P235" s="4" t="n">
        <v>1</v>
      </c>
      <c r="Q235" s="4" t="n">
        <v>3</v>
      </c>
      <c r="R235" s="4" t="n">
        <v>1</v>
      </c>
      <c r="S235" s="4" t="n">
        <v>1</v>
      </c>
      <c r="T235" s="4" t="n">
        <v>5</v>
      </c>
      <c r="U235" s="4" t="n">
        <v>2</v>
      </c>
      <c r="V235" s="4" t="n">
        <v>3</v>
      </c>
      <c r="W235" s="4" t="n">
        <v>4</v>
      </c>
      <c r="X235" s="4" t="n">
        <v>4</v>
      </c>
      <c r="Y235" s="4" t="n">
        <v>3</v>
      </c>
      <c r="Z235" s="4" t="n">
        <v>5</v>
      </c>
      <c r="AA235" s="4" t="n">
        <v>4</v>
      </c>
      <c r="AB235" s="4" t="n">
        <v>0</v>
      </c>
      <c r="AC235" s="4" t="n">
        <v>4</v>
      </c>
      <c r="AD235" s="4" t="n">
        <v>10</v>
      </c>
      <c r="AE235" s="8" t="n">
        <f aca="false">COUNTIF(F235:AD235,"&lt;=0")</f>
        <v>1</v>
      </c>
    </row>
    <row r="236" customFormat="false" ht="15" hidden="false" customHeight="false" outlineLevel="0" collapsed="false">
      <c r="A236" s="8" t="s">
        <v>127</v>
      </c>
      <c r="B236" s="8" t="s">
        <v>20</v>
      </c>
      <c r="C236" s="8" t="n">
        <v>230559</v>
      </c>
      <c r="D236" s="8" t="s">
        <v>624</v>
      </c>
      <c r="E236" s="4" t="n">
        <v>0</v>
      </c>
      <c r="F236" s="4" t="n">
        <v>6</v>
      </c>
      <c r="G236" s="4" t="n">
        <v>5</v>
      </c>
      <c r="H236" s="4" t="n">
        <v>5</v>
      </c>
      <c r="I236" s="4" t="n">
        <v>5</v>
      </c>
      <c r="J236" s="4" t="n">
        <v>4</v>
      </c>
      <c r="K236" s="4" t="n">
        <v>9</v>
      </c>
      <c r="L236" s="4" t="n">
        <v>6</v>
      </c>
      <c r="M236" s="4" t="n">
        <v>5</v>
      </c>
      <c r="N236" s="4" t="n">
        <v>5</v>
      </c>
      <c r="O236" s="4" t="n">
        <v>8</v>
      </c>
      <c r="P236" s="4" t="n">
        <v>6</v>
      </c>
      <c r="Q236" s="4" t="n">
        <v>6</v>
      </c>
      <c r="R236" s="4" t="n">
        <v>4</v>
      </c>
      <c r="S236" s="4" t="n">
        <v>3</v>
      </c>
      <c r="T236" s="4" t="n">
        <v>3</v>
      </c>
      <c r="U236" s="4" t="n">
        <v>4</v>
      </c>
      <c r="V236" s="4" t="n">
        <v>4</v>
      </c>
      <c r="W236" s="4" t="n">
        <v>5</v>
      </c>
      <c r="X236" s="4" t="n">
        <v>3</v>
      </c>
      <c r="Y236" s="4" t="n">
        <v>2</v>
      </c>
      <c r="Z236" s="4" t="n">
        <v>2</v>
      </c>
      <c r="AA236" s="4" t="n">
        <v>3</v>
      </c>
      <c r="AB236" s="4" t="n">
        <v>0</v>
      </c>
      <c r="AC236" s="4" t="n">
        <v>6</v>
      </c>
      <c r="AD236" s="4" t="n">
        <v>0</v>
      </c>
      <c r="AE236" s="8" t="n">
        <f aca="false">COUNTIF(F236:AD236,"&lt;=0")</f>
        <v>2</v>
      </c>
    </row>
    <row r="237" customFormat="false" ht="15" hidden="false" customHeight="false" outlineLevel="0" collapsed="false">
      <c r="A237" s="8" t="s">
        <v>127</v>
      </c>
      <c r="B237" s="8" t="s">
        <v>20</v>
      </c>
      <c r="C237" s="8" t="n">
        <v>100281</v>
      </c>
      <c r="D237" s="8" t="s">
        <v>443</v>
      </c>
      <c r="E237" s="4" t="n">
        <v>25</v>
      </c>
      <c r="F237" s="4" t="n">
        <v>0</v>
      </c>
      <c r="G237" s="4" t="n">
        <v>6</v>
      </c>
      <c r="H237" s="4" t="n">
        <v>5</v>
      </c>
      <c r="I237" s="4" t="n">
        <v>9</v>
      </c>
      <c r="J237" s="4" t="n">
        <v>9</v>
      </c>
      <c r="K237" s="4" t="n">
        <v>20</v>
      </c>
      <c r="L237" s="4" t="n">
        <v>10</v>
      </c>
      <c r="M237" s="4" t="n">
        <v>7</v>
      </c>
      <c r="N237" s="4" t="n">
        <v>7</v>
      </c>
      <c r="O237" s="4" t="n">
        <v>9</v>
      </c>
      <c r="P237" s="4" t="n">
        <v>4</v>
      </c>
      <c r="Q237" s="4" t="n">
        <v>6</v>
      </c>
      <c r="R237" s="4" t="n">
        <v>6</v>
      </c>
      <c r="S237" s="4" t="n">
        <v>9</v>
      </c>
      <c r="T237" s="4" t="n">
        <v>6</v>
      </c>
      <c r="U237" s="4" t="n">
        <v>5</v>
      </c>
      <c r="V237" s="4" t="n">
        <v>7</v>
      </c>
      <c r="W237" s="4" t="n">
        <v>7</v>
      </c>
      <c r="X237" s="4" t="n">
        <v>8</v>
      </c>
      <c r="Y237" s="4" t="n">
        <v>4</v>
      </c>
      <c r="Z237" s="4" t="n">
        <v>5</v>
      </c>
      <c r="AA237" s="4" t="n">
        <v>6</v>
      </c>
      <c r="AB237" s="4" t="n">
        <v>0</v>
      </c>
      <c r="AC237" s="4" t="n">
        <v>4</v>
      </c>
      <c r="AD237" s="4" t="n">
        <v>3</v>
      </c>
      <c r="AE237" s="8" t="n">
        <f aca="false">COUNTIF(F237:AD237,"&lt;=0")</f>
        <v>2</v>
      </c>
    </row>
    <row r="238" customFormat="false" ht="15" hidden="false" customHeight="false" outlineLevel="0" collapsed="false">
      <c r="A238" s="8" t="s">
        <v>127</v>
      </c>
      <c r="B238" s="8" t="s">
        <v>20</v>
      </c>
      <c r="C238" s="8" t="n">
        <v>231555</v>
      </c>
      <c r="D238" s="8" t="s">
        <v>625</v>
      </c>
      <c r="E238" s="4" t="n">
        <v>0</v>
      </c>
      <c r="F238" s="4" t="n">
        <v>0</v>
      </c>
      <c r="G238" s="4" t="n">
        <v>5</v>
      </c>
      <c r="H238" s="4" t="n">
        <v>6</v>
      </c>
      <c r="I238" s="4" t="n">
        <v>7</v>
      </c>
      <c r="J238" s="4" t="n">
        <v>2</v>
      </c>
      <c r="K238" s="4" t="n">
        <v>4</v>
      </c>
      <c r="L238" s="4" t="n">
        <v>3</v>
      </c>
      <c r="M238" s="4" t="n">
        <v>13</v>
      </c>
      <c r="N238" s="4" t="n">
        <v>6</v>
      </c>
      <c r="O238" s="4" t="n">
        <v>3</v>
      </c>
      <c r="P238" s="4" t="n">
        <v>5</v>
      </c>
      <c r="Q238" s="4" t="n">
        <v>9</v>
      </c>
      <c r="R238" s="4" t="n">
        <v>5</v>
      </c>
      <c r="S238" s="4" t="n">
        <v>9</v>
      </c>
      <c r="T238" s="4" t="n">
        <v>6</v>
      </c>
      <c r="U238" s="4" t="n">
        <v>4</v>
      </c>
      <c r="V238" s="4" t="n">
        <v>5</v>
      </c>
      <c r="W238" s="4" t="n">
        <v>7</v>
      </c>
      <c r="X238" s="4" t="n">
        <v>13</v>
      </c>
      <c r="Y238" s="4" t="n">
        <v>4</v>
      </c>
      <c r="Z238" s="4" t="n">
        <v>5</v>
      </c>
      <c r="AA238" s="4" t="n">
        <v>11</v>
      </c>
      <c r="AB238" s="4" t="n">
        <v>0</v>
      </c>
      <c r="AC238" s="4" t="n">
        <v>3</v>
      </c>
      <c r="AD238" s="4" t="n">
        <v>0</v>
      </c>
      <c r="AE238" s="8" t="n">
        <f aca="false">COUNTIF(F238:AD238,"&lt;=0")</f>
        <v>3</v>
      </c>
    </row>
    <row r="239" customFormat="false" ht="15" hidden="false" customHeight="false" outlineLevel="0" collapsed="false">
      <c r="A239" s="8" t="s">
        <v>150</v>
      </c>
      <c r="B239" s="8" t="s">
        <v>20</v>
      </c>
      <c r="C239" s="8" t="n">
        <v>101639</v>
      </c>
      <c r="D239" s="8" t="s">
        <v>444</v>
      </c>
      <c r="E239" s="4" t="n">
        <v>24</v>
      </c>
      <c r="F239" s="4" t="n">
        <v>12</v>
      </c>
      <c r="G239" s="4" t="n">
        <v>4</v>
      </c>
      <c r="H239" s="4" t="n">
        <v>4</v>
      </c>
      <c r="I239" s="4" t="n">
        <v>7</v>
      </c>
      <c r="J239" s="4" t="n">
        <v>5</v>
      </c>
      <c r="K239" s="4" t="n">
        <v>2</v>
      </c>
      <c r="L239" s="4" t="n">
        <v>1</v>
      </c>
      <c r="M239" s="4" t="n">
        <v>6</v>
      </c>
      <c r="N239" s="4" t="n">
        <v>1</v>
      </c>
      <c r="O239" s="4" t="n">
        <v>3</v>
      </c>
      <c r="P239" s="4" t="n">
        <v>6</v>
      </c>
      <c r="Q239" s="4" t="n">
        <v>5</v>
      </c>
      <c r="R239" s="4" t="n">
        <v>6</v>
      </c>
      <c r="S239" s="4" t="n">
        <v>2</v>
      </c>
      <c r="T239" s="4" t="n">
        <v>4</v>
      </c>
      <c r="U239" s="4" t="n">
        <v>4</v>
      </c>
      <c r="V239" s="4" t="n">
        <v>1</v>
      </c>
      <c r="W239" s="4" t="n">
        <v>4</v>
      </c>
      <c r="X239" s="4" t="n">
        <v>3</v>
      </c>
      <c r="Y239" s="4" t="n">
        <v>3</v>
      </c>
      <c r="Z239" s="4" t="n">
        <v>5</v>
      </c>
      <c r="AA239" s="4" t="n">
        <v>3</v>
      </c>
      <c r="AB239" s="4" t="n">
        <v>0</v>
      </c>
      <c r="AC239" s="4" t="n">
        <v>7</v>
      </c>
      <c r="AD239" s="4" t="n">
        <v>0</v>
      </c>
      <c r="AE239" s="8" t="n">
        <f aca="false">COUNTIF(F239:AD239,"&lt;=0")</f>
        <v>2</v>
      </c>
    </row>
    <row r="240" customFormat="false" ht="15" hidden="false" customHeight="false" outlineLevel="0" collapsed="false">
      <c r="A240" s="8" t="s">
        <v>150</v>
      </c>
      <c r="B240" s="8" t="s">
        <v>20</v>
      </c>
      <c r="C240" s="8" t="n">
        <v>102381</v>
      </c>
      <c r="D240" s="8" t="s">
        <v>449</v>
      </c>
      <c r="E240" s="4" t="n">
        <v>19</v>
      </c>
      <c r="F240" s="4" t="n">
        <v>2</v>
      </c>
      <c r="G240" s="4" t="n">
        <v>6</v>
      </c>
      <c r="H240" s="4" t="n">
        <v>3</v>
      </c>
      <c r="I240" s="4" t="n">
        <v>9</v>
      </c>
      <c r="J240" s="4" t="n">
        <v>5</v>
      </c>
      <c r="K240" s="4" t="n">
        <v>5</v>
      </c>
      <c r="L240" s="4" t="n">
        <v>4</v>
      </c>
      <c r="M240" s="4" t="n">
        <v>10</v>
      </c>
      <c r="N240" s="4" t="n">
        <v>3</v>
      </c>
      <c r="O240" s="4" t="n">
        <v>3</v>
      </c>
      <c r="P240" s="4" t="n">
        <v>8</v>
      </c>
      <c r="Q240" s="4" t="n">
        <v>5</v>
      </c>
      <c r="R240" s="4" t="n">
        <v>4</v>
      </c>
      <c r="S240" s="4" t="n">
        <v>4</v>
      </c>
      <c r="T240" s="4" t="n">
        <v>6</v>
      </c>
      <c r="U240" s="4" t="n">
        <v>9</v>
      </c>
      <c r="V240" s="4" t="n">
        <v>4</v>
      </c>
      <c r="W240" s="4" t="n">
        <v>5</v>
      </c>
      <c r="X240" s="4" t="n">
        <v>5</v>
      </c>
      <c r="Y240" s="4" t="n">
        <v>5</v>
      </c>
      <c r="Z240" s="4" t="n">
        <v>4</v>
      </c>
      <c r="AA240" s="4" t="n">
        <v>3</v>
      </c>
      <c r="AB240" s="4" t="n">
        <v>0</v>
      </c>
      <c r="AC240" s="4" t="n">
        <v>5</v>
      </c>
      <c r="AD240" s="4" t="n">
        <v>0</v>
      </c>
      <c r="AE240" s="8" t="n">
        <f aca="false">COUNTIF(F240:AD240,"&lt;=0")</f>
        <v>2</v>
      </c>
    </row>
    <row r="241" customFormat="false" ht="15" hidden="false" customHeight="false" outlineLevel="0" collapsed="false">
      <c r="A241" s="8" t="s">
        <v>150</v>
      </c>
      <c r="B241" s="8" t="s">
        <v>20</v>
      </c>
      <c r="C241" s="8" t="n">
        <v>102301</v>
      </c>
      <c r="D241" s="8" t="s">
        <v>422</v>
      </c>
      <c r="E241" s="4" t="n">
        <v>4</v>
      </c>
      <c r="F241" s="4" t="n">
        <v>6</v>
      </c>
      <c r="G241" s="4" t="n">
        <v>10</v>
      </c>
      <c r="H241" s="4" t="n">
        <v>3</v>
      </c>
      <c r="I241" s="4" t="n">
        <v>5</v>
      </c>
      <c r="J241" s="4" t="n">
        <v>6</v>
      </c>
      <c r="K241" s="4" t="n">
        <v>24</v>
      </c>
      <c r="L241" s="4" t="n">
        <v>5</v>
      </c>
      <c r="M241" s="4" t="n">
        <v>12</v>
      </c>
      <c r="N241" s="4" t="n">
        <v>2</v>
      </c>
      <c r="O241" s="4" t="n">
        <v>5</v>
      </c>
      <c r="P241" s="4" t="n">
        <v>5</v>
      </c>
      <c r="Q241" s="4" t="n">
        <v>4</v>
      </c>
      <c r="R241" s="4" t="n">
        <v>3</v>
      </c>
      <c r="S241" s="4" t="n">
        <v>3</v>
      </c>
      <c r="T241" s="4" t="n">
        <v>3</v>
      </c>
      <c r="U241" s="4" t="n">
        <v>7</v>
      </c>
      <c r="V241" s="4" t="n">
        <v>4</v>
      </c>
      <c r="W241" s="4" t="n">
        <v>0</v>
      </c>
      <c r="X241" s="4" t="n">
        <v>2</v>
      </c>
      <c r="Y241" s="4" t="n">
        <v>4</v>
      </c>
      <c r="Z241" s="4" t="n">
        <v>1</v>
      </c>
      <c r="AA241" s="4" t="n">
        <v>2</v>
      </c>
      <c r="AB241" s="4" t="n">
        <v>0</v>
      </c>
      <c r="AC241" s="4" t="n">
        <v>1</v>
      </c>
      <c r="AD241" s="4" t="n">
        <v>0</v>
      </c>
      <c r="AE241" s="8" t="n">
        <f aca="false">COUNTIF(F241:AD241,"&lt;=0")</f>
        <v>3</v>
      </c>
    </row>
    <row r="242" customFormat="false" ht="15" hidden="false" customHeight="false" outlineLevel="0" collapsed="false">
      <c r="A242" s="8" t="s">
        <v>141</v>
      </c>
      <c r="B242" s="8" t="s">
        <v>20</v>
      </c>
      <c r="C242" s="8" t="n">
        <v>102417</v>
      </c>
      <c r="D242" s="8" t="s">
        <v>360</v>
      </c>
      <c r="E242" s="4" t="n">
        <v>3</v>
      </c>
      <c r="F242" s="4" t="n">
        <v>0</v>
      </c>
      <c r="G242" s="4" t="n">
        <v>5</v>
      </c>
      <c r="H242" s="4" t="n">
        <v>4</v>
      </c>
      <c r="I242" s="4" t="n">
        <v>7</v>
      </c>
      <c r="J242" s="4" t="n">
        <v>6</v>
      </c>
      <c r="K242" s="4" t="n">
        <v>5</v>
      </c>
      <c r="L242" s="4" t="n">
        <v>4</v>
      </c>
      <c r="M242" s="4" t="n">
        <v>2</v>
      </c>
      <c r="N242" s="4" t="n">
        <v>3</v>
      </c>
      <c r="O242" s="4" t="n">
        <v>4</v>
      </c>
      <c r="P242" s="4" t="n">
        <v>4</v>
      </c>
      <c r="Q242" s="4" t="n">
        <v>3</v>
      </c>
      <c r="R242" s="4" t="n">
        <v>2</v>
      </c>
      <c r="S242" s="4" t="n">
        <v>3</v>
      </c>
      <c r="T242" s="4" t="n">
        <v>2</v>
      </c>
      <c r="U242" s="4" t="n">
        <v>6</v>
      </c>
      <c r="V242" s="4" t="n">
        <v>4</v>
      </c>
      <c r="W242" s="4" t="n">
        <v>3</v>
      </c>
      <c r="X242" s="4" t="n">
        <v>3</v>
      </c>
      <c r="Y242" s="4" t="n">
        <v>1</v>
      </c>
      <c r="Z242" s="4" t="n">
        <v>3</v>
      </c>
      <c r="AA242" s="4" t="n">
        <v>1</v>
      </c>
      <c r="AB242" s="4" t="n">
        <v>0</v>
      </c>
      <c r="AC242" s="4" t="n">
        <v>0</v>
      </c>
      <c r="AD242" s="4" t="n">
        <v>0</v>
      </c>
      <c r="AE242" s="8" t="n">
        <f aca="false">COUNTIF(F242:AD242,"&lt;=0")</f>
        <v>4</v>
      </c>
    </row>
    <row r="243" customFormat="false" ht="15" hidden="false" customHeight="false" outlineLevel="0" collapsed="false">
      <c r="A243" s="8" t="s">
        <v>141</v>
      </c>
      <c r="B243" s="8" t="s">
        <v>20</v>
      </c>
      <c r="C243" s="8" t="n">
        <v>102416</v>
      </c>
      <c r="D243" s="8" t="s">
        <v>626</v>
      </c>
      <c r="E243" s="4" t="n">
        <v>0</v>
      </c>
      <c r="F243" s="4" t="n">
        <v>3</v>
      </c>
      <c r="G243" s="4" t="n">
        <v>3</v>
      </c>
      <c r="H243" s="4" t="n">
        <v>3</v>
      </c>
      <c r="I243" s="4" t="n">
        <v>4</v>
      </c>
      <c r="J243" s="4" t="n">
        <v>2</v>
      </c>
      <c r="K243" s="4" t="n">
        <v>5</v>
      </c>
      <c r="L243" s="4" t="n">
        <v>5</v>
      </c>
      <c r="M243" s="4" t="n">
        <v>4</v>
      </c>
      <c r="N243" s="4" t="n">
        <v>7</v>
      </c>
      <c r="O243" s="4" t="n">
        <v>5</v>
      </c>
      <c r="P243" s="4" t="n">
        <v>4</v>
      </c>
      <c r="Q243" s="4" t="n">
        <v>3</v>
      </c>
      <c r="R243" s="4" t="n">
        <v>3</v>
      </c>
      <c r="S243" s="4" t="n">
        <v>0</v>
      </c>
      <c r="T243" s="4" t="n">
        <v>3</v>
      </c>
      <c r="U243" s="4" t="n">
        <v>5</v>
      </c>
      <c r="V243" s="4" t="n">
        <v>2</v>
      </c>
      <c r="W243" s="4" t="n">
        <v>3</v>
      </c>
      <c r="X243" s="4" t="n">
        <v>3</v>
      </c>
      <c r="Y243" s="4" t="n">
        <v>2</v>
      </c>
      <c r="Z243" s="4" t="n">
        <v>2</v>
      </c>
      <c r="AA243" s="4" t="n">
        <v>2</v>
      </c>
      <c r="AB243" s="4" t="n">
        <v>0</v>
      </c>
      <c r="AC243" s="4" t="n">
        <v>1</v>
      </c>
      <c r="AD243" s="4" t="n">
        <v>0</v>
      </c>
      <c r="AE243" s="8" t="n">
        <f aca="false">COUNTIF(F243:AD243,"&lt;=0")</f>
        <v>3</v>
      </c>
    </row>
    <row r="244" customFormat="false" ht="15" hidden="false" customHeight="false" outlineLevel="0" collapsed="false">
      <c r="A244" s="8" t="s">
        <v>141</v>
      </c>
      <c r="B244" s="8" t="s">
        <v>20</v>
      </c>
      <c r="C244" s="8" t="n">
        <v>102386</v>
      </c>
      <c r="D244" s="8" t="s">
        <v>463</v>
      </c>
      <c r="E244" s="4" t="n">
        <v>3</v>
      </c>
      <c r="F244" s="4" t="n">
        <v>6</v>
      </c>
      <c r="G244" s="4" t="n">
        <v>7</v>
      </c>
      <c r="H244" s="4" t="n">
        <v>8</v>
      </c>
      <c r="I244" s="4" t="n">
        <v>7</v>
      </c>
      <c r="J244" s="4" t="n">
        <v>4</v>
      </c>
      <c r="K244" s="4" t="n">
        <v>7</v>
      </c>
      <c r="L244" s="4" t="n">
        <v>6</v>
      </c>
      <c r="M244" s="4" t="n">
        <v>5</v>
      </c>
      <c r="N244" s="4" t="n">
        <v>5</v>
      </c>
      <c r="O244" s="4" t="n">
        <v>7</v>
      </c>
      <c r="P244" s="4" t="n">
        <v>7</v>
      </c>
      <c r="Q244" s="4" t="n">
        <v>5</v>
      </c>
      <c r="R244" s="4" t="n">
        <v>8</v>
      </c>
      <c r="S244" s="4" t="n">
        <v>6</v>
      </c>
      <c r="T244" s="4" t="n">
        <v>8</v>
      </c>
      <c r="U244" s="4" t="n">
        <v>7</v>
      </c>
      <c r="V244" s="4" t="n">
        <v>7</v>
      </c>
      <c r="W244" s="4" t="n">
        <v>3</v>
      </c>
      <c r="X244" s="4" t="n">
        <v>6</v>
      </c>
      <c r="Y244" s="4" t="n">
        <v>2</v>
      </c>
      <c r="Z244" s="4" t="n">
        <v>5</v>
      </c>
      <c r="AA244" s="4" t="n">
        <v>5</v>
      </c>
      <c r="AB244" s="4" t="n">
        <v>0</v>
      </c>
      <c r="AC244" s="4" t="n">
        <v>6</v>
      </c>
      <c r="AD244" s="4" t="n">
        <v>0</v>
      </c>
      <c r="AE244" s="8" t="n">
        <f aca="false">COUNTIF(F244:AD244,"&lt;=0")</f>
        <v>2</v>
      </c>
    </row>
    <row r="245" customFormat="false" ht="15" hidden="false" customHeight="false" outlineLevel="0" collapsed="false">
      <c r="A245" s="8" t="s">
        <v>141</v>
      </c>
      <c r="B245" s="8" t="s">
        <v>20</v>
      </c>
      <c r="C245" s="8" t="n">
        <v>102415</v>
      </c>
      <c r="D245" s="8" t="s">
        <v>627</v>
      </c>
      <c r="E245" s="4" t="n">
        <v>0</v>
      </c>
      <c r="F245" s="4" t="n">
        <v>6</v>
      </c>
      <c r="G245" s="4" t="n">
        <v>4</v>
      </c>
      <c r="H245" s="4" t="n">
        <v>4</v>
      </c>
      <c r="I245" s="4" t="n">
        <v>5</v>
      </c>
      <c r="J245" s="4" t="n">
        <v>3</v>
      </c>
      <c r="K245" s="4" t="n">
        <v>5</v>
      </c>
      <c r="L245" s="4" t="n">
        <v>6</v>
      </c>
      <c r="M245" s="4" t="n">
        <v>5</v>
      </c>
      <c r="N245" s="4" t="n">
        <v>4</v>
      </c>
      <c r="O245" s="4" t="n">
        <v>6</v>
      </c>
      <c r="P245" s="4" t="n">
        <v>3</v>
      </c>
      <c r="Q245" s="4" t="n">
        <v>3</v>
      </c>
      <c r="R245" s="4" t="n">
        <v>3</v>
      </c>
      <c r="S245" s="4" t="n">
        <v>2</v>
      </c>
      <c r="T245" s="4" t="n">
        <v>3</v>
      </c>
      <c r="U245" s="4" t="n">
        <v>6</v>
      </c>
      <c r="V245" s="4" t="n">
        <v>3</v>
      </c>
      <c r="W245" s="4" t="n">
        <v>3</v>
      </c>
      <c r="X245" s="4" t="n">
        <v>3</v>
      </c>
      <c r="Y245" s="4" t="n">
        <v>2</v>
      </c>
      <c r="Z245" s="4" t="n">
        <v>0</v>
      </c>
      <c r="AA245" s="4" t="n">
        <v>-1</v>
      </c>
      <c r="AB245" s="4" t="n">
        <v>0</v>
      </c>
      <c r="AC245" s="4" t="n">
        <v>0</v>
      </c>
      <c r="AD245" s="4" t="n">
        <v>0</v>
      </c>
      <c r="AE245" s="8" t="n">
        <f aca="false">COUNTIF(F245:AD245,"&lt;=0")</f>
        <v>5</v>
      </c>
    </row>
    <row r="246" customFormat="false" ht="15" hidden="false" customHeight="false" outlineLevel="0" collapsed="false">
      <c r="A246" s="8" t="s">
        <v>154</v>
      </c>
      <c r="B246" s="8" t="s">
        <v>20</v>
      </c>
      <c r="C246" s="8" t="n">
        <v>102419</v>
      </c>
      <c r="D246" s="8" t="s">
        <v>628</v>
      </c>
      <c r="E246" s="4" t="n">
        <v>0</v>
      </c>
      <c r="F246" s="4" t="n">
        <v>0</v>
      </c>
      <c r="G246" s="4" t="n">
        <v>6</v>
      </c>
      <c r="H246" s="4" t="n">
        <v>6</v>
      </c>
      <c r="I246" s="4" t="n">
        <v>6</v>
      </c>
      <c r="J246" s="4" t="n">
        <v>4</v>
      </c>
      <c r="K246" s="4" t="n">
        <v>5</v>
      </c>
      <c r="L246" s="4" t="n">
        <v>7</v>
      </c>
      <c r="M246" s="4" t="n">
        <v>5</v>
      </c>
      <c r="N246" s="4" t="n">
        <v>3</v>
      </c>
      <c r="O246" s="4" t="n">
        <v>6</v>
      </c>
      <c r="P246" s="4" t="n">
        <v>6</v>
      </c>
      <c r="Q246" s="4" t="n">
        <v>4</v>
      </c>
      <c r="R246" s="4" t="n">
        <v>3</v>
      </c>
      <c r="S246" s="4" t="n">
        <v>4</v>
      </c>
      <c r="T246" s="4" t="n">
        <v>3</v>
      </c>
      <c r="U246" s="4" t="n">
        <v>5</v>
      </c>
      <c r="V246" s="4" t="n">
        <v>3</v>
      </c>
      <c r="W246" s="4" t="n">
        <v>0</v>
      </c>
      <c r="X246" s="4" t="n">
        <v>3</v>
      </c>
      <c r="Y246" s="4" t="n">
        <v>0</v>
      </c>
      <c r="Z246" s="4" t="n">
        <v>0</v>
      </c>
      <c r="AA246" s="4" t="n">
        <v>0</v>
      </c>
      <c r="AB246" s="4" t="n">
        <v>0</v>
      </c>
      <c r="AC246" s="4" t="n">
        <v>1</v>
      </c>
      <c r="AD246" s="4" t="n">
        <v>0</v>
      </c>
      <c r="AE246" s="8" t="n">
        <f aca="false">COUNTIF(F246:AD246,"&lt;=0")</f>
        <v>7</v>
      </c>
    </row>
    <row r="247" customFormat="false" ht="15" hidden="false" customHeight="false" outlineLevel="0" collapsed="false">
      <c r="A247" s="8" t="s">
        <v>154</v>
      </c>
      <c r="B247" s="8" t="s">
        <v>20</v>
      </c>
      <c r="C247" s="8" t="n">
        <v>102414</v>
      </c>
      <c r="D247" s="8" t="s">
        <v>629</v>
      </c>
      <c r="E247" s="4" t="n">
        <v>0</v>
      </c>
      <c r="F247" s="4" t="n">
        <v>3</v>
      </c>
      <c r="G247" s="4" t="n">
        <v>5</v>
      </c>
      <c r="H247" s="4" t="n">
        <v>2</v>
      </c>
      <c r="I247" s="4" t="n">
        <v>4</v>
      </c>
      <c r="J247" s="4" t="n">
        <v>4</v>
      </c>
      <c r="K247" s="4" t="n">
        <v>6</v>
      </c>
      <c r="L247" s="4" t="n">
        <v>5</v>
      </c>
      <c r="M247" s="4" t="n">
        <v>5</v>
      </c>
      <c r="N247" s="4" t="n">
        <v>2</v>
      </c>
      <c r="O247" s="4" t="n">
        <v>5</v>
      </c>
      <c r="P247" s="4" t="n">
        <v>6</v>
      </c>
      <c r="Q247" s="4" t="n">
        <v>2</v>
      </c>
      <c r="R247" s="4" t="n">
        <v>2</v>
      </c>
      <c r="S247" s="4" t="n">
        <v>3</v>
      </c>
      <c r="T247" s="4" t="n">
        <v>3</v>
      </c>
      <c r="U247" s="4" t="n">
        <v>6</v>
      </c>
      <c r="V247" s="4" t="n">
        <v>1</v>
      </c>
      <c r="W247" s="4" t="n">
        <v>3</v>
      </c>
      <c r="X247" s="4" t="n">
        <v>6</v>
      </c>
      <c r="Y247" s="4" t="n">
        <v>3</v>
      </c>
      <c r="Z247" s="4" t="n">
        <v>2</v>
      </c>
      <c r="AA247" s="4" t="n">
        <v>0</v>
      </c>
      <c r="AB247" s="4" t="n">
        <v>0</v>
      </c>
      <c r="AC247" s="4" t="n">
        <v>4</v>
      </c>
      <c r="AD247" s="4" t="n">
        <v>0</v>
      </c>
      <c r="AE247" s="8" t="n">
        <f aca="false">COUNTIF(F247:AD247,"&lt;=0")</f>
        <v>3</v>
      </c>
    </row>
    <row r="248" customFormat="false" ht="15" hidden="false" customHeight="false" outlineLevel="0" collapsed="false">
      <c r="A248" s="8" t="s">
        <v>154</v>
      </c>
      <c r="B248" s="8" t="s">
        <v>20</v>
      </c>
      <c r="C248" s="8" t="n">
        <v>102412</v>
      </c>
      <c r="D248" s="8" t="s">
        <v>630</v>
      </c>
      <c r="E248" s="4" t="n">
        <v>0</v>
      </c>
      <c r="F248" s="4" t="n">
        <v>6</v>
      </c>
      <c r="G248" s="4" t="n">
        <v>6</v>
      </c>
      <c r="H248" s="4" t="n">
        <v>5</v>
      </c>
      <c r="I248" s="4" t="n">
        <v>4</v>
      </c>
      <c r="J248" s="4" t="n">
        <v>7</v>
      </c>
      <c r="K248" s="4" t="n">
        <v>5</v>
      </c>
      <c r="L248" s="4" t="n">
        <v>3</v>
      </c>
      <c r="M248" s="4" t="n">
        <v>1</v>
      </c>
      <c r="N248" s="4" t="n">
        <v>4</v>
      </c>
      <c r="O248" s="4" t="n">
        <v>1</v>
      </c>
      <c r="P248" s="4" t="n">
        <v>6</v>
      </c>
      <c r="Q248" s="4" t="n">
        <v>4</v>
      </c>
      <c r="R248" s="4" t="n">
        <v>3</v>
      </c>
      <c r="S248" s="4" t="n">
        <v>5</v>
      </c>
      <c r="T248" s="4" t="n">
        <v>3</v>
      </c>
      <c r="U248" s="4" t="n">
        <v>6</v>
      </c>
      <c r="V248" s="4" t="n">
        <v>5</v>
      </c>
      <c r="W248" s="4" t="n">
        <v>3</v>
      </c>
      <c r="X248" s="4" t="n">
        <v>2</v>
      </c>
      <c r="Y248" s="4" t="n">
        <v>3</v>
      </c>
      <c r="Z248" s="4" t="n">
        <v>3</v>
      </c>
      <c r="AA248" s="4" t="n">
        <v>3</v>
      </c>
      <c r="AB248" s="4" t="n">
        <v>0</v>
      </c>
      <c r="AC248" s="4" t="n">
        <v>1</v>
      </c>
      <c r="AD248" s="4" t="n">
        <v>0</v>
      </c>
      <c r="AE248" s="8" t="n">
        <f aca="false">COUNTIF(F248:AD248,"&lt;=0")</f>
        <v>2</v>
      </c>
    </row>
    <row r="249" customFormat="false" ht="15" hidden="false" customHeight="false" outlineLevel="0" collapsed="false">
      <c r="A249" s="8" t="s">
        <v>154</v>
      </c>
      <c r="B249" s="8" t="s">
        <v>20</v>
      </c>
      <c r="C249" s="8" t="n">
        <v>101436</v>
      </c>
      <c r="D249" s="8" t="s">
        <v>415</v>
      </c>
      <c r="E249" s="4" t="n">
        <v>11</v>
      </c>
      <c r="F249" s="4" t="n">
        <v>6</v>
      </c>
      <c r="G249" s="4" t="n">
        <v>5</v>
      </c>
      <c r="H249" s="4" t="n">
        <v>3</v>
      </c>
      <c r="I249" s="4" t="n">
        <v>6</v>
      </c>
      <c r="J249" s="4" t="n">
        <v>4</v>
      </c>
      <c r="K249" s="4" t="n">
        <v>6</v>
      </c>
      <c r="L249" s="4" t="n">
        <v>4</v>
      </c>
      <c r="M249" s="4" t="n">
        <v>4</v>
      </c>
      <c r="N249" s="4" t="n">
        <v>2</v>
      </c>
      <c r="O249" s="4" t="n">
        <v>7</v>
      </c>
      <c r="P249" s="4" t="n">
        <v>1</v>
      </c>
      <c r="Q249" s="4" t="n">
        <v>1</v>
      </c>
      <c r="R249" s="4" t="n">
        <v>3</v>
      </c>
      <c r="S249" s="4" t="n">
        <v>3</v>
      </c>
      <c r="T249" s="4" t="n">
        <v>6</v>
      </c>
      <c r="U249" s="4" t="n">
        <v>4</v>
      </c>
      <c r="V249" s="4" t="n">
        <v>4</v>
      </c>
      <c r="W249" s="4" t="n">
        <v>2</v>
      </c>
      <c r="X249" s="4" t="n">
        <v>3</v>
      </c>
      <c r="Y249" s="4" t="n">
        <v>4</v>
      </c>
      <c r="Z249" s="4" t="n">
        <v>4</v>
      </c>
      <c r="AA249" s="4" t="n">
        <v>1</v>
      </c>
      <c r="AB249" s="4" t="n">
        <v>0</v>
      </c>
      <c r="AC249" s="4" t="n">
        <v>0</v>
      </c>
      <c r="AD249" s="4" t="n">
        <v>0</v>
      </c>
      <c r="AE249" s="8" t="n">
        <f aca="false">COUNTIF(F249:AD249,"&lt;=0")</f>
        <v>3</v>
      </c>
    </row>
    <row r="250" customFormat="false" ht="15" hidden="false" customHeight="false" outlineLevel="0" collapsed="false">
      <c r="A250" s="8" t="s">
        <v>143</v>
      </c>
      <c r="B250" s="8" t="s">
        <v>20</v>
      </c>
      <c r="C250" s="8" t="n">
        <v>102384</v>
      </c>
      <c r="D250" s="8" t="s">
        <v>631</v>
      </c>
      <c r="E250" s="4" t="n">
        <v>0</v>
      </c>
      <c r="F250" s="4" t="n">
        <v>2</v>
      </c>
      <c r="G250" s="4" t="n">
        <v>7</v>
      </c>
      <c r="H250" s="4" t="n">
        <v>6</v>
      </c>
      <c r="I250" s="4" t="n">
        <v>8</v>
      </c>
      <c r="J250" s="4" t="n">
        <v>6</v>
      </c>
      <c r="K250" s="4" t="n">
        <v>6</v>
      </c>
      <c r="L250" s="4" t="n">
        <v>7</v>
      </c>
      <c r="M250" s="4" t="n">
        <v>7</v>
      </c>
      <c r="N250" s="4" t="n">
        <v>6</v>
      </c>
      <c r="O250" s="4" t="n">
        <v>8</v>
      </c>
      <c r="P250" s="4" t="n">
        <v>7</v>
      </c>
      <c r="Q250" s="4" t="n">
        <v>5</v>
      </c>
      <c r="R250" s="4" t="n">
        <v>6</v>
      </c>
      <c r="S250" s="4" t="n">
        <v>5</v>
      </c>
      <c r="T250" s="4" t="n">
        <v>7</v>
      </c>
      <c r="U250" s="4" t="n">
        <v>7</v>
      </c>
      <c r="V250" s="4" t="n">
        <v>8</v>
      </c>
      <c r="W250" s="4" t="n">
        <v>6</v>
      </c>
      <c r="X250" s="4" t="n">
        <v>6</v>
      </c>
      <c r="Y250" s="4" t="n">
        <v>5</v>
      </c>
      <c r="Z250" s="4" t="n">
        <v>6</v>
      </c>
      <c r="AA250" s="4" t="n">
        <v>6</v>
      </c>
      <c r="AB250" s="4" t="n">
        <v>0</v>
      </c>
      <c r="AC250" s="4" t="n">
        <v>6</v>
      </c>
      <c r="AD250" s="4" t="n">
        <v>0</v>
      </c>
      <c r="AE250" s="8" t="n">
        <f aca="false">COUNTIF(F250:AD250,"&lt;=0")</f>
        <v>2</v>
      </c>
    </row>
    <row r="251" customFormat="false" ht="15" hidden="false" customHeight="false" outlineLevel="0" collapsed="false">
      <c r="A251" s="8" t="s">
        <v>143</v>
      </c>
      <c r="B251" s="8" t="s">
        <v>20</v>
      </c>
      <c r="C251" s="8" t="n">
        <v>102420</v>
      </c>
      <c r="D251" s="8" t="s">
        <v>632</v>
      </c>
      <c r="E251" s="4" t="n">
        <v>0</v>
      </c>
      <c r="F251" s="4" t="n">
        <v>6</v>
      </c>
      <c r="G251" s="4" t="n">
        <v>4</v>
      </c>
      <c r="H251" s="4" t="n">
        <v>6</v>
      </c>
      <c r="I251" s="4" t="n">
        <v>4</v>
      </c>
      <c r="J251" s="4" t="n">
        <v>6</v>
      </c>
      <c r="K251" s="4" t="n">
        <v>9</v>
      </c>
      <c r="L251" s="4" t="n">
        <v>4</v>
      </c>
      <c r="M251" s="4" t="n">
        <v>7</v>
      </c>
      <c r="N251" s="4" t="n">
        <v>4</v>
      </c>
      <c r="O251" s="4" t="n">
        <v>2</v>
      </c>
      <c r="P251" s="4" t="n">
        <v>4</v>
      </c>
      <c r="Q251" s="4" t="n">
        <v>3</v>
      </c>
      <c r="R251" s="4" t="n">
        <v>3</v>
      </c>
      <c r="S251" s="4" t="n">
        <v>2</v>
      </c>
      <c r="T251" s="4" t="n">
        <v>3</v>
      </c>
      <c r="U251" s="4" t="n">
        <v>4</v>
      </c>
      <c r="V251" s="4" t="n">
        <v>3</v>
      </c>
      <c r="W251" s="4" t="n">
        <v>4</v>
      </c>
      <c r="X251" s="4" t="n">
        <v>2</v>
      </c>
      <c r="Y251" s="4" t="n">
        <v>4</v>
      </c>
      <c r="Z251" s="4" t="n">
        <v>5</v>
      </c>
      <c r="AA251" s="4" t="n">
        <v>3</v>
      </c>
      <c r="AB251" s="4" t="n">
        <v>0</v>
      </c>
      <c r="AC251" s="4" t="n">
        <v>3</v>
      </c>
      <c r="AD251" s="4" t="n">
        <v>0</v>
      </c>
      <c r="AE251" s="8" t="n">
        <f aca="false">COUNTIF(F251:AD251,"&lt;=0")</f>
        <v>2</v>
      </c>
    </row>
    <row r="252" customFormat="false" ht="15" hidden="false" customHeight="false" outlineLevel="0" collapsed="false">
      <c r="A252" s="8" t="s">
        <v>143</v>
      </c>
      <c r="B252" s="8" t="s">
        <v>20</v>
      </c>
      <c r="C252" s="8" t="n">
        <v>102421</v>
      </c>
      <c r="D252" s="8" t="s">
        <v>307</v>
      </c>
      <c r="E252" s="4" t="n">
        <v>23</v>
      </c>
      <c r="F252" s="4" t="n">
        <v>0</v>
      </c>
      <c r="G252" s="4" t="n">
        <v>2</v>
      </c>
      <c r="H252" s="4" t="n">
        <v>5</v>
      </c>
      <c r="I252" s="4" t="n">
        <v>4</v>
      </c>
      <c r="J252" s="4" t="n">
        <v>2</v>
      </c>
      <c r="K252" s="4" t="n">
        <v>5</v>
      </c>
      <c r="L252" s="4" t="n">
        <v>0</v>
      </c>
      <c r="M252" s="4" t="n">
        <v>9</v>
      </c>
      <c r="N252" s="4" t="n">
        <v>3</v>
      </c>
      <c r="O252" s="4" t="n">
        <v>4</v>
      </c>
      <c r="P252" s="4" t="n">
        <v>3</v>
      </c>
      <c r="Q252" s="4" t="n">
        <v>0</v>
      </c>
      <c r="R252" s="4" t="n">
        <v>0</v>
      </c>
      <c r="S252" s="4" t="n">
        <v>5</v>
      </c>
      <c r="T252" s="4" t="n">
        <v>2</v>
      </c>
      <c r="U252" s="4" t="n">
        <v>2</v>
      </c>
      <c r="V252" s="4" t="n">
        <v>1</v>
      </c>
      <c r="W252" s="4" t="n">
        <v>1</v>
      </c>
      <c r="X252" s="4" t="n">
        <v>2</v>
      </c>
      <c r="Y252" s="4" t="n">
        <v>3</v>
      </c>
      <c r="Z252" s="4" t="n">
        <v>2</v>
      </c>
      <c r="AA252" s="4" t="n">
        <v>3</v>
      </c>
      <c r="AB252" s="4" t="n">
        <v>0</v>
      </c>
      <c r="AC252" s="4" t="n">
        <v>0</v>
      </c>
      <c r="AD252" s="4" t="n">
        <v>0</v>
      </c>
      <c r="AE252" s="8" t="n">
        <f aca="false">COUNTIF(F252:AD252,"&lt;=0")</f>
        <v>7</v>
      </c>
    </row>
    <row r="253" customFormat="false" ht="15" hidden="false" customHeight="false" outlineLevel="0" collapsed="false">
      <c r="A253" s="8" t="s">
        <v>169</v>
      </c>
      <c r="B253" s="8" t="s">
        <v>20</v>
      </c>
      <c r="C253" s="8" t="n">
        <v>101451</v>
      </c>
      <c r="D253" s="8" t="s">
        <v>633</v>
      </c>
      <c r="E253" s="4" t="n">
        <v>0</v>
      </c>
      <c r="F253" s="4" t="n">
        <v>0</v>
      </c>
      <c r="G253" s="4" t="n">
        <v>7</v>
      </c>
      <c r="H253" s="4" t="n">
        <v>5</v>
      </c>
      <c r="I253" s="4" t="n">
        <v>7</v>
      </c>
      <c r="J253" s="4" t="n">
        <v>7</v>
      </c>
      <c r="K253" s="4" t="n">
        <v>6</v>
      </c>
      <c r="L253" s="4" t="n">
        <v>8</v>
      </c>
      <c r="M253" s="4" t="n">
        <v>8</v>
      </c>
      <c r="N253" s="4" t="n">
        <v>7</v>
      </c>
      <c r="O253" s="4" t="n">
        <v>6</v>
      </c>
      <c r="P253" s="4" t="n">
        <v>8</v>
      </c>
      <c r="Q253" s="4" t="n">
        <v>3</v>
      </c>
      <c r="R253" s="4" t="n">
        <v>4</v>
      </c>
      <c r="S253" s="4" t="n">
        <v>6</v>
      </c>
      <c r="T253" s="4" t="n">
        <v>7</v>
      </c>
      <c r="U253" s="4" t="n">
        <v>7</v>
      </c>
      <c r="V253" s="4" t="n">
        <v>10</v>
      </c>
      <c r="W253" s="4" t="n">
        <v>5</v>
      </c>
      <c r="X253" s="4" t="n">
        <v>4</v>
      </c>
      <c r="Y253" s="4" t="n">
        <v>4</v>
      </c>
      <c r="Z253" s="4" t="n">
        <v>6</v>
      </c>
      <c r="AA253" s="4" t="n">
        <v>5</v>
      </c>
      <c r="AB253" s="4" t="n">
        <v>0</v>
      </c>
      <c r="AC253" s="4" t="n">
        <v>5</v>
      </c>
      <c r="AD253" s="4" t="n">
        <v>4</v>
      </c>
      <c r="AE253" s="8" t="n">
        <f aca="false">COUNTIF(F253:AD253,"&lt;=0")</f>
        <v>2</v>
      </c>
    </row>
    <row r="254" customFormat="false" ht="15" hidden="false" customHeight="false" outlineLevel="0" collapsed="false">
      <c r="A254" s="8" t="s">
        <v>169</v>
      </c>
      <c r="B254" s="8" t="s">
        <v>20</v>
      </c>
      <c r="C254" s="8" t="n">
        <v>100415</v>
      </c>
      <c r="D254" s="8" t="s">
        <v>634</v>
      </c>
      <c r="E254" s="4" t="n">
        <v>0</v>
      </c>
      <c r="F254" s="4" t="n">
        <v>4</v>
      </c>
      <c r="G254" s="4" t="n">
        <v>6</v>
      </c>
      <c r="H254" s="4" t="n">
        <v>3</v>
      </c>
      <c r="I254" s="4" t="n">
        <v>7</v>
      </c>
      <c r="J254" s="4" t="n">
        <v>6</v>
      </c>
      <c r="K254" s="4" t="n">
        <v>8</v>
      </c>
      <c r="L254" s="4" t="n">
        <v>7</v>
      </c>
      <c r="M254" s="4" t="n">
        <v>12</v>
      </c>
      <c r="N254" s="4" t="n">
        <v>3</v>
      </c>
      <c r="O254" s="4" t="n">
        <v>5</v>
      </c>
      <c r="P254" s="4" t="n">
        <v>8</v>
      </c>
      <c r="Q254" s="4" t="n">
        <v>5</v>
      </c>
      <c r="R254" s="4" t="n">
        <v>5</v>
      </c>
      <c r="S254" s="4" t="n">
        <v>3</v>
      </c>
      <c r="T254" s="4" t="n">
        <v>5</v>
      </c>
      <c r="U254" s="4" t="n">
        <v>7</v>
      </c>
      <c r="V254" s="4" t="n">
        <v>4</v>
      </c>
      <c r="W254" s="4" t="n">
        <v>6</v>
      </c>
      <c r="X254" s="4" t="n">
        <v>2</v>
      </c>
      <c r="Y254" s="4" t="n">
        <v>6</v>
      </c>
      <c r="Z254" s="4" t="n">
        <v>5</v>
      </c>
      <c r="AA254" s="4" t="n">
        <v>4</v>
      </c>
      <c r="AB254" s="4" t="n">
        <v>0</v>
      </c>
      <c r="AC254" s="4" t="n">
        <v>6</v>
      </c>
      <c r="AD254" s="4" t="n">
        <v>4</v>
      </c>
      <c r="AE254" s="8" t="n">
        <f aca="false">COUNTIF(F254:AD254,"&lt;=0")</f>
        <v>1</v>
      </c>
    </row>
    <row r="255" customFormat="false" ht="15" hidden="false" customHeight="false" outlineLevel="0" collapsed="false">
      <c r="A255" s="8" t="s">
        <v>171</v>
      </c>
      <c r="B255" s="8" t="s">
        <v>20</v>
      </c>
      <c r="C255" s="8" t="n">
        <v>100205</v>
      </c>
      <c r="D255" s="8" t="s">
        <v>635</v>
      </c>
      <c r="E255" s="4" t="n">
        <v>36</v>
      </c>
      <c r="F255" s="4" t="n">
        <v>4</v>
      </c>
      <c r="G255" s="4" t="n">
        <v>14</v>
      </c>
      <c r="H255" s="4" t="n">
        <v>8</v>
      </c>
      <c r="I255" s="4" t="n">
        <v>7</v>
      </c>
      <c r="J255" s="4" t="n">
        <v>9</v>
      </c>
      <c r="K255" s="4" t="n">
        <v>10</v>
      </c>
      <c r="L255" s="4" t="n">
        <v>7</v>
      </c>
      <c r="M255" s="4" t="n">
        <v>9</v>
      </c>
      <c r="N255" s="4" t="n">
        <v>10</v>
      </c>
      <c r="O255" s="4" t="n">
        <v>16</v>
      </c>
      <c r="P255" s="4" t="n">
        <v>7</v>
      </c>
      <c r="Q255" s="4" t="n">
        <v>6</v>
      </c>
      <c r="R255" s="4" t="n">
        <v>16</v>
      </c>
      <c r="S255" s="4" t="n">
        <v>5</v>
      </c>
      <c r="T255" s="4" t="n">
        <v>7</v>
      </c>
      <c r="U255" s="4" t="n">
        <v>11</v>
      </c>
      <c r="V255" s="4" t="n">
        <v>7</v>
      </c>
      <c r="W255" s="4" t="n">
        <v>5</v>
      </c>
      <c r="X255" s="4" t="n">
        <v>11</v>
      </c>
      <c r="Y255" s="4" t="n">
        <v>5</v>
      </c>
      <c r="Z255" s="4" t="n">
        <v>10</v>
      </c>
      <c r="AA255" s="4" t="n">
        <v>5</v>
      </c>
      <c r="AB255" s="4" t="n">
        <v>0</v>
      </c>
      <c r="AC255" s="4" t="n">
        <v>8</v>
      </c>
      <c r="AD255" s="4" t="n">
        <v>3</v>
      </c>
      <c r="AE255" s="8" t="n">
        <f aca="false">COUNTIF(F255:AD255,"&lt;=0")</f>
        <v>1</v>
      </c>
    </row>
    <row r="256" customFormat="false" ht="15" hidden="false" customHeight="false" outlineLevel="0" collapsed="false">
      <c r="A256" s="8" t="s">
        <v>179</v>
      </c>
      <c r="B256" s="8" t="s">
        <v>20</v>
      </c>
      <c r="C256" s="8" t="n">
        <v>101452</v>
      </c>
      <c r="D256" s="8" t="s">
        <v>636</v>
      </c>
      <c r="E256" s="4" t="n">
        <v>0</v>
      </c>
      <c r="F256" s="4" t="n">
        <v>4</v>
      </c>
      <c r="G256" s="4" t="n">
        <v>4</v>
      </c>
      <c r="H256" s="4" t="n">
        <v>4</v>
      </c>
      <c r="I256" s="4" t="n">
        <v>5</v>
      </c>
      <c r="J256" s="4" t="n">
        <v>9</v>
      </c>
      <c r="K256" s="4" t="n">
        <v>5</v>
      </c>
      <c r="L256" s="4" t="n">
        <v>4</v>
      </c>
      <c r="M256" s="4" t="n">
        <v>7</v>
      </c>
      <c r="N256" s="4" t="n">
        <v>4</v>
      </c>
      <c r="O256" s="4" t="n">
        <v>4</v>
      </c>
      <c r="P256" s="4" t="n">
        <v>6</v>
      </c>
      <c r="Q256" s="4" t="n">
        <v>5</v>
      </c>
      <c r="R256" s="4" t="n">
        <v>3</v>
      </c>
      <c r="S256" s="4" t="n">
        <v>5</v>
      </c>
      <c r="T256" s="4" t="n">
        <v>6</v>
      </c>
      <c r="U256" s="4" t="n">
        <v>8</v>
      </c>
      <c r="V256" s="4" t="n">
        <v>6</v>
      </c>
      <c r="W256" s="4" t="n">
        <v>4</v>
      </c>
      <c r="X256" s="4" t="n">
        <v>7</v>
      </c>
      <c r="Y256" s="4" t="n">
        <v>5</v>
      </c>
      <c r="Z256" s="4" t="n">
        <v>6</v>
      </c>
      <c r="AA256" s="4" t="n">
        <v>7</v>
      </c>
      <c r="AB256" s="4" t="n">
        <v>0</v>
      </c>
      <c r="AC256" s="4" t="n">
        <v>5</v>
      </c>
      <c r="AD256" s="4" t="n">
        <v>5</v>
      </c>
      <c r="AE256" s="8" t="n">
        <f aca="false">COUNTIF(F256:AD256,"&lt;=0")</f>
        <v>1</v>
      </c>
    </row>
    <row r="257" customFormat="false" ht="15" hidden="false" customHeight="false" outlineLevel="0" collapsed="false">
      <c r="A257" s="8" t="s">
        <v>179</v>
      </c>
      <c r="B257" s="8" t="s">
        <v>20</v>
      </c>
      <c r="C257" s="8" t="n">
        <v>101528</v>
      </c>
      <c r="D257" s="8" t="s">
        <v>637</v>
      </c>
      <c r="E257" s="4" t="n">
        <v>0</v>
      </c>
      <c r="F257" s="4" t="n">
        <v>0</v>
      </c>
      <c r="G257" s="4" t="n">
        <v>5</v>
      </c>
      <c r="H257" s="4" t="n">
        <v>4</v>
      </c>
      <c r="I257" s="4" t="n">
        <v>5</v>
      </c>
      <c r="J257" s="4" t="n">
        <v>6</v>
      </c>
      <c r="K257" s="4" t="n">
        <v>3</v>
      </c>
      <c r="L257" s="4" t="n">
        <v>6</v>
      </c>
      <c r="M257" s="4" t="n">
        <v>6</v>
      </c>
      <c r="N257" s="4" t="n">
        <v>4</v>
      </c>
      <c r="O257" s="4" t="n">
        <v>3</v>
      </c>
      <c r="P257" s="4" t="n">
        <v>3</v>
      </c>
      <c r="Q257" s="4" t="n">
        <v>4</v>
      </c>
      <c r="R257" s="4" t="n">
        <v>6</v>
      </c>
      <c r="S257" s="4" t="n">
        <v>3</v>
      </c>
      <c r="T257" s="4" t="n">
        <v>2</v>
      </c>
      <c r="U257" s="4" t="n">
        <v>4</v>
      </c>
      <c r="V257" s="4" t="n">
        <v>6</v>
      </c>
      <c r="W257" s="4" t="n">
        <v>4</v>
      </c>
      <c r="X257" s="4" t="n">
        <v>2</v>
      </c>
      <c r="Y257" s="4" t="n">
        <v>4</v>
      </c>
      <c r="Z257" s="4" t="n">
        <v>4</v>
      </c>
      <c r="AA257" s="4" t="n">
        <v>9</v>
      </c>
      <c r="AB257" s="4" t="n">
        <v>0</v>
      </c>
      <c r="AC257" s="4" t="n">
        <v>6</v>
      </c>
      <c r="AD257" s="4" t="n">
        <v>4</v>
      </c>
      <c r="AE257" s="8" t="n">
        <f aca="false">COUNTIF(F257:AD257,"&lt;=0")</f>
        <v>2</v>
      </c>
    </row>
    <row r="258" customFormat="false" ht="15" hidden="false" customHeight="false" outlineLevel="0" collapsed="false">
      <c r="A258" s="8" t="s">
        <v>216</v>
      </c>
      <c r="B258" s="8" t="s">
        <v>20</v>
      </c>
      <c r="C258" s="8" t="n">
        <v>230689</v>
      </c>
      <c r="D258" s="8" t="s">
        <v>638</v>
      </c>
      <c r="E258" s="4" t="n">
        <v>0</v>
      </c>
      <c r="F258" s="4" t="n">
        <v>6</v>
      </c>
      <c r="G258" s="4" t="n">
        <v>5</v>
      </c>
      <c r="H258" s="4" t="n">
        <v>4</v>
      </c>
      <c r="I258" s="4" t="n">
        <v>3</v>
      </c>
      <c r="J258" s="4" t="n">
        <v>10</v>
      </c>
      <c r="K258" s="4" t="n">
        <v>14</v>
      </c>
      <c r="L258" s="4" t="n">
        <v>13</v>
      </c>
      <c r="M258" s="4" t="n">
        <v>3</v>
      </c>
      <c r="N258" s="4" t="n">
        <v>13</v>
      </c>
      <c r="O258" s="4" t="n">
        <v>3</v>
      </c>
      <c r="P258" s="4" t="n">
        <v>10</v>
      </c>
      <c r="Q258" s="4" t="n">
        <v>10</v>
      </c>
      <c r="R258" s="4" t="n">
        <v>5</v>
      </c>
      <c r="S258" s="4" t="n">
        <v>8</v>
      </c>
      <c r="T258" s="4" t="n">
        <v>7</v>
      </c>
      <c r="U258" s="4" t="n">
        <v>5</v>
      </c>
      <c r="V258" s="4" t="n">
        <v>6</v>
      </c>
      <c r="W258" s="4" t="n">
        <v>5</v>
      </c>
      <c r="X258" s="4" t="n">
        <v>8</v>
      </c>
      <c r="Y258" s="4" t="n">
        <v>2</v>
      </c>
      <c r="Z258" s="4" t="n">
        <v>1</v>
      </c>
      <c r="AA258" s="4" t="n">
        <v>5</v>
      </c>
      <c r="AB258" s="4" t="n">
        <v>0</v>
      </c>
      <c r="AC258" s="4" t="n">
        <v>3</v>
      </c>
      <c r="AD258" s="4" t="n">
        <v>0</v>
      </c>
      <c r="AE258" s="8" t="n">
        <f aca="false">COUNTIF(F258:AD258,"&lt;=0")</f>
        <v>2</v>
      </c>
    </row>
    <row r="259" customFormat="false" ht="15" hidden="false" customHeight="false" outlineLevel="0" collapsed="false">
      <c r="A259" s="8" t="s">
        <v>247</v>
      </c>
      <c r="B259" s="8" t="s">
        <v>20</v>
      </c>
      <c r="C259" s="8" t="n">
        <v>101728</v>
      </c>
      <c r="D259" s="8" t="s">
        <v>639</v>
      </c>
      <c r="E259" s="4" t="n">
        <v>0</v>
      </c>
      <c r="F259" s="4" t="n">
        <v>0</v>
      </c>
      <c r="G259" s="4" t="n">
        <v>5</v>
      </c>
      <c r="H259" s="4" t="n">
        <v>14</v>
      </c>
      <c r="I259" s="4" t="n">
        <v>0</v>
      </c>
      <c r="J259" s="4" t="n">
        <v>25</v>
      </c>
      <c r="K259" s="4" t="n">
        <v>6</v>
      </c>
      <c r="L259" s="4" t="n">
        <v>0</v>
      </c>
      <c r="M259" s="4" t="n">
        <v>0</v>
      </c>
      <c r="N259" s="4" t="n">
        <v>23</v>
      </c>
      <c r="O259" s="4" t="n">
        <v>0</v>
      </c>
      <c r="P259" s="4" t="n">
        <v>7</v>
      </c>
      <c r="Q259" s="4" t="n">
        <v>16</v>
      </c>
      <c r="R259" s="4" t="n">
        <v>0</v>
      </c>
      <c r="S259" s="4" t="n">
        <v>14</v>
      </c>
      <c r="T259" s="4" t="n">
        <v>6</v>
      </c>
      <c r="U259" s="4" t="n">
        <v>17</v>
      </c>
      <c r="V259" s="4" t="n">
        <v>5</v>
      </c>
      <c r="W259" s="4" t="n">
        <v>7</v>
      </c>
      <c r="X259" s="4" t="n">
        <v>9</v>
      </c>
      <c r="Y259" s="4" t="n">
        <v>6</v>
      </c>
      <c r="Z259" s="4" t="n">
        <v>5</v>
      </c>
      <c r="AA259" s="4" t="n">
        <v>3</v>
      </c>
      <c r="AB259" s="4" t="n">
        <v>0</v>
      </c>
      <c r="AC259" s="4" t="n">
        <v>10</v>
      </c>
      <c r="AD259" s="4" t="n">
        <v>0</v>
      </c>
      <c r="AE259" s="8" t="n">
        <f aca="false">COUNTIF(F259:AD259,"&lt;=0")</f>
        <v>8</v>
      </c>
    </row>
    <row r="260" customFormat="false" ht="15" hidden="false" customHeight="false" outlineLevel="0" collapsed="false">
      <c r="A260" s="8" t="s">
        <v>173</v>
      </c>
      <c r="B260" s="8" t="s">
        <v>20</v>
      </c>
      <c r="C260" s="8" t="n">
        <v>102327</v>
      </c>
      <c r="D260" s="8" t="s">
        <v>640</v>
      </c>
      <c r="E260" s="4" t="n">
        <v>0</v>
      </c>
      <c r="F260" s="4" t="n">
        <v>0</v>
      </c>
      <c r="G260" s="4" t="n">
        <v>6</v>
      </c>
      <c r="H260" s="4" t="n">
        <v>6</v>
      </c>
      <c r="I260" s="4" t="n">
        <v>11</v>
      </c>
      <c r="J260" s="4" t="n">
        <v>11</v>
      </c>
      <c r="K260" s="4" t="n">
        <v>5</v>
      </c>
      <c r="L260" s="4" t="n">
        <v>4</v>
      </c>
      <c r="M260" s="4" t="n">
        <v>5</v>
      </c>
      <c r="N260" s="4" t="n">
        <v>5</v>
      </c>
      <c r="O260" s="4" t="n">
        <v>6</v>
      </c>
      <c r="P260" s="4" t="n">
        <v>8</v>
      </c>
      <c r="Q260" s="4" t="n">
        <v>3</v>
      </c>
      <c r="R260" s="4" t="n">
        <v>2</v>
      </c>
      <c r="S260" s="4" t="n">
        <v>4</v>
      </c>
      <c r="T260" s="4" t="n">
        <v>4</v>
      </c>
      <c r="U260" s="4" t="n">
        <v>5</v>
      </c>
      <c r="V260" s="4" t="n">
        <v>4</v>
      </c>
      <c r="W260" s="4" t="n">
        <v>2</v>
      </c>
      <c r="X260" s="4" t="n">
        <v>1</v>
      </c>
      <c r="Y260" s="4" t="n">
        <v>3</v>
      </c>
      <c r="Z260" s="4" t="n">
        <v>1</v>
      </c>
      <c r="AA260" s="4" t="n">
        <v>3</v>
      </c>
      <c r="AB260" s="4" t="n">
        <v>0</v>
      </c>
      <c r="AC260" s="4" t="n">
        <v>5</v>
      </c>
      <c r="AD260" s="4" t="n">
        <v>0</v>
      </c>
      <c r="AE260" s="8" t="n">
        <f aca="false">COUNTIF(F260:AD260,"&lt;=0")</f>
        <v>3</v>
      </c>
    </row>
    <row r="261" customFormat="false" ht="15" hidden="false" customHeight="false" outlineLevel="0" collapsed="false">
      <c r="A261" s="8" t="s">
        <v>183</v>
      </c>
      <c r="B261" s="8" t="s">
        <v>20</v>
      </c>
      <c r="C261" s="8" t="n">
        <v>102328</v>
      </c>
      <c r="D261" s="8" t="s">
        <v>641</v>
      </c>
      <c r="E261" s="4" t="n">
        <v>0</v>
      </c>
      <c r="F261" s="4" t="n">
        <v>0</v>
      </c>
      <c r="G261" s="4" t="n">
        <v>3</v>
      </c>
      <c r="H261" s="4" t="n">
        <v>2</v>
      </c>
      <c r="I261" s="4" t="n">
        <v>3</v>
      </c>
      <c r="J261" s="4" t="n">
        <v>5</v>
      </c>
      <c r="K261" s="4" t="n">
        <v>9</v>
      </c>
      <c r="L261" s="4" t="n">
        <v>4</v>
      </c>
      <c r="M261" s="4" t="n">
        <v>2</v>
      </c>
      <c r="N261" s="4" t="n">
        <v>4</v>
      </c>
      <c r="O261" s="4" t="n">
        <v>1</v>
      </c>
      <c r="P261" s="4" t="n">
        <v>3</v>
      </c>
      <c r="Q261" s="4" t="n">
        <v>3</v>
      </c>
      <c r="R261" s="4" t="n">
        <v>1</v>
      </c>
      <c r="S261" s="4" t="n">
        <v>3</v>
      </c>
      <c r="T261" s="4" t="n">
        <v>3</v>
      </c>
      <c r="U261" s="4" t="n">
        <v>7</v>
      </c>
      <c r="V261" s="4" t="n">
        <v>4</v>
      </c>
      <c r="W261" s="4" t="n">
        <v>2</v>
      </c>
      <c r="X261" s="4" t="n">
        <v>6</v>
      </c>
      <c r="Y261" s="4" t="n">
        <v>5</v>
      </c>
      <c r="Z261" s="4" t="n">
        <v>5</v>
      </c>
      <c r="AA261" s="4" t="n">
        <v>5</v>
      </c>
      <c r="AB261" s="4" t="n">
        <v>0</v>
      </c>
      <c r="AC261" s="4" t="n">
        <v>5</v>
      </c>
      <c r="AD261" s="4" t="n">
        <v>0</v>
      </c>
      <c r="AE261" s="8" t="n">
        <f aca="false">COUNTIF(F261:AD261,"&lt;=0")</f>
        <v>3</v>
      </c>
    </row>
    <row r="262" customFormat="false" ht="15" hidden="false" customHeight="false" outlineLevel="0" collapsed="false">
      <c r="A262" s="8" t="s">
        <v>251</v>
      </c>
      <c r="B262" s="8" t="s">
        <v>20</v>
      </c>
      <c r="C262" s="8" t="n">
        <v>101962</v>
      </c>
      <c r="D262" s="8" t="s">
        <v>642</v>
      </c>
      <c r="E262" s="4" t="n">
        <v>0</v>
      </c>
      <c r="F262" s="4" t="n">
        <v>0</v>
      </c>
      <c r="G262" s="4" t="n">
        <v>0</v>
      </c>
      <c r="H262" s="4" t="n">
        <v>0</v>
      </c>
      <c r="I262" s="4" t="n">
        <v>15</v>
      </c>
      <c r="J262" s="4" t="n">
        <v>0</v>
      </c>
      <c r="K262" s="4" t="n">
        <v>0</v>
      </c>
      <c r="L262" s="4" t="n">
        <v>0</v>
      </c>
      <c r="M262" s="4" t="n">
        <v>0</v>
      </c>
      <c r="N262" s="4" t="n">
        <v>0</v>
      </c>
      <c r="O262" s="4" t="n">
        <v>0</v>
      </c>
      <c r="P262" s="4" t="n">
        <v>0</v>
      </c>
      <c r="Q262" s="4" t="n">
        <v>0</v>
      </c>
      <c r="R262" s="4" t="n">
        <v>11</v>
      </c>
      <c r="S262" s="4" t="n">
        <v>0</v>
      </c>
      <c r="T262" s="4" t="n">
        <v>13</v>
      </c>
      <c r="U262" s="4" t="n">
        <v>-1</v>
      </c>
      <c r="V262" s="4" t="n">
        <v>0</v>
      </c>
      <c r="W262" s="4" t="n">
        <v>0</v>
      </c>
      <c r="X262" s="4" t="n">
        <v>0</v>
      </c>
      <c r="Y262" s="4" t="n">
        <v>22</v>
      </c>
      <c r="Z262" s="4" t="n">
        <v>0</v>
      </c>
      <c r="AA262" s="4" t="n">
        <v>0</v>
      </c>
      <c r="AB262" s="4" t="n">
        <v>0</v>
      </c>
      <c r="AC262" s="4" t="n">
        <v>0</v>
      </c>
      <c r="AD262" s="4" t="n">
        <v>0</v>
      </c>
      <c r="AE262" s="8" t="n">
        <f aca="false">COUNTIF(F262:AD262,"&lt;=0")</f>
        <v>21</v>
      </c>
    </row>
    <row r="263" customFormat="false" ht="15" hidden="false" customHeight="false" outlineLevel="0" collapsed="false">
      <c r="A263" s="8" t="s">
        <v>60</v>
      </c>
      <c r="B263" s="8" t="s">
        <v>21</v>
      </c>
      <c r="C263" s="8" t="n">
        <v>110743</v>
      </c>
      <c r="D263" s="8" t="s">
        <v>643</v>
      </c>
      <c r="E263" s="4" t="n">
        <v>560</v>
      </c>
      <c r="F263" s="4" t="n">
        <v>3</v>
      </c>
      <c r="G263" s="4" t="n">
        <v>8</v>
      </c>
      <c r="H263" s="4" t="n">
        <v>9</v>
      </c>
      <c r="I263" s="4" t="n">
        <v>9</v>
      </c>
      <c r="J263" s="4" t="n">
        <v>13</v>
      </c>
      <c r="K263" s="4" t="n">
        <v>9</v>
      </c>
      <c r="L263" s="4" t="n">
        <v>15</v>
      </c>
      <c r="M263" s="4" t="n">
        <v>9</v>
      </c>
      <c r="N263" s="4" t="n">
        <v>13</v>
      </c>
      <c r="O263" s="4" t="n">
        <v>21</v>
      </c>
      <c r="P263" s="4" t="n">
        <v>11</v>
      </c>
      <c r="Q263" s="4" t="n">
        <v>9</v>
      </c>
      <c r="R263" s="4" t="n">
        <v>13</v>
      </c>
      <c r="S263" s="4" t="n">
        <v>4</v>
      </c>
      <c r="T263" s="4" t="n">
        <v>9</v>
      </c>
      <c r="U263" s="4" t="n">
        <v>20</v>
      </c>
      <c r="V263" s="4" t="n">
        <v>7</v>
      </c>
      <c r="W263" s="4" t="n">
        <v>8</v>
      </c>
      <c r="X263" s="4" t="n">
        <v>9</v>
      </c>
      <c r="Y263" s="4" t="n">
        <v>6</v>
      </c>
      <c r="Z263" s="4" t="n">
        <v>17</v>
      </c>
      <c r="AA263" s="4" t="n">
        <v>8</v>
      </c>
      <c r="AB263" s="4" t="n">
        <v>0</v>
      </c>
      <c r="AC263" s="4" t="n">
        <v>7</v>
      </c>
      <c r="AD263" s="4" t="n">
        <v>5</v>
      </c>
      <c r="AE263" s="8" t="n">
        <f aca="false">COUNTIF(F263:AD263,"&lt;=0")</f>
        <v>1</v>
      </c>
    </row>
    <row r="264" customFormat="false" ht="15" hidden="false" customHeight="false" outlineLevel="0" collapsed="false">
      <c r="A264" s="8" t="s">
        <v>90</v>
      </c>
      <c r="B264" s="8" t="s">
        <v>21</v>
      </c>
      <c r="C264" s="8" t="n">
        <v>110950</v>
      </c>
      <c r="D264" s="8" t="s">
        <v>644</v>
      </c>
      <c r="E264" s="4" t="n">
        <v>0</v>
      </c>
      <c r="F264" s="4" t="n">
        <v>3</v>
      </c>
      <c r="G264" s="4" t="n">
        <v>4</v>
      </c>
      <c r="H264" s="4" t="n">
        <v>4</v>
      </c>
      <c r="I264" s="4" t="n">
        <v>5</v>
      </c>
      <c r="J264" s="4" t="n">
        <v>5</v>
      </c>
      <c r="K264" s="4" t="n">
        <v>9</v>
      </c>
      <c r="L264" s="4" t="n">
        <v>2</v>
      </c>
      <c r="M264" s="4" t="n">
        <v>5</v>
      </c>
      <c r="N264" s="4" t="n">
        <v>3</v>
      </c>
      <c r="O264" s="4" t="n">
        <v>4</v>
      </c>
      <c r="P264" s="4" t="n">
        <v>6</v>
      </c>
      <c r="Q264" s="4" t="n">
        <v>5</v>
      </c>
      <c r="R264" s="4" t="n">
        <v>4</v>
      </c>
      <c r="S264" s="4" t="n">
        <v>4</v>
      </c>
      <c r="T264" s="4" t="n">
        <v>3</v>
      </c>
      <c r="U264" s="4" t="n">
        <v>5</v>
      </c>
      <c r="V264" s="4" t="n">
        <v>2</v>
      </c>
      <c r="W264" s="4" t="n">
        <v>3</v>
      </c>
      <c r="X264" s="4" t="n">
        <v>4</v>
      </c>
      <c r="Y264" s="4" t="n">
        <v>3</v>
      </c>
      <c r="Z264" s="4" t="n">
        <v>4</v>
      </c>
      <c r="AA264" s="4" t="n">
        <v>2</v>
      </c>
      <c r="AB264" s="4" t="n">
        <v>0</v>
      </c>
      <c r="AC264" s="4" t="n">
        <v>2</v>
      </c>
      <c r="AD264" s="4" t="n">
        <v>0</v>
      </c>
      <c r="AE264" s="8" t="n">
        <f aca="false">COUNTIF(F264:AD264,"&lt;=0")</f>
        <v>2</v>
      </c>
    </row>
    <row r="265" customFormat="false" ht="15" hidden="false" customHeight="false" outlineLevel="0" collapsed="false">
      <c r="A265" s="8" t="s">
        <v>90</v>
      </c>
      <c r="B265" s="8" t="s">
        <v>21</v>
      </c>
      <c r="C265" s="8" t="n">
        <v>110951</v>
      </c>
      <c r="D265" s="8" t="s">
        <v>356</v>
      </c>
      <c r="E265" s="4" t="n">
        <v>6</v>
      </c>
      <c r="F265" s="4" t="n">
        <v>3</v>
      </c>
      <c r="G265" s="4" t="n">
        <v>2</v>
      </c>
      <c r="H265" s="4" t="n">
        <v>5</v>
      </c>
      <c r="I265" s="4" t="n">
        <v>3</v>
      </c>
      <c r="J265" s="4" t="n">
        <v>0</v>
      </c>
      <c r="K265" s="4" t="n">
        <v>7</v>
      </c>
      <c r="L265" s="4" t="n">
        <v>2</v>
      </c>
      <c r="M265" s="4" t="n">
        <v>1</v>
      </c>
      <c r="N265" s="4" t="n">
        <v>4</v>
      </c>
      <c r="O265" s="4" t="n">
        <v>5</v>
      </c>
      <c r="P265" s="4" t="n">
        <v>3</v>
      </c>
      <c r="Q265" s="4" t="n">
        <v>2</v>
      </c>
      <c r="R265" s="4" t="n">
        <v>5</v>
      </c>
      <c r="S265" s="4" t="n">
        <v>4</v>
      </c>
      <c r="T265" s="4" t="n">
        <v>2</v>
      </c>
      <c r="U265" s="4" t="n">
        <v>3</v>
      </c>
      <c r="V265" s="4" t="n">
        <v>4</v>
      </c>
      <c r="W265" s="4" t="n">
        <v>4</v>
      </c>
      <c r="X265" s="4" t="n">
        <v>2</v>
      </c>
      <c r="Y265" s="4" t="n">
        <v>4</v>
      </c>
      <c r="Z265" s="4" t="n">
        <v>6</v>
      </c>
      <c r="AA265" s="4" t="n">
        <v>0</v>
      </c>
      <c r="AB265" s="4" t="n">
        <v>0</v>
      </c>
      <c r="AC265" s="4" t="n">
        <v>5</v>
      </c>
      <c r="AD265" s="4" t="n">
        <v>0</v>
      </c>
      <c r="AE265" s="8" t="n">
        <f aca="false">COUNTIF(F265:AD265,"&lt;=0")</f>
        <v>4</v>
      </c>
    </row>
    <row r="266" customFormat="false" ht="15" hidden="false" customHeight="false" outlineLevel="0" collapsed="false">
      <c r="A266" s="8" t="s">
        <v>90</v>
      </c>
      <c r="B266" s="8" t="s">
        <v>21</v>
      </c>
      <c r="C266" s="8" t="n">
        <v>110953</v>
      </c>
      <c r="D266" s="8" t="s">
        <v>391</v>
      </c>
      <c r="E266" s="4" t="n">
        <v>59</v>
      </c>
      <c r="F266" s="4" t="n">
        <v>3</v>
      </c>
      <c r="G266" s="4" t="n">
        <v>6</v>
      </c>
      <c r="H266" s="4" t="n">
        <v>5</v>
      </c>
      <c r="I266" s="4" t="n">
        <v>3</v>
      </c>
      <c r="J266" s="4" t="n">
        <v>3</v>
      </c>
      <c r="K266" s="4" t="n">
        <v>10</v>
      </c>
      <c r="L266" s="4" t="n">
        <v>4</v>
      </c>
      <c r="M266" s="4" t="n">
        <v>4</v>
      </c>
      <c r="N266" s="4" t="n">
        <v>2</v>
      </c>
      <c r="O266" s="4" t="n">
        <v>5</v>
      </c>
      <c r="P266" s="4" t="n">
        <v>4</v>
      </c>
      <c r="Q266" s="4" t="n">
        <v>1</v>
      </c>
      <c r="R266" s="4" t="n">
        <v>0</v>
      </c>
      <c r="S266" s="4" t="n">
        <v>3</v>
      </c>
      <c r="T266" s="4" t="n">
        <v>2</v>
      </c>
      <c r="U266" s="4" t="n">
        <v>1</v>
      </c>
      <c r="V266" s="4" t="n">
        <v>2</v>
      </c>
      <c r="W266" s="4" t="n">
        <v>0</v>
      </c>
      <c r="X266" s="4" t="n">
        <v>1</v>
      </c>
      <c r="Y266" s="4" t="n">
        <v>3</v>
      </c>
      <c r="Z266" s="4" t="n">
        <v>2</v>
      </c>
      <c r="AA266" s="4" t="n">
        <v>1</v>
      </c>
      <c r="AB266" s="4" t="n">
        <v>0</v>
      </c>
      <c r="AC266" s="4" t="n">
        <v>3</v>
      </c>
      <c r="AD266" s="4" t="n">
        <v>5</v>
      </c>
      <c r="AE266" s="8" t="n">
        <f aca="false">COUNTIF(F266:AD266,"&lt;=0")</f>
        <v>3</v>
      </c>
    </row>
    <row r="267" customFormat="false" ht="15" hidden="false" customHeight="false" outlineLevel="0" collapsed="false">
      <c r="A267" s="8" t="s">
        <v>90</v>
      </c>
      <c r="B267" s="8" t="s">
        <v>21</v>
      </c>
      <c r="C267" s="8" t="n">
        <v>110957</v>
      </c>
      <c r="D267" s="8" t="s">
        <v>645</v>
      </c>
      <c r="E267" s="4" t="n">
        <v>0</v>
      </c>
      <c r="F267" s="4" t="n">
        <v>3</v>
      </c>
      <c r="G267" s="4" t="n">
        <v>6</v>
      </c>
      <c r="H267" s="4" t="n">
        <v>5</v>
      </c>
      <c r="I267" s="4" t="n">
        <v>4</v>
      </c>
      <c r="J267" s="4" t="n">
        <v>5</v>
      </c>
      <c r="K267" s="4" t="n">
        <v>4</v>
      </c>
      <c r="L267" s="4" t="n">
        <v>4</v>
      </c>
      <c r="M267" s="4" t="n">
        <v>3</v>
      </c>
      <c r="N267" s="4" t="n">
        <v>3</v>
      </c>
      <c r="O267" s="4" t="n">
        <v>3</v>
      </c>
      <c r="P267" s="4" t="n">
        <v>4</v>
      </c>
      <c r="Q267" s="4" t="n">
        <v>4</v>
      </c>
      <c r="R267" s="4" t="n">
        <v>4</v>
      </c>
      <c r="S267" s="4" t="n">
        <v>4</v>
      </c>
      <c r="T267" s="4" t="n">
        <v>3</v>
      </c>
      <c r="U267" s="4" t="n">
        <v>5</v>
      </c>
      <c r="V267" s="4" t="n">
        <v>5</v>
      </c>
      <c r="W267" s="4" t="n">
        <v>1</v>
      </c>
      <c r="X267" s="4" t="n">
        <v>2</v>
      </c>
      <c r="Y267" s="4" t="n">
        <v>2</v>
      </c>
      <c r="Z267" s="4" t="n">
        <v>2</v>
      </c>
      <c r="AA267" s="4" t="n">
        <v>2</v>
      </c>
      <c r="AB267" s="4" t="n">
        <v>0</v>
      </c>
      <c r="AC267" s="4" t="n">
        <v>5</v>
      </c>
      <c r="AD267" s="4" t="n">
        <v>5</v>
      </c>
      <c r="AE267" s="8" t="n">
        <f aca="false">COUNTIF(F267:AD267,"&lt;=0")</f>
        <v>1</v>
      </c>
    </row>
    <row r="268" customFormat="false" ht="15" hidden="false" customHeight="false" outlineLevel="0" collapsed="false">
      <c r="A268" s="8" t="s">
        <v>90</v>
      </c>
      <c r="B268" s="8" t="s">
        <v>21</v>
      </c>
      <c r="C268" s="8" t="n">
        <v>110954</v>
      </c>
      <c r="D268" s="8" t="s">
        <v>363</v>
      </c>
      <c r="E268" s="4" t="n">
        <v>2</v>
      </c>
      <c r="F268" s="4" t="n">
        <v>3</v>
      </c>
      <c r="G268" s="4" t="n">
        <v>2</v>
      </c>
      <c r="H268" s="4" t="n">
        <v>6</v>
      </c>
      <c r="I268" s="4" t="n">
        <v>6</v>
      </c>
      <c r="J268" s="4" t="n">
        <v>5</v>
      </c>
      <c r="K268" s="4" t="n">
        <v>9</v>
      </c>
      <c r="L268" s="4" t="n">
        <v>4</v>
      </c>
      <c r="M268" s="4" t="n">
        <v>2</v>
      </c>
      <c r="N268" s="4" t="n">
        <v>4</v>
      </c>
      <c r="O268" s="4" t="n">
        <v>6</v>
      </c>
      <c r="P268" s="4" t="n">
        <v>6</v>
      </c>
      <c r="Q268" s="4" t="n">
        <v>3</v>
      </c>
      <c r="R268" s="4" t="n">
        <v>4</v>
      </c>
      <c r="S268" s="4" t="n">
        <v>3</v>
      </c>
      <c r="T268" s="4" t="n">
        <v>0</v>
      </c>
      <c r="U268" s="4" t="n">
        <v>5</v>
      </c>
      <c r="V268" s="4" t="n">
        <v>4</v>
      </c>
      <c r="W268" s="4" t="n">
        <v>2</v>
      </c>
      <c r="X268" s="4" t="n">
        <v>4</v>
      </c>
      <c r="Y268" s="4" t="n">
        <v>2</v>
      </c>
      <c r="Z268" s="4" t="n">
        <v>2</v>
      </c>
      <c r="AA268" s="4" t="n">
        <v>3</v>
      </c>
      <c r="AB268" s="4" t="n">
        <v>0</v>
      </c>
      <c r="AC268" s="4" t="n">
        <v>0</v>
      </c>
      <c r="AD268" s="4" t="n">
        <v>0</v>
      </c>
      <c r="AE268" s="8" t="n">
        <f aca="false">COUNTIF(F268:AD268,"&lt;=0")</f>
        <v>4</v>
      </c>
    </row>
    <row r="269" customFormat="false" ht="15" hidden="false" customHeight="false" outlineLevel="0" collapsed="false">
      <c r="A269" s="8" t="s">
        <v>90</v>
      </c>
      <c r="B269" s="8" t="s">
        <v>21</v>
      </c>
      <c r="C269" s="8" t="n">
        <v>110955</v>
      </c>
      <c r="D269" s="8" t="s">
        <v>646</v>
      </c>
      <c r="E269" s="4" t="n">
        <v>0</v>
      </c>
      <c r="F269" s="4" t="n">
        <v>3</v>
      </c>
      <c r="G269" s="4" t="n">
        <v>5</v>
      </c>
      <c r="H269" s="4" t="n">
        <v>5</v>
      </c>
      <c r="I269" s="4" t="n">
        <v>6</v>
      </c>
      <c r="J269" s="4" t="n">
        <v>6</v>
      </c>
      <c r="K269" s="4" t="n">
        <v>4</v>
      </c>
      <c r="L269" s="4" t="n">
        <v>2</v>
      </c>
      <c r="M269" s="4" t="n">
        <v>0</v>
      </c>
      <c r="N269" s="4" t="n">
        <v>4</v>
      </c>
      <c r="O269" s="4" t="n">
        <v>5</v>
      </c>
      <c r="P269" s="4" t="n">
        <v>6</v>
      </c>
      <c r="Q269" s="4" t="n">
        <v>2</v>
      </c>
      <c r="R269" s="4" t="n">
        <v>4</v>
      </c>
      <c r="S269" s="4" t="n">
        <v>4</v>
      </c>
      <c r="T269" s="4" t="n">
        <v>5</v>
      </c>
      <c r="U269" s="4" t="n">
        <v>6</v>
      </c>
      <c r="V269" s="4" t="n">
        <v>4</v>
      </c>
      <c r="W269" s="4" t="n">
        <v>3</v>
      </c>
      <c r="X269" s="4" t="n">
        <v>4</v>
      </c>
      <c r="Y269" s="4" t="n">
        <v>6</v>
      </c>
      <c r="Z269" s="4" t="n">
        <v>4</v>
      </c>
      <c r="AA269" s="4" t="n">
        <v>4</v>
      </c>
      <c r="AB269" s="4" t="n">
        <v>0</v>
      </c>
      <c r="AC269" s="4" t="n">
        <v>0</v>
      </c>
      <c r="AD269" s="4" t="n">
        <v>0</v>
      </c>
      <c r="AE269" s="8" t="n">
        <f aca="false">COUNTIF(F269:AD269,"&lt;=0")</f>
        <v>4</v>
      </c>
    </row>
    <row r="270" customFormat="false" ht="15" hidden="false" customHeight="false" outlineLevel="0" collapsed="false">
      <c r="A270" s="8" t="s">
        <v>79</v>
      </c>
      <c r="B270" s="8" t="s">
        <v>21</v>
      </c>
      <c r="C270" s="8" t="n">
        <v>178169</v>
      </c>
      <c r="D270" s="8" t="s">
        <v>647</v>
      </c>
      <c r="E270" s="4" t="n">
        <v>0</v>
      </c>
      <c r="F270" s="4" t="n">
        <v>0</v>
      </c>
      <c r="G270" s="4" t="n">
        <v>2</v>
      </c>
      <c r="H270" s="4" t="n">
        <v>2</v>
      </c>
      <c r="I270" s="4" t="n">
        <v>6</v>
      </c>
      <c r="J270" s="4" t="n">
        <v>3</v>
      </c>
      <c r="K270" s="4" t="n">
        <v>6</v>
      </c>
      <c r="L270" s="4" t="n">
        <v>5</v>
      </c>
      <c r="M270" s="4" t="n">
        <v>3</v>
      </c>
      <c r="N270" s="4" t="n">
        <v>4</v>
      </c>
      <c r="O270" s="4" t="n">
        <v>6</v>
      </c>
      <c r="P270" s="4" t="n">
        <v>7</v>
      </c>
      <c r="Q270" s="4" t="n">
        <v>2</v>
      </c>
      <c r="R270" s="4" t="n">
        <v>3</v>
      </c>
      <c r="S270" s="4" t="n">
        <v>2</v>
      </c>
      <c r="T270" s="4" t="n">
        <v>3</v>
      </c>
      <c r="U270" s="4" t="n">
        <v>3</v>
      </c>
      <c r="V270" s="4" t="n">
        <v>3</v>
      </c>
      <c r="W270" s="4" t="n">
        <v>2</v>
      </c>
      <c r="X270" s="4" t="n">
        <v>3</v>
      </c>
      <c r="Y270" s="4" t="n">
        <v>1</v>
      </c>
      <c r="Z270" s="4" t="n">
        <v>3</v>
      </c>
      <c r="AA270" s="4" t="n">
        <v>2</v>
      </c>
      <c r="AB270" s="4" t="n">
        <v>0</v>
      </c>
      <c r="AC270" s="4" t="n">
        <v>1</v>
      </c>
      <c r="AD270" s="4" t="n">
        <v>0</v>
      </c>
      <c r="AE270" s="8" t="n">
        <f aca="false">COUNTIF(F270:AD270,"&lt;=0")</f>
        <v>3</v>
      </c>
    </row>
    <row r="271" customFormat="false" ht="15" hidden="false" customHeight="false" outlineLevel="0" collapsed="false">
      <c r="A271" s="8" t="s">
        <v>79</v>
      </c>
      <c r="B271" s="8" t="s">
        <v>21</v>
      </c>
      <c r="C271" s="8" t="n">
        <v>110470</v>
      </c>
      <c r="D271" s="8" t="s">
        <v>648</v>
      </c>
      <c r="E271" s="4" t="n">
        <v>0</v>
      </c>
      <c r="F271" s="4" t="n">
        <v>0</v>
      </c>
      <c r="G271" s="4" t="n">
        <v>5</v>
      </c>
      <c r="H271" s="4" t="n">
        <v>2</v>
      </c>
      <c r="I271" s="4" t="n">
        <v>5</v>
      </c>
      <c r="J271" s="4" t="n">
        <v>7</v>
      </c>
      <c r="K271" s="4" t="n">
        <v>14</v>
      </c>
      <c r="L271" s="4" t="n">
        <v>2</v>
      </c>
      <c r="M271" s="4" t="n">
        <v>4</v>
      </c>
      <c r="N271" s="4" t="n">
        <v>4</v>
      </c>
      <c r="O271" s="4" t="n">
        <v>22</v>
      </c>
      <c r="P271" s="4" t="n">
        <v>2</v>
      </c>
      <c r="Q271" s="4" t="n">
        <v>4</v>
      </c>
      <c r="R271" s="4" t="n">
        <v>1</v>
      </c>
      <c r="S271" s="4" t="n">
        <v>4</v>
      </c>
      <c r="T271" s="4" t="n">
        <v>2</v>
      </c>
      <c r="U271" s="4" t="n">
        <v>4</v>
      </c>
      <c r="V271" s="4" t="n">
        <v>4</v>
      </c>
      <c r="W271" s="4" t="n">
        <v>0</v>
      </c>
      <c r="X271" s="4" t="n">
        <v>1</v>
      </c>
      <c r="Y271" s="4" t="n">
        <v>1</v>
      </c>
      <c r="Z271" s="4" t="n">
        <v>3</v>
      </c>
      <c r="AA271" s="4" t="n">
        <v>3</v>
      </c>
      <c r="AB271" s="4" t="n">
        <v>0</v>
      </c>
      <c r="AC271" s="4" t="n">
        <v>2</v>
      </c>
      <c r="AD271" s="4" t="n">
        <v>0</v>
      </c>
      <c r="AE271" s="8" t="n">
        <f aca="false">COUNTIF(F271:AD271,"&lt;=0")</f>
        <v>4</v>
      </c>
    </row>
    <row r="272" customFormat="false" ht="15" hidden="false" customHeight="false" outlineLevel="0" collapsed="false">
      <c r="A272" s="8" t="s">
        <v>79</v>
      </c>
      <c r="B272" s="8" t="s">
        <v>21</v>
      </c>
      <c r="C272" s="8" t="n">
        <v>110546</v>
      </c>
      <c r="D272" s="8" t="s">
        <v>649</v>
      </c>
      <c r="E272" s="4" t="n">
        <v>0</v>
      </c>
      <c r="F272" s="4" t="n">
        <v>0</v>
      </c>
      <c r="G272" s="4" t="n">
        <v>3</v>
      </c>
      <c r="H272" s="4" t="n">
        <v>3</v>
      </c>
      <c r="I272" s="4" t="n">
        <v>3</v>
      </c>
      <c r="J272" s="4" t="n">
        <v>5</v>
      </c>
      <c r="K272" s="4" t="n">
        <v>11</v>
      </c>
      <c r="L272" s="4" t="n">
        <v>5</v>
      </c>
      <c r="M272" s="4" t="n">
        <v>1</v>
      </c>
      <c r="N272" s="4" t="n">
        <v>3</v>
      </c>
      <c r="O272" s="4" t="n">
        <v>2</v>
      </c>
      <c r="P272" s="4" t="n">
        <v>2</v>
      </c>
      <c r="Q272" s="4" t="n">
        <v>3</v>
      </c>
      <c r="R272" s="4" t="n">
        <v>3</v>
      </c>
      <c r="S272" s="4" t="n">
        <v>3</v>
      </c>
      <c r="T272" s="4" t="n">
        <v>5</v>
      </c>
      <c r="U272" s="4" t="n">
        <v>5</v>
      </c>
      <c r="V272" s="4" t="n">
        <v>0</v>
      </c>
      <c r="W272" s="4" t="n">
        <v>1</v>
      </c>
      <c r="X272" s="4" t="n">
        <v>2</v>
      </c>
      <c r="Y272" s="4" t="n">
        <v>1</v>
      </c>
      <c r="Z272" s="4" t="n">
        <v>3</v>
      </c>
      <c r="AA272" s="4" t="n">
        <v>1</v>
      </c>
      <c r="AB272" s="4" t="n">
        <v>0</v>
      </c>
      <c r="AC272" s="4" t="n">
        <v>0</v>
      </c>
      <c r="AD272" s="4" t="n">
        <v>3</v>
      </c>
      <c r="AE272" s="8" t="n">
        <f aca="false">COUNTIF(F272:AD272,"&lt;=0")</f>
        <v>4</v>
      </c>
    </row>
    <row r="273" customFormat="false" ht="15" hidden="false" customHeight="false" outlineLevel="0" collapsed="false">
      <c r="A273" s="8" t="s">
        <v>79</v>
      </c>
      <c r="B273" s="8" t="s">
        <v>21</v>
      </c>
      <c r="C273" s="8" t="n">
        <v>110540</v>
      </c>
      <c r="D273" s="8" t="s">
        <v>650</v>
      </c>
      <c r="E273" s="4" t="n">
        <v>0</v>
      </c>
      <c r="F273" s="4" t="n">
        <v>0</v>
      </c>
      <c r="G273" s="4" t="n">
        <v>8</v>
      </c>
      <c r="H273" s="4" t="n">
        <v>3</v>
      </c>
      <c r="I273" s="4" t="n">
        <v>10</v>
      </c>
      <c r="J273" s="4" t="n">
        <v>8</v>
      </c>
      <c r="K273" s="4" t="n">
        <v>20</v>
      </c>
      <c r="L273" s="4" t="n">
        <v>4</v>
      </c>
      <c r="M273" s="4" t="n">
        <v>33</v>
      </c>
      <c r="N273" s="4" t="n">
        <v>15</v>
      </c>
      <c r="O273" s="4" t="n">
        <v>2</v>
      </c>
      <c r="P273" s="4" t="n">
        <v>10</v>
      </c>
      <c r="Q273" s="4" t="n">
        <v>9</v>
      </c>
      <c r="R273" s="4" t="n">
        <v>4</v>
      </c>
      <c r="S273" s="4" t="n">
        <v>9</v>
      </c>
      <c r="T273" s="4" t="n">
        <v>3</v>
      </c>
      <c r="U273" s="4" t="n">
        <v>4</v>
      </c>
      <c r="V273" s="4" t="n">
        <v>3</v>
      </c>
      <c r="W273" s="4" t="n">
        <v>0</v>
      </c>
      <c r="X273" s="4" t="n">
        <v>1</v>
      </c>
      <c r="Y273" s="4" t="n">
        <v>2</v>
      </c>
      <c r="Z273" s="4" t="n">
        <v>6</v>
      </c>
      <c r="AA273" s="4" t="n">
        <v>2</v>
      </c>
      <c r="AB273" s="4" t="n">
        <v>0</v>
      </c>
      <c r="AC273" s="4" t="n">
        <v>6</v>
      </c>
      <c r="AD273" s="4" t="n">
        <v>0</v>
      </c>
      <c r="AE273" s="8" t="n">
        <f aca="false">COUNTIF(F273:AD273,"&lt;=0")</f>
        <v>4</v>
      </c>
    </row>
    <row r="274" customFormat="false" ht="15" hidden="false" customHeight="false" outlineLevel="0" collapsed="false">
      <c r="A274" s="8" t="s">
        <v>79</v>
      </c>
      <c r="B274" s="8" t="s">
        <v>21</v>
      </c>
      <c r="C274" s="8" t="n">
        <v>110511</v>
      </c>
      <c r="D274" s="8" t="s">
        <v>651</v>
      </c>
      <c r="E274" s="4" t="n">
        <v>0</v>
      </c>
      <c r="F274" s="4" t="n">
        <v>0</v>
      </c>
      <c r="G274" s="4" t="n">
        <v>6</v>
      </c>
      <c r="H274" s="4" t="n">
        <v>3</v>
      </c>
      <c r="I274" s="4" t="n">
        <v>7</v>
      </c>
      <c r="J274" s="4" t="n">
        <v>2</v>
      </c>
      <c r="K274" s="4" t="n">
        <v>23</v>
      </c>
      <c r="L274" s="4" t="n">
        <v>11</v>
      </c>
      <c r="M274" s="4" t="n">
        <v>16</v>
      </c>
      <c r="N274" s="4" t="n">
        <v>8</v>
      </c>
      <c r="O274" s="4" t="n">
        <v>21</v>
      </c>
      <c r="P274" s="4" t="n">
        <v>2</v>
      </c>
      <c r="Q274" s="4" t="n">
        <v>8</v>
      </c>
      <c r="R274" s="4" t="n">
        <v>5</v>
      </c>
      <c r="S274" s="4" t="n">
        <v>4</v>
      </c>
      <c r="T274" s="4" t="n">
        <v>4</v>
      </c>
      <c r="U274" s="4" t="n">
        <v>3</v>
      </c>
      <c r="V274" s="4" t="n">
        <v>3</v>
      </c>
      <c r="W274" s="4" t="n">
        <v>0</v>
      </c>
      <c r="X274" s="4" t="n">
        <v>4</v>
      </c>
      <c r="Y274" s="4" t="n">
        <v>0</v>
      </c>
      <c r="Z274" s="4" t="n">
        <v>5</v>
      </c>
      <c r="AA274" s="4" t="n">
        <v>2</v>
      </c>
      <c r="AB274" s="4" t="n">
        <v>0</v>
      </c>
      <c r="AC274" s="4" t="n">
        <v>8</v>
      </c>
      <c r="AD274" s="4" t="n">
        <v>0</v>
      </c>
      <c r="AE274" s="8" t="n">
        <f aca="false">COUNTIF(F274:AD274,"&lt;=0")</f>
        <v>5</v>
      </c>
    </row>
    <row r="275" customFormat="false" ht="15" hidden="false" customHeight="false" outlineLevel="0" collapsed="false">
      <c r="A275" s="8" t="s">
        <v>104</v>
      </c>
      <c r="B275" s="8" t="s">
        <v>21</v>
      </c>
      <c r="C275" s="8" t="n">
        <v>111043</v>
      </c>
      <c r="D275" s="8" t="s">
        <v>652</v>
      </c>
      <c r="E275" s="4" t="n">
        <v>0</v>
      </c>
      <c r="F275" s="4" t="n">
        <v>3</v>
      </c>
      <c r="G275" s="4" t="n">
        <v>9</v>
      </c>
      <c r="H275" s="4" t="n">
        <v>8</v>
      </c>
      <c r="I275" s="4" t="n">
        <v>12</v>
      </c>
      <c r="J275" s="4" t="n">
        <v>8</v>
      </c>
      <c r="K275" s="4" t="n">
        <v>16</v>
      </c>
      <c r="L275" s="4" t="n">
        <v>3</v>
      </c>
      <c r="M275" s="4" t="n">
        <v>8</v>
      </c>
      <c r="N275" s="4" t="n">
        <v>13</v>
      </c>
      <c r="O275" s="4" t="n">
        <v>12</v>
      </c>
      <c r="P275" s="4" t="n">
        <v>4</v>
      </c>
      <c r="Q275" s="4" t="n">
        <v>14</v>
      </c>
      <c r="R275" s="4" t="n">
        <v>14</v>
      </c>
      <c r="S275" s="4" t="n">
        <v>0</v>
      </c>
      <c r="T275" s="4" t="n">
        <v>6</v>
      </c>
      <c r="U275" s="4" t="n">
        <v>7</v>
      </c>
      <c r="V275" s="4" t="n">
        <v>9</v>
      </c>
      <c r="W275" s="4" t="n">
        <v>8</v>
      </c>
      <c r="X275" s="4" t="n">
        <v>8</v>
      </c>
      <c r="Y275" s="4" t="n">
        <v>4</v>
      </c>
      <c r="Z275" s="4" t="n">
        <v>8</v>
      </c>
      <c r="AA275" s="4" t="n">
        <v>5</v>
      </c>
      <c r="AB275" s="4" t="n">
        <v>0</v>
      </c>
      <c r="AC275" s="4" t="n">
        <v>12</v>
      </c>
      <c r="AD275" s="4" t="n">
        <v>0</v>
      </c>
      <c r="AE275" s="8" t="n">
        <f aca="false">COUNTIF(F275:AD275,"&lt;=0")</f>
        <v>3</v>
      </c>
    </row>
    <row r="276" customFormat="false" ht="15" hidden="false" customHeight="false" outlineLevel="0" collapsed="false">
      <c r="A276" s="8" t="s">
        <v>104</v>
      </c>
      <c r="B276" s="8" t="s">
        <v>21</v>
      </c>
      <c r="C276" s="8" t="n">
        <v>111044</v>
      </c>
      <c r="D276" s="8" t="s">
        <v>653</v>
      </c>
      <c r="E276" s="4" t="n">
        <v>0</v>
      </c>
      <c r="F276" s="4" t="n">
        <v>3</v>
      </c>
      <c r="G276" s="4" t="n">
        <v>13</v>
      </c>
      <c r="H276" s="4" t="n">
        <v>6</v>
      </c>
      <c r="I276" s="4" t="n">
        <v>17</v>
      </c>
      <c r="J276" s="4" t="n">
        <v>7</v>
      </c>
      <c r="K276" s="4" t="n">
        <v>13</v>
      </c>
      <c r="L276" s="4" t="n">
        <v>14</v>
      </c>
      <c r="M276" s="4" t="n">
        <v>9</v>
      </c>
      <c r="N276" s="4" t="n">
        <v>3</v>
      </c>
      <c r="O276" s="4" t="n">
        <v>10</v>
      </c>
      <c r="P276" s="4" t="n">
        <v>11</v>
      </c>
      <c r="Q276" s="4" t="n">
        <v>5</v>
      </c>
      <c r="R276" s="4" t="n">
        <v>6</v>
      </c>
      <c r="S276" s="4" t="n">
        <v>7</v>
      </c>
      <c r="T276" s="4" t="n">
        <v>6</v>
      </c>
      <c r="U276" s="4" t="n">
        <v>11</v>
      </c>
      <c r="V276" s="4" t="n">
        <v>6</v>
      </c>
      <c r="W276" s="4" t="n">
        <v>6</v>
      </c>
      <c r="X276" s="4" t="n">
        <v>2</v>
      </c>
      <c r="Y276" s="4" t="n">
        <v>7</v>
      </c>
      <c r="Z276" s="4" t="n">
        <v>3</v>
      </c>
      <c r="AA276" s="4" t="n">
        <v>5</v>
      </c>
      <c r="AB276" s="4" t="n">
        <v>0</v>
      </c>
      <c r="AC276" s="4" t="n">
        <v>3</v>
      </c>
      <c r="AD276" s="4" t="n">
        <v>0</v>
      </c>
      <c r="AE276" s="8" t="n">
        <f aca="false">COUNTIF(F276:AD276,"&lt;=0")</f>
        <v>2</v>
      </c>
    </row>
    <row r="277" customFormat="false" ht="15" hidden="false" customHeight="false" outlineLevel="0" collapsed="false">
      <c r="A277" s="8" t="s">
        <v>104</v>
      </c>
      <c r="B277" s="8" t="s">
        <v>21</v>
      </c>
      <c r="C277" s="8" t="n">
        <v>111045</v>
      </c>
      <c r="D277" s="8" t="s">
        <v>654</v>
      </c>
      <c r="E277" s="4" t="n">
        <v>0</v>
      </c>
      <c r="F277" s="4" t="n">
        <v>3</v>
      </c>
      <c r="G277" s="4" t="n">
        <v>9</v>
      </c>
      <c r="H277" s="4" t="n">
        <v>14</v>
      </c>
      <c r="I277" s="4" t="n">
        <v>14</v>
      </c>
      <c r="J277" s="4" t="n">
        <v>12</v>
      </c>
      <c r="K277" s="4" t="n">
        <v>20</v>
      </c>
      <c r="L277" s="4" t="n">
        <v>3</v>
      </c>
      <c r="M277" s="4" t="n">
        <v>10</v>
      </c>
      <c r="N277" s="4" t="n">
        <v>11</v>
      </c>
      <c r="O277" s="4" t="n">
        <v>8</v>
      </c>
      <c r="P277" s="4" t="n">
        <v>11</v>
      </c>
      <c r="Q277" s="4" t="n">
        <v>10</v>
      </c>
      <c r="R277" s="4" t="n">
        <v>8</v>
      </c>
      <c r="S277" s="4" t="n">
        <v>5</v>
      </c>
      <c r="T277" s="4" t="n">
        <v>6</v>
      </c>
      <c r="U277" s="4" t="n">
        <v>6</v>
      </c>
      <c r="V277" s="4" t="n">
        <v>3</v>
      </c>
      <c r="W277" s="4" t="n">
        <v>13</v>
      </c>
      <c r="X277" s="4" t="n">
        <v>8</v>
      </c>
      <c r="Y277" s="4" t="n">
        <v>8</v>
      </c>
      <c r="Z277" s="4" t="n">
        <v>8</v>
      </c>
      <c r="AA277" s="4" t="n">
        <v>7</v>
      </c>
      <c r="AB277" s="4" t="n">
        <v>0</v>
      </c>
      <c r="AC277" s="4" t="n">
        <v>5</v>
      </c>
      <c r="AD277" s="4" t="n">
        <v>0</v>
      </c>
      <c r="AE277" s="8" t="n">
        <f aca="false">COUNTIF(F277:AD277,"&lt;=0")</f>
        <v>2</v>
      </c>
    </row>
    <row r="278" customFormat="false" ht="15" hidden="false" customHeight="false" outlineLevel="0" collapsed="false">
      <c r="A278" s="8" t="s">
        <v>71</v>
      </c>
      <c r="B278" s="8" t="s">
        <v>21</v>
      </c>
      <c r="C278" s="8" t="n">
        <v>110495</v>
      </c>
      <c r="D278" s="8" t="s">
        <v>655</v>
      </c>
      <c r="E278" s="4" t="n">
        <v>0</v>
      </c>
      <c r="F278" s="4" t="n">
        <v>0</v>
      </c>
      <c r="G278" s="4" t="n">
        <v>4</v>
      </c>
      <c r="H278" s="4" t="n">
        <v>7</v>
      </c>
      <c r="I278" s="4" t="n">
        <v>6</v>
      </c>
      <c r="J278" s="4" t="n">
        <v>6</v>
      </c>
      <c r="K278" s="4" t="n">
        <v>8</v>
      </c>
      <c r="L278" s="4" t="n">
        <v>4</v>
      </c>
      <c r="M278" s="4" t="n">
        <v>4</v>
      </c>
      <c r="N278" s="4" t="n">
        <v>2</v>
      </c>
      <c r="O278" s="4" t="n">
        <v>0</v>
      </c>
      <c r="P278" s="4" t="n">
        <v>4</v>
      </c>
      <c r="Q278" s="4" t="n">
        <v>2</v>
      </c>
      <c r="R278" s="4" t="n">
        <v>2</v>
      </c>
      <c r="S278" s="4" t="n">
        <v>4</v>
      </c>
      <c r="T278" s="4" t="n">
        <v>2</v>
      </c>
      <c r="U278" s="4" t="n">
        <v>5</v>
      </c>
      <c r="V278" s="4" t="n">
        <v>2</v>
      </c>
      <c r="W278" s="4" t="n">
        <v>2</v>
      </c>
      <c r="X278" s="4" t="n">
        <v>2</v>
      </c>
      <c r="Y278" s="4" t="n">
        <v>2</v>
      </c>
      <c r="Z278" s="4" t="n">
        <v>2</v>
      </c>
      <c r="AA278" s="4" t="n">
        <v>2</v>
      </c>
      <c r="AB278" s="4" t="n">
        <v>0</v>
      </c>
      <c r="AC278" s="4" t="n">
        <v>3</v>
      </c>
      <c r="AD278" s="4" t="n">
        <v>0</v>
      </c>
      <c r="AE278" s="8" t="n">
        <f aca="false">COUNTIF(F278:AD278,"&lt;=0")</f>
        <v>4</v>
      </c>
    </row>
    <row r="279" customFormat="false" ht="15" hidden="false" customHeight="false" outlineLevel="0" collapsed="false">
      <c r="A279" s="8" t="s">
        <v>71</v>
      </c>
      <c r="B279" s="8" t="s">
        <v>21</v>
      </c>
      <c r="C279" s="8" t="n">
        <v>110498</v>
      </c>
      <c r="D279" s="8" t="s">
        <v>656</v>
      </c>
      <c r="E279" s="4" t="n">
        <v>0</v>
      </c>
      <c r="F279" s="4" t="n">
        <v>0</v>
      </c>
      <c r="G279" s="4" t="n">
        <v>6</v>
      </c>
      <c r="H279" s="4" t="n">
        <v>10</v>
      </c>
      <c r="I279" s="4" t="n">
        <v>10</v>
      </c>
      <c r="J279" s="4" t="n">
        <v>12</v>
      </c>
      <c r="K279" s="4" t="n">
        <v>11</v>
      </c>
      <c r="L279" s="4" t="n">
        <v>9</v>
      </c>
      <c r="M279" s="4" t="n">
        <v>9</v>
      </c>
      <c r="N279" s="4" t="n">
        <v>4</v>
      </c>
      <c r="O279" s="4" t="n">
        <v>2</v>
      </c>
      <c r="P279" s="4" t="n">
        <v>4</v>
      </c>
      <c r="Q279" s="4" t="n">
        <v>3</v>
      </c>
      <c r="R279" s="4" t="n">
        <v>2</v>
      </c>
      <c r="S279" s="4" t="n">
        <v>3</v>
      </c>
      <c r="T279" s="4" t="n">
        <v>9</v>
      </c>
      <c r="U279" s="4" t="n">
        <v>11</v>
      </c>
      <c r="V279" s="4" t="n">
        <v>2</v>
      </c>
      <c r="W279" s="4" t="n">
        <v>4</v>
      </c>
      <c r="X279" s="4" t="n">
        <v>5</v>
      </c>
      <c r="Y279" s="4" t="n">
        <v>4</v>
      </c>
      <c r="Z279" s="4" t="n">
        <v>2</v>
      </c>
      <c r="AA279" s="4" t="n">
        <v>6</v>
      </c>
      <c r="AB279" s="4" t="n">
        <v>0</v>
      </c>
      <c r="AC279" s="4" t="n">
        <v>0</v>
      </c>
      <c r="AD279" s="4" t="n">
        <v>0</v>
      </c>
      <c r="AE279" s="8" t="n">
        <f aca="false">COUNTIF(F279:AD279,"&lt;=0")</f>
        <v>4</v>
      </c>
    </row>
    <row r="280" customFormat="false" ht="15" hidden="false" customHeight="false" outlineLevel="0" collapsed="false">
      <c r="A280" s="8" t="s">
        <v>71</v>
      </c>
      <c r="B280" s="8" t="s">
        <v>21</v>
      </c>
      <c r="C280" s="8" t="n">
        <v>110547</v>
      </c>
      <c r="D280" s="8" t="s">
        <v>657</v>
      </c>
      <c r="E280" s="4" t="n">
        <v>0</v>
      </c>
      <c r="F280" s="4" t="n">
        <v>0</v>
      </c>
      <c r="G280" s="4" t="n">
        <v>6</v>
      </c>
      <c r="H280" s="4" t="n">
        <v>6</v>
      </c>
      <c r="I280" s="4" t="n">
        <v>11</v>
      </c>
      <c r="J280" s="4" t="n">
        <v>10</v>
      </c>
      <c r="K280" s="4" t="n">
        <v>12</v>
      </c>
      <c r="L280" s="4" t="n">
        <v>8</v>
      </c>
      <c r="M280" s="4" t="n">
        <v>6</v>
      </c>
      <c r="N280" s="4" t="n">
        <v>7</v>
      </c>
      <c r="O280" s="4" t="n">
        <v>9</v>
      </c>
      <c r="P280" s="4" t="n">
        <v>9</v>
      </c>
      <c r="Q280" s="4" t="n">
        <v>1</v>
      </c>
      <c r="R280" s="4" t="n">
        <v>4</v>
      </c>
      <c r="S280" s="4" t="n">
        <v>6</v>
      </c>
      <c r="T280" s="4" t="n">
        <v>3</v>
      </c>
      <c r="U280" s="4" t="n">
        <v>8</v>
      </c>
      <c r="V280" s="4" t="n">
        <v>4</v>
      </c>
      <c r="W280" s="4" t="n">
        <v>3</v>
      </c>
      <c r="X280" s="4" t="n">
        <v>3</v>
      </c>
      <c r="Y280" s="4" t="n">
        <v>3</v>
      </c>
      <c r="Z280" s="4" t="n">
        <v>1</v>
      </c>
      <c r="AA280" s="4" t="n">
        <v>5</v>
      </c>
      <c r="AB280" s="4" t="n">
        <v>0</v>
      </c>
      <c r="AC280" s="4" t="n">
        <v>3</v>
      </c>
      <c r="AD280" s="4" t="n">
        <v>0</v>
      </c>
      <c r="AE280" s="8" t="n">
        <f aca="false">COUNTIF(F280:AD280,"&lt;=0")</f>
        <v>3</v>
      </c>
    </row>
    <row r="281" customFormat="false" ht="15" hidden="false" customHeight="false" outlineLevel="0" collapsed="false">
      <c r="A281" s="8" t="s">
        <v>71</v>
      </c>
      <c r="B281" s="8" t="s">
        <v>21</v>
      </c>
      <c r="C281" s="8" t="n">
        <v>110496</v>
      </c>
      <c r="D281" s="8" t="s">
        <v>658</v>
      </c>
      <c r="E281" s="4" t="n">
        <v>0</v>
      </c>
      <c r="F281" s="4" t="n">
        <v>0</v>
      </c>
      <c r="G281" s="4" t="n">
        <v>5</v>
      </c>
      <c r="H281" s="4" t="n">
        <v>8</v>
      </c>
      <c r="I281" s="4" t="n">
        <v>5</v>
      </c>
      <c r="J281" s="4" t="n">
        <v>4</v>
      </c>
      <c r="K281" s="4" t="n">
        <v>17</v>
      </c>
      <c r="L281" s="4" t="n">
        <v>7</v>
      </c>
      <c r="M281" s="4" t="n">
        <v>7</v>
      </c>
      <c r="N281" s="4" t="n">
        <v>3</v>
      </c>
      <c r="O281" s="4" t="n">
        <v>6</v>
      </c>
      <c r="P281" s="4" t="n">
        <v>4</v>
      </c>
      <c r="Q281" s="4" t="n">
        <v>4</v>
      </c>
      <c r="R281" s="4" t="n">
        <v>3</v>
      </c>
      <c r="S281" s="4" t="n">
        <v>1</v>
      </c>
      <c r="T281" s="4" t="n">
        <v>4</v>
      </c>
      <c r="U281" s="4" t="n">
        <v>4</v>
      </c>
      <c r="V281" s="4" t="n">
        <v>3</v>
      </c>
      <c r="W281" s="4" t="n">
        <v>3</v>
      </c>
      <c r="X281" s="4" t="n">
        <v>2</v>
      </c>
      <c r="Y281" s="4" t="n">
        <v>5</v>
      </c>
      <c r="Z281" s="4" t="n">
        <v>8</v>
      </c>
      <c r="AA281" s="4" t="n">
        <v>3</v>
      </c>
      <c r="AB281" s="4" t="n">
        <v>0</v>
      </c>
      <c r="AC281" s="4" t="n">
        <v>4</v>
      </c>
      <c r="AD281" s="4" t="n">
        <v>0</v>
      </c>
      <c r="AE281" s="8" t="n">
        <f aca="false">COUNTIF(F281:AD281,"&lt;=0")</f>
        <v>3</v>
      </c>
    </row>
    <row r="282" customFormat="false" ht="15" hidden="false" customHeight="false" outlineLevel="0" collapsed="false">
      <c r="A282" s="8" t="s">
        <v>71</v>
      </c>
      <c r="B282" s="8" t="s">
        <v>21</v>
      </c>
      <c r="C282" s="8" t="n">
        <v>110497</v>
      </c>
      <c r="D282" s="8" t="s">
        <v>659</v>
      </c>
      <c r="E282" s="4" t="n">
        <v>0</v>
      </c>
      <c r="F282" s="4" t="n">
        <v>0</v>
      </c>
      <c r="G282" s="4" t="n">
        <v>5</v>
      </c>
      <c r="H282" s="4" t="n">
        <v>3</v>
      </c>
      <c r="I282" s="4" t="n">
        <v>6</v>
      </c>
      <c r="J282" s="4" t="n">
        <v>6</v>
      </c>
      <c r="K282" s="4" t="n">
        <v>13</v>
      </c>
      <c r="L282" s="4" t="n">
        <v>6</v>
      </c>
      <c r="M282" s="4" t="n">
        <v>7</v>
      </c>
      <c r="N282" s="4" t="n">
        <v>1</v>
      </c>
      <c r="O282" s="4" t="n">
        <v>4</v>
      </c>
      <c r="P282" s="4" t="n">
        <v>5</v>
      </c>
      <c r="Q282" s="4" t="n">
        <v>3</v>
      </c>
      <c r="R282" s="4" t="n">
        <v>7</v>
      </c>
      <c r="S282" s="4" t="n">
        <v>5</v>
      </c>
      <c r="T282" s="4" t="n">
        <v>6</v>
      </c>
      <c r="U282" s="4" t="n">
        <v>4</v>
      </c>
      <c r="V282" s="4" t="n">
        <v>7</v>
      </c>
      <c r="W282" s="4" t="n">
        <v>1</v>
      </c>
      <c r="X282" s="4" t="n">
        <v>5</v>
      </c>
      <c r="Y282" s="4" t="n">
        <v>6</v>
      </c>
      <c r="Z282" s="4" t="n">
        <v>5</v>
      </c>
      <c r="AA282" s="4" t="n">
        <v>5</v>
      </c>
      <c r="AB282" s="4" t="n">
        <v>0</v>
      </c>
      <c r="AC282" s="4" t="n">
        <v>7</v>
      </c>
      <c r="AD282" s="4" t="n">
        <v>0</v>
      </c>
      <c r="AE282" s="8" t="n">
        <f aca="false">COUNTIF(F282:AD282,"&lt;=0")</f>
        <v>3</v>
      </c>
    </row>
    <row r="283" customFormat="false" ht="15" hidden="false" customHeight="false" outlineLevel="0" collapsed="false">
      <c r="A283" s="8" t="s">
        <v>85</v>
      </c>
      <c r="B283" s="8" t="s">
        <v>21</v>
      </c>
      <c r="C283" s="8" t="n">
        <v>110963</v>
      </c>
      <c r="D283" s="8" t="s">
        <v>660</v>
      </c>
      <c r="E283" s="4" t="n">
        <v>0</v>
      </c>
      <c r="F283" s="4" t="n">
        <v>0</v>
      </c>
      <c r="G283" s="4" t="n">
        <v>7</v>
      </c>
      <c r="H283" s="4" t="n">
        <v>3</v>
      </c>
      <c r="I283" s="4" t="n">
        <v>3</v>
      </c>
      <c r="J283" s="4" t="n">
        <v>8</v>
      </c>
      <c r="K283" s="4" t="n">
        <v>12</v>
      </c>
      <c r="L283" s="4" t="n">
        <v>7</v>
      </c>
      <c r="M283" s="4" t="n">
        <v>8</v>
      </c>
      <c r="N283" s="4" t="n">
        <v>3</v>
      </c>
      <c r="O283" s="4" t="n">
        <v>8</v>
      </c>
      <c r="P283" s="4" t="n">
        <v>7</v>
      </c>
      <c r="Q283" s="4" t="n">
        <v>3</v>
      </c>
      <c r="R283" s="4" t="n">
        <v>18</v>
      </c>
      <c r="S283" s="4" t="n">
        <v>4</v>
      </c>
      <c r="T283" s="4" t="n">
        <v>5</v>
      </c>
      <c r="U283" s="4" t="n">
        <v>8</v>
      </c>
      <c r="V283" s="4" t="n">
        <v>8</v>
      </c>
      <c r="W283" s="4" t="n">
        <v>3</v>
      </c>
      <c r="X283" s="4" t="n">
        <v>2</v>
      </c>
      <c r="Y283" s="4" t="n">
        <v>4</v>
      </c>
      <c r="Z283" s="4" t="n">
        <v>3</v>
      </c>
      <c r="AA283" s="4" t="n">
        <v>4</v>
      </c>
      <c r="AB283" s="4" t="n">
        <v>0</v>
      </c>
      <c r="AC283" s="4" t="n">
        <v>7</v>
      </c>
      <c r="AD283" s="4" t="n">
        <v>0</v>
      </c>
      <c r="AE283" s="8" t="n">
        <f aca="false">COUNTIF(F283:AD283,"&lt;=0")</f>
        <v>3</v>
      </c>
    </row>
    <row r="284" customFormat="false" ht="15" hidden="false" customHeight="false" outlineLevel="0" collapsed="false">
      <c r="A284" s="8" t="s">
        <v>85</v>
      </c>
      <c r="B284" s="8" t="s">
        <v>21</v>
      </c>
      <c r="C284" s="8" t="n">
        <v>110962</v>
      </c>
      <c r="D284" s="8" t="s">
        <v>661</v>
      </c>
      <c r="E284" s="4" t="n">
        <v>0</v>
      </c>
      <c r="F284" s="4" t="n">
        <v>0</v>
      </c>
      <c r="G284" s="4" t="n">
        <v>6</v>
      </c>
      <c r="H284" s="4" t="n">
        <v>13</v>
      </c>
      <c r="I284" s="4" t="n">
        <v>7</v>
      </c>
      <c r="J284" s="4" t="n">
        <v>9</v>
      </c>
      <c r="K284" s="4" t="n">
        <v>11</v>
      </c>
      <c r="L284" s="4" t="n">
        <v>10</v>
      </c>
      <c r="M284" s="4" t="n">
        <v>5</v>
      </c>
      <c r="N284" s="4" t="n">
        <v>5</v>
      </c>
      <c r="O284" s="4" t="n">
        <v>9</v>
      </c>
      <c r="P284" s="4" t="n">
        <v>12</v>
      </c>
      <c r="Q284" s="4" t="n">
        <v>7</v>
      </c>
      <c r="R284" s="4" t="n">
        <v>7</v>
      </c>
      <c r="S284" s="4" t="n">
        <v>3</v>
      </c>
      <c r="T284" s="4" t="n">
        <v>9</v>
      </c>
      <c r="U284" s="4" t="n">
        <v>5</v>
      </c>
      <c r="V284" s="4" t="n">
        <v>5</v>
      </c>
      <c r="W284" s="4" t="n">
        <v>8</v>
      </c>
      <c r="X284" s="4" t="n">
        <v>9</v>
      </c>
      <c r="Y284" s="4" t="n">
        <v>5</v>
      </c>
      <c r="Z284" s="4" t="n">
        <v>10</v>
      </c>
      <c r="AA284" s="4" t="n">
        <v>9</v>
      </c>
      <c r="AB284" s="4" t="n">
        <v>0</v>
      </c>
      <c r="AC284" s="4" t="n">
        <v>7</v>
      </c>
      <c r="AD284" s="4" t="n">
        <v>0</v>
      </c>
      <c r="AE284" s="8" t="n">
        <f aca="false">COUNTIF(F284:AD284,"&lt;=0")</f>
        <v>3</v>
      </c>
    </row>
    <row r="285" customFormat="false" ht="15" hidden="false" customHeight="false" outlineLevel="0" collapsed="false">
      <c r="A285" s="8" t="s">
        <v>85</v>
      </c>
      <c r="B285" s="8" t="s">
        <v>21</v>
      </c>
      <c r="C285" s="8" t="n">
        <v>110964</v>
      </c>
      <c r="D285" s="8" t="s">
        <v>662</v>
      </c>
      <c r="E285" s="4" t="n">
        <v>0</v>
      </c>
      <c r="F285" s="4" t="n">
        <v>0</v>
      </c>
      <c r="G285" s="4" t="n">
        <v>61</v>
      </c>
      <c r="H285" s="4" t="n">
        <v>0</v>
      </c>
      <c r="I285" s="4" t="n">
        <v>5</v>
      </c>
      <c r="J285" s="4" t="n">
        <v>5</v>
      </c>
      <c r="K285" s="4" t="n">
        <v>12</v>
      </c>
      <c r="L285" s="4" t="n">
        <v>9</v>
      </c>
      <c r="M285" s="4" t="n">
        <v>28</v>
      </c>
      <c r="N285" s="4" t="n">
        <v>5</v>
      </c>
      <c r="O285" s="4" t="n">
        <v>11</v>
      </c>
      <c r="P285" s="4" t="n">
        <v>6</v>
      </c>
      <c r="Q285" s="4" t="n">
        <v>3</v>
      </c>
      <c r="R285" s="4" t="n">
        <v>2</v>
      </c>
      <c r="S285" s="4" t="n">
        <v>11</v>
      </c>
      <c r="T285" s="4" t="n">
        <v>5</v>
      </c>
      <c r="U285" s="4" t="n">
        <v>4</v>
      </c>
      <c r="V285" s="4" t="n">
        <v>3</v>
      </c>
      <c r="W285" s="4" t="n">
        <v>3</v>
      </c>
      <c r="X285" s="4" t="n">
        <v>3</v>
      </c>
      <c r="Y285" s="4" t="n">
        <v>3</v>
      </c>
      <c r="Z285" s="4" t="n">
        <v>4</v>
      </c>
      <c r="AA285" s="4" t="n">
        <v>3</v>
      </c>
      <c r="AB285" s="4" t="n">
        <v>0</v>
      </c>
      <c r="AC285" s="4" t="n">
        <v>5</v>
      </c>
      <c r="AD285" s="4" t="n">
        <v>0</v>
      </c>
      <c r="AE285" s="8" t="n">
        <f aca="false">COUNTIF(F285:AD285,"&lt;=0")</f>
        <v>4</v>
      </c>
    </row>
    <row r="286" customFormat="false" ht="15" hidden="false" customHeight="false" outlineLevel="0" collapsed="false">
      <c r="A286" s="8" t="s">
        <v>120</v>
      </c>
      <c r="B286" s="8" t="s">
        <v>21</v>
      </c>
      <c r="C286" s="8" t="n">
        <v>230205</v>
      </c>
      <c r="D286" s="8" t="s">
        <v>450</v>
      </c>
      <c r="E286" s="4" t="n">
        <v>16</v>
      </c>
      <c r="F286" s="4" t="n">
        <v>3</v>
      </c>
      <c r="G286" s="4" t="n">
        <v>6</v>
      </c>
      <c r="H286" s="4" t="n">
        <v>3</v>
      </c>
      <c r="I286" s="4" t="n">
        <v>8</v>
      </c>
      <c r="J286" s="4" t="n">
        <v>4</v>
      </c>
      <c r="K286" s="4" t="n">
        <v>8</v>
      </c>
      <c r="L286" s="4" t="n">
        <v>4</v>
      </c>
      <c r="M286" s="4" t="n">
        <v>5</v>
      </c>
      <c r="N286" s="4" t="n">
        <v>5</v>
      </c>
      <c r="O286" s="4" t="n">
        <v>10</v>
      </c>
      <c r="P286" s="4" t="n">
        <v>3</v>
      </c>
      <c r="Q286" s="4" t="n">
        <v>6</v>
      </c>
      <c r="R286" s="4" t="n">
        <v>5</v>
      </c>
      <c r="S286" s="4" t="n">
        <v>4</v>
      </c>
      <c r="T286" s="4" t="n">
        <v>6</v>
      </c>
      <c r="U286" s="4" t="n">
        <v>5</v>
      </c>
      <c r="V286" s="4" t="n">
        <v>4</v>
      </c>
      <c r="W286" s="4" t="n">
        <v>5</v>
      </c>
      <c r="X286" s="4" t="n">
        <v>4</v>
      </c>
      <c r="Y286" s="4" t="n">
        <v>3</v>
      </c>
      <c r="Z286" s="4" t="n">
        <v>5</v>
      </c>
      <c r="AA286" s="4" t="n">
        <v>1</v>
      </c>
      <c r="AB286" s="4" t="n">
        <v>0</v>
      </c>
      <c r="AC286" s="4" t="n">
        <v>3</v>
      </c>
      <c r="AD286" s="4" t="n">
        <v>0</v>
      </c>
      <c r="AE286" s="8" t="n">
        <f aca="false">COUNTIF(F286:AD286,"&lt;=0")</f>
        <v>2</v>
      </c>
    </row>
    <row r="287" customFormat="false" ht="15" hidden="false" customHeight="false" outlineLevel="0" collapsed="false">
      <c r="A287" s="8" t="s">
        <v>120</v>
      </c>
      <c r="B287" s="8" t="s">
        <v>21</v>
      </c>
      <c r="C287" s="8" t="n">
        <v>110501</v>
      </c>
      <c r="D287" s="8" t="s">
        <v>407</v>
      </c>
      <c r="E287" s="4" t="n">
        <v>20</v>
      </c>
      <c r="F287" s="4" t="n">
        <v>3</v>
      </c>
      <c r="G287" s="4" t="n">
        <v>5</v>
      </c>
      <c r="H287" s="4" t="n">
        <v>4</v>
      </c>
      <c r="I287" s="4" t="n">
        <v>6</v>
      </c>
      <c r="J287" s="4" t="n">
        <v>6</v>
      </c>
      <c r="K287" s="4" t="n">
        <v>7</v>
      </c>
      <c r="L287" s="4" t="n">
        <v>9</v>
      </c>
      <c r="M287" s="4" t="n">
        <v>4</v>
      </c>
      <c r="N287" s="4" t="n">
        <v>6</v>
      </c>
      <c r="O287" s="4" t="n">
        <v>6</v>
      </c>
      <c r="P287" s="4" t="n">
        <v>3</v>
      </c>
      <c r="Q287" s="4" t="n">
        <v>4</v>
      </c>
      <c r="R287" s="4" t="n">
        <v>6</v>
      </c>
      <c r="S287" s="4" t="n">
        <v>5</v>
      </c>
      <c r="T287" s="4" t="n">
        <v>7</v>
      </c>
      <c r="U287" s="4" t="n">
        <v>3</v>
      </c>
      <c r="V287" s="4" t="n">
        <v>2</v>
      </c>
      <c r="W287" s="4" t="n">
        <v>7</v>
      </c>
      <c r="X287" s="4" t="n">
        <v>6</v>
      </c>
      <c r="Y287" s="4" t="n">
        <v>4</v>
      </c>
      <c r="Z287" s="4" t="n">
        <v>3</v>
      </c>
      <c r="AA287" s="4" t="n">
        <v>0</v>
      </c>
      <c r="AB287" s="4" t="n">
        <v>0</v>
      </c>
      <c r="AC287" s="4" t="n">
        <v>4</v>
      </c>
      <c r="AD287" s="4" t="n">
        <v>0</v>
      </c>
      <c r="AE287" s="8" t="n">
        <f aca="false">COUNTIF(F287:AD287,"&lt;=0")</f>
        <v>3</v>
      </c>
    </row>
    <row r="288" customFormat="false" ht="15" hidden="false" customHeight="false" outlineLevel="0" collapsed="false">
      <c r="A288" s="8" t="s">
        <v>207</v>
      </c>
      <c r="B288" s="8" t="s">
        <v>21</v>
      </c>
      <c r="C288" s="8" t="n">
        <v>110447</v>
      </c>
      <c r="D288" s="8" t="s">
        <v>663</v>
      </c>
      <c r="E288" s="4" t="n">
        <v>0</v>
      </c>
      <c r="F288" s="4" t="n">
        <v>0</v>
      </c>
      <c r="G288" s="4" t="n">
        <v>5</v>
      </c>
      <c r="H288" s="4" t="n">
        <v>6</v>
      </c>
      <c r="I288" s="4" t="n">
        <v>3</v>
      </c>
      <c r="J288" s="4" t="n">
        <v>3</v>
      </c>
      <c r="K288" s="4" t="n">
        <v>13</v>
      </c>
      <c r="L288" s="4" t="n">
        <v>3</v>
      </c>
      <c r="M288" s="4" t="n">
        <v>3</v>
      </c>
      <c r="N288" s="4" t="n">
        <v>7</v>
      </c>
      <c r="O288" s="4" t="n">
        <v>9</v>
      </c>
      <c r="P288" s="4" t="n">
        <v>8</v>
      </c>
      <c r="Q288" s="4" t="n">
        <v>3</v>
      </c>
      <c r="R288" s="4" t="n">
        <v>7</v>
      </c>
      <c r="S288" s="4" t="n">
        <v>6</v>
      </c>
      <c r="T288" s="4" t="n">
        <v>3</v>
      </c>
      <c r="U288" s="4" t="n">
        <v>15</v>
      </c>
      <c r="V288" s="4" t="n">
        <v>6</v>
      </c>
      <c r="W288" s="4" t="n">
        <v>5</v>
      </c>
      <c r="X288" s="4" t="n">
        <v>8</v>
      </c>
      <c r="Y288" s="4" t="n">
        <v>5</v>
      </c>
      <c r="Z288" s="4" t="n">
        <v>1</v>
      </c>
      <c r="AA288" s="4" t="n">
        <v>5</v>
      </c>
      <c r="AB288" s="4" t="n">
        <v>0</v>
      </c>
      <c r="AC288" s="4" t="n">
        <v>4</v>
      </c>
      <c r="AD288" s="4" t="n">
        <v>3</v>
      </c>
      <c r="AE288" s="8" t="n">
        <f aca="false">COUNTIF(F288:AD288,"&lt;=0")</f>
        <v>2</v>
      </c>
    </row>
    <row r="289" customFormat="false" ht="15" hidden="false" customHeight="false" outlineLevel="0" collapsed="false">
      <c r="A289" s="8" t="s">
        <v>83</v>
      </c>
      <c r="B289" s="8" t="s">
        <v>21</v>
      </c>
      <c r="C289" s="8" t="n">
        <v>110995</v>
      </c>
      <c r="D289" s="8" t="s">
        <v>664</v>
      </c>
      <c r="E289" s="4" t="n">
        <v>0</v>
      </c>
      <c r="F289" s="4" t="n">
        <v>0</v>
      </c>
      <c r="G289" s="4" t="n">
        <v>5</v>
      </c>
      <c r="H289" s="4" t="n">
        <v>4</v>
      </c>
      <c r="I289" s="4" t="n">
        <v>4</v>
      </c>
      <c r="J289" s="4" t="n">
        <v>7</v>
      </c>
      <c r="K289" s="4" t="n">
        <v>8</v>
      </c>
      <c r="L289" s="4" t="n">
        <v>4</v>
      </c>
      <c r="M289" s="4" t="n">
        <v>6</v>
      </c>
      <c r="N289" s="4" t="n">
        <v>6</v>
      </c>
      <c r="O289" s="4" t="n">
        <v>7</v>
      </c>
      <c r="P289" s="4" t="n">
        <v>5</v>
      </c>
      <c r="Q289" s="4" t="n">
        <v>4</v>
      </c>
      <c r="R289" s="4" t="n">
        <v>5</v>
      </c>
      <c r="S289" s="4" t="n">
        <v>4</v>
      </c>
      <c r="T289" s="4" t="n">
        <v>4</v>
      </c>
      <c r="U289" s="4" t="n">
        <v>4</v>
      </c>
      <c r="V289" s="4" t="n">
        <v>4</v>
      </c>
      <c r="W289" s="4" t="n">
        <v>4</v>
      </c>
      <c r="X289" s="4" t="n">
        <v>4</v>
      </c>
      <c r="Y289" s="4" t="n">
        <v>2</v>
      </c>
      <c r="Z289" s="4" t="n">
        <v>4</v>
      </c>
      <c r="AA289" s="4" t="n">
        <v>3</v>
      </c>
      <c r="AB289" s="4" t="n">
        <v>0</v>
      </c>
      <c r="AC289" s="4" t="n">
        <v>5</v>
      </c>
      <c r="AD289" s="4" t="n">
        <v>0</v>
      </c>
      <c r="AE289" s="8" t="n">
        <f aca="false">COUNTIF(F289:AD289,"&lt;=0")</f>
        <v>3</v>
      </c>
    </row>
    <row r="290" customFormat="false" ht="15" hidden="false" customHeight="false" outlineLevel="0" collapsed="false">
      <c r="A290" s="8" t="s">
        <v>167</v>
      </c>
      <c r="B290" s="8" t="s">
        <v>21</v>
      </c>
      <c r="C290" s="8" t="n">
        <v>110994</v>
      </c>
      <c r="D290" s="8" t="s">
        <v>665</v>
      </c>
      <c r="E290" s="4" t="n">
        <v>0</v>
      </c>
      <c r="F290" s="4" t="n">
        <v>3</v>
      </c>
      <c r="G290" s="4" t="n">
        <v>4</v>
      </c>
      <c r="H290" s="4" t="n">
        <v>5</v>
      </c>
      <c r="I290" s="4" t="n">
        <v>5</v>
      </c>
      <c r="J290" s="4" t="n">
        <v>5</v>
      </c>
      <c r="K290" s="4" t="n">
        <v>8</v>
      </c>
      <c r="L290" s="4" t="n">
        <v>5</v>
      </c>
      <c r="M290" s="4" t="n">
        <v>5</v>
      </c>
      <c r="N290" s="4" t="n">
        <v>1</v>
      </c>
      <c r="O290" s="4" t="n">
        <v>5</v>
      </c>
      <c r="P290" s="4" t="n">
        <v>5</v>
      </c>
      <c r="Q290" s="4" t="n">
        <v>1</v>
      </c>
      <c r="R290" s="4" t="n">
        <v>1</v>
      </c>
      <c r="S290" s="4" t="n">
        <v>5</v>
      </c>
      <c r="T290" s="4" t="n">
        <v>2</v>
      </c>
      <c r="U290" s="4" t="n">
        <v>8</v>
      </c>
      <c r="V290" s="4" t="n">
        <v>5</v>
      </c>
      <c r="W290" s="4" t="n">
        <v>1</v>
      </c>
      <c r="X290" s="4" t="n">
        <v>2</v>
      </c>
      <c r="Y290" s="4" t="n">
        <v>2</v>
      </c>
      <c r="Z290" s="4" t="n">
        <v>5</v>
      </c>
      <c r="AA290" s="4" t="n">
        <v>2</v>
      </c>
      <c r="AB290" s="4" t="n">
        <v>0</v>
      </c>
      <c r="AC290" s="4" t="n">
        <v>0</v>
      </c>
      <c r="AD290" s="4" t="n">
        <v>0</v>
      </c>
      <c r="AE290" s="8" t="n">
        <f aca="false">COUNTIF(F290:AD290,"&lt;=0")</f>
        <v>3</v>
      </c>
    </row>
    <row r="291" customFormat="false" ht="15" hidden="false" customHeight="false" outlineLevel="0" collapsed="false">
      <c r="A291" s="8" t="s">
        <v>233</v>
      </c>
      <c r="B291" s="8" t="s">
        <v>21</v>
      </c>
      <c r="C291" s="8" t="n">
        <v>110793</v>
      </c>
      <c r="D291" s="8" t="s">
        <v>666</v>
      </c>
      <c r="E291" s="4" t="n">
        <v>0</v>
      </c>
      <c r="F291" s="4" t="n">
        <v>0</v>
      </c>
      <c r="G291" s="4" t="n">
        <v>12</v>
      </c>
      <c r="H291" s="4" t="n">
        <v>3</v>
      </c>
      <c r="I291" s="4" t="n">
        <v>16</v>
      </c>
      <c r="J291" s="4" t="n">
        <v>29</v>
      </c>
      <c r="K291" s="4" t="n">
        <v>0</v>
      </c>
      <c r="L291" s="4" t="n">
        <v>1</v>
      </c>
      <c r="M291" s="4" t="n">
        <v>13</v>
      </c>
      <c r="N291" s="4" t="n">
        <v>0</v>
      </c>
      <c r="O291" s="4" t="n">
        <v>3</v>
      </c>
      <c r="P291" s="4" t="n">
        <v>0</v>
      </c>
      <c r="Q291" s="4" t="n">
        <v>0</v>
      </c>
      <c r="R291" s="4" t="n">
        <v>0</v>
      </c>
      <c r="S291" s="4" t="n">
        <v>0</v>
      </c>
      <c r="T291" s="4" t="n">
        <v>0</v>
      </c>
      <c r="U291" s="4" t="n">
        <v>0</v>
      </c>
      <c r="V291" s="4" t="n">
        <v>0</v>
      </c>
      <c r="W291" s="4" t="n">
        <v>0</v>
      </c>
      <c r="X291" s="4" t="n">
        <v>0</v>
      </c>
      <c r="Y291" s="4" t="n">
        <v>0</v>
      </c>
      <c r="Z291" s="4" t="n">
        <v>0</v>
      </c>
      <c r="AA291" s="4" t="n">
        <v>0</v>
      </c>
      <c r="AB291" s="4" t="n">
        <v>0</v>
      </c>
      <c r="AC291" s="4" t="n">
        <v>0</v>
      </c>
      <c r="AD291" s="4" t="n">
        <v>0</v>
      </c>
      <c r="AE291" s="8" t="n">
        <f aca="false">COUNTIF(F291:AD291,"&lt;=0")</f>
        <v>18</v>
      </c>
    </row>
    <row r="292" customFormat="false" ht="15" hidden="false" customHeight="false" outlineLevel="0" collapsed="false">
      <c r="A292" s="8" t="s">
        <v>102</v>
      </c>
      <c r="B292" s="8" t="s">
        <v>29</v>
      </c>
      <c r="C292" s="8" t="n">
        <v>153325</v>
      </c>
      <c r="D292" s="8" t="s">
        <v>667</v>
      </c>
      <c r="E292" s="4" t="n">
        <v>0</v>
      </c>
      <c r="F292" s="4" t="n">
        <v>49</v>
      </c>
      <c r="G292" s="4" t="n">
        <v>78</v>
      </c>
      <c r="H292" s="4" t="n">
        <v>192</v>
      </c>
      <c r="I292" s="4" t="n">
        <v>234</v>
      </c>
      <c r="J292" s="4" t="n">
        <v>152</v>
      </c>
      <c r="K292" s="4" t="n">
        <v>234</v>
      </c>
      <c r="L292" s="4" t="n">
        <v>182</v>
      </c>
      <c r="M292" s="4" t="n">
        <v>177</v>
      </c>
      <c r="N292" s="4" t="n">
        <v>187</v>
      </c>
      <c r="O292" s="4" t="n">
        <v>1</v>
      </c>
      <c r="P292" s="4" t="n">
        <v>160</v>
      </c>
      <c r="Q292" s="4" t="n">
        <v>50</v>
      </c>
      <c r="R292" s="4" t="n">
        <v>38</v>
      </c>
      <c r="S292" s="4" t="n">
        <v>101</v>
      </c>
      <c r="T292" s="4" t="n">
        <v>114</v>
      </c>
      <c r="U292" s="4" t="n">
        <v>108</v>
      </c>
      <c r="V292" s="4" t="n">
        <v>8</v>
      </c>
      <c r="W292" s="4" t="n">
        <v>58</v>
      </c>
      <c r="X292" s="4" t="n">
        <v>66</v>
      </c>
      <c r="Y292" s="4" t="n">
        <v>61</v>
      </c>
      <c r="Z292" s="4" t="n">
        <v>96</v>
      </c>
      <c r="AA292" s="4" t="n">
        <v>52</v>
      </c>
      <c r="AB292" s="4" t="n">
        <v>0</v>
      </c>
      <c r="AC292" s="4" t="n">
        <v>13</v>
      </c>
      <c r="AD292" s="4" t="n">
        <v>0</v>
      </c>
      <c r="AE292" s="8" t="n">
        <f aca="false">COUNTIF(F292:AD292,"&lt;=0")</f>
        <v>2</v>
      </c>
    </row>
    <row r="293" customFormat="false" ht="15" hidden="false" customHeight="false" outlineLevel="0" collapsed="false">
      <c r="A293" s="8" t="s">
        <v>73</v>
      </c>
      <c r="B293" s="8" t="s">
        <v>22</v>
      </c>
      <c r="C293" s="8" t="n">
        <v>134194</v>
      </c>
      <c r="D293" s="8" t="s">
        <v>668</v>
      </c>
      <c r="E293" s="4" t="n">
        <v>246</v>
      </c>
      <c r="F293" s="4" t="n">
        <v>4</v>
      </c>
      <c r="G293" s="4" t="n">
        <v>19</v>
      </c>
      <c r="H293" s="4" t="n">
        <v>21</v>
      </c>
      <c r="I293" s="4" t="n">
        <v>14</v>
      </c>
      <c r="J293" s="4" t="n">
        <v>36</v>
      </c>
      <c r="K293" s="4" t="n">
        <v>62</v>
      </c>
      <c r="L293" s="4" t="n">
        <v>18</v>
      </c>
      <c r="M293" s="4" t="n">
        <v>13</v>
      </c>
      <c r="N293" s="4" t="n">
        <v>17</v>
      </c>
      <c r="O293" s="4" t="n">
        <v>42</v>
      </c>
      <c r="P293" s="4" t="n">
        <v>15</v>
      </c>
      <c r="Q293" s="4" t="n">
        <v>11</v>
      </c>
      <c r="R293" s="4" t="n">
        <v>20</v>
      </c>
      <c r="S293" s="4" t="n">
        <v>14</v>
      </c>
      <c r="T293" s="4" t="n">
        <v>17</v>
      </c>
      <c r="U293" s="4" t="n">
        <v>16</v>
      </c>
      <c r="V293" s="4" t="n">
        <v>21</v>
      </c>
      <c r="W293" s="4" t="n">
        <v>15</v>
      </c>
      <c r="X293" s="4" t="n">
        <v>22</v>
      </c>
      <c r="Y293" s="4" t="n">
        <v>18</v>
      </c>
      <c r="Z293" s="4" t="n">
        <v>23</v>
      </c>
      <c r="AA293" s="4" t="n">
        <v>19</v>
      </c>
      <c r="AB293" s="4" t="n">
        <v>0</v>
      </c>
      <c r="AC293" s="4" t="n">
        <v>26</v>
      </c>
      <c r="AD293" s="4" t="n">
        <v>21</v>
      </c>
      <c r="AE293" s="8" t="n">
        <f aca="false">COUNTIF(F293:AD293,"&lt;=0")</f>
        <v>1</v>
      </c>
    </row>
    <row r="294" customFormat="false" ht="15" hidden="false" customHeight="false" outlineLevel="0" collapsed="false">
      <c r="A294" s="8" t="s">
        <v>73</v>
      </c>
      <c r="B294" s="8" t="s">
        <v>22</v>
      </c>
      <c r="C294" s="8" t="n">
        <v>134195</v>
      </c>
      <c r="D294" s="8" t="s">
        <v>669</v>
      </c>
      <c r="E294" s="4" t="n">
        <v>168</v>
      </c>
      <c r="F294" s="4" t="n">
        <v>5</v>
      </c>
      <c r="G294" s="4" t="n">
        <v>11</v>
      </c>
      <c r="H294" s="4" t="n">
        <v>20</v>
      </c>
      <c r="I294" s="4" t="n">
        <v>3</v>
      </c>
      <c r="J294" s="4" t="n">
        <v>24</v>
      </c>
      <c r="K294" s="4" t="n">
        <v>91</v>
      </c>
      <c r="L294" s="4" t="n">
        <v>24</v>
      </c>
      <c r="M294" s="4" t="n">
        <v>17</v>
      </c>
      <c r="N294" s="4" t="n">
        <v>17</v>
      </c>
      <c r="O294" s="4" t="n">
        <v>49</v>
      </c>
      <c r="P294" s="4" t="n">
        <v>20</v>
      </c>
      <c r="Q294" s="4" t="n">
        <v>22</v>
      </c>
      <c r="R294" s="4" t="n">
        <v>25</v>
      </c>
      <c r="S294" s="4" t="n">
        <v>18</v>
      </c>
      <c r="T294" s="4" t="n">
        <v>16</v>
      </c>
      <c r="U294" s="4" t="n">
        <v>15</v>
      </c>
      <c r="V294" s="4" t="n">
        <v>31</v>
      </c>
      <c r="W294" s="4" t="n">
        <v>9</v>
      </c>
      <c r="X294" s="4" t="n">
        <v>11</v>
      </c>
      <c r="Y294" s="4" t="n">
        <v>18</v>
      </c>
      <c r="Z294" s="4" t="n">
        <v>21</v>
      </c>
      <c r="AA294" s="4" t="n">
        <v>12</v>
      </c>
      <c r="AB294" s="4" t="n">
        <v>0</v>
      </c>
      <c r="AC294" s="4" t="n">
        <v>21</v>
      </c>
      <c r="AD294" s="4" t="n">
        <v>15</v>
      </c>
      <c r="AE294" s="8" t="n">
        <f aca="false">COUNTIF(F294:AD294,"&lt;=0")</f>
        <v>1</v>
      </c>
    </row>
    <row r="295" customFormat="false" ht="15" hidden="false" customHeight="false" outlineLevel="0" collapsed="false">
      <c r="A295" s="8" t="s">
        <v>73</v>
      </c>
      <c r="B295" s="8" t="s">
        <v>22</v>
      </c>
      <c r="C295" s="8" t="n">
        <v>134196</v>
      </c>
      <c r="D295" s="8" t="s">
        <v>453</v>
      </c>
      <c r="E295" s="4" t="n">
        <v>12</v>
      </c>
      <c r="F295" s="4" t="n">
        <v>6</v>
      </c>
      <c r="G295" s="4" t="n">
        <v>12</v>
      </c>
      <c r="H295" s="4" t="n">
        <v>17</v>
      </c>
      <c r="I295" s="4" t="n">
        <v>0</v>
      </c>
      <c r="J295" s="4" t="n">
        <v>9</v>
      </c>
      <c r="K295" s="4" t="n">
        <v>62</v>
      </c>
      <c r="L295" s="4" t="n">
        <v>1</v>
      </c>
      <c r="M295" s="4" t="n">
        <v>16</v>
      </c>
      <c r="N295" s="4" t="n">
        <v>11</v>
      </c>
      <c r="O295" s="4" t="n">
        <v>37</v>
      </c>
      <c r="P295" s="4" t="n">
        <v>29</v>
      </c>
      <c r="Q295" s="4" t="n">
        <v>3</v>
      </c>
      <c r="R295" s="4" t="n">
        <v>14</v>
      </c>
      <c r="S295" s="4" t="n">
        <v>13</v>
      </c>
      <c r="T295" s="4" t="n">
        <v>16</v>
      </c>
      <c r="U295" s="4" t="n">
        <v>5</v>
      </c>
      <c r="V295" s="4" t="n">
        <v>10</v>
      </c>
      <c r="W295" s="4" t="n">
        <v>5</v>
      </c>
      <c r="X295" s="4" t="n">
        <v>15</v>
      </c>
      <c r="Y295" s="4" t="n">
        <v>21</v>
      </c>
      <c r="Z295" s="4" t="n">
        <v>17</v>
      </c>
      <c r="AA295" s="4" t="n">
        <v>6</v>
      </c>
      <c r="AB295" s="4" t="n">
        <v>0</v>
      </c>
      <c r="AC295" s="4" t="n">
        <v>8</v>
      </c>
      <c r="AD295" s="4" t="n">
        <v>14</v>
      </c>
      <c r="AE295" s="8" t="n">
        <f aca="false">COUNTIF(F295:AD295,"&lt;=0")</f>
        <v>2</v>
      </c>
    </row>
    <row r="296" customFormat="false" ht="15" hidden="false" customHeight="false" outlineLevel="0" collapsed="false">
      <c r="A296" s="8" t="s">
        <v>73</v>
      </c>
      <c r="B296" s="8" t="s">
        <v>22</v>
      </c>
      <c r="C296" s="8" t="n">
        <v>134197</v>
      </c>
      <c r="D296" s="8" t="s">
        <v>434</v>
      </c>
      <c r="E296" s="4" t="n">
        <v>214</v>
      </c>
      <c r="F296" s="4" t="n">
        <v>6</v>
      </c>
      <c r="G296" s="4" t="n">
        <v>22</v>
      </c>
      <c r="H296" s="4" t="n">
        <v>38</v>
      </c>
      <c r="I296" s="4" t="n">
        <v>18</v>
      </c>
      <c r="J296" s="4" t="n">
        <v>35</v>
      </c>
      <c r="K296" s="4" t="n">
        <v>81</v>
      </c>
      <c r="L296" s="4" t="n">
        <v>13</v>
      </c>
      <c r="M296" s="4" t="n">
        <v>18</v>
      </c>
      <c r="N296" s="4" t="n">
        <v>16</v>
      </c>
      <c r="O296" s="4" t="n">
        <v>24</v>
      </c>
      <c r="P296" s="4" t="n">
        <v>21</v>
      </c>
      <c r="Q296" s="4" t="n">
        <v>21</v>
      </c>
      <c r="R296" s="4" t="n">
        <v>19</v>
      </c>
      <c r="S296" s="4" t="n">
        <v>25</v>
      </c>
      <c r="T296" s="4" t="n">
        <v>16</v>
      </c>
      <c r="U296" s="4" t="n">
        <v>8</v>
      </c>
      <c r="V296" s="4" t="n">
        <v>16</v>
      </c>
      <c r="W296" s="4" t="n">
        <v>18</v>
      </c>
      <c r="X296" s="4" t="n">
        <v>19</v>
      </c>
      <c r="Y296" s="4" t="n">
        <v>17</v>
      </c>
      <c r="Z296" s="4" t="n">
        <v>16</v>
      </c>
      <c r="AA296" s="4" t="n">
        <v>16</v>
      </c>
      <c r="AB296" s="4" t="n">
        <v>0</v>
      </c>
      <c r="AC296" s="4" t="n">
        <v>27</v>
      </c>
      <c r="AD296" s="4" t="n">
        <v>0</v>
      </c>
      <c r="AE296" s="8" t="n">
        <f aca="false">COUNTIF(F296:AD296,"&lt;=0")</f>
        <v>2</v>
      </c>
    </row>
    <row r="297" customFormat="false" ht="15" hidden="false" customHeight="false" outlineLevel="0" collapsed="false">
      <c r="A297" s="8" t="s">
        <v>73</v>
      </c>
      <c r="B297" s="8" t="s">
        <v>22</v>
      </c>
      <c r="C297" s="8" t="n">
        <v>134198</v>
      </c>
      <c r="D297" s="8" t="s">
        <v>413</v>
      </c>
      <c r="E297" s="4" t="n">
        <v>12</v>
      </c>
      <c r="F297" s="4" t="n">
        <v>5</v>
      </c>
      <c r="G297" s="4" t="n">
        <v>11</v>
      </c>
      <c r="H297" s="4" t="n">
        <v>10</v>
      </c>
      <c r="I297" s="4" t="n">
        <v>-1</v>
      </c>
      <c r="J297" s="4" t="n">
        <v>3</v>
      </c>
      <c r="K297" s="4" t="n">
        <v>58</v>
      </c>
      <c r="L297" s="4" t="n">
        <v>3</v>
      </c>
      <c r="M297" s="4" t="n">
        <v>15</v>
      </c>
      <c r="N297" s="4" t="n">
        <v>17</v>
      </c>
      <c r="O297" s="4" t="n">
        <v>33</v>
      </c>
      <c r="P297" s="4" t="n">
        <v>12</v>
      </c>
      <c r="Q297" s="4" t="n">
        <v>11</v>
      </c>
      <c r="R297" s="4" t="n">
        <v>25</v>
      </c>
      <c r="S297" s="4" t="n">
        <v>21</v>
      </c>
      <c r="T297" s="4" t="n">
        <v>15</v>
      </c>
      <c r="U297" s="4" t="n">
        <v>0</v>
      </c>
      <c r="V297" s="4" t="n">
        <v>12</v>
      </c>
      <c r="W297" s="4" t="n">
        <v>16</v>
      </c>
      <c r="X297" s="4" t="n">
        <v>6</v>
      </c>
      <c r="Y297" s="4" t="n">
        <v>14</v>
      </c>
      <c r="Z297" s="4" t="n">
        <v>12</v>
      </c>
      <c r="AA297" s="4" t="n">
        <v>8</v>
      </c>
      <c r="AB297" s="4" t="n">
        <v>0</v>
      </c>
      <c r="AC297" s="4" t="n">
        <v>4</v>
      </c>
      <c r="AD297" s="4" t="n">
        <v>17</v>
      </c>
      <c r="AE297" s="8" t="n">
        <f aca="false">COUNTIF(F297:AD297,"&lt;=0")</f>
        <v>3</v>
      </c>
    </row>
    <row r="298" customFormat="false" ht="15" hidden="false" customHeight="false" outlineLevel="0" collapsed="false">
      <c r="A298" s="8" t="s">
        <v>73</v>
      </c>
      <c r="B298" s="8" t="s">
        <v>22</v>
      </c>
      <c r="C298" s="8" t="n">
        <v>134230</v>
      </c>
      <c r="D298" s="8" t="s">
        <v>295</v>
      </c>
      <c r="E298" s="4" t="n">
        <v>12</v>
      </c>
      <c r="F298" s="4" t="n">
        <v>6</v>
      </c>
      <c r="G298" s="4" t="n">
        <v>8</v>
      </c>
      <c r="H298" s="4" t="n">
        <v>7</v>
      </c>
      <c r="I298" s="4" t="n">
        <v>0</v>
      </c>
      <c r="J298" s="4" t="n">
        <v>-1</v>
      </c>
      <c r="K298" s="4" t="n">
        <v>32</v>
      </c>
      <c r="L298" s="4" t="n">
        <v>0</v>
      </c>
      <c r="M298" s="4" t="n">
        <v>0</v>
      </c>
      <c r="N298" s="4" t="n">
        <v>0</v>
      </c>
      <c r="O298" s="4" t="n">
        <v>23</v>
      </c>
      <c r="P298" s="4" t="n">
        <v>11</v>
      </c>
      <c r="Q298" s="4" t="n">
        <v>3</v>
      </c>
      <c r="R298" s="4" t="n">
        <v>8</v>
      </c>
      <c r="S298" s="4" t="n">
        <v>15</v>
      </c>
      <c r="T298" s="4" t="n">
        <v>8</v>
      </c>
      <c r="U298" s="4" t="n">
        <v>0</v>
      </c>
      <c r="V298" s="4" t="n">
        <v>-1</v>
      </c>
      <c r="W298" s="4" t="n">
        <v>8</v>
      </c>
      <c r="X298" s="4" t="n">
        <v>3</v>
      </c>
      <c r="Y298" s="4" t="n">
        <v>10</v>
      </c>
      <c r="Z298" s="4" t="n">
        <v>5</v>
      </c>
      <c r="AA298" s="4" t="n">
        <v>9</v>
      </c>
      <c r="AB298" s="4" t="n">
        <v>0</v>
      </c>
      <c r="AC298" s="4" t="n">
        <v>11</v>
      </c>
      <c r="AD298" s="4" t="n">
        <v>2</v>
      </c>
      <c r="AE298" s="8" t="n">
        <f aca="false">COUNTIF(F298:AD298,"&lt;=0")</f>
        <v>8</v>
      </c>
    </row>
    <row r="299" customFormat="false" ht="15" hidden="false" customHeight="false" outlineLevel="0" collapsed="false">
      <c r="A299" s="8" t="s">
        <v>73</v>
      </c>
      <c r="B299" s="8" t="s">
        <v>22</v>
      </c>
      <c r="C299" s="8" t="n">
        <v>134231</v>
      </c>
      <c r="D299" s="8" t="s">
        <v>670</v>
      </c>
      <c r="E299" s="4" t="n">
        <v>69</v>
      </c>
      <c r="F299" s="4" t="n">
        <v>6</v>
      </c>
      <c r="G299" s="4" t="n">
        <v>21</v>
      </c>
      <c r="H299" s="4" t="n">
        <v>14</v>
      </c>
      <c r="I299" s="4" t="n">
        <v>20</v>
      </c>
      <c r="J299" s="4" t="n">
        <v>14</v>
      </c>
      <c r="K299" s="4" t="n">
        <v>59</v>
      </c>
      <c r="L299" s="4" t="n">
        <v>14</v>
      </c>
      <c r="M299" s="4" t="n">
        <v>24</v>
      </c>
      <c r="N299" s="4" t="n">
        <v>8</v>
      </c>
      <c r="O299" s="4" t="n">
        <v>21</v>
      </c>
      <c r="P299" s="4" t="n">
        <v>13</v>
      </c>
      <c r="Q299" s="4" t="n">
        <v>11</v>
      </c>
      <c r="R299" s="4" t="n">
        <v>11</v>
      </c>
      <c r="S299" s="4" t="n">
        <v>17</v>
      </c>
      <c r="T299" s="4" t="n">
        <v>15</v>
      </c>
      <c r="U299" s="4" t="n">
        <v>20</v>
      </c>
      <c r="V299" s="4" t="n">
        <v>18</v>
      </c>
      <c r="W299" s="4" t="n">
        <v>11</v>
      </c>
      <c r="X299" s="4" t="n">
        <v>16</v>
      </c>
      <c r="Y299" s="4" t="n">
        <v>9</v>
      </c>
      <c r="Z299" s="4" t="n">
        <v>15</v>
      </c>
      <c r="AA299" s="4" t="n">
        <v>17</v>
      </c>
      <c r="AB299" s="4" t="n">
        <v>0</v>
      </c>
      <c r="AC299" s="4" t="n">
        <v>19</v>
      </c>
      <c r="AD299" s="4" t="n">
        <v>6</v>
      </c>
      <c r="AE299" s="8" t="n">
        <f aca="false">COUNTIF(F299:AD299,"&lt;=0")</f>
        <v>1</v>
      </c>
    </row>
    <row r="300" customFormat="false" ht="15" hidden="false" customHeight="false" outlineLevel="0" collapsed="false">
      <c r="A300" s="8" t="s">
        <v>160</v>
      </c>
      <c r="B300" s="8" t="s">
        <v>22</v>
      </c>
      <c r="C300" s="8" t="n">
        <v>130671</v>
      </c>
      <c r="D300" s="8" t="s">
        <v>365</v>
      </c>
      <c r="E300" s="4" t="n">
        <v>2712</v>
      </c>
      <c r="F300" s="4" t="n">
        <v>0</v>
      </c>
      <c r="G300" s="4" t="n">
        <v>45</v>
      </c>
      <c r="H300" s="4" t="n">
        <v>29</v>
      </c>
      <c r="I300" s="4" t="n">
        <v>62</v>
      </c>
      <c r="J300" s="4" t="n">
        <v>18</v>
      </c>
      <c r="K300" s="4" t="n">
        <v>15</v>
      </c>
      <c r="L300" s="4" t="n">
        <v>34</v>
      </c>
      <c r="M300" s="4" t="n">
        <v>187</v>
      </c>
      <c r="N300" s="4" t="n">
        <v>14</v>
      </c>
      <c r="O300" s="4" t="n">
        <v>34</v>
      </c>
      <c r="P300" s="4" t="n">
        <v>155</v>
      </c>
      <c r="Q300" s="4" t="n">
        <v>11</v>
      </c>
      <c r="R300" s="4" t="n">
        <v>14</v>
      </c>
      <c r="S300" s="4" t="n">
        <v>7</v>
      </c>
      <c r="T300" s="4" t="n">
        <v>14</v>
      </c>
      <c r="U300" s="4" t="n">
        <v>11</v>
      </c>
      <c r="V300" s="4" t="n">
        <v>23</v>
      </c>
      <c r="W300" s="4" t="n">
        <v>22</v>
      </c>
      <c r="X300" s="4" t="n">
        <v>13</v>
      </c>
      <c r="Y300" s="4" t="n">
        <v>13</v>
      </c>
      <c r="Z300" s="4" t="n">
        <v>57</v>
      </c>
      <c r="AA300" s="4" t="n">
        <v>4</v>
      </c>
      <c r="AB300" s="4" t="n">
        <v>0</v>
      </c>
      <c r="AC300" s="4" t="n">
        <v>24</v>
      </c>
      <c r="AD300" s="4" t="n">
        <v>0</v>
      </c>
      <c r="AE300" s="8" t="n">
        <f aca="false">COUNTIF(F300:AD300,"&lt;=0")</f>
        <v>3</v>
      </c>
    </row>
    <row r="301" customFormat="false" ht="15" hidden="false" customHeight="false" outlineLevel="0" collapsed="false">
      <c r="A301" s="8" t="s">
        <v>122</v>
      </c>
      <c r="B301" s="8" t="s">
        <v>22</v>
      </c>
      <c r="C301" s="8" t="n">
        <v>134425</v>
      </c>
      <c r="D301" s="8" t="s">
        <v>429</v>
      </c>
      <c r="E301" s="4" t="n">
        <v>1360</v>
      </c>
      <c r="F301" s="4" t="n">
        <v>6</v>
      </c>
      <c r="G301" s="4" t="n">
        <v>22</v>
      </c>
      <c r="H301" s="4" t="n">
        <v>44</v>
      </c>
      <c r="I301" s="4" t="n">
        <v>55</v>
      </c>
      <c r="J301" s="4" t="n">
        <v>39</v>
      </c>
      <c r="K301" s="4" t="n">
        <v>88</v>
      </c>
      <c r="L301" s="4" t="n">
        <v>53</v>
      </c>
      <c r="M301" s="4" t="n">
        <v>55</v>
      </c>
      <c r="N301" s="4" t="n">
        <v>41</v>
      </c>
      <c r="O301" s="4" t="n">
        <v>43</v>
      </c>
      <c r="P301" s="4" t="n">
        <v>26</v>
      </c>
      <c r="Q301" s="4" t="n">
        <v>27</v>
      </c>
      <c r="R301" s="4" t="n">
        <v>24</v>
      </c>
      <c r="S301" s="4" t="n">
        <v>21</v>
      </c>
      <c r="T301" s="4" t="n">
        <v>28</v>
      </c>
      <c r="U301" s="4" t="n">
        <v>38</v>
      </c>
      <c r="V301" s="4" t="n">
        <v>37</v>
      </c>
      <c r="W301" s="4" t="n">
        <v>15</v>
      </c>
      <c r="X301" s="4" t="n">
        <v>21</v>
      </c>
      <c r="Y301" s="4" t="n">
        <v>13</v>
      </c>
      <c r="Z301" s="4" t="n">
        <v>24</v>
      </c>
      <c r="AA301" s="4" t="n">
        <v>33</v>
      </c>
      <c r="AB301" s="4" t="n">
        <v>0</v>
      </c>
      <c r="AC301" s="4" t="n">
        <v>22</v>
      </c>
      <c r="AD301" s="4" t="n">
        <v>0</v>
      </c>
      <c r="AE301" s="8" t="n">
        <f aca="false">COUNTIF(F301:AD301,"&lt;=0")</f>
        <v>2</v>
      </c>
    </row>
    <row r="302" customFormat="false" ht="15" hidden="false" customHeight="false" outlineLevel="0" collapsed="false">
      <c r="A302" s="8" t="s">
        <v>189</v>
      </c>
      <c r="B302" s="8" t="s">
        <v>22</v>
      </c>
      <c r="C302" s="8" t="n">
        <v>135148</v>
      </c>
      <c r="D302" s="8" t="s">
        <v>297</v>
      </c>
      <c r="E302" s="4" t="n">
        <v>3</v>
      </c>
      <c r="F302" s="4" t="n">
        <v>6</v>
      </c>
      <c r="G302" s="4" t="n">
        <v>0</v>
      </c>
      <c r="H302" s="4" t="n">
        <v>23</v>
      </c>
      <c r="I302" s="4" t="n">
        <v>-1</v>
      </c>
      <c r="J302" s="4" t="n">
        <v>27</v>
      </c>
      <c r="K302" s="4" t="n">
        <v>43</v>
      </c>
      <c r="L302" s="4" t="n">
        <v>7</v>
      </c>
      <c r="M302" s="4" t="n">
        <v>25</v>
      </c>
      <c r="N302" s="4" t="n">
        <v>6</v>
      </c>
      <c r="O302" s="4" t="n">
        <v>34</v>
      </c>
      <c r="P302" s="4" t="n">
        <v>-8</v>
      </c>
      <c r="Q302" s="4" t="n">
        <v>7</v>
      </c>
      <c r="R302" s="4" t="n">
        <v>24</v>
      </c>
      <c r="S302" s="4" t="n">
        <v>10</v>
      </c>
      <c r="T302" s="4" t="n">
        <v>4</v>
      </c>
      <c r="U302" s="4" t="n">
        <v>-1</v>
      </c>
      <c r="V302" s="4" t="n">
        <v>1</v>
      </c>
      <c r="W302" s="4" t="n">
        <v>-7</v>
      </c>
      <c r="X302" s="4" t="n">
        <v>24</v>
      </c>
      <c r="Y302" s="4" t="n">
        <v>12</v>
      </c>
      <c r="Z302" s="4" t="n">
        <v>6</v>
      </c>
      <c r="AA302" s="4" t="n">
        <v>0</v>
      </c>
      <c r="AB302" s="4" t="n">
        <v>0</v>
      </c>
      <c r="AC302" s="4" t="n">
        <v>6</v>
      </c>
      <c r="AD302" s="4" t="n">
        <v>0</v>
      </c>
      <c r="AE302" s="8" t="n">
        <f aca="false">COUNTIF(F302:AD302,"&lt;=0")</f>
        <v>8</v>
      </c>
    </row>
    <row r="303" customFormat="false" ht="15" hidden="false" customHeight="false" outlineLevel="0" collapsed="false">
      <c r="A303" s="8" t="s">
        <v>189</v>
      </c>
      <c r="B303" s="8" t="s">
        <v>22</v>
      </c>
      <c r="C303" s="8" t="n">
        <v>135149</v>
      </c>
      <c r="D303" s="8" t="s">
        <v>299</v>
      </c>
      <c r="E303" s="4" t="n">
        <v>3</v>
      </c>
      <c r="F303" s="4" t="n">
        <v>5</v>
      </c>
      <c r="G303" s="4" t="n">
        <v>0</v>
      </c>
      <c r="H303" s="4" t="n">
        <v>30</v>
      </c>
      <c r="I303" s="4" t="n">
        <v>-2</v>
      </c>
      <c r="J303" s="4" t="n">
        <v>36</v>
      </c>
      <c r="K303" s="4" t="n">
        <v>51</v>
      </c>
      <c r="L303" s="4" t="n">
        <v>-3</v>
      </c>
      <c r="M303" s="4" t="n">
        <v>24</v>
      </c>
      <c r="N303" s="4" t="n">
        <v>13</v>
      </c>
      <c r="O303" s="4" t="n">
        <v>43</v>
      </c>
      <c r="P303" s="4" t="n">
        <v>-9</v>
      </c>
      <c r="Q303" s="4" t="n">
        <v>6</v>
      </c>
      <c r="R303" s="4" t="n">
        <v>25</v>
      </c>
      <c r="S303" s="4" t="n">
        <v>16</v>
      </c>
      <c r="T303" s="4" t="n">
        <v>8</v>
      </c>
      <c r="U303" s="4" t="n">
        <v>-5</v>
      </c>
      <c r="V303" s="4" t="n">
        <v>8</v>
      </c>
      <c r="W303" s="4" t="n">
        <v>-5</v>
      </c>
      <c r="X303" s="4" t="n">
        <v>24</v>
      </c>
      <c r="Y303" s="4" t="n">
        <v>6</v>
      </c>
      <c r="Z303" s="4" t="n">
        <v>4</v>
      </c>
      <c r="AA303" s="4" t="n">
        <v>1</v>
      </c>
      <c r="AB303" s="4" t="n">
        <v>0</v>
      </c>
      <c r="AC303" s="4" t="n">
        <v>5</v>
      </c>
      <c r="AD303" s="4" t="n">
        <v>0</v>
      </c>
      <c r="AE303" s="8" t="n">
        <f aca="false">COUNTIF(F303:AD303,"&lt;=0")</f>
        <v>8</v>
      </c>
    </row>
    <row r="304" customFormat="false" ht="15" hidden="false" customHeight="false" outlineLevel="0" collapsed="false">
      <c r="A304" s="8" t="s">
        <v>189</v>
      </c>
      <c r="B304" s="8" t="s">
        <v>22</v>
      </c>
      <c r="C304" s="8" t="n">
        <v>135150</v>
      </c>
      <c r="D304" s="8" t="s">
        <v>671</v>
      </c>
      <c r="E304" s="4" t="n">
        <v>0</v>
      </c>
      <c r="F304" s="4" t="n">
        <v>6</v>
      </c>
      <c r="G304" s="4" t="n">
        <v>6</v>
      </c>
      <c r="H304" s="4" t="n">
        <v>0</v>
      </c>
      <c r="I304" s="4" t="n">
        <v>0</v>
      </c>
      <c r="J304" s="4" t="n">
        <v>7</v>
      </c>
      <c r="K304" s="4" t="n">
        <v>12</v>
      </c>
      <c r="L304" s="4" t="n">
        <v>9</v>
      </c>
      <c r="M304" s="4" t="n">
        <v>3</v>
      </c>
      <c r="N304" s="4" t="n">
        <v>0</v>
      </c>
      <c r="O304" s="4" t="n">
        <v>5</v>
      </c>
      <c r="P304" s="4" t="n">
        <v>0</v>
      </c>
      <c r="Q304" s="4" t="n">
        <v>5</v>
      </c>
      <c r="R304" s="4" t="n">
        <v>5</v>
      </c>
      <c r="S304" s="4" t="n">
        <v>0</v>
      </c>
      <c r="T304" s="4" t="n">
        <v>5</v>
      </c>
      <c r="U304" s="4" t="n">
        <v>0</v>
      </c>
      <c r="V304" s="4" t="n">
        <v>4</v>
      </c>
      <c r="W304" s="4" t="n">
        <v>-2</v>
      </c>
      <c r="X304" s="4" t="n">
        <v>10</v>
      </c>
      <c r="Y304" s="4" t="n">
        <v>5</v>
      </c>
      <c r="Z304" s="4" t="n">
        <v>5</v>
      </c>
      <c r="AA304" s="4" t="n">
        <v>1</v>
      </c>
      <c r="AB304" s="4" t="n">
        <v>0</v>
      </c>
      <c r="AC304" s="4" t="n">
        <v>12</v>
      </c>
      <c r="AD304" s="4" t="n">
        <v>0</v>
      </c>
      <c r="AE304" s="8" t="n">
        <f aca="false">COUNTIF(F304:AD304,"&lt;=0")</f>
        <v>9</v>
      </c>
    </row>
    <row r="305" customFormat="false" ht="15" hidden="false" customHeight="false" outlineLevel="0" collapsed="false">
      <c r="A305" s="8" t="s">
        <v>189</v>
      </c>
      <c r="B305" s="8" t="s">
        <v>22</v>
      </c>
      <c r="C305" s="8" t="n">
        <v>135151</v>
      </c>
      <c r="D305" s="8" t="s">
        <v>672</v>
      </c>
      <c r="E305" s="4" t="n">
        <v>0</v>
      </c>
      <c r="F305" s="4" t="n">
        <v>0</v>
      </c>
      <c r="G305" s="4" t="n">
        <v>4</v>
      </c>
      <c r="H305" s="4" t="n">
        <v>2</v>
      </c>
      <c r="I305" s="4" t="n">
        <v>2</v>
      </c>
      <c r="J305" s="4" t="n">
        <v>2</v>
      </c>
      <c r="K305" s="4" t="n">
        <v>0</v>
      </c>
      <c r="L305" s="4" t="n">
        <v>6</v>
      </c>
      <c r="M305" s="4" t="n">
        <v>0</v>
      </c>
      <c r="N305" s="4" t="n">
        <v>1</v>
      </c>
      <c r="O305" s="4" t="n">
        <v>10</v>
      </c>
      <c r="P305" s="4" t="n">
        <v>0</v>
      </c>
      <c r="Q305" s="4" t="n">
        <v>0</v>
      </c>
      <c r="R305" s="4" t="n">
        <v>0</v>
      </c>
      <c r="S305" s="4" t="n">
        <v>0</v>
      </c>
      <c r="T305" s="4" t="n">
        <v>0</v>
      </c>
      <c r="U305" s="4" t="n">
        <v>1</v>
      </c>
      <c r="V305" s="4" t="n">
        <v>0</v>
      </c>
      <c r="W305" s="4" t="n">
        <v>0</v>
      </c>
      <c r="X305" s="4" t="n">
        <v>0</v>
      </c>
      <c r="Y305" s="4" t="n">
        <v>0</v>
      </c>
      <c r="Z305" s="4" t="n">
        <v>0</v>
      </c>
      <c r="AA305" s="4" t="n">
        <v>1</v>
      </c>
      <c r="AB305" s="4" t="n">
        <v>0</v>
      </c>
      <c r="AC305" s="4" t="n">
        <v>5</v>
      </c>
      <c r="AD305" s="4" t="n">
        <v>0</v>
      </c>
      <c r="AE305" s="8" t="n">
        <f aca="false">COUNTIF(F305:AD305,"&lt;=0")</f>
        <v>15</v>
      </c>
    </row>
    <row r="306" customFormat="false" ht="15" hidden="false" customHeight="false" outlineLevel="0" collapsed="false">
      <c r="A306" s="8" t="s">
        <v>228</v>
      </c>
      <c r="B306" s="8" t="s">
        <v>22</v>
      </c>
      <c r="C306" s="8" t="n">
        <v>131099</v>
      </c>
      <c r="D306" s="8" t="s">
        <v>321</v>
      </c>
      <c r="E306" s="4" t="n">
        <v>432</v>
      </c>
      <c r="F306" s="4" t="n">
        <v>6</v>
      </c>
      <c r="G306" s="4" t="n">
        <v>10</v>
      </c>
      <c r="H306" s="4" t="n">
        <v>6</v>
      </c>
      <c r="I306" s="4" t="n">
        <v>-16</v>
      </c>
      <c r="J306" s="4" t="n">
        <v>11</v>
      </c>
      <c r="K306" s="4" t="n">
        <v>39</v>
      </c>
      <c r="L306" s="4" t="n">
        <v>2</v>
      </c>
      <c r="M306" s="4" t="n">
        <v>-2</v>
      </c>
      <c r="N306" s="4" t="n">
        <v>26</v>
      </c>
      <c r="O306" s="4" t="n">
        <v>0</v>
      </c>
      <c r="P306" s="4" t="n">
        <v>49</v>
      </c>
      <c r="Q306" s="4" t="n">
        <v>16</v>
      </c>
      <c r="R306" s="4" t="n">
        <v>52</v>
      </c>
      <c r="S306" s="4" t="n">
        <v>25</v>
      </c>
      <c r="T306" s="4" t="n">
        <v>8</v>
      </c>
      <c r="U306" s="4" t="n">
        <v>13</v>
      </c>
      <c r="V306" s="4" t="n">
        <v>5</v>
      </c>
      <c r="W306" s="4" t="n">
        <v>22</v>
      </c>
      <c r="X306" s="4" t="n">
        <v>3</v>
      </c>
      <c r="Y306" s="4" t="n">
        <v>2</v>
      </c>
      <c r="Z306" s="4" t="n">
        <v>10</v>
      </c>
      <c r="AA306" s="4" t="n">
        <v>0</v>
      </c>
      <c r="AB306" s="4" t="n">
        <v>0</v>
      </c>
      <c r="AC306" s="4" t="n">
        <v>3</v>
      </c>
      <c r="AD306" s="4" t="n">
        <v>16</v>
      </c>
      <c r="AE306" s="8" t="n">
        <f aca="false">COUNTIF(F306:AD306,"&lt;=0")</f>
        <v>5</v>
      </c>
    </row>
    <row r="307" customFormat="false" ht="15" hidden="false" customHeight="false" outlineLevel="0" collapsed="false">
      <c r="A307" s="8" t="s">
        <v>137</v>
      </c>
      <c r="B307" s="8" t="s">
        <v>22</v>
      </c>
      <c r="C307" s="8" t="n">
        <v>135105</v>
      </c>
      <c r="D307" s="8" t="s">
        <v>673</v>
      </c>
      <c r="E307" s="4" t="n">
        <v>0</v>
      </c>
      <c r="F307" s="4" t="n">
        <v>6</v>
      </c>
      <c r="G307" s="4" t="n">
        <v>3</v>
      </c>
      <c r="H307" s="4" t="n">
        <v>3</v>
      </c>
      <c r="I307" s="4" t="n">
        <v>4</v>
      </c>
      <c r="J307" s="4" t="n">
        <v>2</v>
      </c>
      <c r="K307" s="4" t="n">
        <v>5</v>
      </c>
      <c r="L307" s="4" t="n">
        <v>2</v>
      </c>
      <c r="M307" s="4" t="n">
        <v>4</v>
      </c>
      <c r="N307" s="4" t="n">
        <v>2</v>
      </c>
      <c r="O307" s="4" t="n">
        <v>3</v>
      </c>
      <c r="P307" s="4" t="n">
        <v>3</v>
      </c>
      <c r="Q307" s="4" t="n">
        <v>2</v>
      </c>
      <c r="R307" s="4" t="n">
        <v>5</v>
      </c>
      <c r="S307" s="4" t="n">
        <v>3</v>
      </c>
      <c r="T307" s="4" t="n">
        <v>3</v>
      </c>
      <c r="U307" s="4" t="n">
        <v>3</v>
      </c>
      <c r="V307" s="4" t="n">
        <v>3</v>
      </c>
      <c r="W307" s="4" t="n">
        <v>3</v>
      </c>
      <c r="X307" s="4" t="n">
        <v>3</v>
      </c>
      <c r="Y307" s="4" t="n">
        <v>3</v>
      </c>
      <c r="Z307" s="4" t="n">
        <v>3</v>
      </c>
      <c r="AA307" s="4" t="n">
        <v>2</v>
      </c>
      <c r="AB307" s="4" t="n">
        <v>0</v>
      </c>
      <c r="AC307" s="4" t="n">
        <v>5</v>
      </c>
      <c r="AD307" s="4" t="n">
        <v>0</v>
      </c>
      <c r="AE307" s="8" t="n">
        <f aca="false">COUNTIF(F307:AD307,"&lt;=0")</f>
        <v>2</v>
      </c>
    </row>
    <row r="308" customFormat="false" ht="15" hidden="false" customHeight="false" outlineLevel="0" collapsed="false">
      <c r="A308" s="8" t="s">
        <v>137</v>
      </c>
      <c r="B308" s="8" t="s">
        <v>22</v>
      </c>
      <c r="C308" s="8" t="n">
        <v>135106</v>
      </c>
      <c r="D308" s="8" t="s">
        <v>674</v>
      </c>
      <c r="E308" s="4" t="n">
        <v>0</v>
      </c>
      <c r="F308" s="4" t="n">
        <v>6</v>
      </c>
      <c r="G308" s="4" t="n">
        <v>2</v>
      </c>
      <c r="H308" s="4" t="n">
        <v>3</v>
      </c>
      <c r="I308" s="4" t="n">
        <v>1</v>
      </c>
      <c r="J308" s="4" t="n">
        <v>1</v>
      </c>
      <c r="K308" s="4" t="n">
        <v>5</v>
      </c>
      <c r="L308" s="4" t="n">
        <v>3</v>
      </c>
      <c r="M308" s="4" t="n">
        <v>5</v>
      </c>
      <c r="N308" s="4" t="n">
        <v>3</v>
      </c>
      <c r="O308" s="4" t="n">
        <v>2</v>
      </c>
      <c r="P308" s="4" t="n">
        <v>0</v>
      </c>
      <c r="Q308" s="4" t="n">
        <v>3</v>
      </c>
      <c r="R308" s="4" t="n">
        <v>3</v>
      </c>
      <c r="S308" s="4" t="n">
        <v>1</v>
      </c>
      <c r="T308" s="4" t="n">
        <v>3</v>
      </c>
      <c r="U308" s="4" t="n">
        <v>3</v>
      </c>
      <c r="V308" s="4" t="n">
        <v>3</v>
      </c>
      <c r="W308" s="4" t="n">
        <v>0</v>
      </c>
      <c r="X308" s="4" t="n">
        <v>3</v>
      </c>
      <c r="Y308" s="4" t="n">
        <v>3</v>
      </c>
      <c r="Z308" s="4" t="n">
        <v>2</v>
      </c>
      <c r="AA308" s="4" t="n">
        <v>3</v>
      </c>
      <c r="AB308" s="4" t="n">
        <v>0</v>
      </c>
      <c r="AC308" s="4" t="n">
        <v>4</v>
      </c>
      <c r="AD308" s="4" t="n">
        <v>0</v>
      </c>
      <c r="AE308" s="8" t="n">
        <f aca="false">COUNTIF(F308:AD308,"&lt;=0")</f>
        <v>4</v>
      </c>
    </row>
    <row r="309" customFormat="false" ht="15" hidden="false" customHeight="false" outlineLevel="0" collapsed="false">
      <c r="A309" s="8" t="s">
        <v>137</v>
      </c>
      <c r="B309" s="8" t="s">
        <v>22</v>
      </c>
      <c r="C309" s="8" t="n">
        <v>135107</v>
      </c>
      <c r="D309" s="8" t="s">
        <v>675</v>
      </c>
      <c r="E309" s="4" t="n">
        <v>0</v>
      </c>
      <c r="F309" s="4" t="n">
        <v>6</v>
      </c>
      <c r="G309" s="4" t="n">
        <v>4</v>
      </c>
      <c r="H309" s="4" t="n">
        <v>4</v>
      </c>
      <c r="I309" s="4" t="n">
        <v>4</v>
      </c>
      <c r="J309" s="4" t="n">
        <v>3</v>
      </c>
      <c r="K309" s="4" t="n">
        <v>6</v>
      </c>
      <c r="L309" s="4" t="n">
        <v>3</v>
      </c>
      <c r="M309" s="4" t="n">
        <v>5</v>
      </c>
      <c r="N309" s="4" t="n">
        <v>2</v>
      </c>
      <c r="O309" s="4" t="n">
        <v>3</v>
      </c>
      <c r="P309" s="4" t="n">
        <v>2</v>
      </c>
      <c r="Q309" s="4" t="n">
        <v>3</v>
      </c>
      <c r="R309" s="4" t="n">
        <v>2</v>
      </c>
      <c r="S309" s="4" t="n">
        <v>1</v>
      </c>
      <c r="T309" s="4" t="n">
        <v>3</v>
      </c>
      <c r="U309" s="4" t="n">
        <v>4</v>
      </c>
      <c r="V309" s="4" t="n">
        <v>1</v>
      </c>
      <c r="W309" s="4" t="n">
        <v>3</v>
      </c>
      <c r="X309" s="4" t="n">
        <v>3</v>
      </c>
      <c r="Y309" s="4" t="n">
        <v>2</v>
      </c>
      <c r="Z309" s="4" t="n">
        <v>2</v>
      </c>
      <c r="AA309" s="4" t="n">
        <v>3</v>
      </c>
      <c r="AB309" s="4" t="n">
        <v>0</v>
      </c>
      <c r="AC309" s="4" t="n">
        <v>2</v>
      </c>
      <c r="AD309" s="4" t="n">
        <v>0</v>
      </c>
      <c r="AE309" s="8" t="n">
        <f aca="false">COUNTIF(F309:AD309,"&lt;=0")</f>
        <v>2</v>
      </c>
    </row>
    <row r="310" customFormat="false" ht="15" hidden="false" customHeight="false" outlineLevel="0" collapsed="false">
      <c r="A310" s="8" t="s">
        <v>137</v>
      </c>
      <c r="B310" s="8" t="s">
        <v>22</v>
      </c>
      <c r="C310" s="8" t="n">
        <v>135110</v>
      </c>
      <c r="D310" s="8" t="s">
        <v>676</v>
      </c>
      <c r="E310" s="4" t="n">
        <v>0</v>
      </c>
      <c r="F310" s="4" t="n">
        <v>6</v>
      </c>
      <c r="G310" s="4" t="n">
        <v>4</v>
      </c>
      <c r="H310" s="4" t="n">
        <v>2</v>
      </c>
      <c r="I310" s="4" t="n">
        <v>0</v>
      </c>
      <c r="J310" s="4" t="n">
        <v>4</v>
      </c>
      <c r="K310" s="4" t="n">
        <v>3</v>
      </c>
      <c r="L310" s="4" t="n">
        <v>1</v>
      </c>
      <c r="M310" s="4" t="n">
        <v>4</v>
      </c>
      <c r="N310" s="4" t="n">
        <v>0</v>
      </c>
      <c r="O310" s="4" t="n">
        <v>3</v>
      </c>
      <c r="P310" s="4" t="n">
        <v>1</v>
      </c>
      <c r="Q310" s="4" t="n">
        <v>2</v>
      </c>
      <c r="R310" s="4" t="n">
        <v>0</v>
      </c>
      <c r="S310" s="4" t="n">
        <v>3</v>
      </c>
      <c r="T310" s="4" t="n">
        <v>3</v>
      </c>
      <c r="U310" s="4" t="n">
        <v>0</v>
      </c>
      <c r="V310" s="4" t="n">
        <v>2</v>
      </c>
      <c r="W310" s="4" t="n">
        <v>0</v>
      </c>
      <c r="X310" s="4" t="n">
        <v>6</v>
      </c>
      <c r="Y310" s="4" t="n">
        <v>2</v>
      </c>
      <c r="Z310" s="4" t="n">
        <v>3</v>
      </c>
      <c r="AA310" s="4" t="n">
        <v>3</v>
      </c>
      <c r="AB310" s="4" t="n">
        <v>0</v>
      </c>
      <c r="AC310" s="4" t="n">
        <v>2</v>
      </c>
      <c r="AD310" s="4" t="n">
        <v>0</v>
      </c>
      <c r="AE310" s="8" t="n">
        <f aca="false">COUNTIF(F310:AD310,"&lt;=0")</f>
        <v>7</v>
      </c>
    </row>
    <row r="311" customFormat="false" ht="15" hidden="false" customHeight="false" outlineLevel="0" collapsed="false">
      <c r="A311" s="8" t="s">
        <v>137</v>
      </c>
      <c r="B311" s="8" t="s">
        <v>22</v>
      </c>
      <c r="C311" s="8" t="n">
        <v>135111</v>
      </c>
      <c r="D311" s="8" t="s">
        <v>677</v>
      </c>
      <c r="E311" s="4" t="n">
        <v>0</v>
      </c>
      <c r="F311" s="4" t="n">
        <v>6</v>
      </c>
      <c r="G311" s="4" t="n">
        <v>1</v>
      </c>
      <c r="H311" s="4" t="n">
        <v>3</v>
      </c>
      <c r="I311" s="4" t="n">
        <v>0</v>
      </c>
      <c r="J311" s="4" t="n">
        <v>1</v>
      </c>
      <c r="K311" s="4" t="n">
        <v>2</v>
      </c>
      <c r="L311" s="4" t="n">
        <v>2</v>
      </c>
      <c r="M311" s="4" t="n">
        <v>2</v>
      </c>
      <c r="N311" s="4" t="n">
        <v>3</v>
      </c>
      <c r="O311" s="4" t="n">
        <v>4</v>
      </c>
      <c r="P311" s="4" t="n">
        <v>1</v>
      </c>
      <c r="Q311" s="4" t="n">
        <v>3</v>
      </c>
      <c r="R311" s="4" t="n">
        <v>3</v>
      </c>
      <c r="S311" s="4" t="n">
        <v>0</v>
      </c>
      <c r="T311" s="4" t="n">
        <v>2</v>
      </c>
      <c r="U311" s="4" t="n">
        <v>1</v>
      </c>
      <c r="V311" s="4" t="n">
        <v>2</v>
      </c>
      <c r="W311" s="4" t="n">
        <v>2</v>
      </c>
      <c r="X311" s="4" t="n">
        <v>1</v>
      </c>
      <c r="Y311" s="4" t="n">
        <v>3</v>
      </c>
      <c r="Z311" s="4" t="n">
        <v>1</v>
      </c>
      <c r="AA311" s="4" t="n">
        <v>3</v>
      </c>
      <c r="AB311" s="4" t="n">
        <v>0</v>
      </c>
      <c r="AC311" s="4" t="n">
        <v>3</v>
      </c>
      <c r="AD311" s="4" t="n">
        <v>0</v>
      </c>
      <c r="AE311" s="8" t="n">
        <f aca="false">COUNTIF(F311:AD311,"&lt;=0")</f>
        <v>4</v>
      </c>
    </row>
    <row r="312" customFormat="false" ht="15" hidden="false" customHeight="false" outlineLevel="0" collapsed="false">
      <c r="A312" s="8" t="s">
        <v>133</v>
      </c>
      <c r="B312" s="8" t="s">
        <v>22</v>
      </c>
      <c r="C312" s="8" t="n">
        <v>133516</v>
      </c>
      <c r="D312" s="8" t="s">
        <v>678</v>
      </c>
      <c r="E312" s="4" t="n">
        <v>0</v>
      </c>
      <c r="F312" s="4" t="n">
        <v>0</v>
      </c>
      <c r="G312" s="4" t="n">
        <v>16</v>
      </c>
      <c r="H312" s="4" t="n">
        <v>19</v>
      </c>
      <c r="I312" s="4" t="n">
        <v>19</v>
      </c>
      <c r="J312" s="4" t="n">
        <v>23</v>
      </c>
      <c r="K312" s="4" t="n">
        <v>34</v>
      </c>
      <c r="L312" s="4" t="n">
        <v>26</v>
      </c>
      <c r="M312" s="4" t="n">
        <v>13</v>
      </c>
      <c r="N312" s="4" t="n">
        <v>14</v>
      </c>
      <c r="O312" s="4" t="n">
        <v>23</v>
      </c>
      <c r="P312" s="4" t="n">
        <v>17</v>
      </c>
      <c r="Q312" s="4" t="n">
        <v>14</v>
      </c>
      <c r="R312" s="4" t="n">
        <v>14</v>
      </c>
      <c r="S312" s="4" t="n">
        <v>10</v>
      </c>
      <c r="T312" s="4" t="n">
        <v>7</v>
      </c>
      <c r="U312" s="4" t="n">
        <v>16</v>
      </c>
      <c r="V312" s="4" t="n">
        <v>13</v>
      </c>
      <c r="W312" s="4" t="n">
        <v>4</v>
      </c>
      <c r="X312" s="4" t="n">
        <v>15</v>
      </c>
      <c r="Y312" s="4" t="n">
        <v>7</v>
      </c>
      <c r="Z312" s="4" t="n">
        <v>18</v>
      </c>
      <c r="AA312" s="4" t="n">
        <v>12</v>
      </c>
      <c r="AB312" s="4" t="n">
        <v>0</v>
      </c>
      <c r="AC312" s="4" t="n">
        <v>11</v>
      </c>
      <c r="AD312" s="4" t="n">
        <v>5</v>
      </c>
      <c r="AE312" s="8" t="n">
        <f aca="false">COUNTIF(F312:AD312,"&lt;=0")</f>
        <v>2</v>
      </c>
    </row>
    <row r="313" customFormat="false" ht="15" hidden="false" customHeight="false" outlineLevel="0" collapsed="false">
      <c r="A313" s="8" t="s">
        <v>199</v>
      </c>
      <c r="B313" s="8" t="s">
        <v>22</v>
      </c>
      <c r="C313" s="8" t="n">
        <v>134268</v>
      </c>
      <c r="D313" s="8" t="s">
        <v>679</v>
      </c>
      <c r="E313" s="4" t="n">
        <v>0</v>
      </c>
      <c r="F313" s="4" t="n">
        <v>0</v>
      </c>
      <c r="G313" s="4" t="n">
        <v>17</v>
      </c>
      <c r="H313" s="4" t="n">
        <v>-6</v>
      </c>
      <c r="I313" s="4" t="n">
        <v>1</v>
      </c>
      <c r="J313" s="4" t="n">
        <v>20</v>
      </c>
      <c r="K313" s="4" t="n">
        <v>5</v>
      </c>
      <c r="L313" s="4" t="n">
        <v>7</v>
      </c>
      <c r="M313" s="4" t="n">
        <v>7</v>
      </c>
      <c r="N313" s="4" t="n">
        <v>0</v>
      </c>
      <c r="O313" s="4" t="n">
        <v>3</v>
      </c>
      <c r="P313" s="4" t="n">
        <v>8</v>
      </c>
      <c r="Q313" s="4" t="n">
        <v>1</v>
      </c>
      <c r="R313" s="4" t="n">
        <v>0</v>
      </c>
      <c r="S313" s="4" t="n">
        <v>16</v>
      </c>
      <c r="T313" s="4" t="n">
        <v>5</v>
      </c>
      <c r="U313" s="4" t="n">
        <v>12</v>
      </c>
      <c r="V313" s="4" t="n">
        <v>6</v>
      </c>
      <c r="W313" s="4" t="n">
        <v>12</v>
      </c>
      <c r="X313" s="4" t="n">
        <v>16</v>
      </c>
      <c r="Y313" s="4" t="n">
        <v>28</v>
      </c>
      <c r="Z313" s="4" t="n">
        <v>4</v>
      </c>
      <c r="AA313" s="4" t="n">
        <v>2</v>
      </c>
      <c r="AB313" s="4" t="n">
        <v>0</v>
      </c>
      <c r="AC313" s="4" t="n">
        <v>3</v>
      </c>
      <c r="AD313" s="4" t="n">
        <v>0</v>
      </c>
      <c r="AE313" s="8" t="n">
        <f aca="false">COUNTIF(F313:AD313,"&lt;=0")</f>
        <v>6</v>
      </c>
    </row>
    <row r="314" customFormat="false" ht="15" hidden="false" customHeight="false" outlineLevel="0" collapsed="false">
      <c r="A314" s="8" t="s">
        <v>257</v>
      </c>
      <c r="B314" s="8" t="s">
        <v>22</v>
      </c>
      <c r="C314" s="8" t="n">
        <v>134331</v>
      </c>
      <c r="D314" s="8" t="s">
        <v>680</v>
      </c>
      <c r="E314" s="4" t="n">
        <v>0</v>
      </c>
      <c r="F314" s="4" t="n">
        <v>0</v>
      </c>
      <c r="G314" s="4" t="n">
        <v>9</v>
      </c>
      <c r="H314" s="4" t="n">
        <v>3</v>
      </c>
      <c r="I314" s="4" t="n">
        <v>1</v>
      </c>
      <c r="J314" s="4" t="n">
        <v>8</v>
      </c>
      <c r="K314" s="4" t="n">
        <v>3</v>
      </c>
      <c r="L314" s="4" t="n">
        <v>1</v>
      </c>
      <c r="M314" s="4" t="n">
        <v>0</v>
      </c>
      <c r="N314" s="4" t="n">
        <v>5</v>
      </c>
      <c r="O314" s="4" t="n">
        <v>5</v>
      </c>
      <c r="P314" s="4" t="n">
        <v>8</v>
      </c>
      <c r="Q314" s="4" t="n">
        <v>5</v>
      </c>
      <c r="R314" s="4" t="n">
        <v>7</v>
      </c>
      <c r="S314" s="4" t="n">
        <v>6</v>
      </c>
      <c r="T314" s="4" t="n">
        <v>5</v>
      </c>
      <c r="U314" s="4" t="n">
        <v>5</v>
      </c>
      <c r="V314" s="4" t="n">
        <v>7</v>
      </c>
      <c r="W314" s="4" t="n">
        <v>0</v>
      </c>
      <c r="X314" s="4" t="n">
        <v>4</v>
      </c>
      <c r="Y314" s="4" t="n">
        <v>0</v>
      </c>
      <c r="Z314" s="4" t="n">
        <v>7</v>
      </c>
      <c r="AA314" s="4" t="n">
        <v>0</v>
      </c>
      <c r="AB314" s="4" t="n">
        <v>0</v>
      </c>
      <c r="AC314" s="4" t="n">
        <v>0</v>
      </c>
      <c r="AD314" s="4" t="n">
        <v>0</v>
      </c>
      <c r="AE314" s="8" t="n">
        <f aca="false">COUNTIF(F314:AD314,"&lt;=0")</f>
        <v>8</v>
      </c>
    </row>
    <row r="315" customFormat="false" ht="15" hidden="false" customHeight="false" outlineLevel="0" collapsed="false">
      <c r="A315" s="8" t="s">
        <v>49</v>
      </c>
      <c r="B315" s="8" t="s">
        <v>23</v>
      </c>
      <c r="C315" s="8" t="n">
        <v>142030</v>
      </c>
      <c r="D315" s="8" t="s">
        <v>274</v>
      </c>
      <c r="E315" s="4" t="n">
        <v>337</v>
      </c>
      <c r="F315" s="4" t="n">
        <v>0</v>
      </c>
      <c r="G315" s="4" t="n">
        <v>10</v>
      </c>
      <c r="H315" s="4" t="n">
        <v>39</v>
      </c>
      <c r="I315" s="4" t="n">
        <v>0</v>
      </c>
      <c r="J315" s="4" t="n">
        <v>0</v>
      </c>
      <c r="K315" s="4" t="n">
        <v>0</v>
      </c>
      <c r="L315" s="4" t="n">
        <v>0</v>
      </c>
      <c r="M315" s="4" t="n">
        <v>0</v>
      </c>
      <c r="N315" s="4" t="n">
        <v>0</v>
      </c>
      <c r="O315" s="4" t="n">
        <v>0</v>
      </c>
      <c r="P315" s="4" t="n">
        <v>4</v>
      </c>
      <c r="Q315" s="4" t="n">
        <v>1</v>
      </c>
      <c r="R315" s="4" t="n">
        <v>0</v>
      </c>
      <c r="S315" s="4" t="n">
        <v>0</v>
      </c>
      <c r="T315" s="4" t="n">
        <v>0</v>
      </c>
      <c r="U315" s="4" t="n">
        <v>13</v>
      </c>
      <c r="V315" s="4" t="n">
        <v>0</v>
      </c>
      <c r="W315" s="4" t="n">
        <v>0</v>
      </c>
      <c r="X315" s="4" t="n">
        <v>0</v>
      </c>
      <c r="Y315" s="4" t="n">
        <v>3</v>
      </c>
      <c r="Z315" s="4" t="n">
        <v>0</v>
      </c>
      <c r="AA315" s="4" t="n">
        <v>0</v>
      </c>
      <c r="AB315" s="4" t="n">
        <v>0</v>
      </c>
      <c r="AC315" s="4" t="n">
        <v>16</v>
      </c>
      <c r="AD315" s="4" t="n">
        <v>0</v>
      </c>
      <c r="AE315" s="8" t="n">
        <f aca="false">COUNTIF(F315:AD315,"&lt;=0")</f>
        <v>18</v>
      </c>
    </row>
    <row r="316" customFormat="false" ht="15" hidden="false" customHeight="false" outlineLevel="0" collapsed="false">
      <c r="A316" s="8" t="s">
        <v>49</v>
      </c>
      <c r="B316" s="8" t="s">
        <v>23</v>
      </c>
      <c r="C316" s="8" t="n">
        <v>142031</v>
      </c>
      <c r="D316" s="8" t="s">
        <v>276</v>
      </c>
      <c r="E316" s="4" t="n">
        <v>4899</v>
      </c>
      <c r="F316" s="4" t="n">
        <v>0</v>
      </c>
      <c r="G316" s="4" t="n">
        <v>132</v>
      </c>
      <c r="H316" s="4" t="n">
        <v>717</v>
      </c>
      <c r="I316" s="4" t="n">
        <v>109</v>
      </c>
      <c r="J316" s="4" t="n">
        <v>0</v>
      </c>
      <c r="K316" s="4" t="n">
        <v>194</v>
      </c>
      <c r="L316" s="4" t="n">
        <v>0</v>
      </c>
      <c r="M316" s="4" t="n">
        <v>375</v>
      </c>
      <c r="N316" s="4" t="n">
        <v>84</v>
      </c>
      <c r="O316" s="4" t="n">
        <v>772</v>
      </c>
      <c r="P316" s="4" t="n">
        <v>62</v>
      </c>
      <c r="Q316" s="4" t="n">
        <v>66</v>
      </c>
      <c r="R316" s="4" t="n">
        <v>0</v>
      </c>
      <c r="S316" s="4" t="n">
        <v>0</v>
      </c>
      <c r="T316" s="4" t="n">
        <v>70</v>
      </c>
      <c r="U316" s="4" t="n">
        <v>23</v>
      </c>
      <c r="V316" s="4" t="n">
        <v>0</v>
      </c>
      <c r="W316" s="4" t="n">
        <v>0</v>
      </c>
      <c r="X316" s="4" t="n">
        <v>0</v>
      </c>
      <c r="Y316" s="4" t="n">
        <v>31</v>
      </c>
      <c r="Z316" s="4" t="n">
        <v>227</v>
      </c>
      <c r="AA316" s="4" t="n">
        <v>33</v>
      </c>
      <c r="AB316" s="4" t="n">
        <v>0</v>
      </c>
      <c r="AC316" s="4" t="n">
        <v>80</v>
      </c>
      <c r="AD316" s="4" t="n">
        <v>0</v>
      </c>
      <c r="AE316" s="8" t="n">
        <f aca="false">COUNTIF(F316:AD316,"&lt;=0")</f>
        <v>10</v>
      </c>
    </row>
    <row r="317" customFormat="false" ht="15" hidden="false" customHeight="false" outlineLevel="0" collapsed="false">
      <c r="A317" s="8" t="s">
        <v>49</v>
      </c>
      <c r="B317" s="8" t="s">
        <v>23</v>
      </c>
      <c r="C317" s="8" t="n">
        <v>142447</v>
      </c>
      <c r="D317" s="8" t="s">
        <v>276</v>
      </c>
      <c r="E317" s="4" t="n">
        <v>5329</v>
      </c>
      <c r="F317" s="4" t="n">
        <v>0</v>
      </c>
      <c r="G317" s="4" t="n">
        <v>56</v>
      </c>
      <c r="H317" s="4" t="n">
        <v>575</v>
      </c>
      <c r="I317" s="4" t="n">
        <v>0</v>
      </c>
      <c r="J317" s="4" t="n">
        <v>140</v>
      </c>
      <c r="K317" s="4" t="n">
        <v>230</v>
      </c>
      <c r="L317" s="4" t="n">
        <v>205</v>
      </c>
      <c r="M317" s="4" t="n">
        <v>0</v>
      </c>
      <c r="N317" s="4" t="n">
        <v>0</v>
      </c>
      <c r="O317" s="4" t="n">
        <v>0</v>
      </c>
      <c r="P317" s="4" t="n">
        <v>0</v>
      </c>
      <c r="Q317" s="4" t="n">
        <v>433</v>
      </c>
      <c r="R317" s="4" t="n">
        <v>11</v>
      </c>
      <c r="S317" s="4" t="n">
        <v>0</v>
      </c>
      <c r="T317" s="4" t="n">
        <v>53</v>
      </c>
      <c r="U317" s="4" t="n">
        <v>237</v>
      </c>
      <c r="V317" s="4" t="n">
        <v>0</v>
      </c>
      <c r="W317" s="4" t="n">
        <v>0</v>
      </c>
      <c r="X317" s="4" t="n">
        <v>0</v>
      </c>
      <c r="Y317" s="4" t="n">
        <v>0</v>
      </c>
      <c r="Z317" s="4" t="n">
        <v>47</v>
      </c>
      <c r="AA317" s="4" t="n">
        <v>0</v>
      </c>
      <c r="AB317" s="4" t="n">
        <v>0</v>
      </c>
      <c r="AC317" s="4" t="n">
        <v>0</v>
      </c>
      <c r="AD317" s="4" t="n">
        <v>0</v>
      </c>
      <c r="AE317" s="8" t="n">
        <f aca="false">COUNTIF(F317:AD317,"&lt;=0")</f>
        <v>15</v>
      </c>
    </row>
    <row r="318" customFormat="false" ht="15" hidden="false" customHeight="false" outlineLevel="0" collapsed="false">
      <c r="A318" s="8" t="s">
        <v>49</v>
      </c>
      <c r="B318" s="8" t="s">
        <v>23</v>
      </c>
      <c r="C318" s="8" t="n">
        <v>142036</v>
      </c>
      <c r="D318" s="8" t="s">
        <v>291</v>
      </c>
      <c r="E318" s="4" t="n">
        <v>320</v>
      </c>
      <c r="F318" s="4" t="n">
        <v>0</v>
      </c>
      <c r="G318" s="4" t="n">
        <v>30</v>
      </c>
      <c r="H318" s="4" t="n">
        <v>0</v>
      </c>
      <c r="I318" s="4" t="n">
        <v>51</v>
      </c>
      <c r="J318" s="4" t="n">
        <v>160</v>
      </c>
      <c r="K318" s="4" t="n">
        <v>0</v>
      </c>
      <c r="L318" s="4" t="n">
        <v>37</v>
      </c>
      <c r="M318" s="4" t="n">
        <v>26</v>
      </c>
      <c r="N318" s="4" t="n">
        <v>92</v>
      </c>
      <c r="O318" s="4" t="n">
        <v>19</v>
      </c>
      <c r="P318" s="4" t="n">
        <v>35</v>
      </c>
      <c r="Q318" s="4" t="n">
        <v>81</v>
      </c>
      <c r="R318" s="4" t="n">
        <v>29</v>
      </c>
      <c r="S318" s="4" t="n">
        <v>0</v>
      </c>
      <c r="T318" s="4" t="n">
        <v>120</v>
      </c>
      <c r="U318" s="4" t="n">
        <v>36</v>
      </c>
      <c r="V318" s="4" t="n">
        <v>0</v>
      </c>
      <c r="W318" s="4" t="n">
        <v>0</v>
      </c>
      <c r="X318" s="4" t="n">
        <v>0</v>
      </c>
      <c r="Y318" s="4" t="n">
        <v>62</v>
      </c>
      <c r="Z318" s="4" t="n">
        <v>60</v>
      </c>
      <c r="AA318" s="4" t="n">
        <v>19</v>
      </c>
      <c r="AB318" s="4" t="n">
        <v>0</v>
      </c>
      <c r="AC318" s="4" t="n">
        <v>40</v>
      </c>
      <c r="AD318" s="4" t="n">
        <v>0</v>
      </c>
      <c r="AE318" s="8" t="n">
        <f aca="false">COUNTIF(F318:AD318,"&lt;=0")</f>
        <v>9</v>
      </c>
    </row>
    <row r="319" customFormat="false" ht="15" hidden="false" customHeight="false" outlineLevel="0" collapsed="false">
      <c r="A319" s="8" t="s">
        <v>49</v>
      </c>
      <c r="B319" s="8" t="s">
        <v>23</v>
      </c>
      <c r="C319" s="8" t="n">
        <v>142276</v>
      </c>
      <c r="D319" s="8" t="s">
        <v>681</v>
      </c>
      <c r="E319" s="4" t="n">
        <v>0</v>
      </c>
      <c r="F319" s="4" t="n">
        <v>0</v>
      </c>
      <c r="G319" s="4" t="n">
        <v>0</v>
      </c>
      <c r="H319" s="4" t="n">
        <v>0</v>
      </c>
      <c r="I319" s="4" t="n">
        <v>0</v>
      </c>
      <c r="J319" s="4" t="n">
        <v>0</v>
      </c>
      <c r="K319" s="4" t="n">
        <v>0</v>
      </c>
      <c r="L319" s="4" t="n">
        <v>0</v>
      </c>
      <c r="M319" s="4" t="n">
        <v>0</v>
      </c>
      <c r="N319" s="4" t="n">
        <v>0</v>
      </c>
      <c r="O319" s="4" t="n">
        <v>0</v>
      </c>
      <c r="P319" s="4" t="n">
        <v>0</v>
      </c>
      <c r="Q319" s="4" t="n">
        <v>0</v>
      </c>
      <c r="R319" s="4" t="n">
        <v>0</v>
      </c>
      <c r="S319" s="4" t="n">
        <v>0</v>
      </c>
      <c r="T319" s="4" t="n">
        <v>0</v>
      </c>
      <c r="U319" s="4" t="n">
        <v>0</v>
      </c>
      <c r="V319" s="4" t="n">
        <v>0</v>
      </c>
      <c r="W319" s="4" t="n">
        <v>0</v>
      </c>
      <c r="X319" s="4" t="n">
        <v>0</v>
      </c>
      <c r="Y319" s="4" t="n">
        <v>0</v>
      </c>
      <c r="Z319" s="4" t="n">
        <v>101</v>
      </c>
      <c r="AA319" s="4" t="n">
        <v>0</v>
      </c>
      <c r="AB319" s="4" t="n">
        <v>0</v>
      </c>
      <c r="AC319" s="4" t="n">
        <v>0</v>
      </c>
      <c r="AD319" s="4" t="n">
        <v>0</v>
      </c>
      <c r="AE319" s="8" t="n">
        <f aca="false">COUNTIF(F319:AD319,"&lt;=0")</f>
        <v>24</v>
      </c>
    </row>
    <row r="320" customFormat="false" ht="15" hidden="false" customHeight="false" outlineLevel="0" collapsed="false">
      <c r="A320" s="8" t="s">
        <v>49</v>
      </c>
      <c r="B320" s="8" t="s">
        <v>23</v>
      </c>
      <c r="C320" s="8" t="n">
        <v>142488</v>
      </c>
      <c r="D320" s="8" t="s">
        <v>682</v>
      </c>
      <c r="E320" s="4" t="n">
        <v>0</v>
      </c>
      <c r="F320" s="4" t="n">
        <v>0</v>
      </c>
      <c r="G320" s="4" t="n">
        <v>0</v>
      </c>
      <c r="H320" s="4" t="n">
        <v>0</v>
      </c>
      <c r="I320" s="4" t="n">
        <v>0</v>
      </c>
      <c r="J320" s="4" t="n">
        <v>0</v>
      </c>
      <c r="K320" s="4" t="n">
        <v>0</v>
      </c>
      <c r="L320" s="4" t="n">
        <v>0</v>
      </c>
      <c r="M320" s="4" t="n">
        <v>0</v>
      </c>
      <c r="N320" s="4" t="n">
        <v>0</v>
      </c>
      <c r="O320" s="4" t="n">
        <v>0</v>
      </c>
      <c r="P320" s="4" t="n">
        <v>0</v>
      </c>
      <c r="Q320" s="4" t="n">
        <v>0</v>
      </c>
      <c r="R320" s="4" t="n">
        <v>0</v>
      </c>
      <c r="S320" s="4" t="n">
        <v>0</v>
      </c>
      <c r="T320" s="4" t="n">
        <v>0</v>
      </c>
      <c r="U320" s="4" t="n">
        <v>0</v>
      </c>
      <c r="V320" s="4" t="n">
        <v>0</v>
      </c>
      <c r="W320" s="4" t="n">
        <v>0</v>
      </c>
      <c r="X320" s="4" t="n">
        <v>0</v>
      </c>
      <c r="Y320" s="4" t="n">
        <v>0</v>
      </c>
      <c r="Z320" s="4" t="n">
        <v>58</v>
      </c>
      <c r="AA320" s="4" t="n">
        <v>0</v>
      </c>
      <c r="AB320" s="4" t="n">
        <v>0</v>
      </c>
      <c r="AC320" s="4" t="n">
        <v>0</v>
      </c>
      <c r="AD320" s="4" t="n">
        <v>0</v>
      </c>
      <c r="AE320" s="8" t="n">
        <f aca="false">COUNTIF(F320:AD320,"&lt;=0")</f>
        <v>24</v>
      </c>
    </row>
    <row r="321" customFormat="false" ht="15" hidden="false" customHeight="false" outlineLevel="0" collapsed="false">
      <c r="A321" s="8" t="s">
        <v>49</v>
      </c>
      <c r="B321" s="8" t="s">
        <v>23</v>
      </c>
      <c r="C321" s="8" t="n">
        <v>142035</v>
      </c>
      <c r="D321" s="8" t="s">
        <v>280</v>
      </c>
      <c r="E321" s="4" t="n">
        <v>232</v>
      </c>
      <c r="F321" s="4" t="n">
        <v>0</v>
      </c>
      <c r="G321" s="4" t="n">
        <v>28</v>
      </c>
      <c r="H321" s="4" t="n">
        <v>0</v>
      </c>
      <c r="I321" s="4" t="n">
        <v>1</v>
      </c>
      <c r="J321" s="4" t="n">
        <v>0</v>
      </c>
      <c r="K321" s="4" t="n">
        <v>0</v>
      </c>
      <c r="L321" s="4" t="n">
        <v>24</v>
      </c>
      <c r="M321" s="4" t="n">
        <v>0</v>
      </c>
      <c r="N321" s="4" t="n">
        <v>37</v>
      </c>
      <c r="O321" s="4" t="n">
        <v>0</v>
      </c>
      <c r="P321" s="4" t="n">
        <v>4</v>
      </c>
      <c r="Q321" s="4" t="n">
        <v>54</v>
      </c>
      <c r="R321" s="4" t="n">
        <v>10</v>
      </c>
      <c r="S321" s="4" t="n">
        <v>0</v>
      </c>
      <c r="T321" s="4" t="n">
        <v>78</v>
      </c>
      <c r="U321" s="4" t="n">
        <v>1</v>
      </c>
      <c r="V321" s="4" t="n">
        <v>0</v>
      </c>
      <c r="W321" s="4" t="n">
        <v>0</v>
      </c>
      <c r="X321" s="4" t="n">
        <v>0</v>
      </c>
      <c r="Y321" s="4" t="n">
        <v>25</v>
      </c>
      <c r="Z321" s="4" t="n">
        <v>159</v>
      </c>
      <c r="AA321" s="4" t="n">
        <v>0</v>
      </c>
      <c r="AB321" s="4" t="n">
        <v>0</v>
      </c>
      <c r="AC321" s="4" t="n">
        <v>32</v>
      </c>
      <c r="AD321" s="4" t="n">
        <v>0</v>
      </c>
      <c r="AE321" s="8" t="n">
        <f aca="false">COUNTIF(F321:AD321,"&lt;=0")</f>
        <v>13</v>
      </c>
    </row>
    <row r="322" customFormat="false" ht="15" hidden="false" customHeight="false" outlineLevel="0" collapsed="false">
      <c r="A322" s="8" t="s">
        <v>49</v>
      </c>
      <c r="B322" s="8" t="s">
        <v>23</v>
      </c>
      <c r="C322" s="8" t="n">
        <v>142038</v>
      </c>
      <c r="D322" s="8" t="s">
        <v>683</v>
      </c>
      <c r="E322" s="4" t="n">
        <v>0</v>
      </c>
      <c r="F322" s="4" t="n">
        <v>0</v>
      </c>
      <c r="G322" s="4" t="n">
        <v>0</v>
      </c>
      <c r="H322" s="4" t="n">
        <v>23</v>
      </c>
      <c r="I322" s="4" t="n">
        <v>2</v>
      </c>
      <c r="J322" s="4" t="n">
        <v>0</v>
      </c>
      <c r="K322" s="4" t="n">
        <v>0</v>
      </c>
      <c r="L322" s="4" t="n">
        <v>0</v>
      </c>
      <c r="M322" s="4" t="n">
        <v>0</v>
      </c>
      <c r="N322" s="4" t="n">
        <v>0</v>
      </c>
      <c r="O322" s="4" t="n">
        <v>0</v>
      </c>
      <c r="P322" s="4" t="n">
        <v>0</v>
      </c>
      <c r="Q322" s="4" t="n">
        <v>0</v>
      </c>
      <c r="R322" s="4" t="n">
        <v>0</v>
      </c>
      <c r="S322" s="4" t="n">
        <v>0</v>
      </c>
      <c r="T322" s="4" t="n">
        <v>0</v>
      </c>
      <c r="U322" s="4" t="n">
        <v>0</v>
      </c>
      <c r="V322" s="4" t="n">
        <v>0</v>
      </c>
      <c r="W322" s="4" t="n">
        <v>0</v>
      </c>
      <c r="X322" s="4" t="n">
        <v>0</v>
      </c>
      <c r="Y322" s="4" t="n">
        <v>0</v>
      </c>
      <c r="Z322" s="4" t="n">
        <v>0</v>
      </c>
      <c r="AA322" s="4" t="n">
        <v>26</v>
      </c>
      <c r="AB322" s="4" t="n">
        <v>0</v>
      </c>
      <c r="AC322" s="4" t="n">
        <v>0</v>
      </c>
      <c r="AD322" s="4" t="n">
        <v>0</v>
      </c>
      <c r="AE322" s="8" t="n">
        <f aca="false">COUNTIF(F322:AD322,"&lt;=0")</f>
        <v>22</v>
      </c>
    </row>
    <row r="323" customFormat="false" ht="15" hidden="false" customHeight="false" outlineLevel="0" collapsed="false">
      <c r="A323" s="8" t="s">
        <v>49</v>
      </c>
      <c r="B323" s="8" t="s">
        <v>23</v>
      </c>
      <c r="C323" s="8" t="n">
        <v>142041</v>
      </c>
      <c r="D323" s="8" t="s">
        <v>684</v>
      </c>
      <c r="E323" s="4" t="n">
        <v>0</v>
      </c>
      <c r="F323" s="4" t="n">
        <v>0</v>
      </c>
      <c r="G323" s="4" t="n">
        <v>5</v>
      </c>
      <c r="H323" s="4" t="n">
        <v>113</v>
      </c>
      <c r="I323" s="4" t="n">
        <v>19</v>
      </c>
      <c r="J323" s="4" t="n">
        <v>59</v>
      </c>
      <c r="K323" s="4" t="n">
        <v>100</v>
      </c>
      <c r="L323" s="4" t="n">
        <v>21</v>
      </c>
      <c r="M323" s="4" t="n">
        <v>66</v>
      </c>
      <c r="N323" s="4" t="n">
        <v>13</v>
      </c>
      <c r="O323" s="4" t="n">
        <v>29</v>
      </c>
      <c r="P323" s="4" t="n">
        <v>8</v>
      </c>
      <c r="Q323" s="4" t="n">
        <v>55</v>
      </c>
      <c r="R323" s="4" t="n">
        <v>21</v>
      </c>
      <c r="S323" s="4" t="n">
        <v>0</v>
      </c>
      <c r="T323" s="4" t="n">
        <v>15</v>
      </c>
      <c r="U323" s="4" t="n">
        <v>10</v>
      </c>
      <c r="V323" s="4" t="n">
        <v>4</v>
      </c>
      <c r="W323" s="4" t="n">
        <v>0</v>
      </c>
      <c r="X323" s="4" t="n">
        <v>6</v>
      </c>
      <c r="Y323" s="4" t="n">
        <v>31</v>
      </c>
      <c r="Z323" s="4" t="n">
        <v>47</v>
      </c>
      <c r="AA323" s="4" t="n">
        <v>0</v>
      </c>
      <c r="AB323" s="4" t="n">
        <v>0</v>
      </c>
      <c r="AC323" s="4" t="n">
        <v>30</v>
      </c>
      <c r="AD323" s="4" t="n">
        <v>0</v>
      </c>
      <c r="AE323" s="8" t="n">
        <f aca="false">COUNTIF(F323:AD323,"&lt;=0")</f>
        <v>6</v>
      </c>
    </row>
    <row r="324" customFormat="false" ht="15" hidden="false" customHeight="false" outlineLevel="0" collapsed="false">
      <c r="A324" s="8" t="s">
        <v>49</v>
      </c>
      <c r="B324" s="8" t="s">
        <v>23</v>
      </c>
      <c r="C324" s="8" t="n">
        <v>142032</v>
      </c>
      <c r="D324" s="8" t="s">
        <v>685</v>
      </c>
      <c r="E324" s="4" t="n">
        <v>0</v>
      </c>
      <c r="F324" s="4" t="n">
        <v>0</v>
      </c>
      <c r="G324" s="4" t="n">
        <v>0</v>
      </c>
      <c r="H324" s="4" t="n">
        <v>864</v>
      </c>
      <c r="I324" s="4" t="n">
        <v>0</v>
      </c>
      <c r="J324" s="4" t="n">
        <v>0</v>
      </c>
      <c r="K324" s="4" t="n">
        <v>360</v>
      </c>
      <c r="L324" s="4" t="n">
        <v>0</v>
      </c>
      <c r="M324" s="4" t="n">
        <v>0</v>
      </c>
      <c r="N324" s="4" t="n">
        <v>0</v>
      </c>
      <c r="O324" s="4" t="n">
        <v>100</v>
      </c>
      <c r="P324" s="4" t="n">
        <v>0</v>
      </c>
      <c r="Q324" s="4" t="n">
        <v>0</v>
      </c>
      <c r="R324" s="4" t="n">
        <v>0</v>
      </c>
      <c r="S324" s="4" t="n">
        <v>0</v>
      </c>
      <c r="T324" s="4" t="n">
        <v>0</v>
      </c>
      <c r="U324" s="4" t="n">
        <v>0</v>
      </c>
      <c r="V324" s="4" t="n">
        <v>0</v>
      </c>
      <c r="W324" s="4" t="n">
        <v>0</v>
      </c>
      <c r="X324" s="4" t="n">
        <v>0</v>
      </c>
      <c r="Y324" s="4" t="n">
        <v>0</v>
      </c>
      <c r="Z324" s="4" t="n">
        <v>6</v>
      </c>
      <c r="AA324" s="4" t="n">
        <v>0</v>
      </c>
      <c r="AB324" s="4" t="n">
        <v>0</v>
      </c>
      <c r="AC324" s="4" t="n">
        <v>29</v>
      </c>
      <c r="AD324" s="4" t="n">
        <v>0</v>
      </c>
      <c r="AE324" s="8" t="n">
        <f aca="false">COUNTIF(F324:AD324,"&lt;=0")</f>
        <v>20</v>
      </c>
    </row>
    <row r="325" customFormat="false" ht="15" hidden="false" customHeight="false" outlineLevel="0" collapsed="false">
      <c r="A325" s="8" t="s">
        <v>49</v>
      </c>
      <c r="B325" s="8" t="s">
        <v>23</v>
      </c>
      <c r="C325" s="8" t="n">
        <v>142278</v>
      </c>
      <c r="D325" s="8" t="s">
        <v>311</v>
      </c>
      <c r="E325" s="4" t="n">
        <v>377</v>
      </c>
      <c r="F325" s="4" t="n">
        <v>0</v>
      </c>
      <c r="G325" s="4" t="n">
        <v>106</v>
      </c>
      <c r="H325" s="4" t="n">
        <v>8</v>
      </c>
      <c r="I325" s="4" t="n">
        <v>13</v>
      </c>
      <c r="J325" s="4" t="n">
        <v>130</v>
      </c>
      <c r="K325" s="4" t="n">
        <v>22</v>
      </c>
      <c r="L325" s="4" t="n">
        <v>53</v>
      </c>
      <c r="M325" s="4" t="n">
        <v>32</v>
      </c>
      <c r="N325" s="4" t="n">
        <v>102</v>
      </c>
      <c r="O325" s="4" t="n">
        <v>0</v>
      </c>
      <c r="P325" s="4" t="n">
        <v>6</v>
      </c>
      <c r="Q325" s="4" t="n">
        <v>171</v>
      </c>
      <c r="R325" s="4" t="n">
        <v>10</v>
      </c>
      <c r="S325" s="4" t="n">
        <v>0</v>
      </c>
      <c r="T325" s="4" t="n">
        <v>62</v>
      </c>
      <c r="U325" s="4" t="n">
        <v>55</v>
      </c>
      <c r="V325" s="4" t="n">
        <v>1</v>
      </c>
      <c r="W325" s="4" t="n">
        <v>0</v>
      </c>
      <c r="X325" s="4" t="n">
        <v>68</v>
      </c>
      <c r="Y325" s="4" t="n">
        <v>38</v>
      </c>
      <c r="Z325" s="4" t="n">
        <v>131</v>
      </c>
      <c r="AA325" s="4" t="n">
        <v>13</v>
      </c>
      <c r="AB325" s="4" t="n">
        <v>0</v>
      </c>
      <c r="AC325" s="4" t="n">
        <v>18</v>
      </c>
      <c r="AD325" s="4" t="n">
        <v>0</v>
      </c>
      <c r="AE325" s="8" t="n">
        <f aca="false">COUNTIF(F325:AD325,"&lt;=0")</f>
        <v>6</v>
      </c>
    </row>
    <row r="326" customFormat="false" ht="15" hidden="false" customHeight="false" outlineLevel="0" collapsed="false">
      <c r="A326" s="8" t="s">
        <v>49</v>
      </c>
      <c r="B326" s="8" t="s">
        <v>23</v>
      </c>
      <c r="C326" s="8" t="n">
        <v>142448</v>
      </c>
      <c r="D326" s="8" t="s">
        <v>686</v>
      </c>
      <c r="E326" s="4" t="n">
        <v>0</v>
      </c>
      <c r="F326" s="4" t="n">
        <v>0</v>
      </c>
      <c r="G326" s="4" t="n">
        <v>0</v>
      </c>
      <c r="H326" s="4" t="n">
        <v>0</v>
      </c>
      <c r="I326" s="4" t="n">
        <v>0</v>
      </c>
      <c r="J326" s="4" t="n">
        <v>0</v>
      </c>
      <c r="K326" s="4" t="n">
        <v>248</v>
      </c>
      <c r="L326" s="4" t="n">
        <v>0</v>
      </c>
      <c r="M326" s="4" t="n">
        <v>0</v>
      </c>
      <c r="N326" s="4" t="n">
        <v>0</v>
      </c>
      <c r="O326" s="4" t="n">
        <v>0</v>
      </c>
      <c r="P326" s="4" t="n">
        <v>0</v>
      </c>
      <c r="Q326" s="4" t="n">
        <v>0</v>
      </c>
      <c r="R326" s="4" t="n">
        <v>0</v>
      </c>
      <c r="S326" s="4" t="n">
        <v>0</v>
      </c>
      <c r="T326" s="4" t="n">
        <v>0</v>
      </c>
      <c r="U326" s="4" t="n">
        <v>0</v>
      </c>
      <c r="V326" s="4" t="n">
        <v>0</v>
      </c>
      <c r="W326" s="4" t="n">
        <v>0</v>
      </c>
      <c r="X326" s="4" t="n">
        <v>0</v>
      </c>
      <c r="Y326" s="4" t="n">
        <v>14</v>
      </c>
      <c r="Z326" s="4" t="n">
        <v>1</v>
      </c>
      <c r="AA326" s="4" t="n">
        <v>0</v>
      </c>
      <c r="AB326" s="4" t="n">
        <v>0</v>
      </c>
      <c r="AC326" s="4" t="n">
        <v>0</v>
      </c>
      <c r="AD326" s="4" t="n">
        <v>0</v>
      </c>
      <c r="AE326" s="8" t="n">
        <f aca="false">COUNTIF(F326:AD326,"&lt;=0")</f>
        <v>22</v>
      </c>
    </row>
    <row r="327" customFormat="false" ht="15" hidden="false" customHeight="false" outlineLevel="0" collapsed="false">
      <c r="A327" s="8" t="s">
        <v>49</v>
      </c>
      <c r="B327" s="8" t="s">
        <v>23</v>
      </c>
      <c r="C327" s="8" t="n">
        <v>142037</v>
      </c>
      <c r="D327" s="8" t="s">
        <v>687</v>
      </c>
      <c r="E327" s="4" t="n">
        <v>0</v>
      </c>
      <c r="F327" s="4" t="n">
        <v>0</v>
      </c>
      <c r="G327" s="4" t="n">
        <v>0</v>
      </c>
      <c r="H327" s="4" t="n">
        <v>282</v>
      </c>
      <c r="I327" s="4" t="n">
        <v>0</v>
      </c>
      <c r="J327" s="4" t="n">
        <v>0</v>
      </c>
      <c r="K327" s="4" t="n">
        <v>105</v>
      </c>
      <c r="L327" s="4" t="n">
        <v>0</v>
      </c>
      <c r="M327" s="4" t="n">
        <v>1</v>
      </c>
      <c r="N327" s="4" t="n">
        <v>0</v>
      </c>
      <c r="O327" s="4" t="n">
        <v>103</v>
      </c>
      <c r="P327" s="4" t="n">
        <v>0</v>
      </c>
      <c r="Q327" s="4" t="n">
        <v>0</v>
      </c>
      <c r="R327" s="4" t="n">
        <v>10</v>
      </c>
      <c r="S327" s="4" t="n">
        <v>0</v>
      </c>
      <c r="T327" s="4" t="n">
        <v>0</v>
      </c>
      <c r="U327" s="4" t="n">
        <v>1</v>
      </c>
      <c r="V327" s="4" t="n">
        <v>0</v>
      </c>
      <c r="W327" s="4" t="n">
        <v>0</v>
      </c>
      <c r="X327" s="4" t="n">
        <v>0</v>
      </c>
      <c r="Y327" s="4" t="n">
        <v>0</v>
      </c>
      <c r="Z327" s="4" t="n">
        <v>0</v>
      </c>
      <c r="AA327" s="4" t="n">
        <v>0</v>
      </c>
      <c r="AB327" s="4" t="n">
        <v>0</v>
      </c>
      <c r="AC327" s="4" t="n">
        <v>28</v>
      </c>
      <c r="AD327" s="4" t="n">
        <v>0</v>
      </c>
      <c r="AE327" s="8" t="n">
        <f aca="false">COUNTIF(F327:AD327,"&lt;=0")</f>
        <v>18</v>
      </c>
    </row>
    <row r="328" customFormat="false" ht="15" hidden="false" customHeight="false" outlineLevel="0" collapsed="false">
      <c r="A328" s="8" t="s">
        <v>49</v>
      </c>
      <c r="B328" s="8" t="s">
        <v>23</v>
      </c>
      <c r="C328" s="8" t="n">
        <v>142033</v>
      </c>
      <c r="D328" s="8" t="s">
        <v>319</v>
      </c>
      <c r="E328" s="4" t="n">
        <v>697</v>
      </c>
      <c r="F328" s="4" t="n">
        <v>0</v>
      </c>
      <c r="G328" s="4" t="n">
        <v>208</v>
      </c>
      <c r="H328" s="4" t="n">
        <v>1185</v>
      </c>
      <c r="I328" s="4" t="n">
        <v>89</v>
      </c>
      <c r="J328" s="4" t="n">
        <v>181</v>
      </c>
      <c r="K328" s="4" t="n">
        <v>826</v>
      </c>
      <c r="L328" s="4" t="n">
        <v>159</v>
      </c>
      <c r="M328" s="4" t="n">
        <v>600</v>
      </c>
      <c r="N328" s="4" t="n">
        <v>121</v>
      </c>
      <c r="O328" s="4" t="n">
        <v>659</v>
      </c>
      <c r="P328" s="4" t="n">
        <v>30</v>
      </c>
      <c r="Q328" s="4" t="n">
        <v>97</v>
      </c>
      <c r="R328" s="4" t="n">
        <v>54</v>
      </c>
      <c r="S328" s="4" t="n">
        <v>0</v>
      </c>
      <c r="T328" s="4" t="n">
        <v>107</v>
      </c>
      <c r="U328" s="4" t="n">
        <v>105</v>
      </c>
      <c r="V328" s="4" t="n">
        <v>1</v>
      </c>
      <c r="W328" s="4" t="n">
        <v>0</v>
      </c>
      <c r="X328" s="4" t="n">
        <v>52</v>
      </c>
      <c r="Y328" s="4" t="n">
        <v>57</v>
      </c>
      <c r="Z328" s="4" t="n">
        <v>244</v>
      </c>
      <c r="AA328" s="4" t="n">
        <v>74</v>
      </c>
      <c r="AB328" s="4" t="n">
        <v>0</v>
      </c>
      <c r="AC328" s="4" t="n">
        <v>153</v>
      </c>
      <c r="AD328" s="4" t="n">
        <v>0</v>
      </c>
      <c r="AE328" s="8" t="n">
        <f aca="false">COUNTIF(F328:AD328,"&lt;=0")</f>
        <v>5</v>
      </c>
    </row>
    <row r="329" customFormat="false" ht="15" hidden="false" customHeight="false" outlineLevel="0" collapsed="false">
      <c r="A329" s="8" t="s">
        <v>139</v>
      </c>
      <c r="B329" s="8" t="s">
        <v>23</v>
      </c>
      <c r="C329" s="8" t="n">
        <v>143004</v>
      </c>
      <c r="D329" s="8" t="s">
        <v>688</v>
      </c>
      <c r="E329" s="4" t="n">
        <v>0</v>
      </c>
      <c r="F329" s="4" t="n">
        <v>0</v>
      </c>
      <c r="G329" s="4" t="n">
        <v>-3</v>
      </c>
      <c r="H329" s="4" t="n">
        <v>0</v>
      </c>
      <c r="I329" s="4" t="n">
        <v>10</v>
      </c>
      <c r="J329" s="4" t="n">
        <v>0</v>
      </c>
      <c r="K329" s="4" t="n">
        <v>-2</v>
      </c>
      <c r="L329" s="4" t="n">
        <v>0</v>
      </c>
      <c r="M329" s="4" t="n">
        <v>16</v>
      </c>
      <c r="N329" s="4" t="n">
        <v>0</v>
      </c>
      <c r="O329" s="4" t="n">
        <v>-1</v>
      </c>
      <c r="P329" s="4" t="n">
        <v>0</v>
      </c>
      <c r="Q329" s="4" t="n">
        <v>0</v>
      </c>
      <c r="R329" s="4" t="n">
        <v>2</v>
      </c>
      <c r="S329" s="4" t="n">
        <v>0</v>
      </c>
      <c r="T329" s="4" t="n">
        <v>5</v>
      </c>
      <c r="U329" s="4" t="n">
        <v>0</v>
      </c>
      <c r="V329" s="4" t="n">
        <v>5</v>
      </c>
      <c r="W329" s="4" t="n">
        <v>2</v>
      </c>
      <c r="X329" s="4" t="n">
        <v>0</v>
      </c>
      <c r="Y329" s="4" t="n">
        <v>0</v>
      </c>
      <c r="Z329" s="4" t="n">
        <v>33</v>
      </c>
      <c r="AA329" s="4" t="n">
        <v>0</v>
      </c>
      <c r="AB329" s="4" t="n">
        <v>0</v>
      </c>
      <c r="AC329" s="4" t="n">
        <v>0</v>
      </c>
      <c r="AD329" s="4" t="n">
        <v>0</v>
      </c>
      <c r="AE329" s="8" t="n">
        <f aca="false">COUNTIF(F329:AD329,"&lt;=0")</f>
        <v>18</v>
      </c>
    </row>
    <row r="330" customFormat="false" ht="15" hidden="false" customHeight="false" outlineLevel="0" collapsed="false">
      <c r="A330" s="8" t="s">
        <v>139</v>
      </c>
      <c r="B330" s="8" t="s">
        <v>23</v>
      </c>
      <c r="C330" s="8" t="n">
        <v>143015</v>
      </c>
      <c r="D330" s="8" t="s">
        <v>689</v>
      </c>
      <c r="E330" s="4" t="n">
        <v>0</v>
      </c>
      <c r="F330" s="4" t="n">
        <v>0</v>
      </c>
      <c r="G330" s="4" t="n">
        <v>90</v>
      </c>
      <c r="H330" s="4" t="n">
        <v>-2</v>
      </c>
      <c r="I330" s="4" t="n">
        <v>23</v>
      </c>
      <c r="J330" s="4" t="n">
        <v>15</v>
      </c>
      <c r="K330" s="4" t="n">
        <v>-28</v>
      </c>
      <c r="L330" s="4" t="n">
        <v>21</v>
      </c>
      <c r="M330" s="4" t="n">
        <v>76</v>
      </c>
      <c r="N330" s="4" t="n">
        <v>33</v>
      </c>
      <c r="O330" s="4" t="n">
        <v>0</v>
      </c>
      <c r="P330" s="4" t="n">
        <v>0</v>
      </c>
      <c r="Q330" s="4" t="n">
        <v>67</v>
      </c>
      <c r="R330" s="4" t="n">
        <v>5</v>
      </c>
      <c r="S330" s="4" t="n">
        <v>0</v>
      </c>
      <c r="T330" s="4" t="n">
        <v>65</v>
      </c>
      <c r="U330" s="4" t="n">
        <v>15</v>
      </c>
      <c r="V330" s="4" t="n">
        <v>94</v>
      </c>
      <c r="W330" s="4" t="n">
        <v>0</v>
      </c>
      <c r="X330" s="4" t="n">
        <v>0</v>
      </c>
      <c r="Y330" s="4" t="n">
        <v>0</v>
      </c>
      <c r="Z330" s="4" t="n">
        <v>104</v>
      </c>
      <c r="AA330" s="4" t="n">
        <v>0</v>
      </c>
      <c r="AB330" s="4" t="n">
        <v>0</v>
      </c>
      <c r="AC330" s="4" t="n">
        <v>14</v>
      </c>
      <c r="AD330" s="4" t="n">
        <v>0</v>
      </c>
      <c r="AE330" s="8" t="n">
        <f aca="false">COUNTIF(F330:AD330,"&lt;=0")</f>
        <v>12</v>
      </c>
    </row>
    <row r="331" customFormat="false" ht="15" hidden="false" customHeight="false" outlineLevel="0" collapsed="false">
      <c r="A331" s="8" t="s">
        <v>139</v>
      </c>
      <c r="B331" s="8" t="s">
        <v>23</v>
      </c>
      <c r="C331" s="8" t="n">
        <v>143020</v>
      </c>
      <c r="D331" s="8" t="s">
        <v>690</v>
      </c>
      <c r="E331" s="4" t="n">
        <v>0</v>
      </c>
      <c r="F331" s="4" t="n">
        <v>0</v>
      </c>
      <c r="G331" s="4" t="n">
        <v>65</v>
      </c>
      <c r="H331" s="4" t="n">
        <v>0</v>
      </c>
      <c r="I331" s="4" t="n">
        <v>138</v>
      </c>
      <c r="J331" s="4" t="n">
        <v>51</v>
      </c>
      <c r="K331" s="4" t="n">
        <v>63</v>
      </c>
      <c r="L331" s="4" t="n">
        <v>9</v>
      </c>
      <c r="M331" s="4" t="n">
        <v>-109</v>
      </c>
      <c r="N331" s="4" t="n">
        <v>54</v>
      </c>
      <c r="O331" s="4" t="n">
        <v>41</v>
      </c>
      <c r="P331" s="4" t="n">
        <v>0</v>
      </c>
      <c r="Q331" s="4" t="n">
        <v>54</v>
      </c>
      <c r="R331" s="4" t="n">
        <v>3</v>
      </c>
      <c r="S331" s="4" t="n">
        <v>0</v>
      </c>
      <c r="T331" s="4" t="n">
        <v>126</v>
      </c>
      <c r="U331" s="4" t="n">
        <v>0</v>
      </c>
      <c r="V331" s="4" t="n">
        <v>298</v>
      </c>
      <c r="W331" s="4" t="n">
        <v>0</v>
      </c>
      <c r="X331" s="4" t="n">
        <v>13</v>
      </c>
      <c r="Y331" s="4" t="n">
        <v>0</v>
      </c>
      <c r="Z331" s="4" t="n">
        <v>15</v>
      </c>
      <c r="AA331" s="4" t="n">
        <v>0</v>
      </c>
      <c r="AB331" s="4" t="n">
        <v>0</v>
      </c>
      <c r="AC331" s="4" t="n">
        <v>103</v>
      </c>
      <c r="AD331" s="4" t="n">
        <v>0</v>
      </c>
      <c r="AE331" s="8" t="n">
        <f aca="false">COUNTIF(F331:AD331,"&lt;=0")</f>
        <v>11</v>
      </c>
    </row>
    <row r="332" customFormat="false" ht="15" hidden="false" customHeight="false" outlineLevel="0" collapsed="false">
      <c r="A332" s="8" t="s">
        <v>139</v>
      </c>
      <c r="B332" s="8" t="s">
        <v>23</v>
      </c>
      <c r="C332" s="8" t="n">
        <v>143007</v>
      </c>
      <c r="D332" s="8" t="s">
        <v>691</v>
      </c>
      <c r="E332" s="4" t="n">
        <v>0</v>
      </c>
      <c r="F332" s="4" t="n">
        <v>0</v>
      </c>
      <c r="G332" s="4" t="n">
        <v>1</v>
      </c>
      <c r="H332" s="4" t="n">
        <v>12</v>
      </c>
      <c r="I332" s="4" t="n">
        <v>10</v>
      </c>
      <c r="J332" s="4" t="n">
        <v>0</v>
      </c>
      <c r="K332" s="4" t="n">
        <v>4</v>
      </c>
      <c r="L332" s="4" t="n">
        <v>2</v>
      </c>
      <c r="M332" s="4" t="n">
        <v>14</v>
      </c>
      <c r="N332" s="4" t="n">
        <v>0</v>
      </c>
      <c r="O332" s="4" t="n">
        <v>0</v>
      </c>
      <c r="P332" s="4" t="n">
        <v>1</v>
      </c>
      <c r="Q332" s="4" t="n">
        <v>0</v>
      </c>
      <c r="R332" s="4" t="n">
        <v>0</v>
      </c>
      <c r="S332" s="4" t="n">
        <v>0</v>
      </c>
      <c r="T332" s="4" t="n">
        <v>0</v>
      </c>
      <c r="U332" s="4" t="n">
        <v>1</v>
      </c>
      <c r="V332" s="4" t="n">
        <v>5</v>
      </c>
      <c r="W332" s="4" t="n">
        <v>0</v>
      </c>
      <c r="X332" s="4" t="n">
        <v>0</v>
      </c>
      <c r="Y332" s="4" t="n">
        <v>0</v>
      </c>
      <c r="Z332" s="4" t="n">
        <v>0</v>
      </c>
      <c r="AA332" s="4" t="n">
        <v>0</v>
      </c>
      <c r="AB332" s="4" t="n">
        <v>0</v>
      </c>
      <c r="AC332" s="4" t="n">
        <v>8</v>
      </c>
      <c r="AD332" s="4" t="n">
        <v>0</v>
      </c>
      <c r="AE332" s="8" t="n">
        <f aca="false">COUNTIF(F332:AD332,"&lt;=0")</f>
        <v>15</v>
      </c>
    </row>
    <row r="333" customFormat="false" ht="15" hidden="false" customHeight="false" outlineLevel="0" collapsed="false">
      <c r="A333" s="8" t="s">
        <v>139</v>
      </c>
      <c r="B333" s="8" t="s">
        <v>23</v>
      </c>
      <c r="C333" s="8" t="n">
        <v>143016</v>
      </c>
      <c r="D333" s="8" t="s">
        <v>692</v>
      </c>
      <c r="E333" s="4" t="n">
        <v>0</v>
      </c>
      <c r="F333" s="4" t="n">
        <v>0</v>
      </c>
      <c r="G333" s="4" t="n">
        <v>98</v>
      </c>
      <c r="H333" s="4" t="n">
        <v>0</v>
      </c>
      <c r="I333" s="4" t="n">
        <v>108</v>
      </c>
      <c r="J333" s="4" t="n">
        <v>40</v>
      </c>
      <c r="K333" s="4" t="n">
        <v>-3</v>
      </c>
      <c r="L333" s="4" t="n">
        <v>41</v>
      </c>
      <c r="M333" s="4" t="n">
        <v>98</v>
      </c>
      <c r="N333" s="4" t="n">
        <v>15</v>
      </c>
      <c r="O333" s="4" t="n">
        <v>0</v>
      </c>
      <c r="P333" s="4" t="n">
        <v>0</v>
      </c>
      <c r="Q333" s="4" t="n">
        <v>17</v>
      </c>
      <c r="R333" s="4" t="n">
        <v>8</v>
      </c>
      <c r="S333" s="4" t="n">
        <v>0</v>
      </c>
      <c r="T333" s="4" t="n">
        <v>12</v>
      </c>
      <c r="U333" s="4" t="n">
        <v>16</v>
      </c>
      <c r="V333" s="4" t="n">
        <v>40</v>
      </c>
      <c r="W333" s="4" t="n">
        <v>0</v>
      </c>
      <c r="X333" s="4" t="n">
        <v>0</v>
      </c>
      <c r="Y333" s="4" t="n">
        <v>0</v>
      </c>
      <c r="Z333" s="4" t="n">
        <v>32</v>
      </c>
      <c r="AA333" s="4" t="n">
        <v>0</v>
      </c>
      <c r="AB333" s="4" t="n">
        <v>0</v>
      </c>
      <c r="AC333" s="4" t="n">
        <v>8</v>
      </c>
      <c r="AD333" s="4" t="n">
        <v>0</v>
      </c>
      <c r="AE333" s="8" t="n">
        <f aca="false">COUNTIF(F333:AD333,"&lt;=0")</f>
        <v>12</v>
      </c>
    </row>
    <row r="334" customFormat="false" ht="15" hidden="false" customHeight="false" outlineLevel="0" collapsed="false">
      <c r="A334" s="8" t="s">
        <v>139</v>
      </c>
      <c r="B334" s="8" t="s">
        <v>23</v>
      </c>
      <c r="C334" s="8" t="n">
        <v>143022</v>
      </c>
      <c r="D334" s="8" t="s">
        <v>693</v>
      </c>
      <c r="E334" s="4" t="n">
        <v>0</v>
      </c>
      <c r="F334" s="4" t="n">
        <v>0</v>
      </c>
      <c r="G334" s="4" t="n">
        <v>10</v>
      </c>
      <c r="H334" s="4" t="n">
        <v>0</v>
      </c>
      <c r="I334" s="4" t="n">
        <v>5</v>
      </c>
      <c r="J334" s="4" t="n">
        <v>1</v>
      </c>
      <c r="K334" s="4" t="n">
        <v>0</v>
      </c>
      <c r="L334" s="4" t="n">
        <v>0</v>
      </c>
      <c r="M334" s="4" t="n">
        <v>7</v>
      </c>
      <c r="N334" s="4" t="n">
        <v>0</v>
      </c>
      <c r="O334" s="4" t="n">
        <v>2</v>
      </c>
      <c r="P334" s="4" t="n">
        <v>0</v>
      </c>
      <c r="Q334" s="4" t="n">
        <v>0</v>
      </c>
      <c r="R334" s="4" t="n">
        <v>0</v>
      </c>
      <c r="S334" s="4" t="n">
        <v>0</v>
      </c>
      <c r="T334" s="4" t="n">
        <v>6</v>
      </c>
      <c r="U334" s="4" t="n">
        <v>5</v>
      </c>
      <c r="V334" s="4" t="n">
        <v>1</v>
      </c>
      <c r="W334" s="4" t="n">
        <v>0</v>
      </c>
      <c r="X334" s="4" t="n">
        <v>0</v>
      </c>
      <c r="Y334" s="4" t="n">
        <v>0</v>
      </c>
      <c r="Z334" s="4" t="n">
        <v>19</v>
      </c>
      <c r="AA334" s="4" t="n">
        <v>0</v>
      </c>
      <c r="AB334" s="4" t="n">
        <v>0</v>
      </c>
      <c r="AC334" s="4" t="n">
        <v>1</v>
      </c>
      <c r="AD334" s="4" t="n">
        <v>0</v>
      </c>
      <c r="AE334" s="8" t="n">
        <f aca="false">COUNTIF(F334:AD334,"&lt;=0")</f>
        <v>15</v>
      </c>
    </row>
    <row r="335" customFormat="false" ht="15" hidden="false" customHeight="false" outlineLevel="0" collapsed="false">
      <c r="A335" s="8" t="s">
        <v>139</v>
      </c>
      <c r="B335" s="8" t="s">
        <v>23</v>
      </c>
      <c r="C335" s="8" t="n">
        <v>143008</v>
      </c>
      <c r="D335" s="8" t="s">
        <v>694</v>
      </c>
      <c r="E335" s="4" t="n">
        <v>0</v>
      </c>
      <c r="F335" s="4" t="n">
        <v>0</v>
      </c>
      <c r="G335" s="4" t="n">
        <v>4</v>
      </c>
      <c r="H335" s="4" t="n">
        <v>3</v>
      </c>
      <c r="I335" s="4" t="n">
        <v>20</v>
      </c>
      <c r="J335" s="4" t="n">
        <v>5</v>
      </c>
      <c r="K335" s="4" t="n">
        <v>-3</v>
      </c>
      <c r="L335" s="4" t="n">
        <v>1</v>
      </c>
      <c r="M335" s="4" t="n">
        <v>51</v>
      </c>
      <c r="N335" s="4" t="n">
        <v>1</v>
      </c>
      <c r="O335" s="4" t="n">
        <v>10</v>
      </c>
      <c r="P335" s="4" t="n">
        <v>0</v>
      </c>
      <c r="Q335" s="4" t="n">
        <v>6</v>
      </c>
      <c r="R335" s="4" t="n">
        <v>0</v>
      </c>
      <c r="S335" s="4" t="n">
        <v>0</v>
      </c>
      <c r="T335" s="4" t="n">
        <v>9</v>
      </c>
      <c r="U335" s="4" t="n">
        <v>2</v>
      </c>
      <c r="V335" s="4" t="n">
        <v>9</v>
      </c>
      <c r="W335" s="4" t="n">
        <v>0</v>
      </c>
      <c r="X335" s="4" t="n">
        <v>0</v>
      </c>
      <c r="Y335" s="4" t="n">
        <v>0</v>
      </c>
      <c r="Z335" s="4" t="n">
        <v>9</v>
      </c>
      <c r="AA335" s="4" t="n">
        <v>0</v>
      </c>
      <c r="AB335" s="4" t="n">
        <v>0</v>
      </c>
      <c r="AC335" s="4" t="n">
        <v>3</v>
      </c>
      <c r="AD335" s="4" t="n">
        <v>0</v>
      </c>
      <c r="AE335" s="8" t="n">
        <f aca="false">COUNTIF(F335:AD335,"&lt;=0")</f>
        <v>11</v>
      </c>
    </row>
    <row r="336" customFormat="false" ht="15" hidden="false" customHeight="false" outlineLevel="0" collapsed="false">
      <c r="A336" s="8" t="s">
        <v>139</v>
      </c>
      <c r="B336" s="8" t="s">
        <v>23</v>
      </c>
      <c r="C336" s="8" t="n">
        <v>142450</v>
      </c>
      <c r="D336" s="8" t="s">
        <v>695</v>
      </c>
      <c r="E336" s="4" t="n">
        <v>0</v>
      </c>
      <c r="F336" s="4" t="n">
        <v>0</v>
      </c>
      <c r="G336" s="4" t="n">
        <v>0</v>
      </c>
      <c r="H336" s="4" t="n">
        <v>212</v>
      </c>
      <c r="I336" s="4" t="n">
        <v>0</v>
      </c>
      <c r="J336" s="4" t="n">
        <v>0</v>
      </c>
      <c r="K336" s="4" t="n">
        <v>93</v>
      </c>
      <c r="L336" s="4" t="n">
        <v>134</v>
      </c>
      <c r="M336" s="4" t="n">
        <v>0</v>
      </c>
      <c r="N336" s="4" t="n">
        <v>0</v>
      </c>
      <c r="O336" s="4" t="n">
        <v>-15</v>
      </c>
      <c r="P336" s="4" t="n">
        <v>0</v>
      </c>
      <c r="Q336" s="4" t="n">
        <v>0</v>
      </c>
      <c r="R336" s="4" t="n">
        <v>0</v>
      </c>
      <c r="S336" s="4" t="n">
        <v>0</v>
      </c>
      <c r="T336" s="4" t="n">
        <v>0</v>
      </c>
      <c r="U336" s="4" t="n">
        <v>0</v>
      </c>
      <c r="V336" s="4" t="n">
        <v>118</v>
      </c>
      <c r="W336" s="4" t="n">
        <v>0</v>
      </c>
      <c r="X336" s="4" t="n">
        <v>0</v>
      </c>
      <c r="Y336" s="4" t="n">
        <v>0</v>
      </c>
      <c r="Z336" s="4" t="n">
        <v>0</v>
      </c>
      <c r="AA336" s="4" t="n">
        <v>0</v>
      </c>
      <c r="AB336" s="4" t="n">
        <v>0</v>
      </c>
      <c r="AC336" s="4" t="n">
        <v>40</v>
      </c>
      <c r="AD336" s="4" t="n">
        <v>0</v>
      </c>
      <c r="AE336" s="8" t="n">
        <f aca="false">COUNTIF(F336:AD336,"&lt;=0")</f>
        <v>20</v>
      </c>
    </row>
    <row r="337" customFormat="false" ht="15" hidden="false" customHeight="false" outlineLevel="0" collapsed="false">
      <c r="A337" s="8" t="s">
        <v>139</v>
      </c>
      <c r="B337" s="8" t="s">
        <v>23</v>
      </c>
      <c r="C337" s="8" t="n">
        <v>142451</v>
      </c>
      <c r="D337" s="8" t="s">
        <v>696</v>
      </c>
      <c r="E337" s="4" t="n">
        <v>0</v>
      </c>
      <c r="F337" s="4" t="n">
        <v>0</v>
      </c>
      <c r="G337" s="4" t="n">
        <v>0</v>
      </c>
      <c r="H337" s="4" t="n">
        <v>0</v>
      </c>
      <c r="I337" s="4" t="n">
        <v>0</v>
      </c>
      <c r="J337" s="4" t="n">
        <v>0</v>
      </c>
      <c r="K337" s="4" t="n">
        <v>-1</v>
      </c>
      <c r="L337" s="4" t="n">
        <v>0</v>
      </c>
      <c r="M337" s="4" t="n">
        <v>0</v>
      </c>
      <c r="N337" s="4" t="n">
        <v>0</v>
      </c>
      <c r="O337" s="4" t="n">
        <v>0</v>
      </c>
      <c r="P337" s="4" t="n">
        <v>0</v>
      </c>
      <c r="Q337" s="4" t="n">
        <v>0</v>
      </c>
      <c r="R337" s="4" t="n">
        <v>0</v>
      </c>
      <c r="S337" s="4" t="n">
        <v>0</v>
      </c>
      <c r="T337" s="4" t="n">
        <v>0</v>
      </c>
      <c r="U337" s="4" t="n">
        <v>0</v>
      </c>
      <c r="V337" s="4" t="n">
        <v>32</v>
      </c>
      <c r="W337" s="4" t="n">
        <v>0</v>
      </c>
      <c r="X337" s="4" t="n">
        <v>0</v>
      </c>
      <c r="Y337" s="4" t="n">
        <v>0</v>
      </c>
      <c r="Z337" s="4" t="n">
        <v>23</v>
      </c>
      <c r="AA337" s="4" t="n">
        <v>0</v>
      </c>
      <c r="AB337" s="4" t="n">
        <v>0</v>
      </c>
      <c r="AC337" s="4" t="n">
        <v>0</v>
      </c>
      <c r="AD337" s="4" t="n">
        <v>0</v>
      </c>
      <c r="AE337" s="8" t="n">
        <f aca="false">COUNTIF(F337:AD337,"&lt;=0")</f>
        <v>23</v>
      </c>
    </row>
    <row r="338" customFormat="false" ht="15" hidden="false" customHeight="false" outlineLevel="0" collapsed="false">
      <c r="A338" s="8" t="s">
        <v>139</v>
      </c>
      <c r="B338" s="8" t="s">
        <v>23</v>
      </c>
      <c r="C338" s="8" t="n">
        <v>142806</v>
      </c>
      <c r="D338" s="8" t="s">
        <v>697</v>
      </c>
      <c r="E338" s="4" t="n">
        <v>0</v>
      </c>
      <c r="F338" s="4" t="n">
        <v>0</v>
      </c>
      <c r="G338" s="4" t="n">
        <v>0</v>
      </c>
      <c r="H338" s="4" t="n">
        <v>4</v>
      </c>
      <c r="I338" s="4" t="n">
        <v>0</v>
      </c>
      <c r="J338" s="4" t="n">
        <v>0</v>
      </c>
      <c r="K338" s="4" t="n">
        <v>135</v>
      </c>
      <c r="L338" s="4" t="n">
        <v>81</v>
      </c>
      <c r="M338" s="4" t="n">
        <v>0</v>
      </c>
      <c r="N338" s="4" t="n">
        <v>0</v>
      </c>
      <c r="O338" s="4" t="n">
        <v>42</v>
      </c>
      <c r="P338" s="4" t="n">
        <v>0</v>
      </c>
      <c r="Q338" s="4" t="n">
        <v>0</v>
      </c>
      <c r="R338" s="4" t="n">
        <v>0</v>
      </c>
      <c r="S338" s="4" t="n">
        <v>0</v>
      </c>
      <c r="T338" s="4" t="n">
        <v>0</v>
      </c>
      <c r="U338" s="4" t="n">
        <v>0</v>
      </c>
      <c r="V338" s="4" t="n">
        <v>5</v>
      </c>
      <c r="W338" s="4" t="n">
        <v>0</v>
      </c>
      <c r="X338" s="4" t="n">
        <v>0</v>
      </c>
      <c r="Y338" s="4" t="n">
        <v>0</v>
      </c>
      <c r="Z338" s="4" t="n">
        <v>0</v>
      </c>
      <c r="AA338" s="4" t="n">
        <v>0</v>
      </c>
      <c r="AB338" s="4" t="n">
        <v>0</v>
      </c>
      <c r="AC338" s="4" t="n">
        <v>30</v>
      </c>
      <c r="AD338" s="4" t="n">
        <v>0</v>
      </c>
      <c r="AE338" s="8" t="n">
        <f aca="false">COUNTIF(F338:AD338,"&lt;=0")</f>
        <v>19</v>
      </c>
    </row>
    <row r="339" customFormat="false" ht="15" hidden="false" customHeight="false" outlineLevel="0" collapsed="false">
      <c r="A339" s="8" t="s">
        <v>139</v>
      </c>
      <c r="B339" s="8" t="s">
        <v>23</v>
      </c>
      <c r="C339" s="8" t="n">
        <v>143003</v>
      </c>
      <c r="D339" s="8" t="s">
        <v>698</v>
      </c>
      <c r="E339" s="4" t="n">
        <v>0</v>
      </c>
      <c r="F339" s="4" t="n">
        <v>0</v>
      </c>
      <c r="G339" s="4" t="n">
        <v>1</v>
      </c>
      <c r="H339" s="4" t="n">
        <v>1</v>
      </c>
      <c r="I339" s="4" t="n">
        <v>16</v>
      </c>
      <c r="J339" s="4" t="n">
        <v>0</v>
      </c>
      <c r="K339" s="4" t="n">
        <v>-3</v>
      </c>
      <c r="L339" s="4" t="n">
        <v>19</v>
      </c>
      <c r="M339" s="4" t="n">
        <v>21</v>
      </c>
      <c r="N339" s="4" t="n">
        <v>1</v>
      </c>
      <c r="O339" s="4" t="n">
        <v>0</v>
      </c>
      <c r="P339" s="4" t="n">
        <v>0</v>
      </c>
      <c r="Q339" s="4" t="n">
        <v>0</v>
      </c>
      <c r="R339" s="4" t="n">
        <v>0</v>
      </c>
      <c r="S339" s="4" t="n">
        <v>0</v>
      </c>
      <c r="T339" s="4" t="n">
        <v>0</v>
      </c>
      <c r="U339" s="4" t="n">
        <v>10</v>
      </c>
      <c r="V339" s="4" t="n">
        <v>1</v>
      </c>
      <c r="W339" s="4" t="n">
        <v>0</v>
      </c>
      <c r="X339" s="4" t="n">
        <v>0</v>
      </c>
      <c r="Y339" s="4" t="n">
        <v>0</v>
      </c>
      <c r="Z339" s="4" t="n">
        <v>0</v>
      </c>
      <c r="AA339" s="4" t="n">
        <v>0</v>
      </c>
      <c r="AB339" s="4" t="n">
        <v>0</v>
      </c>
      <c r="AC339" s="4" t="n">
        <v>4</v>
      </c>
      <c r="AD339" s="4" t="n">
        <v>0</v>
      </c>
      <c r="AE339" s="8" t="n">
        <f aca="false">COUNTIF(F339:AD339,"&lt;=0")</f>
        <v>16</v>
      </c>
    </row>
    <row r="340" customFormat="false" ht="15" hidden="false" customHeight="false" outlineLevel="0" collapsed="false">
      <c r="A340" s="8" t="s">
        <v>139</v>
      </c>
      <c r="B340" s="8" t="s">
        <v>23</v>
      </c>
      <c r="C340" s="8" t="n">
        <v>143014</v>
      </c>
      <c r="D340" s="8" t="s">
        <v>699</v>
      </c>
      <c r="E340" s="4" t="n">
        <v>0</v>
      </c>
      <c r="F340" s="4" t="n">
        <v>0</v>
      </c>
      <c r="G340" s="4" t="n">
        <v>32</v>
      </c>
      <c r="H340" s="4" t="n">
        <v>3</v>
      </c>
      <c r="I340" s="4" t="n">
        <v>18</v>
      </c>
      <c r="J340" s="4" t="n">
        <v>0</v>
      </c>
      <c r="K340" s="4" t="n">
        <v>17</v>
      </c>
      <c r="L340" s="4" t="n">
        <v>0</v>
      </c>
      <c r="M340" s="4" t="n">
        <v>77</v>
      </c>
      <c r="N340" s="4" t="n">
        <v>11</v>
      </c>
      <c r="O340" s="4" t="n">
        <v>4</v>
      </c>
      <c r="P340" s="4" t="n">
        <v>0</v>
      </c>
      <c r="Q340" s="4" t="n">
        <v>10</v>
      </c>
      <c r="R340" s="4" t="n">
        <v>4</v>
      </c>
      <c r="S340" s="4" t="n">
        <v>0</v>
      </c>
      <c r="T340" s="4" t="n">
        <v>28</v>
      </c>
      <c r="U340" s="4" t="n">
        <v>8</v>
      </c>
      <c r="V340" s="4" t="n">
        <v>56</v>
      </c>
      <c r="W340" s="4" t="n">
        <v>0</v>
      </c>
      <c r="X340" s="4" t="n">
        <v>1</v>
      </c>
      <c r="Y340" s="4" t="n">
        <v>0</v>
      </c>
      <c r="Z340" s="4" t="n">
        <v>0</v>
      </c>
      <c r="AA340" s="4" t="n">
        <v>0</v>
      </c>
      <c r="AB340" s="4" t="n">
        <v>0</v>
      </c>
      <c r="AC340" s="4" t="n">
        <v>3</v>
      </c>
      <c r="AD340" s="4" t="n">
        <v>0</v>
      </c>
      <c r="AE340" s="8" t="n">
        <f aca="false">COUNTIF(F340:AD340,"&lt;=0")</f>
        <v>11</v>
      </c>
    </row>
    <row r="341" customFormat="false" ht="15" hidden="false" customHeight="false" outlineLevel="0" collapsed="false">
      <c r="A341" s="8" t="s">
        <v>139</v>
      </c>
      <c r="B341" s="8" t="s">
        <v>23</v>
      </c>
      <c r="C341" s="8" t="n">
        <v>143019</v>
      </c>
      <c r="D341" s="8" t="s">
        <v>700</v>
      </c>
      <c r="E341" s="4" t="n">
        <v>0</v>
      </c>
      <c r="F341" s="4" t="n">
        <v>0</v>
      </c>
      <c r="G341" s="4" t="n">
        <v>88</v>
      </c>
      <c r="H341" s="4" t="n">
        <v>27</v>
      </c>
      <c r="I341" s="4" t="n">
        <v>6</v>
      </c>
      <c r="J341" s="4" t="n">
        <v>0</v>
      </c>
      <c r="K341" s="4" t="n">
        <v>0</v>
      </c>
      <c r="L341" s="4" t="n">
        <v>0</v>
      </c>
      <c r="M341" s="4" t="n">
        <v>15</v>
      </c>
      <c r="N341" s="4" t="n">
        <v>6</v>
      </c>
      <c r="O341" s="4" t="n">
        <v>13</v>
      </c>
      <c r="P341" s="4" t="n">
        <v>0</v>
      </c>
      <c r="Q341" s="4" t="n">
        <v>0</v>
      </c>
      <c r="R341" s="4" t="n">
        <v>17</v>
      </c>
      <c r="S341" s="4" t="n">
        <v>0</v>
      </c>
      <c r="T341" s="4" t="n">
        <v>8</v>
      </c>
      <c r="U341" s="4" t="n">
        <v>28</v>
      </c>
      <c r="V341" s="4" t="n">
        <v>23</v>
      </c>
      <c r="W341" s="4" t="n">
        <v>0</v>
      </c>
      <c r="X341" s="4" t="n">
        <v>0</v>
      </c>
      <c r="Y341" s="4" t="n">
        <v>0</v>
      </c>
      <c r="Z341" s="4" t="n">
        <v>37</v>
      </c>
      <c r="AA341" s="4" t="n">
        <v>0</v>
      </c>
      <c r="AB341" s="4" t="n">
        <v>0</v>
      </c>
      <c r="AC341" s="4" t="n">
        <v>30</v>
      </c>
      <c r="AD341" s="4" t="n">
        <v>0</v>
      </c>
      <c r="AE341" s="8" t="n">
        <f aca="false">COUNTIF(F341:AD341,"&lt;=0")</f>
        <v>13</v>
      </c>
    </row>
    <row r="342" customFormat="false" ht="15" hidden="false" customHeight="false" outlineLevel="0" collapsed="false">
      <c r="A342" s="8" t="s">
        <v>139</v>
      </c>
      <c r="B342" s="8" t="s">
        <v>23</v>
      </c>
      <c r="C342" s="8" t="n">
        <v>143021</v>
      </c>
      <c r="D342" s="8" t="s">
        <v>284</v>
      </c>
      <c r="E342" s="4" t="n">
        <v>10</v>
      </c>
      <c r="F342" s="4" t="n">
        <v>0</v>
      </c>
      <c r="G342" s="4" t="n">
        <v>19</v>
      </c>
      <c r="H342" s="4" t="n">
        <v>76</v>
      </c>
      <c r="I342" s="4" t="n">
        <v>38</v>
      </c>
      <c r="J342" s="4" t="n">
        <v>-1</v>
      </c>
      <c r="K342" s="4" t="n">
        <v>8</v>
      </c>
      <c r="L342" s="4" t="n">
        <v>3</v>
      </c>
      <c r="M342" s="4" t="n">
        <v>22</v>
      </c>
      <c r="N342" s="4" t="n">
        <v>0</v>
      </c>
      <c r="O342" s="4" t="n">
        <v>5</v>
      </c>
      <c r="P342" s="4" t="n">
        <v>0</v>
      </c>
      <c r="Q342" s="4" t="n">
        <v>4</v>
      </c>
      <c r="R342" s="4" t="n">
        <v>0</v>
      </c>
      <c r="S342" s="4" t="n">
        <v>0</v>
      </c>
      <c r="T342" s="4" t="n">
        <v>33</v>
      </c>
      <c r="U342" s="4" t="n">
        <v>9</v>
      </c>
      <c r="V342" s="4" t="n">
        <v>40</v>
      </c>
      <c r="W342" s="4" t="n">
        <v>0</v>
      </c>
      <c r="X342" s="4" t="n">
        <v>0</v>
      </c>
      <c r="Y342" s="4" t="n">
        <v>0</v>
      </c>
      <c r="Z342" s="4" t="n">
        <v>3</v>
      </c>
      <c r="AA342" s="4" t="n">
        <v>0</v>
      </c>
      <c r="AB342" s="4" t="n">
        <v>0</v>
      </c>
      <c r="AC342" s="4" t="n">
        <v>10</v>
      </c>
      <c r="AD342" s="4" t="n">
        <v>0</v>
      </c>
      <c r="AE342" s="8" t="n">
        <f aca="false">COUNTIF(F342:AD342,"&lt;=0")</f>
        <v>12</v>
      </c>
    </row>
    <row r="343" customFormat="false" ht="15" hidden="false" customHeight="false" outlineLevel="0" collapsed="false">
      <c r="A343" s="8" t="s">
        <v>139</v>
      </c>
      <c r="B343" s="8" t="s">
        <v>23</v>
      </c>
      <c r="C343" s="8" t="n">
        <v>142456</v>
      </c>
      <c r="D343" s="8" t="s">
        <v>701</v>
      </c>
      <c r="E343" s="4" t="n">
        <v>0</v>
      </c>
      <c r="F343" s="4" t="n">
        <v>0</v>
      </c>
      <c r="G343" s="4" t="n">
        <v>0</v>
      </c>
      <c r="H343" s="4" t="n">
        <v>0</v>
      </c>
      <c r="I343" s="4" t="n">
        <v>0</v>
      </c>
      <c r="J343" s="4" t="n">
        <v>0</v>
      </c>
      <c r="K343" s="4" t="n">
        <v>228</v>
      </c>
      <c r="L343" s="4" t="n">
        <v>0</v>
      </c>
      <c r="M343" s="4" t="n">
        <v>0</v>
      </c>
      <c r="N343" s="4" t="n">
        <v>0</v>
      </c>
      <c r="O343" s="4" t="n">
        <v>0</v>
      </c>
      <c r="P343" s="4" t="n">
        <v>0</v>
      </c>
      <c r="Q343" s="4" t="n">
        <v>0</v>
      </c>
      <c r="R343" s="4" t="n">
        <v>0</v>
      </c>
      <c r="S343" s="4" t="n">
        <v>0</v>
      </c>
      <c r="T343" s="4" t="n">
        <v>0</v>
      </c>
      <c r="U343" s="4" t="n">
        <v>0</v>
      </c>
      <c r="V343" s="4" t="n">
        <v>4</v>
      </c>
      <c r="W343" s="4" t="n">
        <v>0</v>
      </c>
      <c r="X343" s="4" t="n">
        <v>0</v>
      </c>
      <c r="Y343" s="4" t="n">
        <v>0</v>
      </c>
      <c r="Z343" s="4" t="n">
        <v>0</v>
      </c>
      <c r="AA343" s="4" t="n">
        <v>0</v>
      </c>
      <c r="AB343" s="4" t="n">
        <v>0</v>
      </c>
      <c r="AC343" s="4" t="n">
        <v>17</v>
      </c>
      <c r="AD343" s="4" t="n">
        <v>0</v>
      </c>
      <c r="AE343" s="8" t="n">
        <f aca="false">COUNTIF(F343:AD343,"&lt;=0")</f>
        <v>22</v>
      </c>
    </row>
    <row r="344" customFormat="false" ht="15" hidden="false" customHeight="false" outlineLevel="0" collapsed="false">
      <c r="A344" s="8" t="s">
        <v>139</v>
      </c>
      <c r="B344" s="8" t="s">
        <v>23</v>
      </c>
      <c r="C344" s="8" t="n">
        <v>142813</v>
      </c>
      <c r="D344" s="8" t="s">
        <v>702</v>
      </c>
      <c r="E344" s="4" t="n">
        <v>0</v>
      </c>
      <c r="F344" s="4" t="n">
        <v>0</v>
      </c>
      <c r="G344" s="4" t="n">
        <v>0</v>
      </c>
      <c r="H344" s="4" t="n">
        <v>0</v>
      </c>
      <c r="I344" s="4" t="n">
        <v>-1</v>
      </c>
      <c r="J344" s="4" t="n">
        <v>0</v>
      </c>
      <c r="K344" s="4" t="n">
        <v>-1</v>
      </c>
      <c r="L344" s="4" t="n">
        <v>77</v>
      </c>
      <c r="M344" s="4" t="n">
        <v>0</v>
      </c>
      <c r="N344" s="4" t="n">
        <v>0</v>
      </c>
      <c r="O344" s="4" t="n">
        <v>-1</v>
      </c>
      <c r="P344" s="4" t="n">
        <v>0</v>
      </c>
      <c r="Q344" s="4" t="n">
        <v>0</v>
      </c>
      <c r="R344" s="4" t="n">
        <v>0</v>
      </c>
      <c r="S344" s="4" t="n">
        <v>0</v>
      </c>
      <c r="T344" s="4" t="n">
        <v>0</v>
      </c>
      <c r="U344" s="4" t="n">
        <v>0</v>
      </c>
      <c r="V344" s="4" t="n">
        <v>30</v>
      </c>
      <c r="W344" s="4" t="n">
        <v>0</v>
      </c>
      <c r="X344" s="4" t="n">
        <v>0</v>
      </c>
      <c r="Y344" s="4" t="n">
        <v>0</v>
      </c>
      <c r="Z344" s="4" t="n">
        <v>11</v>
      </c>
      <c r="AA344" s="4" t="n">
        <v>0</v>
      </c>
      <c r="AB344" s="4" t="n">
        <v>0</v>
      </c>
      <c r="AC344" s="4" t="n">
        <v>31</v>
      </c>
      <c r="AD344" s="4" t="n">
        <v>0</v>
      </c>
      <c r="AE344" s="8" t="n">
        <f aca="false">COUNTIF(F344:AD344,"&lt;=0")</f>
        <v>21</v>
      </c>
    </row>
    <row r="345" customFormat="false" ht="15" hidden="false" customHeight="false" outlineLevel="0" collapsed="false">
      <c r="A345" s="8" t="s">
        <v>139</v>
      </c>
      <c r="B345" s="8" t="s">
        <v>23</v>
      </c>
      <c r="C345" s="8" t="n">
        <v>143018</v>
      </c>
      <c r="D345" s="8" t="s">
        <v>286</v>
      </c>
      <c r="E345" s="4" t="n">
        <v>1803</v>
      </c>
      <c r="F345" s="4" t="n">
        <v>0</v>
      </c>
      <c r="G345" s="4" t="n">
        <v>28</v>
      </c>
      <c r="H345" s="4" t="n">
        <v>18</v>
      </c>
      <c r="I345" s="4" t="n">
        <v>-1</v>
      </c>
      <c r="J345" s="4" t="n">
        <v>14</v>
      </c>
      <c r="K345" s="4" t="n">
        <v>42</v>
      </c>
      <c r="L345" s="4" t="n">
        <v>7</v>
      </c>
      <c r="M345" s="4" t="n">
        <v>106</v>
      </c>
      <c r="N345" s="4" t="n">
        <v>42</v>
      </c>
      <c r="O345" s="4" t="n">
        <v>34</v>
      </c>
      <c r="P345" s="4" t="n">
        <v>0</v>
      </c>
      <c r="Q345" s="4" t="n">
        <v>17</v>
      </c>
      <c r="R345" s="4" t="n">
        <v>0</v>
      </c>
      <c r="S345" s="4" t="n">
        <v>0</v>
      </c>
      <c r="T345" s="4" t="n">
        <v>24</v>
      </c>
      <c r="U345" s="4" t="n">
        <v>26</v>
      </c>
      <c r="V345" s="4" t="n">
        <v>84</v>
      </c>
      <c r="W345" s="4" t="n">
        <v>0</v>
      </c>
      <c r="X345" s="4" t="n">
        <v>0</v>
      </c>
      <c r="Y345" s="4" t="n">
        <v>0</v>
      </c>
      <c r="Z345" s="4" t="n">
        <v>32</v>
      </c>
      <c r="AA345" s="4" t="n">
        <v>0</v>
      </c>
      <c r="AB345" s="4" t="n">
        <v>0</v>
      </c>
      <c r="AC345" s="4" t="n">
        <v>43</v>
      </c>
      <c r="AD345" s="4" t="n">
        <v>0</v>
      </c>
      <c r="AE345" s="8" t="n">
        <f aca="false">COUNTIF(F345:AD345,"&lt;=0")</f>
        <v>11</v>
      </c>
    </row>
    <row r="346" customFormat="false" ht="15" hidden="false" customHeight="false" outlineLevel="0" collapsed="false">
      <c r="A346" s="8" t="s">
        <v>139</v>
      </c>
      <c r="B346" s="8" t="s">
        <v>23</v>
      </c>
      <c r="C346" s="8" t="n">
        <v>143024</v>
      </c>
      <c r="D346" s="8" t="s">
        <v>703</v>
      </c>
      <c r="E346" s="4" t="n">
        <v>0</v>
      </c>
      <c r="F346" s="4" t="n">
        <v>0</v>
      </c>
      <c r="G346" s="4" t="n">
        <v>11</v>
      </c>
      <c r="H346" s="4" t="n">
        <v>19</v>
      </c>
      <c r="I346" s="4" t="n">
        <v>17</v>
      </c>
      <c r="J346" s="4" t="n">
        <v>0</v>
      </c>
      <c r="K346" s="4" t="n">
        <v>0</v>
      </c>
      <c r="L346" s="4" t="n">
        <v>6</v>
      </c>
      <c r="M346" s="4" t="n">
        <v>37</v>
      </c>
      <c r="N346" s="4" t="n">
        <v>2</v>
      </c>
      <c r="O346" s="4" t="n">
        <v>0</v>
      </c>
      <c r="P346" s="4" t="n">
        <v>0</v>
      </c>
      <c r="Q346" s="4" t="n">
        <v>0</v>
      </c>
      <c r="R346" s="4" t="n">
        <v>0</v>
      </c>
      <c r="S346" s="4" t="n">
        <v>0</v>
      </c>
      <c r="T346" s="4" t="n">
        <v>4</v>
      </c>
      <c r="U346" s="4" t="n">
        <v>4</v>
      </c>
      <c r="V346" s="4" t="n">
        <v>5</v>
      </c>
      <c r="W346" s="4" t="n">
        <v>0</v>
      </c>
      <c r="X346" s="4" t="n">
        <v>0</v>
      </c>
      <c r="Y346" s="4" t="n">
        <v>0</v>
      </c>
      <c r="Z346" s="4" t="n">
        <v>0</v>
      </c>
      <c r="AA346" s="4" t="n">
        <v>0</v>
      </c>
      <c r="AB346" s="4" t="n">
        <v>0</v>
      </c>
      <c r="AC346" s="4" t="n">
        <v>6</v>
      </c>
      <c r="AD346" s="4" t="n">
        <v>0</v>
      </c>
      <c r="AE346" s="8" t="n">
        <f aca="false">COUNTIF(F346:AD346,"&lt;=0")</f>
        <v>15</v>
      </c>
    </row>
    <row r="347" customFormat="false" ht="15" hidden="false" customHeight="false" outlineLevel="0" collapsed="false">
      <c r="A347" s="8" t="s">
        <v>226</v>
      </c>
      <c r="B347" s="8" t="s">
        <v>23</v>
      </c>
      <c r="C347" s="8" t="n">
        <v>142755</v>
      </c>
      <c r="D347" s="8" t="s">
        <v>704</v>
      </c>
      <c r="E347" s="4" t="n">
        <v>0</v>
      </c>
      <c r="F347" s="4" t="n">
        <v>0</v>
      </c>
      <c r="G347" s="4" t="n">
        <v>0</v>
      </c>
      <c r="H347" s="4" t="n">
        <v>0</v>
      </c>
      <c r="I347" s="4" t="n">
        <v>5</v>
      </c>
      <c r="J347" s="4" t="n">
        <v>33</v>
      </c>
      <c r="K347" s="4" t="n">
        <v>0</v>
      </c>
      <c r="L347" s="4" t="n">
        <v>0</v>
      </c>
      <c r="M347" s="4" t="n">
        <v>9</v>
      </c>
      <c r="N347" s="4" t="n">
        <v>0</v>
      </c>
      <c r="O347" s="4" t="n">
        <v>0</v>
      </c>
      <c r="P347" s="4" t="n">
        <v>0</v>
      </c>
      <c r="Q347" s="4" t="n">
        <v>0</v>
      </c>
      <c r="R347" s="4" t="n">
        <v>0</v>
      </c>
      <c r="S347" s="4" t="n">
        <v>0</v>
      </c>
      <c r="T347" s="4" t="n">
        <v>2</v>
      </c>
      <c r="U347" s="4" t="n">
        <v>8</v>
      </c>
      <c r="V347" s="4" t="n">
        <v>0</v>
      </c>
      <c r="W347" s="4" t="n">
        <v>0</v>
      </c>
      <c r="X347" s="4" t="n">
        <v>0</v>
      </c>
      <c r="Y347" s="4" t="n">
        <v>3</v>
      </c>
      <c r="Z347" s="4" t="n">
        <v>9</v>
      </c>
      <c r="AA347" s="4" t="n">
        <v>0</v>
      </c>
      <c r="AB347" s="4" t="n">
        <v>0</v>
      </c>
      <c r="AC347" s="4" t="n">
        <v>0</v>
      </c>
      <c r="AD347" s="4" t="n">
        <v>0</v>
      </c>
      <c r="AE347" s="8" t="n">
        <f aca="false">COUNTIF(F347:AD347,"&lt;=0")</f>
        <v>18</v>
      </c>
    </row>
    <row r="348" customFormat="false" ht="15" hidden="false" customHeight="false" outlineLevel="0" collapsed="false">
      <c r="A348" s="8" t="s">
        <v>226</v>
      </c>
      <c r="B348" s="8" t="s">
        <v>23</v>
      </c>
      <c r="C348" s="8" t="n">
        <v>142756</v>
      </c>
      <c r="D348" s="8" t="s">
        <v>705</v>
      </c>
      <c r="E348" s="4" t="n">
        <v>0</v>
      </c>
      <c r="F348" s="4" t="n">
        <v>0</v>
      </c>
      <c r="G348" s="4" t="n">
        <v>16</v>
      </c>
      <c r="H348" s="4" t="n">
        <v>1</v>
      </c>
      <c r="I348" s="4" t="n">
        <v>53</v>
      </c>
      <c r="J348" s="4" t="n">
        <v>98</v>
      </c>
      <c r="K348" s="4" t="n">
        <v>0</v>
      </c>
      <c r="L348" s="4" t="n">
        <v>0</v>
      </c>
      <c r="M348" s="4" t="n">
        <v>26</v>
      </c>
      <c r="N348" s="4" t="n">
        <v>0</v>
      </c>
      <c r="O348" s="4" t="n">
        <v>0</v>
      </c>
      <c r="P348" s="4" t="n">
        <v>0</v>
      </c>
      <c r="Q348" s="4" t="n">
        <v>0</v>
      </c>
      <c r="R348" s="4" t="n">
        <v>0</v>
      </c>
      <c r="S348" s="4" t="n">
        <v>0</v>
      </c>
      <c r="T348" s="4" t="n">
        <v>2</v>
      </c>
      <c r="U348" s="4" t="n">
        <v>49</v>
      </c>
      <c r="V348" s="4" t="n">
        <v>0</v>
      </c>
      <c r="W348" s="4" t="n">
        <v>3</v>
      </c>
      <c r="X348" s="4" t="n">
        <v>0</v>
      </c>
      <c r="Y348" s="4" t="n">
        <v>103</v>
      </c>
      <c r="Z348" s="4" t="n">
        <v>23</v>
      </c>
      <c r="AA348" s="4" t="n">
        <v>0</v>
      </c>
      <c r="AB348" s="4" t="n">
        <v>0</v>
      </c>
      <c r="AC348" s="4" t="n">
        <v>0</v>
      </c>
      <c r="AD348" s="4" t="n">
        <v>0</v>
      </c>
      <c r="AE348" s="8" t="n">
        <f aca="false">COUNTIF(F348:AD348,"&lt;=0")</f>
        <v>15</v>
      </c>
    </row>
    <row r="349" customFormat="false" ht="15" hidden="false" customHeight="false" outlineLevel="0" collapsed="false">
      <c r="A349" s="8" t="s">
        <v>226</v>
      </c>
      <c r="B349" s="8" t="s">
        <v>23</v>
      </c>
      <c r="C349" s="8" t="n">
        <v>142758</v>
      </c>
      <c r="D349" s="8" t="s">
        <v>706</v>
      </c>
      <c r="E349" s="4" t="n">
        <v>0</v>
      </c>
      <c r="F349" s="4" t="n">
        <v>0</v>
      </c>
      <c r="G349" s="4" t="n">
        <v>1</v>
      </c>
      <c r="H349" s="4" t="n">
        <v>0</v>
      </c>
      <c r="I349" s="4" t="n">
        <v>1</v>
      </c>
      <c r="J349" s="4" t="n">
        <v>22</v>
      </c>
      <c r="K349" s="4" t="n">
        <v>0</v>
      </c>
      <c r="L349" s="4" t="n">
        <v>0</v>
      </c>
      <c r="M349" s="4" t="n">
        <v>26</v>
      </c>
      <c r="N349" s="4" t="n">
        <v>0</v>
      </c>
      <c r="O349" s="4" t="n">
        <v>0</v>
      </c>
      <c r="P349" s="4" t="n">
        <v>30</v>
      </c>
      <c r="Q349" s="4" t="n">
        <v>12</v>
      </c>
      <c r="R349" s="4" t="n">
        <v>0</v>
      </c>
      <c r="S349" s="4" t="n">
        <v>1</v>
      </c>
      <c r="T349" s="4" t="n">
        <v>8</v>
      </c>
      <c r="U349" s="4" t="n">
        <v>1</v>
      </c>
      <c r="V349" s="4" t="n">
        <v>0</v>
      </c>
      <c r="W349" s="4" t="n">
        <v>21</v>
      </c>
      <c r="X349" s="4" t="n">
        <v>2</v>
      </c>
      <c r="Y349" s="4" t="n">
        <v>0</v>
      </c>
      <c r="Z349" s="4" t="n">
        <v>0</v>
      </c>
      <c r="AA349" s="4" t="n">
        <v>7</v>
      </c>
      <c r="AB349" s="4" t="n">
        <v>0</v>
      </c>
      <c r="AC349" s="4" t="n">
        <v>14</v>
      </c>
      <c r="AD349" s="4" t="n">
        <v>0</v>
      </c>
      <c r="AE349" s="8" t="n">
        <f aca="false">COUNTIF(F349:AD349,"&lt;=0")</f>
        <v>12</v>
      </c>
    </row>
    <row r="350" customFormat="false" ht="15" hidden="false" customHeight="false" outlineLevel="0" collapsed="false">
      <c r="A350" s="8" t="s">
        <v>226</v>
      </c>
      <c r="B350" s="8" t="s">
        <v>23</v>
      </c>
      <c r="C350" s="8" t="n">
        <v>142759</v>
      </c>
      <c r="D350" s="8" t="s">
        <v>707</v>
      </c>
      <c r="E350" s="4" t="n">
        <v>0</v>
      </c>
      <c r="F350" s="4" t="n">
        <v>0</v>
      </c>
      <c r="G350" s="4" t="n">
        <v>1</v>
      </c>
      <c r="H350" s="4" t="n">
        <v>0</v>
      </c>
      <c r="I350" s="4" t="n">
        <v>60</v>
      </c>
      <c r="J350" s="4" t="n">
        <v>78</v>
      </c>
      <c r="K350" s="4" t="n">
        <v>0</v>
      </c>
      <c r="L350" s="4" t="n">
        <v>28</v>
      </c>
      <c r="M350" s="4" t="n">
        <v>92</v>
      </c>
      <c r="N350" s="4" t="n">
        <v>3</v>
      </c>
      <c r="O350" s="4" t="n">
        <v>10</v>
      </c>
      <c r="P350" s="4" t="n">
        <v>207</v>
      </c>
      <c r="Q350" s="4" t="n">
        <v>53</v>
      </c>
      <c r="R350" s="4" t="n">
        <v>13</v>
      </c>
      <c r="S350" s="4" t="n">
        <v>20</v>
      </c>
      <c r="T350" s="4" t="n">
        <v>39</v>
      </c>
      <c r="U350" s="4" t="n">
        <v>30</v>
      </c>
      <c r="V350" s="4" t="n">
        <v>2</v>
      </c>
      <c r="W350" s="4" t="n">
        <v>11</v>
      </c>
      <c r="X350" s="4" t="n">
        <v>29</v>
      </c>
      <c r="Y350" s="4" t="n">
        <v>0</v>
      </c>
      <c r="Z350" s="4" t="n">
        <v>25</v>
      </c>
      <c r="AA350" s="4" t="n">
        <v>14</v>
      </c>
      <c r="AB350" s="4" t="n">
        <v>0</v>
      </c>
      <c r="AC350" s="4" t="n">
        <v>49</v>
      </c>
      <c r="AD350" s="4" t="n">
        <v>0</v>
      </c>
      <c r="AE350" s="8" t="n">
        <f aca="false">COUNTIF(F350:AD350,"&lt;=0")</f>
        <v>6</v>
      </c>
    </row>
    <row r="351" customFormat="false" ht="15" hidden="false" customHeight="false" outlineLevel="0" collapsed="false">
      <c r="A351" s="8" t="s">
        <v>226</v>
      </c>
      <c r="B351" s="8" t="s">
        <v>23</v>
      </c>
      <c r="C351" s="8" t="n">
        <v>142760</v>
      </c>
      <c r="D351" s="8" t="s">
        <v>708</v>
      </c>
      <c r="E351" s="4" t="n">
        <v>0</v>
      </c>
      <c r="F351" s="4" t="n">
        <v>0</v>
      </c>
      <c r="G351" s="4" t="n">
        <v>5</v>
      </c>
      <c r="H351" s="4" t="n">
        <v>4</v>
      </c>
      <c r="I351" s="4" t="n">
        <v>48</v>
      </c>
      <c r="J351" s="4" t="n">
        <v>20</v>
      </c>
      <c r="K351" s="4" t="n">
        <v>0</v>
      </c>
      <c r="L351" s="4" t="n">
        <v>0</v>
      </c>
      <c r="M351" s="4" t="n">
        <v>21</v>
      </c>
      <c r="N351" s="4" t="n">
        <v>0</v>
      </c>
      <c r="O351" s="4" t="n">
        <v>0</v>
      </c>
      <c r="P351" s="4" t="n">
        <v>35</v>
      </c>
      <c r="Q351" s="4" t="n">
        <v>8</v>
      </c>
      <c r="R351" s="4" t="n">
        <v>0</v>
      </c>
      <c r="S351" s="4" t="n">
        <v>0</v>
      </c>
      <c r="T351" s="4" t="n">
        <v>0</v>
      </c>
      <c r="U351" s="4" t="n">
        <v>16</v>
      </c>
      <c r="V351" s="4" t="n">
        <v>6</v>
      </c>
      <c r="W351" s="4" t="n">
        <v>3</v>
      </c>
      <c r="X351" s="4" t="n">
        <v>0</v>
      </c>
      <c r="Y351" s="4" t="n">
        <v>0</v>
      </c>
      <c r="Z351" s="4" t="n">
        <v>8</v>
      </c>
      <c r="AA351" s="4" t="n">
        <v>0</v>
      </c>
      <c r="AB351" s="4" t="n">
        <v>0</v>
      </c>
      <c r="AC351" s="4" t="n">
        <v>0</v>
      </c>
      <c r="AD351" s="4" t="n">
        <v>0</v>
      </c>
      <c r="AE351" s="8" t="n">
        <f aca="false">COUNTIF(F351:AD351,"&lt;=0")</f>
        <v>14</v>
      </c>
    </row>
    <row r="352" customFormat="false" ht="15" hidden="false" customHeight="false" outlineLevel="0" collapsed="false">
      <c r="A352" s="8" t="s">
        <v>152</v>
      </c>
      <c r="B352" s="8" t="s">
        <v>26</v>
      </c>
      <c r="C352" s="8" t="n">
        <v>154513</v>
      </c>
      <c r="D352" s="8" t="s">
        <v>420</v>
      </c>
      <c r="E352" s="4" t="n">
        <v>6</v>
      </c>
      <c r="F352" s="4" t="n">
        <v>18</v>
      </c>
      <c r="G352" s="4" t="n">
        <v>5</v>
      </c>
      <c r="H352" s="4" t="n">
        <v>19</v>
      </c>
      <c r="I352" s="4" t="n">
        <v>22</v>
      </c>
      <c r="J352" s="4" t="n">
        <v>7</v>
      </c>
      <c r="K352" s="4" t="n">
        <v>35</v>
      </c>
      <c r="L352" s="4" t="n">
        <v>13</v>
      </c>
      <c r="M352" s="4" t="n">
        <v>26</v>
      </c>
      <c r="N352" s="4" t="n">
        <v>25</v>
      </c>
      <c r="O352" s="4" t="n">
        <v>34</v>
      </c>
      <c r="P352" s="4" t="n">
        <v>14</v>
      </c>
      <c r="Q352" s="4" t="n">
        <v>8</v>
      </c>
      <c r="R352" s="4" t="n">
        <v>5</v>
      </c>
      <c r="S352" s="4" t="n">
        <v>1</v>
      </c>
      <c r="T352" s="4" t="n">
        <v>0</v>
      </c>
      <c r="U352" s="4" t="n">
        <v>12</v>
      </c>
      <c r="V352" s="4" t="n">
        <v>18</v>
      </c>
      <c r="W352" s="4" t="n">
        <v>3</v>
      </c>
      <c r="X352" s="4" t="n">
        <v>8</v>
      </c>
      <c r="Y352" s="4" t="n">
        <v>11</v>
      </c>
      <c r="Z352" s="4" t="n">
        <v>5</v>
      </c>
      <c r="AA352" s="4" t="n">
        <v>19</v>
      </c>
      <c r="AB352" s="4" t="n">
        <v>0</v>
      </c>
      <c r="AC352" s="4" t="n">
        <v>20</v>
      </c>
      <c r="AD352" s="4" t="n">
        <v>0</v>
      </c>
      <c r="AE352" s="8" t="n">
        <f aca="false">COUNTIF(F352:AD352,"&lt;=0")</f>
        <v>3</v>
      </c>
    </row>
    <row r="353" customFormat="false" ht="15" hidden="false" customHeight="false" outlineLevel="0" collapsed="false">
      <c r="A353" s="8" t="s">
        <v>152</v>
      </c>
      <c r="B353" s="8" t="s">
        <v>26</v>
      </c>
      <c r="C353" s="8" t="n">
        <v>152124</v>
      </c>
      <c r="D353" s="8" t="s">
        <v>460</v>
      </c>
      <c r="E353" s="4" t="n">
        <v>6</v>
      </c>
      <c r="F353" s="4" t="n">
        <v>16</v>
      </c>
      <c r="G353" s="4" t="n">
        <v>17</v>
      </c>
      <c r="H353" s="4" t="n">
        <v>20</v>
      </c>
      <c r="I353" s="4" t="n">
        <v>9</v>
      </c>
      <c r="J353" s="4" t="n">
        <v>16</v>
      </c>
      <c r="K353" s="4" t="n">
        <v>49</v>
      </c>
      <c r="L353" s="4" t="n">
        <v>25</v>
      </c>
      <c r="M353" s="4" t="n">
        <v>14</v>
      </c>
      <c r="N353" s="4" t="n">
        <v>14</v>
      </c>
      <c r="O353" s="4" t="n">
        <v>50</v>
      </c>
      <c r="P353" s="4" t="n">
        <v>11</v>
      </c>
      <c r="Q353" s="4" t="n">
        <v>15</v>
      </c>
      <c r="R353" s="4" t="n">
        <v>6</v>
      </c>
      <c r="S353" s="4" t="n">
        <v>5</v>
      </c>
      <c r="T353" s="4" t="n">
        <v>23</v>
      </c>
      <c r="U353" s="4" t="n">
        <v>12</v>
      </c>
      <c r="V353" s="4" t="n">
        <v>14</v>
      </c>
      <c r="W353" s="4" t="n">
        <v>3</v>
      </c>
      <c r="X353" s="4" t="n">
        <v>18</v>
      </c>
      <c r="Y353" s="4" t="n">
        <v>13</v>
      </c>
      <c r="Z353" s="4" t="n">
        <v>25</v>
      </c>
      <c r="AA353" s="4" t="n">
        <v>14</v>
      </c>
      <c r="AB353" s="4" t="n">
        <v>0</v>
      </c>
      <c r="AC353" s="4" t="n">
        <v>19</v>
      </c>
      <c r="AD353" s="4" t="n">
        <v>0</v>
      </c>
      <c r="AE353" s="8" t="n">
        <f aca="false">COUNTIF(F353:AD353,"&lt;=0")</f>
        <v>2</v>
      </c>
    </row>
    <row r="354" customFormat="false" ht="15" hidden="false" customHeight="false" outlineLevel="0" collapsed="false">
      <c r="A354" s="8" t="s">
        <v>152</v>
      </c>
      <c r="B354" s="8" t="s">
        <v>26</v>
      </c>
      <c r="C354" s="8" t="n">
        <v>153291</v>
      </c>
      <c r="D354" s="8" t="s">
        <v>709</v>
      </c>
      <c r="E354" s="4" t="n">
        <v>0</v>
      </c>
      <c r="F354" s="4" t="n">
        <v>16</v>
      </c>
      <c r="G354" s="4" t="n">
        <v>26</v>
      </c>
      <c r="H354" s="4" t="n">
        <v>24</v>
      </c>
      <c r="I354" s="4" t="n">
        <v>8</v>
      </c>
      <c r="J354" s="4" t="n">
        <v>18</v>
      </c>
      <c r="K354" s="4" t="n">
        <v>44</v>
      </c>
      <c r="L354" s="4" t="n">
        <v>24</v>
      </c>
      <c r="M354" s="4" t="n">
        <v>19</v>
      </c>
      <c r="N354" s="4" t="n">
        <v>25</v>
      </c>
      <c r="O354" s="4" t="n">
        <v>24</v>
      </c>
      <c r="P354" s="4" t="n">
        <v>32</v>
      </c>
      <c r="Q354" s="4" t="n">
        <v>18</v>
      </c>
      <c r="R354" s="4" t="n">
        <v>20</v>
      </c>
      <c r="S354" s="4" t="n">
        <v>15</v>
      </c>
      <c r="T354" s="4" t="n">
        <v>17</v>
      </c>
      <c r="U354" s="4" t="n">
        <v>28</v>
      </c>
      <c r="V354" s="4" t="n">
        <v>8</v>
      </c>
      <c r="W354" s="4" t="n">
        <v>19</v>
      </c>
      <c r="X354" s="4" t="n">
        <v>11</v>
      </c>
      <c r="Y354" s="4" t="n">
        <v>18</v>
      </c>
      <c r="Z354" s="4" t="n">
        <v>20</v>
      </c>
      <c r="AA354" s="4" t="n">
        <v>14</v>
      </c>
      <c r="AB354" s="4" t="n">
        <v>0</v>
      </c>
      <c r="AC354" s="4" t="n">
        <v>32</v>
      </c>
      <c r="AD354" s="4" t="n">
        <v>4</v>
      </c>
      <c r="AE354" s="8" t="n">
        <f aca="false">COUNTIF(F354:AD354,"&lt;=0")</f>
        <v>1</v>
      </c>
    </row>
    <row r="355" customFormat="false" ht="15" hidden="false" customHeight="false" outlineLevel="0" collapsed="false">
      <c r="A355" s="8" t="s">
        <v>152</v>
      </c>
      <c r="B355" s="8" t="s">
        <v>26</v>
      </c>
      <c r="C355" s="8" t="n">
        <v>150953</v>
      </c>
      <c r="D355" s="8" t="s">
        <v>710</v>
      </c>
      <c r="E355" s="4" t="n">
        <v>0</v>
      </c>
      <c r="F355" s="4" t="n">
        <v>15</v>
      </c>
      <c r="G355" s="4" t="n">
        <v>25</v>
      </c>
      <c r="H355" s="4" t="n">
        <v>23</v>
      </c>
      <c r="I355" s="4" t="n">
        <v>31</v>
      </c>
      <c r="J355" s="4" t="n">
        <v>57</v>
      </c>
      <c r="K355" s="4" t="n">
        <v>25</v>
      </c>
      <c r="L355" s="4" t="n">
        <v>36</v>
      </c>
      <c r="M355" s="4" t="n">
        <v>34</v>
      </c>
      <c r="N355" s="4" t="n">
        <v>23</v>
      </c>
      <c r="O355" s="4" t="n">
        <v>42</v>
      </c>
      <c r="P355" s="4" t="n">
        <v>35</v>
      </c>
      <c r="Q355" s="4" t="n">
        <v>23</v>
      </c>
      <c r="R355" s="4" t="n">
        <v>21</v>
      </c>
      <c r="S355" s="4" t="n">
        <v>8</v>
      </c>
      <c r="T355" s="4" t="n">
        <v>18</v>
      </c>
      <c r="U355" s="4" t="n">
        <v>27</v>
      </c>
      <c r="V355" s="4" t="n">
        <v>23</v>
      </c>
      <c r="W355" s="4" t="n">
        <v>18</v>
      </c>
      <c r="X355" s="4" t="n">
        <v>19</v>
      </c>
      <c r="Y355" s="4" t="n">
        <v>12</v>
      </c>
      <c r="Z355" s="4" t="n">
        <v>24</v>
      </c>
      <c r="AA355" s="4" t="n">
        <v>34</v>
      </c>
      <c r="AB355" s="4" t="n">
        <v>0</v>
      </c>
      <c r="AC355" s="4" t="n">
        <v>33</v>
      </c>
      <c r="AD355" s="4" t="n">
        <v>0</v>
      </c>
      <c r="AE355" s="8" t="n">
        <f aca="false">COUNTIF(F355:AD355,"&lt;=0")</f>
        <v>2</v>
      </c>
    </row>
    <row r="356" customFormat="false" ht="15" hidden="false" customHeight="false" outlineLevel="0" collapsed="false">
      <c r="A356" s="8" t="s">
        <v>152</v>
      </c>
      <c r="B356" s="8" t="s">
        <v>26</v>
      </c>
      <c r="C356" s="8" t="n">
        <v>150552</v>
      </c>
      <c r="D356" s="8" t="s">
        <v>711</v>
      </c>
      <c r="E356" s="4" t="n">
        <v>0</v>
      </c>
      <c r="F356" s="4" t="n">
        <v>1</v>
      </c>
      <c r="G356" s="4" t="n">
        <v>9</v>
      </c>
      <c r="H356" s="4" t="n">
        <v>3</v>
      </c>
      <c r="I356" s="4" t="n">
        <v>0</v>
      </c>
      <c r="J356" s="4" t="n">
        <v>9</v>
      </c>
      <c r="K356" s="4" t="n">
        <v>3</v>
      </c>
      <c r="L356" s="4" t="n">
        <v>5</v>
      </c>
      <c r="M356" s="4" t="n">
        <v>2</v>
      </c>
      <c r="N356" s="4" t="n">
        <v>5</v>
      </c>
      <c r="O356" s="4" t="n">
        <v>6</v>
      </c>
      <c r="P356" s="4" t="n">
        <v>7</v>
      </c>
      <c r="Q356" s="4" t="n">
        <v>9</v>
      </c>
      <c r="R356" s="4" t="n">
        <v>1</v>
      </c>
      <c r="S356" s="4" t="n">
        <v>0</v>
      </c>
      <c r="T356" s="4" t="n">
        <v>7</v>
      </c>
      <c r="U356" s="4" t="n">
        <v>7</v>
      </c>
      <c r="V356" s="4" t="n">
        <v>7</v>
      </c>
      <c r="W356" s="4" t="n">
        <v>8</v>
      </c>
      <c r="X356" s="4" t="n">
        <v>6</v>
      </c>
      <c r="Y356" s="4" t="n">
        <v>8</v>
      </c>
      <c r="Z356" s="4" t="n">
        <v>1</v>
      </c>
      <c r="AA356" s="4" t="n">
        <v>8</v>
      </c>
      <c r="AB356" s="4" t="n">
        <v>0</v>
      </c>
      <c r="AC356" s="4" t="n">
        <v>9</v>
      </c>
      <c r="AD356" s="4" t="n">
        <v>5</v>
      </c>
      <c r="AE356" s="8" t="n">
        <f aca="false">COUNTIF(F356:AD356,"&lt;=0")</f>
        <v>3</v>
      </c>
    </row>
    <row r="357" customFormat="false" ht="15" hidden="false" customHeight="false" outlineLevel="0" collapsed="false">
      <c r="A357" s="8" t="s">
        <v>112</v>
      </c>
      <c r="B357" s="8" t="s">
        <v>26</v>
      </c>
      <c r="C357" s="8" t="n">
        <v>152079</v>
      </c>
      <c r="D357" s="8" t="s">
        <v>712</v>
      </c>
      <c r="E357" s="4" t="n">
        <v>0</v>
      </c>
      <c r="F357" s="4" t="n">
        <v>12</v>
      </c>
      <c r="G357" s="4" t="n">
        <v>24</v>
      </c>
      <c r="H357" s="4" t="n">
        <v>19</v>
      </c>
      <c r="I357" s="4" t="n">
        <v>37</v>
      </c>
      <c r="J357" s="4" t="n">
        <v>28</v>
      </c>
      <c r="K357" s="4" t="n">
        <v>45</v>
      </c>
      <c r="L357" s="4" t="n">
        <v>30</v>
      </c>
      <c r="M357" s="4" t="n">
        <v>24</v>
      </c>
      <c r="N357" s="4" t="n">
        <v>26</v>
      </c>
      <c r="O357" s="4" t="n">
        <v>31</v>
      </c>
      <c r="P357" s="4" t="n">
        <v>34</v>
      </c>
      <c r="Q357" s="4" t="n">
        <v>14</v>
      </c>
      <c r="R357" s="4" t="n">
        <v>23</v>
      </c>
      <c r="S357" s="4" t="n">
        <v>16</v>
      </c>
      <c r="T357" s="4" t="n">
        <v>26</v>
      </c>
      <c r="U357" s="4" t="n">
        <v>25</v>
      </c>
      <c r="V357" s="4" t="n">
        <v>25</v>
      </c>
      <c r="W357" s="4" t="n">
        <v>21</v>
      </c>
      <c r="X357" s="4" t="n">
        <v>20</v>
      </c>
      <c r="Y357" s="4" t="n">
        <v>46</v>
      </c>
      <c r="Z357" s="4" t="n">
        <v>11</v>
      </c>
      <c r="AA357" s="4" t="n">
        <v>11</v>
      </c>
      <c r="AB357" s="4" t="n">
        <v>0</v>
      </c>
      <c r="AC357" s="4" t="n">
        <v>36</v>
      </c>
      <c r="AD357" s="4" t="n">
        <v>0</v>
      </c>
      <c r="AE357" s="8" t="n">
        <f aca="false">COUNTIF(F357:AD357,"&lt;=0")</f>
        <v>2</v>
      </c>
    </row>
    <row r="358" customFormat="false" ht="15" hidden="false" customHeight="false" outlineLevel="0" collapsed="false">
      <c r="A358" s="8" t="s">
        <v>112</v>
      </c>
      <c r="B358" s="8" t="s">
        <v>26</v>
      </c>
      <c r="C358" s="8" t="n">
        <v>153938</v>
      </c>
      <c r="D358" s="8" t="s">
        <v>713</v>
      </c>
      <c r="E358" s="4" t="n">
        <v>0</v>
      </c>
      <c r="F358" s="4" t="n">
        <v>0</v>
      </c>
      <c r="G358" s="4" t="n">
        <v>5</v>
      </c>
      <c r="H358" s="4" t="n">
        <v>1</v>
      </c>
      <c r="I358" s="4" t="n">
        <v>0</v>
      </c>
      <c r="J358" s="4" t="n">
        <v>2</v>
      </c>
      <c r="K358" s="4" t="n">
        <v>0</v>
      </c>
      <c r="L358" s="4" t="n">
        <v>6</v>
      </c>
      <c r="M358" s="4" t="n">
        <v>14</v>
      </c>
      <c r="N358" s="4" t="n">
        <v>6</v>
      </c>
      <c r="O358" s="4" t="n">
        <v>3</v>
      </c>
      <c r="P358" s="4" t="n">
        <v>1</v>
      </c>
      <c r="Q358" s="4" t="n">
        <v>0</v>
      </c>
      <c r="R358" s="4" t="n">
        <v>5</v>
      </c>
      <c r="S358" s="4" t="n">
        <v>14</v>
      </c>
      <c r="T358" s="4" t="n">
        <v>16</v>
      </c>
      <c r="U358" s="4" t="n">
        <v>0</v>
      </c>
      <c r="V358" s="4" t="n">
        <v>6</v>
      </c>
      <c r="W358" s="4" t="n">
        <v>14</v>
      </c>
      <c r="X358" s="4" t="n">
        <v>5</v>
      </c>
      <c r="Y358" s="4" t="n">
        <v>0</v>
      </c>
      <c r="Z358" s="4" t="n">
        <v>9</v>
      </c>
      <c r="AA358" s="4" t="n">
        <v>6</v>
      </c>
      <c r="AB358" s="4" t="n">
        <v>0</v>
      </c>
      <c r="AC358" s="4" t="n">
        <v>11</v>
      </c>
      <c r="AD358" s="4" t="n">
        <v>0</v>
      </c>
      <c r="AE358" s="8" t="n">
        <f aca="false">COUNTIF(F358:AD358,"&lt;=0")</f>
        <v>8</v>
      </c>
    </row>
    <row r="359" customFormat="false" ht="15" hidden="false" customHeight="false" outlineLevel="0" collapsed="false">
      <c r="A359" s="8" t="s">
        <v>112</v>
      </c>
      <c r="B359" s="8" t="s">
        <v>26</v>
      </c>
      <c r="C359" s="8" t="n">
        <v>153939</v>
      </c>
      <c r="D359" s="8" t="s">
        <v>714</v>
      </c>
      <c r="E359" s="4" t="n">
        <v>0</v>
      </c>
      <c r="F359" s="4" t="n">
        <v>0</v>
      </c>
      <c r="G359" s="4" t="n">
        <v>10</v>
      </c>
      <c r="H359" s="4" t="n">
        <v>5</v>
      </c>
      <c r="I359" s="4" t="n">
        <v>8</v>
      </c>
      <c r="J359" s="4" t="n">
        <v>3</v>
      </c>
      <c r="K359" s="4" t="n">
        <v>8</v>
      </c>
      <c r="L359" s="4" t="n">
        <v>15</v>
      </c>
      <c r="M359" s="4" t="n">
        <v>12</v>
      </c>
      <c r="N359" s="4" t="n">
        <v>15</v>
      </c>
      <c r="O359" s="4" t="n">
        <v>13</v>
      </c>
      <c r="P359" s="4" t="n">
        <v>7</v>
      </c>
      <c r="Q359" s="4" t="n">
        <v>16</v>
      </c>
      <c r="R359" s="4" t="n">
        <v>18</v>
      </c>
      <c r="S359" s="4" t="n">
        <v>16</v>
      </c>
      <c r="T359" s="4" t="n">
        <v>13</v>
      </c>
      <c r="U359" s="4" t="n">
        <v>4</v>
      </c>
      <c r="V359" s="4" t="n">
        <v>14</v>
      </c>
      <c r="W359" s="4" t="n">
        <v>8</v>
      </c>
      <c r="X359" s="4" t="n">
        <v>11</v>
      </c>
      <c r="Y359" s="4" t="n">
        <v>5</v>
      </c>
      <c r="Z359" s="4" t="n">
        <v>12</v>
      </c>
      <c r="AA359" s="4" t="n">
        <v>17</v>
      </c>
      <c r="AB359" s="4" t="n">
        <v>0</v>
      </c>
      <c r="AC359" s="4" t="n">
        <v>13</v>
      </c>
      <c r="AD359" s="4" t="n">
        <v>0</v>
      </c>
      <c r="AE359" s="8" t="n">
        <f aca="false">COUNTIF(F359:AD359,"&lt;=0")</f>
        <v>3</v>
      </c>
    </row>
    <row r="360" customFormat="false" ht="15" hidden="false" customHeight="false" outlineLevel="0" collapsed="false">
      <c r="A360" s="8" t="s">
        <v>100</v>
      </c>
      <c r="B360" s="8" t="s">
        <v>26</v>
      </c>
      <c r="C360" s="8" t="n">
        <v>150384</v>
      </c>
      <c r="D360" s="8" t="s">
        <v>715</v>
      </c>
      <c r="E360" s="4" t="n">
        <v>360</v>
      </c>
      <c r="F360" s="4" t="n">
        <v>6</v>
      </c>
      <c r="G360" s="4" t="n">
        <v>41</v>
      </c>
      <c r="H360" s="4" t="n">
        <v>46</v>
      </c>
      <c r="I360" s="4" t="n">
        <v>25</v>
      </c>
      <c r="J360" s="4" t="n">
        <v>58</v>
      </c>
      <c r="K360" s="4" t="n">
        <v>55</v>
      </c>
      <c r="L360" s="4" t="n">
        <v>48</v>
      </c>
      <c r="M360" s="4" t="n">
        <v>42</v>
      </c>
      <c r="N360" s="4" t="n">
        <v>28</v>
      </c>
      <c r="O360" s="4" t="n">
        <v>55</v>
      </c>
      <c r="P360" s="4" t="n">
        <v>30</v>
      </c>
      <c r="Q360" s="4" t="n">
        <v>15</v>
      </c>
      <c r="R360" s="4" t="n">
        <v>23</v>
      </c>
      <c r="S360" s="4" t="n">
        <v>18</v>
      </c>
      <c r="T360" s="4" t="n">
        <v>29</v>
      </c>
      <c r="U360" s="4" t="n">
        <v>35</v>
      </c>
      <c r="V360" s="4" t="n">
        <v>30</v>
      </c>
      <c r="W360" s="4" t="n">
        <v>27</v>
      </c>
      <c r="X360" s="4" t="n">
        <v>39</v>
      </c>
      <c r="Y360" s="4" t="n">
        <v>22</v>
      </c>
      <c r="Z360" s="4" t="n">
        <v>45</v>
      </c>
      <c r="AA360" s="4" t="n">
        <v>21</v>
      </c>
      <c r="AB360" s="4" t="n">
        <v>0</v>
      </c>
      <c r="AC360" s="4" t="n">
        <v>35</v>
      </c>
      <c r="AD360" s="4" t="n">
        <v>14</v>
      </c>
      <c r="AE360" s="8" t="n">
        <f aca="false">COUNTIF(F360:AD360,"&lt;=0")</f>
        <v>1</v>
      </c>
    </row>
    <row r="361" customFormat="false" ht="15" hidden="false" customHeight="false" outlineLevel="0" collapsed="false">
      <c r="A361" s="8" t="s">
        <v>163</v>
      </c>
      <c r="B361" s="8" t="s">
        <v>26</v>
      </c>
      <c r="C361" s="8" t="n">
        <v>155610</v>
      </c>
      <c r="D361" s="8" t="s">
        <v>716</v>
      </c>
      <c r="E361" s="4" t="n">
        <v>0</v>
      </c>
      <c r="F361" s="4" t="n">
        <v>0</v>
      </c>
      <c r="G361" s="4" t="n">
        <v>7</v>
      </c>
      <c r="H361" s="4" t="n">
        <v>0</v>
      </c>
      <c r="I361" s="4" t="n">
        <v>13</v>
      </c>
      <c r="J361" s="4" t="n">
        <v>12</v>
      </c>
      <c r="K361" s="4" t="n">
        <v>40</v>
      </c>
      <c r="L361" s="4" t="n">
        <v>6</v>
      </c>
      <c r="M361" s="4" t="n">
        <v>16</v>
      </c>
      <c r="N361" s="4" t="n">
        <v>11</v>
      </c>
      <c r="O361" s="4" t="n">
        <v>25</v>
      </c>
      <c r="P361" s="4" t="n">
        <v>13</v>
      </c>
      <c r="Q361" s="4" t="n">
        <v>15</v>
      </c>
      <c r="R361" s="4" t="n">
        <v>27</v>
      </c>
      <c r="S361" s="4" t="n">
        <v>8</v>
      </c>
      <c r="T361" s="4" t="n">
        <v>17</v>
      </c>
      <c r="U361" s="4" t="n">
        <v>12</v>
      </c>
      <c r="V361" s="4" t="n">
        <v>24</v>
      </c>
      <c r="W361" s="4" t="n">
        <v>16</v>
      </c>
      <c r="X361" s="4" t="n">
        <v>8</v>
      </c>
      <c r="Y361" s="4" t="n">
        <v>17</v>
      </c>
      <c r="Z361" s="4" t="n">
        <v>5</v>
      </c>
      <c r="AA361" s="4" t="n">
        <v>22</v>
      </c>
      <c r="AB361" s="4" t="n">
        <v>0</v>
      </c>
      <c r="AC361" s="4" t="n">
        <v>15</v>
      </c>
      <c r="AD361" s="4" t="n">
        <v>10</v>
      </c>
      <c r="AE361" s="8" t="n">
        <f aca="false">COUNTIF(F361:AD361,"&lt;=0")</f>
        <v>3</v>
      </c>
    </row>
    <row r="362" customFormat="false" ht="15" hidden="false" customHeight="false" outlineLevel="0" collapsed="false">
      <c r="A362" s="8" t="s">
        <v>131</v>
      </c>
      <c r="B362" s="8" t="s">
        <v>26</v>
      </c>
      <c r="C362" s="8" t="n">
        <v>150386</v>
      </c>
      <c r="D362" s="8" t="s">
        <v>717</v>
      </c>
      <c r="E362" s="4" t="n">
        <v>0</v>
      </c>
      <c r="F362" s="4" t="n">
        <v>6</v>
      </c>
      <c r="G362" s="4" t="n">
        <v>14</v>
      </c>
      <c r="H362" s="4" t="n">
        <v>17</v>
      </c>
      <c r="I362" s="4" t="n">
        <v>29</v>
      </c>
      <c r="J362" s="4" t="n">
        <v>28</v>
      </c>
      <c r="K362" s="4" t="n">
        <v>49</v>
      </c>
      <c r="L362" s="4" t="n">
        <v>5</v>
      </c>
      <c r="M362" s="4" t="n">
        <v>12</v>
      </c>
      <c r="N362" s="4" t="n">
        <v>14</v>
      </c>
      <c r="O362" s="4" t="n">
        <v>20</v>
      </c>
      <c r="P362" s="4" t="n">
        <v>17</v>
      </c>
      <c r="Q362" s="4" t="n">
        <v>6</v>
      </c>
      <c r="R362" s="4" t="n">
        <v>24</v>
      </c>
      <c r="S362" s="4" t="n">
        <v>5</v>
      </c>
      <c r="T362" s="4" t="n">
        <v>19</v>
      </c>
      <c r="U362" s="4" t="n">
        <v>14</v>
      </c>
      <c r="V362" s="4" t="n">
        <v>32</v>
      </c>
      <c r="W362" s="4" t="n">
        <v>17</v>
      </c>
      <c r="X362" s="4" t="n">
        <v>7</v>
      </c>
      <c r="Y362" s="4" t="n">
        <v>16</v>
      </c>
      <c r="Z362" s="4" t="n">
        <v>25</v>
      </c>
      <c r="AA362" s="4" t="n">
        <v>5</v>
      </c>
      <c r="AB362" s="4" t="n">
        <v>0</v>
      </c>
      <c r="AC362" s="4" t="n">
        <v>28</v>
      </c>
      <c r="AD362" s="4" t="n">
        <v>10</v>
      </c>
      <c r="AE362" s="8" t="n">
        <f aca="false">COUNTIF(F362:AD362,"&lt;=0")</f>
        <v>1</v>
      </c>
    </row>
    <row r="363" customFormat="false" ht="15" hidden="false" customHeight="false" outlineLevel="0" collapsed="false">
      <c r="A363" s="8" t="s">
        <v>218</v>
      </c>
      <c r="B363" s="8" t="s">
        <v>26</v>
      </c>
      <c r="C363" s="8" t="n">
        <v>152368</v>
      </c>
      <c r="D363" s="8" t="s">
        <v>718</v>
      </c>
      <c r="E363" s="4" t="n">
        <v>0</v>
      </c>
      <c r="F363" s="4" t="n">
        <v>8</v>
      </c>
      <c r="G363" s="4" t="n">
        <v>13</v>
      </c>
      <c r="H363" s="4" t="n">
        <v>7</v>
      </c>
      <c r="I363" s="4" t="n">
        <v>11</v>
      </c>
      <c r="J363" s="4" t="n">
        <v>12</v>
      </c>
      <c r="K363" s="4" t="n">
        <v>4</v>
      </c>
      <c r="L363" s="4" t="n">
        <v>8</v>
      </c>
      <c r="M363" s="4" t="n">
        <v>14</v>
      </c>
      <c r="N363" s="4" t="n">
        <v>8</v>
      </c>
      <c r="O363" s="4" t="n">
        <v>12</v>
      </c>
      <c r="P363" s="4" t="n">
        <v>4</v>
      </c>
      <c r="Q363" s="4" t="n">
        <v>3</v>
      </c>
      <c r="R363" s="4" t="n">
        <v>8</v>
      </c>
      <c r="S363" s="4" t="n">
        <v>12</v>
      </c>
      <c r="T363" s="4" t="n">
        <v>11</v>
      </c>
      <c r="U363" s="4" t="n">
        <v>5</v>
      </c>
      <c r="V363" s="4" t="n">
        <v>-1</v>
      </c>
      <c r="W363" s="4" t="n">
        <v>9</v>
      </c>
      <c r="X363" s="4" t="n">
        <v>7</v>
      </c>
      <c r="Y363" s="4" t="n">
        <v>6</v>
      </c>
      <c r="Z363" s="4" t="n">
        <v>15</v>
      </c>
      <c r="AA363" s="4" t="n">
        <v>7</v>
      </c>
      <c r="AB363" s="4" t="n">
        <v>0</v>
      </c>
      <c r="AC363" s="4" t="n">
        <v>0</v>
      </c>
      <c r="AD363" s="4" t="n">
        <v>0</v>
      </c>
      <c r="AE363" s="8" t="n">
        <f aca="false">COUNTIF(F363:AD363,"&lt;=0")</f>
        <v>4</v>
      </c>
    </row>
    <row r="364" customFormat="false" ht="15" hidden="false" customHeight="false" outlineLevel="0" collapsed="false">
      <c r="A364" s="8" t="s">
        <v>218</v>
      </c>
      <c r="B364" s="8" t="s">
        <v>26</v>
      </c>
      <c r="C364" s="8" t="n">
        <v>153126</v>
      </c>
      <c r="D364" s="8" t="s">
        <v>719</v>
      </c>
      <c r="E364" s="4" t="n">
        <v>0</v>
      </c>
      <c r="F364" s="4" t="n">
        <v>14</v>
      </c>
      <c r="G364" s="4" t="n">
        <v>22</v>
      </c>
      <c r="H364" s="4" t="n">
        <v>21</v>
      </c>
      <c r="I364" s="4" t="n">
        <v>27</v>
      </c>
      <c r="J364" s="4" t="n">
        <v>28</v>
      </c>
      <c r="K364" s="4" t="n">
        <v>10</v>
      </c>
      <c r="L364" s="4" t="n">
        <v>27</v>
      </c>
      <c r="M364" s="4" t="n">
        <v>24</v>
      </c>
      <c r="N364" s="4" t="n">
        <v>24</v>
      </c>
      <c r="O364" s="4" t="n">
        <v>28</v>
      </c>
      <c r="P364" s="4" t="n">
        <v>26</v>
      </c>
      <c r="Q364" s="4" t="n">
        <v>13</v>
      </c>
      <c r="R364" s="4" t="n">
        <v>19</v>
      </c>
      <c r="S364" s="4" t="n">
        <v>15</v>
      </c>
      <c r="T364" s="4" t="n">
        <v>15</v>
      </c>
      <c r="U364" s="4" t="n">
        <v>27</v>
      </c>
      <c r="V364" s="4" t="n">
        <v>12</v>
      </c>
      <c r="W364" s="4" t="n">
        <v>16</v>
      </c>
      <c r="X364" s="4" t="n">
        <v>12</v>
      </c>
      <c r="Y364" s="4" t="n">
        <v>15</v>
      </c>
      <c r="Z364" s="4" t="n">
        <v>10</v>
      </c>
      <c r="AA364" s="4" t="n">
        <v>12</v>
      </c>
      <c r="AB364" s="4" t="n">
        <v>0</v>
      </c>
      <c r="AC364" s="4" t="n">
        <v>11</v>
      </c>
      <c r="AD364" s="4" t="n">
        <v>4</v>
      </c>
      <c r="AE364" s="8" t="n">
        <f aca="false">COUNTIF(F364:AD364,"&lt;=0")</f>
        <v>1</v>
      </c>
    </row>
    <row r="365" customFormat="false" ht="15" hidden="false" customHeight="false" outlineLevel="0" collapsed="false">
      <c r="A365" s="8" t="s">
        <v>214</v>
      </c>
      <c r="B365" s="8" t="s">
        <v>26</v>
      </c>
      <c r="C365" s="8" t="n">
        <v>153770</v>
      </c>
      <c r="D365" s="8" t="s">
        <v>720</v>
      </c>
      <c r="E365" s="4" t="n">
        <v>0</v>
      </c>
      <c r="F365" s="4" t="n">
        <v>8</v>
      </c>
      <c r="G365" s="4" t="n">
        <v>9</v>
      </c>
      <c r="H365" s="4" t="n">
        <v>0</v>
      </c>
      <c r="I365" s="4" t="n">
        <v>12</v>
      </c>
      <c r="J365" s="4" t="n">
        <v>0</v>
      </c>
      <c r="K365" s="4" t="n">
        <v>6</v>
      </c>
      <c r="L365" s="4" t="n">
        <v>3</v>
      </c>
      <c r="M365" s="4" t="n">
        <v>4</v>
      </c>
      <c r="N365" s="4" t="n">
        <v>18</v>
      </c>
      <c r="O365" s="4" t="n">
        <v>1</v>
      </c>
      <c r="P365" s="4" t="n">
        <v>6</v>
      </c>
      <c r="Q365" s="4" t="n">
        <v>1</v>
      </c>
      <c r="R365" s="4" t="n">
        <v>10</v>
      </c>
      <c r="S365" s="4" t="n">
        <v>13</v>
      </c>
      <c r="T365" s="4" t="n">
        <v>15</v>
      </c>
      <c r="U365" s="4" t="n">
        <v>0</v>
      </c>
      <c r="V365" s="4" t="n">
        <v>9</v>
      </c>
      <c r="W365" s="4" t="n">
        <v>14</v>
      </c>
      <c r="X365" s="4" t="n">
        <v>0</v>
      </c>
      <c r="Y365" s="4" t="n">
        <v>16</v>
      </c>
      <c r="Z365" s="4" t="n">
        <v>11</v>
      </c>
      <c r="AA365" s="4" t="n">
        <v>1</v>
      </c>
      <c r="AB365" s="4" t="n">
        <v>0</v>
      </c>
      <c r="AC365" s="4" t="n">
        <v>0</v>
      </c>
      <c r="AD365" s="4" t="n">
        <v>0</v>
      </c>
      <c r="AE365" s="8" t="n">
        <f aca="false">COUNTIF(F365:AD365,"&lt;=0")</f>
        <v>7</v>
      </c>
    </row>
    <row r="366" customFormat="false" ht="15" hidden="false" customHeight="false" outlineLevel="0" collapsed="false">
      <c r="A366" s="8" t="s">
        <v>214</v>
      </c>
      <c r="B366" s="8" t="s">
        <v>26</v>
      </c>
      <c r="C366" s="8" t="n">
        <v>153771</v>
      </c>
      <c r="D366" s="8" t="s">
        <v>721</v>
      </c>
      <c r="E366" s="4" t="n">
        <v>0</v>
      </c>
      <c r="F366" s="4" t="n">
        <v>5</v>
      </c>
      <c r="G366" s="4" t="n">
        <v>6</v>
      </c>
      <c r="H366" s="4" t="n">
        <v>4</v>
      </c>
      <c r="I366" s="4" t="n">
        <v>8</v>
      </c>
      <c r="J366" s="4" t="n">
        <v>6</v>
      </c>
      <c r="K366" s="4" t="n">
        <v>55</v>
      </c>
      <c r="L366" s="4" t="n">
        <v>14</v>
      </c>
      <c r="M366" s="4" t="n">
        <v>14</v>
      </c>
      <c r="N366" s="4" t="n">
        <v>14</v>
      </c>
      <c r="O366" s="4" t="n">
        <v>11</v>
      </c>
      <c r="P366" s="4" t="n">
        <v>13</v>
      </c>
      <c r="Q366" s="4" t="n">
        <v>0</v>
      </c>
      <c r="R366" s="4" t="n">
        <v>1</v>
      </c>
      <c r="S366" s="4" t="n">
        <v>6</v>
      </c>
      <c r="T366" s="4" t="n">
        <v>11</v>
      </c>
      <c r="U366" s="4" t="n">
        <v>8</v>
      </c>
      <c r="V366" s="4" t="n">
        <v>0</v>
      </c>
      <c r="W366" s="4" t="n">
        <v>8</v>
      </c>
      <c r="X366" s="4" t="n">
        <v>0</v>
      </c>
      <c r="Y366" s="4" t="n">
        <v>10</v>
      </c>
      <c r="Z366" s="4" t="n">
        <v>5</v>
      </c>
      <c r="AA366" s="4" t="n">
        <v>0</v>
      </c>
      <c r="AB366" s="4" t="n">
        <v>0</v>
      </c>
      <c r="AC366" s="4" t="n">
        <v>0</v>
      </c>
      <c r="AD366" s="4" t="n">
        <v>0</v>
      </c>
      <c r="AE366" s="8" t="n">
        <f aca="false">COUNTIF(F366:AD366,"&lt;=0")</f>
        <v>7</v>
      </c>
    </row>
    <row r="367" customFormat="false" ht="15" hidden="false" customHeight="false" outlineLevel="0" collapsed="false">
      <c r="A367" s="8" t="s">
        <v>214</v>
      </c>
      <c r="B367" s="8" t="s">
        <v>26</v>
      </c>
      <c r="C367" s="8" t="n">
        <v>153772</v>
      </c>
      <c r="D367" s="8" t="s">
        <v>722</v>
      </c>
      <c r="E367" s="4" t="n">
        <v>0</v>
      </c>
      <c r="F367" s="4" t="n">
        <v>8</v>
      </c>
      <c r="G367" s="4" t="n">
        <v>20</v>
      </c>
      <c r="H367" s="4" t="n">
        <v>15</v>
      </c>
      <c r="I367" s="4" t="n">
        <v>8</v>
      </c>
      <c r="J367" s="4" t="n">
        <v>10</v>
      </c>
      <c r="K367" s="4" t="n">
        <v>5</v>
      </c>
      <c r="L367" s="4" t="n">
        <v>11</v>
      </c>
      <c r="M367" s="4" t="n">
        <v>14</v>
      </c>
      <c r="N367" s="4" t="n">
        <v>8</v>
      </c>
      <c r="O367" s="4" t="n">
        <v>7</v>
      </c>
      <c r="P367" s="4" t="n">
        <v>10</v>
      </c>
      <c r="Q367" s="4" t="n">
        <v>0</v>
      </c>
      <c r="R367" s="4" t="n">
        <v>7</v>
      </c>
      <c r="S367" s="4" t="n">
        <v>9</v>
      </c>
      <c r="T367" s="4" t="n">
        <v>15</v>
      </c>
      <c r="U367" s="4" t="n">
        <v>10</v>
      </c>
      <c r="V367" s="4" t="n">
        <v>6</v>
      </c>
      <c r="W367" s="4" t="n">
        <v>8</v>
      </c>
      <c r="X367" s="4" t="n">
        <v>0</v>
      </c>
      <c r="Y367" s="4" t="n">
        <v>10</v>
      </c>
      <c r="Z367" s="4" t="n">
        <v>9</v>
      </c>
      <c r="AA367" s="4" t="n">
        <v>4</v>
      </c>
      <c r="AB367" s="4" t="n">
        <v>0</v>
      </c>
      <c r="AC367" s="4" t="n">
        <v>0</v>
      </c>
      <c r="AD367" s="4" t="n">
        <v>0</v>
      </c>
      <c r="AE367" s="8" t="n">
        <f aca="false">COUNTIF(F367:AD367,"&lt;=0")</f>
        <v>5</v>
      </c>
    </row>
    <row r="368" customFormat="false" ht="15" hidden="false" customHeight="false" outlineLevel="0" collapsed="false">
      <c r="A368" s="8" t="s">
        <v>135</v>
      </c>
      <c r="B368" s="8" t="s">
        <v>26</v>
      </c>
      <c r="C368" s="8" t="n">
        <v>152108</v>
      </c>
      <c r="D368" s="8" t="s">
        <v>723</v>
      </c>
      <c r="E368" s="4" t="n">
        <v>0</v>
      </c>
      <c r="F368" s="4" t="n">
        <v>6</v>
      </c>
      <c r="G368" s="4" t="n">
        <v>22</v>
      </c>
      <c r="H368" s="4" t="n">
        <v>28</v>
      </c>
      <c r="I368" s="4" t="n">
        <v>26</v>
      </c>
      <c r="J368" s="4" t="n">
        <v>37</v>
      </c>
      <c r="K368" s="4" t="n">
        <v>48</v>
      </c>
      <c r="L368" s="4" t="n">
        <v>22</v>
      </c>
      <c r="M368" s="4" t="n">
        <v>8</v>
      </c>
      <c r="N368" s="4" t="n">
        <v>17</v>
      </c>
      <c r="O368" s="4" t="n">
        <v>48</v>
      </c>
      <c r="P368" s="4" t="n">
        <v>15</v>
      </c>
      <c r="Q368" s="4" t="n">
        <v>26</v>
      </c>
      <c r="R368" s="4" t="n">
        <v>23</v>
      </c>
      <c r="S368" s="4" t="n">
        <v>15</v>
      </c>
      <c r="T368" s="4" t="n">
        <v>17</v>
      </c>
      <c r="U368" s="4" t="n">
        <v>23</v>
      </c>
      <c r="V368" s="4" t="n">
        <v>12</v>
      </c>
      <c r="W368" s="4" t="n">
        <v>21</v>
      </c>
      <c r="X368" s="4" t="n">
        <v>3</v>
      </c>
      <c r="Y368" s="4" t="n">
        <v>9</v>
      </c>
      <c r="Z368" s="4" t="n">
        <v>19</v>
      </c>
      <c r="AA368" s="4" t="n">
        <v>11</v>
      </c>
      <c r="AB368" s="4" t="n">
        <v>0</v>
      </c>
      <c r="AC368" s="4" t="n">
        <v>23</v>
      </c>
      <c r="AD368" s="4" t="n">
        <v>3</v>
      </c>
      <c r="AE368" s="8" t="n">
        <f aca="false">COUNTIF(F368:AD368,"&lt;=0")</f>
        <v>1</v>
      </c>
    </row>
    <row r="369" customFormat="false" ht="15" hidden="false" customHeight="false" outlineLevel="0" collapsed="false">
      <c r="A369" s="8" t="s">
        <v>239</v>
      </c>
      <c r="B369" s="8" t="s">
        <v>26</v>
      </c>
      <c r="C369" s="8" t="n">
        <v>152234</v>
      </c>
      <c r="D369" s="8" t="s">
        <v>724</v>
      </c>
      <c r="E369" s="4" t="n">
        <v>0</v>
      </c>
      <c r="F369" s="4" t="n">
        <v>1</v>
      </c>
      <c r="G369" s="4" t="n">
        <v>24</v>
      </c>
      <c r="H369" s="4" t="n">
        <v>18</v>
      </c>
      <c r="I369" s="4" t="n">
        <v>23</v>
      </c>
      <c r="J369" s="4" t="n">
        <v>25</v>
      </c>
      <c r="K369" s="4" t="n">
        <v>24</v>
      </c>
      <c r="L369" s="4" t="n">
        <v>28</v>
      </c>
      <c r="M369" s="4" t="n">
        <v>23</v>
      </c>
      <c r="N369" s="4" t="n">
        <v>8</v>
      </c>
      <c r="O369" s="4" t="n">
        <v>26</v>
      </c>
      <c r="P369" s="4" t="n">
        <v>13</v>
      </c>
      <c r="Q369" s="4" t="n">
        <v>13</v>
      </c>
      <c r="R369" s="4" t="n">
        <v>25</v>
      </c>
      <c r="S369" s="4" t="n">
        <v>15</v>
      </c>
      <c r="T369" s="4" t="n">
        <v>17</v>
      </c>
      <c r="U369" s="4" t="n">
        <v>24</v>
      </c>
      <c r="V369" s="4" t="n">
        <v>14</v>
      </c>
      <c r="W369" s="4" t="n">
        <v>15</v>
      </c>
      <c r="X369" s="4" t="n">
        <v>24</v>
      </c>
      <c r="Y369" s="4" t="n">
        <v>12</v>
      </c>
      <c r="Z369" s="4" t="n">
        <v>19</v>
      </c>
      <c r="AA369" s="4" t="n">
        <v>15</v>
      </c>
      <c r="AB369" s="4" t="n">
        <v>0</v>
      </c>
      <c r="AC369" s="4" t="n">
        <v>6</v>
      </c>
      <c r="AD369" s="4" t="n">
        <v>0</v>
      </c>
      <c r="AE369" s="8" t="n">
        <f aca="false">COUNTIF(F369:AD369,"&lt;=0")</f>
        <v>2</v>
      </c>
    </row>
    <row r="370" customFormat="false" ht="15" hidden="false" customHeight="false" outlineLevel="0" collapsed="false">
      <c r="A370" s="8" t="s">
        <v>222</v>
      </c>
      <c r="B370" s="8" t="s">
        <v>26</v>
      </c>
      <c r="C370" s="8" t="n">
        <v>153057</v>
      </c>
      <c r="D370" s="8" t="s">
        <v>725</v>
      </c>
      <c r="E370" s="4" t="n">
        <v>0</v>
      </c>
      <c r="F370" s="4" t="n">
        <v>3</v>
      </c>
      <c r="G370" s="4" t="n">
        <v>10</v>
      </c>
      <c r="H370" s="4" t="n">
        <v>6</v>
      </c>
      <c r="I370" s="4" t="n">
        <v>0</v>
      </c>
      <c r="J370" s="4" t="n">
        <v>11</v>
      </c>
      <c r="K370" s="4" t="n">
        <v>17</v>
      </c>
      <c r="L370" s="4" t="n">
        <v>21</v>
      </c>
      <c r="M370" s="4" t="n">
        <v>19</v>
      </c>
      <c r="N370" s="4" t="n">
        <v>18</v>
      </c>
      <c r="O370" s="4" t="n">
        <v>10</v>
      </c>
      <c r="P370" s="4" t="n">
        <v>16</v>
      </c>
      <c r="Q370" s="4" t="n">
        <v>7</v>
      </c>
      <c r="R370" s="4" t="n">
        <v>11</v>
      </c>
      <c r="S370" s="4" t="n">
        <v>11</v>
      </c>
      <c r="T370" s="4" t="n">
        <v>15</v>
      </c>
      <c r="U370" s="4" t="n">
        <v>10</v>
      </c>
      <c r="V370" s="4" t="n">
        <v>19</v>
      </c>
      <c r="W370" s="4" t="n">
        <v>13</v>
      </c>
      <c r="X370" s="4" t="n">
        <v>16</v>
      </c>
      <c r="Y370" s="4" t="n">
        <v>12</v>
      </c>
      <c r="Z370" s="4" t="n">
        <v>10</v>
      </c>
      <c r="AA370" s="4" t="n">
        <v>6</v>
      </c>
      <c r="AB370" s="4" t="n">
        <v>0</v>
      </c>
      <c r="AC370" s="4" t="n">
        <v>18</v>
      </c>
      <c r="AD370" s="4" t="n">
        <v>0</v>
      </c>
      <c r="AE370" s="8" t="n">
        <f aca="false">COUNTIF(F370:AD370,"&lt;=0")</f>
        <v>3</v>
      </c>
    </row>
    <row r="371" customFormat="false" ht="15" hidden="false" customHeight="false" outlineLevel="0" collapsed="false">
      <c r="A371" s="8" t="s">
        <v>106</v>
      </c>
      <c r="B371" s="8" t="s">
        <v>30</v>
      </c>
      <c r="C371" s="8" t="n">
        <v>150125</v>
      </c>
      <c r="D371" s="8" t="s">
        <v>726</v>
      </c>
      <c r="E371" s="4" t="n">
        <v>0</v>
      </c>
      <c r="F371" s="4" t="n">
        <v>11</v>
      </c>
      <c r="G371" s="4" t="n">
        <v>33</v>
      </c>
      <c r="H371" s="4" t="n">
        <v>20</v>
      </c>
      <c r="I371" s="4" t="n">
        <v>2</v>
      </c>
      <c r="J371" s="4" t="n">
        <v>16</v>
      </c>
      <c r="K371" s="4" t="n">
        <v>209</v>
      </c>
      <c r="L371" s="4" t="n">
        <v>37</v>
      </c>
      <c r="M371" s="4" t="n">
        <v>3</v>
      </c>
      <c r="N371" s="4" t="n">
        <v>0</v>
      </c>
      <c r="O371" s="4" t="n">
        <v>0</v>
      </c>
      <c r="P371" s="4" t="n">
        <v>19</v>
      </c>
      <c r="Q371" s="4" t="n">
        <v>9</v>
      </c>
      <c r="R371" s="4" t="n">
        <v>0</v>
      </c>
      <c r="S371" s="4" t="n">
        <v>0</v>
      </c>
      <c r="T371" s="4" t="n">
        <v>14</v>
      </c>
      <c r="U371" s="4" t="n">
        <v>8</v>
      </c>
      <c r="V371" s="4" t="n">
        <v>0</v>
      </c>
      <c r="W371" s="4" t="n">
        <v>0</v>
      </c>
      <c r="X371" s="4" t="n">
        <v>3</v>
      </c>
      <c r="Y371" s="4" t="n">
        <v>1</v>
      </c>
      <c r="Z371" s="4" t="n">
        <v>0</v>
      </c>
      <c r="AA371" s="4" t="n">
        <v>0</v>
      </c>
      <c r="AB371" s="4" t="n">
        <v>0</v>
      </c>
      <c r="AC371" s="4" t="n">
        <v>14</v>
      </c>
      <c r="AD371" s="4" t="n">
        <v>6</v>
      </c>
      <c r="AE371" s="8" t="n">
        <f aca="false">COUNTIF(F371:AD371,"&lt;=0")</f>
        <v>9</v>
      </c>
    </row>
    <row r="372" customFormat="false" ht="15" hidden="false" customHeight="false" outlineLevel="0" collapsed="false">
      <c r="A372" s="8" t="s">
        <v>106</v>
      </c>
      <c r="B372" s="8" t="s">
        <v>30</v>
      </c>
      <c r="C372" s="8" t="n">
        <v>152240</v>
      </c>
      <c r="D372" s="8" t="s">
        <v>727</v>
      </c>
      <c r="E372" s="4" t="n">
        <v>0</v>
      </c>
      <c r="F372" s="4" t="n">
        <v>0</v>
      </c>
      <c r="G372" s="4" t="n">
        <v>34</v>
      </c>
      <c r="H372" s="4" t="n">
        <v>11</v>
      </c>
      <c r="I372" s="4" t="n">
        <v>19</v>
      </c>
      <c r="J372" s="4" t="n">
        <v>1</v>
      </c>
      <c r="K372" s="4" t="n">
        <v>118</v>
      </c>
      <c r="L372" s="4" t="n">
        <v>24</v>
      </c>
      <c r="M372" s="4" t="n">
        <v>15</v>
      </c>
      <c r="N372" s="4" t="n">
        <v>4</v>
      </c>
      <c r="O372" s="4" t="n">
        <v>35</v>
      </c>
      <c r="P372" s="4" t="n">
        <v>18</v>
      </c>
      <c r="Q372" s="4" t="n">
        <v>8</v>
      </c>
      <c r="R372" s="4" t="n">
        <v>1</v>
      </c>
      <c r="S372" s="4" t="n">
        <v>0</v>
      </c>
      <c r="T372" s="4" t="n">
        <v>13</v>
      </c>
      <c r="U372" s="4" t="n">
        <v>15</v>
      </c>
      <c r="V372" s="4" t="n">
        <v>8</v>
      </c>
      <c r="W372" s="4" t="n">
        <v>0</v>
      </c>
      <c r="X372" s="4" t="n">
        <v>10</v>
      </c>
      <c r="Y372" s="4" t="n">
        <v>4</v>
      </c>
      <c r="Z372" s="4" t="n">
        <v>10</v>
      </c>
      <c r="AA372" s="4" t="n">
        <v>4</v>
      </c>
      <c r="AB372" s="4" t="n">
        <v>0</v>
      </c>
      <c r="AC372" s="4" t="n">
        <v>23</v>
      </c>
      <c r="AD372" s="4" t="n">
        <v>9</v>
      </c>
      <c r="AE372" s="8" t="n">
        <f aca="false">COUNTIF(F372:AD372,"&lt;=0")</f>
        <v>4</v>
      </c>
    </row>
    <row r="373" customFormat="false" ht="15" hidden="false" customHeight="false" outlineLevel="0" collapsed="false">
      <c r="A373" s="8" t="s">
        <v>106</v>
      </c>
      <c r="B373" s="8" t="s">
        <v>30</v>
      </c>
      <c r="C373" s="8" t="n">
        <v>152241</v>
      </c>
      <c r="D373" s="8" t="s">
        <v>728</v>
      </c>
      <c r="E373" s="4" t="n">
        <v>0</v>
      </c>
      <c r="F373" s="4" t="n">
        <v>4</v>
      </c>
      <c r="G373" s="4" t="n">
        <v>31</v>
      </c>
      <c r="H373" s="4" t="n">
        <v>57</v>
      </c>
      <c r="I373" s="4" t="n">
        <v>14</v>
      </c>
      <c r="J373" s="4" t="n">
        <v>19</v>
      </c>
      <c r="K373" s="4" t="n">
        <v>116</v>
      </c>
      <c r="L373" s="4" t="n">
        <v>14</v>
      </c>
      <c r="M373" s="4" t="n">
        <v>23</v>
      </c>
      <c r="N373" s="4" t="n">
        <v>0</v>
      </c>
      <c r="O373" s="4" t="n">
        <v>17</v>
      </c>
      <c r="P373" s="4" t="n">
        <v>41</v>
      </c>
      <c r="Q373" s="4" t="n">
        <v>2</v>
      </c>
      <c r="R373" s="4" t="n">
        <v>18</v>
      </c>
      <c r="S373" s="4" t="n">
        <v>3</v>
      </c>
      <c r="T373" s="4" t="n">
        <v>9</v>
      </c>
      <c r="U373" s="4" t="n">
        <v>19</v>
      </c>
      <c r="V373" s="4" t="n">
        <v>12</v>
      </c>
      <c r="W373" s="4" t="n">
        <v>13</v>
      </c>
      <c r="X373" s="4" t="n">
        <v>29</v>
      </c>
      <c r="Y373" s="4" t="n">
        <v>3</v>
      </c>
      <c r="Z373" s="4" t="n">
        <v>17</v>
      </c>
      <c r="AA373" s="4" t="n">
        <v>9</v>
      </c>
      <c r="AB373" s="4" t="n">
        <v>0</v>
      </c>
      <c r="AC373" s="4" t="n">
        <v>9</v>
      </c>
      <c r="AD373" s="4" t="n">
        <v>3</v>
      </c>
      <c r="AE373" s="8" t="n">
        <f aca="false">COUNTIF(F373:AD373,"&lt;=0")</f>
        <v>2</v>
      </c>
    </row>
    <row r="374" customFormat="false" ht="15" hidden="false" customHeight="false" outlineLevel="0" collapsed="false">
      <c r="A374" s="8" t="s">
        <v>106</v>
      </c>
      <c r="B374" s="8" t="s">
        <v>30</v>
      </c>
      <c r="C374" s="8" t="n">
        <v>152242</v>
      </c>
      <c r="D374" s="8" t="s">
        <v>729</v>
      </c>
      <c r="E374" s="4" t="n">
        <v>0</v>
      </c>
      <c r="F374" s="4" t="n">
        <v>18</v>
      </c>
      <c r="G374" s="4" t="n">
        <v>6</v>
      </c>
      <c r="H374" s="4" t="n">
        <v>6</v>
      </c>
      <c r="I374" s="4" t="n">
        <v>14</v>
      </c>
      <c r="J374" s="4" t="n">
        <v>10</v>
      </c>
      <c r="K374" s="4" t="n">
        <v>158</v>
      </c>
      <c r="L374" s="4" t="n">
        <v>12</v>
      </c>
      <c r="M374" s="4" t="n">
        <v>13</v>
      </c>
      <c r="N374" s="4" t="n">
        <v>5</v>
      </c>
      <c r="O374" s="4" t="n">
        <v>11</v>
      </c>
      <c r="P374" s="4" t="n">
        <v>23</v>
      </c>
      <c r="Q374" s="4" t="n">
        <v>0</v>
      </c>
      <c r="R374" s="4" t="n">
        <v>0</v>
      </c>
      <c r="S374" s="4" t="n">
        <v>0</v>
      </c>
      <c r="T374" s="4" t="n">
        <v>16</v>
      </c>
      <c r="U374" s="4" t="n">
        <v>24</v>
      </c>
      <c r="V374" s="4" t="n">
        <v>9</v>
      </c>
      <c r="W374" s="4" t="n">
        <v>5</v>
      </c>
      <c r="X374" s="4" t="n">
        <v>1</v>
      </c>
      <c r="Y374" s="4" t="n">
        <v>0</v>
      </c>
      <c r="Z374" s="4" t="n">
        <v>7</v>
      </c>
      <c r="AA374" s="4" t="n">
        <v>0</v>
      </c>
      <c r="AB374" s="4" t="n">
        <v>0</v>
      </c>
      <c r="AC374" s="4" t="n">
        <v>6</v>
      </c>
      <c r="AD374" s="4" t="n">
        <v>10</v>
      </c>
      <c r="AE374" s="8" t="n">
        <f aca="false">COUNTIF(F374:AD374,"&lt;=0")</f>
        <v>6</v>
      </c>
    </row>
    <row r="375" customFormat="false" ht="15" hidden="false" customHeight="false" outlineLevel="0" collapsed="false">
      <c r="A375" s="8" t="s">
        <v>106</v>
      </c>
      <c r="B375" s="8" t="s">
        <v>30</v>
      </c>
      <c r="C375" s="8" t="n">
        <v>152243</v>
      </c>
      <c r="D375" s="8" t="s">
        <v>730</v>
      </c>
      <c r="E375" s="4" t="n">
        <v>0</v>
      </c>
      <c r="F375" s="4" t="n">
        <v>12</v>
      </c>
      <c r="G375" s="4" t="n">
        <v>28</v>
      </c>
      <c r="H375" s="4" t="n">
        <v>65</v>
      </c>
      <c r="I375" s="4" t="n">
        <v>18</v>
      </c>
      <c r="J375" s="4" t="n">
        <v>5</v>
      </c>
      <c r="K375" s="4" t="n">
        <v>150</v>
      </c>
      <c r="L375" s="4" t="n">
        <v>55</v>
      </c>
      <c r="M375" s="4" t="n">
        <v>25</v>
      </c>
      <c r="N375" s="4" t="n">
        <v>11</v>
      </c>
      <c r="O375" s="4" t="n">
        <v>42</v>
      </c>
      <c r="P375" s="4" t="n">
        <v>31</v>
      </c>
      <c r="Q375" s="4" t="n">
        <v>11</v>
      </c>
      <c r="R375" s="4" t="n">
        <v>11</v>
      </c>
      <c r="S375" s="4" t="n">
        <v>10</v>
      </c>
      <c r="T375" s="4" t="n">
        <v>6</v>
      </c>
      <c r="U375" s="4" t="n">
        <v>9</v>
      </c>
      <c r="V375" s="4" t="n">
        <v>0</v>
      </c>
      <c r="W375" s="4" t="n">
        <v>14</v>
      </c>
      <c r="X375" s="4" t="n">
        <v>22</v>
      </c>
      <c r="Y375" s="4" t="n">
        <v>2</v>
      </c>
      <c r="Z375" s="4" t="n">
        <v>0</v>
      </c>
      <c r="AA375" s="4" t="n">
        <v>3</v>
      </c>
      <c r="AB375" s="4" t="n">
        <v>0</v>
      </c>
      <c r="AC375" s="4" t="n">
        <v>34</v>
      </c>
      <c r="AD375" s="4" t="n">
        <v>11</v>
      </c>
      <c r="AE375" s="8" t="n">
        <f aca="false">COUNTIF(F375:AD375,"&lt;=0")</f>
        <v>3</v>
      </c>
    </row>
    <row r="376" customFormat="false" ht="15" hidden="false" customHeight="false" outlineLevel="0" collapsed="false">
      <c r="A376" s="8" t="s">
        <v>106</v>
      </c>
      <c r="B376" s="8" t="s">
        <v>30</v>
      </c>
      <c r="C376" s="8" t="n">
        <v>152244</v>
      </c>
      <c r="D376" s="8" t="s">
        <v>731</v>
      </c>
      <c r="E376" s="4" t="n">
        <v>0</v>
      </c>
      <c r="F376" s="4" t="n">
        <v>10</v>
      </c>
      <c r="G376" s="4" t="n">
        <v>34</v>
      </c>
      <c r="H376" s="4" t="n">
        <v>25</v>
      </c>
      <c r="I376" s="4" t="n">
        <v>23</v>
      </c>
      <c r="J376" s="4" t="n">
        <v>0</v>
      </c>
      <c r="K376" s="4" t="n">
        <v>73</v>
      </c>
      <c r="L376" s="4" t="n">
        <v>32</v>
      </c>
      <c r="M376" s="4" t="n">
        <v>30</v>
      </c>
      <c r="N376" s="4" t="n">
        <v>1</v>
      </c>
      <c r="O376" s="4" t="n">
        <v>23</v>
      </c>
      <c r="P376" s="4" t="n">
        <v>40</v>
      </c>
      <c r="Q376" s="4" t="n">
        <v>7</v>
      </c>
      <c r="R376" s="4" t="n">
        <v>0</v>
      </c>
      <c r="S376" s="4" t="n">
        <v>0</v>
      </c>
      <c r="T376" s="4" t="n">
        <v>9</v>
      </c>
      <c r="U376" s="4" t="n">
        <v>26</v>
      </c>
      <c r="V376" s="4" t="n">
        <v>5</v>
      </c>
      <c r="W376" s="4" t="n">
        <v>14</v>
      </c>
      <c r="X376" s="4" t="n">
        <v>0</v>
      </c>
      <c r="Y376" s="4" t="n">
        <v>2</v>
      </c>
      <c r="Z376" s="4" t="n">
        <v>1</v>
      </c>
      <c r="AA376" s="4" t="n">
        <v>0</v>
      </c>
      <c r="AB376" s="4" t="n">
        <v>0</v>
      </c>
      <c r="AC376" s="4" t="n">
        <v>10</v>
      </c>
      <c r="AD376" s="4" t="n">
        <v>9</v>
      </c>
      <c r="AE376" s="8" t="n">
        <f aca="false">COUNTIF(F376:AD376,"&lt;=0")</f>
        <v>6</v>
      </c>
    </row>
    <row r="377" customFormat="false" ht="15" hidden="false" customHeight="false" outlineLevel="0" collapsed="false">
      <c r="A377" s="8" t="s">
        <v>106</v>
      </c>
      <c r="B377" s="8" t="s">
        <v>30</v>
      </c>
      <c r="C377" s="8" t="n">
        <v>153059</v>
      </c>
      <c r="D377" s="8" t="s">
        <v>732</v>
      </c>
      <c r="E377" s="4" t="n">
        <v>0</v>
      </c>
      <c r="F377" s="4" t="n">
        <v>16</v>
      </c>
      <c r="G377" s="4" t="n">
        <v>0</v>
      </c>
      <c r="H377" s="4" t="n">
        <v>23</v>
      </c>
      <c r="I377" s="4" t="n">
        <v>23</v>
      </c>
      <c r="J377" s="4" t="n">
        <v>1</v>
      </c>
      <c r="K377" s="4" t="n">
        <v>110</v>
      </c>
      <c r="L377" s="4" t="n">
        <v>0</v>
      </c>
      <c r="M377" s="4" t="n">
        <v>2</v>
      </c>
      <c r="N377" s="4" t="n">
        <v>0</v>
      </c>
      <c r="O377" s="4" t="n">
        <v>0</v>
      </c>
      <c r="P377" s="4" t="n">
        <v>10</v>
      </c>
      <c r="Q377" s="4" t="n">
        <v>0</v>
      </c>
      <c r="R377" s="4" t="n">
        <v>6</v>
      </c>
      <c r="S377" s="4" t="n">
        <v>0</v>
      </c>
      <c r="T377" s="4" t="n">
        <v>8</v>
      </c>
      <c r="U377" s="4" t="n">
        <v>6</v>
      </c>
      <c r="V377" s="4" t="n">
        <v>7</v>
      </c>
      <c r="W377" s="4" t="n">
        <v>0</v>
      </c>
      <c r="X377" s="4" t="n">
        <v>0</v>
      </c>
      <c r="Y377" s="4" t="n">
        <v>2</v>
      </c>
      <c r="Z377" s="4" t="n">
        <v>0</v>
      </c>
      <c r="AA377" s="4" t="n">
        <v>0</v>
      </c>
      <c r="AB377" s="4" t="n">
        <v>0</v>
      </c>
      <c r="AC377" s="4" t="n">
        <v>10</v>
      </c>
      <c r="AD377" s="4" t="n">
        <v>10</v>
      </c>
      <c r="AE377" s="8" t="n">
        <f aca="false">COUNTIF(F377:AD377,"&lt;=0")</f>
        <v>11</v>
      </c>
    </row>
    <row r="378" customFormat="false" ht="15" hidden="false" customHeight="false" outlineLevel="0" collapsed="false">
      <c r="A378" s="8" t="s">
        <v>106</v>
      </c>
      <c r="B378" s="8" t="s">
        <v>30</v>
      </c>
      <c r="C378" s="8" t="n">
        <v>153211</v>
      </c>
      <c r="D378" s="8" t="s">
        <v>733</v>
      </c>
      <c r="E378" s="4" t="n">
        <v>0</v>
      </c>
      <c r="F378" s="4" t="n">
        <v>0</v>
      </c>
      <c r="G378" s="4" t="n">
        <v>21</v>
      </c>
      <c r="H378" s="4" t="n">
        <v>0</v>
      </c>
      <c r="I378" s="4" t="n">
        <v>1</v>
      </c>
      <c r="J378" s="4" t="n">
        <v>0</v>
      </c>
      <c r="K378" s="4" t="n">
        <v>38</v>
      </c>
      <c r="L378" s="4" t="n">
        <v>0</v>
      </c>
      <c r="M378" s="4" t="n">
        <v>32</v>
      </c>
      <c r="N378" s="4" t="n">
        <v>0</v>
      </c>
      <c r="O378" s="4" t="n">
        <v>0</v>
      </c>
      <c r="P378" s="4" t="n">
        <v>0</v>
      </c>
      <c r="Q378" s="4" t="n">
        <v>0</v>
      </c>
      <c r="R378" s="4" t="n">
        <v>2</v>
      </c>
      <c r="S378" s="4" t="n">
        <v>0</v>
      </c>
      <c r="T378" s="4" t="n">
        <v>0</v>
      </c>
      <c r="U378" s="4" t="n">
        <v>29</v>
      </c>
      <c r="V378" s="4" t="n">
        <v>0</v>
      </c>
      <c r="W378" s="4" t="n">
        <v>0</v>
      </c>
      <c r="X378" s="4" t="n">
        <v>0</v>
      </c>
      <c r="Y378" s="4" t="n">
        <v>0</v>
      </c>
      <c r="Z378" s="4" t="n">
        <v>0</v>
      </c>
      <c r="AA378" s="4" t="n">
        <v>0</v>
      </c>
      <c r="AB378" s="4" t="n">
        <v>0</v>
      </c>
      <c r="AC378" s="4" t="n">
        <v>0</v>
      </c>
      <c r="AD378" s="4" t="n">
        <v>5</v>
      </c>
      <c r="AE378" s="8" t="n">
        <f aca="false">COUNTIF(F378:AD378,"&lt;=0")</f>
        <v>18</v>
      </c>
    </row>
    <row r="379" customFormat="false" ht="15" hidden="false" customHeight="false" outlineLevel="0" collapsed="false">
      <c r="A379" s="8" t="s">
        <v>106</v>
      </c>
      <c r="B379" s="8" t="s">
        <v>30</v>
      </c>
      <c r="C379" s="8" t="n">
        <v>153212</v>
      </c>
      <c r="D379" s="8" t="s">
        <v>734</v>
      </c>
      <c r="E379" s="4" t="n">
        <v>0</v>
      </c>
      <c r="F379" s="4" t="n">
        <v>9</v>
      </c>
      <c r="G379" s="4" t="n">
        <v>0</v>
      </c>
      <c r="H379" s="4" t="n">
        <v>12</v>
      </c>
      <c r="I379" s="4" t="n">
        <v>5</v>
      </c>
      <c r="J379" s="4" t="n">
        <v>13</v>
      </c>
      <c r="K379" s="4" t="n">
        <v>73</v>
      </c>
      <c r="L379" s="4" t="n">
        <v>0</v>
      </c>
      <c r="M379" s="4" t="n">
        <v>30</v>
      </c>
      <c r="N379" s="4" t="n">
        <v>0</v>
      </c>
      <c r="O379" s="4" t="n">
        <v>18</v>
      </c>
      <c r="P379" s="4" t="n">
        <v>31</v>
      </c>
      <c r="Q379" s="4" t="n">
        <v>5</v>
      </c>
      <c r="R379" s="4" t="n">
        <v>0</v>
      </c>
      <c r="S379" s="4" t="n">
        <v>6</v>
      </c>
      <c r="T379" s="4" t="n">
        <v>5</v>
      </c>
      <c r="U379" s="4" t="n">
        <v>22</v>
      </c>
      <c r="V379" s="4" t="n">
        <v>0</v>
      </c>
      <c r="W379" s="4" t="n">
        <v>16</v>
      </c>
      <c r="X379" s="4" t="n">
        <v>9</v>
      </c>
      <c r="Y379" s="4" t="n">
        <v>0</v>
      </c>
      <c r="Z379" s="4" t="n">
        <v>7</v>
      </c>
      <c r="AA379" s="4" t="n">
        <v>6</v>
      </c>
      <c r="AB379" s="4" t="n">
        <v>0</v>
      </c>
      <c r="AC379" s="4" t="n">
        <v>11</v>
      </c>
      <c r="AD379" s="4" t="n">
        <v>8</v>
      </c>
      <c r="AE379" s="8" t="n">
        <f aca="false">COUNTIF(F379:AD379,"&lt;=0")</f>
        <v>7</v>
      </c>
    </row>
    <row r="380" customFormat="false" ht="15" hidden="false" customHeight="false" outlineLevel="0" collapsed="false">
      <c r="A380" s="8" t="s">
        <v>106</v>
      </c>
      <c r="B380" s="8" t="s">
        <v>30</v>
      </c>
      <c r="C380" s="8" t="n">
        <v>153301</v>
      </c>
      <c r="D380" s="8" t="s">
        <v>735</v>
      </c>
      <c r="E380" s="4" t="n">
        <v>0</v>
      </c>
      <c r="F380" s="4" t="n">
        <v>12</v>
      </c>
      <c r="G380" s="4" t="n">
        <v>0</v>
      </c>
      <c r="H380" s="4" t="n">
        <v>24</v>
      </c>
      <c r="I380" s="4" t="n">
        <v>13</v>
      </c>
      <c r="J380" s="4" t="n">
        <v>24</v>
      </c>
      <c r="K380" s="4" t="n">
        <v>103</v>
      </c>
      <c r="L380" s="4" t="n">
        <v>0</v>
      </c>
      <c r="M380" s="4" t="n">
        <v>0</v>
      </c>
      <c r="N380" s="4" t="n">
        <v>0</v>
      </c>
      <c r="O380" s="4" t="n">
        <v>0</v>
      </c>
      <c r="P380" s="4" t="n">
        <v>12</v>
      </c>
      <c r="Q380" s="4" t="n">
        <v>29</v>
      </c>
      <c r="R380" s="4" t="n">
        <v>1</v>
      </c>
      <c r="S380" s="4" t="n">
        <v>13</v>
      </c>
      <c r="T380" s="4" t="n">
        <v>6</v>
      </c>
      <c r="U380" s="4" t="n">
        <v>12</v>
      </c>
      <c r="V380" s="4" t="n">
        <v>3</v>
      </c>
      <c r="W380" s="4" t="n">
        <v>5</v>
      </c>
      <c r="X380" s="4" t="n">
        <v>5</v>
      </c>
      <c r="Y380" s="4" t="n">
        <v>8</v>
      </c>
      <c r="Z380" s="4" t="n">
        <v>14</v>
      </c>
      <c r="AA380" s="4" t="n">
        <v>0</v>
      </c>
      <c r="AB380" s="4" t="n">
        <v>0</v>
      </c>
      <c r="AC380" s="4" t="n">
        <v>20</v>
      </c>
      <c r="AD380" s="4" t="n">
        <v>11</v>
      </c>
      <c r="AE380" s="8" t="n">
        <f aca="false">COUNTIF(F380:AD380,"&lt;=0")</f>
        <v>7</v>
      </c>
    </row>
    <row r="381" customFormat="false" ht="15" hidden="false" customHeight="false" outlineLevel="0" collapsed="false">
      <c r="A381" s="8" t="s">
        <v>106</v>
      </c>
      <c r="B381" s="8" t="s">
        <v>30</v>
      </c>
      <c r="C381" s="8" t="n">
        <v>25424</v>
      </c>
      <c r="D381" s="8" t="s">
        <v>736</v>
      </c>
      <c r="E381" s="4" t="n">
        <v>0</v>
      </c>
      <c r="F381" s="4" t="n">
        <v>0</v>
      </c>
      <c r="G381" s="4" t="n">
        <v>26</v>
      </c>
      <c r="H381" s="4" t="n">
        <v>0</v>
      </c>
      <c r="I381" s="4" t="n">
        <v>8</v>
      </c>
      <c r="J381" s="4" t="n">
        <v>19</v>
      </c>
      <c r="K381" s="4" t="n">
        <v>0</v>
      </c>
      <c r="L381" s="4" t="n">
        <v>0</v>
      </c>
      <c r="M381" s="4" t="n">
        <v>0</v>
      </c>
      <c r="N381" s="4" t="n">
        <v>0</v>
      </c>
      <c r="O381" s="4" t="n">
        <v>0</v>
      </c>
      <c r="P381" s="4" t="n">
        <v>0</v>
      </c>
      <c r="Q381" s="4" t="n">
        <v>15</v>
      </c>
      <c r="R381" s="4" t="n">
        <v>7</v>
      </c>
      <c r="S381" s="4" t="n">
        <v>0</v>
      </c>
      <c r="T381" s="4" t="n">
        <v>6</v>
      </c>
      <c r="U381" s="4" t="n">
        <v>0</v>
      </c>
      <c r="V381" s="4" t="n">
        <v>0</v>
      </c>
      <c r="W381" s="4" t="n">
        <v>0</v>
      </c>
      <c r="X381" s="4" t="n">
        <v>0</v>
      </c>
      <c r="Y381" s="4" t="n">
        <v>1</v>
      </c>
      <c r="Z381" s="4" t="n">
        <v>0</v>
      </c>
      <c r="AA381" s="4" t="n">
        <v>0</v>
      </c>
      <c r="AB381" s="4" t="n">
        <v>0</v>
      </c>
      <c r="AC381" s="4" t="n">
        <v>0</v>
      </c>
      <c r="AD381" s="4" t="n">
        <v>0</v>
      </c>
      <c r="AE381" s="8" t="n">
        <f aca="false">COUNTIF(F381:AD381,"&lt;=0")</f>
        <v>18</v>
      </c>
    </row>
    <row r="382" customFormat="false" ht="15" hidden="false" customHeight="false" outlineLevel="0" collapsed="false">
      <c r="A382" s="8" t="s">
        <v>106</v>
      </c>
      <c r="B382" s="8" t="s">
        <v>30</v>
      </c>
      <c r="C382" s="8" t="n">
        <v>25425</v>
      </c>
      <c r="D382" s="8" t="s">
        <v>737</v>
      </c>
      <c r="E382" s="4" t="n">
        <v>0</v>
      </c>
      <c r="F382" s="4" t="n">
        <v>0</v>
      </c>
      <c r="G382" s="4" t="n">
        <v>29</v>
      </c>
      <c r="H382" s="4" t="n">
        <v>0</v>
      </c>
      <c r="I382" s="4" t="n">
        <v>4</v>
      </c>
      <c r="J382" s="4" t="n">
        <v>0</v>
      </c>
      <c r="K382" s="4" t="n">
        <v>24</v>
      </c>
      <c r="L382" s="4" t="n">
        <v>0</v>
      </c>
      <c r="M382" s="4" t="n">
        <v>0</v>
      </c>
      <c r="N382" s="4" t="n">
        <v>0</v>
      </c>
      <c r="O382" s="4" t="n">
        <v>6</v>
      </c>
      <c r="P382" s="4" t="n">
        <v>0</v>
      </c>
      <c r="Q382" s="4" t="n">
        <v>10</v>
      </c>
      <c r="R382" s="4" t="n">
        <v>5</v>
      </c>
      <c r="S382" s="4" t="n">
        <v>0</v>
      </c>
      <c r="T382" s="4" t="n">
        <v>4</v>
      </c>
      <c r="U382" s="4" t="n">
        <v>0</v>
      </c>
      <c r="V382" s="4" t="n">
        <v>0</v>
      </c>
      <c r="W382" s="4" t="n">
        <v>0</v>
      </c>
      <c r="X382" s="4" t="n">
        <v>0</v>
      </c>
      <c r="Y382" s="4" t="n">
        <v>3</v>
      </c>
      <c r="Z382" s="4" t="n">
        <v>0</v>
      </c>
      <c r="AA382" s="4" t="n">
        <v>0</v>
      </c>
      <c r="AB382" s="4" t="n">
        <v>0</v>
      </c>
      <c r="AC382" s="4" t="n">
        <v>5</v>
      </c>
      <c r="AD382" s="4" t="n">
        <v>0</v>
      </c>
      <c r="AE382" s="8" t="n">
        <f aca="false">COUNTIF(F382:AD382,"&lt;=0")</f>
        <v>16</v>
      </c>
    </row>
    <row r="383" customFormat="false" ht="15" hidden="false" customHeight="false" outlineLevel="0" collapsed="false">
      <c r="A383" s="8" t="s">
        <v>201</v>
      </c>
      <c r="B383" s="8" t="s">
        <v>28</v>
      </c>
      <c r="C383" s="8" t="n">
        <v>121489</v>
      </c>
      <c r="D383" s="8" t="s">
        <v>375</v>
      </c>
      <c r="E383" s="4" t="n">
        <v>306</v>
      </c>
      <c r="F383" s="4" t="n">
        <v>0</v>
      </c>
      <c r="G383" s="4" t="n">
        <v>37</v>
      </c>
      <c r="H383" s="4" t="n">
        <v>29</v>
      </c>
      <c r="I383" s="4" t="n">
        <v>88</v>
      </c>
      <c r="J383" s="4" t="n">
        <v>39</v>
      </c>
      <c r="K383" s="4" t="n">
        <v>88</v>
      </c>
      <c r="L383" s="4" t="n">
        <v>52</v>
      </c>
      <c r="M383" s="4" t="n">
        <v>66</v>
      </c>
      <c r="N383" s="4" t="n">
        <v>38</v>
      </c>
      <c r="O383" s="4" t="n">
        <v>55</v>
      </c>
      <c r="P383" s="4" t="n">
        <v>44</v>
      </c>
      <c r="Q383" s="4" t="n">
        <v>36</v>
      </c>
      <c r="R383" s="4" t="n">
        <v>89</v>
      </c>
      <c r="S383" s="4" t="n">
        <v>69</v>
      </c>
      <c r="T383" s="4" t="n">
        <v>55</v>
      </c>
      <c r="U383" s="4" t="n">
        <v>70</v>
      </c>
      <c r="V383" s="4" t="n">
        <v>55</v>
      </c>
      <c r="W383" s="4" t="n">
        <v>33</v>
      </c>
      <c r="X383" s="4" t="n">
        <v>75</v>
      </c>
      <c r="Y383" s="4" t="n">
        <v>34</v>
      </c>
      <c r="Z383" s="4" t="n">
        <v>58</v>
      </c>
      <c r="AA383" s="4" t="n">
        <v>57</v>
      </c>
      <c r="AB383" s="4" t="n">
        <v>0</v>
      </c>
      <c r="AC383" s="4" t="n">
        <v>52</v>
      </c>
      <c r="AD383" s="4" t="n">
        <v>0</v>
      </c>
      <c r="AE383" s="8" t="n">
        <f aca="false">COUNTIF(F383:AD383,"&lt;=0")</f>
        <v>3</v>
      </c>
    </row>
    <row r="384" customFormat="false" ht="15" hidden="false" customHeight="false" outlineLevel="0" collapsed="false">
      <c r="A384" s="8" t="s">
        <v>209</v>
      </c>
      <c r="B384" s="8" t="s">
        <v>28</v>
      </c>
      <c r="C384" s="8" t="n">
        <v>174509</v>
      </c>
      <c r="D384" s="8" t="s">
        <v>368</v>
      </c>
      <c r="E384" s="4" t="n">
        <v>770</v>
      </c>
      <c r="F384" s="4" t="n">
        <v>0</v>
      </c>
      <c r="G384" s="4" t="n">
        <v>13</v>
      </c>
      <c r="H384" s="4" t="n">
        <v>18</v>
      </c>
      <c r="I384" s="4" t="n">
        <v>16</v>
      </c>
      <c r="J384" s="4" t="n">
        <v>9</v>
      </c>
      <c r="K384" s="4" t="n">
        <v>9</v>
      </c>
      <c r="L384" s="4" t="n">
        <v>16</v>
      </c>
      <c r="M384" s="4" t="n">
        <v>15</v>
      </c>
      <c r="N384" s="4" t="n">
        <v>12</v>
      </c>
      <c r="O384" s="4" t="n">
        <v>11</v>
      </c>
      <c r="P384" s="4" t="n">
        <v>13</v>
      </c>
      <c r="Q384" s="4" t="n">
        <v>6</v>
      </c>
      <c r="R384" s="4" t="n">
        <v>14</v>
      </c>
      <c r="S384" s="4" t="n">
        <v>13</v>
      </c>
      <c r="T384" s="4" t="n">
        <v>13</v>
      </c>
      <c r="U384" s="4" t="n">
        <v>14</v>
      </c>
      <c r="V384" s="4" t="n">
        <v>13</v>
      </c>
      <c r="W384" s="4" t="n">
        <v>6</v>
      </c>
      <c r="X384" s="4" t="n">
        <v>13</v>
      </c>
      <c r="Y384" s="4" t="n">
        <v>14</v>
      </c>
      <c r="Z384" s="4" t="n">
        <v>10</v>
      </c>
      <c r="AA384" s="4" t="n">
        <v>11</v>
      </c>
      <c r="AB384" s="4" t="n">
        <v>0</v>
      </c>
      <c r="AC384" s="4" t="n">
        <v>8</v>
      </c>
      <c r="AD384" s="4" t="n">
        <v>0</v>
      </c>
      <c r="AE384" s="8" t="n">
        <f aca="false">COUNTIF(F384:AD384,"&lt;=0")</f>
        <v>3</v>
      </c>
    </row>
    <row r="385" customFormat="false" ht="15" hidden="false" customHeight="false" outlineLevel="0" collapsed="false">
      <c r="A385" s="8" t="s">
        <v>209</v>
      </c>
      <c r="B385" s="8" t="s">
        <v>28</v>
      </c>
      <c r="C385" s="8" t="n">
        <v>120014</v>
      </c>
      <c r="D385" s="8" t="s">
        <v>738</v>
      </c>
      <c r="E385" s="4" t="n">
        <v>0</v>
      </c>
      <c r="F385" s="4" t="n">
        <v>0</v>
      </c>
      <c r="G385" s="4" t="n">
        <v>11</v>
      </c>
      <c r="H385" s="4" t="n">
        <v>10</v>
      </c>
      <c r="I385" s="4" t="n">
        <v>9</v>
      </c>
      <c r="J385" s="4" t="n">
        <v>14</v>
      </c>
      <c r="K385" s="4" t="n">
        <v>10</v>
      </c>
      <c r="L385" s="4" t="n">
        <v>10</v>
      </c>
      <c r="M385" s="4" t="n">
        <v>11</v>
      </c>
      <c r="N385" s="4" t="n">
        <v>3</v>
      </c>
      <c r="O385" s="4" t="n">
        <v>11</v>
      </c>
      <c r="P385" s="4" t="n">
        <v>8</v>
      </c>
      <c r="Q385" s="4" t="n">
        <v>8</v>
      </c>
      <c r="R385" s="4" t="n">
        <v>3</v>
      </c>
      <c r="S385" s="4" t="n">
        <v>3</v>
      </c>
      <c r="T385" s="4" t="n">
        <v>4</v>
      </c>
      <c r="U385" s="4" t="n">
        <v>11</v>
      </c>
      <c r="V385" s="4" t="n">
        <v>3</v>
      </c>
      <c r="W385" s="4" t="n">
        <v>5</v>
      </c>
      <c r="X385" s="4" t="n">
        <v>7</v>
      </c>
      <c r="Y385" s="4" t="n">
        <v>2</v>
      </c>
      <c r="Z385" s="4" t="n">
        <v>3</v>
      </c>
      <c r="AA385" s="4" t="n">
        <v>3</v>
      </c>
      <c r="AB385" s="4" t="n">
        <v>0</v>
      </c>
      <c r="AC385" s="4" t="n">
        <v>5</v>
      </c>
      <c r="AD385" s="4" t="n">
        <v>0</v>
      </c>
      <c r="AE385" s="8" t="n">
        <f aca="false">COUNTIF(F385:AD385,"&lt;=0")</f>
        <v>3</v>
      </c>
    </row>
    <row r="386" customFormat="false" ht="15" hidden="false" customHeight="false" outlineLevel="0" collapsed="false">
      <c r="A386" s="8" t="s">
        <v>209</v>
      </c>
      <c r="B386" s="8" t="s">
        <v>28</v>
      </c>
      <c r="C386" s="8" t="n">
        <v>120012</v>
      </c>
      <c r="D386" s="8" t="s">
        <v>739</v>
      </c>
      <c r="E386" s="4" t="n">
        <v>0</v>
      </c>
      <c r="F386" s="4" t="n">
        <v>0</v>
      </c>
      <c r="G386" s="4" t="n">
        <v>9</v>
      </c>
      <c r="H386" s="4" t="n">
        <v>10</v>
      </c>
      <c r="I386" s="4" t="n">
        <v>10</v>
      </c>
      <c r="J386" s="4" t="n">
        <v>12</v>
      </c>
      <c r="K386" s="4" t="n">
        <v>7</v>
      </c>
      <c r="L386" s="4" t="n">
        <v>9</v>
      </c>
      <c r="M386" s="4" t="n">
        <v>11</v>
      </c>
      <c r="N386" s="4" t="n">
        <v>4</v>
      </c>
      <c r="O386" s="4" t="n">
        <v>10</v>
      </c>
      <c r="P386" s="4" t="n">
        <v>12</v>
      </c>
      <c r="Q386" s="4" t="n">
        <v>2</v>
      </c>
      <c r="R386" s="4" t="n">
        <v>2</v>
      </c>
      <c r="S386" s="4" t="n">
        <v>4</v>
      </c>
      <c r="T386" s="4" t="n">
        <v>0</v>
      </c>
      <c r="U386" s="4" t="n">
        <v>8</v>
      </c>
      <c r="V386" s="4" t="n">
        <v>1</v>
      </c>
      <c r="W386" s="4" t="n">
        <v>6</v>
      </c>
      <c r="X386" s="4" t="n">
        <v>4</v>
      </c>
      <c r="Y386" s="4" t="n">
        <v>1</v>
      </c>
      <c r="Z386" s="4" t="n">
        <v>2</v>
      </c>
      <c r="AA386" s="4" t="n">
        <v>6</v>
      </c>
      <c r="AB386" s="4" t="n">
        <v>0</v>
      </c>
      <c r="AC386" s="4" t="n">
        <v>3</v>
      </c>
      <c r="AD386" s="4" t="n">
        <v>0</v>
      </c>
      <c r="AE386" s="8" t="n">
        <f aca="false">COUNTIF(F386:AD386,"&lt;=0")</f>
        <v>4</v>
      </c>
    </row>
    <row r="387" customFormat="false" ht="15" hidden="false" customHeight="false" outlineLevel="0" collapsed="false">
      <c r="A387" s="8" t="s">
        <v>187</v>
      </c>
      <c r="B387" s="8" t="s">
        <v>28</v>
      </c>
      <c r="C387" s="8" t="n">
        <v>121539</v>
      </c>
      <c r="D387" s="8" t="s">
        <v>379</v>
      </c>
      <c r="E387" s="4" t="n">
        <v>138</v>
      </c>
      <c r="F387" s="4" t="n">
        <v>0</v>
      </c>
      <c r="G387" s="4" t="n">
        <v>27</v>
      </c>
      <c r="H387" s="4" t="n">
        <v>27</v>
      </c>
      <c r="I387" s="4" t="n">
        <v>16</v>
      </c>
      <c r="J387" s="4" t="n">
        <v>32</v>
      </c>
      <c r="K387" s="4" t="n">
        <v>130</v>
      </c>
      <c r="L387" s="4" t="n">
        <v>18</v>
      </c>
      <c r="M387" s="4" t="n">
        <v>15</v>
      </c>
      <c r="N387" s="4" t="n">
        <v>16</v>
      </c>
      <c r="O387" s="4" t="n">
        <v>124</v>
      </c>
      <c r="P387" s="4" t="n">
        <v>14</v>
      </c>
      <c r="Q387" s="4" t="n">
        <v>28</v>
      </c>
      <c r="R387" s="4" t="n">
        <v>27</v>
      </c>
      <c r="S387" s="4" t="n">
        <v>16</v>
      </c>
      <c r="T387" s="4" t="n">
        <v>8</v>
      </c>
      <c r="U387" s="4" t="n">
        <v>24</v>
      </c>
      <c r="V387" s="4" t="n">
        <v>0</v>
      </c>
      <c r="W387" s="4" t="n">
        <v>18</v>
      </c>
      <c r="X387" s="4" t="n">
        <v>24</v>
      </c>
      <c r="Y387" s="4" t="n">
        <v>7</v>
      </c>
      <c r="Z387" s="4" t="n">
        <v>16</v>
      </c>
      <c r="AA387" s="4" t="n">
        <v>11</v>
      </c>
      <c r="AB387" s="4" t="n">
        <v>0</v>
      </c>
      <c r="AC387" s="4" t="n">
        <v>9</v>
      </c>
      <c r="AD387" s="4" t="n">
        <v>6</v>
      </c>
      <c r="AE387" s="8" t="n">
        <f aca="false">COUNTIF(F387:AD387,"&lt;=0")</f>
        <v>3</v>
      </c>
    </row>
    <row r="388" customFormat="false" ht="15" hidden="false" customHeight="false" outlineLevel="0" collapsed="false">
      <c r="A388" s="8" t="s">
        <v>187</v>
      </c>
      <c r="B388" s="8" t="s">
        <v>28</v>
      </c>
      <c r="C388" s="8" t="n">
        <v>121540</v>
      </c>
      <c r="D388" s="8" t="s">
        <v>740</v>
      </c>
      <c r="E388" s="4" t="n">
        <v>0</v>
      </c>
      <c r="F388" s="4" t="n">
        <v>0</v>
      </c>
      <c r="G388" s="4" t="n">
        <v>20</v>
      </c>
      <c r="H388" s="4" t="n">
        <v>7</v>
      </c>
      <c r="I388" s="4" t="n">
        <v>0</v>
      </c>
      <c r="J388" s="4" t="n">
        <v>0</v>
      </c>
      <c r="K388" s="4" t="n">
        <v>0</v>
      </c>
      <c r="L388" s="4" t="n">
        <v>0</v>
      </c>
      <c r="M388" s="4" t="n">
        <v>4</v>
      </c>
      <c r="N388" s="4" t="n">
        <v>0</v>
      </c>
      <c r="O388" s="4" t="n">
        <v>2</v>
      </c>
      <c r="P388" s="4" t="n">
        <v>0</v>
      </c>
      <c r="Q388" s="4" t="n">
        <v>0</v>
      </c>
      <c r="R388" s="4" t="n">
        <v>2</v>
      </c>
      <c r="S388" s="4" t="n">
        <v>1</v>
      </c>
      <c r="T388" s="4" t="n">
        <v>0</v>
      </c>
      <c r="U388" s="4" t="n">
        <v>12</v>
      </c>
      <c r="V388" s="4" t="n">
        <v>0</v>
      </c>
      <c r="W388" s="4" t="n">
        <v>10</v>
      </c>
      <c r="X388" s="4" t="n">
        <v>0</v>
      </c>
      <c r="Y388" s="4" t="n">
        <v>4</v>
      </c>
      <c r="Z388" s="4" t="n">
        <v>3</v>
      </c>
      <c r="AA388" s="4" t="n">
        <v>0</v>
      </c>
      <c r="AB388" s="4" t="n">
        <v>0</v>
      </c>
      <c r="AC388" s="4" t="n">
        <v>11</v>
      </c>
      <c r="AD388" s="4" t="n">
        <v>3</v>
      </c>
      <c r="AE388" s="8" t="n">
        <f aca="false">COUNTIF(F388:AD388,"&lt;=0")</f>
        <v>13</v>
      </c>
    </row>
    <row r="389" customFormat="false" ht="15" hidden="false" customHeight="false" outlineLevel="0" collapsed="false">
      <c r="A389" s="8" t="s">
        <v>195</v>
      </c>
      <c r="B389" s="8" t="s">
        <v>28</v>
      </c>
      <c r="C389" s="8" t="n">
        <v>121601</v>
      </c>
      <c r="D389" s="8" t="s">
        <v>741</v>
      </c>
      <c r="E389" s="4" t="n">
        <v>0</v>
      </c>
      <c r="F389" s="4" t="n">
        <v>0</v>
      </c>
      <c r="G389" s="4" t="n">
        <v>6</v>
      </c>
      <c r="H389" s="4" t="n">
        <v>6</v>
      </c>
      <c r="I389" s="4" t="n">
        <v>6</v>
      </c>
      <c r="J389" s="4" t="n">
        <v>4</v>
      </c>
      <c r="K389" s="4" t="n">
        <v>2</v>
      </c>
      <c r="L389" s="4" t="n">
        <v>6</v>
      </c>
      <c r="M389" s="4" t="n">
        <v>6</v>
      </c>
      <c r="N389" s="4" t="n">
        <v>4</v>
      </c>
      <c r="O389" s="4" t="n">
        <v>5</v>
      </c>
      <c r="P389" s="4" t="n">
        <v>5</v>
      </c>
      <c r="Q389" s="4" t="n">
        <v>3</v>
      </c>
      <c r="R389" s="4" t="n">
        <v>4</v>
      </c>
      <c r="S389" s="4" t="n">
        <v>3</v>
      </c>
      <c r="T389" s="4" t="n">
        <v>4</v>
      </c>
      <c r="U389" s="4" t="n">
        <v>6</v>
      </c>
      <c r="V389" s="4" t="n">
        <v>2</v>
      </c>
      <c r="W389" s="4" t="n">
        <v>5</v>
      </c>
      <c r="X389" s="4" t="n">
        <v>3</v>
      </c>
      <c r="Y389" s="4" t="n">
        <v>5</v>
      </c>
      <c r="Z389" s="4" t="n">
        <v>12</v>
      </c>
      <c r="AA389" s="4" t="n">
        <v>3</v>
      </c>
      <c r="AB389" s="4" t="n">
        <v>0</v>
      </c>
      <c r="AC389" s="4" t="n">
        <v>3</v>
      </c>
      <c r="AD389" s="4" t="n">
        <v>0</v>
      </c>
      <c r="AE389" s="8" t="n">
        <f aca="false">COUNTIF(F389:AD389,"&lt;=0")</f>
        <v>3</v>
      </c>
    </row>
    <row r="390" customFormat="false" ht="15" hidden="false" customHeight="false" outlineLevel="0" collapsed="false">
      <c r="A390" s="8" t="s">
        <v>195</v>
      </c>
      <c r="B390" s="8" t="s">
        <v>28</v>
      </c>
      <c r="C390" s="8" t="n">
        <v>120651</v>
      </c>
      <c r="D390" s="8" t="s">
        <v>742</v>
      </c>
      <c r="E390" s="4" t="n">
        <v>0</v>
      </c>
      <c r="F390" s="4" t="n">
        <v>0</v>
      </c>
      <c r="G390" s="4" t="n">
        <v>11</v>
      </c>
      <c r="H390" s="4" t="n">
        <v>10</v>
      </c>
      <c r="I390" s="4" t="n">
        <v>7</v>
      </c>
      <c r="J390" s="4" t="n">
        <v>5</v>
      </c>
      <c r="K390" s="4" t="n">
        <v>25</v>
      </c>
      <c r="L390" s="4" t="n">
        <v>7</v>
      </c>
      <c r="M390" s="4" t="n">
        <v>4</v>
      </c>
      <c r="N390" s="4" t="n">
        <v>9</v>
      </c>
      <c r="O390" s="4" t="n">
        <v>11</v>
      </c>
      <c r="P390" s="4" t="n">
        <v>6</v>
      </c>
      <c r="Q390" s="4" t="n">
        <v>8</v>
      </c>
      <c r="R390" s="4" t="n">
        <v>9</v>
      </c>
      <c r="S390" s="4" t="n">
        <v>9</v>
      </c>
      <c r="T390" s="4" t="n">
        <v>9</v>
      </c>
      <c r="U390" s="4" t="n">
        <v>7</v>
      </c>
      <c r="V390" s="4" t="n">
        <v>9</v>
      </c>
      <c r="W390" s="4" t="n">
        <v>12</v>
      </c>
      <c r="X390" s="4" t="n">
        <v>8</v>
      </c>
      <c r="Y390" s="4" t="n">
        <v>9</v>
      </c>
      <c r="Z390" s="4" t="n">
        <v>11</v>
      </c>
      <c r="AA390" s="4" t="n">
        <v>8</v>
      </c>
      <c r="AB390" s="4" t="n">
        <v>0</v>
      </c>
      <c r="AC390" s="4" t="n">
        <v>5</v>
      </c>
      <c r="AD390" s="4" t="n">
        <v>0</v>
      </c>
      <c r="AE390" s="8" t="n">
        <f aca="false">COUNTIF(F390:AD390,"&lt;=0")</f>
        <v>3</v>
      </c>
    </row>
    <row r="391" customFormat="false" ht="15" hidden="false" customHeight="false" outlineLevel="0" collapsed="false">
      <c r="A391" s="8" t="s">
        <v>195</v>
      </c>
      <c r="B391" s="8" t="s">
        <v>28</v>
      </c>
      <c r="C391" s="8" t="n">
        <v>120652</v>
      </c>
      <c r="D391" s="8" t="s">
        <v>743</v>
      </c>
      <c r="E391" s="4" t="n">
        <v>0</v>
      </c>
      <c r="F391" s="4" t="n">
        <v>0</v>
      </c>
      <c r="G391" s="4" t="n">
        <v>12</v>
      </c>
      <c r="H391" s="4" t="n">
        <v>12</v>
      </c>
      <c r="I391" s="4" t="n">
        <v>7</v>
      </c>
      <c r="J391" s="4" t="n">
        <v>9</v>
      </c>
      <c r="K391" s="4" t="n">
        <v>13</v>
      </c>
      <c r="L391" s="4" t="n">
        <v>13</v>
      </c>
      <c r="M391" s="4" t="n">
        <v>7</v>
      </c>
      <c r="N391" s="4" t="n">
        <v>6</v>
      </c>
      <c r="O391" s="4" t="n">
        <v>14</v>
      </c>
      <c r="P391" s="4" t="n">
        <v>11</v>
      </c>
      <c r="Q391" s="4" t="n">
        <v>11</v>
      </c>
      <c r="R391" s="4" t="n">
        <v>9</v>
      </c>
      <c r="S391" s="4" t="n">
        <v>13</v>
      </c>
      <c r="T391" s="4" t="n">
        <v>9</v>
      </c>
      <c r="U391" s="4" t="n">
        <v>10</v>
      </c>
      <c r="V391" s="4" t="n">
        <v>6</v>
      </c>
      <c r="W391" s="4" t="n">
        <v>12</v>
      </c>
      <c r="X391" s="4" t="n">
        <v>7</v>
      </c>
      <c r="Y391" s="4" t="n">
        <v>6</v>
      </c>
      <c r="Z391" s="4" t="n">
        <v>10</v>
      </c>
      <c r="AA391" s="4" t="n">
        <v>6</v>
      </c>
      <c r="AB391" s="4" t="n">
        <v>0</v>
      </c>
      <c r="AC391" s="4" t="n">
        <v>7</v>
      </c>
      <c r="AD391" s="4" t="n">
        <v>0</v>
      </c>
      <c r="AE391" s="8" t="n">
        <f aca="false">COUNTIF(F391:AD391,"&lt;=0")</f>
        <v>3</v>
      </c>
    </row>
    <row r="392" customFormat="false" ht="15" hidden="false" customHeight="false" outlineLevel="0" collapsed="false">
      <c r="A392" s="8" t="s">
        <v>195</v>
      </c>
      <c r="B392" s="8" t="s">
        <v>28</v>
      </c>
      <c r="C392" s="8" t="n">
        <v>121223</v>
      </c>
      <c r="D392" s="8" t="s">
        <v>744</v>
      </c>
      <c r="E392" s="4" t="n">
        <v>0</v>
      </c>
      <c r="F392" s="4" t="n">
        <v>0</v>
      </c>
      <c r="G392" s="4" t="n">
        <v>9</v>
      </c>
      <c r="H392" s="4" t="n">
        <v>5</v>
      </c>
      <c r="I392" s="4" t="n">
        <v>12</v>
      </c>
      <c r="J392" s="4" t="n">
        <v>8</v>
      </c>
      <c r="K392" s="4" t="n">
        <v>10</v>
      </c>
      <c r="L392" s="4" t="n">
        <v>9</v>
      </c>
      <c r="M392" s="4" t="n">
        <v>8</v>
      </c>
      <c r="N392" s="4" t="n">
        <v>6</v>
      </c>
      <c r="O392" s="4" t="n">
        <v>14</v>
      </c>
      <c r="P392" s="4" t="n">
        <v>6</v>
      </c>
      <c r="Q392" s="4" t="n">
        <v>15</v>
      </c>
      <c r="R392" s="4" t="n">
        <v>10</v>
      </c>
      <c r="S392" s="4" t="n">
        <v>11</v>
      </c>
      <c r="T392" s="4" t="n">
        <v>8</v>
      </c>
      <c r="U392" s="4" t="n">
        <v>8</v>
      </c>
      <c r="V392" s="4" t="n">
        <v>9</v>
      </c>
      <c r="W392" s="4" t="n">
        <v>15</v>
      </c>
      <c r="X392" s="4" t="n">
        <v>6</v>
      </c>
      <c r="Y392" s="4" t="n">
        <v>7</v>
      </c>
      <c r="Z392" s="4" t="n">
        <v>8</v>
      </c>
      <c r="AA392" s="4" t="n">
        <v>6</v>
      </c>
      <c r="AB392" s="4" t="n">
        <v>0</v>
      </c>
      <c r="AC392" s="4" t="n">
        <v>8</v>
      </c>
      <c r="AD392" s="4" t="n">
        <v>0</v>
      </c>
      <c r="AE392" s="8" t="n">
        <f aca="false">COUNTIF(F392:AD392,"&lt;=0")</f>
        <v>3</v>
      </c>
    </row>
    <row r="393" customFormat="false" ht="15" hidden="false" customHeight="false" outlineLevel="0" collapsed="false">
      <c r="A393" s="8" t="s">
        <v>195</v>
      </c>
      <c r="B393" s="8" t="s">
        <v>28</v>
      </c>
      <c r="C393" s="8" t="n">
        <v>121226</v>
      </c>
      <c r="D393" s="8" t="s">
        <v>745</v>
      </c>
      <c r="E393" s="4" t="n">
        <v>0</v>
      </c>
      <c r="F393" s="4" t="n">
        <v>0</v>
      </c>
      <c r="G393" s="4" t="n">
        <v>2</v>
      </c>
      <c r="H393" s="4" t="n">
        <v>1</v>
      </c>
      <c r="I393" s="4" t="n">
        <v>2</v>
      </c>
      <c r="J393" s="4" t="n">
        <v>2</v>
      </c>
      <c r="K393" s="4" t="n">
        <v>2</v>
      </c>
      <c r="L393" s="4" t="n">
        <v>2</v>
      </c>
      <c r="M393" s="4" t="n">
        <v>2</v>
      </c>
      <c r="N393" s="4" t="n">
        <v>3</v>
      </c>
      <c r="O393" s="4" t="n">
        <v>2</v>
      </c>
      <c r="P393" s="4" t="n">
        <v>1</v>
      </c>
      <c r="Q393" s="4" t="n">
        <v>3</v>
      </c>
      <c r="R393" s="4" t="n">
        <v>3</v>
      </c>
      <c r="S393" s="4" t="n">
        <v>1</v>
      </c>
      <c r="T393" s="4" t="n">
        <v>4</v>
      </c>
      <c r="U393" s="4" t="n">
        <v>3</v>
      </c>
      <c r="V393" s="4" t="n">
        <v>4</v>
      </c>
      <c r="W393" s="4" t="n">
        <v>4</v>
      </c>
      <c r="X393" s="4" t="n">
        <v>2</v>
      </c>
      <c r="Y393" s="4" t="n">
        <v>4</v>
      </c>
      <c r="Z393" s="4" t="n">
        <v>8</v>
      </c>
      <c r="AA393" s="4" t="n">
        <v>3</v>
      </c>
      <c r="AB393" s="4" t="n">
        <v>0</v>
      </c>
      <c r="AC393" s="4" t="n">
        <v>3</v>
      </c>
      <c r="AD393" s="4" t="n">
        <v>0</v>
      </c>
      <c r="AE393" s="8" t="n">
        <f aca="false">COUNTIF(F393:AD393,"&lt;=0")</f>
        <v>3</v>
      </c>
    </row>
    <row r="394" customFormat="false" ht="15" hidden="false" customHeight="false" outlineLevel="0" collapsed="false">
      <c r="A394" s="8" t="s">
        <v>165</v>
      </c>
      <c r="B394" s="8" t="s">
        <v>28</v>
      </c>
      <c r="C394" s="8" t="n">
        <v>121618</v>
      </c>
      <c r="D394" s="8" t="s">
        <v>746</v>
      </c>
      <c r="E394" s="4" t="n">
        <v>0</v>
      </c>
      <c r="F394" s="4" t="n">
        <v>0</v>
      </c>
      <c r="G394" s="4" t="n">
        <v>8</v>
      </c>
      <c r="H394" s="4" t="n">
        <v>6</v>
      </c>
      <c r="I394" s="4" t="n">
        <v>9</v>
      </c>
      <c r="J394" s="4" t="n">
        <v>7</v>
      </c>
      <c r="K394" s="4" t="n">
        <v>8</v>
      </c>
      <c r="L394" s="4" t="n">
        <v>7</v>
      </c>
      <c r="M394" s="4" t="n">
        <v>7</v>
      </c>
      <c r="N394" s="4" t="n">
        <v>12</v>
      </c>
      <c r="O394" s="4" t="n">
        <v>8</v>
      </c>
      <c r="P394" s="4" t="n">
        <v>7</v>
      </c>
      <c r="Q394" s="4" t="n">
        <v>16</v>
      </c>
      <c r="R394" s="4" t="n">
        <v>16</v>
      </c>
      <c r="S394" s="4" t="n">
        <v>13</v>
      </c>
      <c r="T394" s="4" t="n">
        <v>15</v>
      </c>
      <c r="U394" s="4" t="n">
        <v>10</v>
      </c>
      <c r="V394" s="4" t="n">
        <v>13</v>
      </c>
      <c r="W394" s="4" t="n">
        <v>21</v>
      </c>
      <c r="X394" s="4" t="n">
        <v>6</v>
      </c>
      <c r="Y394" s="4" t="n">
        <v>15</v>
      </c>
      <c r="Z394" s="4" t="n">
        <v>19</v>
      </c>
      <c r="AA394" s="4" t="n">
        <v>12</v>
      </c>
      <c r="AB394" s="4" t="n">
        <v>0</v>
      </c>
      <c r="AC394" s="4" t="n">
        <v>10</v>
      </c>
      <c r="AD394" s="4" t="n">
        <v>0</v>
      </c>
      <c r="AE394" s="8" t="n">
        <f aca="false">COUNTIF(F394:AD394,"&lt;=0")</f>
        <v>3</v>
      </c>
    </row>
    <row r="395" customFormat="false" ht="15" hidden="false" customHeight="false" outlineLevel="0" collapsed="false">
      <c r="A395" s="8" t="s">
        <v>165</v>
      </c>
      <c r="B395" s="8" t="s">
        <v>28</v>
      </c>
      <c r="C395" s="8" t="n">
        <v>121619</v>
      </c>
      <c r="D395" s="8" t="s">
        <v>747</v>
      </c>
      <c r="E395" s="4" t="n">
        <v>0</v>
      </c>
      <c r="F395" s="4" t="n">
        <v>0</v>
      </c>
      <c r="G395" s="4" t="n">
        <v>4</v>
      </c>
      <c r="H395" s="4" t="n">
        <v>3</v>
      </c>
      <c r="I395" s="4" t="n">
        <v>3</v>
      </c>
      <c r="J395" s="4" t="n">
        <v>2</v>
      </c>
      <c r="K395" s="4" t="n">
        <v>5</v>
      </c>
      <c r="L395" s="4" t="n">
        <v>3</v>
      </c>
      <c r="M395" s="4" t="n">
        <v>1</v>
      </c>
      <c r="N395" s="4" t="n">
        <v>9</v>
      </c>
      <c r="O395" s="4" t="n">
        <v>2</v>
      </c>
      <c r="P395" s="4" t="n">
        <v>3</v>
      </c>
      <c r="Q395" s="4" t="n">
        <v>8</v>
      </c>
      <c r="R395" s="4" t="n">
        <v>1</v>
      </c>
      <c r="S395" s="4" t="n">
        <v>3</v>
      </c>
      <c r="T395" s="4" t="n">
        <v>6</v>
      </c>
      <c r="U395" s="4" t="n">
        <v>1</v>
      </c>
      <c r="V395" s="4" t="n">
        <v>4</v>
      </c>
      <c r="W395" s="4" t="n">
        <v>3</v>
      </c>
      <c r="X395" s="4" t="n">
        <v>6</v>
      </c>
      <c r="Y395" s="4" t="n">
        <v>1</v>
      </c>
      <c r="Z395" s="4" t="n">
        <v>4</v>
      </c>
      <c r="AA395" s="4" t="n">
        <v>3</v>
      </c>
      <c r="AB395" s="4" t="n">
        <v>0</v>
      </c>
      <c r="AC395" s="4" t="n">
        <v>0</v>
      </c>
      <c r="AD395" s="4" t="n">
        <v>0</v>
      </c>
      <c r="AE395" s="8" t="n">
        <f aca="false">COUNTIF(F395:AD395,"&lt;=0")</f>
        <v>4</v>
      </c>
    </row>
    <row r="396" customFormat="false" ht="15" hidden="false" customHeight="false" outlineLevel="0" collapsed="false">
      <c r="A396" s="8" t="s">
        <v>165</v>
      </c>
      <c r="B396" s="8" t="s">
        <v>28</v>
      </c>
      <c r="C396" s="8" t="n">
        <v>121621</v>
      </c>
      <c r="D396" s="8" t="s">
        <v>748</v>
      </c>
      <c r="E396" s="4" t="n">
        <v>0</v>
      </c>
      <c r="F396" s="4" t="n">
        <v>0</v>
      </c>
      <c r="G396" s="4" t="n">
        <v>7</v>
      </c>
      <c r="H396" s="4" t="n">
        <v>4</v>
      </c>
      <c r="I396" s="4" t="n">
        <v>6</v>
      </c>
      <c r="J396" s="4" t="n">
        <v>7</v>
      </c>
      <c r="K396" s="4" t="n">
        <v>5</v>
      </c>
      <c r="L396" s="4" t="n">
        <v>5</v>
      </c>
      <c r="M396" s="4" t="n">
        <v>2</v>
      </c>
      <c r="N396" s="4" t="n">
        <v>3</v>
      </c>
      <c r="O396" s="4" t="n">
        <v>9</v>
      </c>
      <c r="P396" s="4" t="n">
        <v>3</v>
      </c>
      <c r="Q396" s="4" t="n">
        <v>4</v>
      </c>
      <c r="R396" s="4" t="n">
        <v>5</v>
      </c>
      <c r="S396" s="4" t="n">
        <v>3</v>
      </c>
      <c r="T396" s="4" t="n">
        <v>0</v>
      </c>
      <c r="U396" s="4" t="n">
        <v>6</v>
      </c>
      <c r="V396" s="4" t="n">
        <v>4</v>
      </c>
      <c r="W396" s="4" t="n">
        <v>2</v>
      </c>
      <c r="X396" s="4" t="n">
        <v>0</v>
      </c>
      <c r="Y396" s="4" t="n">
        <v>1</v>
      </c>
      <c r="Z396" s="4" t="n">
        <v>3</v>
      </c>
      <c r="AA396" s="4" t="n">
        <v>2</v>
      </c>
      <c r="AB396" s="4" t="n">
        <v>0</v>
      </c>
      <c r="AC396" s="4" t="n">
        <v>0</v>
      </c>
      <c r="AD396" s="4" t="n">
        <v>0</v>
      </c>
      <c r="AE396" s="8" t="n">
        <f aca="false">COUNTIF(F396:AD396,"&lt;=0")</f>
        <v>6</v>
      </c>
    </row>
    <row r="397" customFormat="false" ht="15" hidden="false" customHeight="false" outlineLevel="0" collapsed="false">
      <c r="A397" s="8" t="s">
        <v>165</v>
      </c>
      <c r="B397" s="8" t="s">
        <v>28</v>
      </c>
      <c r="C397" s="8" t="n">
        <v>121622</v>
      </c>
      <c r="D397" s="8" t="s">
        <v>749</v>
      </c>
      <c r="E397" s="4" t="n">
        <v>0</v>
      </c>
      <c r="F397" s="4" t="n">
        <v>0</v>
      </c>
      <c r="G397" s="4" t="n">
        <v>5</v>
      </c>
      <c r="H397" s="4" t="n">
        <v>4</v>
      </c>
      <c r="I397" s="4" t="n">
        <v>3</v>
      </c>
      <c r="J397" s="4" t="n">
        <v>2</v>
      </c>
      <c r="K397" s="4" t="n">
        <v>2</v>
      </c>
      <c r="L397" s="4" t="n">
        <v>6</v>
      </c>
      <c r="M397" s="4" t="n">
        <v>3</v>
      </c>
      <c r="N397" s="4" t="n">
        <v>3</v>
      </c>
      <c r="O397" s="4" t="n">
        <v>4</v>
      </c>
      <c r="P397" s="4" t="n">
        <v>3</v>
      </c>
      <c r="Q397" s="4" t="n">
        <v>3</v>
      </c>
      <c r="R397" s="4" t="n">
        <v>3</v>
      </c>
      <c r="S397" s="4" t="n">
        <v>2</v>
      </c>
      <c r="T397" s="4" t="n">
        <v>5</v>
      </c>
      <c r="U397" s="4" t="n">
        <v>3</v>
      </c>
      <c r="V397" s="4" t="n">
        <v>3</v>
      </c>
      <c r="W397" s="4" t="n">
        <v>3</v>
      </c>
      <c r="X397" s="4" t="n">
        <v>2</v>
      </c>
      <c r="Y397" s="4" t="n">
        <v>3</v>
      </c>
      <c r="Z397" s="4" t="n">
        <v>4</v>
      </c>
      <c r="AA397" s="4" t="n">
        <v>4</v>
      </c>
      <c r="AB397" s="4" t="n">
        <v>0</v>
      </c>
      <c r="AC397" s="4" t="n">
        <v>4</v>
      </c>
      <c r="AD397" s="4" t="n">
        <v>0</v>
      </c>
      <c r="AE397" s="8" t="n">
        <f aca="false">COUNTIF(F397:AD397,"&lt;=0")</f>
        <v>3</v>
      </c>
    </row>
    <row r="398" customFormat="false" ht="15" hidden="false" customHeight="false" outlineLevel="0" collapsed="false">
      <c r="A398" s="8" t="s">
        <v>165</v>
      </c>
      <c r="B398" s="8" t="s">
        <v>28</v>
      </c>
      <c r="C398" s="8" t="n">
        <v>121626</v>
      </c>
      <c r="D398" s="8" t="s">
        <v>750</v>
      </c>
      <c r="E398" s="4" t="n">
        <v>0</v>
      </c>
      <c r="F398" s="4" t="n">
        <v>0</v>
      </c>
      <c r="G398" s="4" t="n">
        <v>4</v>
      </c>
      <c r="H398" s="4" t="n">
        <v>4</v>
      </c>
      <c r="I398" s="4" t="n">
        <v>5</v>
      </c>
      <c r="J398" s="4" t="n">
        <v>5</v>
      </c>
      <c r="K398" s="4" t="n">
        <v>4</v>
      </c>
      <c r="L398" s="4" t="n">
        <v>4</v>
      </c>
      <c r="M398" s="4" t="n">
        <v>3</v>
      </c>
      <c r="N398" s="4" t="n">
        <v>3</v>
      </c>
      <c r="O398" s="4" t="n">
        <v>7</v>
      </c>
      <c r="P398" s="4" t="n">
        <v>5</v>
      </c>
      <c r="Q398" s="4" t="n">
        <v>4</v>
      </c>
      <c r="R398" s="4" t="n">
        <v>3</v>
      </c>
      <c r="S398" s="4" t="n">
        <v>1</v>
      </c>
      <c r="T398" s="4" t="n">
        <v>2</v>
      </c>
      <c r="U398" s="4" t="n">
        <v>6</v>
      </c>
      <c r="V398" s="4" t="n">
        <v>3</v>
      </c>
      <c r="W398" s="4" t="n">
        <v>2</v>
      </c>
      <c r="X398" s="4" t="n">
        <v>1</v>
      </c>
      <c r="Y398" s="4" t="n">
        <v>2</v>
      </c>
      <c r="Z398" s="4" t="n">
        <v>3</v>
      </c>
      <c r="AA398" s="4" t="n">
        <v>3</v>
      </c>
      <c r="AB398" s="4" t="n">
        <v>0</v>
      </c>
      <c r="AC398" s="4" t="n">
        <v>3</v>
      </c>
      <c r="AD398" s="4" t="n">
        <v>0</v>
      </c>
      <c r="AE398" s="8" t="n">
        <f aca="false">COUNTIF(F398:AD398,"&lt;=0")</f>
        <v>3</v>
      </c>
    </row>
    <row r="399" customFormat="false" ht="15" hidden="false" customHeight="false" outlineLevel="0" collapsed="false">
      <c r="A399" s="8" t="s">
        <v>165</v>
      </c>
      <c r="B399" s="8" t="s">
        <v>28</v>
      </c>
      <c r="C399" s="8" t="n">
        <v>121625</v>
      </c>
      <c r="D399" s="8" t="s">
        <v>751</v>
      </c>
      <c r="E399" s="4" t="n">
        <v>0</v>
      </c>
      <c r="F399" s="4" t="n">
        <v>0</v>
      </c>
      <c r="G399" s="4" t="n">
        <v>3</v>
      </c>
      <c r="H399" s="4" t="n">
        <v>3</v>
      </c>
      <c r="I399" s="4" t="n">
        <v>3</v>
      </c>
      <c r="J399" s="4" t="n">
        <v>5</v>
      </c>
      <c r="K399" s="4" t="n">
        <v>3</v>
      </c>
      <c r="L399" s="4" t="n">
        <v>5</v>
      </c>
      <c r="M399" s="4" t="n">
        <v>5</v>
      </c>
      <c r="N399" s="4" t="n">
        <v>5</v>
      </c>
      <c r="O399" s="4" t="n">
        <v>6</v>
      </c>
      <c r="P399" s="4" t="n">
        <v>4</v>
      </c>
      <c r="Q399" s="4" t="n">
        <v>4</v>
      </c>
      <c r="R399" s="4" t="n">
        <v>2</v>
      </c>
      <c r="S399" s="4" t="n">
        <v>3</v>
      </c>
      <c r="T399" s="4" t="n">
        <v>3</v>
      </c>
      <c r="U399" s="4" t="n">
        <v>3</v>
      </c>
      <c r="V399" s="4" t="n">
        <v>5</v>
      </c>
      <c r="W399" s="4" t="n">
        <v>2</v>
      </c>
      <c r="X399" s="4" t="n">
        <v>1</v>
      </c>
      <c r="Y399" s="4" t="n">
        <v>4</v>
      </c>
      <c r="Z399" s="4" t="n">
        <v>4</v>
      </c>
      <c r="AA399" s="4" t="n">
        <v>2</v>
      </c>
      <c r="AB399" s="4" t="n">
        <v>0</v>
      </c>
      <c r="AC399" s="4" t="n">
        <v>2</v>
      </c>
      <c r="AD399" s="4" t="n">
        <v>0</v>
      </c>
      <c r="AE399" s="8" t="n">
        <f aca="false">COUNTIF(F399:AD399,"&lt;=0")</f>
        <v>3</v>
      </c>
    </row>
    <row r="400" customFormat="false" ht="15" hidden="false" customHeight="false" outlineLevel="0" collapsed="false">
      <c r="A400" s="8" t="s">
        <v>165</v>
      </c>
      <c r="B400" s="8" t="s">
        <v>28</v>
      </c>
      <c r="C400" s="8" t="n">
        <v>121623</v>
      </c>
      <c r="D400" s="8" t="s">
        <v>752</v>
      </c>
      <c r="E400" s="4" t="n">
        <v>0</v>
      </c>
      <c r="F400" s="4" t="n">
        <v>0</v>
      </c>
      <c r="G400" s="4" t="n">
        <v>3</v>
      </c>
      <c r="H400" s="4" t="n">
        <v>4</v>
      </c>
      <c r="I400" s="4" t="n">
        <v>3</v>
      </c>
      <c r="J400" s="4" t="n">
        <v>3</v>
      </c>
      <c r="K400" s="4" t="n">
        <v>3</v>
      </c>
      <c r="L400" s="4" t="n">
        <v>4</v>
      </c>
      <c r="M400" s="4" t="n">
        <v>5</v>
      </c>
      <c r="N400" s="4" t="n">
        <v>2</v>
      </c>
      <c r="O400" s="4" t="n">
        <v>6</v>
      </c>
      <c r="P400" s="4" t="n">
        <v>3</v>
      </c>
      <c r="Q400" s="4" t="n">
        <v>5</v>
      </c>
      <c r="R400" s="4" t="n">
        <v>7</v>
      </c>
      <c r="S400" s="4" t="n">
        <v>5</v>
      </c>
      <c r="T400" s="4" t="n">
        <v>1</v>
      </c>
      <c r="U400" s="4" t="n">
        <v>4</v>
      </c>
      <c r="V400" s="4" t="n">
        <v>1</v>
      </c>
      <c r="W400" s="4" t="n">
        <v>3</v>
      </c>
      <c r="X400" s="4" t="n">
        <v>2</v>
      </c>
      <c r="Y400" s="4" t="n">
        <v>0</v>
      </c>
      <c r="Z400" s="4" t="n">
        <v>3</v>
      </c>
      <c r="AA400" s="4" t="n">
        <v>2</v>
      </c>
      <c r="AB400" s="4" t="n">
        <v>0</v>
      </c>
      <c r="AC400" s="4" t="n">
        <v>4</v>
      </c>
      <c r="AD400" s="4" t="n">
        <v>0</v>
      </c>
      <c r="AE400" s="8" t="n">
        <f aca="false">COUNTIF(F400:AD400,"&lt;=0")</f>
        <v>4</v>
      </c>
    </row>
    <row r="401" customFormat="false" ht="15" hidden="false" customHeight="false" outlineLevel="0" collapsed="false">
      <c r="A401" s="8" t="s">
        <v>165</v>
      </c>
      <c r="B401" s="8" t="s">
        <v>28</v>
      </c>
      <c r="C401" s="8" t="n">
        <v>121620</v>
      </c>
      <c r="D401" s="8" t="s">
        <v>753</v>
      </c>
      <c r="E401" s="4" t="n">
        <v>0</v>
      </c>
      <c r="F401" s="4" t="n">
        <v>0</v>
      </c>
      <c r="G401" s="4" t="n">
        <v>5</v>
      </c>
      <c r="H401" s="4" t="n">
        <v>4</v>
      </c>
      <c r="I401" s="4" t="n">
        <v>5</v>
      </c>
      <c r="J401" s="4" t="n">
        <v>3</v>
      </c>
      <c r="K401" s="4" t="n">
        <v>5</v>
      </c>
      <c r="L401" s="4" t="n">
        <v>5</v>
      </c>
      <c r="M401" s="4" t="n">
        <v>4</v>
      </c>
      <c r="N401" s="4" t="n">
        <v>3</v>
      </c>
      <c r="O401" s="4" t="n">
        <v>4</v>
      </c>
      <c r="P401" s="4" t="n">
        <v>3</v>
      </c>
      <c r="Q401" s="4" t="n">
        <v>3</v>
      </c>
      <c r="R401" s="4" t="n">
        <v>4</v>
      </c>
      <c r="S401" s="4" t="n">
        <v>3</v>
      </c>
      <c r="T401" s="4" t="n">
        <v>3</v>
      </c>
      <c r="U401" s="4" t="n">
        <v>3</v>
      </c>
      <c r="V401" s="4" t="n">
        <v>3</v>
      </c>
      <c r="W401" s="4" t="n">
        <v>1</v>
      </c>
      <c r="X401" s="4" t="n">
        <v>2</v>
      </c>
      <c r="Y401" s="4" t="n">
        <v>3</v>
      </c>
      <c r="Z401" s="4" t="n">
        <v>3</v>
      </c>
      <c r="AA401" s="4" t="n">
        <v>3</v>
      </c>
      <c r="AB401" s="4" t="n">
        <v>0</v>
      </c>
      <c r="AC401" s="4" t="n">
        <v>5</v>
      </c>
      <c r="AD401" s="4" t="n">
        <v>0</v>
      </c>
      <c r="AE401" s="8" t="n">
        <f aca="false">COUNTIF(F401:AD401,"&lt;=0")</f>
        <v>3</v>
      </c>
    </row>
    <row r="402" customFormat="false" ht="15" hidden="false" customHeight="false" outlineLevel="0" collapsed="false">
      <c r="A402" s="8" t="s">
        <v>220</v>
      </c>
      <c r="B402" s="8" t="s">
        <v>28</v>
      </c>
      <c r="C402" s="8" t="n">
        <v>231042</v>
      </c>
      <c r="D402" s="8" t="s">
        <v>754</v>
      </c>
      <c r="E402" s="4" t="n">
        <v>0</v>
      </c>
      <c r="F402" s="4" t="n">
        <v>0</v>
      </c>
      <c r="G402" s="4" t="n">
        <v>26</v>
      </c>
      <c r="H402" s="4" t="n">
        <v>4</v>
      </c>
      <c r="I402" s="4" t="n">
        <v>0</v>
      </c>
      <c r="J402" s="4" t="n">
        <v>0</v>
      </c>
      <c r="K402" s="4" t="n">
        <v>24</v>
      </c>
      <c r="L402" s="4" t="n">
        <v>15</v>
      </c>
      <c r="M402" s="4" t="n">
        <v>20</v>
      </c>
      <c r="N402" s="4" t="n">
        <v>1</v>
      </c>
      <c r="O402" s="4" t="n">
        <v>0</v>
      </c>
      <c r="P402" s="4" t="n">
        <v>23</v>
      </c>
      <c r="Q402" s="4" t="n">
        <v>-2</v>
      </c>
      <c r="R402" s="4" t="n">
        <v>21</v>
      </c>
      <c r="S402" s="4" t="n">
        <v>3</v>
      </c>
      <c r="T402" s="4" t="n">
        <v>10</v>
      </c>
      <c r="U402" s="4" t="n">
        <v>28</v>
      </c>
      <c r="V402" s="4" t="n">
        <v>0</v>
      </c>
      <c r="W402" s="4" t="n">
        <v>16</v>
      </c>
      <c r="X402" s="4" t="n">
        <v>19</v>
      </c>
      <c r="Y402" s="4" t="n">
        <v>1</v>
      </c>
      <c r="Z402" s="4" t="n">
        <v>20</v>
      </c>
      <c r="AA402" s="4" t="n">
        <v>5</v>
      </c>
      <c r="AB402" s="4" t="n">
        <v>0</v>
      </c>
      <c r="AC402" s="4" t="n">
        <v>0</v>
      </c>
      <c r="AD402" s="4" t="n">
        <v>0</v>
      </c>
      <c r="AE402" s="8" t="n">
        <f aca="false">COUNTIF(F402:AD402,"&lt;=0")</f>
        <v>9</v>
      </c>
    </row>
    <row r="403" customFormat="false" ht="15" hidden="false" customHeight="false" outlineLevel="0" collapsed="false">
      <c r="A403" s="8" t="s">
        <v>203</v>
      </c>
      <c r="B403" s="8" t="s">
        <v>31</v>
      </c>
      <c r="C403" s="8" t="n">
        <v>151596</v>
      </c>
      <c r="D403" s="8" t="s">
        <v>755</v>
      </c>
      <c r="E403" s="4" t="n">
        <v>0</v>
      </c>
      <c r="F403" s="4" t="n">
        <v>0</v>
      </c>
      <c r="G403" s="4" t="n">
        <v>84</v>
      </c>
      <c r="H403" s="4" t="n">
        <v>51</v>
      </c>
      <c r="I403" s="4" t="n">
        <v>55</v>
      </c>
      <c r="J403" s="4" t="n">
        <v>13</v>
      </c>
      <c r="K403" s="4" t="n">
        <v>55</v>
      </c>
      <c r="L403" s="4" t="n">
        <v>63</v>
      </c>
      <c r="M403" s="4" t="n">
        <v>53</v>
      </c>
      <c r="N403" s="4" t="n">
        <v>26</v>
      </c>
      <c r="O403" s="4" t="n">
        <v>163</v>
      </c>
      <c r="P403" s="4" t="n">
        <v>51</v>
      </c>
      <c r="Q403" s="4" t="n">
        <v>19</v>
      </c>
      <c r="R403" s="4" t="n">
        <v>95</v>
      </c>
      <c r="S403" s="4" t="n">
        <v>83</v>
      </c>
      <c r="T403" s="4" t="n">
        <v>58</v>
      </c>
      <c r="U403" s="4" t="n">
        <v>64</v>
      </c>
      <c r="V403" s="4" t="n">
        <v>16</v>
      </c>
      <c r="W403" s="4" t="n">
        <v>35</v>
      </c>
      <c r="X403" s="4" t="n">
        <v>37</v>
      </c>
      <c r="Y403" s="4" t="n">
        <v>81</v>
      </c>
      <c r="Z403" s="4" t="n">
        <v>43</v>
      </c>
      <c r="AA403" s="4" t="n">
        <v>30</v>
      </c>
      <c r="AB403" s="4" t="n">
        <v>0</v>
      </c>
      <c r="AC403" s="4" t="n">
        <v>1</v>
      </c>
      <c r="AD403" s="4" t="n">
        <v>3</v>
      </c>
      <c r="AE403" s="8" t="n">
        <f aca="false">COUNTIF(F403:AD403,"&lt;=0")</f>
        <v>2</v>
      </c>
    </row>
    <row r="404" customFormat="false" ht="15" hidden="false" customHeight="false" outlineLevel="0" collapsed="false">
      <c r="A404" s="8" t="s">
        <v>231</v>
      </c>
      <c r="B404" s="8" t="s">
        <v>31</v>
      </c>
      <c r="C404" s="8" t="n">
        <v>152192</v>
      </c>
      <c r="D404" s="8" t="s">
        <v>756</v>
      </c>
      <c r="E404" s="4" t="n">
        <v>0</v>
      </c>
      <c r="F404" s="4" t="n">
        <v>0</v>
      </c>
      <c r="G404" s="4" t="n">
        <v>45</v>
      </c>
      <c r="H404" s="4" t="n">
        <v>23</v>
      </c>
      <c r="I404" s="4" t="n">
        <v>16</v>
      </c>
      <c r="J404" s="4" t="n">
        <v>44</v>
      </c>
      <c r="K404" s="4" t="n">
        <v>39</v>
      </c>
      <c r="L404" s="4" t="n">
        <v>35</v>
      </c>
      <c r="M404" s="4" t="n">
        <v>23</v>
      </c>
      <c r="N404" s="4" t="n">
        <v>28</v>
      </c>
      <c r="O404" s="4" t="n">
        <v>35</v>
      </c>
      <c r="P404" s="4" t="n">
        <v>11</v>
      </c>
      <c r="Q404" s="4" t="n">
        <v>23</v>
      </c>
      <c r="R404" s="4" t="n">
        <v>37</v>
      </c>
      <c r="S404" s="4" t="n">
        <v>21</v>
      </c>
      <c r="T404" s="4" t="n">
        <v>14</v>
      </c>
      <c r="U404" s="4" t="n">
        <v>52</v>
      </c>
      <c r="V404" s="4" t="n">
        <v>37</v>
      </c>
      <c r="W404" s="4" t="n">
        <v>27</v>
      </c>
      <c r="X404" s="4" t="n">
        <v>28</v>
      </c>
      <c r="Y404" s="4" t="n">
        <v>24</v>
      </c>
      <c r="Z404" s="4" t="n">
        <v>28</v>
      </c>
      <c r="AA404" s="4" t="n">
        <v>40</v>
      </c>
      <c r="AB404" s="4" t="n">
        <v>0</v>
      </c>
      <c r="AC404" s="4" t="n">
        <v>22</v>
      </c>
      <c r="AD404" s="4" t="n">
        <v>12</v>
      </c>
      <c r="AE404" s="8" t="n">
        <f aca="false">COUNTIF(F404:AD404,"&lt;=0")</f>
        <v>2</v>
      </c>
    </row>
    <row r="405" customFormat="false" ht="15" hidden="false" customHeight="false" outlineLevel="0" collapsed="false">
      <c r="A405" s="8" t="s">
        <v>191</v>
      </c>
      <c r="B405" s="8" t="s">
        <v>31</v>
      </c>
      <c r="C405" s="8" t="n">
        <v>150366</v>
      </c>
      <c r="D405" s="8" t="s">
        <v>757</v>
      </c>
      <c r="E405" s="4" t="n">
        <v>0</v>
      </c>
      <c r="F405" s="4" t="n">
        <v>6</v>
      </c>
      <c r="G405" s="4" t="n">
        <v>47</v>
      </c>
      <c r="H405" s="4" t="n">
        <v>66</v>
      </c>
      <c r="I405" s="4" t="n">
        <v>24</v>
      </c>
      <c r="J405" s="4" t="n">
        <v>43</v>
      </c>
      <c r="K405" s="4" t="n">
        <v>23</v>
      </c>
      <c r="L405" s="4" t="n">
        <v>34</v>
      </c>
      <c r="M405" s="4" t="n">
        <v>10</v>
      </c>
      <c r="N405" s="4" t="n">
        <v>6</v>
      </c>
      <c r="O405" s="4" t="n">
        <v>9</v>
      </c>
      <c r="P405" s="4" t="n">
        <v>23</v>
      </c>
      <c r="Q405" s="4" t="n">
        <v>-8</v>
      </c>
      <c r="R405" s="4" t="n">
        <v>6</v>
      </c>
      <c r="S405" s="4" t="n">
        <v>10</v>
      </c>
      <c r="T405" s="4" t="n">
        <v>9</v>
      </c>
      <c r="U405" s="4" t="n">
        <v>33</v>
      </c>
      <c r="V405" s="4" t="n">
        <v>20</v>
      </c>
      <c r="W405" s="4" t="n">
        <v>14</v>
      </c>
      <c r="X405" s="4" t="n">
        <v>23</v>
      </c>
      <c r="Y405" s="4" t="n">
        <v>11</v>
      </c>
      <c r="Z405" s="4" t="n">
        <v>6</v>
      </c>
      <c r="AA405" s="4" t="n">
        <v>25</v>
      </c>
      <c r="AB405" s="4" t="n">
        <v>0</v>
      </c>
      <c r="AC405" s="4" t="n">
        <v>9</v>
      </c>
      <c r="AD405" s="4" t="n">
        <v>0</v>
      </c>
      <c r="AE405" s="8" t="n">
        <f aca="false">COUNTIF(F405:AD405,"&lt;=0")</f>
        <v>3</v>
      </c>
    </row>
    <row r="406" customFormat="false" ht="15" hidden="false" customHeight="false" outlineLevel="0" collapsed="false">
      <c r="A406" s="8" t="s">
        <v>191</v>
      </c>
      <c r="B406" s="8" t="s">
        <v>31</v>
      </c>
      <c r="C406" s="8" t="n">
        <v>152413</v>
      </c>
      <c r="D406" s="8" t="s">
        <v>758</v>
      </c>
      <c r="E406" s="4" t="n">
        <v>0</v>
      </c>
      <c r="F406" s="4" t="n">
        <v>0</v>
      </c>
      <c r="G406" s="4" t="n">
        <v>0</v>
      </c>
      <c r="H406" s="4" t="n">
        <v>3</v>
      </c>
      <c r="I406" s="4" t="n">
        <v>15</v>
      </c>
      <c r="J406" s="4" t="n">
        <v>7</v>
      </c>
      <c r="K406" s="4" t="n">
        <v>16</v>
      </c>
      <c r="L406" s="4" t="n">
        <v>7</v>
      </c>
      <c r="M406" s="4" t="n">
        <v>4</v>
      </c>
      <c r="N406" s="4" t="n">
        <v>5</v>
      </c>
      <c r="O406" s="4" t="n">
        <v>2</v>
      </c>
      <c r="P406" s="4" t="n">
        <v>8</v>
      </c>
      <c r="Q406" s="4" t="n">
        <v>0</v>
      </c>
      <c r="R406" s="4" t="n">
        <v>15</v>
      </c>
      <c r="S406" s="4" t="n">
        <v>4</v>
      </c>
      <c r="T406" s="4" t="n">
        <v>3</v>
      </c>
      <c r="U406" s="4" t="n">
        <v>12</v>
      </c>
      <c r="V406" s="4" t="n">
        <v>4</v>
      </c>
      <c r="W406" s="4" t="n">
        <v>5</v>
      </c>
      <c r="X406" s="4" t="n">
        <v>7</v>
      </c>
      <c r="Y406" s="4" t="n">
        <v>11</v>
      </c>
      <c r="Z406" s="4" t="n">
        <v>8</v>
      </c>
      <c r="AA406" s="4" t="n">
        <v>0</v>
      </c>
      <c r="AB406" s="4" t="n">
        <v>0</v>
      </c>
      <c r="AC406" s="4" t="n">
        <v>5</v>
      </c>
      <c r="AD406" s="4" t="n">
        <v>3</v>
      </c>
      <c r="AE406" s="8" t="n">
        <f aca="false">COUNTIF(F406:AD406,"&lt;=0")</f>
        <v>5</v>
      </c>
    </row>
    <row r="407" customFormat="false" ht="15" hidden="false" customHeight="false" outlineLevel="0" collapsed="false">
      <c r="A407" s="8" t="s">
        <v>193</v>
      </c>
      <c r="B407" s="8" t="s">
        <v>31</v>
      </c>
      <c r="C407" s="8" t="n">
        <v>173708</v>
      </c>
      <c r="D407" s="8" t="s">
        <v>759</v>
      </c>
      <c r="E407" s="4" t="n">
        <v>0</v>
      </c>
      <c r="F407" s="4" t="n">
        <v>2</v>
      </c>
      <c r="G407" s="4" t="n">
        <v>12</v>
      </c>
      <c r="H407" s="4" t="n">
        <v>11</v>
      </c>
      <c r="I407" s="4" t="n">
        <v>7</v>
      </c>
      <c r="J407" s="4" t="n">
        <v>9</v>
      </c>
      <c r="K407" s="4" t="n">
        <v>12</v>
      </c>
      <c r="L407" s="4" t="n">
        <v>15</v>
      </c>
      <c r="M407" s="4" t="n">
        <v>11</v>
      </c>
      <c r="N407" s="4" t="n">
        <v>8</v>
      </c>
      <c r="O407" s="4" t="n">
        <v>10</v>
      </c>
      <c r="P407" s="4" t="n">
        <v>14</v>
      </c>
      <c r="Q407" s="4" t="n">
        <v>8</v>
      </c>
      <c r="R407" s="4" t="n">
        <v>11</v>
      </c>
      <c r="S407" s="4" t="n">
        <v>13</v>
      </c>
      <c r="T407" s="4" t="n">
        <v>11</v>
      </c>
      <c r="U407" s="4" t="n">
        <v>8</v>
      </c>
      <c r="V407" s="4" t="n">
        <v>8</v>
      </c>
      <c r="W407" s="4" t="n">
        <v>11</v>
      </c>
      <c r="X407" s="4" t="n">
        <v>13</v>
      </c>
      <c r="Y407" s="4" t="n">
        <v>8</v>
      </c>
      <c r="Z407" s="4" t="n">
        <v>10</v>
      </c>
      <c r="AA407" s="4" t="n">
        <v>9</v>
      </c>
      <c r="AB407" s="4" t="n">
        <v>0</v>
      </c>
      <c r="AC407" s="4" t="n">
        <v>13</v>
      </c>
      <c r="AD407" s="4" t="n">
        <v>0</v>
      </c>
      <c r="AE407" s="8" t="n">
        <f aca="false">COUNTIF(F407:AD407,"&lt;=0")</f>
        <v>2</v>
      </c>
    </row>
    <row r="408" customFormat="false" ht="15" hidden="false" customHeight="false" outlineLevel="0" collapsed="false">
      <c r="A408" s="8" t="s">
        <v>197</v>
      </c>
      <c r="B408" s="8" t="s">
        <v>31</v>
      </c>
      <c r="C408" s="8" t="n">
        <v>151957</v>
      </c>
      <c r="D408" s="8" t="s">
        <v>760</v>
      </c>
      <c r="E408" s="4" t="n">
        <v>0</v>
      </c>
      <c r="F408" s="4" t="n">
        <v>0</v>
      </c>
      <c r="G408" s="4" t="n">
        <v>8</v>
      </c>
      <c r="H408" s="4" t="n">
        <v>9</v>
      </c>
      <c r="I408" s="4" t="n">
        <v>12</v>
      </c>
      <c r="J408" s="4" t="n">
        <v>8</v>
      </c>
      <c r="K408" s="4" t="n">
        <v>18</v>
      </c>
      <c r="L408" s="4" t="n">
        <v>13</v>
      </c>
      <c r="M408" s="4" t="n">
        <v>6</v>
      </c>
      <c r="N408" s="4" t="n">
        <v>9</v>
      </c>
      <c r="O408" s="4" t="n">
        <v>12</v>
      </c>
      <c r="P408" s="4" t="n">
        <v>10</v>
      </c>
      <c r="Q408" s="4" t="n">
        <v>9</v>
      </c>
      <c r="R408" s="4" t="n">
        <v>9</v>
      </c>
      <c r="S408" s="4" t="n">
        <v>11</v>
      </c>
      <c r="T408" s="4" t="n">
        <v>11</v>
      </c>
      <c r="U408" s="4" t="n">
        <v>11</v>
      </c>
      <c r="V408" s="4" t="n">
        <v>11</v>
      </c>
      <c r="W408" s="4" t="n">
        <v>6</v>
      </c>
      <c r="X408" s="4" t="n">
        <v>10</v>
      </c>
      <c r="Y408" s="4" t="n">
        <v>9</v>
      </c>
      <c r="Z408" s="4" t="n">
        <v>9</v>
      </c>
      <c r="AA408" s="4" t="n">
        <v>9</v>
      </c>
      <c r="AB408" s="4" t="n">
        <v>0</v>
      </c>
      <c r="AC408" s="4" t="n">
        <v>12</v>
      </c>
      <c r="AD408" s="4" t="n">
        <v>0</v>
      </c>
      <c r="AE408" s="8" t="n">
        <f aca="false">COUNTIF(F408:AD408,"&lt;=0")</f>
        <v>3</v>
      </c>
    </row>
    <row r="409" customFormat="false" ht="15" hidden="false" customHeight="false" outlineLevel="0" collapsed="false">
      <c r="A409" s="8" t="s">
        <v>249</v>
      </c>
      <c r="B409" s="8" t="s">
        <v>31</v>
      </c>
      <c r="C409" s="8" t="n">
        <v>152336</v>
      </c>
      <c r="D409" s="8" t="s">
        <v>761</v>
      </c>
      <c r="E409" s="4" t="n">
        <v>0</v>
      </c>
      <c r="F409" s="4" t="n">
        <v>0</v>
      </c>
      <c r="G409" s="4" t="n">
        <v>0</v>
      </c>
      <c r="H409" s="4" t="n">
        <v>0</v>
      </c>
      <c r="I409" s="4" t="n">
        <v>0</v>
      </c>
      <c r="J409" s="4" t="n">
        <v>0</v>
      </c>
      <c r="K409" s="4" t="n">
        <v>0</v>
      </c>
      <c r="L409" s="4" t="n">
        <v>0</v>
      </c>
      <c r="M409" s="4" t="n">
        <v>-8</v>
      </c>
      <c r="N409" s="4" t="n">
        <v>0</v>
      </c>
      <c r="O409" s="4" t="n">
        <v>12</v>
      </c>
      <c r="P409" s="4" t="n">
        <v>7</v>
      </c>
      <c r="Q409" s="4" t="n">
        <v>0</v>
      </c>
      <c r="R409" s="4" t="n">
        <v>0</v>
      </c>
      <c r="S409" s="4" t="n">
        <v>1</v>
      </c>
      <c r="T409" s="4" t="n">
        <v>0</v>
      </c>
      <c r="U409" s="4" t="n">
        <v>3</v>
      </c>
      <c r="V409" s="4" t="n">
        <v>0</v>
      </c>
      <c r="W409" s="4" t="n">
        <v>5</v>
      </c>
      <c r="X409" s="4" t="n">
        <v>0</v>
      </c>
      <c r="Y409" s="4" t="n">
        <v>0</v>
      </c>
      <c r="Z409" s="4" t="n">
        <v>27</v>
      </c>
      <c r="AA409" s="4" t="n">
        <v>0</v>
      </c>
      <c r="AB409" s="4" t="n">
        <v>0</v>
      </c>
      <c r="AC409" s="4" t="n">
        <v>0</v>
      </c>
      <c r="AD409" s="4" t="n">
        <v>0</v>
      </c>
      <c r="AE409" s="8" t="n">
        <f aca="false">COUNTIF(F409:AD409,"&lt;=0")</f>
        <v>19</v>
      </c>
    </row>
    <row r="410" customFormat="false" ht="15" hidden="false" customHeight="false" outlineLevel="0" collapsed="false">
      <c r="D410" s="13" t="s">
        <v>762</v>
      </c>
      <c r="F410" s="13" t="n">
        <f aca="false">COUNTIF(F4:F409,"&lt;=0")</f>
        <v>227</v>
      </c>
      <c r="G410" s="13" t="n">
        <f aca="false">COUNTIF(G4:G409,"&lt;=0")</f>
        <v>41</v>
      </c>
      <c r="H410" s="13" t="n">
        <f aca="false">COUNTIF(H4:H409,"&lt;=0")</f>
        <v>53</v>
      </c>
      <c r="I410" s="13" t="n">
        <f aca="false">COUNTIF(I4:I409,"&lt;=0")</f>
        <v>47</v>
      </c>
      <c r="J410" s="13" t="n">
        <f aca="false">COUNTIF(J4:J409,"&lt;=0")</f>
        <v>56</v>
      </c>
      <c r="K410" s="13" t="n">
        <f aca="false">COUNTIF(K4:K409,"&lt;=0")</f>
        <v>44</v>
      </c>
      <c r="L410" s="13" t="n">
        <f aca="false">COUNTIF(L4:L409,"&lt;=0")</f>
        <v>64</v>
      </c>
      <c r="M410" s="13" t="n">
        <f aca="false">COUNTIF(M4:M409,"&lt;=0")</f>
        <v>57</v>
      </c>
      <c r="N410" s="13" t="n">
        <f aca="false">COUNTIF(N4:N409,"&lt;=0")</f>
        <v>69</v>
      </c>
      <c r="O410" s="13" t="n">
        <f aca="false">COUNTIF(O4:O409,"&lt;=0")</f>
        <v>54</v>
      </c>
      <c r="P410" s="13" t="n">
        <f aca="false">COUNTIF(P4:P409,"&lt;=0")</f>
        <v>56</v>
      </c>
      <c r="Q410" s="13" t="n">
        <f aca="false">COUNTIF(Q4:Q409,"&lt;=0")</f>
        <v>60</v>
      </c>
      <c r="R410" s="13" t="n">
        <f aca="false">COUNTIF(R4:R409,"&lt;=0")</f>
        <v>68</v>
      </c>
      <c r="S410" s="13" t="n">
        <f aca="false">COUNTIF(S4:S409,"&lt;=0")</f>
        <v>89</v>
      </c>
      <c r="T410" s="13" t="n">
        <f aca="false">COUNTIF(T4:T409,"&lt;=0")</f>
        <v>49</v>
      </c>
      <c r="U410" s="13" t="n">
        <f aca="false">COUNTIF(U4:U409,"&lt;=0")</f>
        <v>44</v>
      </c>
      <c r="V410" s="13" t="n">
        <f aca="false">COUNTIF(V4:V409,"&lt;=0")</f>
        <v>57</v>
      </c>
      <c r="W410" s="13" t="n">
        <f aca="false">COUNTIF(W4:W409,"&lt;=0")</f>
        <v>95</v>
      </c>
      <c r="X410" s="13" t="n">
        <f aca="false">COUNTIF(X4:X409,"&lt;=0")</f>
        <v>77</v>
      </c>
      <c r="Y410" s="13" t="n">
        <f aca="false">COUNTIF(Y4:Y409,"&lt;=0")</f>
        <v>82</v>
      </c>
      <c r="Z410" s="13" t="n">
        <f aca="false">COUNTIF(Z4:Z409,"&lt;=0")</f>
        <v>44</v>
      </c>
      <c r="AA410" s="13" t="n">
        <f aca="false">COUNTIF(AA4:AA409,"&lt;=0")</f>
        <v>82</v>
      </c>
      <c r="AB410" s="13" t="n">
        <f aca="false">COUNTIF(AB4:AB409,"&lt;=0")</f>
        <v>406</v>
      </c>
      <c r="AC410" s="13" t="n">
        <f aca="false">COUNTIF(AC4:AC409,"&lt;=0")</f>
        <v>70</v>
      </c>
      <c r="AD410" s="13" t="n">
        <f aca="false">COUNTIF(AD4:AD409,"&lt;=0")</f>
        <v>309</v>
      </c>
    </row>
    <row r="411" customFormat="false" ht="15" hidden="false" customHeight="false" outlineLevel="0" collapsed="false">
      <c r="D411" s="13" t="s">
        <v>763</v>
      </c>
      <c r="F411" s="20" t="n">
        <f aca="false">1-F410/406</f>
        <v>0.440886699507389</v>
      </c>
      <c r="G411" s="20" t="n">
        <f aca="false">1-G410/406</f>
        <v>0.899014778325123</v>
      </c>
      <c r="H411" s="20" t="n">
        <f aca="false">1-H410/406</f>
        <v>0.869458128078818</v>
      </c>
      <c r="I411" s="20" t="n">
        <f aca="false">1-I410/406</f>
        <v>0.88423645320197</v>
      </c>
      <c r="J411" s="20" t="n">
        <f aca="false">1-J410/406</f>
        <v>0.862068965517241</v>
      </c>
      <c r="K411" s="20" t="n">
        <f aca="false">1-K410/406</f>
        <v>0.891625615763547</v>
      </c>
      <c r="L411" s="20" t="n">
        <f aca="false">1-L410/406</f>
        <v>0.842364532019704</v>
      </c>
      <c r="M411" s="20" t="n">
        <f aca="false">1-M410/406</f>
        <v>0.859605911330049</v>
      </c>
      <c r="N411" s="20" t="n">
        <f aca="false">1-N410/406</f>
        <v>0.830049261083744</v>
      </c>
      <c r="O411" s="20" t="n">
        <f aca="false">1-O410/406</f>
        <v>0.866995073891626</v>
      </c>
      <c r="P411" s="20" t="n">
        <f aca="false">1-P410/406</f>
        <v>0.862068965517241</v>
      </c>
      <c r="Q411" s="20" t="n">
        <f aca="false">1-Q410/406</f>
        <v>0.852216748768473</v>
      </c>
      <c r="R411" s="20" t="n">
        <f aca="false">1-R410/406</f>
        <v>0.832512315270936</v>
      </c>
      <c r="S411" s="20" t="n">
        <f aca="false">1-S410/406</f>
        <v>0.780788177339902</v>
      </c>
      <c r="T411" s="20" t="n">
        <f aca="false">1-T410/406</f>
        <v>0.879310344827586</v>
      </c>
      <c r="U411" s="20" t="n">
        <f aca="false">1-U410/406</f>
        <v>0.891625615763547</v>
      </c>
      <c r="V411" s="20" t="n">
        <f aca="false">1-V410/406</f>
        <v>0.859605911330049</v>
      </c>
      <c r="W411" s="20" t="n">
        <f aca="false">1-W410/406</f>
        <v>0.766009852216749</v>
      </c>
      <c r="X411" s="20" t="n">
        <f aca="false">1-X410/406</f>
        <v>0.810344827586207</v>
      </c>
      <c r="Y411" s="20" t="n">
        <f aca="false">1-Y410/406</f>
        <v>0.798029556650246</v>
      </c>
      <c r="Z411" s="20" t="n">
        <f aca="false">1-Z410/406</f>
        <v>0.891625615763547</v>
      </c>
      <c r="AA411" s="20" t="n">
        <f aca="false">1-AA410/406</f>
        <v>0.798029556650246</v>
      </c>
      <c r="AB411" s="20" t="n">
        <f aca="false">1-AB410/406</f>
        <v>0</v>
      </c>
      <c r="AC411" s="20" t="n">
        <f aca="false">1-AC410/406</f>
        <v>0.827586206896552</v>
      </c>
      <c r="AD411" s="20" t="n">
        <f aca="false">1-AD410/406</f>
        <v>0.238916256157635</v>
      </c>
    </row>
  </sheetData>
  <conditionalFormatting sqref="F4:AD409">
    <cfRule type="cellIs" priority="2" operator="lessThanOrEqual" aboveAverage="0" equalAverage="0" bottom="0" percent="0" rank="0" text="" dxfId="0">
      <formula>0</formula>
    </cfRule>
  </conditionalFormatting>
  <conditionalFormatting sqref="F411:AD411">
    <cfRule type="cellIs" priority="3" operator="lessThan" aboveAverage="0" equalAverage="0" bottom="0" percent="0" rank="0" text="" dxfId="0">
      <formula>0.8</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9"/>
    <col collapsed="false" customWidth="true" hidden="false" outlineLevel="0" max="4" min="4" style="0" width="46"/>
    <col collapsed="false" customWidth="true" hidden="false" outlineLevel="0" max="5" min="5" style="0" width="18"/>
    <col collapsed="false" customWidth="true" hidden="false" outlineLevel="0" max="6" min="6" style="0" width="50"/>
    <col collapsed="false" customWidth="true" hidden="false" outlineLevel="0" max="7" min="7" style="0" width="10"/>
  </cols>
  <sheetData>
    <row r="1" customFormat="false" ht="42" hidden="false" customHeight="true" outlineLevel="0" collapsed="false">
      <c r="A1" s="7" t="s">
        <v>38</v>
      </c>
      <c r="B1" s="7" t="s">
        <v>10</v>
      </c>
      <c r="C1" s="7" t="s">
        <v>269</v>
      </c>
      <c r="D1" s="7" t="s">
        <v>270</v>
      </c>
      <c r="E1" s="7" t="s">
        <v>764</v>
      </c>
      <c r="F1" s="7" t="s">
        <v>39</v>
      </c>
      <c r="G1" s="7" t="s">
        <v>765</v>
      </c>
    </row>
    <row r="2" customFormat="false" ht="15" hidden="false" customHeight="false" outlineLevel="0" collapsed="false">
      <c r="A2" s="8" t="s">
        <v>97</v>
      </c>
      <c r="B2" s="8" t="s">
        <v>27</v>
      </c>
      <c r="C2" s="8" t="n">
        <v>154140</v>
      </c>
      <c r="D2" s="8" t="s">
        <v>766</v>
      </c>
      <c r="E2" s="8" t="s">
        <v>767</v>
      </c>
      <c r="F2" s="8" t="s">
        <v>98</v>
      </c>
      <c r="G2" s="8" t="s">
        <v>768</v>
      </c>
    </row>
    <row r="3" customFormat="false" ht="15" hidden="false" customHeight="false" outlineLevel="0" collapsed="false">
      <c r="A3" s="8" t="s">
        <v>235</v>
      </c>
      <c r="B3" s="8" t="s">
        <v>24</v>
      </c>
      <c r="C3" s="8" t="n">
        <v>173649</v>
      </c>
      <c r="D3" s="8" t="s">
        <v>769</v>
      </c>
      <c r="E3" s="8" t="s">
        <v>770</v>
      </c>
      <c r="F3" s="8" t="s">
        <v>236</v>
      </c>
      <c r="G3" s="8" t="s">
        <v>768</v>
      </c>
    </row>
    <row r="4" customFormat="false" ht="15" hidden="false" customHeight="false" outlineLevel="0" collapsed="false">
      <c r="A4" s="8" t="s">
        <v>235</v>
      </c>
      <c r="B4" s="8" t="s">
        <v>24</v>
      </c>
      <c r="C4" s="8" t="n">
        <v>173650</v>
      </c>
      <c r="D4" s="8" t="s">
        <v>771</v>
      </c>
      <c r="E4" s="8" t="s">
        <v>770</v>
      </c>
      <c r="F4" s="8" t="s">
        <v>236</v>
      </c>
      <c r="G4" s="8" t="s">
        <v>768</v>
      </c>
    </row>
    <row r="5" customFormat="false" ht="15" hidden="false" customHeight="false" outlineLevel="0" collapsed="false">
      <c r="A5" s="8" t="s">
        <v>235</v>
      </c>
      <c r="B5" s="8" t="s">
        <v>24</v>
      </c>
      <c r="C5" s="8" t="n">
        <v>173651</v>
      </c>
      <c r="D5" s="8" t="s">
        <v>772</v>
      </c>
      <c r="E5" s="8" t="s">
        <v>770</v>
      </c>
      <c r="F5" s="8" t="s">
        <v>236</v>
      </c>
      <c r="G5" s="8" t="s">
        <v>768</v>
      </c>
    </row>
    <row r="6" customFormat="false" ht="15" hidden="false" customHeight="false" outlineLevel="0" collapsed="false">
      <c r="A6" s="8" t="s">
        <v>235</v>
      </c>
      <c r="B6" s="8" t="s">
        <v>24</v>
      </c>
      <c r="C6" s="8" t="n">
        <v>173688</v>
      </c>
      <c r="D6" s="8" t="s">
        <v>773</v>
      </c>
      <c r="E6" s="8" t="s">
        <v>770</v>
      </c>
      <c r="F6" s="8" t="s">
        <v>236</v>
      </c>
      <c r="G6" s="8" t="s">
        <v>768</v>
      </c>
    </row>
    <row r="7" customFormat="false" ht="15" hidden="false" customHeight="false" outlineLevel="0" collapsed="false">
      <c r="A7" s="8" t="s">
        <v>235</v>
      </c>
      <c r="B7" s="8" t="s">
        <v>24</v>
      </c>
      <c r="C7" s="8" t="n">
        <v>173689</v>
      </c>
      <c r="D7" s="8" t="s">
        <v>774</v>
      </c>
      <c r="E7" s="8" t="s">
        <v>770</v>
      </c>
      <c r="F7" s="8" t="s">
        <v>236</v>
      </c>
      <c r="G7" s="8" t="s">
        <v>768</v>
      </c>
    </row>
    <row r="8" customFormat="false" ht="15" hidden="false" customHeight="false" outlineLevel="0" collapsed="false">
      <c r="A8" s="8" t="s">
        <v>235</v>
      </c>
      <c r="B8" s="8" t="s">
        <v>24</v>
      </c>
      <c r="C8" s="8" t="n">
        <v>220024</v>
      </c>
      <c r="D8" s="8" t="s">
        <v>775</v>
      </c>
      <c r="E8" s="8" t="s">
        <v>770</v>
      </c>
      <c r="F8" s="8" t="s">
        <v>236</v>
      </c>
      <c r="G8" s="8" t="s">
        <v>768</v>
      </c>
    </row>
    <row r="9" customFormat="false" ht="15" hidden="false" customHeight="false" outlineLevel="0" collapsed="false">
      <c r="A9" s="8" t="s">
        <v>235</v>
      </c>
      <c r="B9" s="8" t="s">
        <v>24</v>
      </c>
      <c r="C9" s="8" t="n">
        <v>220047</v>
      </c>
      <c r="D9" s="8" t="s">
        <v>776</v>
      </c>
      <c r="E9" s="8" t="s">
        <v>770</v>
      </c>
      <c r="F9" s="8" t="s">
        <v>236</v>
      </c>
      <c r="G9" s="8" t="s">
        <v>768</v>
      </c>
    </row>
    <row r="10" customFormat="false" ht="15" hidden="false" customHeight="false" outlineLevel="0" collapsed="false">
      <c r="A10" s="8" t="s">
        <v>235</v>
      </c>
      <c r="B10" s="8" t="s">
        <v>24</v>
      </c>
      <c r="C10" s="8" t="n">
        <v>220006</v>
      </c>
      <c r="D10" s="8" t="s">
        <v>775</v>
      </c>
      <c r="E10" s="8" t="s">
        <v>770</v>
      </c>
      <c r="F10" s="8" t="s">
        <v>236</v>
      </c>
      <c r="G10" s="8" t="s">
        <v>768</v>
      </c>
    </row>
    <row r="11" customFormat="false" ht="15" hidden="false" customHeight="false" outlineLevel="0" collapsed="false">
      <c r="A11" s="8" t="s">
        <v>235</v>
      </c>
      <c r="B11" s="8" t="s">
        <v>24</v>
      </c>
      <c r="C11" s="8" t="n">
        <v>220007</v>
      </c>
      <c r="D11" s="8" t="s">
        <v>777</v>
      </c>
      <c r="E11" s="8" t="s">
        <v>770</v>
      </c>
      <c r="F11" s="8" t="s">
        <v>236</v>
      </c>
      <c r="G11" s="8" t="s">
        <v>768</v>
      </c>
    </row>
    <row r="12" customFormat="false" ht="15" hidden="false" customHeight="false" outlineLevel="0" collapsed="false">
      <c r="A12" s="8" t="s">
        <v>235</v>
      </c>
      <c r="B12" s="8" t="s">
        <v>24</v>
      </c>
      <c r="C12" s="8" t="n">
        <v>220008</v>
      </c>
      <c r="D12" s="8" t="s">
        <v>778</v>
      </c>
      <c r="E12" s="8" t="s">
        <v>770</v>
      </c>
      <c r="F12" s="8" t="s">
        <v>236</v>
      </c>
      <c r="G12" s="8" t="s">
        <v>768</v>
      </c>
    </row>
    <row r="13" customFormat="false" ht="15" hidden="false" customHeight="false" outlineLevel="0" collapsed="false">
      <c r="A13" s="8" t="s">
        <v>235</v>
      </c>
      <c r="B13" s="8" t="s">
        <v>24</v>
      </c>
      <c r="C13" s="8" t="n">
        <v>220015</v>
      </c>
      <c r="D13" s="8" t="s">
        <v>779</v>
      </c>
      <c r="E13" s="8" t="s">
        <v>770</v>
      </c>
      <c r="F13" s="8" t="s">
        <v>236</v>
      </c>
      <c r="G13" s="8" t="s">
        <v>768</v>
      </c>
    </row>
    <row r="14" customFormat="false" ht="15" hidden="false" customHeight="false" outlineLevel="0" collapsed="false">
      <c r="A14" s="8" t="s">
        <v>235</v>
      </c>
      <c r="B14" s="8" t="s">
        <v>24</v>
      </c>
      <c r="C14" s="8" t="n">
        <v>220019</v>
      </c>
      <c r="D14" s="8" t="s">
        <v>780</v>
      </c>
      <c r="E14" s="8" t="s">
        <v>770</v>
      </c>
      <c r="F14" s="8" t="s">
        <v>236</v>
      </c>
      <c r="G14" s="8" t="s">
        <v>768</v>
      </c>
    </row>
    <row r="15" customFormat="false" ht="15" hidden="false" customHeight="false" outlineLevel="0" collapsed="false">
      <c r="A15" s="8" t="s">
        <v>235</v>
      </c>
      <c r="B15" s="8" t="s">
        <v>24</v>
      </c>
      <c r="C15" s="8" t="n">
        <v>220020</v>
      </c>
      <c r="D15" s="8" t="s">
        <v>781</v>
      </c>
      <c r="E15" s="8" t="s">
        <v>770</v>
      </c>
      <c r="F15" s="8" t="s">
        <v>236</v>
      </c>
      <c r="G15" s="8" t="s">
        <v>768</v>
      </c>
    </row>
    <row r="16" customFormat="false" ht="15" hidden="false" customHeight="false" outlineLevel="0" collapsed="false">
      <c r="A16" s="8" t="s">
        <v>235</v>
      </c>
      <c r="B16" s="8" t="s">
        <v>24</v>
      </c>
      <c r="C16" s="8" t="n">
        <v>220022</v>
      </c>
      <c r="D16" s="8" t="s">
        <v>780</v>
      </c>
      <c r="E16" s="8" t="s">
        <v>770</v>
      </c>
      <c r="F16" s="8" t="s">
        <v>236</v>
      </c>
      <c r="G16" s="8" t="s">
        <v>768</v>
      </c>
    </row>
    <row r="17" customFormat="false" ht="15" hidden="false" customHeight="false" outlineLevel="0" collapsed="false">
      <c r="A17" s="8" t="s">
        <v>235</v>
      </c>
      <c r="B17" s="8" t="s">
        <v>24</v>
      </c>
      <c r="C17" s="8" t="n">
        <v>220023</v>
      </c>
      <c r="D17" s="8" t="s">
        <v>782</v>
      </c>
      <c r="E17" s="8" t="s">
        <v>770</v>
      </c>
      <c r="F17" s="8" t="s">
        <v>236</v>
      </c>
      <c r="G17" s="8" t="s">
        <v>768</v>
      </c>
    </row>
    <row r="18" customFormat="false" ht="15" hidden="false" customHeight="false" outlineLevel="0" collapsed="false">
      <c r="A18" s="8" t="s">
        <v>235</v>
      </c>
      <c r="B18" s="8" t="s">
        <v>24</v>
      </c>
      <c r="C18" s="8" t="n">
        <v>220025</v>
      </c>
      <c r="D18" s="8" t="s">
        <v>778</v>
      </c>
      <c r="E18" s="8" t="s">
        <v>770</v>
      </c>
      <c r="F18" s="8" t="s">
        <v>236</v>
      </c>
      <c r="G18" s="8" t="s">
        <v>768</v>
      </c>
    </row>
    <row r="19" customFormat="false" ht="15" hidden="false" customHeight="false" outlineLevel="0" collapsed="false">
      <c r="A19" s="8" t="s">
        <v>235</v>
      </c>
      <c r="B19" s="8" t="s">
        <v>24</v>
      </c>
      <c r="C19" s="8" t="n">
        <v>220026</v>
      </c>
      <c r="D19" s="8" t="s">
        <v>777</v>
      </c>
      <c r="E19" s="8" t="s">
        <v>770</v>
      </c>
      <c r="F19" s="8" t="s">
        <v>236</v>
      </c>
      <c r="G19" s="8" t="s">
        <v>768</v>
      </c>
    </row>
    <row r="20" customFormat="false" ht="15" hidden="false" customHeight="false" outlineLevel="0" collapsed="false">
      <c r="A20" s="8" t="s">
        <v>235</v>
      </c>
      <c r="B20" s="8" t="s">
        <v>24</v>
      </c>
      <c r="C20" s="8" t="n">
        <v>220027</v>
      </c>
      <c r="D20" s="8" t="s">
        <v>783</v>
      </c>
      <c r="E20" s="8" t="s">
        <v>770</v>
      </c>
      <c r="F20" s="8" t="s">
        <v>236</v>
      </c>
      <c r="G20" s="8" t="s">
        <v>768</v>
      </c>
    </row>
    <row r="21" customFormat="false" ht="15" hidden="false" customHeight="false" outlineLevel="0" collapsed="false">
      <c r="A21" s="8" t="s">
        <v>235</v>
      </c>
      <c r="B21" s="8" t="s">
        <v>24</v>
      </c>
      <c r="C21" s="8" t="n">
        <v>220028</v>
      </c>
      <c r="D21" s="8" t="s">
        <v>781</v>
      </c>
      <c r="E21" s="8" t="s">
        <v>770</v>
      </c>
      <c r="F21" s="8" t="s">
        <v>236</v>
      </c>
      <c r="G21" s="8" t="s">
        <v>768</v>
      </c>
    </row>
    <row r="22" customFormat="false" ht="15" hidden="false" customHeight="false" outlineLevel="0" collapsed="false">
      <c r="A22" s="8" t="s">
        <v>235</v>
      </c>
      <c r="B22" s="8" t="s">
        <v>24</v>
      </c>
      <c r="C22" s="8" t="n">
        <v>220048</v>
      </c>
      <c r="D22" s="8" t="s">
        <v>784</v>
      </c>
      <c r="E22" s="8" t="s">
        <v>770</v>
      </c>
      <c r="F22" s="8" t="s">
        <v>236</v>
      </c>
      <c r="G22" s="8" t="s">
        <v>768</v>
      </c>
    </row>
    <row r="23" customFormat="false" ht="15" hidden="false" customHeight="false" outlineLevel="0" collapsed="false">
      <c r="A23" s="8" t="s">
        <v>255</v>
      </c>
      <c r="B23" s="8" t="s">
        <v>24</v>
      </c>
      <c r="C23" s="8" t="n">
        <v>220037</v>
      </c>
      <c r="D23" s="8" t="s">
        <v>785</v>
      </c>
      <c r="E23" s="8" t="s">
        <v>770</v>
      </c>
      <c r="F23" s="8" t="s">
        <v>256</v>
      </c>
      <c r="G23" s="8" t="s">
        <v>768</v>
      </c>
    </row>
    <row r="24" customFormat="false" ht="15" hidden="false" customHeight="false" outlineLevel="0" collapsed="false">
      <c r="A24" s="8" t="s">
        <v>255</v>
      </c>
      <c r="B24" s="8" t="s">
        <v>24</v>
      </c>
      <c r="C24" s="8" t="n">
        <v>220038</v>
      </c>
      <c r="D24" s="8" t="s">
        <v>786</v>
      </c>
      <c r="E24" s="8" t="s">
        <v>770</v>
      </c>
      <c r="F24" s="8" t="s">
        <v>256</v>
      </c>
      <c r="G24" s="8" t="s">
        <v>768</v>
      </c>
    </row>
    <row r="25" customFormat="false" ht="15" hidden="false" customHeight="false" outlineLevel="0" collapsed="false">
      <c r="A25" s="8" t="s">
        <v>255</v>
      </c>
      <c r="B25" s="8" t="s">
        <v>24</v>
      </c>
      <c r="C25" s="8" t="n">
        <v>220039</v>
      </c>
      <c r="D25" s="8" t="s">
        <v>787</v>
      </c>
      <c r="E25" s="8" t="s">
        <v>770</v>
      </c>
      <c r="F25" s="8" t="s">
        <v>256</v>
      </c>
      <c r="G25" s="8" t="s">
        <v>768</v>
      </c>
    </row>
    <row r="26" customFormat="false" ht="15" hidden="false" customHeight="false" outlineLevel="0" collapsed="false">
      <c r="A26" s="8" t="s">
        <v>255</v>
      </c>
      <c r="B26" s="8" t="s">
        <v>24</v>
      </c>
      <c r="C26" s="8" t="n">
        <v>220041</v>
      </c>
      <c r="D26" s="8" t="s">
        <v>788</v>
      </c>
      <c r="E26" s="8" t="s">
        <v>770</v>
      </c>
      <c r="F26" s="8" t="s">
        <v>256</v>
      </c>
      <c r="G26" s="8" t="s">
        <v>768</v>
      </c>
    </row>
    <row r="27" customFormat="false" ht="15" hidden="false" customHeight="false" outlineLevel="0" collapsed="false">
      <c r="A27" s="8" t="s">
        <v>263</v>
      </c>
      <c r="B27" s="8" t="s">
        <v>24</v>
      </c>
      <c r="C27" s="8" t="n">
        <v>220068</v>
      </c>
      <c r="D27" s="8" t="s">
        <v>789</v>
      </c>
      <c r="E27" s="8" t="s">
        <v>767</v>
      </c>
      <c r="F27" s="8" t="s">
        <v>264</v>
      </c>
      <c r="G27" s="8" t="s">
        <v>768</v>
      </c>
    </row>
    <row r="28" customFormat="false" ht="15" hidden="false" customHeight="false" outlineLevel="0" collapsed="false">
      <c r="A28" s="8" t="s">
        <v>263</v>
      </c>
      <c r="B28" s="8" t="s">
        <v>24</v>
      </c>
      <c r="C28" s="8" t="n">
        <v>220069</v>
      </c>
      <c r="D28" s="8" t="s">
        <v>790</v>
      </c>
      <c r="E28" s="8" t="s">
        <v>767</v>
      </c>
      <c r="F28" s="8" t="s">
        <v>264</v>
      </c>
      <c r="G28" s="8" t="s">
        <v>768</v>
      </c>
    </row>
    <row r="29" customFormat="false" ht="15" hidden="false" customHeight="false" outlineLevel="0" collapsed="false">
      <c r="A29" s="8" t="s">
        <v>263</v>
      </c>
      <c r="B29" s="8" t="s">
        <v>24</v>
      </c>
      <c r="C29" s="8" t="n">
        <v>220061</v>
      </c>
      <c r="D29" s="8" t="s">
        <v>791</v>
      </c>
      <c r="E29" s="8" t="s">
        <v>767</v>
      </c>
      <c r="F29" s="8" t="s">
        <v>264</v>
      </c>
      <c r="G29" s="8" t="s">
        <v>768</v>
      </c>
    </row>
    <row r="30" customFormat="false" ht="15" hidden="false" customHeight="false" outlineLevel="0" collapsed="false">
      <c r="A30" s="8" t="s">
        <v>263</v>
      </c>
      <c r="B30" s="8" t="s">
        <v>24</v>
      </c>
      <c r="C30" s="8" t="n">
        <v>220062</v>
      </c>
      <c r="D30" s="8" t="s">
        <v>792</v>
      </c>
      <c r="E30" s="8" t="s">
        <v>767</v>
      </c>
      <c r="F30" s="8" t="s">
        <v>264</v>
      </c>
      <c r="G30" s="8" t="s">
        <v>768</v>
      </c>
    </row>
    <row r="31" customFormat="false" ht="15" hidden="false" customHeight="false" outlineLevel="0" collapsed="false">
      <c r="A31" s="8" t="s">
        <v>263</v>
      </c>
      <c r="B31" s="8" t="s">
        <v>24</v>
      </c>
      <c r="C31" s="8" t="n">
        <v>220063</v>
      </c>
      <c r="D31" s="8" t="s">
        <v>793</v>
      </c>
      <c r="E31" s="8" t="s">
        <v>794</v>
      </c>
      <c r="F31" s="8" t="s">
        <v>264</v>
      </c>
      <c r="G31" s="8" t="s">
        <v>768</v>
      </c>
    </row>
    <row r="32" customFormat="false" ht="15" hidden="false" customHeight="false" outlineLevel="0" collapsed="false">
      <c r="A32" s="8" t="s">
        <v>263</v>
      </c>
      <c r="B32" s="8" t="s">
        <v>24</v>
      </c>
      <c r="C32" s="8" t="n">
        <v>220064</v>
      </c>
      <c r="D32" s="8" t="s">
        <v>795</v>
      </c>
      <c r="E32" s="8" t="s">
        <v>794</v>
      </c>
      <c r="F32" s="8" t="s">
        <v>264</v>
      </c>
      <c r="G32" s="8" t="s">
        <v>768</v>
      </c>
    </row>
    <row r="33" customFormat="false" ht="15" hidden="false" customHeight="false" outlineLevel="0" collapsed="false">
      <c r="A33" s="8" t="s">
        <v>263</v>
      </c>
      <c r="B33" s="8" t="s">
        <v>24</v>
      </c>
      <c r="C33" s="8" t="n">
        <v>220065</v>
      </c>
      <c r="D33" s="8" t="s">
        <v>796</v>
      </c>
      <c r="E33" s="8" t="s">
        <v>794</v>
      </c>
      <c r="F33" s="8" t="s">
        <v>264</v>
      </c>
      <c r="G33" s="8" t="s">
        <v>768</v>
      </c>
    </row>
    <row r="34" customFormat="false" ht="15" hidden="false" customHeight="false" outlineLevel="0" collapsed="false">
      <c r="A34" s="8" t="s">
        <v>263</v>
      </c>
      <c r="B34" s="8" t="s">
        <v>24</v>
      </c>
      <c r="C34" s="8" t="n">
        <v>220066</v>
      </c>
      <c r="D34" s="8" t="s">
        <v>797</v>
      </c>
      <c r="E34" s="8" t="s">
        <v>794</v>
      </c>
      <c r="F34" s="8" t="s">
        <v>264</v>
      </c>
      <c r="G34" s="8" t="s">
        <v>768</v>
      </c>
    </row>
    <row r="35" customFormat="false" ht="15" hidden="false" customHeight="false" outlineLevel="0" collapsed="false">
      <c r="A35" s="8" t="s">
        <v>263</v>
      </c>
      <c r="B35" s="8" t="s">
        <v>24</v>
      </c>
      <c r="C35" s="8" t="n">
        <v>220070</v>
      </c>
      <c r="D35" s="8" t="s">
        <v>797</v>
      </c>
      <c r="E35" s="8" t="s">
        <v>794</v>
      </c>
      <c r="F35" s="8" t="s">
        <v>264</v>
      </c>
      <c r="G35" s="8" t="s">
        <v>768</v>
      </c>
    </row>
    <row r="36" customFormat="false" ht="15" hidden="false" customHeight="false" outlineLevel="0" collapsed="false">
      <c r="A36" s="8" t="s">
        <v>77</v>
      </c>
      <c r="B36" s="8" t="s">
        <v>20</v>
      </c>
      <c r="C36" s="8" t="n">
        <v>102523</v>
      </c>
      <c r="D36" s="8" t="s">
        <v>798</v>
      </c>
      <c r="E36" s="8" t="s">
        <v>799</v>
      </c>
      <c r="F36" s="8" t="s">
        <v>78</v>
      </c>
      <c r="G36" s="8" t="s">
        <v>768</v>
      </c>
    </row>
    <row r="37" customFormat="false" ht="15" hidden="false" customHeight="false" outlineLevel="0" collapsed="false">
      <c r="A37" s="8" t="s">
        <v>77</v>
      </c>
      <c r="B37" s="8" t="s">
        <v>20</v>
      </c>
      <c r="C37" s="8" t="n">
        <v>102524</v>
      </c>
      <c r="D37" s="8" t="s">
        <v>800</v>
      </c>
      <c r="E37" s="8" t="s">
        <v>799</v>
      </c>
      <c r="F37" s="8" t="s">
        <v>78</v>
      </c>
      <c r="G37" s="8" t="s">
        <v>768</v>
      </c>
    </row>
    <row r="38" customFormat="false" ht="15" hidden="false" customHeight="false" outlineLevel="0" collapsed="false">
      <c r="A38" s="8" t="s">
        <v>77</v>
      </c>
      <c r="B38" s="8" t="s">
        <v>20</v>
      </c>
      <c r="C38" s="8" t="n">
        <v>231179</v>
      </c>
      <c r="D38" s="8" t="s">
        <v>801</v>
      </c>
      <c r="E38" s="8" t="s">
        <v>767</v>
      </c>
      <c r="F38" s="8" t="s">
        <v>78</v>
      </c>
      <c r="G38" s="8" t="s">
        <v>768</v>
      </c>
    </row>
    <row r="39" customFormat="false" ht="15" hidden="false" customHeight="false" outlineLevel="0" collapsed="false">
      <c r="A39" s="8" t="s">
        <v>77</v>
      </c>
      <c r="B39" s="8" t="s">
        <v>20</v>
      </c>
      <c r="C39" s="8" t="n">
        <v>231181</v>
      </c>
      <c r="D39" s="8" t="s">
        <v>802</v>
      </c>
      <c r="E39" s="8" t="s">
        <v>767</v>
      </c>
      <c r="F39" s="8" t="s">
        <v>78</v>
      </c>
      <c r="G39" s="8" t="s">
        <v>768</v>
      </c>
    </row>
    <row r="40" customFormat="false" ht="15" hidden="false" customHeight="false" outlineLevel="0" collapsed="false">
      <c r="A40" s="8" t="s">
        <v>261</v>
      </c>
      <c r="B40" s="8" t="s">
        <v>20</v>
      </c>
      <c r="C40" s="8" t="n">
        <v>101949</v>
      </c>
      <c r="D40" s="8" t="s">
        <v>803</v>
      </c>
      <c r="E40" s="8" t="s">
        <v>767</v>
      </c>
      <c r="F40" s="8" t="s">
        <v>262</v>
      </c>
      <c r="G40" s="8" t="s">
        <v>804</v>
      </c>
    </row>
    <row r="41" customFormat="false" ht="15" hidden="false" customHeight="false" outlineLevel="0" collapsed="false">
      <c r="A41" s="8" t="s">
        <v>75</v>
      </c>
      <c r="B41" s="8" t="s">
        <v>22</v>
      </c>
      <c r="C41" s="8" t="n">
        <v>133842</v>
      </c>
      <c r="D41" s="8" t="s">
        <v>805</v>
      </c>
      <c r="E41" s="8" t="s">
        <v>767</v>
      </c>
      <c r="F41" s="8" t="s">
        <v>76</v>
      </c>
      <c r="G41" s="8" t="s">
        <v>768</v>
      </c>
    </row>
    <row r="42" customFormat="false" ht="15" hidden="false" customHeight="false" outlineLevel="0" collapsed="false">
      <c r="A42" s="8" t="s">
        <v>75</v>
      </c>
      <c r="B42" s="8" t="s">
        <v>22</v>
      </c>
      <c r="C42" s="8" t="n">
        <v>134819</v>
      </c>
      <c r="D42" s="8" t="s">
        <v>806</v>
      </c>
      <c r="E42" s="8" t="s">
        <v>767</v>
      </c>
      <c r="F42" s="8" t="s">
        <v>76</v>
      </c>
      <c r="G42" s="8" t="s">
        <v>768</v>
      </c>
    </row>
    <row r="43" customFormat="false" ht="15" hidden="false" customHeight="false" outlineLevel="0" collapsed="false">
      <c r="A43" s="8" t="s">
        <v>75</v>
      </c>
      <c r="B43" s="8" t="s">
        <v>22</v>
      </c>
      <c r="C43" s="8" t="n">
        <v>134829</v>
      </c>
      <c r="D43" s="8" t="s">
        <v>807</v>
      </c>
      <c r="E43" s="8" t="s">
        <v>767</v>
      </c>
      <c r="F43" s="8" t="s">
        <v>76</v>
      </c>
      <c r="G43" s="8" t="s">
        <v>768</v>
      </c>
    </row>
    <row r="44" customFormat="false" ht="15" hidden="false" customHeight="false" outlineLevel="0" collapsed="false">
      <c r="A44" s="8" t="s">
        <v>57</v>
      </c>
      <c r="B44" s="8" t="s">
        <v>22</v>
      </c>
      <c r="C44" s="8" t="n">
        <v>134476</v>
      </c>
      <c r="D44" s="8" t="s">
        <v>808</v>
      </c>
      <c r="E44" s="8" t="s">
        <v>809</v>
      </c>
      <c r="F44" s="8" t="s">
        <v>58</v>
      </c>
      <c r="G44" s="8" t="s">
        <v>768</v>
      </c>
    </row>
    <row r="45" customFormat="false" ht="15" hidden="false" customHeight="false" outlineLevel="0" collapsed="false">
      <c r="A45" s="8" t="s">
        <v>257</v>
      </c>
      <c r="B45" s="8" t="s">
        <v>22</v>
      </c>
      <c r="C45" s="8" t="n">
        <v>134311</v>
      </c>
      <c r="D45" s="8" t="s">
        <v>810</v>
      </c>
      <c r="E45" s="8" t="s">
        <v>767</v>
      </c>
      <c r="F45" s="8" t="s">
        <v>258</v>
      </c>
      <c r="G45" s="8" t="s">
        <v>768</v>
      </c>
    </row>
    <row r="46" customFormat="false" ht="15" hidden="false" customHeight="false" outlineLevel="0" collapsed="false">
      <c r="A46" s="8" t="s">
        <v>241</v>
      </c>
      <c r="B46" s="8" t="s">
        <v>22</v>
      </c>
      <c r="C46" s="8" t="n">
        <v>134275</v>
      </c>
      <c r="D46" s="8" t="s">
        <v>811</v>
      </c>
      <c r="E46" s="8" t="s">
        <v>767</v>
      </c>
      <c r="F46" s="8" t="s">
        <v>242</v>
      </c>
      <c r="G46" s="8" t="s">
        <v>768</v>
      </c>
    </row>
    <row r="47" customFormat="false" ht="15" hidden="false" customHeight="false" outlineLevel="0" collapsed="false">
      <c r="A47" s="8" t="s">
        <v>241</v>
      </c>
      <c r="B47" s="8" t="s">
        <v>22</v>
      </c>
      <c r="C47" s="8" t="n">
        <v>134277</v>
      </c>
      <c r="D47" s="8" t="s">
        <v>812</v>
      </c>
      <c r="E47" s="8" t="s">
        <v>767</v>
      </c>
      <c r="F47" s="8" t="s">
        <v>242</v>
      </c>
      <c r="G47" s="8" t="s">
        <v>768</v>
      </c>
    </row>
    <row r="48" customFormat="false" ht="15" hidden="false" customHeight="false" outlineLevel="0" collapsed="false">
      <c r="A48" s="8" t="s">
        <v>241</v>
      </c>
      <c r="B48" s="8" t="s">
        <v>22</v>
      </c>
      <c r="C48" s="8" t="n">
        <v>134278</v>
      </c>
      <c r="D48" s="8" t="s">
        <v>813</v>
      </c>
      <c r="E48" s="8" t="s">
        <v>767</v>
      </c>
      <c r="F48" s="8" t="s">
        <v>242</v>
      </c>
      <c r="G48" s="8" t="s">
        <v>768</v>
      </c>
    </row>
    <row r="49" customFormat="false" ht="15" hidden="false" customHeight="false" outlineLevel="0" collapsed="false">
      <c r="A49" s="8" t="s">
        <v>241</v>
      </c>
      <c r="B49" s="8" t="s">
        <v>22</v>
      </c>
      <c r="C49" s="8" t="n">
        <v>134314</v>
      </c>
      <c r="D49" s="8" t="s">
        <v>814</v>
      </c>
      <c r="E49" s="8" t="s">
        <v>767</v>
      </c>
      <c r="F49" s="8" t="s">
        <v>242</v>
      </c>
      <c r="G49" s="8" t="s">
        <v>804</v>
      </c>
    </row>
    <row r="50" customFormat="false" ht="15" hidden="false" customHeight="false" outlineLevel="0" collapsed="false">
      <c r="A50" s="8" t="s">
        <v>266</v>
      </c>
      <c r="B50" s="8" t="s">
        <v>22</v>
      </c>
      <c r="C50" s="8" t="n">
        <v>134280</v>
      </c>
      <c r="D50" s="8" t="s">
        <v>815</v>
      </c>
      <c r="E50" s="8" t="s">
        <v>767</v>
      </c>
      <c r="F50" s="8" t="s">
        <v>267</v>
      </c>
      <c r="G50" s="8" t="s">
        <v>768</v>
      </c>
    </row>
    <row r="51" customFormat="false" ht="15" hidden="false" customHeight="false" outlineLevel="0" collapsed="false">
      <c r="A51" s="8" t="s">
        <v>266</v>
      </c>
      <c r="B51" s="8" t="s">
        <v>22</v>
      </c>
      <c r="C51" s="8" t="n">
        <v>134287</v>
      </c>
      <c r="D51" s="8" t="s">
        <v>816</v>
      </c>
      <c r="E51" s="8" t="s">
        <v>767</v>
      </c>
      <c r="F51" s="8" t="s">
        <v>267</v>
      </c>
      <c r="G51" s="8" t="s">
        <v>768</v>
      </c>
    </row>
    <row r="52" customFormat="false" ht="15" hidden="false" customHeight="false" outlineLevel="0" collapsed="false">
      <c r="A52" s="8" t="s">
        <v>139</v>
      </c>
      <c r="B52" s="8" t="s">
        <v>23</v>
      </c>
      <c r="C52" s="8" t="n">
        <v>143025</v>
      </c>
      <c r="D52" s="8" t="s">
        <v>817</v>
      </c>
      <c r="E52" s="8" t="s">
        <v>818</v>
      </c>
      <c r="F52" s="8" t="s">
        <v>140</v>
      </c>
      <c r="G52" s="8" t="s">
        <v>768</v>
      </c>
    </row>
    <row r="53" customFormat="false" ht="15" hidden="false" customHeight="false" outlineLevel="0" collapsed="false">
      <c r="A53" s="8" t="s">
        <v>139</v>
      </c>
      <c r="B53" s="8" t="s">
        <v>23</v>
      </c>
      <c r="C53" s="8" t="n">
        <v>175848</v>
      </c>
      <c r="D53" s="8" t="s">
        <v>819</v>
      </c>
      <c r="E53" s="8" t="s">
        <v>794</v>
      </c>
      <c r="F53" s="8" t="s">
        <v>140</v>
      </c>
      <c r="G53" s="8" t="s">
        <v>768</v>
      </c>
    </row>
    <row r="54" customFormat="false" ht="15" hidden="false" customHeight="false" outlineLevel="0" collapsed="false">
      <c r="A54" s="8" t="s">
        <v>139</v>
      </c>
      <c r="B54" s="8" t="s">
        <v>23</v>
      </c>
      <c r="C54" s="8" t="n">
        <v>175891</v>
      </c>
      <c r="D54" s="8" t="s">
        <v>820</v>
      </c>
      <c r="E54" s="8" t="s">
        <v>794</v>
      </c>
      <c r="F54" s="8" t="s">
        <v>140</v>
      </c>
      <c r="G54" s="8" t="s">
        <v>768</v>
      </c>
    </row>
    <row r="55" customFormat="false" ht="15" hidden="false" customHeight="false" outlineLevel="0" collapsed="false">
      <c r="A55" s="8" t="s">
        <v>139</v>
      </c>
      <c r="B55" s="8" t="s">
        <v>23</v>
      </c>
      <c r="C55" s="8" t="n">
        <v>176066</v>
      </c>
      <c r="D55" s="8" t="s">
        <v>819</v>
      </c>
      <c r="E55" s="8" t="s">
        <v>794</v>
      </c>
      <c r="F55" s="8" t="s">
        <v>140</v>
      </c>
      <c r="G55" s="8" t="s">
        <v>768</v>
      </c>
    </row>
    <row r="56" customFormat="false" ht="15" hidden="false" customHeight="false" outlineLevel="0" collapsed="false">
      <c r="A56" s="8" t="s">
        <v>139</v>
      </c>
      <c r="B56" s="8" t="s">
        <v>23</v>
      </c>
      <c r="C56" s="8" t="n">
        <v>175828</v>
      </c>
      <c r="D56" s="8" t="s">
        <v>821</v>
      </c>
      <c r="E56" s="8" t="s">
        <v>794</v>
      </c>
      <c r="F56" s="8" t="s">
        <v>140</v>
      </c>
      <c r="G56" s="8" t="s">
        <v>768</v>
      </c>
    </row>
    <row r="57" customFormat="false" ht="15" hidden="false" customHeight="false" outlineLevel="0" collapsed="false">
      <c r="A57" s="8" t="s">
        <v>139</v>
      </c>
      <c r="B57" s="8" t="s">
        <v>23</v>
      </c>
      <c r="C57" s="8" t="n">
        <v>142455</v>
      </c>
      <c r="D57" s="8" t="s">
        <v>822</v>
      </c>
      <c r="E57" s="8" t="s">
        <v>818</v>
      </c>
      <c r="F57" s="8" t="s">
        <v>140</v>
      </c>
      <c r="G57" s="8" t="s">
        <v>768</v>
      </c>
    </row>
    <row r="58" customFormat="false" ht="15" hidden="false" customHeight="false" outlineLevel="0" collapsed="false">
      <c r="A58" s="8" t="s">
        <v>139</v>
      </c>
      <c r="B58" s="8" t="s">
        <v>23</v>
      </c>
      <c r="C58" s="8" t="n">
        <v>175907</v>
      </c>
      <c r="D58" s="8" t="s">
        <v>823</v>
      </c>
      <c r="E58" s="8" t="s">
        <v>794</v>
      </c>
      <c r="F58" s="8" t="s">
        <v>140</v>
      </c>
      <c r="G58" s="8" t="s">
        <v>768</v>
      </c>
    </row>
    <row r="59" customFormat="false" ht="15" hidden="false" customHeight="false" outlineLevel="0" collapsed="false">
      <c r="A59" s="8" t="s">
        <v>139</v>
      </c>
      <c r="B59" s="8" t="s">
        <v>23</v>
      </c>
      <c r="C59" s="8" t="n">
        <v>176087</v>
      </c>
      <c r="D59" s="8" t="s">
        <v>824</v>
      </c>
      <c r="E59" s="8" t="s">
        <v>794</v>
      </c>
      <c r="F59" s="8" t="s">
        <v>140</v>
      </c>
      <c r="G59" s="8" t="s">
        <v>768</v>
      </c>
    </row>
    <row r="60" customFormat="false" ht="15" hidden="false" customHeight="false" outlineLevel="0" collapsed="false">
      <c r="A60" s="8" t="s">
        <v>139</v>
      </c>
      <c r="B60" s="8" t="s">
        <v>23</v>
      </c>
      <c r="C60" s="8" t="n">
        <v>175919</v>
      </c>
      <c r="D60" s="8" t="s">
        <v>825</v>
      </c>
      <c r="E60" s="8" t="s">
        <v>794</v>
      </c>
      <c r="F60" s="8" t="s">
        <v>140</v>
      </c>
      <c r="G60" s="8" t="s">
        <v>768</v>
      </c>
    </row>
    <row r="61" customFormat="false" ht="15" hidden="false" customHeight="false" outlineLevel="0" collapsed="false">
      <c r="A61" s="8" t="s">
        <v>139</v>
      </c>
      <c r="B61" s="8" t="s">
        <v>23</v>
      </c>
      <c r="C61" s="8" t="n">
        <v>142449</v>
      </c>
      <c r="D61" s="8" t="s">
        <v>826</v>
      </c>
      <c r="E61" s="8" t="s">
        <v>818</v>
      </c>
      <c r="F61" s="8" t="s">
        <v>140</v>
      </c>
      <c r="G61" s="8" t="s">
        <v>768</v>
      </c>
    </row>
    <row r="62" customFormat="false" ht="15" hidden="false" customHeight="false" outlineLevel="0" collapsed="false">
      <c r="A62" s="8" t="s">
        <v>139</v>
      </c>
      <c r="B62" s="8" t="s">
        <v>23</v>
      </c>
      <c r="C62" s="8" t="n">
        <v>176169</v>
      </c>
      <c r="D62" s="8" t="s">
        <v>827</v>
      </c>
      <c r="E62" s="8" t="s">
        <v>794</v>
      </c>
      <c r="F62" s="8" t="s">
        <v>140</v>
      </c>
      <c r="G62" s="8" t="s">
        <v>768</v>
      </c>
    </row>
    <row r="63" customFormat="false" ht="15" hidden="false" customHeight="false" outlineLevel="0" collapsed="false">
      <c r="A63" s="8" t="s">
        <v>87</v>
      </c>
      <c r="B63" s="8" t="s">
        <v>23</v>
      </c>
      <c r="C63" s="8" t="n">
        <v>143028</v>
      </c>
      <c r="D63" s="8" t="s">
        <v>828</v>
      </c>
      <c r="E63" s="8" t="s">
        <v>829</v>
      </c>
      <c r="F63" s="8" t="s">
        <v>88</v>
      </c>
      <c r="G63" s="8" t="s">
        <v>768</v>
      </c>
    </row>
    <row r="64" customFormat="false" ht="15" hidden="false" customHeight="false" outlineLevel="0" collapsed="false">
      <c r="A64" s="8" t="s">
        <v>87</v>
      </c>
      <c r="B64" s="8" t="s">
        <v>23</v>
      </c>
      <c r="C64" s="8" t="n">
        <v>143034</v>
      </c>
      <c r="D64" s="8" t="s">
        <v>830</v>
      </c>
      <c r="E64" s="8" t="s">
        <v>829</v>
      </c>
      <c r="F64" s="8" t="s">
        <v>88</v>
      </c>
      <c r="G64" s="8" t="s">
        <v>768</v>
      </c>
    </row>
    <row r="65" customFormat="false" ht="15" hidden="false" customHeight="false" outlineLevel="0" collapsed="false">
      <c r="A65" s="8" t="s">
        <v>87</v>
      </c>
      <c r="B65" s="8" t="s">
        <v>23</v>
      </c>
      <c r="C65" s="8" t="n">
        <v>143108</v>
      </c>
      <c r="D65" s="8" t="s">
        <v>831</v>
      </c>
      <c r="E65" s="8" t="s">
        <v>829</v>
      </c>
      <c r="F65" s="8" t="s">
        <v>88</v>
      </c>
      <c r="G65" s="8" t="s">
        <v>768</v>
      </c>
    </row>
    <row r="66" customFormat="false" ht="15" hidden="false" customHeight="false" outlineLevel="0" collapsed="false">
      <c r="A66" s="8" t="s">
        <v>87</v>
      </c>
      <c r="B66" s="8" t="s">
        <v>23</v>
      </c>
      <c r="C66" s="8" t="n">
        <v>143271</v>
      </c>
      <c r="D66" s="8" t="s">
        <v>832</v>
      </c>
      <c r="E66" s="8" t="s">
        <v>829</v>
      </c>
      <c r="F66" s="8" t="s">
        <v>88</v>
      </c>
      <c r="G66" s="8" t="s">
        <v>768</v>
      </c>
    </row>
    <row r="67" customFormat="false" ht="15" hidden="false" customHeight="false" outlineLevel="0" collapsed="false">
      <c r="A67" s="8" t="s">
        <v>87</v>
      </c>
      <c r="B67" s="8" t="s">
        <v>23</v>
      </c>
      <c r="C67" s="8" t="n">
        <v>142571</v>
      </c>
      <c r="D67" s="8" t="s">
        <v>833</v>
      </c>
      <c r="E67" s="8" t="s">
        <v>794</v>
      </c>
      <c r="F67" s="8" t="s">
        <v>88</v>
      </c>
      <c r="G67" s="8" t="s">
        <v>768</v>
      </c>
    </row>
    <row r="68" customFormat="false" ht="15" hidden="false" customHeight="false" outlineLevel="0" collapsed="false">
      <c r="A68" s="8" t="s">
        <v>87</v>
      </c>
      <c r="B68" s="8" t="s">
        <v>23</v>
      </c>
      <c r="C68" s="8" t="n">
        <v>142572</v>
      </c>
      <c r="D68" s="8" t="s">
        <v>834</v>
      </c>
      <c r="E68" s="8" t="s">
        <v>794</v>
      </c>
      <c r="F68" s="8" t="s">
        <v>88</v>
      </c>
      <c r="G68" s="8" t="s">
        <v>768</v>
      </c>
    </row>
    <row r="69" customFormat="false" ht="15" hidden="false" customHeight="false" outlineLevel="0" collapsed="false">
      <c r="A69" s="8" t="s">
        <v>87</v>
      </c>
      <c r="B69" s="8" t="s">
        <v>23</v>
      </c>
      <c r="C69" s="8" t="n">
        <v>142573</v>
      </c>
      <c r="D69" s="8" t="s">
        <v>835</v>
      </c>
      <c r="E69" s="8" t="s">
        <v>794</v>
      </c>
      <c r="F69" s="8" t="s">
        <v>88</v>
      </c>
      <c r="G69" s="8" t="s">
        <v>768</v>
      </c>
    </row>
    <row r="70" customFormat="false" ht="15" hidden="false" customHeight="false" outlineLevel="0" collapsed="false">
      <c r="A70" s="8" t="s">
        <v>87</v>
      </c>
      <c r="B70" s="8" t="s">
        <v>23</v>
      </c>
      <c r="C70" s="8" t="n">
        <v>142574</v>
      </c>
      <c r="D70" s="8" t="s">
        <v>836</v>
      </c>
      <c r="E70" s="8" t="s">
        <v>767</v>
      </c>
      <c r="F70" s="8" t="s">
        <v>88</v>
      </c>
      <c r="G70" s="8" t="s">
        <v>768</v>
      </c>
    </row>
    <row r="71" customFormat="false" ht="15" hidden="false" customHeight="false" outlineLevel="0" collapsed="false">
      <c r="A71" s="8" t="s">
        <v>87</v>
      </c>
      <c r="B71" s="8" t="s">
        <v>23</v>
      </c>
      <c r="C71" s="8" t="n">
        <v>142575</v>
      </c>
      <c r="D71" s="8" t="s">
        <v>837</v>
      </c>
      <c r="E71" s="8" t="s">
        <v>794</v>
      </c>
      <c r="F71" s="8" t="s">
        <v>88</v>
      </c>
      <c r="G71" s="8" t="s">
        <v>768</v>
      </c>
    </row>
    <row r="72" customFormat="false" ht="15" hidden="false" customHeight="false" outlineLevel="0" collapsed="false">
      <c r="A72" s="8" t="s">
        <v>87</v>
      </c>
      <c r="B72" s="8" t="s">
        <v>23</v>
      </c>
      <c r="C72" s="8" t="n">
        <v>142576</v>
      </c>
      <c r="D72" s="8" t="s">
        <v>838</v>
      </c>
      <c r="E72" s="8" t="s">
        <v>794</v>
      </c>
      <c r="F72" s="8" t="s">
        <v>88</v>
      </c>
      <c r="G72" s="8" t="s">
        <v>768</v>
      </c>
    </row>
    <row r="73" customFormat="false" ht="15" hidden="false" customHeight="false" outlineLevel="0" collapsed="false">
      <c r="A73" s="8" t="s">
        <v>87</v>
      </c>
      <c r="B73" s="8" t="s">
        <v>23</v>
      </c>
      <c r="C73" s="8" t="n">
        <v>142577</v>
      </c>
      <c r="D73" s="8" t="s">
        <v>839</v>
      </c>
      <c r="E73" s="8" t="s">
        <v>794</v>
      </c>
      <c r="F73" s="8" t="s">
        <v>88</v>
      </c>
      <c r="G73" s="8" t="s">
        <v>768</v>
      </c>
    </row>
    <row r="74" customFormat="false" ht="15" hidden="false" customHeight="false" outlineLevel="0" collapsed="false">
      <c r="A74" s="8" t="s">
        <v>87</v>
      </c>
      <c r="B74" s="8" t="s">
        <v>23</v>
      </c>
      <c r="C74" s="8" t="n">
        <v>142578</v>
      </c>
      <c r="D74" s="8" t="s">
        <v>840</v>
      </c>
      <c r="E74" s="8" t="s">
        <v>794</v>
      </c>
      <c r="F74" s="8" t="s">
        <v>88</v>
      </c>
      <c r="G74" s="8" t="s">
        <v>768</v>
      </c>
    </row>
    <row r="75" customFormat="false" ht="15" hidden="false" customHeight="false" outlineLevel="0" collapsed="false">
      <c r="A75" s="8" t="s">
        <v>87</v>
      </c>
      <c r="B75" s="8" t="s">
        <v>23</v>
      </c>
      <c r="C75" s="8" t="n">
        <v>142579</v>
      </c>
      <c r="D75" s="8" t="s">
        <v>841</v>
      </c>
      <c r="E75" s="8" t="s">
        <v>794</v>
      </c>
      <c r="F75" s="8" t="s">
        <v>88</v>
      </c>
      <c r="G75" s="8" t="s">
        <v>768</v>
      </c>
    </row>
    <row r="76" customFormat="false" ht="15" hidden="false" customHeight="false" outlineLevel="0" collapsed="false">
      <c r="A76" s="8" t="s">
        <v>87</v>
      </c>
      <c r="B76" s="8" t="s">
        <v>23</v>
      </c>
      <c r="C76" s="8" t="n">
        <v>142580</v>
      </c>
      <c r="D76" s="8" t="s">
        <v>842</v>
      </c>
      <c r="E76" s="8" t="s">
        <v>794</v>
      </c>
      <c r="F76" s="8" t="s">
        <v>88</v>
      </c>
      <c r="G76" s="8" t="s">
        <v>768</v>
      </c>
    </row>
    <row r="77" customFormat="false" ht="15" hidden="false" customHeight="false" outlineLevel="0" collapsed="false">
      <c r="A77" s="8" t="s">
        <v>87</v>
      </c>
      <c r="B77" s="8" t="s">
        <v>23</v>
      </c>
      <c r="C77" s="8" t="n">
        <v>142581</v>
      </c>
      <c r="D77" s="8" t="s">
        <v>843</v>
      </c>
      <c r="E77" s="8" t="s">
        <v>767</v>
      </c>
      <c r="F77" s="8" t="s">
        <v>88</v>
      </c>
      <c r="G77" s="8" t="s">
        <v>768</v>
      </c>
    </row>
    <row r="78" customFormat="false" ht="15" hidden="false" customHeight="false" outlineLevel="0" collapsed="false">
      <c r="A78" s="8" t="s">
        <v>87</v>
      </c>
      <c r="B78" s="8" t="s">
        <v>23</v>
      </c>
      <c r="C78" s="8" t="n">
        <v>142582</v>
      </c>
      <c r="D78" s="8" t="s">
        <v>844</v>
      </c>
      <c r="E78" s="8" t="s">
        <v>794</v>
      </c>
      <c r="F78" s="8" t="s">
        <v>88</v>
      </c>
      <c r="G78" s="8" t="s">
        <v>768</v>
      </c>
    </row>
    <row r="79" customFormat="false" ht="15" hidden="false" customHeight="false" outlineLevel="0" collapsed="false">
      <c r="A79" s="8" t="s">
        <v>87</v>
      </c>
      <c r="B79" s="8" t="s">
        <v>23</v>
      </c>
      <c r="C79" s="8" t="n">
        <v>142583</v>
      </c>
      <c r="D79" s="8" t="s">
        <v>845</v>
      </c>
      <c r="E79" s="8" t="s">
        <v>794</v>
      </c>
      <c r="F79" s="8" t="s">
        <v>88</v>
      </c>
      <c r="G79" s="8" t="s">
        <v>768</v>
      </c>
    </row>
    <row r="80" customFormat="false" ht="15" hidden="false" customHeight="false" outlineLevel="0" collapsed="false">
      <c r="A80" s="8" t="s">
        <v>87</v>
      </c>
      <c r="B80" s="8" t="s">
        <v>23</v>
      </c>
      <c r="C80" s="8" t="n">
        <v>142584</v>
      </c>
      <c r="D80" s="8" t="s">
        <v>846</v>
      </c>
      <c r="E80" s="8" t="s">
        <v>794</v>
      </c>
      <c r="F80" s="8" t="s">
        <v>88</v>
      </c>
      <c r="G80" s="8" t="s">
        <v>768</v>
      </c>
    </row>
    <row r="81" customFormat="false" ht="15" hidden="false" customHeight="false" outlineLevel="0" collapsed="false">
      <c r="A81" s="8" t="s">
        <v>87</v>
      </c>
      <c r="B81" s="8" t="s">
        <v>23</v>
      </c>
      <c r="C81" s="8" t="n">
        <v>142585</v>
      </c>
      <c r="D81" s="8" t="s">
        <v>847</v>
      </c>
      <c r="E81" s="8" t="s">
        <v>767</v>
      </c>
      <c r="F81" s="8" t="s">
        <v>88</v>
      </c>
      <c r="G81" s="8" t="s">
        <v>768</v>
      </c>
    </row>
    <row r="82" customFormat="false" ht="15" hidden="false" customHeight="false" outlineLevel="0" collapsed="false">
      <c r="A82" s="8" t="s">
        <v>87</v>
      </c>
      <c r="B82" s="8" t="s">
        <v>23</v>
      </c>
      <c r="C82" s="8" t="n">
        <v>142586</v>
      </c>
      <c r="D82" s="8" t="s">
        <v>848</v>
      </c>
      <c r="E82" s="8" t="s">
        <v>794</v>
      </c>
      <c r="F82" s="8" t="s">
        <v>88</v>
      </c>
      <c r="G82" s="8" t="s">
        <v>768</v>
      </c>
    </row>
    <row r="83" customFormat="false" ht="15" hidden="false" customHeight="false" outlineLevel="0" collapsed="false">
      <c r="A83" s="8" t="s">
        <v>87</v>
      </c>
      <c r="B83" s="8" t="s">
        <v>23</v>
      </c>
      <c r="C83" s="8" t="n">
        <v>142587</v>
      </c>
      <c r="D83" s="8" t="s">
        <v>849</v>
      </c>
      <c r="E83" s="8" t="s">
        <v>794</v>
      </c>
      <c r="F83" s="8" t="s">
        <v>88</v>
      </c>
      <c r="G83" s="8" t="s">
        <v>768</v>
      </c>
    </row>
    <row r="84" customFormat="false" ht="15" hidden="false" customHeight="false" outlineLevel="0" collapsed="false">
      <c r="A84" s="8" t="s">
        <v>87</v>
      </c>
      <c r="B84" s="8" t="s">
        <v>23</v>
      </c>
      <c r="C84" s="8" t="n">
        <v>142588</v>
      </c>
      <c r="D84" s="8" t="s">
        <v>850</v>
      </c>
      <c r="E84" s="8" t="s">
        <v>794</v>
      </c>
      <c r="F84" s="8" t="s">
        <v>88</v>
      </c>
      <c r="G84" s="8" t="s">
        <v>768</v>
      </c>
    </row>
    <row r="85" customFormat="false" ht="15" hidden="false" customHeight="false" outlineLevel="0" collapsed="false">
      <c r="A85" s="8" t="s">
        <v>87</v>
      </c>
      <c r="B85" s="8" t="s">
        <v>23</v>
      </c>
      <c r="C85" s="8" t="n">
        <v>142590</v>
      </c>
      <c r="D85" s="8" t="s">
        <v>851</v>
      </c>
      <c r="E85" s="8" t="s">
        <v>767</v>
      </c>
      <c r="F85" s="8" t="s">
        <v>88</v>
      </c>
      <c r="G85" s="8" t="s">
        <v>768</v>
      </c>
    </row>
    <row r="86" customFormat="false" ht="15" hidden="false" customHeight="false" outlineLevel="0" collapsed="false">
      <c r="A86" s="8" t="s">
        <v>87</v>
      </c>
      <c r="B86" s="8" t="s">
        <v>23</v>
      </c>
      <c r="C86" s="8" t="n">
        <v>142591</v>
      </c>
      <c r="D86" s="8" t="s">
        <v>852</v>
      </c>
      <c r="E86" s="8" t="s">
        <v>767</v>
      </c>
      <c r="F86" s="8" t="s">
        <v>88</v>
      </c>
      <c r="G86" s="8" t="s">
        <v>768</v>
      </c>
    </row>
    <row r="87" customFormat="false" ht="15" hidden="false" customHeight="false" outlineLevel="0" collapsed="false">
      <c r="A87" s="8" t="s">
        <v>87</v>
      </c>
      <c r="B87" s="8" t="s">
        <v>23</v>
      </c>
      <c r="C87" s="8" t="n">
        <v>142592</v>
      </c>
      <c r="D87" s="8" t="s">
        <v>853</v>
      </c>
      <c r="E87" s="8" t="s">
        <v>794</v>
      </c>
      <c r="F87" s="8" t="s">
        <v>88</v>
      </c>
      <c r="G87" s="8" t="s">
        <v>768</v>
      </c>
    </row>
    <row r="88" customFormat="false" ht="15" hidden="false" customHeight="false" outlineLevel="0" collapsed="false">
      <c r="A88" s="8" t="s">
        <v>87</v>
      </c>
      <c r="B88" s="8" t="s">
        <v>23</v>
      </c>
      <c r="C88" s="8" t="n">
        <v>142593</v>
      </c>
      <c r="D88" s="8" t="s">
        <v>854</v>
      </c>
      <c r="E88" s="8" t="s">
        <v>794</v>
      </c>
      <c r="F88" s="8" t="s">
        <v>88</v>
      </c>
      <c r="G88" s="8" t="s">
        <v>768</v>
      </c>
    </row>
    <row r="89" customFormat="false" ht="15" hidden="false" customHeight="false" outlineLevel="0" collapsed="false">
      <c r="A89" s="8" t="s">
        <v>87</v>
      </c>
      <c r="B89" s="8" t="s">
        <v>23</v>
      </c>
      <c r="C89" s="8" t="n">
        <v>142594</v>
      </c>
      <c r="D89" s="8" t="s">
        <v>855</v>
      </c>
      <c r="E89" s="8" t="s">
        <v>767</v>
      </c>
      <c r="F89" s="8" t="s">
        <v>88</v>
      </c>
      <c r="G89" s="8" t="s">
        <v>768</v>
      </c>
    </row>
    <row r="90" customFormat="false" ht="15" hidden="false" customHeight="false" outlineLevel="0" collapsed="false">
      <c r="A90" s="8" t="s">
        <v>87</v>
      </c>
      <c r="B90" s="8" t="s">
        <v>23</v>
      </c>
      <c r="C90" s="8" t="n">
        <v>142596</v>
      </c>
      <c r="D90" s="8" t="s">
        <v>856</v>
      </c>
      <c r="E90" s="8" t="s">
        <v>794</v>
      </c>
      <c r="F90" s="8" t="s">
        <v>88</v>
      </c>
      <c r="G90" s="8" t="s">
        <v>768</v>
      </c>
    </row>
    <row r="91" customFormat="false" ht="15" hidden="false" customHeight="false" outlineLevel="0" collapsed="false">
      <c r="A91" s="8" t="s">
        <v>87</v>
      </c>
      <c r="B91" s="8" t="s">
        <v>23</v>
      </c>
      <c r="C91" s="8" t="n">
        <v>142597</v>
      </c>
      <c r="D91" s="8" t="s">
        <v>857</v>
      </c>
      <c r="E91" s="8" t="s">
        <v>767</v>
      </c>
      <c r="F91" s="8" t="s">
        <v>88</v>
      </c>
      <c r="G91" s="8" t="s">
        <v>768</v>
      </c>
    </row>
    <row r="92" customFormat="false" ht="15" hidden="false" customHeight="false" outlineLevel="0" collapsed="false">
      <c r="A92" s="8" t="s">
        <v>87</v>
      </c>
      <c r="B92" s="8" t="s">
        <v>23</v>
      </c>
      <c r="C92" s="8" t="n">
        <v>142598</v>
      </c>
      <c r="D92" s="8" t="s">
        <v>858</v>
      </c>
      <c r="E92" s="8" t="s">
        <v>767</v>
      </c>
      <c r="F92" s="8" t="s">
        <v>88</v>
      </c>
      <c r="G92" s="8" t="s">
        <v>768</v>
      </c>
    </row>
    <row r="93" customFormat="false" ht="15" hidden="false" customHeight="false" outlineLevel="0" collapsed="false">
      <c r="A93" s="8" t="s">
        <v>87</v>
      </c>
      <c r="B93" s="8" t="s">
        <v>23</v>
      </c>
      <c r="C93" s="8" t="n">
        <v>142599</v>
      </c>
      <c r="D93" s="8" t="s">
        <v>859</v>
      </c>
      <c r="E93" s="8" t="s">
        <v>767</v>
      </c>
      <c r="F93" s="8" t="s">
        <v>88</v>
      </c>
      <c r="G93" s="8" t="s">
        <v>768</v>
      </c>
    </row>
    <row r="94" customFormat="false" ht="15" hidden="false" customHeight="false" outlineLevel="0" collapsed="false">
      <c r="A94" s="8" t="s">
        <v>87</v>
      </c>
      <c r="B94" s="8" t="s">
        <v>23</v>
      </c>
      <c r="C94" s="8" t="n">
        <v>142600</v>
      </c>
      <c r="D94" s="8" t="s">
        <v>860</v>
      </c>
      <c r="E94" s="8" t="s">
        <v>767</v>
      </c>
      <c r="F94" s="8" t="s">
        <v>88</v>
      </c>
      <c r="G94" s="8" t="s">
        <v>768</v>
      </c>
    </row>
    <row r="95" customFormat="false" ht="15" hidden="false" customHeight="false" outlineLevel="0" collapsed="false">
      <c r="A95" s="8" t="s">
        <v>87</v>
      </c>
      <c r="B95" s="8" t="s">
        <v>23</v>
      </c>
      <c r="C95" s="8" t="n">
        <v>142601</v>
      </c>
      <c r="D95" s="8" t="s">
        <v>861</v>
      </c>
      <c r="E95" s="8" t="s">
        <v>767</v>
      </c>
      <c r="F95" s="8" t="s">
        <v>88</v>
      </c>
      <c r="G95" s="8" t="s">
        <v>768</v>
      </c>
    </row>
    <row r="96" customFormat="false" ht="15" hidden="false" customHeight="false" outlineLevel="0" collapsed="false">
      <c r="A96" s="8" t="s">
        <v>87</v>
      </c>
      <c r="B96" s="8" t="s">
        <v>23</v>
      </c>
      <c r="C96" s="8" t="n">
        <v>142602</v>
      </c>
      <c r="D96" s="8" t="s">
        <v>862</v>
      </c>
      <c r="E96" s="8" t="s">
        <v>767</v>
      </c>
      <c r="F96" s="8" t="s">
        <v>88</v>
      </c>
      <c r="G96" s="8" t="s">
        <v>768</v>
      </c>
    </row>
    <row r="97" customFormat="false" ht="15" hidden="false" customHeight="false" outlineLevel="0" collapsed="false">
      <c r="A97" s="8" t="s">
        <v>87</v>
      </c>
      <c r="B97" s="8" t="s">
        <v>23</v>
      </c>
      <c r="C97" s="8" t="n">
        <v>142603</v>
      </c>
      <c r="D97" s="8" t="s">
        <v>863</v>
      </c>
      <c r="E97" s="8" t="s">
        <v>767</v>
      </c>
      <c r="F97" s="8" t="s">
        <v>88</v>
      </c>
      <c r="G97" s="8" t="s">
        <v>768</v>
      </c>
    </row>
    <row r="98" customFormat="false" ht="15" hidden="false" customHeight="false" outlineLevel="0" collapsed="false">
      <c r="A98" s="8" t="s">
        <v>87</v>
      </c>
      <c r="B98" s="8" t="s">
        <v>23</v>
      </c>
      <c r="C98" s="8" t="n">
        <v>142604</v>
      </c>
      <c r="D98" s="8" t="s">
        <v>864</v>
      </c>
      <c r="E98" s="8" t="s">
        <v>794</v>
      </c>
      <c r="F98" s="8" t="s">
        <v>88</v>
      </c>
      <c r="G98" s="8" t="s">
        <v>768</v>
      </c>
    </row>
    <row r="99" customFormat="false" ht="15" hidden="false" customHeight="false" outlineLevel="0" collapsed="false">
      <c r="A99" s="8" t="s">
        <v>87</v>
      </c>
      <c r="B99" s="8" t="s">
        <v>23</v>
      </c>
      <c r="C99" s="8" t="n">
        <v>142605</v>
      </c>
      <c r="D99" s="8" t="s">
        <v>865</v>
      </c>
      <c r="E99" s="8" t="s">
        <v>794</v>
      </c>
      <c r="F99" s="8" t="s">
        <v>88</v>
      </c>
      <c r="G99" s="8" t="s">
        <v>768</v>
      </c>
    </row>
    <row r="100" customFormat="false" ht="15" hidden="false" customHeight="false" outlineLevel="0" collapsed="false">
      <c r="A100" s="8" t="s">
        <v>87</v>
      </c>
      <c r="B100" s="8" t="s">
        <v>23</v>
      </c>
      <c r="C100" s="8" t="n">
        <v>142607</v>
      </c>
      <c r="D100" s="8" t="s">
        <v>866</v>
      </c>
      <c r="E100" s="8" t="s">
        <v>794</v>
      </c>
      <c r="F100" s="8" t="s">
        <v>88</v>
      </c>
      <c r="G100" s="8" t="s">
        <v>768</v>
      </c>
    </row>
    <row r="101" customFormat="false" ht="15" hidden="false" customHeight="false" outlineLevel="0" collapsed="false">
      <c r="A101" s="8" t="s">
        <v>87</v>
      </c>
      <c r="B101" s="8" t="s">
        <v>23</v>
      </c>
      <c r="C101" s="8" t="n">
        <v>142608</v>
      </c>
      <c r="D101" s="8" t="s">
        <v>867</v>
      </c>
      <c r="E101" s="8" t="s">
        <v>794</v>
      </c>
      <c r="F101" s="8" t="s">
        <v>88</v>
      </c>
      <c r="G101" s="8" t="s">
        <v>768</v>
      </c>
    </row>
    <row r="102" customFormat="false" ht="15" hidden="false" customHeight="false" outlineLevel="0" collapsed="false">
      <c r="A102" s="8" t="s">
        <v>87</v>
      </c>
      <c r="B102" s="8" t="s">
        <v>23</v>
      </c>
      <c r="C102" s="8" t="n">
        <v>142609</v>
      </c>
      <c r="D102" s="8" t="s">
        <v>868</v>
      </c>
      <c r="E102" s="8" t="s">
        <v>794</v>
      </c>
      <c r="F102" s="8" t="s">
        <v>88</v>
      </c>
      <c r="G102" s="8" t="s">
        <v>768</v>
      </c>
    </row>
    <row r="103" customFormat="false" ht="15" hidden="false" customHeight="false" outlineLevel="0" collapsed="false">
      <c r="A103" s="8" t="s">
        <v>87</v>
      </c>
      <c r="B103" s="8" t="s">
        <v>23</v>
      </c>
      <c r="C103" s="8" t="n">
        <v>142610</v>
      </c>
      <c r="D103" s="8" t="s">
        <v>869</v>
      </c>
      <c r="E103" s="8" t="s">
        <v>794</v>
      </c>
      <c r="F103" s="8" t="s">
        <v>88</v>
      </c>
      <c r="G103" s="8" t="s">
        <v>768</v>
      </c>
    </row>
    <row r="104" customFormat="false" ht="15" hidden="false" customHeight="false" outlineLevel="0" collapsed="false">
      <c r="A104" s="8" t="s">
        <v>87</v>
      </c>
      <c r="B104" s="8" t="s">
        <v>23</v>
      </c>
      <c r="C104" s="8" t="n">
        <v>142611</v>
      </c>
      <c r="D104" s="8" t="s">
        <v>870</v>
      </c>
      <c r="E104" s="8" t="s">
        <v>794</v>
      </c>
      <c r="F104" s="8" t="s">
        <v>88</v>
      </c>
      <c r="G104" s="8" t="s">
        <v>768</v>
      </c>
    </row>
    <row r="105" customFormat="false" ht="15" hidden="false" customHeight="false" outlineLevel="0" collapsed="false">
      <c r="A105" s="8" t="s">
        <v>87</v>
      </c>
      <c r="B105" s="8" t="s">
        <v>23</v>
      </c>
      <c r="C105" s="8" t="n">
        <v>142612</v>
      </c>
      <c r="D105" s="8" t="s">
        <v>871</v>
      </c>
      <c r="E105" s="8" t="s">
        <v>794</v>
      </c>
      <c r="F105" s="8" t="s">
        <v>88</v>
      </c>
      <c r="G105" s="8" t="s">
        <v>768</v>
      </c>
    </row>
    <row r="106" customFormat="false" ht="15" hidden="false" customHeight="false" outlineLevel="0" collapsed="false">
      <c r="A106" s="8" t="s">
        <v>87</v>
      </c>
      <c r="B106" s="8" t="s">
        <v>23</v>
      </c>
      <c r="C106" s="8" t="n">
        <v>142613</v>
      </c>
      <c r="D106" s="8" t="s">
        <v>872</v>
      </c>
      <c r="E106" s="8" t="s">
        <v>794</v>
      </c>
      <c r="F106" s="8" t="s">
        <v>88</v>
      </c>
      <c r="G106" s="8" t="s">
        <v>768</v>
      </c>
    </row>
    <row r="107" customFormat="false" ht="15" hidden="false" customHeight="false" outlineLevel="0" collapsed="false">
      <c r="A107" s="8" t="s">
        <v>87</v>
      </c>
      <c r="B107" s="8" t="s">
        <v>23</v>
      </c>
      <c r="C107" s="8" t="n">
        <v>142614</v>
      </c>
      <c r="D107" s="8" t="s">
        <v>873</v>
      </c>
      <c r="E107" s="8" t="s">
        <v>794</v>
      </c>
      <c r="F107" s="8" t="s">
        <v>88</v>
      </c>
      <c r="G107" s="8" t="s">
        <v>768</v>
      </c>
    </row>
    <row r="108" customFormat="false" ht="15" hidden="false" customHeight="false" outlineLevel="0" collapsed="false">
      <c r="A108" s="8" t="s">
        <v>87</v>
      </c>
      <c r="B108" s="8" t="s">
        <v>23</v>
      </c>
      <c r="C108" s="8" t="n">
        <v>142615</v>
      </c>
      <c r="D108" s="8" t="s">
        <v>874</v>
      </c>
      <c r="E108" s="8" t="s">
        <v>794</v>
      </c>
      <c r="F108" s="8" t="s">
        <v>88</v>
      </c>
      <c r="G108" s="8" t="s">
        <v>768</v>
      </c>
    </row>
    <row r="109" customFormat="false" ht="15" hidden="false" customHeight="false" outlineLevel="0" collapsed="false">
      <c r="A109" s="8" t="s">
        <v>87</v>
      </c>
      <c r="B109" s="8" t="s">
        <v>23</v>
      </c>
      <c r="C109" s="8" t="n">
        <v>142616</v>
      </c>
      <c r="D109" s="8" t="s">
        <v>875</v>
      </c>
      <c r="E109" s="8" t="s">
        <v>767</v>
      </c>
      <c r="F109" s="8" t="s">
        <v>88</v>
      </c>
      <c r="G109" s="8" t="s">
        <v>768</v>
      </c>
    </row>
    <row r="110" customFormat="false" ht="15" hidden="false" customHeight="false" outlineLevel="0" collapsed="false">
      <c r="A110" s="8" t="s">
        <v>87</v>
      </c>
      <c r="B110" s="8" t="s">
        <v>23</v>
      </c>
      <c r="C110" s="8" t="n">
        <v>142617</v>
      </c>
      <c r="D110" s="8" t="s">
        <v>876</v>
      </c>
      <c r="E110" s="8" t="s">
        <v>767</v>
      </c>
      <c r="F110" s="8" t="s">
        <v>88</v>
      </c>
      <c r="G110" s="8" t="s">
        <v>768</v>
      </c>
    </row>
    <row r="111" customFormat="false" ht="15" hidden="false" customHeight="false" outlineLevel="0" collapsed="false">
      <c r="A111" s="8" t="s">
        <v>87</v>
      </c>
      <c r="B111" s="8" t="s">
        <v>23</v>
      </c>
      <c r="C111" s="8" t="n">
        <v>142618</v>
      </c>
      <c r="D111" s="8" t="s">
        <v>877</v>
      </c>
      <c r="E111" s="8" t="s">
        <v>767</v>
      </c>
      <c r="F111" s="8" t="s">
        <v>88</v>
      </c>
      <c r="G111" s="8" t="s">
        <v>768</v>
      </c>
    </row>
    <row r="112" customFormat="false" ht="15" hidden="false" customHeight="false" outlineLevel="0" collapsed="false">
      <c r="A112" s="8" t="s">
        <v>87</v>
      </c>
      <c r="B112" s="8" t="s">
        <v>23</v>
      </c>
      <c r="C112" s="8" t="n">
        <v>142619</v>
      </c>
      <c r="D112" s="8" t="s">
        <v>878</v>
      </c>
      <c r="E112" s="8" t="s">
        <v>767</v>
      </c>
      <c r="F112" s="8" t="s">
        <v>88</v>
      </c>
      <c r="G112" s="8" t="s">
        <v>768</v>
      </c>
    </row>
    <row r="113" customFormat="false" ht="15" hidden="false" customHeight="false" outlineLevel="0" collapsed="false">
      <c r="A113" s="8" t="s">
        <v>87</v>
      </c>
      <c r="B113" s="8" t="s">
        <v>23</v>
      </c>
      <c r="C113" s="8" t="n">
        <v>142620</v>
      </c>
      <c r="D113" s="8" t="s">
        <v>879</v>
      </c>
      <c r="E113" s="8" t="s">
        <v>767</v>
      </c>
      <c r="F113" s="8" t="s">
        <v>88</v>
      </c>
      <c r="G113" s="8" t="s">
        <v>768</v>
      </c>
    </row>
    <row r="114" customFormat="false" ht="15" hidden="false" customHeight="false" outlineLevel="0" collapsed="false">
      <c r="A114" s="8" t="s">
        <v>87</v>
      </c>
      <c r="B114" s="8" t="s">
        <v>23</v>
      </c>
      <c r="C114" s="8" t="n">
        <v>142621</v>
      </c>
      <c r="D114" s="8" t="s">
        <v>880</v>
      </c>
      <c r="E114" s="8" t="s">
        <v>767</v>
      </c>
      <c r="F114" s="8" t="s">
        <v>88</v>
      </c>
      <c r="G114" s="8" t="s">
        <v>768</v>
      </c>
    </row>
    <row r="115" customFormat="false" ht="15" hidden="false" customHeight="false" outlineLevel="0" collapsed="false">
      <c r="A115" s="8" t="s">
        <v>87</v>
      </c>
      <c r="B115" s="8" t="s">
        <v>23</v>
      </c>
      <c r="C115" s="8" t="n">
        <v>142622</v>
      </c>
      <c r="D115" s="8" t="s">
        <v>881</v>
      </c>
      <c r="E115" s="8" t="s">
        <v>767</v>
      </c>
      <c r="F115" s="8" t="s">
        <v>88</v>
      </c>
      <c r="G115" s="8" t="s">
        <v>768</v>
      </c>
    </row>
    <row r="116" customFormat="false" ht="15" hidden="false" customHeight="false" outlineLevel="0" collapsed="false">
      <c r="A116" s="8" t="s">
        <v>87</v>
      </c>
      <c r="B116" s="8" t="s">
        <v>23</v>
      </c>
      <c r="C116" s="8" t="n">
        <v>142623</v>
      </c>
      <c r="D116" s="8" t="s">
        <v>882</v>
      </c>
      <c r="E116" s="8" t="s">
        <v>767</v>
      </c>
      <c r="F116" s="8" t="s">
        <v>88</v>
      </c>
      <c r="G116" s="8" t="s">
        <v>768</v>
      </c>
    </row>
    <row r="117" customFormat="false" ht="15" hidden="false" customHeight="false" outlineLevel="0" collapsed="false">
      <c r="A117" s="8" t="s">
        <v>87</v>
      </c>
      <c r="B117" s="8" t="s">
        <v>23</v>
      </c>
      <c r="C117" s="8" t="n">
        <v>142624</v>
      </c>
      <c r="D117" s="8" t="s">
        <v>883</v>
      </c>
      <c r="E117" s="8" t="s">
        <v>794</v>
      </c>
      <c r="F117" s="8" t="s">
        <v>88</v>
      </c>
      <c r="G117" s="8" t="s">
        <v>768</v>
      </c>
    </row>
    <row r="118" customFormat="false" ht="15" hidden="false" customHeight="false" outlineLevel="0" collapsed="false">
      <c r="A118" s="8" t="s">
        <v>87</v>
      </c>
      <c r="B118" s="8" t="s">
        <v>23</v>
      </c>
      <c r="C118" s="8" t="n">
        <v>142625</v>
      </c>
      <c r="D118" s="8" t="s">
        <v>884</v>
      </c>
      <c r="E118" s="8" t="s">
        <v>767</v>
      </c>
      <c r="F118" s="8" t="s">
        <v>88</v>
      </c>
      <c r="G118" s="8" t="s">
        <v>768</v>
      </c>
    </row>
    <row r="119" customFormat="false" ht="15" hidden="false" customHeight="false" outlineLevel="0" collapsed="false">
      <c r="A119" s="8" t="s">
        <v>87</v>
      </c>
      <c r="B119" s="8" t="s">
        <v>23</v>
      </c>
      <c r="C119" s="8" t="n">
        <v>142626</v>
      </c>
      <c r="D119" s="8" t="s">
        <v>885</v>
      </c>
      <c r="E119" s="8" t="s">
        <v>767</v>
      </c>
      <c r="F119" s="8" t="s">
        <v>88</v>
      </c>
      <c r="G119" s="8" t="s">
        <v>768</v>
      </c>
    </row>
    <row r="120" customFormat="false" ht="15" hidden="false" customHeight="false" outlineLevel="0" collapsed="false">
      <c r="A120" s="8" t="s">
        <v>87</v>
      </c>
      <c r="B120" s="8" t="s">
        <v>23</v>
      </c>
      <c r="C120" s="8" t="n">
        <v>142627</v>
      </c>
      <c r="D120" s="8" t="s">
        <v>886</v>
      </c>
      <c r="E120" s="8" t="s">
        <v>767</v>
      </c>
      <c r="F120" s="8" t="s">
        <v>88</v>
      </c>
      <c r="G120" s="8" t="s">
        <v>768</v>
      </c>
    </row>
    <row r="121" customFormat="false" ht="15" hidden="false" customHeight="false" outlineLevel="0" collapsed="false">
      <c r="A121" s="8" t="s">
        <v>87</v>
      </c>
      <c r="B121" s="8" t="s">
        <v>23</v>
      </c>
      <c r="C121" s="8" t="n">
        <v>142628</v>
      </c>
      <c r="D121" s="8" t="s">
        <v>887</v>
      </c>
      <c r="E121" s="8" t="s">
        <v>794</v>
      </c>
      <c r="F121" s="8" t="s">
        <v>88</v>
      </c>
      <c r="G121" s="8" t="s">
        <v>768</v>
      </c>
    </row>
    <row r="122" customFormat="false" ht="15" hidden="false" customHeight="false" outlineLevel="0" collapsed="false">
      <c r="A122" s="8" t="s">
        <v>87</v>
      </c>
      <c r="B122" s="8" t="s">
        <v>23</v>
      </c>
      <c r="C122" s="8" t="n">
        <v>142629</v>
      </c>
      <c r="D122" s="8" t="s">
        <v>888</v>
      </c>
      <c r="E122" s="8" t="s">
        <v>794</v>
      </c>
      <c r="F122" s="8" t="s">
        <v>88</v>
      </c>
      <c r="G122" s="8" t="s">
        <v>768</v>
      </c>
    </row>
    <row r="123" customFormat="false" ht="15" hidden="false" customHeight="false" outlineLevel="0" collapsed="false">
      <c r="A123" s="8" t="s">
        <v>87</v>
      </c>
      <c r="B123" s="8" t="s">
        <v>23</v>
      </c>
      <c r="C123" s="8" t="n">
        <v>142630</v>
      </c>
      <c r="D123" s="8" t="s">
        <v>889</v>
      </c>
      <c r="E123" s="8" t="s">
        <v>767</v>
      </c>
      <c r="F123" s="8" t="s">
        <v>88</v>
      </c>
      <c r="G123" s="8" t="s">
        <v>768</v>
      </c>
    </row>
    <row r="124" customFormat="false" ht="15" hidden="false" customHeight="false" outlineLevel="0" collapsed="false">
      <c r="A124" s="8" t="s">
        <v>87</v>
      </c>
      <c r="B124" s="8" t="s">
        <v>23</v>
      </c>
      <c r="C124" s="8" t="n">
        <v>142631</v>
      </c>
      <c r="D124" s="8" t="s">
        <v>890</v>
      </c>
      <c r="E124" s="8" t="s">
        <v>767</v>
      </c>
      <c r="F124" s="8" t="s">
        <v>88</v>
      </c>
      <c r="G124" s="8" t="s">
        <v>768</v>
      </c>
    </row>
    <row r="125" customFormat="false" ht="15" hidden="false" customHeight="false" outlineLevel="0" collapsed="false">
      <c r="A125" s="8" t="s">
        <v>87</v>
      </c>
      <c r="B125" s="8" t="s">
        <v>23</v>
      </c>
      <c r="C125" s="8" t="n">
        <v>142632</v>
      </c>
      <c r="D125" s="8" t="s">
        <v>891</v>
      </c>
      <c r="E125" s="8" t="s">
        <v>767</v>
      </c>
      <c r="F125" s="8" t="s">
        <v>88</v>
      </c>
      <c r="G125" s="8" t="s">
        <v>768</v>
      </c>
    </row>
    <row r="126" customFormat="false" ht="15" hidden="false" customHeight="false" outlineLevel="0" collapsed="false">
      <c r="A126" s="8" t="s">
        <v>87</v>
      </c>
      <c r="B126" s="8" t="s">
        <v>23</v>
      </c>
      <c r="C126" s="8" t="n">
        <v>142633</v>
      </c>
      <c r="D126" s="8" t="s">
        <v>892</v>
      </c>
      <c r="E126" s="8" t="s">
        <v>767</v>
      </c>
      <c r="F126" s="8" t="s">
        <v>88</v>
      </c>
      <c r="G126" s="8" t="s">
        <v>768</v>
      </c>
    </row>
    <row r="127" customFormat="false" ht="15" hidden="false" customHeight="false" outlineLevel="0" collapsed="false">
      <c r="A127" s="8" t="s">
        <v>87</v>
      </c>
      <c r="B127" s="8" t="s">
        <v>23</v>
      </c>
      <c r="C127" s="8" t="n">
        <v>142634</v>
      </c>
      <c r="D127" s="8" t="s">
        <v>893</v>
      </c>
      <c r="E127" s="8" t="s">
        <v>767</v>
      </c>
      <c r="F127" s="8" t="s">
        <v>88</v>
      </c>
      <c r="G127" s="8" t="s">
        <v>768</v>
      </c>
    </row>
    <row r="128" customFormat="false" ht="15" hidden="false" customHeight="false" outlineLevel="0" collapsed="false">
      <c r="A128" s="8" t="s">
        <v>87</v>
      </c>
      <c r="B128" s="8" t="s">
        <v>23</v>
      </c>
      <c r="C128" s="8" t="n">
        <v>142635</v>
      </c>
      <c r="D128" s="8" t="s">
        <v>894</v>
      </c>
      <c r="E128" s="8" t="s">
        <v>767</v>
      </c>
      <c r="F128" s="8" t="s">
        <v>88</v>
      </c>
      <c r="G128" s="8" t="s">
        <v>768</v>
      </c>
    </row>
    <row r="129" customFormat="false" ht="15" hidden="false" customHeight="false" outlineLevel="0" collapsed="false">
      <c r="A129" s="8" t="s">
        <v>87</v>
      </c>
      <c r="B129" s="8" t="s">
        <v>23</v>
      </c>
      <c r="C129" s="8" t="n">
        <v>142636</v>
      </c>
      <c r="D129" s="8" t="s">
        <v>895</v>
      </c>
      <c r="E129" s="8" t="s">
        <v>767</v>
      </c>
      <c r="F129" s="8" t="s">
        <v>88</v>
      </c>
      <c r="G129" s="8" t="s">
        <v>768</v>
      </c>
    </row>
    <row r="130" customFormat="false" ht="15" hidden="false" customHeight="false" outlineLevel="0" collapsed="false">
      <c r="A130" s="8" t="s">
        <v>87</v>
      </c>
      <c r="B130" s="8" t="s">
        <v>23</v>
      </c>
      <c r="C130" s="8" t="n">
        <v>142637</v>
      </c>
      <c r="D130" s="8" t="s">
        <v>896</v>
      </c>
      <c r="E130" s="8" t="s">
        <v>767</v>
      </c>
      <c r="F130" s="8" t="s">
        <v>88</v>
      </c>
      <c r="G130" s="8" t="s">
        <v>768</v>
      </c>
    </row>
    <row r="131" customFormat="false" ht="15" hidden="false" customHeight="false" outlineLevel="0" collapsed="false">
      <c r="A131" s="8" t="s">
        <v>87</v>
      </c>
      <c r="B131" s="8" t="s">
        <v>23</v>
      </c>
      <c r="C131" s="8" t="n">
        <v>142638</v>
      </c>
      <c r="D131" s="8" t="s">
        <v>897</v>
      </c>
      <c r="E131" s="8" t="s">
        <v>767</v>
      </c>
      <c r="F131" s="8" t="s">
        <v>88</v>
      </c>
      <c r="G131" s="8" t="s">
        <v>768</v>
      </c>
    </row>
    <row r="132" customFormat="false" ht="15" hidden="false" customHeight="false" outlineLevel="0" collapsed="false">
      <c r="A132" s="8" t="s">
        <v>87</v>
      </c>
      <c r="B132" s="8" t="s">
        <v>23</v>
      </c>
      <c r="C132" s="8" t="n">
        <v>142639</v>
      </c>
      <c r="D132" s="8" t="s">
        <v>898</v>
      </c>
      <c r="E132" s="8" t="s">
        <v>767</v>
      </c>
      <c r="F132" s="8" t="s">
        <v>88</v>
      </c>
      <c r="G132" s="8" t="s">
        <v>768</v>
      </c>
    </row>
    <row r="133" customFormat="false" ht="15" hidden="false" customHeight="false" outlineLevel="0" collapsed="false">
      <c r="A133" s="8" t="s">
        <v>87</v>
      </c>
      <c r="B133" s="8" t="s">
        <v>23</v>
      </c>
      <c r="C133" s="8" t="n">
        <v>142640</v>
      </c>
      <c r="D133" s="8" t="s">
        <v>899</v>
      </c>
      <c r="E133" s="8" t="s">
        <v>794</v>
      </c>
      <c r="F133" s="8" t="s">
        <v>88</v>
      </c>
      <c r="G133" s="8" t="s">
        <v>768</v>
      </c>
    </row>
    <row r="134" customFormat="false" ht="15" hidden="false" customHeight="false" outlineLevel="0" collapsed="false">
      <c r="A134" s="8" t="s">
        <v>87</v>
      </c>
      <c r="B134" s="8" t="s">
        <v>23</v>
      </c>
      <c r="C134" s="8" t="n">
        <v>142641</v>
      </c>
      <c r="D134" s="8" t="s">
        <v>900</v>
      </c>
      <c r="E134" s="8" t="s">
        <v>767</v>
      </c>
      <c r="F134" s="8" t="s">
        <v>88</v>
      </c>
      <c r="G134" s="8" t="s">
        <v>768</v>
      </c>
    </row>
    <row r="135" customFormat="false" ht="15" hidden="false" customHeight="false" outlineLevel="0" collapsed="false">
      <c r="A135" s="8" t="s">
        <v>87</v>
      </c>
      <c r="B135" s="8" t="s">
        <v>23</v>
      </c>
      <c r="C135" s="8" t="n">
        <v>142642</v>
      </c>
      <c r="D135" s="8" t="s">
        <v>901</v>
      </c>
      <c r="E135" s="8" t="s">
        <v>767</v>
      </c>
      <c r="F135" s="8" t="s">
        <v>88</v>
      </c>
      <c r="G135" s="8" t="s">
        <v>768</v>
      </c>
    </row>
    <row r="136" customFormat="false" ht="15" hidden="false" customHeight="false" outlineLevel="0" collapsed="false">
      <c r="A136" s="8" t="s">
        <v>87</v>
      </c>
      <c r="B136" s="8" t="s">
        <v>23</v>
      </c>
      <c r="C136" s="8" t="n">
        <v>142643</v>
      </c>
      <c r="D136" s="8" t="s">
        <v>902</v>
      </c>
      <c r="E136" s="8" t="s">
        <v>767</v>
      </c>
      <c r="F136" s="8" t="s">
        <v>88</v>
      </c>
      <c r="G136" s="8" t="s">
        <v>768</v>
      </c>
    </row>
    <row r="137" customFormat="false" ht="15" hidden="false" customHeight="false" outlineLevel="0" collapsed="false">
      <c r="A137" s="8" t="s">
        <v>87</v>
      </c>
      <c r="B137" s="8" t="s">
        <v>23</v>
      </c>
      <c r="C137" s="8" t="n">
        <v>142644</v>
      </c>
      <c r="D137" s="8" t="s">
        <v>903</v>
      </c>
      <c r="E137" s="8" t="s">
        <v>794</v>
      </c>
      <c r="F137" s="8" t="s">
        <v>88</v>
      </c>
      <c r="G137" s="8" t="s">
        <v>768</v>
      </c>
    </row>
    <row r="138" customFormat="false" ht="15" hidden="false" customHeight="false" outlineLevel="0" collapsed="false">
      <c r="A138" s="8" t="s">
        <v>87</v>
      </c>
      <c r="B138" s="8" t="s">
        <v>23</v>
      </c>
      <c r="C138" s="8" t="n">
        <v>142645</v>
      </c>
      <c r="D138" s="8" t="s">
        <v>904</v>
      </c>
      <c r="E138" s="8" t="s">
        <v>794</v>
      </c>
      <c r="F138" s="8" t="s">
        <v>88</v>
      </c>
      <c r="G138" s="8" t="s">
        <v>768</v>
      </c>
    </row>
    <row r="139" customFormat="false" ht="15" hidden="false" customHeight="false" outlineLevel="0" collapsed="false">
      <c r="A139" s="8" t="s">
        <v>87</v>
      </c>
      <c r="B139" s="8" t="s">
        <v>23</v>
      </c>
      <c r="C139" s="8" t="n">
        <v>142646</v>
      </c>
      <c r="D139" s="8" t="s">
        <v>905</v>
      </c>
      <c r="E139" s="8" t="s">
        <v>794</v>
      </c>
      <c r="F139" s="8" t="s">
        <v>88</v>
      </c>
      <c r="G139" s="8" t="s">
        <v>768</v>
      </c>
    </row>
    <row r="140" customFormat="false" ht="15" hidden="false" customHeight="false" outlineLevel="0" collapsed="false">
      <c r="A140" s="8" t="s">
        <v>87</v>
      </c>
      <c r="B140" s="8" t="s">
        <v>23</v>
      </c>
      <c r="C140" s="8" t="n">
        <v>142647</v>
      </c>
      <c r="D140" s="8" t="s">
        <v>906</v>
      </c>
      <c r="E140" s="8" t="s">
        <v>794</v>
      </c>
      <c r="F140" s="8" t="s">
        <v>88</v>
      </c>
      <c r="G140" s="8" t="s">
        <v>768</v>
      </c>
    </row>
    <row r="141" customFormat="false" ht="15" hidden="false" customHeight="false" outlineLevel="0" collapsed="false">
      <c r="A141" s="8" t="s">
        <v>87</v>
      </c>
      <c r="B141" s="8" t="s">
        <v>23</v>
      </c>
      <c r="C141" s="8" t="n">
        <v>142648</v>
      </c>
      <c r="D141" s="8" t="s">
        <v>907</v>
      </c>
      <c r="E141" s="8" t="s">
        <v>794</v>
      </c>
      <c r="F141" s="8" t="s">
        <v>88</v>
      </c>
      <c r="G141" s="8" t="s">
        <v>768</v>
      </c>
    </row>
    <row r="142" customFormat="false" ht="15" hidden="false" customHeight="false" outlineLevel="0" collapsed="false">
      <c r="A142" s="8" t="s">
        <v>87</v>
      </c>
      <c r="B142" s="8" t="s">
        <v>23</v>
      </c>
      <c r="C142" s="8" t="n">
        <v>142649</v>
      </c>
      <c r="D142" s="8" t="s">
        <v>908</v>
      </c>
      <c r="E142" s="8" t="s">
        <v>794</v>
      </c>
      <c r="F142" s="8" t="s">
        <v>88</v>
      </c>
      <c r="G142" s="8" t="s">
        <v>768</v>
      </c>
    </row>
    <row r="143" customFormat="false" ht="15" hidden="false" customHeight="false" outlineLevel="0" collapsed="false">
      <c r="A143" s="8" t="s">
        <v>87</v>
      </c>
      <c r="B143" s="8" t="s">
        <v>23</v>
      </c>
      <c r="C143" s="8" t="n">
        <v>142650</v>
      </c>
      <c r="D143" s="8" t="s">
        <v>909</v>
      </c>
      <c r="E143" s="8" t="s">
        <v>794</v>
      </c>
      <c r="F143" s="8" t="s">
        <v>88</v>
      </c>
      <c r="G143" s="8" t="s">
        <v>768</v>
      </c>
    </row>
    <row r="144" customFormat="false" ht="15" hidden="false" customHeight="false" outlineLevel="0" collapsed="false">
      <c r="A144" s="8" t="s">
        <v>87</v>
      </c>
      <c r="B144" s="8" t="s">
        <v>23</v>
      </c>
      <c r="C144" s="8" t="n">
        <v>142651</v>
      </c>
      <c r="D144" s="8" t="s">
        <v>910</v>
      </c>
      <c r="E144" s="8" t="s">
        <v>794</v>
      </c>
      <c r="F144" s="8" t="s">
        <v>88</v>
      </c>
      <c r="G144" s="8" t="s">
        <v>768</v>
      </c>
    </row>
    <row r="145" customFormat="false" ht="15" hidden="false" customHeight="false" outlineLevel="0" collapsed="false">
      <c r="A145" s="8" t="s">
        <v>87</v>
      </c>
      <c r="B145" s="8" t="s">
        <v>23</v>
      </c>
      <c r="C145" s="8" t="n">
        <v>142652</v>
      </c>
      <c r="D145" s="8" t="s">
        <v>911</v>
      </c>
      <c r="E145" s="8" t="s">
        <v>794</v>
      </c>
      <c r="F145" s="8" t="s">
        <v>88</v>
      </c>
      <c r="G145" s="8" t="s">
        <v>768</v>
      </c>
    </row>
    <row r="146" customFormat="false" ht="15" hidden="false" customHeight="false" outlineLevel="0" collapsed="false">
      <c r="A146" s="8" t="s">
        <v>87</v>
      </c>
      <c r="B146" s="8" t="s">
        <v>23</v>
      </c>
      <c r="C146" s="8" t="n">
        <v>142653</v>
      </c>
      <c r="D146" s="8" t="s">
        <v>912</v>
      </c>
      <c r="E146" s="8" t="s">
        <v>794</v>
      </c>
      <c r="F146" s="8" t="s">
        <v>88</v>
      </c>
      <c r="G146" s="8" t="s">
        <v>768</v>
      </c>
    </row>
    <row r="147" customFormat="false" ht="15" hidden="false" customHeight="false" outlineLevel="0" collapsed="false">
      <c r="A147" s="8" t="s">
        <v>87</v>
      </c>
      <c r="B147" s="8" t="s">
        <v>23</v>
      </c>
      <c r="C147" s="8" t="n">
        <v>142654</v>
      </c>
      <c r="D147" s="8" t="s">
        <v>913</v>
      </c>
      <c r="E147" s="8" t="s">
        <v>794</v>
      </c>
      <c r="F147" s="8" t="s">
        <v>88</v>
      </c>
      <c r="G147" s="8" t="s">
        <v>768</v>
      </c>
    </row>
    <row r="148" customFormat="false" ht="15" hidden="false" customHeight="false" outlineLevel="0" collapsed="false">
      <c r="A148" s="8" t="s">
        <v>87</v>
      </c>
      <c r="B148" s="8" t="s">
        <v>23</v>
      </c>
      <c r="C148" s="8" t="n">
        <v>142655</v>
      </c>
      <c r="D148" s="8" t="s">
        <v>914</v>
      </c>
      <c r="E148" s="8" t="s">
        <v>794</v>
      </c>
      <c r="F148" s="8" t="s">
        <v>88</v>
      </c>
      <c r="G148" s="8" t="s">
        <v>768</v>
      </c>
    </row>
    <row r="149" customFormat="false" ht="15" hidden="false" customHeight="false" outlineLevel="0" collapsed="false">
      <c r="A149" s="8" t="s">
        <v>87</v>
      </c>
      <c r="B149" s="8" t="s">
        <v>23</v>
      </c>
      <c r="C149" s="8" t="n">
        <v>142656</v>
      </c>
      <c r="D149" s="8" t="s">
        <v>915</v>
      </c>
      <c r="E149" s="8" t="s">
        <v>794</v>
      </c>
      <c r="F149" s="8" t="s">
        <v>88</v>
      </c>
      <c r="G149" s="8" t="s">
        <v>768</v>
      </c>
    </row>
    <row r="150" customFormat="false" ht="15" hidden="false" customHeight="false" outlineLevel="0" collapsed="false">
      <c r="A150" s="8" t="s">
        <v>87</v>
      </c>
      <c r="B150" s="8" t="s">
        <v>23</v>
      </c>
      <c r="C150" s="8" t="n">
        <v>142657</v>
      </c>
      <c r="D150" s="8" t="s">
        <v>916</v>
      </c>
      <c r="E150" s="8" t="s">
        <v>794</v>
      </c>
      <c r="F150" s="8" t="s">
        <v>88</v>
      </c>
      <c r="G150" s="8" t="s">
        <v>768</v>
      </c>
    </row>
    <row r="151" customFormat="false" ht="15" hidden="false" customHeight="false" outlineLevel="0" collapsed="false">
      <c r="A151" s="8" t="s">
        <v>87</v>
      </c>
      <c r="B151" s="8" t="s">
        <v>23</v>
      </c>
      <c r="C151" s="8" t="n">
        <v>142658</v>
      </c>
      <c r="D151" s="8" t="s">
        <v>917</v>
      </c>
      <c r="E151" s="8" t="s">
        <v>794</v>
      </c>
      <c r="F151" s="8" t="s">
        <v>88</v>
      </c>
      <c r="G151" s="8" t="s">
        <v>768</v>
      </c>
    </row>
    <row r="152" customFormat="false" ht="15" hidden="false" customHeight="false" outlineLevel="0" collapsed="false">
      <c r="A152" s="8" t="s">
        <v>87</v>
      </c>
      <c r="B152" s="8" t="s">
        <v>23</v>
      </c>
      <c r="C152" s="8" t="n">
        <v>142659</v>
      </c>
      <c r="D152" s="8" t="s">
        <v>918</v>
      </c>
      <c r="E152" s="8" t="s">
        <v>794</v>
      </c>
      <c r="F152" s="8" t="s">
        <v>88</v>
      </c>
      <c r="G152" s="8" t="s">
        <v>768</v>
      </c>
    </row>
    <row r="153" customFormat="false" ht="15" hidden="false" customHeight="false" outlineLevel="0" collapsed="false">
      <c r="A153" s="8" t="s">
        <v>87</v>
      </c>
      <c r="B153" s="8" t="s">
        <v>23</v>
      </c>
      <c r="C153" s="8" t="n">
        <v>142660</v>
      </c>
      <c r="D153" s="8" t="s">
        <v>919</v>
      </c>
      <c r="E153" s="8" t="s">
        <v>767</v>
      </c>
      <c r="F153" s="8" t="s">
        <v>88</v>
      </c>
      <c r="G153" s="8" t="s">
        <v>768</v>
      </c>
    </row>
    <row r="154" customFormat="false" ht="15" hidden="false" customHeight="false" outlineLevel="0" collapsed="false">
      <c r="A154" s="8" t="s">
        <v>87</v>
      </c>
      <c r="B154" s="8" t="s">
        <v>23</v>
      </c>
      <c r="C154" s="8" t="n">
        <v>142661</v>
      </c>
      <c r="D154" s="8" t="s">
        <v>920</v>
      </c>
      <c r="E154" s="8" t="s">
        <v>794</v>
      </c>
      <c r="F154" s="8" t="s">
        <v>88</v>
      </c>
      <c r="G154" s="8" t="s">
        <v>768</v>
      </c>
    </row>
    <row r="155" customFormat="false" ht="15" hidden="false" customHeight="false" outlineLevel="0" collapsed="false">
      <c r="A155" s="8" t="s">
        <v>87</v>
      </c>
      <c r="B155" s="8" t="s">
        <v>23</v>
      </c>
      <c r="C155" s="8" t="n">
        <v>142662</v>
      </c>
      <c r="D155" s="8" t="s">
        <v>921</v>
      </c>
      <c r="E155" s="8" t="s">
        <v>794</v>
      </c>
      <c r="F155" s="8" t="s">
        <v>88</v>
      </c>
      <c r="G155" s="8" t="s">
        <v>768</v>
      </c>
    </row>
    <row r="156" customFormat="false" ht="15" hidden="false" customHeight="false" outlineLevel="0" collapsed="false">
      <c r="A156" s="8" t="s">
        <v>87</v>
      </c>
      <c r="B156" s="8" t="s">
        <v>23</v>
      </c>
      <c r="C156" s="8" t="n">
        <v>142663</v>
      </c>
      <c r="D156" s="8" t="s">
        <v>917</v>
      </c>
      <c r="E156" s="8" t="s">
        <v>794</v>
      </c>
      <c r="F156" s="8" t="s">
        <v>88</v>
      </c>
      <c r="G156" s="8" t="s">
        <v>768</v>
      </c>
    </row>
    <row r="157" customFormat="false" ht="15" hidden="false" customHeight="false" outlineLevel="0" collapsed="false">
      <c r="A157" s="8" t="s">
        <v>87</v>
      </c>
      <c r="B157" s="8" t="s">
        <v>23</v>
      </c>
      <c r="C157" s="8" t="n">
        <v>142664</v>
      </c>
      <c r="D157" s="8" t="s">
        <v>922</v>
      </c>
      <c r="E157" s="8" t="s">
        <v>794</v>
      </c>
      <c r="F157" s="8" t="s">
        <v>88</v>
      </c>
      <c r="G157" s="8" t="s">
        <v>768</v>
      </c>
    </row>
    <row r="158" customFormat="false" ht="15" hidden="false" customHeight="false" outlineLevel="0" collapsed="false">
      <c r="A158" s="8" t="s">
        <v>87</v>
      </c>
      <c r="B158" s="8" t="s">
        <v>23</v>
      </c>
      <c r="C158" s="8" t="n">
        <v>142666</v>
      </c>
      <c r="D158" s="8" t="s">
        <v>923</v>
      </c>
      <c r="E158" s="8" t="s">
        <v>767</v>
      </c>
      <c r="F158" s="8" t="s">
        <v>88</v>
      </c>
      <c r="G158" s="8" t="s">
        <v>768</v>
      </c>
    </row>
    <row r="159" customFormat="false" ht="15" hidden="false" customHeight="false" outlineLevel="0" collapsed="false">
      <c r="A159" s="8" t="s">
        <v>87</v>
      </c>
      <c r="B159" s="8" t="s">
        <v>23</v>
      </c>
      <c r="C159" s="8" t="n">
        <v>142667</v>
      </c>
      <c r="D159" s="8" t="s">
        <v>924</v>
      </c>
      <c r="E159" s="8" t="s">
        <v>767</v>
      </c>
      <c r="F159" s="8" t="s">
        <v>88</v>
      </c>
      <c r="G159" s="8" t="s">
        <v>768</v>
      </c>
    </row>
    <row r="160" customFormat="false" ht="15" hidden="false" customHeight="false" outlineLevel="0" collapsed="false">
      <c r="A160" s="8" t="s">
        <v>87</v>
      </c>
      <c r="B160" s="8" t="s">
        <v>23</v>
      </c>
      <c r="C160" s="8" t="n">
        <v>142668</v>
      </c>
      <c r="D160" s="8" t="s">
        <v>925</v>
      </c>
      <c r="E160" s="8" t="s">
        <v>794</v>
      </c>
      <c r="F160" s="8" t="s">
        <v>88</v>
      </c>
      <c r="G160" s="8" t="s">
        <v>768</v>
      </c>
    </row>
    <row r="161" customFormat="false" ht="15" hidden="false" customHeight="false" outlineLevel="0" collapsed="false">
      <c r="A161" s="8" t="s">
        <v>87</v>
      </c>
      <c r="B161" s="8" t="s">
        <v>23</v>
      </c>
      <c r="C161" s="8" t="n">
        <v>142669</v>
      </c>
      <c r="D161" s="8" t="s">
        <v>926</v>
      </c>
      <c r="E161" s="8" t="s">
        <v>767</v>
      </c>
      <c r="F161" s="8" t="s">
        <v>88</v>
      </c>
      <c r="G161" s="8" t="s">
        <v>768</v>
      </c>
    </row>
    <row r="162" customFormat="false" ht="15" hidden="false" customHeight="false" outlineLevel="0" collapsed="false">
      <c r="A162" s="8" t="s">
        <v>87</v>
      </c>
      <c r="B162" s="8" t="s">
        <v>23</v>
      </c>
      <c r="C162" s="8" t="n">
        <v>142670</v>
      </c>
      <c r="D162" s="8" t="s">
        <v>927</v>
      </c>
      <c r="E162" s="8" t="s">
        <v>767</v>
      </c>
      <c r="F162" s="8" t="s">
        <v>88</v>
      </c>
      <c r="G162" s="8" t="s">
        <v>768</v>
      </c>
    </row>
    <row r="163" customFormat="false" ht="15" hidden="false" customHeight="false" outlineLevel="0" collapsed="false">
      <c r="A163" s="8" t="s">
        <v>87</v>
      </c>
      <c r="B163" s="8" t="s">
        <v>23</v>
      </c>
      <c r="C163" s="8" t="n">
        <v>142671</v>
      </c>
      <c r="D163" s="8" t="s">
        <v>928</v>
      </c>
      <c r="E163" s="8" t="s">
        <v>767</v>
      </c>
      <c r="F163" s="8" t="s">
        <v>88</v>
      </c>
      <c r="G163" s="8" t="s">
        <v>768</v>
      </c>
    </row>
    <row r="164" customFormat="false" ht="15" hidden="false" customHeight="false" outlineLevel="0" collapsed="false">
      <c r="A164" s="8" t="s">
        <v>87</v>
      </c>
      <c r="B164" s="8" t="s">
        <v>23</v>
      </c>
      <c r="C164" s="8" t="n">
        <v>143029</v>
      </c>
      <c r="D164" s="8" t="s">
        <v>929</v>
      </c>
      <c r="E164" s="8" t="s">
        <v>829</v>
      </c>
      <c r="F164" s="8" t="s">
        <v>88</v>
      </c>
      <c r="G164" s="8" t="s">
        <v>768</v>
      </c>
    </row>
    <row r="165" customFormat="false" ht="15" hidden="false" customHeight="false" outlineLevel="0" collapsed="false">
      <c r="A165" s="8" t="s">
        <v>87</v>
      </c>
      <c r="B165" s="8" t="s">
        <v>23</v>
      </c>
      <c r="C165" s="8" t="n">
        <v>143032</v>
      </c>
      <c r="D165" s="8" t="s">
        <v>930</v>
      </c>
      <c r="E165" s="8" t="s">
        <v>829</v>
      </c>
      <c r="F165" s="8" t="s">
        <v>88</v>
      </c>
      <c r="G165" s="8" t="s">
        <v>768</v>
      </c>
    </row>
    <row r="166" customFormat="false" ht="15" hidden="false" customHeight="false" outlineLevel="0" collapsed="false">
      <c r="A166" s="8" t="s">
        <v>87</v>
      </c>
      <c r="B166" s="8" t="s">
        <v>23</v>
      </c>
      <c r="C166" s="8" t="n">
        <v>143037</v>
      </c>
      <c r="D166" s="8" t="s">
        <v>931</v>
      </c>
      <c r="E166" s="8" t="s">
        <v>829</v>
      </c>
      <c r="F166" s="8" t="s">
        <v>88</v>
      </c>
      <c r="G166" s="8" t="s">
        <v>768</v>
      </c>
    </row>
    <row r="167" customFormat="false" ht="15" hidden="false" customHeight="false" outlineLevel="0" collapsed="false">
      <c r="A167" s="8" t="s">
        <v>87</v>
      </c>
      <c r="B167" s="8" t="s">
        <v>23</v>
      </c>
      <c r="C167" s="8" t="n">
        <v>143038</v>
      </c>
      <c r="D167" s="8" t="s">
        <v>932</v>
      </c>
      <c r="E167" s="8" t="s">
        <v>829</v>
      </c>
      <c r="F167" s="8" t="s">
        <v>88</v>
      </c>
      <c r="G167" s="8" t="s">
        <v>768</v>
      </c>
    </row>
    <row r="168" customFormat="false" ht="15" hidden="false" customHeight="false" outlineLevel="0" collapsed="false">
      <c r="A168" s="8" t="s">
        <v>87</v>
      </c>
      <c r="B168" s="8" t="s">
        <v>23</v>
      </c>
      <c r="C168" s="8" t="n">
        <v>143058</v>
      </c>
      <c r="D168" s="8" t="s">
        <v>933</v>
      </c>
      <c r="E168" s="8" t="s">
        <v>829</v>
      </c>
      <c r="F168" s="8" t="s">
        <v>88</v>
      </c>
      <c r="G168" s="8" t="s">
        <v>768</v>
      </c>
    </row>
    <row r="169" customFormat="false" ht="15" hidden="false" customHeight="false" outlineLevel="0" collapsed="false">
      <c r="A169" s="8" t="s">
        <v>87</v>
      </c>
      <c r="B169" s="8" t="s">
        <v>23</v>
      </c>
      <c r="C169" s="8" t="n">
        <v>143062</v>
      </c>
      <c r="D169" s="8" t="s">
        <v>934</v>
      </c>
      <c r="E169" s="8" t="s">
        <v>829</v>
      </c>
      <c r="F169" s="8" t="s">
        <v>88</v>
      </c>
      <c r="G169" s="8" t="s">
        <v>768</v>
      </c>
    </row>
    <row r="170" customFormat="false" ht="15" hidden="false" customHeight="false" outlineLevel="0" collapsed="false">
      <c r="A170" s="8" t="s">
        <v>87</v>
      </c>
      <c r="B170" s="8" t="s">
        <v>23</v>
      </c>
      <c r="C170" s="8" t="n">
        <v>143078</v>
      </c>
      <c r="D170" s="8" t="s">
        <v>935</v>
      </c>
      <c r="E170" s="8" t="s">
        <v>829</v>
      </c>
      <c r="F170" s="8" t="s">
        <v>88</v>
      </c>
      <c r="G170" s="8" t="s">
        <v>768</v>
      </c>
    </row>
    <row r="171" customFormat="false" ht="15" hidden="false" customHeight="false" outlineLevel="0" collapsed="false">
      <c r="A171" s="8" t="s">
        <v>87</v>
      </c>
      <c r="B171" s="8" t="s">
        <v>23</v>
      </c>
      <c r="C171" s="8" t="n">
        <v>143089</v>
      </c>
      <c r="D171" s="8" t="s">
        <v>936</v>
      </c>
      <c r="E171" s="8" t="s">
        <v>829</v>
      </c>
      <c r="F171" s="8" t="s">
        <v>88</v>
      </c>
      <c r="G171" s="8" t="s">
        <v>768</v>
      </c>
    </row>
    <row r="172" customFormat="false" ht="15" hidden="false" customHeight="false" outlineLevel="0" collapsed="false">
      <c r="A172" s="8" t="s">
        <v>87</v>
      </c>
      <c r="B172" s="8" t="s">
        <v>23</v>
      </c>
      <c r="C172" s="8" t="n">
        <v>143096</v>
      </c>
      <c r="D172" s="8" t="s">
        <v>937</v>
      </c>
      <c r="E172" s="8" t="s">
        <v>829</v>
      </c>
      <c r="F172" s="8" t="s">
        <v>88</v>
      </c>
      <c r="G172" s="8" t="s">
        <v>768</v>
      </c>
    </row>
    <row r="173" customFormat="false" ht="15" hidden="false" customHeight="false" outlineLevel="0" collapsed="false">
      <c r="A173" s="8" t="s">
        <v>87</v>
      </c>
      <c r="B173" s="8" t="s">
        <v>23</v>
      </c>
      <c r="C173" s="8" t="n">
        <v>143097</v>
      </c>
      <c r="D173" s="8" t="s">
        <v>938</v>
      </c>
      <c r="E173" s="8" t="s">
        <v>829</v>
      </c>
      <c r="F173" s="8" t="s">
        <v>88</v>
      </c>
      <c r="G173" s="8" t="s">
        <v>768</v>
      </c>
    </row>
    <row r="174" customFormat="false" ht="15" hidden="false" customHeight="false" outlineLevel="0" collapsed="false">
      <c r="A174" s="8" t="s">
        <v>87</v>
      </c>
      <c r="B174" s="8" t="s">
        <v>23</v>
      </c>
      <c r="C174" s="8" t="n">
        <v>143099</v>
      </c>
      <c r="D174" s="8" t="s">
        <v>939</v>
      </c>
      <c r="E174" s="8" t="s">
        <v>829</v>
      </c>
      <c r="F174" s="8" t="s">
        <v>88</v>
      </c>
      <c r="G174" s="8" t="s">
        <v>768</v>
      </c>
    </row>
    <row r="175" customFormat="false" ht="15" hidden="false" customHeight="false" outlineLevel="0" collapsed="false">
      <c r="A175" s="8" t="s">
        <v>87</v>
      </c>
      <c r="B175" s="8" t="s">
        <v>23</v>
      </c>
      <c r="C175" s="8" t="n">
        <v>143100</v>
      </c>
      <c r="D175" s="8" t="s">
        <v>940</v>
      </c>
      <c r="E175" s="8" t="s">
        <v>829</v>
      </c>
      <c r="F175" s="8" t="s">
        <v>88</v>
      </c>
      <c r="G175" s="8" t="s">
        <v>768</v>
      </c>
    </row>
    <row r="176" customFormat="false" ht="15" hidden="false" customHeight="false" outlineLevel="0" collapsed="false">
      <c r="A176" s="8" t="s">
        <v>87</v>
      </c>
      <c r="B176" s="8" t="s">
        <v>23</v>
      </c>
      <c r="C176" s="8" t="n">
        <v>143102</v>
      </c>
      <c r="D176" s="8" t="s">
        <v>941</v>
      </c>
      <c r="E176" s="8" t="s">
        <v>829</v>
      </c>
      <c r="F176" s="8" t="s">
        <v>88</v>
      </c>
      <c r="G176" s="8" t="s">
        <v>768</v>
      </c>
    </row>
    <row r="177" customFormat="false" ht="15" hidden="false" customHeight="false" outlineLevel="0" collapsed="false">
      <c r="A177" s="8" t="s">
        <v>87</v>
      </c>
      <c r="B177" s="8" t="s">
        <v>23</v>
      </c>
      <c r="C177" s="8" t="n">
        <v>143104</v>
      </c>
      <c r="D177" s="8" t="s">
        <v>942</v>
      </c>
      <c r="E177" s="8" t="s">
        <v>829</v>
      </c>
      <c r="F177" s="8" t="s">
        <v>88</v>
      </c>
      <c r="G177" s="8" t="s">
        <v>768</v>
      </c>
    </row>
    <row r="178" customFormat="false" ht="15" hidden="false" customHeight="false" outlineLevel="0" collapsed="false">
      <c r="A178" s="8" t="s">
        <v>87</v>
      </c>
      <c r="B178" s="8" t="s">
        <v>23</v>
      </c>
      <c r="C178" s="8" t="n">
        <v>143106</v>
      </c>
      <c r="D178" s="8" t="s">
        <v>943</v>
      </c>
      <c r="E178" s="8" t="s">
        <v>829</v>
      </c>
      <c r="F178" s="8" t="s">
        <v>88</v>
      </c>
      <c r="G178" s="8" t="s">
        <v>768</v>
      </c>
    </row>
    <row r="179" customFormat="false" ht="15" hidden="false" customHeight="false" outlineLevel="0" collapsed="false">
      <c r="A179" s="8" t="s">
        <v>87</v>
      </c>
      <c r="B179" s="8" t="s">
        <v>23</v>
      </c>
      <c r="C179" s="8" t="n">
        <v>143107</v>
      </c>
      <c r="D179" s="8" t="s">
        <v>944</v>
      </c>
      <c r="E179" s="8" t="s">
        <v>829</v>
      </c>
      <c r="F179" s="8" t="s">
        <v>88</v>
      </c>
      <c r="G179" s="8" t="s">
        <v>768</v>
      </c>
    </row>
    <row r="180" customFormat="false" ht="15" hidden="false" customHeight="false" outlineLevel="0" collapsed="false">
      <c r="A180" s="8" t="s">
        <v>87</v>
      </c>
      <c r="B180" s="8" t="s">
        <v>23</v>
      </c>
      <c r="C180" s="8" t="n">
        <v>143110</v>
      </c>
      <c r="D180" s="8" t="s">
        <v>945</v>
      </c>
      <c r="E180" s="8" t="s">
        <v>829</v>
      </c>
      <c r="F180" s="8" t="s">
        <v>88</v>
      </c>
      <c r="G180" s="8" t="s">
        <v>768</v>
      </c>
    </row>
    <row r="181" customFormat="false" ht="15" hidden="false" customHeight="false" outlineLevel="0" collapsed="false">
      <c r="A181" s="8" t="s">
        <v>87</v>
      </c>
      <c r="B181" s="8" t="s">
        <v>23</v>
      </c>
      <c r="C181" s="8" t="n">
        <v>143126</v>
      </c>
      <c r="D181" s="8" t="s">
        <v>946</v>
      </c>
      <c r="E181" s="8" t="s">
        <v>829</v>
      </c>
      <c r="F181" s="8" t="s">
        <v>88</v>
      </c>
      <c r="G181" s="8" t="s">
        <v>768</v>
      </c>
    </row>
    <row r="182" customFormat="false" ht="15" hidden="false" customHeight="false" outlineLevel="0" collapsed="false">
      <c r="A182" s="8" t="s">
        <v>87</v>
      </c>
      <c r="B182" s="8" t="s">
        <v>23</v>
      </c>
      <c r="C182" s="8" t="n">
        <v>143142</v>
      </c>
      <c r="D182" s="8" t="s">
        <v>947</v>
      </c>
      <c r="E182" s="8" t="s">
        <v>829</v>
      </c>
      <c r="F182" s="8" t="s">
        <v>88</v>
      </c>
      <c r="G182" s="8" t="s">
        <v>768</v>
      </c>
    </row>
    <row r="183" customFormat="false" ht="15" hidden="false" customHeight="false" outlineLevel="0" collapsed="false">
      <c r="A183" s="8" t="s">
        <v>87</v>
      </c>
      <c r="B183" s="8" t="s">
        <v>23</v>
      </c>
      <c r="C183" s="8" t="n">
        <v>143148</v>
      </c>
      <c r="D183" s="8" t="s">
        <v>948</v>
      </c>
      <c r="E183" s="8" t="s">
        <v>829</v>
      </c>
      <c r="F183" s="8" t="s">
        <v>88</v>
      </c>
      <c r="G183" s="8" t="s">
        <v>768</v>
      </c>
    </row>
    <row r="184" customFormat="false" ht="15" hidden="false" customHeight="false" outlineLevel="0" collapsed="false">
      <c r="A184" s="8" t="s">
        <v>87</v>
      </c>
      <c r="B184" s="8" t="s">
        <v>23</v>
      </c>
      <c r="C184" s="8" t="n">
        <v>143235</v>
      </c>
      <c r="D184" s="8" t="s">
        <v>949</v>
      </c>
      <c r="E184" s="8" t="s">
        <v>829</v>
      </c>
      <c r="F184" s="8" t="s">
        <v>88</v>
      </c>
      <c r="G184" s="8" t="s">
        <v>768</v>
      </c>
    </row>
    <row r="185" customFormat="false" ht="15" hidden="false" customHeight="false" outlineLevel="0" collapsed="false">
      <c r="A185" s="8" t="s">
        <v>87</v>
      </c>
      <c r="B185" s="8" t="s">
        <v>23</v>
      </c>
      <c r="C185" s="8" t="n">
        <v>143243</v>
      </c>
      <c r="D185" s="8" t="s">
        <v>950</v>
      </c>
      <c r="E185" s="8" t="s">
        <v>829</v>
      </c>
      <c r="F185" s="8" t="s">
        <v>88</v>
      </c>
      <c r="G185" s="8" t="s">
        <v>768</v>
      </c>
    </row>
    <row r="186" customFormat="false" ht="15" hidden="false" customHeight="false" outlineLevel="0" collapsed="false">
      <c r="A186" s="8" t="s">
        <v>87</v>
      </c>
      <c r="B186" s="8" t="s">
        <v>23</v>
      </c>
      <c r="C186" s="8" t="n">
        <v>143273</v>
      </c>
      <c r="D186" s="8" t="s">
        <v>951</v>
      </c>
      <c r="E186" s="8" t="s">
        <v>829</v>
      </c>
      <c r="F186" s="8" t="s">
        <v>88</v>
      </c>
      <c r="G186" s="8" t="s">
        <v>768</v>
      </c>
    </row>
    <row r="187" customFormat="false" ht="15" hidden="false" customHeight="false" outlineLevel="0" collapsed="false">
      <c r="A187" s="8" t="s">
        <v>87</v>
      </c>
      <c r="B187" s="8" t="s">
        <v>23</v>
      </c>
      <c r="C187" s="8" t="n">
        <v>143288</v>
      </c>
      <c r="D187" s="8" t="s">
        <v>952</v>
      </c>
      <c r="E187" s="8" t="s">
        <v>829</v>
      </c>
      <c r="F187" s="8" t="s">
        <v>88</v>
      </c>
      <c r="G187" s="8" t="s">
        <v>768</v>
      </c>
    </row>
    <row r="188" customFormat="false" ht="15" hidden="false" customHeight="false" outlineLevel="0" collapsed="false">
      <c r="A188" s="8" t="s">
        <v>87</v>
      </c>
      <c r="B188" s="8" t="s">
        <v>23</v>
      </c>
      <c r="C188" s="8" t="n">
        <v>143296</v>
      </c>
      <c r="D188" s="8" t="s">
        <v>953</v>
      </c>
      <c r="E188" s="8" t="s">
        <v>829</v>
      </c>
      <c r="F188" s="8" t="s">
        <v>88</v>
      </c>
      <c r="G188" s="8" t="s">
        <v>768</v>
      </c>
    </row>
  </sheetData>
  <autoFilter ref="A1:G1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9"/>
    <col collapsed="false" customWidth="true" hidden="false" outlineLevel="0" max="5" min="4" style="0" width="42"/>
    <col collapsed="false" customWidth="true" hidden="false" outlineLevel="0" max="9" min="6" style="0" width="10"/>
    <col collapsed="false" customWidth="true" hidden="false" outlineLevel="0" max="11" min="10" style="0" width="9"/>
  </cols>
  <sheetData>
    <row r="1" customFormat="false" ht="15" hidden="false" customHeight="false" outlineLevel="0" collapsed="false">
      <c r="A1" s="13" t="s">
        <v>954</v>
      </c>
    </row>
    <row r="3" customFormat="false" ht="42" hidden="false" customHeight="true" outlineLevel="0" collapsed="false">
      <c r="A3" s="7" t="s">
        <v>955</v>
      </c>
      <c r="B3" s="7" t="s">
        <v>10</v>
      </c>
      <c r="C3" s="7" t="s">
        <v>269</v>
      </c>
      <c r="D3" s="7" t="s">
        <v>270</v>
      </c>
      <c r="E3" s="7" t="s">
        <v>39</v>
      </c>
      <c r="F3" s="7" t="s">
        <v>956</v>
      </c>
      <c r="G3" s="7" t="s">
        <v>957</v>
      </c>
      <c r="H3" s="7" t="s">
        <v>958</v>
      </c>
      <c r="I3" s="7" t="s">
        <v>959</v>
      </c>
      <c r="J3" s="7" t="s">
        <v>960</v>
      </c>
      <c r="K3" s="7" t="s">
        <v>16</v>
      </c>
    </row>
    <row r="4" customFormat="false" ht="15" hidden="false" customHeight="false" outlineLevel="0" collapsed="false">
      <c r="A4" s="8" t="s">
        <v>961</v>
      </c>
      <c r="B4" s="8" t="s">
        <v>31</v>
      </c>
      <c r="C4" s="8" t="n">
        <v>154470</v>
      </c>
      <c r="D4" s="8" t="s">
        <v>962</v>
      </c>
      <c r="E4" s="8" t="s">
        <v>250</v>
      </c>
      <c r="F4" s="4" t="n">
        <v>155000</v>
      </c>
      <c r="G4" s="4" t="n">
        <v>95000</v>
      </c>
      <c r="H4" s="4" t="n">
        <v>39000</v>
      </c>
      <c r="I4" s="4" t="n">
        <f aca="false">H4-G4</f>
        <v>-56000</v>
      </c>
      <c r="J4" s="5" t="n">
        <f aca="false">IFERROR(I4/H4,0)</f>
        <v>-1.43589743589744</v>
      </c>
      <c r="K4" s="4" t="n">
        <v>0</v>
      </c>
    </row>
    <row r="5" customFormat="false" ht="15" hidden="false" customHeight="false" outlineLevel="0" collapsed="false">
      <c r="A5" s="8" t="s">
        <v>961</v>
      </c>
      <c r="B5" s="8" t="s">
        <v>31</v>
      </c>
      <c r="C5" s="8" t="n">
        <v>154466</v>
      </c>
      <c r="D5" s="8" t="s">
        <v>963</v>
      </c>
      <c r="E5" s="8" t="s">
        <v>250</v>
      </c>
      <c r="F5" s="4" t="n">
        <v>115000</v>
      </c>
      <c r="G5" s="4" t="n">
        <v>74000</v>
      </c>
      <c r="H5" s="4" t="n">
        <v>39000</v>
      </c>
      <c r="I5" s="4" t="n">
        <f aca="false">H5-G5</f>
        <v>-35000</v>
      </c>
      <c r="J5" s="5" t="n">
        <f aca="false">IFERROR(I5/H5,0)</f>
        <v>-0.897435897435898</v>
      </c>
      <c r="K5" s="4" t="n">
        <v>0</v>
      </c>
    </row>
    <row r="6" customFormat="false" ht="15" hidden="false" customHeight="false" outlineLevel="0" collapsed="false">
      <c r="A6" s="8" t="s">
        <v>961</v>
      </c>
      <c r="B6" s="8" t="s">
        <v>20</v>
      </c>
      <c r="C6" s="8" t="n">
        <v>101962</v>
      </c>
      <c r="D6" s="8" t="s">
        <v>642</v>
      </c>
      <c r="E6" s="8" t="s">
        <v>252</v>
      </c>
      <c r="F6" s="4" t="n">
        <v>285000</v>
      </c>
      <c r="G6" s="4" t="n">
        <v>185000</v>
      </c>
      <c r="H6" s="4" t="n">
        <v>100000</v>
      </c>
      <c r="I6" s="4" t="n">
        <f aca="false">H6-G6</f>
        <v>-85000</v>
      </c>
      <c r="J6" s="5" t="n">
        <f aca="false">IFERROR(I6/H6,0)</f>
        <v>-0.85</v>
      </c>
      <c r="K6" s="4" t="n">
        <v>0</v>
      </c>
    </row>
    <row r="7" customFormat="false" ht="15" hidden="false" customHeight="false" outlineLevel="0" collapsed="false">
      <c r="A7" s="8" t="s">
        <v>961</v>
      </c>
      <c r="B7" s="8" t="s">
        <v>31</v>
      </c>
      <c r="C7" s="8" t="n">
        <v>154463</v>
      </c>
      <c r="D7" s="8" t="s">
        <v>964</v>
      </c>
      <c r="E7" s="8" t="s">
        <v>250</v>
      </c>
      <c r="F7" s="4" t="n">
        <v>115000</v>
      </c>
      <c r="G7" s="4" t="n">
        <v>70000</v>
      </c>
      <c r="H7" s="4" t="n">
        <v>39000</v>
      </c>
      <c r="I7" s="4" t="n">
        <f aca="false">H7-G7</f>
        <v>-31000</v>
      </c>
      <c r="J7" s="5" t="n">
        <f aca="false">IFERROR(I7/H7,0)</f>
        <v>-0.794871794871795</v>
      </c>
      <c r="K7" s="4" t="n">
        <v>0</v>
      </c>
    </row>
    <row r="8" customFormat="false" ht="15" hidden="false" customHeight="false" outlineLevel="0" collapsed="false">
      <c r="A8" s="8" t="s">
        <v>961</v>
      </c>
      <c r="B8" s="8" t="s">
        <v>20</v>
      </c>
      <c r="C8" s="8" t="n">
        <v>101963</v>
      </c>
      <c r="D8" s="8" t="s">
        <v>965</v>
      </c>
      <c r="E8" s="8" t="s">
        <v>252</v>
      </c>
      <c r="F8" s="4" t="n">
        <v>325000</v>
      </c>
      <c r="G8" s="4" t="n">
        <v>176300</v>
      </c>
      <c r="H8" s="4" t="n">
        <v>100000</v>
      </c>
      <c r="I8" s="4" t="n">
        <f aca="false">H8-G8</f>
        <v>-76300</v>
      </c>
      <c r="J8" s="5" t="n">
        <f aca="false">IFERROR(I8/H8,0)</f>
        <v>-0.763</v>
      </c>
      <c r="K8" s="4" t="n">
        <v>0</v>
      </c>
    </row>
    <row r="9" customFormat="false" ht="15" hidden="false" customHeight="false" outlineLevel="0" collapsed="false">
      <c r="A9" s="8" t="s">
        <v>961</v>
      </c>
      <c r="B9" s="8" t="s">
        <v>31</v>
      </c>
      <c r="C9" s="8" t="n">
        <v>153713</v>
      </c>
      <c r="D9" s="8" t="s">
        <v>966</v>
      </c>
      <c r="E9" s="8" t="s">
        <v>250</v>
      </c>
      <c r="F9" s="4" t="n">
        <v>115000</v>
      </c>
      <c r="G9" s="4" t="n">
        <v>68000</v>
      </c>
      <c r="H9" s="4" t="n">
        <v>39000</v>
      </c>
      <c r="I9" s="4" t="n">
        <f aca="false">H9-G9</f>
        <v>-29000</v>
      </c>
      <c r="J9" s="5" t="n">
        <f aca="false">IFERROR(I9/H9,0)</f>
        <v>-0.743589743589744</v>
      </c>
      <c r="K9" s="4" t="n">
        <v>0</v>
      </c>
    </row>
    <row r="10" customFormat="false" ht="15" hidden="false" customHeight="false" outlineLevel="0" collapsed="false">
      <c r="A10" s="8" t="s">
        <v>961</v>
      </c>
      <c r="B10" s="8" t="s">
        <v>22</v>
      </c>
      <c r="C10" s="8" t="n">
        <v>231199</v>
      </c>
      <c r="D10" s="8" t="s">
        <v>967</v>
      </c>
      <c r="E10" s="8" t="s">
        <v>58</v>
      </c>
      <c r="F10" s="4" t="n">
        <v>250000</v>
      </c>
      <c r="G10" s="4" t="n">
        <v>275500</v>
      </c>
      <c r="H10" s="4" t="n">
        <v>225000</v>
      </c>
      <c r="I10" s="4" t="n">
        <f aca="false">H10-G10</f>
        <v>-50500</v>
      </c>
      <c r="J10" s="5" t="n">
        <f aca="false">IFERROR(I10/H10,0)</f>
        <v>-0.224444444444444</v>
      </c>
      <c r="K10" s="4" t="n">
        <v>0</v>
      </c>
    </row>
    <row r="11" customFormat="false" ht="15" hidden="false" customHeight="false" outlineLevel="0" collapsed="false">
      <c r="A11" s="8" t="s">
        <v>961</v>
      </c>
      <c r="B11" s="8" t="s">
        <v>20</v>
      </c>
      <c r="C11" s="8" t="n">
        <v>101868</v>
      </c>
      <c r="D11" s="8" t="s">
        <v>968</v>
      </c>
      <c r="E11" s="8" t="s">
        <v>244</v>
      </c>
      <c r="F11" s="4" t="n">
        <v>695000</v>
      </c>
      <c r="G11" s="4" t="n">
        <v>530000</v>
      </c>
      <c r="H11" s="4" t="n">
        <v>452000</v>
      </c>
      <c r="I11" s="4" t="n">
        <f aca="false">H11-G11</f>
        <v>-78000</v>
      </c>
      <c r="J11" s="5" t="n">
        <f aca="false">IFERROR(I11/H11,0)</f>
        <v>-0.172566371681416</v>
      </c>
      <c r="K11" s="4" t="n">
        <v>0</v>
      </c>
    </row>
    <row r="12" customFormat="false" ht="15" hidden="false" customHeight="false" outlineLevel="0" collapsed="false">
      <c r="A12" s="8" t="s">
        <v>961</v>
      </c>
      <c r="B12" s="8" t="s">
        <v>21</v>
      </c>
      <c r="C12" s="8" t="n">
        <v>110762</v>
      </c>
      <c r="D12" s="8" t="s">
        <v>969</v>
      </c>
      <c r="E12" s="8" t="s">
        <v>238</v>
      </c>
      <c r="F12" s="4" t="n">
        <v>1390000</v>
      </c>
      <c r="G12" s="4" t="n">
        <v>999000</v>
      </c>
      <c r="H12" s="4" t="n">
        <v>904000</v>
      </c>
      <c r="I12" s="4" t="n">
        <f aca="false">H12-G12</f>
        <v>-95000</v>
      </c>
      <c r="J12" s="5" t="n">
        <f aca="false">IFERROR(I12/H12,0)</f>
        <v>-0.105088495575221</v>
      </c>
      <c r="K12" s="4" t="n">
        <v>0</v>
      </c>
    </row>
    <row r="13" customFormat="false" ht="15" hidden="false" customHeight="false" outlineLevel="0" collapsed="false">
      <c r="A13" s="8" t="s">
        <v>970</v>
      </c>
      <c r="B13" s="8" t="s">
        <v>24</v>
      </c>
      <c r="C13" s="8" t="n">
        <v>220067</v>
      </c>
      <c r="D13" s="8" t="s">
        <v>971</v>
      </c>
      <c r="E13" s="8" t="s">
        <v>264</v>
      </c>
      <c r="F13" s="4" t="n">
        <v>260000</v>
      </c>
      <c r="G13" s="4" t="n">
        <v>999999999</v>
      </c>
      <c r="H13" s="4" t="n">
        <v>100000</v>
      </c>
      <c r="I13" s="4" t="n">
        <f aca="false">H13-G13</f>
        <v>-999899999</v>
      </c>
      <c r="J13" s="5" t="n">
        <f aca="false">IFERROR(I13/H13,0)</f>
        <v>-9998.99999</v>
      </c>
      <c r="K13" s="4" t="n">
        <v>0</v>
      </c>
    </row>
    <row r="14" customFormat="false" ht="15" hidden="false" customHeight="false" outlineLevel="0" collapsed="false">
      <c r="A14" s="8" t="s">
        <v>970</v>
      </c>
      <c r="B14" s="8" t="s">
        <v>24</v>
      </c>
      <c r="C14" s="8" t="n">
        <v>220068</v>
      </c>
      <c r="D14" s="8" t="s">
        <v>789</v>
      </c>
      <c r="E14" s="8" t="s">
        <v>264</v>
      </c>
      <c r="F14" s="4" t="n">
        <v>260000</v>
      </c>
      <c r="G14" s="4" t="n">
        <v>999999999</v>
      </c>
      <c r="H14" s="4" t="n">
        <v>100000</v>
      </c>
      <c r="I14" s="4" t="n">
        <f aca="false">H14-G14</f>
        <v>-999899999</v>
      </c>
      <c r="J14" s="5" t="n">
        <f aca="false">IFERROR(I14/H14,0)</f>
        <v>-9998.99999</v>
      </c>
      <c r="K14" s="4" t="n">
        <v>0</v>
      </c>
    </row>
    <row r="15" customFormat="false" ht="15" hidden="false" customHeight="false" outlineLevel="0" collapsed="false">
      <c r="A15" s="8" t="s">
        <v>970</v>
      </c>
      <c r="B15" s="8" t="s">
        <v>24</v>
      </c>
      <c r="C15" s="8" t="n">
        <v>220069</v>
      </c>
      <c r="D15" s="8" t="s">
        <v>790</v>
      </c>
      <c r="E15" s="8" t="s">
        <v>264</v>
      </c>
      <c r="F15" s="4" t="n">
        <v>260000</v>
      </c>
      <c r="G15" s="4" t="n">
        <v>999999999</v>
      </c>
      <c r="H15" s="4" t="n">
        <v>100000</v>
      </c>
      <c r="I15" s="4" t="n">
        <f aca="false">H15-G15</f>
        <v>-999899999</v>
      </c>
      <c r="J15" s="5" t="n">
        <f aca="false">IFERROR(I15/H15,0)</f>
        <v>-9998.99999</v>
      </c>
      <c r="K15" s="4" t="n">
        <v>0</v>
      </c>
    </row>
    <row r="16" customFormat="false" ht="15" hidden="false" customHeight="false" outlineLevel="0" collapsed="false">
      <c r="A16" s="8" t="s">
        <v>970</v>
      </c>
      <c r="B16" s="8" t="s">
        <v>24</v>
      </c>
      <c r="C16" s="8" t="n">
        <v>220061</v>
      </c>
      <c r="D16" s="8" t="s">
        <v>791</v>
      </c>
      <c r="E16" s="8" t="s">
        <v>264</v>
      </c>
      <c r="F16" s="4" t="n">
        <v>260000</v>
      </c>
      <c r="G16" s="4" t="n">
        <v>999999999</v>
      </c>
      <c r="H16" s="4" t="n">
        <v>100000</v>
      </c>
      <c r="I16" s="4" t="n">
        <f aca="false">H16-G16</f>
        <v>-999899999</v>
      </c>
      <c r="J16" s="5" t="n">
        <f aca="false">IFERROR(I16/H16,0)</f>
        <v>-9998.99999</v>
      </c>
      <c r="K16" s="4" t="n">
        <v>0</v>
      </c>
    </row>
    <row r="17" customFormat="false" ht="15" hidden="false" customHeight="false" outlineLevel="0" collapsed="false">
      <c r="A17" s="8" t="s">
        <v>970</v>
      </c>
      <c r="B17" s="8" t="s">
        <v>24</v>
      </c>
      <c r="C17" s="8" t="n">
        <v>220062</v>
      </c>
      <c r="D17" s="8" t="s">
        <v>792</v>
      </c>
      <c r="E17" s="8" t="s">
        <v>264</v>
      </c>
      <c r="F17" s="4" t="n">
        <v>260000</v>
      </c>
      <c r="G17" s="4" t="n">
        <v>999999999</v>
      </c>
      <c r="H17" s="4" t="n">
        <v>100000</v>
      </c>
      <c r="I17" s="4" t="n">
        <f aca="false">H17-G17</f>
        <v>-999899999</v>
      </c>
      <c r="J17" s="5" t="n">
        <f aca="false">IFERROR(I17/H17,0)</f>
        <v>-9998.99999</v>
      </c>
      <c r="K17" s="4" t="n">
        <v>0</v>
      </c>
    </row>
    <row r="18" customFormat="false" ht="15" hidden="false" customHeight="false" outlineLevel="0" collapsed="false">
      <c r="A18" s="8" t="s">
        <v>970</v>
      </c>
      <c r="B18" s="8" t="s">
        <v>24</v>
      </c>
      <c r="C18" s="8" t="n">
        <v>220063</v>
      </c>
      <c r="D18" s="8" t="s">
        <v>793</v>
      </c>
      <c r="E18" s="8" t="s">
        <v>264</v>
      </c>
      <c r="F18" s="4" t="n">
        <v>260000</v>
      </c>
      <c r="G18" s="4" t="n">
        <v>999999999</v>
      </c>
      <c r="H18" s="4" t="n">
        <v>100000</v>
      </c>
      <c r="I18" s="4" t="n">
        <f aca="false">H18-G18</f>
        <v>-999899999</v>
      </c>
      <c r="J18" s="5" t="n">
        <f aca="false">IFERROR(I18/H18,0)</f>
        <v>-9998.99999</v>
      </c>
      <c r="K18" s="4" t="n">
        <v>0</v>
      </c>
    </row>
    <row r="19" customFormat="false" ht="15" hidden="false" customHeight="false" outlineLevel="0" collapsed="false">
      <c r="A19" s="8" t="s">
        <v>970</v>
      </c>
      <c r="B19" s="8" t="s">
        <v>24</v>
      </c>
      <c r="C19" s="8" t="n">
        <v>220064</v>
      </c>
      <c r="D19" s="8" t="s">
        <v>795</v>
      </c>
      <c r="E19" s="8" t="s">
        <v>264</v>
      </c>
      <c r="F19" s="4" t="n">
        <v>260000</v>
      </c>
      <c r="G19" s="4" t="n">
        <v>999999999</v>
      </c>
      <c r="H19" s="4" t="n">
        <v>100000</v>
      </c>
      <c r="I19" s="4" t="n">
        <f aca="false">H19-G19</f>
        <v>-999899999</v>
      </c>
      <c r="J19" s="5" t="n">
        <f aca="false">IFERROR(I19/H19,0)</f>
        <v>-9998.99999</v>
      </c>
      <c r="K19" s="4" t="n">
        <v>0</v>
      </c>
    </row>
    <row r="20" customFormat="false" ht="15" hidden="false" customHeight="false" outlineLevel="0" collapsed="false">
      <c r="A20" s="8" t="s">
        <v>970</v>
      </c>
      <c r="B20" s="8" t="s">
        <v>24</v>
      </c>
      <c r="C20" s="8" t="n">
        <v>220065</v>
      </c>
      <c r="D20" s="8" t="s">
        <v>796</v>
      </c>
      <c r="E20" s="8" t="s">
        <v>264</v>
      </c>
      <c r="F20" s="4" t="n">
        <v>260000</v>
      </c>
      <c r="G20" s="4" t="n">
        <v>999999999</v>
      </c>
      <c r="H20" s="4" t="n">
        <v>100000</v>
      </c>
      <c r="I20" s="4" t="n">
        <f aca="false">H20-G20</f>
        <v>-999899999</v>
      </c>
      <c r="J20" s="5" t="n">
        <f aca="false">IFERROR(I20/H20,0)</f>
        <v>-9998.99999</v>
      </c>
      <c r="K20" s="4" t="n">
        <v>0</v>
      </c>
    </row>
    <row r="21" customFormat="false" ht="15" hidden="false" customHeight="false" outlineLevel="0" collapsed="false">
      <c r="A21" s="8" t="s">
        <v>970</v>
      </c>
      <c r="B21" s="8" t="s">
        <v>24</v>
      </c>
      <c r="C21" s="8" t="n">
        <v>220066</v>
      </c>
      <c r="D21" s="8" t="s">
        <v>797</v>
      </c>
      <c r="E21" s="8" t="s">
        <v>264</v>
      </c>
      <c r="F21" s="4" t="n">
        <v>260000</v>
      </c>
      <c r="G21" s="4" t="n">
        <v>999999999</v>
      </c>
      <c r="H21" s="4" t="n">
        <v>100000</v>
      </c>
      <c r="I21" s="4" t="n">
        <f aca="false">H21-G21</f>
        <v>-999899999</v>
      </c>
      <c r="J21" s="5" t="n">
        <f aca="false">IFERROR(I21/H21,0)</f>
        <v>-9998.99999</v>
      </c>
      <c r="K21" s="4" t="n">
        <v>0</v>
      </c>
    </row>
    <row r="22" customFormat="false" ht="15" hidden="false" customHeight="false" outlineLevel="0" collapsed="false">
      <c r="A22" s="8" t="s">
        <v>970</v>
      </c>
      <c r="B22" s="8" t="s">
        <v>24</v>
      </c>
      <c r="C22" s="8" t="n">
        <v>220070</v>
      </c>
      <c r="D22" s="8" t="s">
        <v>797</v>
      </c>
      <c r="E22" s="8" t="s">
        <v>264</v>
      </c>
      <c r="F22" s="4" t="n">
        <v>260000</v>
      </c>
      <c r="G22" s="4" t="n">
        <v>999999999</v>
      </c>
      <c r="H22" s="4" t="n">
        <v>100000</v>
      </c>
      <c r="I22" s="4" t="n">
        <f aca="false">H22-G22</f>
        <v>-999899999</v>
      </c>
      <c r="J22" s="5" t="n">
        <f aca="false">IFERROR(I22/H22,0)</f>
        <v>-9998.99999</v>
      </c>
      <c r="K22" s="4" t="n">
        <v>0</v>
      </c>
    </row>
    <row r="23" customFormat="false" ht="15" hidden="false" customHeight="false" outlineLevel="0" collapsed="false">
      <c r="A23" s="8" t="s">
        <v>970</v>
      </c>
      <c r="B23" s="8" t="s">
        <v>23</v>
      </c>
      <c r="C23" s="8" t="n">
        <v>176087</v>
      </c>
      <c r="D23" s="8" t="s">
        <v>824</v>
      </c>
      <c r="E23" s="8" t="s">
        <v>140</v>
      </c>
      <c r="F23" s="4" t="n">
        <v>195000</v>
      </c>
      <c r="G23" s="4" t="n">
        <v>150000</v>
      </c>
      <c r="H23" s="4" t="n">
        <v>20000</v>
      </c>
      <c r="I23" s="4" t="n">
        <f aca="false">H23-G23</f>
        <v>-130000</v>
      </c>
      <c r="J23" s="5" t="n">
        <f aca="false">IFERROR(I23/H23,0)</f>
        <v>-6.5</v>
      </c>
      <c r="K23" s="4" t="n">
        <v>0</v>
      </c>
    </row>
    <row r="24" customFormat="false" ht="15" hidden="false" customHeight="false" outlineLevel="0" collapsed="false">
      <c r="A24" s="8" t="s">
        <v>970</v>
      </c>
      <c r="B24" s="8" t="s">
        <v>23</v>
      </c>
      <c r="C24" s="8" t="n">
        <v>175919</v>
      </c>
      <c r="D24" s="8" t="s">
        <v>825</v>
      </c>
      <c r="E24" s="8" t="s">
        <v>140</v>
      </c>
      <c r="F24" s="4" t="n">
        <v>195000</v>
      </c>
      <c r="G24" s="4" t="n">
        <v>150000</v>
      </c>
      <c r="H24" s="4" t="n">
        <v>20000</v>
      </c>
      <c r="I24" s="4" t="n">
        <f aca="false">H24-G24</f>
        <v>-130000</v>
      </c>
      <c r="J24" s="5" t="n">
        <f aca="false">IFERROR(I24/H24,0)</f>
        <v>-6.5</v>
      </c>
      <c r="K24" s="4" t="n">
        <v>0</v>
      </c>
    </row>
    <row r="25" customFormat="false" ht="15" hidden="false" customHeight="false" outlineLevel="0" collapsed="false">
      <c r="A25" s="8" t="s">
        <v>970</v>
      </c>
      <c r="B25" s="8" t="s">
        <v>23</v>
      </c>
      <c r="C25" s="8" t="n">
        <v>142453</v>
      </c>
      <c r="D25" s="8" t="s">
        <v>972</v>
      </c>
      <c r="E25" s="8" t="s">
        <v>140</v>
      </c>
      <c r="F25" s="4" t="n">
        <v>189000</v>
      </c>
      <c r="G25" s="4" t="n">
        <v>115000</v>
      </c>
      <c r="H25" s="4" t="n">
        <v>20000</v>
      </c>
      <c r="I25" s="4" t="n">
        <f aca="false">H25-G25</f>
        <v>-95000</v>
      </c>
      <c r="J25" s="5" t="n">
        <f aca="false">IFERROR(I25/H25,0)</f>
        <v>-4.75</v>
      </c>
      <c r="K25" s="4" t="n">
        <v>0</v>
      </c>
    </row>
    <row r="26" customFormat="false" ht="15" hidden="false" customHeight="false" outlineLevel="0" collapsed="false">
      <c r="A26" s="8" t="s">
        <v>970</v>
      </c>
      <c r="B26" s="8" t="s">
        <v>23</v>
      </c>
      <c r="C26" s="8" t="n">
        <v>142455</v>
      </c>
      <c r="D26" s="8" t="s">
        <v>822</v>
      </c>
      <c r="E26" s="8" t="s">
        <v>140</v>
      </c>
      <c r="F26" s="4" t="n">
        <v>189000</v>
      </c>
      <c r="G26" s="4" t="n">
        <v>115000</v>
      </c>
      <c r="H26" s="4" t="n">
        <v>20000</v>
      </c>
      <c r="I26" s="4" t="n">
        <f aca="false">H26-G26</f>
        <v>-95000</v>
      </c>
      <c r="J26" s="5" t="n">
        <f aca="false">IFERROR(I26/H26,0)</f>
        <v>-4.75</v>
      </c>
      <c r="K26" s="4" t="n">
        <v>0</v>
      </c>
    </row>
    <row r="27" customFormat="false" ht="15" hidden="false" customHeight="false" outlineLevel="0" collapsed="false">
      <c r="A27" s="8" t="s">
        <v>970</v>
      </c>
      <c r="B27" s="8" t="s">
        <v>23</v>
      </c>
      <c r="C27" s="8" t="n">
        <v>142451</v>
      </c>
      <c r="D27" s="8" t="s">
        <v>696</v>
      </c>
      <c r="E27" s="8" t="s">
        <v>140</v>
      </c>
      <c r="F27" s="4" t="n">
        <v>189000</v>
      </c>
      <c r="G27" s="4" t="n">
        <v>115000</v>
      </c>
      <c r="H27" s="4" t="n">
        <v>20000</v>
      </c>
      <c r="I27" s="4" t="n">
        <f aca="false">H27-G27</f>
        <v>-95000</v>
      </c>
      <c r="J27" s="5" t="n">
        <f aca="false">IFERROR(I27/H27,0)</f>
        <v>-4.75</v>
      </c>
      <c r="K27" s="4" t="n">
        <v>0</v>
      </c>
    </row>
    <row r="28" customFormat="false" ht="15" hidden="false" customHeight="false" outlineLevel="0" collapsed="false">
      <c r="A28" s="8" t="s">
        <v>970</v>
      </c>
      <c r="B28" s="8" t="s">
        <v>23</v>
      </c>
      <c r="C28" s="8" t="n">
        <v>142813</v>
      </c>
      <c r="D28" s="8" t="s">
        <v>702</v>
      </c>
      <c r="E28" s="8" t="s">
        <v>140</v>
      </c>
      <c r="F28" s="4" t="n">
        <v>189000</v>
      </c>
      <c r="G28" s="4" t="n">
        <v>115000</v>
      </c>
      <c r="H28" s="4" t="n">
        <v>20000</v>
      </c>
      <c r="I28" s="4" t="n">
        <f aca="false">H28-G28</f>
        <v>-95000</v>
      </c>
      <c r="J28" s="5" t="n">
        <f aca="false">IFERROR(I28/H28,0)</f>
        <v>-4.75</v>
      </c>
      <c r="K28" s="4" t="n">
        <v>0</v>
      </c>
    </row>
    <row r="29" customFormat="false" ht="15" hidden="false" customHeight="false" outlineLevel="0" collapsed="false">
      <c r="A29" s="8" t="s">
        <v>970</v>
      </c>
      <c r="B29" s="8" t="s">
        <v>23</v>
      </c>
      <c r="C29" s="8" t="n">
        <v>142997</v>
      </c>
      <c r="D29" s="8" t="s">
        <v>973</v>
      </c>
      <c r="E29" s="8" t="s">
        <v>140</v>
      </c>
      <c r="F29" s="4" t="n">
        <v>145000</v>
      </c>
      <c r="G29" s="4" t="n">
        <v>102000</v>
      </c>
      <c r="H29" s="4" t="n">
        <v>19000</v>
      </c>
      <c r="I29" s="4" t="n">
        <f aca="false">H29-G29</f>
        <v>-83000</v>
      </c>
      <c r="J29" s="5" t="n">
        <f aca="false">IFERROR(I29/H29,0)</f>
        <v>-4.36842105263158</v>
      </c>
      <c r="K29" s="4" t="n">
        <v>0</v>
      </c>
    </row>
    <row r="30" customFormat="false" ht="15" hidden="false" customHeight="false" outlineLevel="0" collapsed="false">
      <c r="A30" s="8" t="s">
        <v>970</v>
      </c>
      <c r="B30" s="8" t="s">
        <v>23</v>
      </c>
      <c r="C30" s="8" t="n">
        <v>143002</v>
      </c>
      <c r="D30" s="8" t="s">
        <v>974</v>
      </c>
      <c r="E30" s="8" t="s">
        <v>140</v>
      </c>
      <c r="F30" s="4" t="n">
        <v>145000</v>
      </c>
      <c r="G30" s="4" t="n">
        <v>102000</v>
      </c>
      <c r="H30" s="4" t="n">
        <v>19000</v>
      </c>
      <c r="I30" s="4" t="n">
        <f aca="false">H30-G30</f>
        <v>-83000</v>
      </c>
      <c r="J30" s="5" t="n">
        <f aca="false">IFERROR(I30/H30,0)</f>
        <v>-4.36842105263158</v>
      </c>
      <c r="K30" s="4" t="n">
        <v>0</v>
      </c>
    </row>
    <row r="31" customFormat="false" ht="15" hidden="false" customHeight="false" outlineLevel="0" collapsed="false">
      <c r="A31" s="8" t="s">
        <v>970</v>
      </c>
      <c r="B31" s="8" t="s">
        <v>23</v>
      </c>
      <c r="C31" s="8" t="n">
        <v>143017</v>
      </c>
      <c r="D31" s="8" t="s">
        <v>975</v>
      </c>
      <c r="E31" s="8" t="s">
        <v>140</v>
      </c>
      <c r="F31" s="4" t="n">
        <v>145000</v>
      </c>
      <c r="G31" s="4" t="n">
        <v>102000</v>
      </c>
      <c r="H31" s="4" t="n">
        <v>19000</v>
      </c>
      <c r="I31" s="4" t="n">
        <f aca="false">H31-G31</f>
        <v>-83000</v>
      </c>
      <c r="J31" s="5" t="n">
        <f aca="false">IFERROR(I31/H31,0)</f>
        <v>-4.36842105263158</v>
      </c>
      <c r="K31" s="4" t="n">
        <v>0</v>
      </c>
    </row>
    <row r="32" customFormat="false" ht="15" hidden="false" customHeight="false" outlineLevel="0" collapsed="false">
      <c r="A32" s="8" t="s">
        <v>970</v>
      </c>
      <c r="B32" s="8" t="s">
        <v>23</v>
      </c>
      <c r="C32" s="8" t="n">
        <v>142446</v>
      </c>
      <c r="D32" s="8" t="s">
        <v>976</v>
      </c>
      <c r="E32" s="8" t="s">
        <v>140</v>
      </c>
      <c r="F32" s="4" t="n">
        <v>159000</v>
      </c>
      <c r="G32" s="4" t="n">
        <v>105000</v>
      </c>
      <c r="H32" s="4" t="n">
        <v>20000</v>
      </c>
      <c r="I32" s="4" t="n">
        <f aca="false">H32-G32</f>
        <v>-85000</v>
      </c>
      <c r="J32" s="5" t="n">
        <f aca="false">IFERROR(I32/H32,0)</f>
        <v>-4.25</v>
      </c>
      <c r="K32" s="4" t="n">
        <v>0</v>
      </c>
    </row>
    <row r="33" customFormat="false" ht="15" hidden="false" customHeight="false" outlineLevel="0" collapsed="false">
      <c r="A33" s="8" t="s">
        <v>970</v>
      </c>
      <c r="B33" s="8" t="s">
        <v>23</v>
      </c>
      <c r="C33" s="8" t="n">
        <v>142452</v>
      </c>
      <c r="D33" s="8" t="s">
        <v>977</v>
      </c>
      <c r="E33" s="8" t="s">
        <v>140</v>
      </c>
      <c r="F33" s="4" t="n">
        <v>159000</v>
      </c>
      <c r="G33" s="4" t="n">
        <v>105000</v>
      </c>
      <c r="H33" s="4" t="n">
        <v>20000</v>
      </c>
      <c r="I33" s="4" t="n">
        <f aca="false">H33-G33</f>
        <v>-85000</v>
      </c>
      <c r="J33" s="5" t="n">
        <f aca="false">IFERROR(I33/H33,0)</f>
        <v>-4.25</v>
      </c>
      <c r="K33" s="4" t="n">
        <v>0</v>
      </c>
    </row>
    <row r="34" customFormat="false" ht="15" hidden="false" customHeight="false" outlineLevel="0" collapsed="false">
      <c r="A34" s="8" t="s">
        <v>970</v>
      </c>
      <c r="B34" s="8" t="s">
        <v>23</v>
      </c>
      <c r="C34" s="8" t="n">
        <v>142454</v>
      </c>
      <c r="D34" s="8" t="s">
        <v>978</v>
      </c>
      <c r="E34" s="8" t="s">
        <v>140</v>
      </c>
      <c r="F34" s="4" t="n">
        <v>159000</v>
      </c>
      <c r="G34" s="4" t="n">
        <v>105000</v>
      </c>
      <c r="H34" s="4" t="n">
        <v>20000</v>
      </c>
      <c r="I34" s="4" t="n">
        <f aca="false">H34-G34</f>
        <v>-85000</v>
      </c>
      <c r="J34" s="5" t="n">
        <f aca="false">IFERROR(I34/H34,0)</f>
        <v>-4.25</v>
      </c>
      <c r="K34" s="4" t="n">
        <v>0</v>
      </c>
    </row>
    <row r="35" customFormat="false" ht="15" hidden="false" customHeight="false" outlineLevel="0" collapsed="false">
      <c r="A35" s="8" t="s">
        <v>970</v>
      </c>
      <c r="B35" s="8" t="s">
        <v>23</v>
      </c>
      <c r="C35" s="8" t="n">
        <v>142814</v>
      </c>
      <c r="D35" s="8" t="s">
        <v>979</v>
      </c>
      <c r="E35" s="8" t="s">
        <v>140</v>
      </c>
      <c r="F35" s="4" t="n">
        <v>159000</v>
      </c>
      <c r="G35" s="4" t="n">
        <v>105000</v>
      </c>
      <c r="H35" s="4" t="n">
        <v>20000</v>
      </c>
      <c r="I35" s="4" t="n">
        <f aca="false">H35-G35</f>
        <v>-85000</v>
      </c>
      <c r="J35" s="5" t="n">
        <f aca="false">IFERROR(I35/H35,0)</f>
        <v>-4.25</v>
      </c>
      <c r="K35" s="4" t="n">
        <v>0</v>
      </c>
    </row>
    <row r="36" customFormat="false" ht="15" hidden="false" customHeight="false" outlineLevel="0" collapsed="false">
      <c r="A36" s="8" t="s">
        <v>970</v>
      </c>
      <c r="B36" s="8" t="s">
        <v>23</v>
      </c>
      <c r="C36" s="8" t="n">
        <v>176066</v>
      </c>
      <c r="D36" s="8" t="s">
        <v>819</v>
      </c>
      <c r="E36" s="8" t="s">
        <v>140</v>
      </c>
      <c r="F36" s="4" t="n">
        <v>120000</v>
      </c>
      <c r="G36" s="4" t="n">
        <v>95000</v>
      </c>
      <c r="H36" s="4" t="n">
        <v>19000</v>
      </c>
      <c r="I36" s="4" t="n">
        <f aca="false">H36-G36</f>
        <v>-76000</v>
      </c>
      <c r="J36" s="5" t="n">
        <f aca="false">IFERROR(I36/H36,0)</f>
        <v>-4</v>
      </c>
      <c r="K36" s="4" t="n">
        <v>0</v>
      </c>
    </row>
    <row r="37" customFormat="false" ht="15" hidden="false" customHeight="false" outlineLevel="0" collapsed="false">
      <c r="A37" s="8" t="s">
        <v>970</v>
      </c>
      <c r="B37" s="8" t="s">
        <v>23</v>
      </c>
      <c r="C37" s="8" t="n">
        <v>176169</v>
      </c>
      <c r="D37" s="8" t="s">
        <v>827</v>
      </c>
      <c r="E37" s="8" t="s">
        <v>140</v>
      </c>
      <c r="F37" s="4" t="n">
        <v>120000</v>
      </c>
      <c r="G37" s="4" t="n">
        <v>95000</v>
      </c>
      <c r="H37" s="4" t="n">
        <v>19000</v>
      </c>
      <c r="I37" s="4" t="n">
        <f aca="false">H37-G37</f>
        <v>-76000</v>
      </c>
      <c r="J37" s="5" t="n">
        <f aca="false">IFERROR(I37/H37,0)</f>
        <v>-4</v>
      </c>
      <c r="K37" s="4" t="n">
        <v>0</v>
      </c>
    </row>
    <row r="38" customFormat="false" ht="15" hidden="false" customHeight="false" outlineLevel="0" collapsed="false">
      <c r="A38" s="8" t="s">
        <v>970</v>
      </c>
      <c r="B38" s="8" t="s">
        <v>23</v>
      </c>
      <c r="C38" s="8" t="n">
        <v>142999</v>
      </c>
      <c r="D38" s="8" t="s">
        <v>980</v>
      </c>
      <c r="E38" s="8" t="s">
        <v>140</v>
      </c>
      <c r="F38" s="4" t="n">
        <v>135000</v>
      </c>
      <c r="G38" s="4" t="n">
        <v>88000</v>
      </c>
      <c r="H38" s="4" t="n">
        <v>19000</v>
      </c>
      <c r="I38" s="4" t="n">
        <f aca="false">H38-G38</f>
        <v>-69000</v>
      </c>
      <c r="J38" s="5" t="n">
        <f aca="false">IFERROR(I38/H38,0)</f>
        <v>-3.63157894736842</v>
      </c>
      <c r="K38" s="4" t="n">
        <v>0</v>
      </c>
    </row>
    <row r="39" customFormat="false" ht="15" hidden="false" customHeight="false" outlineLevel="0" collapsed="false">
      <c r="A39" s="8" t="s">
        <v>970</v>
      </c>
      <c r="B39" s="8" t="s">
        <v>23</v>
      </c>
      <c r="C39" s="8" t="n">
        <v>143004</v>
      </c>
      <c r="D39" s="8" t="s">
        <v>688</v>
      </c>
      <c r="E39" s="8" t="s">
        <v>140</v>
      </c>
      <c r="F39" s="4" t="n">
        <v>135000</v>
      </c>
      <c r="G39" s="4" t="n">
        <v>88000</v>
      </c>
      <c r="H39" s="4" t="n">
        <v>19000</v>
      </c>
      <c r="I39" s="4" t="n">
        <f aca="false">H39-G39</f>
        <v>-69000</v>
      </c>
      <c r="J39" s="5" t="n">
        <f aca="false">IFERROR(I39/H39,0)</f>
        <v>-3.63157894736842</v>
      </c>
      <c r="K39" s="4" t="n">
        <v>0</v>
      </c>
    </row>
    <row r="40" customFormat="false" ht="15" hidden="false" customHeight="false" outlineLevel="0" collapsed="false">
      <c r="A40" s="8" t="s">
        <v>970</v>
      </c>
      <c r="B40" s="8" t="s">
        <v>23</v>
      </c>
      <c r="C40" s="8" t="n">
        <v>143015</v>
      </c>
      <c r="D40" s="8" t="s">
        <v>689</v>
      </c>
      <c r="E40" s="8" t="s">
        <v>140</v>
      </c>
      <c r="F40" s="4" t="n">
        <v>135000</v>
      </c>
      <c r="G40" s="4" t="n">
        <v>88000</v>
      </c>
      <c r="H40" s="4" t="n">
        <v>19000</v>
      </c>
      <c r="I40" s="4" t="n">
        <f aca="false">H40-G40</f>
        <v>-69000</v>
      </c>
      <c r="J40" s="5" t="n">
        <f aca="false">IFERROR(I40/H40,0)</f>
        <v>-3.63157894736842</v>
      </c>
      <c r="K40" s="4" t="n">
        <v>0</v>
      </c>
    </row>
    <row r="41" customFormat="false" ht="15" hidden="false" customHeight="false" outlineLevel="0" collapsed="false">
      <c r="A41" s="8" t="s">
        <v>970</v>
      </c>
      <c r="B41" s="8" t="s">
        <v>23</v>
      </c>
      <c r="C41" s="8" t="n">
        <v>143020</v>
      </c>
      <c r="D41" s="8" t="s">
        <v>690</v>
      </c>
      <c r="E41" s="8" t="s">
        <v>140</v>
      </c>
      <c r="F41" s="4" t="n">
        <v>135000</v>
      </c>
      <c r="G41" s="4" t="n">
        <v>88000</v>
      </c>
      <c r="H41" s="4" t="n">
        <v>19000</v>
      </c>
      <c r="I41" s="4" t="n">
        <f aca="false">H41-G41</f>
        <v>-69000</v>
      </c>
      <c r="J41" s="5" t="n">
        <f aca="false">IFERROR(I41/H41,0)</f>
        <v>-3.63157894736842</v>
      </c>
      <c r="K41" s="4" t="n">
        <v>0</v>
      </c>
    </row>
    <row r="42" customFormat="false" ht="15" hidden="false" customHeight="false" outlineLevel="0" collapsed="false">
      <c r="A42" s="8" t="s">
        <v>970</v>
      </c>
      <c r="B42" s="8" t="s">
        <v>23</v>
      </c>
      <c r="C42" s="8" t="n">
        <v>143000</v>
      </c>
      <c r="D42" s="8" t="s">
        <v>981</v>
      </c>
      <c r="E42" s="8" t="s">
        <v>140</v>
      </c>
      <c r="F42" s="4" t="n">
        <v>145000</v>
      </c>
      <c r="G42" s="4" t="n">
        <v>88000</v>
      </c>
      <c r="H42" s="4" t="n">
        <v>19000</v>
      </c>
      <c r="I42" s="4" t="n">
        <f aca="false">H42-G42</f>
        <v>-69000</v>
      </c>
      <c r="J42" s="5" t="n">
        <f aca="false">IFERROR(I42/H42,0)</f>
        <v>-3.63157894736842</v>
      </c>
      <c r="K42" s="4" t="n">
        <v>0</v>
      </c>
    </row>
    <row r="43" customFormat="false" ht="15" hidden="false" customHeight="false" outlineLevel="0" collapsed="false">
      <c r="A43" s="8" t="s">
        <v>970</v>
      </c>
      <c r="B43" s="8" t="s">
        <v>23</v>
      </c>
      <c r="C43" s="8" t="n">
        <v>143006</v>
      </c>
      <c r="D43" s="8" t="s">
        <v>982</v>
      </c>
      <c r="E43" s="8" t="s">
        <v>140</v>
      </c>
      <c r="F43" s="4" t="n">
        <v>145000</v>
      </c>
      <c r="G43" s="4" t="n">
        <v>88000</v>
      </c>
      <c r="H43" s="4" t="n">
        <v>19000</v>
      </c>
      <c r="I43" s="4" t="n">
        <f aca="false">H43-G43</f>
        <v>-69000</v>
      </c>
      <c r="J43" s="5" t="n">
        <f aca="false">IFERROR(I43/H43,0)</f>
        <v>-3.63157894736842</v>
      </c>
      <c r="K43" s="4" t="n">
        <v>0</v>
      </c>
    </row>
    <row r="44" customFormat="false" ht="15" hidden="false" customHeight="false" outlineLevel="0" collapsed="false">
      <c r="A44" s="8" t="s">
        <v>970</v>
      </c>
      <c r="B44" s="8" t="s">
        <v>23</v>
      </c>
      <c r="C44" s="8" t="n">
        <v>143023</v>
      </c>
      <c r="D44" s="8" t="s">
        <v>983</v>
      </c>
      <c r="E44" s="8" t="s">
        <v>140</v>
      </c>
      <c r="F44" s="4" t="n">
        <v>145000</v>
      </c>
      <c r="G44" s="4" t="n">
        <v>88000</v>
      </c>
      <c r="H44" s="4" t="n">
        <v>19000</v>
      </c>
      <c r="I44" s="4" t="n">
        <f aca="false">H44-G44</f>
        <v>-69000</v>
      </c>
      <c r="J44" s="5" t="n">
        <f aca="false">IFERROR(I44/H44,0)</f>
        <v>-3.63157894736842</v>
      </c>
      <c r="K44" s="4" t="n">
        <v>0</v>
      </c>
    </row>
    <row r="45" customFormat="false" ht="15" hidden="false" customHeight="false" outlineLevel="0" collapsed="false">
      <c r="A45" s="8" t="s">
        <v>970</v>
      </c>
      <c r="B45" s="8" t="s">
        <v>23</v>
      </c>
      <c r="C45" s="8" t="n">
        <v>143025</v>
      </c>
      <c r="D45" s="8" t="s">
        <v>817</v>
      </c>
      <c r="E45" s="8" t="s">
        <v>140</v>
      </c>
      <c r="F45" s="4" t="n">
        <v>125000</v>
      </c>
      <c r="G45" s="4" t="n">
        <v>88000</v>
      </c>
      <c r="H45" s="4" t="n">
        <v>19000</v>
      </c>
      <c r="I45" s="4" t="n">
        <f aca="false">H45-G45</f>
        <v>-69000</v>
      </c>
      <c r="J45" s="5" t="n">
        <f aca="false">IFERROR(I45/H45,0)</f>
        <v>-3.63157894736842</v>
      </c>
      <c r="K45" s="4" t="n">
        <v>0</v>
      </c>
    </row>
    <row r="46" customFormat="false" ht="15" hidden="false" customHeight="false" outlineLevel="0" collapsed="false">
      <c r="A46" s="8" t="s">
        <v>970</v>
      </c>
      <c r="B46" s="8" t="s">
        <v>23</v>
      </c>
      <c r="C46" s="8" t="n">
        <v>143005</v>
      </c>
      <c r="D46" s="8" t="s">
        <v>984</v>
      </c>
      <c r="E46" s="8" t="s">
        <v>140</v>
      </c>
      <c r="F46" s="4" t="n">
        <v>145000</v>
      </c>
      <c r="G46" s="4" t="n">
        <v>88000</v>
      </c>
      <c r="H46" s="4" t="n">
        <v>19000</v>
      </c>
      <c r="I46" s="4" t="n">
        <f aca="false">H46-G46</f>
        <v>-69000</v>
      </c>
      <c r="J46" s="5" t="n">
        <f aca="false">IFERROR(I46/H46,0)</f>
        <v>-3.63157894736842</v>
      </c>
      <c r="K46" s="4" t="n">
        <v>0</v>
      </c>
    </row>
    <row r="47" customFormat="false" ht="15" hidden="false" customHeight="false" outlineLevel="0" collapsed="false">
      <c r="A47" s="8" t="s">
        <v>970</v>
      </c>
      <c r="B47" s="8" t="s">
        <v>23</v>
      </c>
      <c r="C47" s="8" t="n">
        <v>143016</v>
      </c>
      <c r="D47" s="8" t="s">
        <v>692</v>
      </c>
      <c r="E47" s="8" t="s">
        <v>140</v>
      </c>
      <c r="F47" s="4" t="n">
        <v>145000</v>
      </c>
      <c r="G47" s="4" t="n">
        <v>88000</v>
      </c>
      <c r="H47" s="4" t="n">
        <v>19000</v>
      </c>
      <c r="I47" s="4" t="n">
        <f aca="false">H47-G47</f>
        <v>-69000</v>
      </c>
      <c r="J47" s="5" t="n">
        <f aca="false">IFERROR(I47/H47,0)</f>
        <v>-3.63157894736842</v>
      </c>
      <c r="K47" s="4" t="n">
        <v>0</v>
      </c>
    </row>
    <row r="48" customFormat="false" ht="15" hidden="false" customHeight="false" outlineLevel="0" collapsed="false">
      <c r="A48" s="8" t="s">
        <v>970</v>
      </c>
      <c r="B48" s="8" t="s">
        <v>23</v>
      </c>
      <c r="C48" s="8" t="n">
        <v>143022</v>
      </c>
      <c r="D48" s="8" t="s">
        <v>693</v>
      </c>
      <c r="E48" s="8" t="s">
        <v>140</v>
      </c>
      <c r="F48" s="4" t="n">
        <v>145000</v>
      </c>
      <c r="G48" s="4" t="n">
        <v>88000</v>
      </c>
      <c r="H48" s="4" t="n">
        <v>19000</v>
      </c>
      <c r="I48" s="4" t="n">
        <f aca="false">H48-G48</f>
        <v>-69000</v>
      </c>
      <c r="J48" s="5" t="n">
        <f aca="false">IFERROR(I48/H48,0)</f>
        <v>-3.63157894736842</v>
      </c>
      <c r="K48" s="4" t="n">
        <v>0</v>
      </c>
    </row>
    <row r="49" customFormat="false" ht="15" hidden="false" customHeight="false" outlineLevel="0" collapsed="false">
      <c r="A49" s="8" t="s">
        <v>970</v>
      </c>
      <c r="B49" s="8" t="s">
        <v>23</v>
      </c>
      <c r="C49" s="8" t="n">
        <v>143013</v>
      </c>
      <c r="D49" s="8" t="s">
        <v>985</v>
      </c>
      <c r="E49" s="8" t="s">
        <v>140</v>
      </c>
      <c r="F49" s="4" t="n">
        <v>125000</v>
      </c>
      <c r="G49" s="4" t="n">
        <v>88000</v>
      </c>
      <c r="H49" s="4" t="n">
        <v>19000</v>
      </c>
      <c r="I49" s="4" t="n">
        <f aca="false">H49-G49</f>
        <v>-69000</v>
      </c>
      <c r="J49" s="5" t="n">
        <f aca="false">IFERROR(I49/H49,0)</f>
        <v>-3.63157894736842</v>
      </c>
      <c r="K49" s="4" t="n">
        <v>0</v>
      </c>
    </row>
    <row r="50" customFormat="false" ht="15" hidden="false" customHeight="false" outlineLevel="0" collapsed="false">
      <c r="A50" s="8" t="s">
        <v>970</v>
      </c>
      <c r="B50" s="8" t="s">
        <v>23</v>
      </c>
      <c r="C50" s="8" t="n">
        <v>143163</v>
      </c>
      <c r="D50" s="8" t="s">
        <v>986</v>
      </c>
      <c r="E50" s="8" t="s">
        <v>140</v>
      </c>
      <c r="F50" s="4" t="n">
        <v>125000</v>
      </c>
      <c r="G50" s="4" t="n">
        <v>88000</v>
      </c>
      <c r="H50" s="4" t="n">
        <v>19000</v>
      </c>
      <c r="I50" s="4" t="n">
        <f aca="false">H50-G50</f>
        <v>-69000</v>
      </c>
      <c r="J50" s="5" t="n">
        <f aca="false">IFERROR(I50/H50,0)</f>
        <v>-3.63157894736842</v>
      </c>
      <c r="K50" s="4" t="n">
        <v>0</v>
      </c>
    </row>
    <row r="51" customFormat="false" ht="15" hidden="false" customHeight="false" outlineLevel="0" collapsed="false">
      <c r="A51" s="8" t="s">
        <v>970</v>
      </c>
      <c r="B51" s="8" t="s">
        <v>23</v>
      </c>
      <c r="C51" s="8" t="n">
        <v>142450</v>
      </c>
      <c r="D51" s="8" t="s">
        <v>695</v>
      </c>
      <c r="E51" s="8" t="s">
        <v>140</v>
      </c>
      <c r="F51" s="4" t="n">
        <v>129000</v>
      </c>
      <c r="G51" s="4" t="n">
        <v>85000</v>
      </c>
      <c r="H51" s="4" t="n">
        <v>20000</v>
      </c>
      <c r="I51" s="4" t="n">
        <f aca="false">H51-G51</f>
        <v>-65000</v>
      </c>
      <c r="J51" s="5" t="n">
        <f aca="false">IFERROR(I51/H51,0)</f>
        <v>-3.25</v>
      </c>
      <c r="K51" s="4" t="n">
        <v>0</v>
      </c>
    </row>
    <row r="52" customFormat="false" ht="15" hidden="false" customHeight="false" outlineLevel="0" collapsed="false">
      <c r="A52" s="8" t="s">
        <v>970</v>
      </c>
      <c r="B52" s="8" t="s">
        <v>23</v>
      </c>
      <c r="C52" s="8" t="n">
        <v>142806</v>
      </c>
      <c r="D52" s="8" t="s">
        <v>697</v>
      </c>
      <c r="E52" s="8" t="s">
        <v>140</v>
      </c>
      <c r="F52" s="4" t="n">
        <v>129000</v>
      </c>
      <c r="G52" s="4" t="n">
        <v>85000</v>
      </c>
      <c r="H52" s="4" t="n">
        <v>20000</v>
      </c>
      <c r="I52" s="4" t="n">
        <f aca="false">H52-G52</f>
        <v>-65000</v>
      </c>
      <c r="J52" s="5" t="n">
        <f aca="false">IFERROR(I52/H52,0)</f>
        <v>-3.25</v>
      </c>
      <c r="K52" s="4" t="n">
        <v>0</v>
      </c>
    </row>
    <row r="53" customFormat="false" ht="15" hidden="false" customHeight="false" outlineLevel="0" collapsed="false">
      <c r="A53" s="8" t="s">
        <v>970</v>
      </c>
      <c r="B53" s="8" t="s">
        <v>23</v>
      </c>
      <c r="C53" s="8" t="n">
        <v>142449</v>
      </c>
      <c r="D53" s="8" t="s">
        <v>826</v>
      </c>
      <c r="E53" s="8" t="s">
        <v>140</v>
      </c>
      <c r="F53" s="4" t="n">
        <v>129000</v>
      </c>
      <c r="G53" s="4" t="n">
        <v>85000</v>
      </c>
      <c r="H53" s="4" t="n">
        <v>20000</v>
      </c>
      <c r="I53" s="4" t="n">
        <f aca="false">H53-G53</f>
        <v>-65000</v>
      </c>
      <c r="J53" s="5" t="n">
        <f aca="false">IFERROR(I53/H53,0)</f>
        <v>-3.25</v>
      </c>
      <c r="K53" s="4" t="n">
        <v>0</v>
      </c>
    </row>
    <row r="54" customFormat="false" ht="15" hidden="false" customHeight="false" outlineLevel="0" collapsed="false">
      <c r="A54" s="8" t="s">
        <v>970</v>
      </c>
      <c r="B54" s="8" t="s">
        <v>23</v>
      </c>
      <c r="C54" s="8" t="n">
        <v>142456</v>
      </c>
      <c r="D54" s="8" t="s">
        <v>701</v>
      </c>
      <c r="E54" s="8" t="s">
        <v>140</v>
      </c>
      <c r="F54" s="4" t="n">
        <v>129000</v>
      </c>
      <c r="G54" s="4" t="n">
        <v>85000</v>
      </c>
      <c r="H54" s="4" t="n">
        <v>20000</v>
      </c>
      <c r="I54" s="4" t="n">
        <f aca="false">H54-G54</f>
        <v>-65000</v>
      </c>
      <c r="J54" s="5" t="n">
        <f aca="false">IFERROR(I54/H54,0)</f>
        <v>-3.25</v>
      </c>
      <c r="K54" s="4" t="n">
        <v>0</v>
      </c>
    </row>
    <row r="55" customFormat="false" ht="15" hidden="false" customHeight="false" outlineLevel="0" collapsed="false">
      <c r="A55" s="8" t="s">
        <v>970</v>
      </c>
      <c r="B55" s="8" t="s">
        <v>23</v>
      </c>
      <c r="C55" s="8" t="n">
        <v>175848</v>
      </c>
      <c r="D55" s="8" t="s">
        <v>819</v>
      </c>
      <c r="E55" s="8" t="s">
        <v>140</v>
      </c>
      <c r="F55" s="4" t="n">
        <v>95000</v>
      </c>
      <c r="G55" s="4" t="n">
        <v>80000</v>
      </c>
      <c r="H55" s="4" t="n">
        <v>19000</v>
      </c>
      <c r="I55" s="4" t="n">
        <f aca="false">H55-G55</f>
        <v>-61000</v>
      </c>
      <c r="J55" s="5" t="n">
        <f aca="false">IFERROR(I55/H55,0)</f>
        <v>-3.21052631578947</v>
      </c>
      <c r="K55" s="4" t="n">
        <v>0</v>
      </c>
    </row>
    <row r="56" customFormat="false" ht="15" hidden="false" customHeight="false" outlineLevel="0" collapsed="false">
      <c r="A56" s="8" t="s">
        <v>970</v>
      </c>
      <c r="B56" s="8" t="s">
        <v>23</v>
      </c>
      <c r="C56" s="8" t="n">
        <v>175891</v>
      </c>
      <c r="D56" s="8" t="s">
        <v>820</v>
      </c>
      <c r="E56" s="8" t="s">
        <v>140</v>
      </c>
      <c r="F56" s="4" t="n">
        <v>95000</v>
      </c>
      <c r="G56" s="4" t="n">
        <v>80000</v>
      </c>
      <c r="H56" s="4" t="n">
        <v>19000</v>
      </c>
      <c r="I56" s="4" t="n">
        <f aca="false">H56-G56</f>
        <v>-61000</v>
      </c>
      <c r="J56" s="5" t="n">
        <f aca="false">IFERROR(I56/H56,0)</f>
        <v>-3.21052631578947</v>
      </c>
      <c r="K56" s="4" t="n">
        <v>0</v>
      </c>
    </row>
    <row r="57" customFormat="false" ht="15" hidden="false" customHeight="false" outlineLevel="0" collapsed="false">
      <c r="A57" s="8" t="s">
        <v>970</v>
      </c>
      <c r="B57" s="8" t="s">
        <v>23</v>
      </c>
      <c r="C57" s="8" t="n">
        <v>175828</v>
      </c>
      <c r="D57" s="8" t="s">
        <v>821</v>
      </c>
      <c r="E57" s="8" t="s">
        <v>140</v>
      </c>
      <c r="F57" s="4" t="n">
        <v>95000</v>
      </c>
      <c r="G57" s="4" t="n">
        <v>80000</v>
      </c>
      <c r="H57" s="4" t="n">
        <v>19000</v>
      </c>
      <c r="I57" s="4" t="n">
        <f aca="false">H57-G57</f>
        <v>-61000</v>
      </c>
      <c r="J57" s="5" t="n">
        <f aca="false">IFERROR(I57/H57,0)</f>
        <v>-3.21052631578947</v>
      </c>
      <c r="K57" s="4" t="n">
        <v>0</v>
      </c>
    </row>
    <row r="58" customFormat="false" ht="15" hidden="false" customHeight="false" outlineLevel="0" collapsed="false">
      <c r="A58" s="8" t="s">
        <v>970</v>
      </c>
      <c r="B58" s="8" t="s">
        <v>23</v>
      </c>
      <c r="C58" s="8" t="n">
        <v>175907</v>
      </c>
      <c r="D58" s="8" t="s">
        <v>823</v>
      </c>
      <c r="E58" s="8" t="s">
        <v>140</v>
      </c>
      <c r="F58" s="4" t="n">
        <v>95000</v>
      </c>
      <c r="G58" s="4" t="n">
        <v>80000</v>
      </c>
      <c r="H58" s="4" t="n">
        <v>19000</v>
      </c>
      <c r="I58" s="4" t="n">
        <f aca="false">H58-G58</f>
        <v>-61000</v>
      </c>
      <c r="J58" s="5" t="n">
        <f aca="false">IFERROR(I58/H58,0)</f>
        <v>-3.21052631578947</v>
      </c>
      <c r="K58" s="4" t="n">
        <v>0</v>
      </c>
    </row>
    <row r="59" customFormat="false" ht="15" hidden="false" customHeight="false" outlineLevel="0" collapsed="false">
      <c r="A59" s="8" t="s">
        <v>970</v>
      </c>
      <c r="B59" s="8" t="s">
        <v>23</v>
      </c>
      <c r="C59" s="8" t="n">
        <v>143012</v>
      </c>
      <c r="D59" s="8" t="s">
        <v>987</v>
      </c>
      <c r="E59" s="8" t="s">
        <v>140</v>
      </c>
      <c r="F59" s="4" t="n">
        <v>85000</v>
      </c>
      <c r="G59" s="4" t="n">
        <v>60000</v>
      </c>
      <c r="H59" s="4" t="n">
        <v>20000</v>
      </c>
      <c r="I59" s="4" t="n">
        <f aca="false">H59-G59</f>
        <v>-40000</v>
      </c>
      <c r="J59" s="5" t="n">
        <f aca="false">IFERROR(I59/H59,0)</f>
        <v>-2</v>
      </c>
      <c r="K59" s="4" t="n">
        <v>0</v>
      </c>
    </row>
    <row r="60" customFormat="false" ht="15" hidden="false" customHeight="false" outlineLevel="0" collapsed="false">
      <c r="A60" s="8" t="s">
        <v>970</v>
      </c>
      <c r="B60" s="8" t="s">
        <v>23</v>
      </c>
      <c r="C60" s="8" t="n">
        <v>142998</v>
      </c>
      <c r="D60" s="8" t="s">
        <v>988</v>
      </c>
      <c r="E60" s="8" t="s">
        <v>140</v>
      </c>
      <c r="F60" s="4" t="n">
        <v>88000</v>
      </c>
      <c r="G60" s="4" t="n">
        <v>60000</v>
      </c>
      <c r="H60" s="4" t="n">
        <v>20000</v>
      </c>
      <c r="I60" s="4" t="n">
        <f aca="false">H60-G60</f>
        <v>-40000</v>
      </c>
      <c r="J60" s="5" t="n">
        <f aca="false">IFERROR(I60/H60,0)</f>
        <v>-2</v>
      </c>
      <c r="K60" s="4" t="n">
        <v>0</v>
      </c>
    </row>
    <row r="61" customFormat="false" ht="15" hidden="false" customHeight="false" outlineLevel="0" collapsed="false">
      <c r="A61" s="8" t="s">
        <v>970</v>
      </c>
      <c r="B61" s="8" t="s">
        <v>23</v>
      </c>
      <c r="C61" s="8" t="n">
        <v>143003</v>
      </c>
      <c r="D61" s="8" t="s">
        <v>698</v>
      </c>
      <c r="E61" s="8" t="s">
        <v>140</v>
      </c>
      <c r="F61" s="4" t="n">
        <v>88000</v>
      </c>
      <c r="G61" s="4" t="n">
        <v>60000</v>
      </c>
      <c r="H61" s="4" t="n">
        <v>20000</v>
      </c>
      <c r="I61" s="4" t="n">
        <f aca="false">H61-G61</f>
        <v>-40000</v>
      </c>
      <c r="J61" s="5" t="n">
        <f aca="false">IFERROR(I61/H61,0)</f>
        <v>-2</v>
      </c>
      <c r="K61" s="4" t="n">
        <v>0</v>
      </c>
    </row>
    <row r="62" customFormat="false" ht="15" hidden="false" customHeight="false" outlineLevel="0" collapsed="false">
      <c r="A62" s="8" t="s">
        <v>970</v>
      </c>
      <c r="B62" s="8" t="s">
        <v>23</v>
      </c>
      <c r="C62" s="8" t="n">
        <v>143014</v>
      </c>
      <c r="D62" s="8" t="s">
        <v>699</v>
      </c>
      <c r="E62" s="8" t="s">
        <v>140</v>
      </c>
      <c r="F62" s="4" t="n">
        <v>88000</v>
      </c>
      <c r="G62" s="4" t="n">
        <v>60000</v>
      </c>
      <c r="H62" s="4" t="n">
        <v>20000</v>
      </c>
      <c r="I62" s="4" t="n">
        <f aca="false">H62-G62</f>
        <v>-40000</v>
      </c>
      <c r="J62" s="5" t="n">
        <f aca="false">IFERROR(I62/H62,0)</f>
        <v>-2</v>
      </c>
      <c r="K62" s="4" t="n">
        <v>0</v>
      </c>
    </row>
    <row r="63" customFormat="false" ht="15" hidden="false" customHeight="false" outlineLevel="0" collapsed="false">
      <c r="A63" s="8" t="s">
        <v>970</v>
      </c>
      <c r="B63" s="8" t="s">
        <v>23</v>
      </c>
      <c r="C63" s="8" t="n">
        <v>143019</v>
      </c>
      <c r="D63" s="8" t="s">
        <v>700</v>
      </c>
      <c r="E63" s="8" t="s">
        <v>140</v>
      </c>
      <c r="F63" s="4" t="n">
        <v>88000</v>
      </c>
      <c r="G63" s="4" t="n">
        <v>60000</v>
      </c>
      <c r="H63" s="4" t="n">
        <v>20000</v>
      </c>
      <c r="I63" s="4" t="n">
        <f aca="false">H63-G63</f>
        <v>-40000</v>
      </c>
      <c r="J63" s="5" t="n">
        <f aca="false">IFERROR(I63/H63,0)</f>
        <v>-2</v>
      </c>
      <c r="K63" s="4" t="n">
        <v>0</v>
      </c>
    </row>
    <row r="64" customFormat="false" ht="15" hidden="false" customHeight="false" outlineLevel="0" collapsed="false">
      <c r="A64" s="8" t="s">
        <v>970</v>
      </c>
      <c r="B64" s="8" t="s">
        <v>23</v>
      </c>
      <c r="C64" s="8" t="n">
        <v>143021</v>
      </c>
      <c r="D64" s="8" t="s">
        <v>284</v>
      </c>
      <c r="E64" s="8" t="s">
        <v>140</v>
      </c>
      <c r="F64" s="4" t="n">
        <v>88000</v>
      </c>
      <c r="G64" s="4" t="n">
        <v>60000</v>
      </c>
      <c r="H64" s="4" t="n">
        <v>20000</v>
      </c>
      <c r="I64" s="4" t="n">
        <f aca="false">H64-G64</f>
        <v>-40000</v>
      </c>
      <c r="J64" s="5" t="n">
        <f aca="false">IFERROR(I64/H64,0)</f>
        <v>-2</v>
      </c>
      <c r="K64" s="4" t="n">
        <v>0</v>
      </c>
    </row>
    <row r="65" customFormat="false" ht="15" hidden="false" customHeight="false" outlineLevel="0" collapsed="false">
      <c r="A65" s="8" t="s">
        <v>970</v>
      </c>
      <c r="B65" s="8" t="s">
        <v>23</v>
      </c>
      <c r="C65" s="8" t="n">
        <v>143018</v>
      </c>
      <c r="D65" s="8" t="s">
        <v>286</v>
      </c>
      <c r="E65" s="8" t="s">
        <v>140</v>
      </c>
      <c r="F65" s="4" t="n">
        <v>115000</v>
      </c>
      <c r="G65" s="4" t="n">
        <v>60000</v>
      </c>
      <c r="H65" s="4" t="n">
        <v>20000</v>
      </c>
      <c r="I65" s="4" t="n">
        <f aca="false">H65-G65</f>
        <v>-40000</v>
      </c>
      <c r="J65" s="5" t="n">
        <f aca="false">IFERROR(I65/H65,0)</f>
        <v>-2</v>
      </c>
      <c r="K65" s="4" t="n">
        <v>0</v>
      </c>
    </row>
    <row r="66" customFormat="false" ht="15" hidden="false" customHeight="false" outlineLevel="0" collapsed="false">
      <c r="A66" s="8" t="s">
        <v>970</v>
      </c>
      <c r="B66" s="8" t="s">
        <v>23</v>
      </c>
      <c r="C66" s="8" t="n">
        <v>143024</v>
      </c>
      <c r="D66" s="8" t="s">
        <v>703</v>
      </c>
      <c r="E66" s="8" t="s">
        <v>140</v>
      </c>
      <c r="F66" s="4" t="n">
        <v>85000</v>
      </c>
      <c r="G66" s="4" t="n">
        <v>60000</v>
      </c>
      <c r="H66" s="4" t="n">
        <v>20000</v>
      </c>
      <c r="I66" s="4" t="n">
        <f aca="false">H66-G66</f>
        <v>-40000</v>
      </c>
      <c r="J66" s="5" t="n">
        <f aca="false">IFERROR(I66/H66,0)</f>
        <v>-2</v>
      </c>
      <c r="K66" s="4" t="n">
        <v>0</v>
      </c>
    </row>
    <row r="67" customFormat="false" ht="15" hidden="false" customHeight="false" outlineLevel="0" collapsed="false">
      <c r="A67" s="8" t="s">
        <v>970</v>
      </c>
      <c r="B67" s="8" t="s">
        <v>23</v>
      </c>
      <c r="C67" s="8" t="n">
        <v>142755</v>
      </c>
      <c r="D67" s="8" t="s">
        <v>704</v>
      </c>
      <c r="E67" s="8" t="s">
        <v>227</v>
      </c>
      <c r="F67" s="4" t="n">
        <v>70000</v>
      </c>
      <c r="G67" s="4" t="n">
        <v>45000</v>
      </c>
      <c r="H67" s="4" t="n">
        <v>16000</v>
      </c>
      <c r="I67" s="4" t="n">
        <f aca="false">H67-G67</f>
        <v>-29000</v>
      </c>
      <c r="J67" s="5" t="n">
        <f aca="false">IFERROR(I67/H67,0)</f>
        <v>-1.8125</v>
      </c>
      <c r="K67" s="4" t="n">
        <v>0</v>
      </c>
    </row>
    <row r="68" customFormat="false" ht="15" hidden="false" customHeight="false" outlineLevel="0" collapsed="false">
      <c r="A68" s="8" t="s">
        <v>970</v>
      </c>
      <c r="B68" s="8" t="s">
        <v>23</v>
      </c>
      <c r="C68" s="8" t="n">
        <v>142756</v>
      </c>
      <c r="D68" s="8" t="s">
        <v>705</v>
      </c>
      <c r="E68" s="8" t="s">
        <v>227</v>
      </c>
      <c r="F68" s="4" t="n">
        <v>70000</v>
      </c>
      <c r="G68" s="4" t="n">
        <v>45000</v>
      </c>
      <c r="H68" s="4" t="n">
        <v>16000</v>
      </c>
      <c r="I68" s="4" t="n">
        <f aca="false">H68-G68</f>
        <v>-29000</v>
      </c>
      <c r="J68" s="5" t="n">
        <f aca="false">IFERROR(I68/H68,0)</f>
        <v>-1.8125</v>
      </c>
      <c r="K68" s="4" t="n">
        <v>0</v>
      </c>
    </row>
    <row r="69" customFormat="false" ht="15" hidden="false" customHeight="false" outlineLevel="0" collapsed="false">
      <c r="A69" s="8" t="s">
        <v>970</v>
      </c>
      <c r="B69" s="8" t="s">
        <v>23</v>
      </c>
      <c r="C69" s="8" t="n">
        <v>142757</v>
      </c>
      <c r="D69" s="8" t="s">
        <v>989</v>
      </c>
      <c r="E69" s="8" t="s">
        <v>227</v>
      </c>
      <c r="F69" s="4" t="n">
        <v>70000</v>
      </c>
      <c r="G69" s="4" t="n">
        <v>45000</v>
      </c>
      <c r="H69" s="4" t="n">
        <v>16000</v>
      </c>
      <c r="I69" s="4" t="n">
        <f aca="false">H69-G69</f>
        <v>-29000</v>
      </c>
      <c r="J69" s="5" t="n">
        <f aca="false">IFERROR(I69/H69,0)</f>
        <v>-1.8125</v>
      </c>
      <c r="K69" s="4" t="n">
        <v>0</v>
      </c>
    </row>
    <row r="70" customFormat="false" ht="15" hidden="false" customHeight="false" outlineLevel="0" collapsed="false">
      <c r="A70" s="8" t="s">
        <v>970</v>
      </c>
      <c r="B70" s="8" t="s">
        <v>20</v>
      </c>
      <c r="C70" s="8" t="n">
        <v>101949</v>
      </c>
      <c r="D70" s="8" t="s">
        <v>803</v>
      </c>
      <c r="E70" s="8" t="s">
        <v>262</v>
      </c>
      <c r="F70" s="4" t="n">
        <v>210000</v>
      </c>
      <c r="G70" s="4" t="n">
        <v>160000</v>
      </c>
      <c r="H70" s="4" t="n">
        <v>59000</v>
      </c>
      <c r="I70" s="4" t="n">
        <f aca="false">H70-G70</f>
        <v>-101000</v>
      </c>
      <c r="J70" s="5" t="n">
        <f aca="false">IFERROR(I70/H70,0)</f>
        <v>-1.71186440677966</v>
      </c>
      <c r="K70" s="4" t="n">
        <v>0</v>
      </c>
    </row>
    <row r="71" customFormat="false" ht="15" hidden="false" customHeight="false" outlineLevel="0" collapsed="false">
      <c r="A71" s="8" t="s">
        <v>970</v>
      </c>
      <c r="B71" s="8" t="s">
        <v>20</v>
      </c>
      <c r="C71" s="8" t="n">
        <v>101926</v>
      </c>
      <c r="D71" s="8" t="s">
        <v>990</v>
      </c>
      <c r="E71" s="8" t="s">
        <v>262</v>
      </c>
      <c r="F71" s="4" t="n">
        <v>210000</v>
      </c>
      <c r="G71" s="4" t="n">
        <v>160000</v>
      </c>
      <c r="H71" s="4" t="n">
        <v>59000</v>
      </c>
      <c r="I71" s="4" t="n">
        <f aca="false">H71-G71</f>
        <v>-101000</v>
      </c>
      <c r="J71" s="5" t="n">
        <f aca="false">IFERROR(I71/H71,0)</f>
        <v>-1.71186440677966</v>
      </c>
      <c r="K71" s="4" t="n">
        <v>0</v>
      </c>
    </row>
    <row r="72" customFormat="false" ht="15" hidden="false" customHeight="false" outlineLevel="0" collapsed="false">
      <c r="A72" s="8" t="s">
        <v>970</v>
      </c>
      <c r="B72" s="8" t="s">
        <v>20</v>
      </c>
      <c r="C72" s="8" t="n">
        <v>101925</v>
      </c>
      <c r="D72" s="8" t="s">
        <v>991</v>
      </c>
      <c r="E72" s="8" t="s">
        <v>262</v>
      </c>
      <c r="F72" s="4" t="n">
        <v>210000</v>
      </c>
      <c r="G72" s="4" t="n">
        <v>160000</v>
      </c>
      <c r="H72" s="4" t="n">
        <v>59000</v>
      </c>
      <c r="I72" s="4" t="n">
        <f aca="false">H72-G72</f>
        <v>-101000</v>
      </c>
      <c r="J72" s="5" t="n">
        <f aca="false">IFERROR(I72/H72,0)</f>
        <v>-1.71186440677966</v>
      </c>
      <c r="K72" s="4" t="n">
        <v>0</v>
      </c>
    </row>
    <row r="73" customFormat="false" ht="15" hidden="false" customHeight="false" outlineLevel="0" collapsed="false">
      <c r="A73" s="8" t="s">
        <v>970</v>
      </c>
      <c r="B73" s="8" t="s">
        <v>23</v>
      </c>
      <c r="C73" s="8" t="n">
        <v>142758</v>
      </c>
      <c r="D73" s="8" t="s">
        <v>706</v>
      </c>
      <c r="E73" s="8" t="s">
        <v>227</v>
      </c>
      <c r="F73" s="4" t="n">
        <v>60000</v>
      </c>
      <c r="G73" s="4" t="n">
        <v>35000</v>
      </c>
      <c r="H73" s="4" t="n">
        <v>15000</v>
      </c>
      <c r="I73" s="4" t="n">
        <f aca="false">H73-G73</f>
        <v>-20000</v>
      </c>
      <c r="J73" s="5" t="n">
        <f aca="false">IFERROR(I73/H73,0)</f>
        <v>-1.33333333333333</v>
      </c>
      <c r="K73" s="4" t="n">
        <v>0</v>
      </c>
    </row>
    <row r="74" customFormat="false" ht="15" hidden="false" customHeight="false" outlineLevel="0" collapsed="false">
      <c r="A74" s="8" t="s">
        <v>970</v>
      </c>
      <c r="B74" s="8" t="s">
        <v>23</v>
      </c>
      <c r="C74" s="8" t="n">
        <v>142759</v>
      </c>
      <c r="D74" s="8" t="s">
        <v>707</v>
      </c>
      <c r="E74" s="8" t="s">
        <v>227</v>
      </c>
      <c r="F74" s="4" t="n">
        <v>60000</v>
      </c>
      <c r="G74" s="4" t="n">
        <v>35000</v>
      </c>
      <c r="H74" s="4" t="n">
        <v>15000</v>
      </c>
      <c r="I74" s="4" t="n">
        <f aca="false">H74-G74</f>
        <v>-20000</v>
      </c>
      <c r="J74" s="5" t="n">
        <f aca="false">IFERROR(I74/H74,0)</f>
        <v>-1.33333333333333</v>
      </c>
      <c r="K74" s="4" t="n">
        <v>0</v>
      </c>
    </row>
    <row r="75" customFormat="false" ht="15" hidden="false" customHeight="false" outlineLevel="0" collapsed="false">
      <c r="A75" s="8" t="s">
        <v>970</v>
      </c>
      <c r="B75" s="8" t="s">
        <v>23</v>
      </c>
      <c r="C75" s="8" t="n">
        <v>142760</v>
      </c>
      <c r="D75" s="8" t="s">
        <v>708</v>
      </c>
      <c r="E75" s="8" t="s">
        <v>227</v>
      </c>
      <c r="F75" s="4" t="n">
        <v>60000</v>
      </c>
      <c r="G75" s="4" t="n">
        <v>35000</v>
      </c>
      <c r="H75" s="4" t="n">
        <v>15000</v>
      </c>
      <c r="I75" s="4" t="n">
        <f aca="false">H75-G75</f>
        <v>-20000</v>
      </c>
      <c r="J75" s="5" t="n">
        <f aca="false">IFERROR(I75/H75,0)</f>
        <v>-1.33333333333333</v>
      </c>
      <c r="K75" s="4" t="n">
        <v>0</v>
      </c>
    </row>
    <row r="76" customFormat="false" ht="15" hidden="false" customHeight="false" outlineLevel="0" collapsed="false">
      <c r="A76" s="8" t="s">
        <v>970</v>
      </c>
      <c r="B76" s="8" t="s">
        <v>24</v>
      </c>
      <c r="C76" s="8" t="n">
        <v>220036</v>
      </c>
      <c r="D76" s="8" t="s">
        <v>992</v>
      </c>
      <c r="E76" s="8" t="s">
        <v>256</v>
      </c>
      <c r="F76" s="4" t="n">
        <v>269000</v>
      </c>
      <c r="G76" s="4" t="n">
        <v>230000</v>
      </c>
      <c r="H76" s="4" t="n">
        <v>100000</v>
      </c>
      <c r="I76" s="4" t="n">
        <f aca="false">H76-G76</f>
        <v>-130000</v>
      </c>
      <c r="J76" s="5" t="n">
        <f aca="false">IFERROR(I76/H76,0)</f>
        <v>-1.3</v>
      </c>
      <c r="K76" s="4" t="n">
        <v>0</v>
      </c>
    </row>
    <row r="77" customFormat="false" ht="15" hidden="false" customHeight="false" outlineLevel="0" collapsed="false">
      <c r="A77" s="8" t="s">
        <v>970</v>
      </c>
      <c r="B77" s="8" t="s">
        <v>24</v>
      </c>
      <c r="C77" s="8" t="n">
        <v>220040</v>
      </c>
      <c r="D77" s="8" t="s">
        <v>993</v>
      </c>
      <c r="E77" s="8" t="s">
        <v>256</v>
      </c>
      <c r="F77" s="4" t="n">
        <v>269000</v>
      </c>
      <c r="G77" s="4" t="n">
        <v>230000</v>
      </c>
      <c r="H77" s="4" t="n">
        <v>100000</v>
      </c>
      <c r="I77" s="4" t="n">
        <f aca="false">H77-G77</f>
        <v>-130000</v>
      </c>
      <c r="J77" s="5" t="n">
        <f aca="false">IFERROR(I77/H77,0)</f>
        <v>-1.3</v>
      </c>
      <c r="K77" s="4" t="n">
        <v>0</v>
      </c>
    </row>
    <row r="78" customFormat="false" ht="15" hidden="false" customHeight="false" outlineLevel="0" collapsed="false">
      <c r="A78" s="8" t="s">
        <v>970</v>
      </c>
      <c r="B78" s="8" t="s">
        <v>24</v>
      </c>
      <c r="C78" s="8" t="n">
        <v>220042</v>
      </c>
      <c r="D78" s="8" t="s">
        <v>994</v>
      </c>
      <c r="E78" s="8" t="s">
        <v>256</v>
      </c>
      <c r="F78" s="4" t="n">
        <v>269000</v>
      </c>
      <c r="G78" s="4" t="n">
        <v>230000</v>
      </c>
      <c r="H78" s="4" t="n">
        <v>100000</v>
      </c>
      <c r="I78" s="4" t="n">
        <f aca="false">H78-G78</f>
        <v>-130000</v>
      </c>
      <c r="J78" s="5" t="n">
        <f aca="false">IFERROR(I78/H78,0)</f>
        <v>-1.3</v>
      </c>
      <c r="K78" s="4" t="n">
        <v>0</v>
      </c>
    </row>
    <row r="79" customFormat="false" ht="15" hidden="false" customHeight="false" outlineLevel="0" collapsed="false">
      <c r="A79" s="8" t="s">
        <v>970</v>
      </c>
      <c r="B79" s="8" t="s">
        <v>24</v>
      </c>
      <c r="C79" s="8" t="n">
        <v>220037</v>
      </c>
      <c r="D79" s="8" t="s">
        <v>785</v>
      </c>
      <c r="E79" s="8" t="s">
        <v>256</v>
      </c>
      <c r="F79" s="4" t="n">
        <v>269000</v>
      </c>
      <c r="G79" s="4" t="n">
        <v>230000</v>
      </c>
      <c r="H79" s="4" t="n">
        <v>100000</v>
      </c>
      <c r="I79" s="4" t="n">
        <f aca="false">H79-G79</f>
        <v>-130000</v>
      </c>
      <c r="J79" s="5" t="n">
        <f aca="false">IFERROR(I79/H79,0)</f>
        <v>-1.3</v>
      </c>
      <c r="K79" s="4" t="n">
        <v>0</v>
      </c>
    </row>
    <row r="80" customFormat="false" ht="15" hidden="false" customHeight="false" outlineLevel="0" collapsed="false">
      <c r="A80" s="8" t="s">
        <v>970</v>
      </c>
      <c r="B80" s="8" t="s">
        <v>24</v>
      </c>
      <c r="C80" s="8" t="n">
        <v>220038</v>
      </c>
      <c r="D80" s="8" t="s">
        <v>786</v>
      </c>
      <c r="E80" s="8" t="s">
        <v>256</v>
      </c>
      <c r="F80" s="4" t="n">
        <v>269000</v>
      </c>
      <c r="G80" s="4" t="n">
        <v>230000</v>
      </c>
      <c r="H80" s="4" t="n">
        <v>100000</v>
      </c>
      <c r="I80" s="4" t="n">
        <f aca="false">H80-G80</f>
        <v>-130000</v>
      </c>
      <c r="J80" s="5" t="n">
        <f aca="false">IFERROR(I80/H80,0)</f>
        <v>-1.3</v>
      </c>
      <c r="K80" s="4" t="n">
        <v>0</v>
      </c>
    </row>
    <row r="81" customFormat="false" ht="15" hidden="false" customHeight="false" outlineLevel="0" collapsed="false">
      <c r="A81" s="8" t="s">
        <v>970</v>
      </c>
      <c r="B81" s="8" t="s">
        <v>24</v>
      </c>
      <c r="C81" s="8" t="n">
        <v>220039</v>
      </c>
      <c r="D81" s="8" t="s">
        <v>787</v>
      </c>
      <c r="E81" s="8" t="s">
        <v>256</v>
      </c>
      <c r="F81" s="4" t="n">
        <v>269000</v>
      </c>
      <c r="G81" s="4" t="n">
        <v>230000</v>
      </c>
      <c r="H81" s="4" t="n">
        <v>100000</v>
      </c>
      <c r="I81" s="4" t="n">
        <f aca="false">H81-G81</f>
        <v>-130000</v>
      </c>
      <c r="J81" s="5" t="n">
        <f aca="false">IFERROR(I81/H81,0)</f>
        <v>-1.3</v>
      </c>
      <c r="K81" s="4" t="n">
        <v>0</v>
      </c>
    </row>
    <row r="82" customFormat="false" ht="15" hidden="false" customHeight="false" outlineLevel="0" collapsed="false">
      <c r="A82" s="8" t="s">
        <v>970</v>
      </c>
      <c r="B82" s="8" t="s">
        <v>24</v>
      </c>
      <c r="C82" s="8" t="n">
        <v>220041</v>
      </c>
      <c r="D82" s="8" t="s">
        <v>788</v>
      </c>
      <c r="E82" s="8" t="s">
        <v>256</v>
      </c>
      <c r="F82" s="4" t="n">
        <v>269000</v>
      </c>
      <c r="G82" s="4" t="n">
        <v>230000</v>
      </c>
      <c r="H82" s="4" t="n">
        <v>100000</v>
      </c>
      <c r="I82" s="4" t="n">
        <f aca="false">H82-G82</f>
        <v>-130000</v>
      </c>
      <c r="J82" s="5" t="n">
        <f aca="false">IFERROR(I82/H82,0)</f>
        <v>-1.3</v>
      </c>
      <c r="K82" s="4" t="n">
        <v>0</v>
      </c>
    </row>
    <row r="83" customFormat="false" ht="15" hidden="false" customHeight="false" outlineLevel="0" collapsed="false">
      <c r="A83" s="8" t="s">
        <v>970</v>
      </c>
      <c r="B83" s="8" t="s">
        <v>23</v>
      </c>
      <c r="C83" s="8" t="n">
        <v>143001</v>
      </c>
      <c r="D83" s="8" t="s">
        <v>995</v>
      </c>
      <c r="E83" s="8" t="s">
        <v>140</v>
      </c>
      <c r="F83" s="4" t="n">
        <v>65000</v>
      </c>
      <c r="G83" s="4" t="n">
        <v>46000</v>
      </c>
      <c r="H83" s="4" t="n">
        <v>20000</v>
      </c>
      <c r="I83" s="4" t="n">
        <f aca="false">H83-G83</f>
        <v>-26000</v>
      </c>
      <c r="J83" s="5" t="n">
        <f aca="false">IFERROR(I83/H83,0)</f>
        <v>-1.3</v>
      </c>
      <c r="K83" s="4" t="n">
        <v>0</v>
      </c>
    </row>
    <row r="84" customFormat="false" ht="15" hidden="false" customHeight="false" outlineLevel="0" collapsed="false">
      <c r="A84" s="8" t="s">
        <v>970</v>
      </c>
      <c r="B84" s="8" t="s">
        <v>23</v>
      </c>
      <c r="C84" s="8" t="n">
        <v>143007</v>
      </c>
      <c r="D84" s="8" t="s">
        <v>691</v>
      </c>
      <c r="E84" s="8" t="s">
        <v>140</v>
      </c>
      <c r="F84" s="4" t="n">
        <v>65000</v>
      </c>
      <c r="G84" s="4" t="n">
        <v>46000</v>
      </c>
      <c r="H84" s="4" t="n">
        <v>20000</v>
      </c>
      <c r="I84" s="4" t="n">
        <f aca="false">H84-G84</f>
        <v>-26000</v>
      </c>
      <c r="J84" s="5" t="n">
        <f aca="false">IFERROR(I84/H84,0)</f>
        <v>-1.3</v>
      </c>
      <c r="K84" s="4" t="n">
        <v>0</v>
      </c>
    </row>
    <row r="85" customFormat="false" ht="15" hidden="false" customHeight="false" outlineLevel="0" collapsed="false">
      <c r="A85" s="8" t="s">
        <v>970</v>
      </c>
      <c r="B85" s="8" t="s">
        <v>23</v>
      </c>
      <c r="C85" s="8" t="n">
        <v>143026</v>
      </c>
      <c r="D85" s="8" t="s">
        <v>996</v>
      </c>
      <c r="E85" s="8" t="s">
        <v>140</v>
      </c>
      <c r="F85" s="4" t="n">
        <v>65000</v>
      </c>
      <c r="G85" s="4" t="n">
        <v>46000</v>
      </c>
      <c r="H85" s="4" t="n">
        <v>20000</v>
      </c>
      <c r="I85" s="4" t="n">
        <f aca="false">H85-G85</f>
        <v>-26000</v>
      </c>
      <c r="J85" s="5" t="n">
        <f aca="false">IFERROR(I85/H85,0)</f>
        <v>-1.3</v>
      </c>
      <c r="K85" s="4" t="n">
        <v>0</v>
      </c>
    </row>
    <row r="86" customFormat="false" ht="15" hidden="false" customHeight="false" outlineLevel="0" collapsed="false">
      <c r="A86" s="8" t="s">
        <v>970</v>
      </c>
      <c r="B86" s="8" t="s">
        <v>23</v>
      </c>
      <c r="C86" s="8" t="n">
        <v>143008</v>
      </c>
      <c r="D86" s="8" t="s">
        <v>694</v>
      </c>
      <c r="E86" s="8" t="s">
        <v>140</v>
      </c>
      <c r="F86" s="4" t="n">
        <v>65000</v>
      </c>
      <c r="G86" s="4" t="n">
        <v>46000</v>
      </c>
      <c r="H86" s="4" t="n">
        <v>20000</v>
      </c>
      <c r="I86" s="4" t="n">
        <f aca="false">H86-G86</f>
        <v>-26000</v>
      </c>
      <c r="J86" s="5" t="n">
        <f aca="false">IFERROR(I86/H86,0)</f>
        <v>-1.3</v>
      </c>
      <c r="K86" s="4" t="n">
        <v>0</v>
      </c>
    </row>
    <row r="87" customFormat="false" ht="15" hidden="false" customHeight="false" outlineLevel="0" collapsed="false">
      <c r="A87" s="8" t="s">
        <v>970</v>
      </c>
      <c r="B87" s="8" t="s">
        <v>23</v>
      </c>
      <c r="C87" s="8" t="n">
        <v>143009</v>
      </c>
      <c r="D87" s="8" t="s">
        <v>997</v>
      </c>
      <c r="E87" s="8" t="s">
        <v>140</v>
      </c>
      <c r="F87" s="4" t="n">
        <v>65000</v>
      </c>
      <c r="G87" s="4" t="n">
        <v>46000</v>
      </c>
      <c r="H87" s="4" t="n">
        <v>20000</v>
      </c>
      <c r="I87" s="4" t="n">
        <f aca="false">H87-G87</f>
        <v>-26000</v>
      </c>
      <c r="J87" s="5" t="n">
        <f aca="false">IFERROR(I87/H87,0)</f>
        <v>-1.3</v>
      </c>
      <c r="K87" s="4" t="n">
        <v>0</v>
      </c>
    </row>
    <row r="88" customFormat="false" ht="15" hidden="false" customHeight="false" outlineLevel="0" collapsed="false">
      <c r="A88" s="8" t="s">
        <v>970</v>
      </c>
      <c r="B88" s="8" t="s">
        <v>23</v>
      </c>
      <c r="C88" s="8" t="n">
        <v>143010</v>
      </c>
      <c r="D88" s="8" t="s">
        <v>998</v>
      </c>
      <c r="E88" s="8" t="s">
        <v>140</v>
      </c>
      <c r="F88" s="4" t="n">
        <v>65000</v>
      </c>
      <c r="G88" s="4" t="n">
        <v>46000</v>
      </c>
      <c r="H88" s="4" t="n">
        <v>20000</v>
      </c>
      <c r="I88" s="4" t="n">
        <f aca="false">H88-G88</f>
        <v>-26000</v>
      </c>
      <c r="J88" s="5" t="n">
        <f aca="false">IFERROR(I88/H88,0)</f>
        <v>-1.3</v>
      </c>
      <c r="K88" s="4" t="n">
        <v>0</v>
      </c>
    </row>
    <row r="89" customFormat="false" ht="15" hidden="false" customHeight="false" outlineLevel="0" collapsed="false">
      <c r="A89" s="8" t="s">
        <v>970</v>
      </c>
      <c r="B89" s="8" t="s">
        <v>23</v>
      </c>
      <c r="C89" s="8" t="n">
        <v>143011</v>
      </c>
      <c r="D89" s="8" t="s">
        <v>999</v>
      </c>
      <c r="E89" s="8" t="s">
        <v>140</v>
      </c>
      <c r="F89" s="4" t="n">
        <v>65000</v>
      </c>
      <c r="G89" s="4" t="n">
        <v>46000</v>
      </c>
      <c r="H89" s="4" t="n">
        <v>20000</v>
      </c>
      <c r="I89" s="4" t="n">
        <f aca="false">H89-G89</f>
        <v>-26000</v>
      </c>
      <c r="J89" s="5" t="n">
        <f aca="false">IFERROR(I89/H89,0)</f>
        <v>-1.3</v>
      </c>
      <c r="K89" s="4" t="n">
        <v>0</v>
      </c>
    </row>
    <row r="90" customFormat="false" ht="15" hidden="false" customHeight="false" outlineLevel="0" collapsed="false">
      <c r="A90" s="8" t="s">
        <v>970</v>
      </c>
      <c r="B90" s="8" t="s">
        <v>21</v>
      </c>
      <c r="C90" s="8" t="n">
        <v>110793</v>
      </c>
      <c r="D90" s="8" t="s">
        <v>666</v>
      </c>
      <c r="E90" s="8" t="s">
        <v>234</v>
      </c>
      <c r="F90" s="4" t="n">
        <v>890000</v>
      </c>
      <c r="G90" s="4" t="n">
        <v>450000</v>
      </c>
      <c r="H90" s="4" t="n">
        <v>200000</v>
      </c>
      <c r="I90" s="4" t="n">
        <f aca="false">H90-G90</f>
        <v>-250000</v>
      </c>
      <c r="J90" s="5" t="n">
        <f aca="false">IFERROR(I90/H90,0)</f>
        <v>-1.25</v>
      </c>
      <c r="K90" s="4" t="n">
        <v>0</v>
      </c>
    </row>
    <row r="91" customFormat="false" ht="15" hidden="false" customHeight="false" outlineLevel="0" collapsed="false">
      <c r="A91" s="8" t="s">
        <v>970</v>
      </c>
      <c r="B91" s="8" t="s">
        <v>31</v>
      </c>
      <c r="C91" s="8" t="n">
        <v>153714</v>
      </c>
      <c r="D91" s="8" t="s">
        <v>1000</v>
      </c>
      <c r="E91" s="8" t="s">
        <v>250</v>
      </c>
      <c r="F91" s="4" t="n">
        <v>115000</v>
      </c>
      <c r="G91" s="4" t="n">
        <v>86000</v>
      </c>
      <c r="H91" s="4" t="n">
        <v>39000</v>
      </c>
      <c r="I91" s="4" t="n">
        <f aca="false">H91-G91</f>
        <v>-47000</v>
      </c>
      <c r="J91" s="5" t="n">
        <f aca="false">IFERROR(I91/H91,0)</f>
        <v>-1.20512820512821</v>
      </c>
      <c r="K91" s="4" t="n">
        <v>0</v>
      </c>
    </row>
    <row r="92" customFormat="false" ht="15" hidden="false" customHeight="false" outlineLevel="0" collapsed="false">
      <c r="A92" s="8" t="s">
        <v>970</v>
      </c>
      <c r="B92" s="8" t="s">
        <v>22</v>
      </c>
      <c r="C92" s="8" t="n">
        <v>134950</v>
      </c>
      <c r="D92" s="8" t="s">
        <v>1001</v>
      </c>
      <c r="E92" s="8" t="s">
        <v>246</v>
      </c>
      <c r="F92" s="4" t="n">
        <v>665000</v>
      </c>
      <c r="G92" s="4" t="n">
        <v>532000</v>
      </c>
      <c r="H92" s="4" t="n">
        <v>299000</v>
      </c>
      <c r="I92" s="4" t="n">
        <f aca="false">H92-G92</f>
        <v>-233000</v>
      </c>
      <c r="J92" s="5" t="n">
        <f aca="false">IFERROR(I92/H92,0)</f>
        <v>-0.779264214046823</v>
      </c>
      <c r="K92" s="4" t="n">
        <v>0</v>
      </c>
    </row>
    <row r="93" customFormat="false" ht="15" hidden="false" customHeight="false" outlineLevel="0" collapsed="false">
      <c r="A93" s="8" t="s">
        <v>970</v>
      </c>
      <c r="B93" s="8" t="s">
        <v>31</v>
      </c>
      <c r="C93" s="8" t="n">
        <v>152337</v>
      </c>
      <c r="D93" s="8" t="s">
        <v>1002</v>
      </c>
      <c r="E93" s="8" t="s">
        <v>250</v>
      </c>
      <c r="F93" s="4" t="n">
        <v>115000</v>
      </c>
      <c r="G93" s="4" t="n">
        <v>68000</v>
      </c>
      <c r="H93" s="4" t="n">
        <v>39000</v>
      </c>
      <c r="I93" s="4" t="n">
        <f aca="false">H93-G93</f>
        <v>-29000</v>
      </c>
      <c r="J93" s="5" t="n">
        <f aca="false">IFERROR(I93/H93,0)</f>
        <v>-0.743589743589744</v>
      </c>
      <c r="K93" s="4" t="n">
        <v>0</v>
      </c>
    </row>
    <row r="94" customFormat="false" ht="15" hidden="false" customHeight="false" outlineLevel="0" collapsed="false">
      <c r="A94" s="8" t="s">
        <v>970</v>
      </c>
      <c r="B94" s="8" t="s">
        <v>24</v>
      </c>
      <c r="C94" s="8" t="n">
        <v>173650</v>
      </c>
      <c r="D94" s="8" t="s">
        <v>771</v>
      </c>
      <c r="E94" s="8" t="s">
        <v>236</v>
      </c>
      <c r="F94" s="4" t="n">
        <v>360000</v>
      </c>
      <c r="G94" s="4" t="n">
        <v>340000</v>
      </c>
      <c r="H94" s="4" t="n">
        <v>200000</v>
      </c>
      <c r="I94" s="4" t="n">
        <f aca="false">H94-G94</f>
        <v>-140000</v>
      </c>
      <c r="J94" s="5" t="n">
        <f aca="false">IFERROR(I94/H94,0)</f>
        <v>-0.7</v>
      </c>
      <c r="K94" s="4" t="n">
        <v>0</v>
      </c>
    </row>
    <row r="95" customFormat="false" ht="15" hidden="false" customHeight="false" outlineLevel="0" collapsed="false">
      <c r="A95" s="8" t="s">
        <v>970</v>
      </c>
      <c r="B95" s="8" t="s">
        <v>24</v>
      </c>
      <c r="C95" s="8" t="n">
        <v>173688</v>
      </c>
      <c r="D95" s="8" t="s">
        <v>773</v>
      </c>
      <c r="E95" s="8" t="s">
        <v>236</v>
      </c>
      <c r="F95" s="4" t="n">
        <v>360000</v>
      </c>
      <c r="G95" s="4" t="n">
        <v>340000</v>
      </c>
      <c r="H95" s="4" t="n">
        <v>200000</v>
      </c>
      <c r="I95" s="4" t="n">
        <f aca="false">H95-G95</f>
        <v>-140000</v>
      </c>
      <c r="J95" s="5" t="n">
        <f aca="false">IFERROR(I95/H95,0)</f>
        <v>-0.7</v>
      </c>
      <c r="K95" s="4" t="n">
        <v>0</v>
      </c>
    </row>
    <row r="96" customFormat="false" ht="15" hidden="false" customHeight="false" outlineLevel="0" collapsed="false">
      <c r="A96" s="8" t="s">
        <v>970</v>
      </c>
      <c r="B96" s="8" t="s">
        <v>24</v>
      </c>
      <c r="C96" s="8" t="n">
        <v>173689</v>
      </c>
      <c r="D96" s="8" t="s">
        <v>774</v>
      </c>
      <c r="E96" s="8" t="s">
        <v>236</v>
      </c>
      <c r="F96" s="4" t="n">
        <v>360000</v>
      </c>
      <c r="G96" s="4" t="n">
        <v>340000</v>
      </c>
      <c r="H96" s="4" t="n">
        <v>200000</v>
      </c>
      <c r="I96" s="4" t="n">
        <f aca="false">H96-G96</f>
        <v>-140000</v>
      </c>
      <c r="J96" s="5" t="n">
        <f aca="false">IFERROR(I96/H96,0)</f>
        <v>-0.7</v>
      </c>
      <c r="K96" s="4" t="n">
        <v>0</v>
      </c>
    </row>
    <row r="97" customFormat="false" ht="15" hidden="false" customHeight="false" outlineLevel="0" collapsed="false">
      <c r="A97" s="8" t="s">
        <v>970</v>
      </c>
      <c r="B97" s="8" t="s">
        <v>31</v>
      </c>
      <c r="C97" s="8" t="n">
        <v>152336</v>
      </c>
      <c r="D97" s="8" t="s">
        <v>761</v>
      </c>
      <c r="E97" s="8" t="s">
        <v>250</v>
      </c>
      <c r="F97" s="4" t="n">
        <v>115000</v>
      </c>
      <c r="G97" s="4" t="n">
        <v>65000</v>
      </c>
      <c r="H97" s="4" t="n">
        <v>39000</v>
      </c>
      <c r="I97" s="4" t="n">
        <f aca="false">H97-G97</f>
        <v>-26000</v>
      </c>
      <c r="J97" s="5" t="n">
        <f aca="false">IFERROR(I97/H97,0)</f>
        <v>-0.666666666666667</v>
      </c>
      <c r="K97" s="4" t="n">
        <v>0</v>
      </c>
    </row>
    <row r="98" customFormat="false" ht="15" hidden="false" customHeight="false" outlineLevel="0" collapsed="false">
      <c r="A98" s="8" t="s">
        <v>970</v>
      </c>
      <c r="B98" s="8" t="s">
        <v>22</v>
      </c>
      <c r="C98" s="8" t="n">
        <v>134951</v>
      </c>
      <c r="D98" s="8" t="s">
        <v>1003</v>
      </c>
      <c r="E98" s="8" t="s">
        <v>246</v>
      </c>
      <c r="F98" s="4" t="n">
        <v>753000</v>
      </c>
      <c r="G98" s="4" t="n">
        <v>463000</v>
      </c>
      <c r="H98" s="4" t="n">
        <v>300000</v>
      </c>
      <c r="I98" s="4" t="n">
        <f aca="false">H98-G98</f>
        <v>-163000</v>
      </c>
      <c r="J98" s="5" t="n">
        <f aca="false">IFERROR(I98/H98,0)</f>
        <v>-0.543333333333333</v>
      </c>
      <c r="K98" s="4" t="n">
        <v>0</v>
      </c>
    </row>
    <row r="99" customFormat="false" ht="15" hidden="false" customHeight="false" outlineLevel="0" collapsed="false">
      <c r="A99" s="8" t="s">
        <v>970</v>
      </c>
      <c r="B99" s="8" t="s">
        <v>24</v>
      </c>
      <c r="C99" s="8" t="n">
        <v>220021</v>
      </c>
      <c r="D99" s="8" t="s">
        <v>779</v>
      </c>
      <c r="E99" s="8" t="s">
        <v>236</v>
      </c>
      <c r="F99" s="4" t="n">
        <v>350000</v>
      </c>
      <c r="G99" s="4" t="n">
        <v>280000</v>
      </c>
      <c r="H99" s="4" t="n">
        <v>199000</v>
      </c>
      <c r="I99" s="4" t="n">
        <f aca="false">H99-G99</f>
        <v>-81000</v>
      </c>
      <c r="J99" s="5" t="n">
        <f aca="false">IFERROR(I99/H99,0)</f>
        <v>-0.407035175879397</v>
      </c>
      <c r="K99" s="4" t="n">
        <v>0</v>
      </c>
    </row>
    <row r="100" customFormat="false" ht="15" hidden="false" customHeight="false" outlineLevel="0" collapsed="false">
      <c r="A100" s="8" t="s">
        <v>970</v>
      </c>
      <c r="B100" s="8" t="s">
        <v>24</v>
      </c>
      <c r="C100" s="8" t="n">
        <v>173649</v>
      </c>
      <c r="D100" s="8" t="s">
        <v>769</v>
      </c>
      <c r="E100" s="8" t="s">
        <v>236</v>
      </c>
      <c r="F100" s="4" t="n">
        <v>350000</v>
      </c>
      <c r="G100" s="4" t="n">
        <v>265000</v>
      </c>
      <c r="H100" s="4" t="n">
        <v>199000</v>
      </c>
      <c r="I100" s="4" t="n">
        <f aca="false">H100-G100</f>
        <v>-66000</v>
      </c>
      <c r="J100" s="5" t="n">
        <f aca="false">IFERROR(I100/H100,0)</f>
        <v>-0.331658291457286</v>
      </c>
      <c r="K100" s="4" t="n">
        <v>0</v>
      </c>
    </row>
    <row r="101" customFormat="false" ht="15" hidden="false" customHeight="false" outlineLevel="0" collapsed="false">
      <c r="A101" s="8" t="s">
        <v>970</v>
      </c>
      <c r="B101" s="8" t="s">
        <v>24</v>
      </c>
      <c r="C101" s="8" t="n">
        <v>173651</v>
      </c>
      <c r="D101" s="8" t="s">
        <v>772</v>
      </c>
      <c r="E101" s="8" t="s">
        <v>236</v>
      </c>
      <c r="F101" s="4" t="n">
        <v>350000</v>
      </c>
      <c r="G101" s="4" t="n">
        <v>265000</v>
      </c>
      <c r="H101" s="4" t="n">
        <v>199000</v>
      </c>
      <c r="I101" s="4" t="n">
        <f aca="false">H101-G101</f>
        <v>-66000</v>
      </c>
      <c r="J101" s="5" t="n">
        <f aca="false">IFERROR(I101/H101,0)</f>
        <v>-0.331658291457286</v>
      </c>
      <c r="K101" s="4" t="n">
        <v>0</v>
      </c>
    </row>
    <row r="102" customFormat="false" ht="15" hidden="false" customHeight="false" outlineLevel="0" collapsed="false">
      <c r="A102" s="8" t="s">
        <v>970</v>
      </c>
      <c r="B102" s="8" t="s">
        <v>24</v>
      </c>
      <c r="C102" s="8" t="n">
        <v>220043</v>
      </c>
      <c r="D102" s="8" t="s">
        <v>1004</v>
      </c>
      <c r="E102" s="8" t="s">
        <v>236</v>
      </c>
      <c r="F102" s="4" t="n">
        <v>350000</v>
      </c>
      <c r="G102" s="4" t="n">
        <v>265000</v>
      </c>
      <c r="H102" s="4" t="n">
        <v>199000</v>
      </c>
      <c r="I102" s="4" t="n">
        <f aca="false">H102-G102</f>
        <v>-66000</v>
      </c>
      <c r="J102" s="5" t="n">
        <f aca="false">IFERROR(I102/H102,0)</f>
        <v>-0.331658291457286</v>
      </c>
      <c r="K102" s="4" t="n">
        <v>0</v>
      </c>
    </row>
    <row r="103" customFormat="false" ht="15" hidden="false" customHeight="false" outlineLevel="0" collapsed="false">
      <c r="A103" s="8" t="s">
        <v>970</v>
      </c>
      <c r="B103" s="8" t="s">
        <v>24</v>
      </c>
      <c r="C103" s="8" t="n">
        <v>220044</v>
      </c>
      <c r="D103" s="8" t="s">
        <v>515</v>
      </c>
      <c r="E103" s="8" t="s">
        <v>236</v>
      </c>
      <c r="F103" s="4" t="n">
        <v>350000</v>
      </c>
      <c r="G103" s="4" t="n">
        <v>265000</v>
      </c>
      <c r="H103" s="4" t="n">
        <v>199000</v>
      </c>
      <c r="I103" s="4" t="n">
        <f aca="false">H103-G103</f>
        <v>-66000</v>
      </c>
      <c r="J103" s="5" t="n">
        <f aca="false">IFERROR(I103/H103,0)</f>
        <v>-0.331658291457286</v>
      </c>
      <c r="K103" s="4" t="n">
        <v>0</v>
      </c>
    </row>
    <row r="104" customFormat="false" ht="15" hidden="false" customHeight="false" outlineLevel="0" collapsed="false">
      <c r="A104" s="8" t="s">
        <v>970</v>
      </c>
      <c r="B104" s="8" t="s">
        <v>24</v>
      </c>
      <c r="C104" s="8" t="n">
        <v>220049</v>
      </c>
      <c r="D104" s="8" t="s">
        <v>1005</v>
      </c>
      <c r="E104" s="8" t="s">
        <v>236</v>
      </c>
      <c r="F104" s="4" t="n">
        <v>350000</v>
      </c>
      <c r="G104" s="4" t="n">
        <v>265000</v>
      </c>
      <c r="H104" s="4" t="n">
        <v>199000</v>
      </c>
      <c r="I104" s="4" t="n">
        <f aca="false">H104-G104</f>
        <v>-66000</v>
      </c>
      <c r="J104" s="5" t="n">
        <f aca="false">IFERROR(I104/H104,0)</f>
        <v>-0.331658291457286</v>
      </c>
      <c r="K104" s="4" t="n">
        <v>0</v>
      </c>
    </row>
    <row r="105" customFormat="false" ht="15" hidden="false" customHeight="false" outlineLevel="0" collapsed="false">
      <c r="A105" s="8" t="s">
        <v>970</v>
      </c>
      <c r="B105" s="8" t="s">
        <v>24</v>
      </c>
      <c r="C105" s="8" t="n">
        <v>220024</v>
      </c>
      <c r="D105" s="8" t="s">
        <v>775</v>
      </c>
      <c r="E105" s="8" t="s">
        <v>236</v>
      </c>
      <c r="F105" s="4" t="n">
        <v>350000</v>
      </c>
      <c r="G105" s="4" t="n">
        <v>265000</v>
      </c>
      <c r="H105" s="4" t="n">
        <v>199000</v>
      </c>
      <c r="I105" s="4" t="n">
        <f aca="false">H105-G105</f>
        <v>-66000</v>
      </c>
      <c r="J105" s="5" t="n">
        <f aca="false">IFERROR(I105/H105,0)</f>
        <v>-0.331658291457286</v>
      </c>
      <c r="K105" s="4" t="n">
        <v>0</v>
      </c>
    </row>
    <row r="106" customFormat="false" ht="15" hidden="false" customHeight="false" outlineLevel="0" collapsed="false">
      <c r="A106" s="8" t="s">
        <v>970</v>
      </c>
      <c r="B106" s="8" t="s">
        <v>24</v>
      </c>
      <c r="C106" s="8" t="n">
        <v>220045</v>
      </c>
      <c r="D106" s="8" t="s">
        <v>1006</v>
      </c>
      <c r="E106" s="8" t="s">
        <v>236</v>
      </c>
      <c r="F106" s="4" t="n">
        <v>350000</v>
      </c>
      <c r="G106" s="4" t="n">
        <v>265000</v>
      </c>
      <c r="H106" s="4" t="n">
        <v>199000</v>
      </c>
      <c r="I106" s="4" t="n">
        <f aca="false">H106-G106</f>
        <v>-66000</v>
      </c>
      <c r="J106" s="5" t="n">
        <f aca="false">IFERROR(I106/H106,0)</f>
        <v>-0.331658291457286</v>
      </c>
      <c r="K106" s="4" t="n">
        <v>0</v>
      </c>
    </row>
    <row r="107" customFormat="false" ht="15" hidden="false" customHeight="false" outlineLevel="0" collapsed="false">
      <c r="A107" s="8" t="s">
        <v>970</v>
      </c>
      <c r="B107" s="8" t="s">
        <v>24</v>
      </c>
      <c r="C107" s="8" t="n">
        <v>220046</v>
      </c>
      <c r="D107" s="8" t="s">
        <v>1007</v>
      </c>
      <c r="E107" s="8" t="s">
        <v>236</v>
      </c>
      <c r="F107" s="4" t="n">
        <v>350000</v>
      </c>
      <c r="G107" s="4" t="n">
        <v>265000</v>
      </c>
      <c r="H107" s="4" t="n">
        <v>199000</v>
      </c>
      <c r="I107" s="4" t="n">
        <f aca="false">H107-G107</f>
        <v>-66000</v>
      </c>
      <c r="J107" s="5" t="n">
        <f aca="false">IFERROR(I107/H107,0)</f>
        <v>-0.331658291457286</v>
      </c>
      <c r="K107" s="4" t="n">
        <v>0</v>
      </c>
    </row>
    <row r="108" customFormat="false" ht="15" hidden="false" customHeight="false" outlineLevel="0" collapsed="false">
      <c r="A108" s="8" t="s">
        <v>970</v>
      </c>
      <c r="B108" s="8" t="s">
        <v>24</v>
      </c>
      <c r="C108" s="8" t="n">
        <v>220047</v>
      </c>
      <c r="D108" s="8" t="s">
        <v>776</v>
      </c>
      <c r="E108" s="8" t="s">
        <v>236</v>
      </c>
      <c r="F108" s="4" t="n">
        <v>350000</v>
      </c>
      <c r="G108" s="4" t="n">
        <v>265000</v>
      </c>
      <c r="H108" s="4" t="n">
        <v>199000</v>
      </c>
      <c r="I108" s="4" t="n">
        <f aca="false">H108-G108</f>
        <v>-66000</v>
      </c>
      <c r="J108" s="5" t="n">
        <f aca="false">IFERROR(I108/H108,0)</f>
        <v>-0.331658291457286</v>
      </c>
      <c r="K108" s="4" t="n">
        <v>0</v>
      </c>
    </row>
    <row r="109" customFormat="false" ht="15" hidden="false" customHeight="false" outlineLevel="0" collapsed="false">
      <c r="A109" s="8" t="s">
        <v>970</v>
      </c>
      <c r="B109" s="8" t="s">
        <v>24</v>
      </c>
      <c r="C109" s="8" t="n">
        <v>220006</v>
      </c>
      <c r="D109" s="8" t="s">
        <v>775</v>
      </c>
      <c r="E109" s="8" t="s">
        <v>236</v>
      </c>
      <c r="F109" s="4" t="n">
        <v>350000</v>
      </c>
      <c r="G109" s="4" t="n">
        <v>265000</v>
      </c>
      <c r="H109" s="4" t="n">
        <v>199000</v>
      </c>
      <c r="I109" s="4" t="n">
        <f aca="false">H109-G109</f>
        <v>-66000</v>
      </c>
      <c r="J109" s="5" t="n">
        <f aca="false">IFERROR(I109/H109,0)</f>
        <v>-0.331658291457286</v>
      </c>
      <c r="K109" s="4" t="n">
        <v>0</v>
      </c>
    </row>
    <row r="110" customFormat="false" ht="15" hidden="false" customHeight="false" outlineLevel="0" collapsed="false">
      <c r="A110" s="8" t="s">
        <v>970</v>
      </c>
      <c r="B110" s="8" t="s">
        <v>24</v>
      </c>
      <c r="C110" s="8" t="n">
        <v>220007</v>
      </c>
      <c r="D110" s="8" t="s">
        <v>777</v>
      </c>
      <c r="E110" s="8" t="s">
        <v>236</v>
      </c>
      <c r="F110" s="4" t="n">
        <v>350000</v>
      </c>
      <c r="G110" s="4" t="n">
        <v>265000</v>
      </c>
      <c r="H110" s="4" t="n">
        <v>199000</v>
      </c>
      <c r="I110" s="4" t="n">
        <f aca="false">H110-G110</f>
        <v>-66000</v>
      </c>
      <c r="J110" s="5" t="n">
        <f aca="false">IFERROR(I110/H110,0)</f>
        <v>-0.331658291457286</v>
      </c>
      <c r="K110" s="4" t="n">
        <v>0</v>
      </c>
    </row>
    <row r="111" customFormat="false" ht="15" hidden="false" customHeight="false" outlineLevel="0" collapsed="false">
      <c r="A111" s="8" t="s">
        <v>970</v>
      </c>
      <c r="B111" s="8" t="s">
        <v>24</v>
      </c>
      <c r="C111" s="8" t="n">
        <v>220008</v>
      </c>
      <c r="D111" s="8" t="s">
        <v>778</v>
      </c>
      <c r="E111" s="8" t="s">
        <v>236</v>
      </c>
      <c r="F111" s="4" t="n">
        <v>350000</v>
      </c>
      <c r="G111" s="4" t="n">
        <v>265000</v>
      </c>
      <c r="H111" s="4" t="n">
        <v>199000</v>
      </c>
      <c r="I111" s="4" t="n">
        <f aca="false">H111-G111</f>
        <v>-66000</v>
      </c>
      <c r="J111" s="5" t="n">
        <f aca="false">IFERROR(I111/H111,0)</f>
        <v>-0.331658291457286</v>
      </c>
      <c r="K111" s="4" t="n">
        <v>0</v>
      </c>
    </row>
    <row r="112" customFormat="false" ht="15" hidden="false" customHeight="false" outlineLevel="0" collapsed="false">
      <c r="A112" s="8" t="s">
        <v>970</v>
      </c>
      <c r="B112" s="8" t="s">
        <v>24</v>
      </c>
      <c r="C112" s="8" t="n">
        <v>220015</v>
      </c>
      <c r="D112" s="8" t="s">
        <v>779</v>
      </c>
      <c r="E112" s="8" t="s">
        <v>236</v>
      </c>
      <c r="F112" s="4" t="n">
        <v>350000</v>
      </c>
      <c r="G112" s="4" t="n">
        <v>265000</v>
      </c>
      <c r="H112" s="4" t="n">
        <v>199000</v>
      </c>
      <c r="I112" s="4" t="n">
        <f aca="false">H112-G112</f>
        <v>-66000</v>
      </c>
      <c r="J112" s="5" t="n">
        <f aca="false">IFERROR(I112/H112,0)</f>
        <v>-0.331658291457286</v>
      </c>
      <c r="K112" s="4" t="n">
        <v>0</v>
      </c>
    </row>
    <row r="113" customFormat="false" ht="15" hidden="false" customHeight="false" outlineLevel="0" collapsed="false">
      <c r="A113" s="8" t="s">
        <v>970</v>
      </c>
      <c r="B113" s="8" t="s">
        <v>24</v>
      </c>
      <c r="C113" s="8" t="n">
        <v>220019</v>
      </c>
      <c r="D113" s="8" t="s">
        <v>780</v>
      </c>
      <c r="E113" s="8" t="s">
        <v>236</v>
      </c>
      <c r="F113" s="4" t="n">
        <v>350000</v>
      </c>
      <c r="G113" s="4" t="n">
        <v>265000</v>
      </c>
      <c r="H113" s="4" t="n">
        <v>199000</v>
      </c>
      <c r="I113" s="4" t="n">
        <f aca="false">H113-G113</f>
        <v>-66000</v>
      </c>
      <c r="J113" s="5" t="n">
        <f aca="false">IFERROR(I113/H113,0)</f>
        <v>-0.331658291457286</v>
      </c>
      <c r="K113" s="4" t="n">
        <v>0</v>
      </c>
    </row>
    <row r="114" customFormat="false" ht="15" hidden="false" customHeight="false" outlineLevel="0" collapsed="false">
      <c r="A114" s="8" t="s">
        <v>970</v>
      </c>
      <c r="B114" s="8" t="s">
        <v>24</v>
      </c>
      <c r="C114" s="8" t="n">
        <v>220020</v>
      </c>
      <c r="D114" s="8" t="s">
        <v>781</v>
      </c>
      <c r="E114" s="8" t="s">
        <v>236</v>
      </c>
      <c r="F114" s="4" t="n">
        <v>350000</v>
      </c>
      <c r="G114" s="4" t="n">
        <v>265000</v>
      </c>
      <c r="H114" s="4" t="n">
        <v>199000</v>
      </c>
      <c r="I114" s="4" t="n">
        <f aca="false">H114-G114</f>
        <v>-66000</v>
      </c>
      <c r="J114" s="5" t="n">
        <f aca="false">IFERROR(I114/H114,0)</f>
        <v>-0.331658291457286</v>
      </c>
      <c r="K114" s="4" t="n">
        <v>0</v>
      </c>
    </row>
    <row r="115" customFormat="false" ht="15" hidden="false" customHeight="false" outlineLevel="0" collapsed="false">
      <c r="A115" s="8" t="s">
        <v>970</v>
      </c>
      <c r="B115" s="8" t="s">
        <v>24</v>
      </c>
      <c r="C115" s="8" t="n">
        <v>220022</v>
      </c>
      <c r="D115" s="8" t="s">
        <v>780</v>
      </c>
      <c r="E115" s="8" t="s">
        <v>236</v>
      </c>
      <c r="F115" s="4" t="n">
        <v>350000</v>
      </c>
      <c r="G115" s="4" t="n">
        <v>265000</v>
      </c>
      <c r="H115" s="4" t="n">
        <v>199000</v>
      </c>
      <c r="I115" s="4" t="n">
        <f aca="false">H115-G115</f>
        <v>-66000</v>
      </c>
      <c r="J115" s="5" t="n">
        <f aca="false">IFERROR(I115/H115,0)</f>
        <v>-0.331658291457286</v>
      </c>
      <c r="K115" s="4" t="n">
        <v>0</v>
      </c>
    </row>
    <row r="116" customFormat="false" ht="15" hidden="false" customHeight="false" outlineLevel="0" collapsed="false">
      <c r="A116" s="8" t="s">
        <v>970</v>
      </c>
      <c r="B116" s="8" t="s">
        <v>24</v>
      </c>
      <c r="C116" s="8" t="n">
        <v>220023</v>
      </c>
      <c r="D116" s="8" t="s">
        <v>782</v>
      </c>
      <c r="E116" s="8" t="s">
        <v>236</v>
      </c>
      <c r="F116" s="4" t="n">
        <v>350000</v>
      </c>
      <c r="G116" s="4" t="n">
        <v>265000</v>
      </c>
      <c r="H116" s="4" t="n">
        <v>199000</v>
      </c>
      <c r="I116" s="4" t="n">
        <f aca="false">H116-G116</f>
        <v>-66000</v>
      </c>
      <c r="J116" s="5" t="n">
        <f aca="false">IFERROR(I116/H116,0)</f>
        <v>-0.331658291457286</v>
      </c>
      <c r="K116" s="4" t="n">
        <v>0</v>
      </c>
    </row>
    <row r="117" customFormat="false" ht="15" hidden="false" customHeight="false" outlineLevel="0" collapsed="false">
      <c r="A117" s="8" t="s">
        <v>970</v>
      </c>
      <c r="B117" s="8" t="s">
        <v>24</v>
      </c>
      <c r="C117" s="8" t="n">
        <v>220025</v>
      </c>
      <c r="D117" s="8" t="s">
        <v>778</v>
      </c>
      <c r="E117" s="8" t="s">
        <v>236</v>
      </c>
      <c r="F117" s="4" t="n">
        <v>350000</v>
      </c>
      <c r="G117" s="4" t="n">
        <v>265000</v>
      </c>
      <c r="H117" s="4" t="n">
        <v>199000</v>
      </c>
      <c r="I117" s="4" t="n">
        <f aca="false">H117-G117</f>
        <v>-66000</v>
      </c>
      <c r="J117" s="5" t="n">
        <f aca="false">IFERROR(I117/H117,0)</f>
        <v>-0.331658291457286</v>
      </c>
      <c r="K117" s="4" t="n">
        <v>0</v>
      </c>
    </row>
    <row r="118" customFormat="false" ht="15" hidden="false" customHeight="false" outlineLevel="0" collapsed="false">
      <c r="A118" s="8" t="s">
        <v>970</v>
      </c>
      <c r="B118" s="8" t="s">
        <v>24</v>
      </c>
      <c r="C118" s="8" t="n">
        <v>220026</v>
      </c>
      <c r="D118" s="8" t="s">
        <v>777</v>
      </c>
      <c r="E118" s="8" t="s">
        <v>236</v>
      </c>
      <c r="F118" s="4" t="n">
        <v>350000</v>
      </c>
      <c r="G118" s="4" t="n">
        <v>265000</v>
      </c>
      <c r="H118" s="4" t="n">
        <v>199000</v>
      </c>
      <c r="I118" s="4" t="n">
        <f aca="false">H118-G118</f>
        <v>-66000</v>
      </c>
      <c r="J118" s="5" t="n">
        <f aca="false">IFERROR(I118/H118,0)</f>
        <v>-0.331658291457286</v>
      </c>
      <c r="K118" s="4" t="n">
        <v>0</v>
      </c>
    </row>
    <row r="119" customFormat="false" ht="15" hidden="false" customHeight="false" outlineLevel="0" collapsed="false">
      <c r="A119" s="8" t="s">
        <v>970</v>
      </c>
      <c r="B119" s="8" t="s">
        <v>24</v>
      </c>
      <c r="C119" s="8" t="n">
        <v>220027</v>
      </c>
      <c r="D119" s="8" t="s">
        <v>783</v>
      </c>
      <c r="E119" s="8" t="s">
        <v>236</v>
      </c>
      <c r="F119" s="4" t="n">
        <v>350000</v>
      </c>
      <c r="G119" s="4" t="n">
        <v>265000</v>
      </c>
      <c r="H119" s="4" t="n">
        <v>199000</v>
      </c>
      <c r="I119" s="4" t="n">
        <f aca="false">H119-G119</f>
        <v>-66000</v>
      </c>
      <c r="J119" s="5" t="n">
        <f aca="false">IFERROR(I119/H119,0)</f>
        <v>-0.331658291457286</v>
      </c>
      <c r="K119" s="4" t="n">
        <v>0</v>
      </c>
    </row>
    <row r="120" customFormat="false" ht="15" hidden="false" customHeight="false" outlineLevel="0" collapsed="false">
      <c r="A120" s="8" t="s">
        <v>970</v>
      </c>
      <c r="B120" s="8" t="s">
        <v>24</v>
      </c>
      <c r="C120" s="8" t="n">
        <v>220028</v>
      </c>
      <c r="D120" s="8" t="s">
        <v>781</v>
      </c>
      <c r="E120" s="8" t="s">
        <v>236</v>
      </c>
      <c r="F120" s="4" t="n">
        <v>350000</v>
      </c>
      <c r="G120" s="4" t="n">
        <v>265000</v>
      </c>
      <c r="H120" s="4" t="n">
        <v>199000</v>
      </c>
      <c r="I120" s="4" t="n">
        <f aca="false">H120-G120</f>
        <v>-66000</v>
      </c>
      <c r="J120" s="5" t="n">
        <f aca="false">IFERROR(I120/H120,0)</f>
        <v>-0.331658291457286</v>
      </c>
      <c r="K120" s="4" t="n">
        <v>0</v>
      </c>
    </row>
    <row r="121" customFormat="false" ht="15" hidden="false" customHeight="false" outlineLevel="0" collapsed="false">
      <c r="A121" s="8" t="s">
        <v>970</v>
      </c>
      <c r="B121" s="8" t="s">
        <v>24</v>
      </c>
      <c r="C121" s="8" t="n">
        <v>220048</v>
      </c>
      <c r="D121" s="8" t="s">
        <v>784</v>
      </c>
      <c r="E121" s="8" t="s">
        <v>236</v>
      </c>
      <c r="F121" s="4" t="n">
        <v>350000</v>
      </c>
      <c r="G121" s="4" t="n">
        <v>265000</v>
      </c>
      <c r="H121" s="4" t="n">
        <v>199000</v>
      </c>
      <c r="I121" s="4" t="n">
        <f aca="false">H121-G121</f>
        <v>-66000</v>
      </c>
      <c r="J121" s="5" t="n">
        <f aca="false">IFERROR(I121/H121,0)</f>
        <v>-0.331658291457286</v>
      </c>
      <c r="K121" s="4" t="n">
        <v>0</v>
      </c>
    </row>
    <row r="122" customFormat="false" ht="15" hidden="false" customHeight="false" outlineLevel="0" collapsed="false">
      <c r="A122" s="8" t="s">
        <v>970</v>
      </c>
      <c r="B122" s="8" t="s">
        <v>28</v>
      </c>
      <c r="C122" s="8" t="n">
        <v>174125</v>
      </c>
      <c r="D122" s="8" t="s">
        <v>1008</v>
      </c>
      <c r="E122" s="8" t="s">
        <v>50</v>
      </c>
      <c r="F122" s="4" t="n">
        <v>185000</v>
      </c>
      <c r="G122" s="4" t="n">
        <v>150000</v>
      </c>
      <c r="H122" s="4" t="n">
        <v>148000</v>
      </c>
      <c r="I122" s="4" t="n">
        <f aca="false">H122-G122</f>
        <v>-2000</v>
      </c>
      <c r="J122" s="5" t="n">
        <f aca="false">IFERROR(I122/H122,0)</f>
        <v>-0.0135135135135135</v>
      </c>
      <c r="K122" s="4" t="n">
        <v>0</v>
      </c>
    </row>
    <row r="123" customFormat="false" ht="15" hidden="false" customHeight="false" outlineLevel="0" collapsed="false">
      <c r="A123" s="8" t="s">
        <v>970</v>
      </c>
      <c r="B123" s="8" t="s">
        <v>28</v>
      </c>
      <c r="C123" s="8" t="n">
        <v>174136</v>
      </c>
      <c r="D123" s="8" t="s">
        <v>1009</v>
      </c>
      <c r="E123" s="8" t="s">
        <v>50</v>
      </c>
      <c r="F123" s="4" t="n">
        <v>185000</v>
      </c>
      <c r="G123" s="4" t="n">
        <v>150000</v>
      </c>
      <c r="H123" s="4" t="n">
        <v>148000</v>
      </c>
      <c r="I123" s="4" t="n">
        <f aca="false">H123-G123</f>
        <v>-2000</v>
      </c>
      <c r="J123" s="5" t="n">
        <f aca="false">IFERROR(I123/H123,0)</f>
        <v>-0.0135135135135135</v>
      </c>
      <c r="K123" s="4" t="n">
        <v>0</v>
      </c>
    </row>
  </sheetData>
  <autoFilter ref="A3:K123"/>
  <conditionalFormatting sqref="A4:A123">
    <cfRule type="cellIs" priority="2" operator="equal" aboveAverage="0" equalAverage="0" bottom="0" percent="0" rank="0" text="" dxfId="0">
      <formula>"Toàn hệ thống"</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0"/>
    <col collapsed="false" customWidth="true" hidden="false" outlineLevel="0" max="3" min="3" style="0" width="30"/>
    <col collapsed="false" customWidth="true" hidden="false" outlineLevel="0" max="4" min="4" style="0" width="8"/>
  </cols>
  <sheetData>
    <row r="1" customFormat="false" ht="15" hidden="false" customHeight="false" outlineLevel="0" collapsed="false">
      <c r="A1" s="13" t="s">
        <v>1010</v>
      </c>
    </row>
    <row r="3" customFormat="false" ht="42" hidden="false" customHeight="true" outlineLevel="0" collapsed="false">
      <c r="A3" s="7" t="s">
        <v>269</v>
      </c>
      <c r="B3" s="7" t="s">
        <v>270</v>
      </c>
      <c r="C3" s="7" t="s">
        <v>1011</v>
      </c>
      <c r="D3" s="7" t="s">
        <v>1012</v>
      </c>
    </row>
    <row r="4" customFormat="false" ht="15" hidden="false" customHeight="false" outlineLevel="0" collapsed="false">
      <c r="A4" s="8" t="n">
        <v>134314</v>
      </c>
      <c r="B4" s="8" t="s">
        <v>814</v>
      </c>
      <c r="C4" s="8" t="s">
        <v>470</v>
      </c>
      <c r="D4" s="4" t="n">
        <v>-2</v>
      </c>
    </row>
    <row r="5" customFormat="false" ht="15" hidden="false" customHeight="false" outlineLevel="0" collapsed="false">
      <c r="A5" s="8" t="n">
        <v>134273</v>
      </c>
      <c r="B5" s="8" t="s">
        <v>1013</v>
      </c>
      <c r="C5" s="8" t="s">
        <v>470</v>
      </c>
      <c r="D5" s="4" t="n">
        <v>-5</v>
      </c>
    </row>
    <row r="6" customFormat="false" ht="15" hidden="false" customHeight="false" outlineLevel="0" collapsed="false">
      <c r="A6" s="8" t="n">
        <v>101949</v>
      </c>
      <c r="B6" s="8" t="s">
        <v>803</v>
      </c>
      <c r="C6" s="8" t="s">
        <v>479</v>
      </c>
      <c r="D6" s="4" t="n">
        <v>-1</v>
      </c>
    </row>
    <row r="7" customFormat="false" ht="15" hidden="false" customHeight="false" outlineLevel="0" collapsed="false">
      <c r="A7" s="8" t="n">
        <v>134272</v>
      </c>
      <c r="B7" s="8" t="s">
        <v>1014</v>
      </c>
      <c r="C7" s="8" t="s">
        <v>472</v>
      </c>
      <c r="D7" s="4" t="n">
        <v>-3</v>
      </c>
    </row>
    <row r="8" customFormat="false" ht="15" hidden="false" customHeight="false" outlineLevel="0" collapsed="false">
      <c r="A8" s="8" t="n">
        <v>135086</v>
      </c>
      <c r="B8" s="8" t="s">
        <v>1015</v>
      </c>
      <c r="C8" s="8" t="s">
        <v>454</v>
      </c>
      <c r="D8" s="4" t="n">
        <v>-1</v>
      </c>
    </row>
    <row r="9" customFormat="false" ht="15" hidden="false" customHeight="false" outlineLevel="0" collapsed="false">
      <c r="A9" s="8" t="n">
        <v>231198</v>
      </c>
      <c r="B9" s="8" t="s">
        <v>1016</v>
      </c>
      <c r="C9" s="8" t="s">
        <v>454</v>
      </c>
      <c r="D9" s="4" t="n">
        <v>-1</v>
      </c>
    </row>
    <row r="10" customFormat="false" ht="15" hidden="false" customHeight="false" outlineLevel="0" collapsed="false">
      <c r="A10" s="8" t="n">
        <v>143006</v>
      </c>
      <c r="B10" s="8" t="s">
        <v>982</v>
      </c>
      <c r="C10" s="8" t="s">
        <v>454</v>
      </c>
      <c r="D10" s="4" t="n">
        <v>-1</v>
      </c>
    </row>
    <row r="11" customFormat="false" ht="15" hidden="false" customHeight="false" outlineLevel="0" collapsed="false">
      <c r="A11" s="8" t="n">
        <v>142446</v>
      </c>
      <c r="B11" s="8" t="s">
        <v>976</v>
      </c>
      <c r="C11" s="8" t="s">
        <v>470</v>
      </c>
      <c r="D11" s="4" t="n">
        <v>-1</v>
      </c>
    </row>
    <row r="12" customFormat="false" ht="15" hidden="false" customHeight="false" outlineLevel="0" collapsed="false">
      <c r="A12" s="8" t="n">
        <v>142446</v>
      </c>
      <c r="B12" s="8" t="s">
        <v>976</v>
      </c>
      <c r="C12" s="8" t="s">
        <v>474</v>
      </c>
      <c r="D12" s="4" t="n">
        <v>-1</v>
      </c>
    </row>
    <row r="13" customFormat="false" ht="15" hidden="false" customHeight="false" outlineLevel="0" collapsed="false">
      <c r="A13" s="8" t="n">
        <v>134271</v>
      </c>
      <c r="B13" s="8" t="s">
        <v>1017</v>
      </c>
      <c r="C13" s="8" t="s">
        <v>471</v>
      </c>
      <c r="D13" s="4" t="n">
        <v>-1</v>
      </c>
    </row>
    <row r="14" customFormat="false" ht="15" hidden="false" customHeight="false" outlineLevel="0" collapsed="false">
      <c r="A14" s="8" t="n">
        <v>135033</v>
      </c>
      <c r="B14" s="8" t="s">
        <v>1018</v>
      </c>
      <c r="C14" s="8" t="s">
        <v>481</v>
      </c>
      <c r="D14" s="4" t="n">
        <v>-2</v>
      </c>
    </row>
    <row r="15" customFormat="false" ht="15" hidden="false" customHeight="false" outlineLevel="0" collapsed="false">
      <c r="A15" s="8" t="n">
        <v>135032</v>
      </c>
      <c r="B15" s="8" t="s">
        <v>1019</v>
      </c>
      <c r="C15" s="8" t="s">
        <v>481</v>
      </c>
      <c r="D15" s="4" t="n">
        <v>-1</v>
      </c>
    </row>
    <row r="16" customFormat="false" ht="15" hidden="false" customHeight="false" outlineLevel="0" collapsed="false">
      <c r="A16" s="8" t="n">
        <v>134329</v>
      </c>
      <c r="B16" s="8" t="s">
        <v>1020</v>
      </c>
      <c r="C16" s="8" t="s">
        <v>474</v>
      </c>
      <c r="D16" s="4" t="n">
        <v>-1</v>
      </c>
    </row>
    <row r="17" customFormat="false" ht="15" hidden="false" customHeight="false" outlineLevel="0" collapsed="false">
      <c r="A17" s="8" t="n">
        <v>142999</v>
      </c>
      <c r="B17" s="8" t="s">
        <v>980</v>
      </c>
      <c r="C17" s="8" t="s">
        <v>470</v>
      </c>
      <c r="D17" s="4" t="n">
        <v>-1</v>
      </c>
    </row>
    <row r="18" customFormat="false" ht="15" hidden="false" customHeight="false" outlineLevel="0" collapsed="false">
      <c r="A18" s="8" t="n">
        <v>142998</v>
      </c>
      <c r="B18" s="8" t="s">
        <v>988</v>
      </c>
      <c r="C18" s="8" t="s">
        <v>471</v>
      </c>
      <c r="D18" s="4" t="n">
        <v>-1</v>
      </c>
    </row>
    <row r="19" customFormat="false" ht="15" hidden="false" customHeight="false" outlineLevel="0" collapsed="false">
      <c r="A19" s="8" t="n">
        <v>231265</v>
      </c>
      <c r="B19" s="8" t="s">
        <v>1021</v>
      </c>
      <c r="C19" s="8" t="s">
        <v>481</v>
      </c>
      <c r="D19" s="4" t="n">
        <v>-1</v>
      </c>
    </row>
    <row r="20" customFormat="false" ht="15" hidden="false" customHeight="false" outlineLevel="0" collapsed="false">
      <c r="A20" s="8" t="n">
        <v>152336</v>
      </c>
      <c r="B20" s="8" t="s">
        <v>761</v>
      </c>
      <c r="C20" s="8" t="s">
        <v>472</v>
      </c>
      <c r="D20" s="4" t="n">
        <v>-8</v>
      </c>
    </row>
    <row r="21" customFormat="false" ht="15" hidden="false" customHeight="false" outlineLevel="0" collapsed="false">
      <c r="A21" s="8" t="n">
        <v>142451</v>
      </c>
      <c r="B21" s="8" t="s">
        <v>696</v>
      </c>
      <c r="C21" s="8" t="s">
        <v>470</v>
      </c>
      <c r="D21" s="4" t="n">
        <v>-1</v>
      </c>
    </row>
    <row r="22" customFormat="false" ht="15" hidden="false" customHeight="false" outlineLevel="0" collapsed="false">
      <c r="A22" s="8" t="n">
        <v>101962</v>
      </c>
      <c r="B22" s="8" t="s">
        <v>642</v>
      </c>
      <c r="C22" s="8" t="s">
        <v>480</v>
      </c>
      <c r="D22" s="4" t="n">
        <v>-1</v>
      </c>
    </row>
    <row r="23" customFormat="false" ht="15" hidden="false" customHeight="false" outlineLevel="0" collapsed="false">
      <c r="A23" s="8" t="n">
        <v>143004</v>
      </c>
      <c r="B23" s="8" t="s">
        <v>688</v>
      </c>
      <c r="C23" s="8" t="s">
        <v>467</v>
      </c>
      <c r="D23" s="4" t="n">
        <v>-3</v>
      </c>
    </row>
    <row r="24" customFormat="false" ht="15" hidden="false" customHeight="false" outlineLevel="0" collapsed="false">
      <c r="A24" s="8" t="n">
        <v>143004</v>
      </c>
      <c r="B24" s="8" t="s">
        <v>688</v>
      </c>
      <c r="C24" s="8" t="s">
        <v>470</v>
      </c>
      <c r="D24" s="4" t="n">
        <v>-2</v>
      </c>
    </row>
    <row r="25" customFormat="false" ht="15" hidden="false" customHeight="false" outlineLevel="0" collapsed="false">
      <c r="A25" s="8" t="n">
        <v>143004</v>
      </c>
      <c r="B25" s="8" t="s">
        <v>688</v>
      </c>
      <c r="C25" s="8" t="s">
        <v>474</v>
      </c>
      <c r="D25" s="4" t="n">
        <v>-1</v>
      </c>
    </row>
    <row r="26" customFormat="false" ht="15" hidden="false" customHeight="false" outlineLevel="0" collapsed="false">
      <c r="A26" s="8" t="n">
        <v>143003</v>
      </c>
      <c r="B26" s="8" t="s">
        <v>698</v>
      </c>
      <c r="C26" s="8" t="s">
        <v>470</v>
      </c>
      <c r="D26" s="4" t="n">
        <v>-3</v>
      </c>
    </row>
    <row r="27" customFormat="false" ht="15" hidden="false" customHeight="false" outlineLevel="0" collapsed="false">
      <c r="A27" s="8" t="n">
        <v>134108</v>
      </c>
      <c r="B27" s="8" t="s">
        <v>1022</v>
      </c>
      <c r="C27" s="8" t="s">
        <v>469</v>
      </c>
      <c r="D27" s="4" t="n">
        <v>-3</v>
      </c>
    </row>
    <row r="28" customFormat="false" ht="15" hidden="false" customHeight="false" outlineLevel="0" collapsed="false">
      <c r="A28" s="8" t="n">
        <v>102415</v>
      </c>
      <c r="B28" s="8" t="s">
        <v>627</v>
      </c>
      <c r="C28" s="8" t="s">
        <v>486</v>
      </c>
      <c r="D28" s="4" t="n">
        <v>-1</v>
      </c>
    </row>
    <row r="29" customFormat="false" ht="15" hidden="false" customHeight="false" outlineLevel="0" collapsed="false">
      <c r="A29" s="8" t="n">
        <v>143008</v>
      </c>
      <c r="B29" s="8" t="s">
        <v>694</v>
      </c>
      <c r="C29" s="8" t="s">
        <v>470</v>
      </c>
      <c r="D29" s="4" t="n">
        <v>-3</v>
      </c>
    </row>
    <row r="30" customFormat="false" ht="15" hidden="false" customHeight="false" outlineLevel="0" collapsed="false">
      <c r="A30" s="8" t="n">
        <v>135150</v>
      </c>
      <c r="B30" s="8" t="s">
        <v>671</v>
      </c>
      <c r="C30" s="8" t="s">
        <v>482</v>
      </c>
      <c r="D30" s="4" t="n">
        <v>-2</v>
      </c>
    </row>
    <row r="31" customFormat="false" ht="15" hidden="false" customHeight="false" outlineLevel="0" collapsed="false">
      <c r="A31" s="8" t="n">
        <v>142813</v>
      </c>
      <c r="B31" s="8" t="s">
        <v>702</v>
      </c>
      <c r="C31" s="8" t="s">
        <v>454</v>
      </c>
      <c r="D31" s="4" t="n">
        <v>-1</v>
      </c>
    </row>
    <row r="32" customFormat="false" ht="15" hidden="false" customHeight="false" outlineLevel="0" collapsed="false">
      <c r="A32" s="8" t="n">
        <v>142813</v>
      </c>
      <c r="B32" s="8" t="s">
        <v>702</v>
      </c>
      <c r="C32" s="8" t="s">
        <v>470</v>
      </c>
      <c r="D32" s="4" t="n">
        <v>-1</v>
      </c>
    </row>
    <row r="33" customFormat="false" ht="15" hidden="false" customHeight="false" outlineLevel="0" collapsed="false">
      <c r="A33" s="8" t="n">
        <v>142813</v>
      </c>
      <c r="B33" s="8" t="s">
        <v>702</v>
      </c>
      <c r="C33" s="8" t="s">
        <v>474</v>
      </c>
      <c r="D33" s="4" t="n">
        <v>-1</v>
      </c>
    </row>
    <row r="34" customFormat="false" ht="15" hidden="false" customHeight="false" outlineLevel="0" collapsed="false">
      <c r="A34" s="8" t="n">
        <v>30016</v>
      </c>
      <c r="B34" s="8" t="s">
        <v>543</v>
      </c>
      <c r="C34" s="8" t="s">
        <v>482</v>
      </c>
      <c r="D34" s="4" t="n">
        <v>-2</v>
      </c>
    </row>
    <row r="35" customFormat="false" ht="15" hidden="false" customHeight="false" outlineLevel="0" collapsed="false">
      <c r="A35" s="8" t="n">
        <v>152873</v>
      </c>
      <c r="B35" s="8" t="s">
        <v>501</v>
      </c>
      <c r="C35" s="8" t="s">
        <v>472</v>
      </c>
      <c r="D35" s="4" t="n">
        <v>-1</v>
      </c>
    </row>
    <row r="36" customFormat="false" ht="15" hidden="false" customHeight="false" outlineLevel="0" collapsed="false">
      <c r="A36" s="8" t="n">
        <v>134268</v>
      </c>
      <c r="B36" s="8" t="s">
        <v>679</v>
      </c>
      <c r="C36" s="8" t="s">
        <v>468</v>
      </c>
      <c r="D36" s="4" t="n">
        <v>-6</v>
      </c>
    </row>
    <row r="37" customFormat="false" ht="15" hidden="false" customHeight="false" outlineLevel="0" collapsed="false">
      <c r="A37" s="8" t="n">
        <v>102021</v>
      </c>
      <c r="B37" s="8" t="s">
        <v>347</v>
      </c>
      <c r="C37" s="8" t="s">
        <v>477</v>
      </c>
      <c r="D37" s="4" t="n">
        <v>-1</v>
      </c>
    </row>
    <row r="38" customFormat="false" ht="15" hidden="false" customHeight="false" outlineLevel="0" collapsed="false">
      <c r="A38" s="8" t="n">
        <v>220074</v>
      </c>
      <c r="B38" s="8" t="s">
        <v>513</v>
      </c>
      <c r="C38" s="8" t="s">
        <v>480</v>
      </c>
      <c r="D38" s="4" t="n">
        <v>-1</v>
      </c>
    </row>
    <row r="39" customFormat="false" ht="15" hidden="false" customHeight="false" outlineLevel="0" collapsed="false">
      <c r="A39" s="8" t="n">
        <v>220074</v>
      </c>
      <c r="B39" s="8" t="s">
        <v>513</v>
      </c>
      <c r="C39" s="8" t="s">
        <v>486</v>
      </c>
      <c r="D39" s="4" t="n">
        <v>-2</v>
      </c>
    </row>
    <row r="40" customFormat="false" ht="15" hidden="false" customHeight="false" outlineLevel="0" collapsed="false">
      <c r="A40" s="8" t="n">
        <v>152368</v>
      </c>
      <c r="B40" s="8" t="s">
        <v>718</v>
      </c>
      <c r="C40" s="8" t="s">
        <v>481</v>
      </c>
      <c r="D40" s="4" t="n">
        <v>-1</v>
      </c>
    </row>
    <row r="41" customFormat="false" ht="15" hidden="false" customHeight="false" outlineLevel="0" collapsed="false">
      <c r="A41" s="8" t="n">
        <v>174766</v>
      </c>
      <c r="B41" s="8" t="s">
        <v>497</v>
      </c>
      <c r="C41" s="8" t="s">
        <v>454</v>
      </c>
      <c r="D41" s="4" t="n">
        <v>-2</v>
      </c>
    </row>
    <row r="42" customFormat="false" ht="15" hidden="false" customHeight="false" outlineLevel="0" collapsed="false">
      <c r="A42" s="8" t="n">
        <v>231042</v>
      </c>
      <c r="B42" s="8" t="s">
        <v>754</v>
      </c>
      <c r="C42" s="8" t="s">
        <v>476</v>
      </c>
      <c r="D42" s="4" t="n">
        <v>-2</v>
      </c>
    </row>
    <row r="43" customFormat="false" ht="15" hidden="false" customHeight="false" outlineLevel="0" collapsed="false">
      <c r="A43" s="8" t="n">
        <v>30116</v>
      </c>
      <c r="B43" s="8" t="s">
        <v>278</v>
      </c>
      <c r="C43" s="8" t="s">
        <v>479</v>
      </c>
      <c r="D43" s="4" t="n">
        <v>-1</v>
      </c>
    </row>
    <row r="44" customFormat="false" ht="15" hidden="false" customHeight="false" outlineLevel="0" collapsed="false">
      <c r="A44" s="8" t="n">
        <v>143021</v>
      </c>
      <c r="B44" s="8" t="s">
        <v>284</v>
      </c>
      <c r="C44" s="8" t="s">
        <v>469</v>
      </c>
      <c r="D44" s="4" t="n">
        <v>-1</v>
      </c>
    </row>
    <row r="45" customFormat="false" ht="15" hidden="false" customHeight="false" outlineLevel="0" collapsed="false">
      <c r="A45" s="8" t="n">
        <v>135148</v>
      </c>
      <c r="B45" s="8" t="s">
        <v>297</v>
      </c>
      <c r="C45" s="8" t="s">
        <v>454</v>
      </c>
      <c r="D45" s="4" t="n">
        <v>-1</v>
      </c>
    </row>
    <row r="46" customFormat="false" ht="15" hidden="false" customHeight="false" outlineLevel="0" collapsed="false">
      <c r="A46" s="8" t="n">
        <v>135148</v>
      </c>
      <c r="B46" s="8" t="s">
        <v>297</v>
      </c>
      <c r="C46" s="8" t="s">
        <v>475</v>
      </c>
      <c r="D46" s="4" t="n">
        <v>-8</v>
      </c>
    </row>
    <row r="47" customFormat="false" ht="15" hidden="false" customHeight="false" outlineLevel="0" collapsed="false">
      <c r="A47" s="8" t="n">
        <v>135148</v>
      </c>
      <c r="B47" s="8" t="s">
        <v>297</v>
      </c>
      <c r="C47" s="8" t="s">
        <v>480</v>
      </c>
      <c r="D47" s="4" t="n">
        <v>-1</v>
      </c>
    </row>
    <row r="48" customFormat="false" ht="15" hidden="false" customHeight="false" outlineLevel="0" collapsed="false">
      <c r="A48" s="8" t="n">
        <v>135148</v>
      </c>
      <c r="B48" s="8" t="s">
        <v>297</v>
      </c>
      <c r="C48" s="8" t="s">
        <v>482</v>
      </c>
      <c r="D48" s="4" t="n">
        <v>-7</v>
      </c>
    </row>
    <row r="49" customFormat="false" ht="15" hidden="false" customHeight="false" outlineLevel="0" collapsed="false">
      <c r="A49" s="8" t="n">
        <v>135149</v>
      </c>
      <c r="B49" s="8" t="s">
        <v>299</v>
      </c>
      <c r="C49" s="8" t="s">
        <v>454</v>
      </c>
      <c r="D49" s="4" t="n">
        <v>-2</v>
      </c>
    </row>
    <row r="50" customFormat="false" ht="15" hidden="false" customHeight="false" outlineLevel="0" collapsed="false">
      <c r="A50" s="8" t="n">
        <v>135149</v>
      </c>
      <c r="B50" s="8" t="s">
        <v>299</v>
      </c>
      <c r="C50" s="8" t="s">
        <v>471</v>
      </c>
      <c r="D50" s="4" t="n">
        <v>-3</v>
      </c>
    </row>
    <row r="51" customFormat="false" ht="15" hidden="false" customHeight="false" outlineLevel="0" collapsed="false">
      <c r="A51" s="8" t="n">
        <v>135149</v>
      </c>
      <c r="B51" s="8" t="s">
        <v>299</v>
      </c>
      <c r="C51" s="8" t="s">
        <v>475</v>
      </c>
      <c r="D51" s="4" t="n">
        <v>-9</v>
      </c>
    </row>
    <row r="52" customFormat="false" ht="15" hidden="false" customHeight="false" outlineLevel="0" collapsed="false">
      <c r="A52" s="8" t="n">
        <v>135149</v>
      </c>
      <c r="B52" s="8" t="s">
        <v>299</v>
      </c>
      <c r="C52" s="8" t="s">
        <v>480</v>
      </c>
      <c r="D52" s="4" t="n">
        <v>-5</v>
      </c>
    </row>
    <row r="53" customFormat="false" ht="15" hidden="false" customHeight="false" outlineLevel="0" collapsed="false">
      <c r="A53" s="8" t="n">
        <v>135149</v>
      </c>
      <c r="B53" s="8" t="s">
        <v>299</v>
      </c>
      <c r="C53" s="8" t="s">
        <v>482</v>
      </c>
      <c r="D53" s="4" t="n">
        <v>-5</v>
      </c>
    </row>
    <row r="54" customFormat="false" ht="15" hidden="false" customHeight="false" outlineLevel="0" collapsed="false">
      <c r="A54" s="8" t="n">
        <v>220077</v>
      </c>
      <c r="B54" s="8" t="s">
        <v>514</v>
      </c>
      <c r="C54" s="8" t="s">
        <v>477</v>
      </c>
      <c r="D54" s="4" t="n">
        <v>-4</v>
      </c>
    </row>
    <row r="55" customFormat="false" ht="15" hidden="false" customHeight="false" outlineLevel="0" collapsed="false">
      <c r="A55" s="8" t="n">
        <v>134230</v>
      </c>
      <c r="B55" s="8" t="s">
        <v>295</v>
      </c>
      <c r="C55" s="8" t="s">
        <v>469</v>
      </c>
      <c r="D55" s="4" t="n">
        <v>-1</v>
      </c>
    </row>
    <row r="56" customFormat="false" ht="15" hidden="false" customHeight="false" outlineLevel="0" collapsed="false">
      <c r="A56" s="8" t="n">
        <v>134230</v>
      </c>
      <c r="B56" s="8" t="s">
        <v>295</v>
      </c>
      <c r="C56" s="8" t="s">
        <v>481</v>
      </c>
      <c r="D56" s="4" t="n">
        <v>-1</v>
      </c>
    </row>
    <row r="57" customFormat="false" ht="15" hidden="false" customHeight="false" outlineLevel="0" collapsed="false">
      <c r="A57" s="8" t="n">
        <v>143016</v>
      </c>
      <c r="B57" s="8" t="s">
        <v>692</v>
      </c>
      <c r="C57" s="8" t="s">
        <v>470</v>
      </c>
      <c r="D57" s="4" t="n">
        <v>-3</v>
      </c>
    </row>
    <row r="58" customFormat="false" ht="15" hidden="false" customHeight="false" outlineLevel="0" collapsed="false">
      <c r="A58" s="8" t="n">
        <v>142450</v>
      </c>
      <c r="B58" s="8" t="s">
        <v>695</v>
      </c>
      <c r="C58" s="8" t="s">
        <v>474</v>
      </c>
      <c r="D58" s="4" t="n">
        <v>-15</v>
      </c>
    </row>
    <row r="59" customFormat="false" ht="15" hidden="false" customHeight="false" outlineLevel="0" collapsed="false">
      <c r="A59" s="8" t="n">
        <v>143015</v>
      </c>
      <c r="B59" s="8" t="s">
        <v>689</v>
      </c>
      <c r="C59" s="8" t="s">
        <v>468</v>
      </c>
      <c r="D59" s="4" t="n">
        <v>-2</v>
      </c>
    </row>
    <row r="60" customFormat="false" ht="15" hidden="false" customHeight="false" outlineLevel="0" collapsed="false">
      <c r="A60" s="8" t="n">
        <v>143015</v>
      </c>
      <c r="B60" s="8" t="s">
        <v>689</v>
      </c>
      <c r="C60" s="8" t="s">
        <v>470</v>
      </c>
      <c r="D60" s="4" t="n">
        <v>-28</v>
      </c>
    </row>
    <row r="61" customFormat="false" ht="15" hidden="false" customHeight="false" outlineLevel="0" collapsed="false">
      <c r="A61" s="8" t="n">
        <v>150366</v>
      </c>
      <c r="B61" s="8" t="s">
        <v>757</v>
      </c>
      <c r="C61" s="8" t="s">
        <v>476</v>
      </c>
      <c r="D61" s="4" t="n">
        <v>-8</v>
      </c>
    </row>
    <row r="62" customFormat="false" ht="15" hidden="false" customHeight="false" outlineLevel="0" collapsed="false">
      <c r="A62" s="8" t="n">
        <v>134198</v>
      </c>
      <c r="B62" s="8" t="s">
        <v>413</v>
      </c>
      <c r="C62" s="8" t="s">
        <v>454</v>
      </c>
      <c r="D62" s="4" t="n">
        <v>-1</v>
      </c>
    </row>
    <row r="63" customFormat="false" ht="15" hidden="false" customHeight="false" outlineLevel="0" collapsed="false">
      <c r="A63" s="8" t="n">
        <v>131099</v>
      </c>
      <c r="B63" s="8" t="s">
        <v>321</v>
      </c>
      <c r="C63" s="8" t="s">
        <v>454</v>
      </c>
      <c r="D63" s="4" t="n">
        <v>-16</v>
      </c>
    </row>
    <row r="64" customFormat="false" ht="15" hidden="false" customHeight="false" outlineLevel="0" collapsed="false">
      <c r="A64" s="8" t="n">
        <v>131099</v>
      </c>
      <c r="B64" s="8" t="s">
        <v>321</v>
      </c>
      <c r="C64" s="8" t="s">
        <v>472</v>
      </c>
      <c r="D64" s="4" t="n">
        <v>-2</v>
      </c>
    </row>
    <row r="65" customFormat="false" ht="15" hidden="false" customHeight="false" outlineLevel="0" collapsed="false">
      <c r="A65" s="8" t="n">
        <v>143020</v>
      </c>
      <c r="B65" s="8" t="s">
        <v>690</v>
      </c>
      <c r="C65" s="8" t="s">
        <v>472</v>
      </c>
      <c r="D65" s="4" t="n">
        <v>-109</v>
      </c>
    </row>
    <row r="66" customFormat="false" ht="15" hidden="false" customHeight="false" outlineLevel="0" collapsed="false">
      <c r="A66" s="8" t="n">
        <v>110028</v>
      </c>
      <c r="B66" s="8" t="s">
        <v>532</v>
      </c>
      <c r="C66" s="8" t="s">
        <v>476</v>
      </c>
      <c r="D66" s="4" t="n">
        <v>-1</v>
      </c>
    </row>
    <row r="67" customFormat="false" ht="15" hidden="false" customHeight="false" outlineLevel="0" collapsed="false">
      <c r="A67" s="8" t="n">
        <v>143018</v>
      </c>
      <c r="B67" s="8" t="s">
        <v>286</v>
      </c>
      <c r="C67" s="8" t="s">
        <v>454</v>
      </c>
      <c r="D67" s="4" t="n">
        <v>-1</v>
      </c>
    </row>
    <row r="69" customFormat="false" ht="15" hidden="false" customHeight="false" outlineLevel="0" collapsed="false">
      <c r="A69" s="21" t="s">
        <v>1023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2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18"/>
    <col collapsed="false" customWidth="true" hidden="false" outlineLevel="0" max="4" min="4" style="0" width="9"/>
    <col collapsed="false" customWidth="true" hidden="false" outlineLevel="0" max="5" min="5" style="0" width="42"/>
    <col collapsed="false" customWidth="true" hidden="false" outlineLevel="0" max="6" min="6" style="0" width="16"/>
    <col collapsed="false" customWidth="true" hidden="false" outlineLevel="0" max="7" min="7" style="0" width="12"/>
    <col collapsed="false" customWidth="true" hidden="false" outlineLevel="0" max="8" min="8" style="0" width="16"/>
    <col collapsed="false" customWidth="true" hidden="false" outlineLevel="0" max="9" min="9" style="0" width="40"/>
    <col collapsed="false" customWidth="true" hidden="false" outlineLevel="0" max="11" min="10" style="0" width="11"/>
    <col collapsed="false" customWidth="true" hidden="false" outlineLevel="0" max="12" min="12" style="0" width="8"/>
    <col collapsed="false" customWidth="true" hidden="false" outlineLevel="0" max="15" min="13" style="0" width="9"/>
    <col collapsed="false" customWidth="true" hidden="false" outlineLevel="0" max="17" min="16" style="0" width="8"/>
    <col collapsed="false" customWidth="true" hidden="false" outlineLevel="0" max="19" min="18" style="0" width="9"/>
    <col collapsed="false" customWidth="true" hidden="false" outlineLevel="0" max="20" min="20" style="0" width="14"/>
    <col collapsed="false" customWidth="true" hidden="false" outlineLevel="0" max="21" min="21" style="0" width="10"/>
    <col collapsed="false" customWidth="true" hidden="false" outlineLevel="0" max="22" min="22" style="0" width="9"/>
  </cols>
  <sheetData>
    <row r="1" customFormat="false" ht="42" hidden="false" customHeight="true" outlineLevel="0" collapsed="false">
      <c r="A1" s="7" t="s">
        <v>38</v>
      </c>
      <c r="B1" s="7" t="s">
        <v>10</v>
      </c>
      <c r="C1" s="7" t="s">
        <v>1024</v>
      </c>
      <c r="D1" s="7" t="s">
        <v>269</v>
      </c>
      <c r="E1" s="7" t="s">
        <v>270</v>
      </c>
      <c r="F1" s="7" t="s">
        <v>764</v>
      </c>
      <c r="G1" s="7" t="s">
        <v>955</v>
      </c>
      <c r="H1" s="7" t="s">
        <v>1025</v>
      </c>
      <c r="I1" s="7" t="s">
        <v>39</v>
      </c>
      <c r="J1" s="7" t="s">
        <v>956</v>
      </c>
      <c r="K1" s="7" t="s">
        <v>958</v>
      </c>
      <c r="L1" s="7" t="s">
        <v>1026</v>
      </c>
      <c r="M1" s="7" t="s">
        <v>14</v>
      </c>
      <c r="N1" s="7" t="s">
        <v>15</v>
      </c>
      <c r="O1" s="7" t="s">
        <v>16</v>
      </c>
      <c r="P1" s="7" t="s">
        <v>1027</v>
      </c>
      <c r="Q1" s="7" t="s">
        <v>1028</v>
      </c>
      <c r="R1" s="7" t="s">
        <v>1029</v>
      </c>
      <c r="S1" s="7" t="s">
        <v>1030</v>
      </c>
      <c r="T1" s="7" t="s">
        <v>1031</v>
      </c>
      <c r="U1" s="7" t="s">
        <v>1032</v>
      </c>
      <c r="V1" s="7" t="s">
        <v>960</v>
      </c>
    </row>
    <row r="2" customFormat="false" ht="15" hidden="false" customHeight="false" outlineLevel="0" collapsed="false">
      <c r="A2" s="8" t="s">
        <v>49</v>
      </c>
      <c r="B2" s="8" t="s">
        <v>23</v>
      </c>
      <c r="C2" s="8" t="s">
        <v>1033</v>
      </c>
      <c r="D2" s="8" t="n">
        <v>142031</v>
      </c>
      <c r="E2" s="8" t="s">
        <v>276</v>
      </c>
      <c r="F2" s="8" t="s">
        <v>1034</v>
      </c>
      <c r="G2" s="8" t="s">
        <v>970</v>
      </c>
      <c r="H2" s="8" t="s">
        <v>51</v>
      </c>
      <c r="I2" s="8" t="s">
        <v>50</v>
      </c>
      <c r="J2" s="4" t="n">
        <v>150000</v>
      </c>
      <c r="K2" s="4" t="n">
        <v>120000</v>
      </c>
      <c r="L2" s="5" t="n">
        <v>0.2</v>
      </c>
      <c r="M2" s="4" t="n">
        <v>2975</v>
      </c>
      <c r="N2" s="4" t="n">
        <v>4899</v>
      </c>
      <c r="O2" s="4" t="n">
        <v>0</v>
      </c>
      <c r="P2" s="4" t="n">
        <v>0</v>
      </c>
      <c r="Q2" s="4" t="n">
        <v>0</v>
      </c>
      <c r="R2" s="4" t="n">
        <f aca="false">M2+N2+O2+P2+Q2</f>
        <v>7874</v>
      </c>
      <c r="S2" s="4" t="n">
        <v>15</v>
      </c>
      <c r="T2" s="4" t="n">
        <f aca="false">R2*K2</f>
        <v>944880000</v>
      </c>
      <c r="U2" s="9" t="n">
        <f aca="false">IFERROR(M2/S2,0)</f>
        <v>198.333333333333</v>
      </c>
      <c r="V2" s="5" t="n">
        <v>0.4583</v>
      </c>
    </row>
    <row r="3" customFormat="false" ht="15" hidden="false" customHeight="false" outlineLevel="0" collapsed="false">
      <c r="A3" s="8" t="s">
        <v>49</v>
      </c>
      <c r="B3" s="8" t="s">
        <v>23</v>
      </c>
      <c r="C3" s="8" t="s">
        <v>1033</v>
      </c>
      <c r="D3" s="8" t="n">
        <v>142447</v>
      </c>
      <c r="E3" s="8" t="s">
        <v>276</v>
      </c>
      <c r="F3" s="8" t="s">
        <v>1034</v>
      </c>
      <c r="G3" s="8" t="s">
        <v>970</v>
      </c>
      <c r="H3" s="8" t="s">
        <v>51</v>
      </c>
      <c r="I3" s="8" t="s">
        <v>50</v>
      </c>
      <c r="J3" s="4" t="n">
        <v>150000</v>
      </c>
      <c r="K3" s="4" t="n">
        <v>120000</v>
      </c>
      <c r="L3" s="5" t="n">
        <v>0.2</v>
      </c>
      <c r="M3" s="4" t="n">
        <v>1987</v>
      </c>
      <c r="N3" s="4" t="n">
        <v>5329</v>
      </c>
      <c r="O3" s="4" t="n">
        <v>0</v>
      </c>
      <c r="P3" s="4" t="n">
        <v>0</v>
      </c>
      <c r="Q3" s="4" t="n">
        <v>0</v>
      </c>
      <c r="R3" s="4" t="n">
        <f aca="false">M3+N3+O3+P3+Q3</f>
        <v>7316</v>
      </c>
      <c r="S3" s="4" t="n">
        <v>10</v>
      </c>
      <c r="T3" s="4" t="n">
        <f aca="false">R3*K3</f>
        <v>877920000</v>
      </c>
      <c r="U3" s="9" t="n">
        <f aca="false">IFERROR(M3/S3,0)</f>
        <v>198.7</v>
      </c>
      <c r="V3" s="5" t="n">
        <v>0.125</v>
      </c>
    </row>
    <row r="4" customFormat="false" ht="15" hidden="false" customHeight="false" outlineLevel="0" collapsed="false">
      <c r="A4" s="8" t="s">
        <v>49</v>
      </c>
      <c r="B4" s="8" t="s">
        <v>23</v>
      </c>
      <c r="C4" s="8" t="s">
        <v>1033</v>
      </c>
      <c r="D4" s="8" t="n">
        <v>142033</v>
      </c>
      <c r="E4" s="8" t="s">
        <v>319</v>
      </c>
      <c r="F4" s="8" t="s">
        <v>1034</v>
      </c>
      <c r="G4" s="8" t="s">
        <v>970</v>
      </c>
      <c r="H4" s="8" t="s">
        <v>51</v>
      </c>
      <c r="I4" s="8" t="s">
        <v>50</v>
      </c>
      <c r="J4" s="4" t="n">
        <v>125000</v>
      </c>
      <c r="K4" s="4" t="n">
        <v>100000</v>
      </c>
      <c r="L4" s="5" t="n">
        <v>0.2</v>
      </c>
      <c r="M4" s="4" t="n">
        <v>5002</v>
      </c>
      <c r="N4" s="4" t="n">
        <v>697</v>
      </c>
      <c r="O4" s="4" t="n">
        <v>0</v>
      </c>
      <c r="P4" s="4" t="n">
        <v>0</v>
      </c>
      <c r="Q4" s="4" t="n">
        <v>0</v>
      </c>
      <c r="R4" s="4" t="n">
        <f aca="false">M4+N4+O4+P4+Q4</f>
        <v>5699</v>
      </c>
      <c r="S4" s="4" t="n">
        <v>20</v>
      </c>
      <c r="T4" s="4" t="n">
        <f aca="false">R4*K4</f>
        <v>569900000</v>
      </c>
      <c r="U4" s="9" t="n">
        <f aca="false">IFERROR(M4/S4,0)</f>
        <v>250.1</v>
      </c>
      <c r="V4" s="5" t="n">
        <v>0.4</v>
      </c>
    </row>
    <row r="5" customFormat="false" ht="15" hidden="false" customHeight="false" outlineLevel="0" collapsed="false">
      <c r="A5" s="8" t="s">
        <v>49</v>
      </c>
      <c r="B5" s="8" t="s">
        <v>23</v>
      </c>
      <c r="C5" s="8" t="s">
        <v>1033</v>
      </c>
      <c r="D5" s="8" t="n">
        <v>142278</v>
      </c>
      <c r="E5" s="8" t="s">
        <v>311</v>
      </c>
      <c r="F5" s="8" t="s">
        <v>1034</v>
      </c>
      <c r="G5" s="8" t="s">
        <v>970</v>
      </c>
      <c r="H5" s="8" t="s">
        <v>51</v>
      </c>
      <c r="I5" s="8" t="s">
        <v>50</v>
      </c>
      <c r="J5" s="4" t="n">
        <v>105000</v>
      </c>
      <c r="K5" s="4" t="n">
        <v>84000</v>
      </c>
      <c r="L5" s="5" t="n">
        <v>0.2</v>
      </c>
      <c r="M5" s="4" t="n">
        <v>1039</v>
      </c>
      <c r="N5" s="4" t="n">
        <v>377</v>
      </c>
      <c r="O5" s="4" t="n">
        <v>0</v>
      </c>
      <c r="P5" s="4" t="n">
        <v>0</v>
      </c>
      <c r="Q5" s="4" t="n">
        <v>0</v>
      </c>
      <c r="R5" s="4" t="n">
        <f aca="false">M5+N5+O5+P5+Q5</f>
        <v>1416</v>
      </c>
      <c r="S5" s="4" t="n">
        <v>19</v>
      </c>
      <c r="T5" s="4" t="n">
        <f aca="false">R5*K5</f>
        <v>118944000</v>
      </c>
      <c r="U5" s="9" t="n">
        <f aca="false">IFERROR(M5/S5,0)</f>
        <v>54.6842105263158</v>
      </c>
      <c r="V5" s="5" t="n">
        <v>0.4286</v>
      </c>
    </row>
    <row r="6" customFormat="false" ht="15" hidden="false" customHeight="false" outlineLevel="0" collapsed="false">
      <c r="A6" s="8" t="s">
        <v>49</v>
      </c>
      <c r="B6" s="8" t="s">
        <v>23</v>
      </c>
      <c r="C6" s="8" t="s">
        <v>1033</v>
      </c>
      <c r="D6" s="8" t="n">
        <v>142032</v>
      </c>
      <c r="E6" s="8" t="s">
        <v>685</v>
      </c>
      <c r="F6" s="8" t="s">
        <v>1034</v>
      </c>
      <c r="G6" s="8" t="s">
        <v>970</v>
      </c>
      <c r="H6" s="8" t="s">
        <v>51</v>
      </c>
      <c r="I6" s="8" t="s">
        <v>50</v>
      </c>
      <c r="J6" s="4" t="n">
        <v>105000</v>
      </c>
      <c r="K6" s="4" t="n">
        <v>84000</v>
      </c>
      <c r="L6" s="5" t="n">
        <v>0.2</v>
      </c>
      <c r="M6" s="4" t="n">
        <v>1359</v>
      </c>
      <c r="N6" s="4" t="n">
        <v>0</v>
      </c>
      <c r="O6" s="4" t="n">
        <v>0</v>
      </c>
      <c r="P6" s="4" t="n">
        <v>0</v>
      </c>
      <c r="Q6" s="4" t="n">
        <v>0</v>
      </c>
      <c r="R6" s="4" t="n">
        <f aca="false">M6+N6+O6+P6+Q6</f>
        <v>1359</v>
      </c>
      <c r="S6" s="4" t="n">
        <v>5</v>
      </c>
      <c r="T6" s="4" t="n">
        <f aca="false">R6*K6</f>
        <v>114156000</v>
      </c>
      <c r="U6" s="9" t="n">
        <f aca="false">IFERROR(M6/S6,0)</f>
        <v>271.8</v>
      </c>
      <c r="V6" s="5" t="n">
        <v>0.4048</v>
      </c>
    </row>
    <row r="7" customFormat="false" ht="15" hidden="false" customHeight="false" outlineLevel="0" collapsed="false">
      <c r="A7" s="8" t="s">
        <v>49</v>
      </c>
      <c r="B7" s="8" t="s">
        <v>23</v>
      </c>
      <c r="C7" s="8" t="s">
        <v>1033</v>
      </c>
      <c r="D7" s="8" t="n">
        <v>142036</v>
      </c>
      <c r="E7" s="8" t="s">
        <v>291</v>
      </c>
      <c r="F7" s="8" t="s">
        <v>1034</v>
      </c>
      <c r="G7" s="8" t="s">
        <v>970</v>
      </c>
      <c r="H7" s="8" t="s">
        <v>51</v>
      </c>
      <c r="I7" s="8" t="s">
        <v>50</v>
      </c>
      <c r="J7" s="4" t="n">
        <v>200000</v>
      </c>
      <c r="K7" s="4" t="n">
        <v>160000</v>
      </c>
      <c r="L7" s="5" t="n">
        <v>0.2</v>
      </c>
      <c r="M7" s="4" t="n">
        <v>897</v>
      </c>
      <c r="N7" s="4" t="n">
        <v>320</v>
      </c>
      <c r="O7" s="4" t="n">
        <v>0</v>
      </c>
      <c r="P7" s="4" t="n">
        <v>0</v>
      </c>
      <c r="Q7" s="4" t="n">
        <v>0</v>
      </c>
      <c r="R7" s="4" t="n">
        <f aca="false">M7+N7+O7+P7+Q7</f>
        <v>1217</v>
      </c>
      <c r="S7" s="4" t="n">
        <v>16</v>
      </c>
      <c r="T7" s="4" t="n">
        <f aca="false">R7*K7</f>
        <v>194720000</v>
      </c>
      <c r="U7" s="9" t="n">
        <f aca="false">IFERROR(M7/S7,0)</f>
        <v>56.0625</v>
      </c>
      <c r="V7" s="5" t="n">
        <v>0.5938</v>
      </c>
    </row>
    <row r="8" customFormat="false" ht="15" hidden="false" customHeight="false" outlineLevel="0" collapsed="false">
      <c r="A8" s="8" t="s">
        <v>49</v>
      </c>
      <c r="B8" s="8" t="s">
        <v>23</v>
      </c>
      <c r="C8" s="8" t="s">
        <v>1033</v>
      </c>
      <c r="D8" s="8" t="n">
        <v>142035</v>
      </c>
      <c r="E8" s="8" t="s">
        <v>280</v>
      </c>
      <c r="F8" s="8" t="s">
        <v>1034</v>
      </c>
      <c r="G8" s="8" t="s">
        <v>970</v>
      </c>
      <c r="H8" s="8" t="s">
        <v>51</v>
      </c>
      <c r="I8" s="8" t="s">
        <v>50</v>
      </c>
      <c r="J8" s="4" t="n">
        <v>200000</v>
      </c>
      <c r="K8" s="4" t="n">
        <v>160000</v>
      </c>
      <c r="L8" s="5" t="n">
        <v>0.2</v>
      </c>
      <c r="M8" s="4" t="n">
        <v>453</v>
      </c>
      <c r="N8" s="4" t="n">
        <v>232</v>
      </c>
      <c r="O8" s="4" t="n">
        <v>0</v>
      </c>
      <c r="P8" s="4" t="n">
        <v>0</v>
      </c>
      <c r="Q8" s="4" t="n">
        <v>0</v>
      </c>
      <c r="R8" s="4" t="n">
        <f aca="false">M8+N8+O8+P8+Q8</f>
        <v>685</v>
      </c>
      <c r="S8" s="4" t="n">
        <v>12</v>
      </c>
      <c r="T8" s="4" t="n">
        <f aca="false">R8*K8</f>
        <v>109600000</v>
      </c>
      <c r="U8" s="9" t="n">
        <f aca="false">IFERROR(M8/S8,0)</f>
        <v>37.75</v>
      </c>
      <c r="V8" s="5" t="n">
        <v>0.4688</v>
      </c>
    </row>
    <row r="9" customFormat="false" ht="15" hidden="false" customHeight="false" outlineLevel="0" collapsed="false">
      <c r="A9" s="8" t="s">
        <v>49</v>
      </c>
      <c r="B9" s="8" t="s">
        <v>23</v>
      </c>
      <c r="C9" s="8" t="s">
        <v>1033</v>
      </c>
      <c r="D9" s="8" t="n">
        <v>142041</v>
      </c>
      <c r="E9" s="8" t="s">
        <v>684</v>
      </c>
      <c r="F9" s="8" t="s">
        <v>1034</v>
      </c>
      <c r="G9" s="8" t="s">
        <v>970</v>
      </c>
      <c r="H9" s="8" t="s">
        <v>51</v>
      </c>
      <c r="I9" s="8" t="s">
        <v>50</v>
      </c>
      <c r="J9" s="4" t="n">
        <v>85000</v>
      </c>
      <c r="K9" s="4" t="n">
        <v>68000</v>
      </c>
      <c r="L9" s="5" t="n">
        <v>0.2</v>
      </c>
      <c r="M9" s="4" t="n">
        <v>652</v>
      </c>
      <c r="N9" s="4" t="n">
        <v>0</v>
      </c>
      <c r="O9" s="4" t="n">
        <v>0</v>
      </c>
      <c r="P9" s="4" t="n">
        <v>0</v>
      </c>
      <c r="Q9" s="4" t="n">
        <v>0</v>
      </c>
      <c r="R9" s="4" t="n">
        <f aca="false">M9+N9+O9+P9+Q9</f>
        <v>652</v>
      </c>
      <c r="S9" s="4" t="n">
        <v>19</v>
      </c>
      <c r="T9" s="4" t="n">
        <f aca="false">R9*K9</f>
        <v>44336000</v>
      </c>
      <c r="U9" s="9" t="n">
        <f aca="false">IFERROR(M9/S9,0)</f>
        <v>34.3157894736842</v>
      </c>
      <c r="V9" s="5" t="n">
        <v>0.4118</v>
      </c>
    </row>
    <row r="10" customFormat="false" ht="15" hidden="false" customHeight="false" outlineLevel="0" collapsed="false">
      <c r="A10" s="8" t="s">
        <v>49</v>
      </c>
      <c r="B10" s="8" t="s">
        <v>23</v>
      </c>
      <c r="C10" s="8" t="s">
        <v>1033</v>
      </c>
      <c r="D10" s="8" t="n">
        <v>142037</v>
      </c>
      <c r="E10" s="8" t="s">
        <v>687</v>
      </c>
      <c r="F10" s="8" t="s">
        <v>1034</v>
      </c>
      <c r="G10" s="8" t="s">
        <v>970</v>
      </c>
      <c r="H10" s="8" t="s">
        <v>51</v>
      </c>
      <c r="I10" s="8" t="s">
        <v>50</v>
      </c>
      <c r="J10" s="4" t="n">
        <v>85000</v>
      </c>
      <c r="K10" s="4" t="n">
        <v>68000</v>
      </c>
      <c r="L10" s="5" t="n">
        <v>0.2</v>
      </c>
      <c r="M10" s="4" t="n">
        <v>530</v>
      </c>
      <c r="N10" s="4" t="n">
        <v>0</v>
      </c>
      <c r="O10" s="4" t="n">
        <v>0</v>
      </c>
      <c r="P10" s="4" t="n">
        <v>0</v>
      </c>
      <c r="Q10" s="4" t="n">
        <v>0</v>
      </c>
      <c r="R10" s="4" t="n">
        <f aca="false">M10+N10+O10+P10+Q10</f>
        <v>530</v>
      </c>
      <c r="S10" s="4" t="n">
        <v>7</v>
      </c>
      <c r="T10" s="4" t="n">
        <f aca="false">R10*K10</f>
        <v>36040000</v>
      </c>
      <c r="U10" s="9" t="n">
        <f aca="false">IFERROR(M10/S10,0)</f>
        <v>75.7142857142857</v>
      </c>
      <c r="V10" s="5" t="n">
        <v>0.2647</v>
      </c>
    </row>
    <row r="11" customFormat="false" ht="15" hidden="false" customHeight="false" outlineLevel="0" collapsed="false">
      <c r="A11" s="8" t="s">
        <v>49</v>
      </c>
      <c r="B11" s="8" t="s">
        <v>23</v>
      </c>
      <c r="C11" s="8" t="s">
        <v>1033</v>
      </c>
      <c r="D11" s="8" t="n">
        <v>142030</v>
      </c>
      <c r="E11" s="8" t="s">
        <v>274</v>
      </c>
      <c r="F11" s="8" t="s">
        <v>1034</v>
      </c>
      <c r="G11" s="8" t="s">
        <v>970</v>
      </c>
      <c r="H11" s="8" t="s">
        <v>51</v>
      </c>
      <c r="I11" s="8" t="s">
        <v>50</v>
      </c>
      <c r="J11" s="4" t="n">
        <v>380000</v>
      </c>
      <c r="K11" s="4" t="n">
        <v>304000</v>
      </c>
      <c r="L11" s="5" t="n">
        <v>0.2</v>
      </c>
      <c r="M11" s="4" t="n">
        <v>86</v>
      </c>
      <c r="N11" s="4" t="n">
        <v>337</v>
      </c>
      <c r="O11" s="4" t="n">
        <v>0</v>
      </c>
      <c r="P11" s="4" t="n">
        <v>0</v>
      </c>
      <c r="Q11" s="4" t="n">
        <v>0</v>
      </c>
      <c r="R11" s="4" t="n">
        <f aca="false">M11+N11+O11+P11+Q11</f>
        <v>423</v>
      </c>
      <c r="S11" s="4" t="n">
        <v>7</v>
      </c>
      <c r="T11" s="4" t="n">
        <f aca="false">R11*K11</f>
        <v>128592000</v>
      </c>
      <c r="U11" s="9" t="n">
        <f aca="false">IFERROR(M11/S11,0)</f>
        <v>12.2857142857143</v>
      </c>
      <c r="V11" s="5" t="n">
        <v>0.4441</v>
      </c>
    </row>
    <row r="12" customFormat="false" ht="15" hidden="false" customHeight="false" outlineLevel="0" collapsed="false">
      <c r="A12" s="8" t="s">
        <v>49</v>
      </c>
      <c r="B12" s="8" t="s">
        <v>23</v>
      </c>
      <c r="C12" s="8" t="s">
        <v>1033</v>
      </c>
      <c r="D12" s="8" t="n">
        <v>142448</v>
      </c>
      <c r="E12" s="8" t="s">
        <v>686</v>
      </c>
      <c r="F12" s="8" t="s">
        <v>1034</v>
      </c>
      <c r="G12" s="8" t="s">
        <v>970</v>
      </c>
      <c r="H12" s="8" t="s">
        <v>51</v>
      </c>
      <c r="I12" s="8" t="s">
        <v>50</v>
      </c>
      <c r="J12" s="4" t="n">
        <v>129000</v>
      </c>
      <c r="K12" s="4" t="n">
        <v>104000</v>
      </c>
      <c r="L12" s="5" t="n">
        <v>0.2</v>
      </c>
      <c r="M12" s="4" t="n">
        <v>263</v>
      </c>
      <c r="N12" s="4" t="n">
        <v>0</v>
      </c>
      <c r="O12" s="4" t="n">
        <v>0</v>
      </c>
      <c r="P12" s="4" t="n">
        <v>0</v>
      </c>
      <c r="Q12" s="4" t="n">
        <v>0</v>
      </c>
      <c r="R12" s="4" t="n">
        <f aca="false">M12+N12+O12+P12+Q12</f>
        <v>263</v>
      </c>
      <c r="S12" s="4" t="n">
        <v>3</v>
      </c>
      <c r="T12" s="4" t="n">
        <f aca="false">R12*K12</f>
        <v>27352000</v>
      </c>
      <c r="U12" s="9" t="n">
        <f aca="false">IFERROR(M12/S12,0)</f>
        <v>87.6666666666667</v>
      </c>
      <c r="V12" s="5" t="n">
        <v>0.1827</v>
      </c>
    </row>
    <row r="13" customFormat="false" ht="15" hidden="false" customHeight="false" outlineLevel="0" collapsed="false">
      <c r="A13" s="8" t="s">
        <v>49</v>
      </c>
      <c r="B13" s="8" t="s">
        <v>23</v>
      </c>
      <c r="C13" s="8" t="s">
        <v>1033</v>
      </c>
      <c r="D13" s="8" t="n">
        <v>142276</v>
      </c>
      <c r="E13" s="8" t="s">
        <v>681</v>
      </c>
      <c r="F13" s="8" t="s">
        <v>1034</v>
      </c>
      <c r="G13" s="8" t="s">
        <v>970</v>
      </c>
      <c r="H13" s="8" t="s">
        <v>51</v>
      </c>
      <c r="I13" s="8" t="s">
        <v>50</v>
      </c>
      <c r="J13" s="4" t="n">
        <v>200000</v>
      </c>
      <c r="K13" s="4" t="n">
        <v>160000</v>
      </c>
      <c r="L13" s="5" t="n">
        <v>0.2</v>
      </c>
      <c r="M13" s="4" t="n">
        <v>101</v>
      </c>
      <c r="N13" s="4" t="n">
        <v>0</v>
      </c>
      <c r="O13" s="4" t="n">
        <v>0</v>
      </c>
      <c r="P13" s="4" t="n">
        <v>0</v>
      </c>
      <c r="Q13" s="4" t="n">
        <v>0</v>
      </c>
      <c r="R13" s="4" t="n">
        <f aca="false">M13+N13+O13+P13+Q13</f>
        <v>101</v>
      </c>
      <c r="S13" s="4" t="n">
        <v>1</v>
      </c>
      <c r="T13" s="4" t="n">
        <f aca="false">R13*K13</f>
        <v>16160000</v>
      </c>
      <c r="U13" s="9" t="n">
        <f aca="false">IFERROR(M13/S13,0)</f>
        <v>101</v>
      </c>
      <c r="V13" s="5" t="n">
        <v>0.5312</v>
      </c>
    </row>
    <row r="14" customFormat="false" ht="15" hidden="false" customHeight="false" outlineLevel="0" collapsed="false">
      <c r="A14" s="8" t="s">
        <v>49</v>
      </c>
      <c r="B14" s="8" t="s">
        <v>23</v>
      </c>
      <c r="C14" s="8" t="s">
        <v>1033</v>
      </c>
      <c r="D14" s="8" t="n">
        <v>142488</v>
      </c>
      <c r="E14" s="8" t="s">
        <v>682</v>
      </c>
      <c r="F14" s="8" t="s">
        <v>1034</v>
      </c>
      <c r="G14" s="8" t="s">
        <v>970</v>
      </c>
      <c r="H14" s="8" t="s">
        <v>51</v>
      </c>
      <c r="I14" s="8" t="s">
        <v>50</v>
      </c>
      <c r="J14" s="4" t="n">
        <v>200000</v>
      </c>
      <c r="K14" s="4" t="n">
        <v>160000</v>
      </c>
      <c r="L14" s="5" t="n">
        <v>0.2</v>
      </c>
      <c r="M14" s="4" t="n">
        <v>58</v>
      </c>
      <c r="N14" s="4" t="n">
        <v>0</v>
      </c>
      <c r="O14" s="4" t="n">
        <v>0</v>
      </c>
      <c r="P14" s="4" t="n">
        <v>0</v>
      </c>
      <c r="Q14" s="4" t="n">
        <v>0</v>
      </c>
      <c r="R14" s="4" t="n">
        <f aca="false">M14+N14+O14+P14+Q14</f>
        <v>58</v>
      </c>
      <c r="S14" s="4" t="n">
        <v>1</v>
      </c>
      <c r="T14" s="4" t="n">
        <f aca="false">R14*K14</f>
        <v>9280000</v>
      </c>
      <c r="U14" s="9" t="n">
        <f aca="false">IFERROR(M14/S14,0)</f>
        <v>58</v>
      </c>
      <c r="V14" s="5" t="n">
        <v>0.25</v>
      </c>
    </row>
    <row r="15" customFormat="false" ht="15" hidden="false" customHeight="false" outlineLevel="0" collapsed="false">
      <c r="A15" s="8" t="s">
        <v>49</v>
      </c>
      <c r="B15" s="8" t="s">
        <v>23</v>
      </c>
      <c r="C15" s="8" t="s">
        <v>1033</v>
      </c>
      <c r="D15" s="8" t="n">
        <v>142038</v>
      </c>
      <c r="E15" s="8" t="s">
        <v>683</v>
      </c>
      <c r="F15" s="8" t="s">
        <v>1034</v>
      </c>
      <c r="G15" s="8" t="s">
        <v>970</v>
      </c>
      <c r="H15" s="8" t="s">
        <v>51</v>
      </c>
      <c r="I15" s="8" t="s">
        <v>50</v>
      </c>
      <c r="J15" s="4" t="n">
        <v>150000</v>
      </c>
      <c r="K15" s="4" t="n">
        <v>120000</v>
      </c>
      <c r="L15" s="5" t="n">
        <v>0.2</v>
      </c>
      <c r="M15" s="4" t="n">
        <v>51</v>
      </c>
      <c r="N15" s="4" t="n">
        <v>0</v>
      </c>
      <c r="O15" s="4" t="n">
        <v>0</v>
      </c>
      <c r="P15" s="4" t="n">
        <v>0</v>
      </c>
      <c r="Q15" s="4" t="n">
        <v>0</v>
      </c>
      <c r="R15" s="4" t="n">
        <f aca="false">M15+N15+O15+P15+Q15</f>
        <v>51</v>
      </c>
      <c r="S15" s="4" t="n">
        <v>3</v>
      </c>
      <c r="T15" s="4" t="n">
        <f aca="false">R15*K15</f>
        <v>6120000</v>
      </c>
      <c r="U15" s="9" t="n">
        <f aca="false">IFERROR(M15/S15,0)</f>
        <v>17</v>
      </c>
      <c r="V15" s="5" t="n">
        <v>0.5</v>
      </c>
    </row>
    <row r="16" customFormat="false" ht="15" hidden="false" customHeight="false" outlineLevel="0" collapsed="false">
      <c r="A16" s="8" t="s">
        <v>49</v>
      </c>
      <c r="B16" s="8" t="s">
        <v>28</v>
      </c>
      <c r="C16" s="8" t="s">
        <v>1035</v>
      </c>
      <c r="D16" s="8" t="n">
        <v>176216</v>
      </c>
      <c r="E16" s="8" t="s">
        <v>1036</v>
      </c>
      <c r="F16" s="8" t="s">
        <v>767</v>
      </c>
      <c r="G16" s="8" t="s">
        <v>970</v>
      </c>
      <c r="H16" s="8" t="s">
        <v>51</v>
      </c>
      <c r="I16" s="8" t="s">
        <v>50</v>
      </c>
      <c r="J16" s="4" t="n">
        <v>85000</v>
      </c>
      <c r="K16" s="4" t="n">
        <v>68000</v>
      </c>
      <c r="L16" s="5" t="n">
        <v>0.2</v>
      </c>
      <c r="M16" s="4" t="n">
        <v>47</v>
      </c>
      <c r="N16" s="4" t="n">
        <v>0</v>
      </c>
      <c r="O16" s="4" t="n">
        <v>0</v>
      </c>
      <c r="P16" s="4" t="n">
        <v>0</v>
      </c>
      <c r="Q16" s="4" t="n">
        <v>0</v>
      </c>
      <c r="R16" s="4" t="n">
        <f aca="false">M16+N16+O16+P16+Q16</f>
        <v>47</v>
      </c>
      <c r="S16" s="4" t="n">
        <v>16</v>
      </c>
      <c r="T16" s="4" t="n">
        <f aca="false">R16*K16</f>
        <v>3196000</v>
      </c>
      <c r="U16" s="9" t="n">
        <f aca="false">IFERROR(M16/S16,0)</f>
        <v>2.9375</v>
      </c>
      <c r="V16" s="5" t="n">
        <v>1</v>
      </c>
    </row>
    <row r="17" customFormat="false" ht="15" hidden="false" customHeight="false" outlineLevel="0" collapsed="false">
      <c r="A17" s="8" t="s">
        <v>49</v>
      </c>
      <c r="B17" s="8" t="s">
        <v>28</v>
      </c>
      <c r="C17" s="8" t="s">
        <v>1035</v>
      </c>
      <c r="D17" s="8" t="n">
        <v>176230</v>
      </c>
      <c r="E17" s="8" t="s">
        <v>1037</v>
      </c>
      <c r="F17" s="8" t="s">
        <v>767</v>
      </c>
      <c r="G17" s="8" t="s">
        <v>970</v>
      </c>
      <c r="H17" s="8" t="s">
        <v>51</v>
      </c>
      <c r="I17" s="8" t="s">
        <v>50</v>
      </c>
      <c r="J17" s="4" t="n">
        <v>85000</v>
      </c>
      <c r="K17" s="4" t="n">
        <v>68000</v>
      </c>
      <c r="L17" s="5" t="n">
        <v>0.2</v>
      </c>
      <c r="M17" s="4" t="n">
        <v>39</v>
      </c>
      <c r="N17" s="4" t="n">
        <v>0</v>
      </c>
      <c r="O17" s="4" t="n">
        <v>0</v>
      </c>
      <c r="P17" s="4" t="n">
        <v>0</v>
      </c>
      <c r="Q17" s="4" t="n">
        <v>0</v>
      </c>
      <c r="R17" s="4" t="n">
        <f aca="false">M17+N17+O17+P17+Q17</f>
        <v>39</v>
      </c>
      <c r="S17" s="4" t="n">
        <v>8</v>
      </c>
      <c r="T17" s="4" t="n">
        <f aca="false">R17*K17</f>
        <v>2652000</v>
      </c>
      <c r="U17" s="9" t="n">
        <f aca="false">IFERROR(M17/S17,0)</f>
        <v>4.875</v>
      </c>
      <c r="V17" s="5" t="n">
        <v>1</v>
      </c>
    </row>
    <row r="18" customFormat="false" ht="15" hidden="false" customHeight="false" outlineLevel="0" collapsed="false">
      <c r="A18" s="8" t="s">
        <v>49</v>
      </c>
      <c r="B18" s="8" t="s">
        <v>28</v>
      </c>
      <c r="C18" s="8" t="s">
        <v>1038</v>
      </c>
      <c r="D18" s="8" t="n">
        <v>174125</v>
      </c>
      <c r="E18" s="8" t="s">
        <v>1008</v>
      </c>
      <c r="F18" s="8" t="s">
        <v>767</v>
      </c>
      <c r="G18" s="8" t="s">
        <v>970</v>
      </c>
      <c r="H18" s="8" t="s">
        <v>51</v>
      </c>
      <c r="I18" s="8" t="s">
        <v>50</v>
      </c>
      <c r="J18" s="4" t="n">
        <v>185000</v>
      </c>
      <c r="K18" s="4" t="n">
        <v>148000</v>
      </c>
      <c r="L18" s="5" t="n">
        <v>0.2</v>
      </c>
      <c r="M18" s="4" t="n">
        <v>36</v>
      </c>
      <c r="N18" s="4" t="n">
        <v>0</v>
      </c>
      <c r="O18" s="4" t="n">
        <v>0</v>
      </c>
      <c r="P18" s="4" t="n">
        <v>0</v>
      </c>
      <c r="Q18" s="4" t="n">
        <v>0</v>
      </c>
      <c r="R18" s="4" t="n">
        <f aca="false">M18+N18+O18+P18+Q18</f>
        <v>36</v>
      </c>
      <c r="S18" s="4" t="n">
        <v>1</v>
      </c>
      <c r="T18" s="4" t="n">
        <f aca="false">R18*K18</f>
        <v>5328000</v>
      </c>
      <c r="U18" s="9" t="n">
        <f aca="false">IFERROR(M18/S18,0)</f>
        <v>36</v>
      </c>
      <c r="V18" s="5" t="n">
        <v>-0.0135</v>
      </c>
    </row>
    <row r="19" customFormat="false" ht="15" hidden="false" customHeight="false" outlineLevel="0" collapsed="false">
      <c r="A19" s="8" t="s">
        <v>49</v>
      </c>
      <c r="B19" s="8" t="s">
        <v>28</v>
      </c>
      <c r="C19" s="8" t="s">
        <v>1038</v>
      </c>
      <c r="D19" s="8" t="n">
        <v>176198</v>
      </c>
      <c r="E19" s="8" t="s">
        <v>1008</v>
      </c>
      <c r="F19" s="8" t="s">
        <v>767</v>
      </c>
      <c r="G19" s="8" t="s">
        <v>970</v>
      </c>
      <c r="H19" s="8" t="s">
        <v>51</v>
      </c>
      <c r="I19" s="8" t="s">
        <v>50</v>
      </c>
      <c r="J19" s="4" t="n">
        <v>185000</v>
      </c>
      <c r="K19" s="4" t="n">
        <v>148000</v>
      </c>
      <c r="L19" s="5" t="n">
        <v>0.2</v>
      </c>
      <c r="M19" s="4" t="n">
        <v>17</v>
      </c>
      <c r="N19" s="4" t="n">
        <v>0</v>
      </c>
      <c r="O19" s="4" t="n">
        <v>0</v>
      </c>
      <c r="P19" s="4" t="n">
        <v>0</v>
      </c>
      <c r="Q19" s="4" t="n">
        <v>0</v>
      </c>
      <c r="R19" s="4" t="n">
        <f aca="false">M19+N19+O19+P19+Q19</f>
        <v>17</v>
      </c>
      <c r="S19" s="4" t="n">
        <v>4</v>
      </c>
      <c r="T19" s="4" t="n">
        <f aca="false">R19*K19</f>
        <v>2516000</v>
      </c>
      <c r="U19" s="9" t="n">
        <f aca="false">IFERROR(M19/S19,0)</f>
        <v>4.25</v>
      </c>
      <c r="V19" s="5" t="n">
        <v>1</v>
      </c>
    </row>
    <row r="20" customFormat="false" ht="15" hidden="false" customHeight="false" outlineLevel="0" collapsed="false">
      <c r="A20" s="8" t="s">
        <v>49</v>
      </c>
      <c r="B20" s="8" t="s">
        <v>28</v>
      </c>
      <c r="C20" s="8" t="s">
        <v>1038</v>
      </c>
      <c r="D20" s="8" t="n">
        <v>176207</v>
      </c>
      <c r="E20" s="8" t="s">
        <v>1039</v>
      </c>
      <c r="F20" s="8" t="s">
        <v>767</v>
      </c>
      <c r="G20" s="8" t="s">
        <v>970</v>
      </c>
      <c r="H20" s="8" t="s">
        <v>51</v>
      </c>
      <c r="I20" s="8" t="s">
        <v>50</v>
      </c>
      <c r="J20" s="4" t="n">
        <v>295000</v>
      </c>
      <c r="K20" s="4" t="n">
        <v>236000</v>
      </c>
      <c r="L20" s="5" t="n">
        <v>0.2</v>
      </c>
      <c r="M20" s="4" t="n">
        <v>15</v>
      </c>
      <c r="N20" s="4" t="n">
        <v>0</v>
      </c>
      <c r="O20" s="4" t="n">
        <v>0</v>
      </c>
      <c r="P20" s="4" t="n">
        <v>0</v>
      </c>
      <c r="Q20" s="4" t="n">
        <v>0</v>
      </c>
      <c r="R20" s="4" t="n">
        <f aca="false">M20+N20+O20+P20+Q20</f>
        <v>15</v>
      </c>
      <c r="S20" s="4" t="n">
        <v>1</v>
      </c>
      <c r="T20" s="4" t="n">
        <f aca="false">R20*K20</f>
        <v>3540000</v>
      </c>
      <c r="U20" s="9" t="n">
        <f aca="false">IFERROR(M20/S20,0)</f>
        <v>15</v>
      </c>
      <c r="V20" s="5" t="n">
        <v>0.1314</v>
      </c>
    </row>
    <row r="21" customFormat="false" ht="15" hidden="false" customHeight="false" outlineLevel="0" collapsed="false">
      <c r="A21" s="8" t="s">
        <v>49</v>
      </c>
      <c r="B21" s="8" t="s">
        <v>28</v>
      </c>
      <c r="C21" s="8" t="s">
        <v>1038</v>
      </c>
      <c r="D21" s="8" t="n">
        <v>174131</v>
      </c>
      <c r="E21" s="8" t="s">
        <v>1040</v>
      </c>
      <c r="F21" s="8" t="s">
        <v>767</v>
      </c>
      <c r="G21" s="8" t="s">
        <v>970</v>
      </c>
      <c r="H21" s="8" t="s">
        <v>51</v>
      </c>
      <c r="I21" s="8" t="s">
        <v>50</v>
      </c>
      <c r="J21" s="4" t="n">
        <v>255000</v>
      </c>
      <c r="K21" s="4" t="n">
        <v>204000</v>
      </c>
      <c r="L21" s="5" t="n">
        <v>0.2</v>
      </c>
      <c r="M21" s="4" t="n">
        <v>9</v>
      </c>
      <c r="N21" s="4" t="n">
        <v>0</v>
      </c>
      <c r="O21" s="4" t="n">
        <v>0</v>
      </c>
      <c r="P21" s="4" t="n">
        <v>0</v>
      </c>
      <c r="Q21" s="4" t="n">
        <v>0</v>
      </c>
      <c r="R21" s="4" t="n">
        <f aca="false">M21+N21+O21+P21+Q21</f>
        <v>9</v>
      </c>
      <c r="S21" s="4" t="n">
        <v>2</v>
      </c>
      <c r="T21" s="4" t="n">
        <f aca="false">R21*K21</f>
        <v>1836000</v>
      </c>
      <c r="U21" s="9" t="n">
        <f aca="false">IFERROR(M21/S21,0)</f>
        <v>4.5</v>
      </c>
      <c r="V21" s="5" t="n">
        <v>0.0588</v>
      </c>
    </row>
    <row r="22" customFormat="false" ht="15" hidden="false" customHeight="false" outlineLevel="0" collapsed="false">
      <c r="A22" s="8" t="s">
        <v>49</v>
      </c>
      <c r="B22" s="8" t="s">
        <v>23</v>
      </c>
      <c r="C22" s="8" t="s">
        <v>1033</v>
      </c>
      <c r="D22" s="8" t="n">
        <v>142281</v>
      </c>
      <c r="E22" s="8" t="s">
        <v>311</v>
      </c>
      <c r="F22" s="8" t="s">
        <v>1034</v>
      </c>
      <c r="G22" s="8" t="s">
        <v>970</v>
      </c>
      <c r="H22" s="8" t="s">
        <v>51</v>
      </c>
      <c r="I22" s="8" t="s">
        <v>50</v>
      </c>
      <c r="J22" s="4" t="n">
        <v>120000</v>
      </c>
      <c r="K22" s="4" t="n">
        <v>96000</v>
      </c>
      <c r="L22" s="5" t="n">
        <v>0.2</v>
      </c>
      <c r="M22" s="4" t="n">
        <v>9</v>
      </c>
      <c r="N22" s="4" t="n">
        <v>0</v>
      </c>
      <c r="O22" s="4" t="n">
        <v>0</v>
      </c>
      <c r="P22" s="4" t="n">
        <v>0</v>
      </c>
      <c r="Q22" s="4" t="n">
        <v>0</v>
      </c>
      <c r="R22" s="4" t="n">
        <f aca="false">M22+N22+O22+P22+Q22</f>
        <v>9</v>
      </c>
      <c r="S22" s="4" t="n">
        <v>1</v>
      </c>
      <c r="T22" s="4" t="n">
        <f aca="false">R22*K22</f>
        <v>864000</v>
      </c>
      <c r="U22" s="9" t="n">
        <f aca="false">IFERROR(M22/S22,0)</f>
        <v>9</v>
      </c>
      <c r="V22" s="5" t="n">
        <v>0.1875</v>
      </c>
    </row>
    <row r="23" customFormat="false" ht="15" hidden="false" customHeight="false" outlineLevel="0" collapsed="false">
      <c r="A23" s="8" t="s">
        <v>49</v>
      </c>
      <c r="B23" s="8" t="s">
        <v>28</v>
      </c>
      <c r="C23" s="8" t="s">
        <v>1038</v>
      </c>
      <c r="D23" s="8" t="n">
        <v>176199</v>
      </c>
      <c r="E23" s="8" t="s">
        <v>1041</v>
      </c>
      <c r="F23" s="8" t="s">
        <v>767</v>
      </c>
      <c r="G23" s="8" t="s">
        <v>970</v>
      </c>
      <c r="H23" s="8" t="s">
        <v>51</v>
      </c>
      <c r="I23" s="8" t="s">
        <v>50</v>
      </c>
      <c r="J23" s="4" t="n">
        <v>185000</v>
      </c>
      <c r="K23" s="4" t="n">
        <v>148000</v>
      </c>
      <c r="L23" s="5" t="n">
        <v>0.2</v>
      </c>
      <c r="M23" s="4" t="n">
        <v>5</v>
      </c>
      <c r="N23" s="4" t="n">
        <v>0</v>
      </c>
      <c r="O23" s="4" t="n">
        <v>0</v>
      </c>
      <c r="P23" s="4" t="n">
        <v>0</v>
      </c>
      <c r="Q23" s="4" t="n">
        <v>0</v>
      </c>
      <c r="R23" s="4" t="n">
        <f aca="false">M23+N23+O23+P23+Q23</f>
        <v>5</v>
      </c>
      <c r="S23" s="4" t="n">
        <v>1</v>
      </c>
      <c r="T23" s="4" t="n">
        <f aca="false">R23*K23</f>
        <v>740000</v>
      </c>
      <c r="U23" s="9" t="n">
        <f aca="false">IFERROR(M23/S23,0)</f>
        <v>5</v>
      </c>
      <c r="V23" s="5" t="n">
        <v>1</v>
      </c>
    </row>
    <row r="24" customFormat="false" ht="15" hidden="false" customHeight="false" outlineLevel="0" collapsed="false">
      <c r="A24" s="8" t="s">
        <v>49</v>
      </c>
      <c r="B24" s="8" t="s">
        <v>28</v>
      </c>
      <c r="C24" s="8" t="s">
        <v>1038</v>
      </c>
      <c r="D24" s="8" t="n">
        <v>174136</v>
      </c>
      <c r="E24" s="8" t="s">
        <v>1009</v>
      </c>
      <c r="F24" s="8" t="s">
        <v>767</v>
      </c>
      <c r="G24" s="8" t="s">
        <v>970</v>
      </c>
      <c r="H24" s="8" t="s">
        <v>51</v>
      </c>
      <c r="I24" s="8" t="s">
        <v>50</v>
      </c>
      <c r="J24" s="4" t="n">
        <v>185000</v>
      </c>
      <c r="K24" s="4" t="n">
        <v>148000</v>
      </c>
      <c r="L24" s="5" t="n">
        <v>0.2</v>
      </c>
      <c r="M24" s="4" t="n">
        <v>4</v>
      </c>
      <c r="N24" s="4" t="n">
        <v>0</v>
      </c>
      <c r="O24" s="4" t="n">
        <v>0</v>
      </c>
      <c r="P24" s="4" t="n">
        <v>0</v>
      </c>
      <c r="Q24" s="4" t="n">
        <v>0</v>
      </c>
      <c r="R24" s="4" t="n">
        <f aca="false">M24+N24+O24+P24+Q24</f>
        <v>4</v>
      </c>
      <c r="S24" s="4" t="n">
        <v>1</v>
      </c>
      <c r="T24" s="4" t="n">
        <f aca="false">R24*K24</f>
        <v>592000</v>
      </c>
      <c r="U24" s="9" t="n">
        <f aca="false">IFERROR(M24/S24,0)</f>
        <v>4</v>
      </c>
      <c r="V24" s="5" t="n">
        <v>-0.0135</v>
      </c>
    </row>
    <row r="25" customFormat="false" ht="15" hidden="false" customHeight="false" outlineLevel="0" collapsed="false">
      <c r="A25" s="8" t="s">
        <v>49</v>
      </c>
      <c r="B25" s="8" t="s">
        <v>28</v>
      </c>
      <c r="C25" s="8" t="s">
        <v>1038</v>
      </c>
      <c r="D25" s="8" t="n">
        <v>176197</v>
      </c>
      <c r="E25" s="8" t="s">
        <v>1042</v>
      </c>
      <c r="F25" s="8" t="s">
        <v>767</v>
      </c>
      <c r="G25" s="8" t="s">
        <v>970</v>
      </c>
      <c r="H25" s="8" t="s">
        <v>51</v>
      </c>
      <c r="I25" s="8" t="s">
        <v>50</v>
      </c>
      <c r="J25" s="4" t="n">
        <v>185000</v>
      </c>
      <c r="K25" s="4" t="n">
        <v>148000</v>
      </c>
      <c r="L25" s="5" t="n">
        <v>0.2</v>
      </c>
      <c r="M25" s="4" t="n">
        <v>3</v>
      </c>
      <c r="N25" s="4" t="n">
        <v>0</v>
      </c>
      <c r="O25" s="4" t="n">
        <v>0</v>
      </c>
      <c r="P25" s="4" t="n">
        <v>0</v>
      </c>
      <c r="Q25" s="4" t="n">
        <v>0</v>
      </c>
      <c r="R25" s="4" t="n">
        <f aca="false">M25+N25+O25+P25+Q25</f>
        <v>3</v>
      </c>
      <c r="S25" s="4" t="n">
        <v>1</v>
      </c>
      <c r="T25" s="4" t="n">
        <f aca="false">R25*K25</f>
        <v>444000</v>
      </c>
      <c r="U25" s="9" t="n">
        <f aca="false">IFERROR(M25/S25,0)</f>
        <v>3</v>
      </c>
      <c r="V25" s="5" t="n">
        <v>0.1216</v>
      </c>
    </row>
    <row r="26" customFormat="false" ht="15" hidden="false" customHeight="false" outlineLevel="0" collapsed="false">
      <c r="A26" s="8" t="s">
        <v>68</v>
      </c>
      <c r="B26" s="8" t="s">
        <v>25</v>
      </c>
      <c r="C26" s="8" t="s">
        <v>1043</v>
      </c>
      <c r="D26" s="8" t="n">
        <v>30027</v>
      </c>
      <c r="E26" s="8" t="s">
        <v>388</v>
      </c>
      <c r="F26" s="8" t="s">
        <v>1044</v>
      </c>
      <c r="G26" s="8" t="s">
        <v>961</v>
      </c>
      <c r="H26" s="8" t="s">
        <v>51</v>
      </c>
      <c r="I26" s="8" t="s">
        <v>69</v>
      </c>
      <c r="J26" s="4" t="n">
        <v>89000</v>
      </c>
      <c r="K26" s="4" t="n">
        <v>81000</v>
      </c>
      <c r="L26" s="5" t="n">
        <v>0.1</v>
      </c>
      <c r="M26" s="4" t="n">
        <v>269</v>
      </c>
      <c r="N26" s="4" t="n">
        <v>72</v>
      </c>
      <c r="O26" s="4" t="n">
        <v>27</v>
      </c>
      <c r="P26" s="4" t="n">
        <v>1</v>
      </c>
      <c r="Q26" s="4" t="n">
        <v>0</v>
      </c>
      <c r="R26" s="4" t="n">
        <f aca="false">M26+N26+O26+P26+Q26</f>
        <v>369</v>
      </c>
      <c r="S26" s="4" t="n">
        <v>22</v>
      </c>
      <c r="T26" s="4" t="n">
        <f aca="false">R26*K26</f>
        <v>29889000</v>
      </c>
      <c r="U26" s="9" t="n">
        <f aca="false">IFERROR(M26/S26,0)</f>
        <v>12.2272727272727</v>
      </c>
      <c r="V26" s="5" t="n">
        <v>0.2318</v>
      </c>
    </row>
    <row r="27" customFormat="false" ht="15" hidden="false" customHeight="false" outlineLevel="0" collapsed="false">
      <c r="A27" s="8" t="s">
        <v>68</v>
      </c>
      <c r="B27" s="8" t="s">
        <v>25</v>
      </c>
      <c r="C27" s="8" t="s">
        <v>1043</v>
      </c>
      <c r="D27" s="8" t="n">
        <v>30028</v>
      </c>
      <c r="E27" s="8" t="s">
        <v>530</v>
      </c>
      <c r="F27" s="8" t="s">
        <v>1044</v>
      </c>
      <c r="G27" s="8" t="s">
        <v>961</v>
      </c>
      <c r="H27" s="8" t="s">
        <v>51</v>
      </c>
      <c r="I27" s="8" t="s">
        <v>69</v>
      </c>
      <c r="J27" s="4" t="n">
        <v>79000</v>
      </c>
      <c r="K27" s="4" t="n">
        <v>72000</v>
      </c>
      <c r="L27" s="5" t="n">
        <v>0.1</v>
      </c>
      <c r="M27" s="4" t="n">
        <v>189</v>
      </c>
      <c r="N27" s="4" t="n">
        <v>133</v>
      </c>
      <c r="O27" s="4" t="n">
        <v>45</v>
      </c>
      <c r="P27" s="4" t="n">
        <v>0</v>
      </c>
      <c r="Q27" s="4" t="n">
        <v>0</v>
      </c>
      <c r="R27" s="4" t="n">
        <f aca="false">M27+N27+O27+P27+Q27</f>
        <v>367</v>
      </c>
      <c r="S27" s="4" t="n">
        <v>24</v>
      </c>
      <c r="T27" s="4" t="n">
        <f aca="false">R27*K27</f>
        <v>26424000</v>
      </c>
      <c r="U27" s="9" t="n">
        <f aca="false">IFERROR(M27/S27,0)</f>
        <v>7.875</v>
      </c>
      <c r="V27" s="5" t="n">
        <v>0.2677</v>
      </c>
    </row>
    <row r="28" customFormat="false" ht="15" hidden="false" customHeight="false" outlineLevel="0" collapsed="false">
      <c r="A28" s="8" t="s">
        <v>68</v>
      </c>
      <c r="B28" s="8" t="s">
        <v>25</v>
      </c>
      <c r="C28" s="8" t="s">
        <v>1043</v>
      </c>
      <c r="D28" s="8" t="n">
        <v>30024</v>
      </c>
      <c r="E28" s="8" t="s">
        <v>387</v>
      </c>
      <c r="F28" s="8" t="s">
        <v>1044</v>
      </c>
      <c r="G28" s="8" t="s">
        <v>961</v>
      </c>
      <c r="H28" s="8" t="s">
        <v>51</v>
      </c>
      <c r="I28" s="8" t="s">
        <v>69</v>
      </c>
      <c r="J28" s="4" t="n">
        <v>89000</v>
      </c>
      <c r="K28" s="4" t="n">
        <v>81000</v>
      </c>
      <c r="L28" s="5" t="n">
        <v>0.1</v>
      </c>
      <c r="M28" s="4" t="n">
        <v>226</v>
      </c>
      <c r="N28" s="4" t="n">
        <v>83</v>
      </c>
      <c r="O28" s="4" t="n">
        <v>24</v>
      </c>
      <c r="P28" s="4" t="n">
        <v>0</v>
      </c>
      <c r="Q28" s="4" t="n">
        <v>0</v>
      </c>
      <c r="R28" s="4" t="n">
        <f aca="false">M28+N28+O28+P28+Q28</f>
        <v>333</v>
      </c>
      <c r="S28" s="4" t="n">
        <v>22</v>
      </c>
      <c r="T28" s="4" t="n">
        <f aca="false">R28*K28</f>
        <v>26973000</v>
      </c>
      <c r="U28" s="9" t="n">
        <f aca="false">IFERROR(M28/S28,0)</f>
        <v>10.2727272727273</v>
      </c>
      <c r="V28" s="5" t="n">
        <v>0.2318</v>
      </c>
    </row>
    <row r="29" customFormat="false" ht="15" hidden="false" customHeight="false" outlineLevel="0" collapsed="false">
      <c r="A29" s="8" t="s">
        <v>68</v>
      </c>
      <c r="B29" s="8" t="s">
        <v>25</v>
      </c>
      <c r="C29" s="8" t="s">
        <v>1043</v>
      </c>
      <c r="D29" s="8" t="n">
        <v>30025</v>
      </c>
      <c r="E29" s="8" t="s">
        <v>440</v>
      </c>
      <c r="F29" s="8" t="s">
        <v>1044</v>
      </c>
      <c r="G29" s="8" t="s">
        <v>961</v>
      </c>
      <c r="H29" s="8" t="s">
        <v>51</v>
      </c>
      <c r="I29" s="8" t="s">
        <v>69</v>
      </c>
      <c r="J29" s="4" t="n">
        <v>89000</v>
      </c>
      <c r="K29" s="4" t="n">
        <v>81000</v>
      </c>
      <c r="L29" s="5" t="n">
        <v>0.1</v>
      </c>
      <c r="M29" s="4" t="n">
        <v>183</v>
      </c>
      <c r="N29" s="4" t="n">
        <v>72</v>
      </c>
      <c r="O29" s="4" t="n">
        <v>20</v>
      </c>
      <c r="P29" s="4" t="n">
        <v>0</v>
      </c>
      <c r="Q29" s="4" t="n">
        <v>0</v>
      </c>
      <c r="R29" s="4" t="n">
        <f aca="false">M29+N29+O29+P29+Q29</f>
        <v>275</v>
      </c>
      <c r="S29" s="4" t="n">
        <v>23</v>
      </c>
      <c r="T29" s="4" t="n">
        <f aca="false">R29*K29</f>
        <v>22275000</v>
      </c>
      <c r="U29" s="9" t="n">
        <f aca="false">IFERROR(M29/S29,0)</f>
        <v>7.95652173913044</v>
      </c>
      <c r="V29" s="5" t="n">
        <v>0.2318</v>
      </c>
    </row>
    <row r="30" customFormat="false" ht="15" hidden="false" customHeight="false" outlineLevel="0" collapsed="false">
      <c r="A30" s="8" t="s">
        <v>68</v>
      </c>
      <c r="B30" s="8" t="s">
        <v>25</v>
      </c>
      <c r="C30" s="8" t="s">
        <v>1043</v>
      </c>
      <c r="D30" s="8" t="n">
        <v>30032</v>
      </c>
      <c r="E30" s="8" t="s">
        <v>531</v>
      </c>
      <c r="F30" s="8" t="s">
        <v>809</v>
      </c>
      <c r="G30" s="8" t="s">
        <v>961</v>
      </c>
      <c r="H30" s="8" t="s">
        <v>51</v>
      </c>
      <c r="I30" s="8" t="s">
        <v>69</v>
      </c>
      <c r="J30" s="4" t="n">
        <v>59000</v>
      </c>
      <c r="K30" s="4" t="n">
        <v>54000</v>
      </c>
      <c r="L30" s="5" t="n">
        <v>0.1</v>
      </c>
      <c r="M30" s="4" t="n">
        <v>189</v>
      </c>
      <c r="N30" s="4" t="n">
        <v>36</v>
      </c>
      <c r="O30" s="4" t="n">
        <v>24</v>
      </c>
      <c r="P30" s="4" t="n">
        <v>0</v>
      </c>
      <c r="Q30" s="4" t="n">
        <v>0</v>
      </c>
      <c r="R30" s="4" t="n">
        <f aca="false">M30+N30+O30+P30+Q30</f>
        <v>249</v>
      </c>
      <c r="S30" s="4" t="n">
        <v>24</v>
      </c>
      <c r="T30" s="4" t="n">
        <f aca="false">R30*K30</f>
        <v>13446000</v>
      </c>
      <c r="U30" s="9" t="n">
        <f aca="false">IFERROR(M30/S30,0)</f>
        <v>7.875</v>
      </c>
      <c r="V30" s="5" t="n">
        <v>0.3111</v>
      </c>
    </row>
    <row r="31" customFormat="false" ht="15" hidden="false" customHeight="false" outlineLevel="0" collapsed="false">
      <c r="A31" s="8" t="s">
        <v>68</v>
      </c>
      <c r="B31" s="8" t="s">
        <v>20</v>
      </c>
      <c r="C31" s="8" t="s">
        <v>1045</v>
      </c>
      <c r="D31" s="8" t="n">
        <v>101990</v>
      </c>
      <c r="E31" s="8" t="s">
        <v>416</v>
      </c>
      <c r="F31" s="8" t="s">
        <v>809</v>
      </c>
      <c r="G31" s="8" t="s">
        <v>961</v>
      </c>
      <c r="H31" s="8" t="s">
        <v>51</v>
      </c>
      <c r="I31" s="8" t="s">
        <v>69</v>
      </c>
      <c r="J31" s="4" t="n">
        <v>220000</v>
      </c>
      <c r="K31" s="4" t="n">
        <v>198000</v>
      </c>
      <c r="L31" s="5" t="n">
        <v>0.1</v>
      </c>
      <c r="M31" s="4" t="n">
        <v>192</v>
      </c>
      <c r="N31" s="4" t="n">
        <v>10</v>
      </c>
      <c r="O31" s="4" t="n">
        <v>34</v>
      </c>
      <c r="P31" s="4" t="n">
        <v>0</v>
      </c>
      <c r="Q31" s="4" t="n">
        <v>8</v>
      </c>
      <c r="R31" s="4" t="n">
        <f aca="false">M31+N31+O31+P31+Q31</f>
        <v>244</v>
      </c>
      <c r="S31" s="4" t="n">
        <v>22</v>
      </c>
      <c r="T31" s="4" t="n">
        <f aca="false">R31*K31</f>
        <v>48312000</v>
      </c>
      <c r="U31" s="9" t="n">
        <f aca="false">IFERROR(M31/S31,0)</f>
        <v>8.72727272727273</v>
      </c>
      <c r="V31" s="5" t="n">
        <v>0.1667</v>
      </c>
    </row>
    <row r="32" customFormat="false" ht="15" hidden="false" customHeight="false" outlineLevel="0" collapsed="false">
      <c r="A32" s="8" t="s">
        <v>68</v>
      </c>
      <c r="B32" s="8" t="s">
        <v>25</v>
      </c>
      <c r="C32" s="8" t="s">
        <v>1043</v>
      </c>
      <c r="D32" s="8" t="n">
        <v>30029</v>
      </c>
      <c r="E32" s="8" t="s">
        <v>400</v>
      </c>
      <c r="F32" s="8" t="s">
        <v>809</v>
      </c>
      <c r="G32" s="8" t="s">
        <v>961</v>
      </c>
      <c r="H32" s="8" t="s">
        <v>51</v>
      </c>
      <c r="I32" s="8" t="s">
        <v>69</v>
      </c>
      <c r="J32" s="4" t="n">
        <v>69000</v>
      </c>
      <c r="K32" s="4" t="n">
        <v>63000</v>
      </c>
      <c r="L32" s="5" t="n">
        <v>0.1</v>
      </c>
      <c r="M32" s="4" t="n">
        <v>177</v>
      </c>
      <c r="N32" s="4" t="n">
        <v>40</v>
      </c>
      <c r="O32" s="4" t="n">
        <v>14</v>
      </c>
      <c r="P32" s="4" t="n">
        <v>0</v>
      </c>
      <c r="Q32" s="4" t="n">
        <v>0</v>
      </c>
      <c r="R32" s="4" t="n">
        <f aca="false">M32+N32+O32+P32+Q32</f>
        <v>231</v>
      </c>
      <c r="S32" s="4" t="n">
        <v>22</v>
      </c>
      <c r="T32" s="4" t="n">
        <f aca="false">R32*K32</f>
        <v>14553000</v>
      </c>
      <c r="U32" s="9" t="n">
        <f aca="false">IFERROR(M32/S32,0)</f>
        <v>8.04545454545455</v>
      </c>
      <c r="V32" s="5" t="n">
        <v>0.2545</v>
      </c>
    </row>
    <row r="33" customFormat="false" ht="15" hidden="false" customHeight="false" outlineLevel="0" collapsed="false">
      <c r="A33" s="8" t="s">
        <v>68</v>
      </c>
      <c r="B33" s="8" t="s">
        <v>20</v>
      </c>
      <c r="C33" s="8" t="s">
        <v>1045</v>
      </c>
      <c r="D33" s="8" t="n">
        <v>101992</v>
      </c>
      <c r="E33" s="8" t="s">
        <v>445</v>
      </c>
      <c r="F33" s="8" t="s">
        <v>809</v>
      </c>
      <c r="G33" s="8" t="s">
        <v>961</v>
      </c>
      <c r="H33" s="8" t="s">
        <v>51</v>
      </c>
      <c r="I33" s="8" t="s">
        <v>69</v>
      </c>
      <c r="J33" s="4" t="n">
        <v>220000</v>
      </c>
      <c r="K33" s="4" t="n">
        <v>198000</v>
      </c>
      <c r="L33" s="5" t="n">
        <v>0.1</v>
      </c>
      <c r="M33" s="4" t="n">
        <v>141</v>
      </c>
      <c r="N33" s="4" t="n">
        <v>24</v>
      </c>
      <c r="O33" s="4" t="n">
        <v>33</v>
      </c>
      <c r="P33" s="4" t="n">
        <v>0</v>
      </c>
      <c r="Q33" s="4" t="n">
        <v>10</v>
      </c>
      <c r="R33" s="4" t="n">
        <f aca="false">M33+N33+O33+P33+Q33</f>
        <v>208</v>
      </c>
      <c r="S33" s="4" t="n">
        <v>23</v>
      </c>
      <c r="T33" s="4" t="n">
        <f aca="false">R33*K33</f>
        <v>41184000</v>
      </c>
      <c r="U33" s="9" t="n">
        <f aca="false">IFERROR(M33/S33,0)</f>
        <v>6.1304347826087</v>
      </c>
      <c r="V33" s="5" t="n">
        <v>0.1667</v>
      </c>
    </row>
    <row r="34" customFormat="false" ht="15" hidden="false" customHeight="false" outlineLevel="0" collapsed="false">
      <c r="A34" s="8" t="s">
        <v>68</v>
      </c>
      <c r="B34" s="8" t="s">
        <v>20</v>
      </c>
      <c r="C34" s="8" t="s">
        <v>1046</v>
      </c>
      <c r="D34" s="8" t="n">
        <v>102229</v>
      </c>
      <c r="E34" s="8" t="s">
        <v>555</v>
      </c>
      <c r="F34" s="8" t="s">
        <v>1044</v>
      </c>
      <c r="G34" s="8" t="s">
        <v>961</v>
      </c>
      <c r="H34" s="8" t="s">
        <v>51</v>
      </c>
      <c r="I34" s="8" t="s">
        <v>69</v>
      </c>
      <c r="J34" s="4" t="n">
        <v>230000</v>
      </c>
      <c r="K34" s="4" t="n">
        <v>207000</v>
      </c>
      <c r="L34" s="5" t="n">
        <v>0.1</v>
      </c>
      <c r="M34" s="4" t="n">
        <v>190</v>
      </c>
      <c r="N34" s="4" t="n">
        <v>0</v>
      </c>
      <c r="O34" s="4" t="n">
        <v>5</v>
      </c>
      <c r="P34" s="4" t="n">
        <v>0</v>
      </c>
      <c r="Q34" s="4" t="n">
        <v>8</v>
      </c>
      <c r="R34" s="4" t="n">
        <f aca="false">M34+N34+O34+P34+Q34</f>
        <v>203</v>
      </c>
      <c r="S34" s="4" t="n">
        <v>22</v>
      </c>
      <c r="T34" s="4" t="n">
        <f aca="false">R34*K34</f>
        <v>42021000</v>
      </c>
      <c r="U34" s="9" t="n">
        <f aca="false">IFERROR(M34/S34,0)</f>
        <v>8.63636363636364</v>
      </c>
      <c r="V34" s="5" t="n">
        <v>0.1051</v>
      </c>
    </row>
    <row r="35" customFormat="false" ht="15" hidden="false" customHeight="false" outlineLevel="0" collapsed="false">
      <c r="A35" s="8" t="s">
        <v>68</v>
      </c>
      <c r="B35" s="8" t="s">
        <v>25</v>
      </c>
      <c r="C35" s="8" t="s">
        <v>1047</v>
      </c>
      <c r="D35" s="8" t="n">
        <v>110545</v>
      </c>
      <c r="E35" s="8" t="s">
        <v>313</v>
      </c>
      <c r="F35" s="8" t="s">
        <v>1044</v>
      </c>
      <c r="G35" s="8" t="s">
        <v>961</v>
      </c>
      <c r="H35" s="8" t="s">
        <v>51</v>
      </c>
      <c r="I35" s="8" t="s">
        <v>69</v>
      </c>
      <c r="J35" s="4" t="n">
        <v>350000</v>
      </c>
      <c r="K35" s="4" t="n">
        <v>315000</v>
      </c>
      <c r="L35" s="5" t="n">
        <v>0.1</v>
      </c>
      <c r="M35" s="4" t="n">
        <v>94</v>
      </c>
      <c r="N35" s="4" t="n">
        <v>86</v>
      </c>
      <c r="O35" s="4" t="n">
        <v>13</v>
      </c>
      <c r="P35" s="4" t="n">
        <v>0</v>
      </c>
      <c r="Q35" s="4" t="n">
        <v>0</v>
      </c>
      <c r="R35" s="4" t="n">
        <f aca="false">M35+N35+O35+P35+Q35</f>
        <v>193</v>
      </c>
      <c r="S35" s="4" t="n">
        <v>19</v>
      </c>
      <c r="T35" s="4" t="n">
        <f aca="false">R35*K35</f>
        <v>60795000</v>
      </c>
      <c r="U35" s="9" t="n">
        <f aca="false">IFERROR(M35/S35,0)</f>
        <v>4.94736842105263</v>
      </c>
      <c r="V35" s="5" t="n">
        <v>0.1429</v>
      </c>
    </row>
    <row r="36" customFormat="false" ht="15" hidden="false" customHeight="false" outlineLevel="0" collapsed="false">
      <c r="A36" s="8" t="s">
        <v>68</v>
      </c>
      <c r="B36" s="8" t="s">
        <v>25</v>
      </c>
      <c r="C36" s="8" t="s">
        <v>1043</v>
      </c>
      <c r="D36" s="8" t="n">
        <v>30026</v>
      </c>
      <c r="E36" s="8" t="s">
        <v>529</v>
      </c>
      <c r="F36" s="8" t="s">
        <v>1044</v>
      </c>
      <c r="G36" s="8" t="s">
        <v>961</v>
      </c>
      <c r="H36" s="8" t="s">
        <v>51</v>
      </c>
      <c r="I36" s="8" t="s">
        <v>69</v>
      </c>
      <c r="J36" s="4" t="n">
        <v>89000</v>
      </c>
      <c r="K36" s="4" t="n">
        <v>81000</v>
      </c>
      <c r="L36" s="5" t="n">
        <v>0.1</v>
      </c>
      <c r="M36" s="4" t="n">
        <v>148</v>
      </c>
      <c r="N36" s="4" t="n">
        <v>0</v>
      </c>
      <c r="O36" s="4" t="n">
        <v>35</v>
      </c>
      <c r="P36" s="4" t="n">
        <v>0</v>
      </c>
      <c r="Q36" s="4" t="n">
        <v>0</v>
      </c>
      <c r="R36" s="4" t="n">
        <f aca="false">M36+N36+O36+P36+Q36</f>
        <v>183</v>
      </c>
      <c r="S36" s="4" t="n">
        <v>22</v>
      </c>
      <c r="T36" s="4" t="n">
        <f aca="false">R36*K36</f>
        <v>14823000</v>
      </c>
      <c r="U36" s="9" t="n">
        <f aca="false">IFERROR(M36/S36,0)</f>
        <v>6.72727272727273</v>
      </c>
      <c r="V36" s="5" t="n">
        <v>0.2318</v>
      </c>
    </row>
    <row r="37" customFormat="false" ht="15" hidden="false" customHeight="false" outlineLevel="0" collapsed="false">
      <c r="A37" s="8" t="s">
        <v>68</v>
      </c>
      <c r="B37" s="8" t="s">
        <v>20</v>
      </c>
      <c r="C37" s="8" t="s">
        <v>1046</v>
      </c>
      <c r="D37" s="8" t="n">
        <v>102237</v>
      </c>
      <c r="E37" s="8" t="s">
        <v>404</v>
      </c>
      <c r="F37" s="8" t="s">
        <v>1044</v>
      </c>
      <c r="G37" s="8" t="s">
        <v>961</v>
      </c>
      <c r="H37" s="8" t="s">
        <v>51</v>
      </c>
      <c r="I37" s="8" t="s">
        <v>69</v>
      </c>
      <c r="J37" s="4" t="n">
        <v>339000</v>
      </c>
      <c r="K37" s="4" t="n">
        <v>306000</v>
      </c>
      <c r="L37" s="5" t="n">
        <v>0.1</v>
      </c>
      <c r="M37" s="4" t="n">
        <v>120</v>
      </c>
      <c r="N37" s="4" t="n">
        <v>32</v>
      </c>
      <c r="O37" s="4" t="n">
        <v>8</v>
      </c>
      <c r="P37" s="4" t="n">
        <v>0</v>
      </c>
      <c r="Q37" s="4" t="n">
        <v>8</v>
      </c>
      <c r="R37" s="4" t="n">
        <f aca="false">M37+N37+O37+P37+Q37</f>
        <v>168</v>
      </c>
      <c r="S37" s="4" t="n">
        <v>22</v>
      </c>
      <c r="T37" s="4" t="n">
        <f aca="false">R37*K37</f>
        <v>51408000</v>
      </c>
      <c r="U37" s="9" t="n">
        <f aca="false">IFERROR(M37/S37,0)</f>
        <v>5.45454545454545</v>
      </c>
      <c r="V37" s="5" t="n">
        <v>0.0712</v>
      </c>
    </row>
    <row r="38" customFormat="false" ht="15" hidden="false" customHeight="false" outlineLevel="0" collapsed="false">
      <c r="A38" s="8" t="s">
        <v>68</v>
      </c>
      <c r="B38" s="8" t="s">
        <v>20</v>
      </c>
      <c r="C38" s="8" t="s">
        <v>1046</v>
      </c>
      <c r="D38" s="8" t="n">
        <v>102230</v>
      </c>
      <c r="E38" s="8" t="s">
        <v>409</v>
      </c>
      <c r="F38" s="8" t="s">
        <v>1044</v>
      </c>
      <c r="G38" s="8" t="s">
        <v>961</v>
      </c>
      <c r="H38" s="8" t="s">
        <v>51</v>
      </c>
      <c r="I38" s="8" t="s">
        <v>69</v>
      </c>
      <c r="J38" s="4" t="n">
        <v>230000</v>
      </c>
      <c r="K38" s="4" t="n">
        <v>207000</v>
      </c>
      <c r="L38" s="5" t="n">
        <v>0.1</v>
      </c>
      <c r="M38" s="4" t="n">
        <v>136</v>
      </c>
      <c r="N38" s="4" t="n">
        <v>15</v>
      </c>
      <c r="O38" s="4" t="n">
        <v>12</v>
      </c>
      <c r="P38" s="4" t="n">
        <v>0</v>
      </c>
      <c r="Q38" s="4" t="n">
        <v>4</v>
      </c>
      <c r="R38" s="4" t="n">
        <f aca="false">M38+N38+O38+P38+Q38</f>
        <v>167</v>
      </c>
      <c r="S38" s="4" t="n">
        <v>22</v>
      </c>
      <c r="T38" s="4" t="n">
        <f aca="false">R38*K38</f>
        <v>34569000</v>
      </c>
      <c r="U38" s="9" t="n">
        <f aca="false">IFERROR(M38/S38,0)</f>
        <v>6.18181818181818</v>
      </c>
      <c r="V38" s="5" t="n">
        <v>0.1051</v>
      </c>
    </row>
    <row r="39" customFormat="false" ht="15" hidden="false" customHeight="false" outlineLevel="0" collapsed="false">
      <c r="A39" s="8" t="s">
        <v>68</v>
      </c>
      <c r="B39" s="8" t="s">
        <v>20</v>
      </c>
      <c r="C39" s="8" t="s">
        <v>1045</v>
      </c>
      <c r="D39" s="8" t="n">
        <v>101991</v>
      </c>
      <c r="E39" s="8" t="s">
        <v>452</v>
      </c>
      <c r="F39" s="8" t="s">
        <v>809</v>
      </c>
      <c r="G39" s="8" t="s">
        <v>961</v>
      </c>
      <c r="H39" s="8" t="s">
        <v>51</v>
      </c>
      <c r="I39" s="8" t="s">
        <v>69</v>
      </c>
      <c r="J39" s="4" t="n">
        <v>220000</v>
      </c>
      <c r="K39" s="4" t="n">
        <v>198000</v>
      </c>
      <c r="L39" s="5" t="n">
        <v>0.1</v>
      </c>
      <c r="M39" s="4" t="n">
        <v>125</v>
      </c>
      <c r="N39" s="4" t="n">
        <v>12</v>
      </c>
      <c r="O39" s="4" t="n">
        <v>17</v>
      </c>
      <c r="P39" s="4" t="n">
        <v>0</v>
      </c>
      <c r="Q39" s="4" t="n">
        <v>8</v>
      </c>
      <c r="R39" s="4" t="n">
        <f aca="false">M39+N39+O39+P39+Q39</f>
        <v>162</v>
      </c>
      <c r="S39" s="4" t="n">
        <v>23</v>
      </c>
      <c r="T39" s="4" t="n">
        <f aca="false">R39*K39</f>
        <v>32076000</v>
      </c>
      <c r="U39" s="9" t="n">
        <f aca="false">IFERROR(M39/S39,0)</f>
        <v>5.43478260869565</v>
      </c>
      <c r="V39" s="5" t="n">
        <v>0.1667</v>
      </c>
    </row>
    <row r="40" customFormat="false" ht="15" hidden="false" customHeight="false" outlineLevel="0" collapsed="false">
      <c r="A40" s="8" t="s">
        <v>68</v>
      </c>
      <c r="B40" s="8" t="s">
        <v>20</v>
      </c>
      <c r="C40" s="8" t="s">
        <v>1046</v>
      </c>
      <c r="D40" s="8" t="n">
        <v>102239</v>
      </c>
      <c r="E40" s="8" t="s">
        <v>562</v>
      </c>
      <c r="F40" s="8" t="s">
        <v>1044</v>
      </c>
      <c r="G40" s="8" t="s">
        <v>961</v>
      </c>
      <c r="H40" s="8" t="s">
        <v>51</v>
      </c>
      <c r="I40" s="8" t="s">
        <v>69</v>
      </c>
      <c r="J40" s="4" t="n">
        <v>230000</v>
      </c>
      <c r="K40" s="4" t="n">
        <v>207000</v>
      </c>
      <c r="L40" s="5" t="n">
        <v>0.1</v>
      </c>
      <c r="M40" s="4" t="n">
        <v>151</v>
      </c>
      <c r="N40" s="4" t="n">
        <v>0</v>
      </c>
      <c r="O40" s="4" t="n">
        <v>3</v>
      </c>
      <c r="P40" s="4" t="n">
        <v>0</v>
      </c>
      <c r="Q40" s="4" t="n">
        <v>4</v>
      </c>
      <c r="R40" s="4" t="n">
        <f aca="false">M40+N40+O40+P40+Q40</f>
        <v>158</v>
      </c>
      <c r="S40" s="4" t="n">
        <v>21</v>
      </c>
      <c r="T40" s="4" t="n">
        <f aca="false">R40*K40</f>
        <v>32706000</v>
      </c>
      <c r="U40" s="9" t="n">
        <f aca="false">IFERROR(M40/S40,0)</f>
        <v>7.19047619047619</v>
      </c>
      <c r="V40" s="5" t="n">
        <v>0.1051</v>
      </c>
    </row>
    <row r="41" customFormat="false" ht="15" hidden="false" customHeight="false" outlineLevel="0" collapsed="false">
      <c r="A41" s="8" t="s">
        <v>68</v>
      </c>
      <c r="B41" s="8" t="s">
        <v>20</v>
      </c>
      <c r="C41" s="8" t="s">
        <v>1046</v>
      </c>
      <c r="D41" s="8" t="n">
        <v>102240</v>
      </c>
      <c r="E41" s="8" t="s">
        <v>557</v>
      </c>
      <c r="F41" s="8" t="s">
        <v>1044</v>
      </c>
      <c r="G41" s="8" t="s">
        <v>961</v>
      </c>
      <c r="H41" s="8" t="s">
        <v>51</v>
      </c>
      <c r="I41" s="8" t="s">
        <v>69</v>
      </c>
      <c r="J41" s="4" t="n">
        <v>269000</v>
      </c>
      <c r="K41" s="4" t="n">
        <v>243000</v>
      </c>
      <c r="L41" s="5" t="n">
        <v>0.1</v>
      </c>
      <c r="M41" s="4" t="n">
        <v>116</v>
      </c>
      <c r="N41" s="4" t="n">
        <v>0</v>
      </c>
      <c r="O41" s="4" t="n">
        <v>36</v>
      </c>
      <c r="P41" s="4" t="n">
        <v>0</v>
      </c>
      <c r="Q41" s="4" t="n">
        <v>5</v>
      </c>
      <c r="R41" s="4" t="n">
        <f aca="false">M41+N41+O41+P41+Q41</f>
        <v>157</v>
      </c>
      <c r="S41" s="4" t="n">
        <v>22</v>
      </c>
      <c r="T41" s="4" t="n">
        <f aca="false">R41*K41</f>
        <v>38151000</v>
      </c>
      <c r="U41" s="9" t="n">
        <f aca="false">IFERROR(M41/S41,0)</f>
        <v>5.27272727272727</v>
      </c>
      <c r="V41" s="5" t="n">
        <v>0.1008</v>
      </c>
    </row>
    <row r="42" customFormat="false" ht="15" hidden="false" customHeight="false" outlineLevel="0" collapsed="false">
      <c r="A42" s="8" t="s">
        <v>68</v>
      </c>
      <c r="B42" s="8" t="s">
        <v>20</v>
      </c>
      <c r="C42" s="8" t="s">
        <v>1046</v>
      </c>
      <c r="D42" s="8" t="n">
        <v>102251</v>
      </c>
      <c r="E42" s="8" t="s">
        <v>561</v>
      </c>
      <c r="F42" s="8" t="s">
        <v>1044</v>
      </c>
      <c r="G42" s="8" t="s">
        <v>961</v>
      </c>
      <c r="H42" s="8" t="s">
        <v>51</v>
      </c>
      <c r="I42" s="8" t="s">
        <v>69</v>
      </c>
      <c r="J42" s="4" t="n">
        <v>269000</v>
      </c>
      <c r="K42" s="4" t="n">
        <v>243000</v>
      </c>
      <c r="L42" s="5" t="n">
        <v>0.1</v>
      </c>
      <c r="M42" s="4" t="n">
        <v>127</v>
      </c>
      <c r="N42" s="4" t="n">
        <v>0</v>
      </c>
      <c r="O42" s="4" t="n">
        <v>21</v>
      </c>
      <c r="P42" s="4" t="n">
        <v>0</v>
      </c>
      <c r="Q42" s="4" t="n">
        <v>4</v>
      </c>
      <c r="R42" s="4" t="n">
        <f aca="false">M42+N42+O42+P42+Q42</f>
        <v>152</v>
      </c>
      <c r="S42" s="4" t="n">
        <v>24</v>
      </c>
      <c r="T42" s="4" t="n">
        <f aca="false">R42*K42</f>
        <v>36936000</v>
      </c>
      <c r="U42" s="9" t="n">
        <f aca="false">IFERROR(M42/S42,0)</f>
        <v>5.29166666666667</v>
      </c>
      <c r="V42" s="5" t="n">
        <v>0.1008</v>
      </c>
    </row>
    <row r="43" customFormat="false" ht="15" hidden="false" customHeight="false" outlineLevel="0" collapsed="false">
      <c r="A43" s="8" t="s">
        <v>68</v>
      </c>
      <c r="B43" s="8" t="s">
        <v>20</v>
      </c>
      <c r="C43" s="8" t="s">
        <v>1045</v>
      </c>
      <c r="D43" s="8" t="n">
        <v>101993</v>
      </c>
      <c r="E43" s="8" t="s">
        <v>547</v>
      </c>
      <c r="F43" s="8" t="s">
        <v>767</v>
      </c>
      <c r="G43" s="8" t="s">
        <v>961</v>
      </c>
      <c r="H43" s="8" t="s">
        <v>51</v>
      </c>
      <c r="I43" s="8" t="s">
        <v>69</v>
      </c>
      <c r="J43" s="4" t="n">
        <v>220000</v>
      </c>
      <c r="K43" s="4" t="n">
        <v>198000</v>
      </c>
      <c r="L43" s="5" t="n">
        <v>0.1</v>
      </c>
      <c r="M43" s="4" t="n">
        <v>119</v>
      </c>
      <c r="N43" s="4" t="n">
        <v>0</v>
      </c>
      <c r="O43" s="4" t="n">
        <v>13</v>
      </c>
      <c r="P43" s="4" t="n">
        <v>0</v>
      </c>
      <c r="Q43" s="4" t="n">
        <v>4</v>
      </c>
      <c r="R43" s="4" t="n">
        <f aca="false">M43+N43+O43+P43+Q43</f>
        <v>136</v>
      </c>
      <c r="S43" s="4" t="n">
        <v>23</v>
      </c>
      <c r="T43" s="4" t="n">
        <f aca="false">R43*K43</f>
        <v>26928000</v>
      </c>
      <c r="U43" s="9" t="n">
        <f aca="false">IFERROR(M43/S43,0)</f>
        <v>5.17391304347826</v>
      </c>
      <c r="V43" s="5" t="n">
        <v>0.1667</v>
      </c>
    </row>
    <row r="44" customFormat="false" ht="15" hidden="false" customHeight="false" outlineLevel="0" collapsed="false">
      <c r="A44" s="8" t="s">
        <v>68</v>
      </c>
      <c r="B44" s="8" t="s">
        <v>25</v>
      </c>
      <c r="C44" s="8" t="s">
        <v>1047</v>
      </c>
      <c r="D44" s="8" t="n">
        <v>110640</v>
      </c>
      <c r="E44" s="8" t="s">
        <v>442</v>
      </c>
      <c r="F44" s="8" t="s">
        <v>809</v>
      </c>
      <c r="G44" s="8" t="s">
        <v>961</v>
      </c>
      <c r="H44" s="8" t="s">
        <v>51</v>
      </c>
      <c r="I44" s="8" t="s">
        <v>69</v>
      </c>
      <c r="J44" s="4" t="n">
        <v>59000</v>
      </c>
      <c r="K44" s="4" t="n">
        <v>54000</v>
      </c>
      <c r="L44" s="5" t="n">
        <v>0.1</v>
      </c>
      <c r="M44" s="4" t="n">
        <v>93</v>
      </c>
      <c r="N44" s="4" t="n">
        <v>30</v>
      </c>
      <c r="O44" s="4" t="n">
        <v>10</v>
      </c>
      <c r="P44" s="4" t="n">
        <v>0</v>
      </c>
      <c r="Q44" s="4" t="n">
        <v>0</v>
      </c>
      <c r="R44" s="4" t="n">
        <f aca="false">M44+N44+O44+P44+Q44</f>
        <v>133</v>
      </c>
      <c r="S44" s="4" t="n">
        <v>23</v>
      </c>
      <c r="T44" s="4" t="n">
        <f aca="false">R44*K44</f>
        <v>7182000</v>
      </c>
      <c r="U44" s="9" t="n">
        <f aca="false">IFERROR(M44/S44,0)</f>
        <v>4.04347826086957</v>
      </c>
      <c r="V44" s="5" t="n">
        <v>0.2593</v>
      </c>
    </row>
    <row r="45" customFormat="false" ht="15" hidden="false" customHeight="false" outlineLevel="0" collapsed="false">
      <c r="A45" s="8" t="s">
        <v>68</v>
      </c>
      <c r="B45" s="8" t="s">
        <v>20</v>
      </c>
      <c r="C45" s="8" t="s">
        <v>1046</v>
      </c>
      <c r="D45" s="8" t="n">
        <v>102238</v>
      </c>
      <c r="E45" s="8" t="s">
        <v>558</v>
      </c>
      <c r="F45" s="8" t="s">
        <v>1044</v>
      </c>
      <c r="G45" s="8" t="s">
        <v>961</v>
      </c>
      <c r="H45" s="8" t="s">
        <v>51</v>
      </c>
      <c r="I45" s="8" t="s">
        <v>69</v>
      </c>
      <c r="J45" s="4" t="n">
        <v>230000</v>
      </c>
      <c r="K45" s="4" t="n">
        <v>207000</v>
      </c>
      <c r="L45" s="5" t="n">
        <v>0.1</v>
      </c>
      <c r="M45" s="4" t="n">
        <v>109</v>
      </c>
      <c r="N45" s="4" t="n">
        <v>0</v>
      </c>
      <c r="O45" s="4" t="n">
        <v>17</v>
      </c>
      <c r="P45" s="4" t="n">
        <v>0</v>
      </c>
      <c r="Q45" s="4" t="n">
        <v>4</v>
      </c>
      <c r="R45" s="4" t="n">
        <f aca="false">M45+N45+O45+P45+Q45</f>
        <v>130</v>
      </c>
      <c r="S45" s="4" t="n">
        <v>20</v>
      </c>
      <c r="T45" s="4" t="n">
        <f aca="false">R45*K45</f>
        <v>26910000</v>
      </c>
      <c r="U45" s="9" t="n">
        <f aca="false">IFERROR(M45/S45,0)</f>
        <v>5.45</v>
      </c>
      <c r="V45" s="5" t="n">
        <v>0.1051</v>
      </c>
    </row>
    <row r="46" customFormat="false" ht="15" hidden="false" customHeight="false" outlineLevel="0" collapsed="false">
      <c r="A46" s="8" t="s">
        <v>68</v>
      </c>
      <c r="B46" s="8" t="s">
        <v>20</v>
      </c>
      <c r="C46" s="8" t="s">
        <v>1046</v>
      </c>
      <c r="D46" s="8" t="n">
        <v>102227</v>
      </c>
      <c r="E46" s="8" t="s">
        <v>556</v>
      </c>
      <c r="F46" s="8" t="s">
        <v>1044</v>
      </c>
      <c r="G46" s="8" t="s">
        <v>961</v>
      </c>
      <c r="H46" s="8" t="s">
        <v>51</v>
      </c>
      <c r="I46" s="8" t="s">
        <v>69</v>
      </c>
      <c r="J46" s="4" t="n">
        <v>230000</v>
      </c>
      <c r="K46" s="4" t="n">
        <v>207000</v>
      </c>
      <c r="L46" s="5" t="n">
        <v>0.1</v>
      </c>
      <c r="M46" s="4" t="n">
        <v>100</v>
      </c>
      <c r="N46" s="4" t="n">
        <v>0</v>
      </c>
      <c r="O46" s="4" t="n">
        <v>26</v>
      </c>
      <c r="P46" s="4" t="n">
        <v>0</v>
      </c>
      <c r="Q46" s="4" t="n">
        <v>2</v>
      </c>
      <c r="R46" s="4" t="n">
        <f aca="false">M46+N46+O46+P46+Q46</f>
        <v>128</v>
      </c>
      <c r="S46" s="4" t="n">
        <v>22</v>
      </c>
      <c r="T46" s="4" t="n">
        <f aca="false">R46*K46</f>
        <v>26496000</v>
      </c>
      <c r="U46" s="9" t="n">
        <f aca="false">IFERROR(M46/S46,0)</f>
        <v>4.54545454545455</v>
      </c>
      <c r="V46" s="5" t="n">
        <v>0.1051</v>
      </c>
    </row>
    <row r="47" customFormat="false" ht="15" hidden="false" customHeight="false" outlineLevel="0" collapsed="false">
      <c r="A47" s="8" t="s">
        <v>68</v>
      </c>
      <c r="B47" s="8" t="s">
        <v>25</v>
      </c>
      <c r="C47" s="8" t="s">
        <v>1047</v>
      </c>
      <c r="D47" s="8" t="n">
        <v>110811</v>
      </c>
      <c r="E47" s="8" t="s">
        <v>457</v>
      </c>
      <c r="F47" s="8" t="s">
        <v>809</v>
      </c>
      <c r="G47" s="8" t="s">
        <v>961</v>
      </c>
      <c r="H47" s="8" t="s">
        <v>51</v>
      </c>
      <c r="I47" s="8" t="s">
        <v>69</v>
      </c>
      <c r="J47" s="4" t="n">
        <v>190000</v>
      </c>
      <c r="K47" s="4" t="n">
        <v>171000</v>
      </c>
      <c r="L47" s="5" t="n">
        <v>0.1</v>
      </c>
      <c r="M47" s="4" t="n">
        <v>113</v>
      </c>
      <c r="N47" s="4" t="n">
        <v>9</v>
      </c>
      <c r="O47" s="4" t="n">
        <v>3</v>
      </c>
      <c r="P47" s="4" t="n">
        <v>0</v>
      </c>
      <c r="Q47" s="4" t="n">
        <v>0</v>
      </c>
      <c r="R47" s="4" t="n">
        <f aca="false">M47+N47+O47+P47+Q47</f>
        <v>125</v>
      </c>
      <c r="S47" s="4" t="n">
        <v>23</v>
      </c>
      <c r="T47" s="4" t="n">
        <f aca="false">R47*K47</f>
        <v>21375000</v>
      </c>
      <c r="U47" s="9" t="n">
        <f aca="false">IFERROR(M47/S47,0)</f>
        <v>4.91304347826087</v>
      </c>
      <c r="V47" s="5" t="n">
        <v>0.3743</v>
      </c>
    </row>
    <row r="48" customFormat="false" ht="15" hidden="false" customHeight="false" outlineLevel="0" collapsed="false">
      <c r="A48" s="8" t="s">
        <v>68</v>
      </c>
      <c r="B48" s="8" t="s">
        <v>20</v>
      </c>
      <c r="C48" s="8" t="s">
        <v>1046</v>
      </c>
      <c r="D48" s="8" t="n">
        <v>101904</v>
      </c>
      <c r="E48" s="8" t="s">
        <v>546</v>
      </c>
      <c r="F48" s="8" t="s">
        <v>809</v>
      </c>
      <c r="G48" s="8" t="s">
        <v>961</v>
      </c>
      <c r="H48" s="8" t="s">
        <v>51</v>
      </c>
      <c r="I48" s="8" t="s">
        <v>69</v>
      </c>
      <c r="J48" s="4" t="n">
        <v>150000</v>
      </c>
      <c r="K48" s="4" t="n">
        <v>135000</v>
      </c>
      <c r="L48" s="5" t="n">
        <v>0.1</v>
      </c>
      <c r="M48" s="4" t="n">
        <v>110</v>
      </c>
      <c r="N48" s="4" t="n">
        <v>0</v>
      </c>
      <c r="O48" s="4" t="n">
        <v>5</v>
      </c>
      <c r="P48" s="4" t="n">
        <v>0</v>
      </c>
      <c r="Q48" s="4" t="n">
        <v>0</v>
      </c>
      <c r="R48" s="4" t="n">
        <f aca="false">M48+N48+O48+P48+Q48</f>
        <v>115</v>
      </c>
      <c r="S48" s="4" t="n">
        <v>24</v>
      </c>
      <c r="T48" s="4" t="n">
        <f aca="false">R48*K48</f>
        <v>15525000</v>
      </c>
      <c r="U48" s="9" t="n">
        <f aca="false">IFERROR(M48/S48,0)</f>
        <v>4.58333333333333</v>
      </c>
      <c r="V48" s="5" t="n">
        <v>0.0741</v>
      </c>
    </row>
    <row r="49" customFormat="false" ht="15" hidden="false" customHeight="false" outlineLevel="0" collapsed="false">
      <c r="A49" s="8" t="s">
        <v>68</v>
      </c>
      <c r="B49" s="8" t="s">
        <v>25</v>
      </c>
      <c r="C49" s="8" t="s">
        <v>1047</v>
      </c>
      <c r="D49" s="8" t="n">
        <v>110807</v>
      </c>
      <c r="E49" s="8" t="s">
        <v>524</v>
      </c>
      <c r="F49" s="8" t="s">
        <v>809</v>
      </c>
      <c r="G49" s="8" t="s">
        <v>961</v>
      </c>
      <c r="H49" s="8" t="s">
        <v>51</v>
      </c>
      <c r="I49" s="8" t="s">
        <v>69</v>
      </c>
      <c r="J49" s="4" t="n">
        <v>290000</v>
      </c>
      <c r="K49" s="4" t="n">
        <v>261000</v>
      </c>
      <c r="L49" s="5" t="n">
        <v>0.1</v>
      </c>
      <c r="M49" s="4" t="n">
        <v>112</v>
      </c>
      <c r="N49" s="4" t="n">
        <v>0</v>
      </c>
      <c r="O49" s="4" t="n">
        <v>3</v>
      </c>
      <c r="P49" s="4" t="n">
        <v>0</v>
      </c>
      <c r="Q49" s="4" t="n">
        <v>0</v>
      </c>
      <c r="R49" s="4" t="n">
        <f aca="false">M49+N49+O49+P49+Q49</f>
        <v>115</v>
      </c>
      <c r="S49" s="4" t="n">
        <v>23</v>
      </c>
      <c r="T49" s="4" t="n">
        <f aca="false">R49*K49</f>
        <v>30015000</v>
      </c>
      <c r="U49" s="9" t="n">
        <f aca="false">IFERROR(M49/S49,0)</f>
        <v>4.86956521739131</v>
      </c>
      <c r="V49" s="5" t="n">
        <v>0.2605</v>
      </c>
    </row>
    <row r="50" customFormat="false" ht="15" hidden="false" customHeight="false" outlineLevel="0" collapsed="false">
      <c r="A50" s="8" t="s">
        <v>68</v>
      </c>
      <c r="B50" s="8" t="s">
        <v>25</v>
      </c>
      <c r="C50" s="8" t="s">
        <v>1047</v>
      </c>
      <c r="D50" s="8" t="n">
        <v>110800</v>
      </c>
      <c r="E50" s="8" t="s">
        <v>519</v>
      </c>
      <c r="F50" s="8" t="s">
        <v>809</v>
      </c>
      <c r="G50" s="8" t="s">
        <v>961</v>
      </c>
      <c r="H50" s="8" t="s">
        <v>51</v>
      </c>
      <c r="I50" s="8" t="s">
        <v>69</v>
      </c>
      <c r="J50" s="4" t="n">
        <v>260000</v>
      </c>
      <c r="K50" s="4" t="n">
        <v>234000</v>
      </c>
      <c r="L50" s="5" t="n">
        <v>0.1</v>
      </c>
      <c r="M50" s="4" t="n">
        <v>106</v>
      </c>
      <c r="N50" s="4" t="n">
        <v>0</v>
      </c>
      <c r="O50" s="4" t="n">
        <v>5</v>
      </c>
      <c r="P50" s="4" t="n">
        <v>0</v>
      </c>
      <c r="Q50" s="4" t="n">
        <v>0</v>
      </c>
      <c r="R50" s="4" t="n">
        <f aca="false">M50+N50+O50+P50+Q50</f>
        <v>111</v>
      </c>
      <c r="S50" s="4" t="n">
        <v>23</v>
      </c>
      <c r="T50" s="4" t="n">
        <f aca="false">R50*K50</f>
        <v>25974000</v>
      </c>
      <c r="U50" s="9" t="n">
        <f aca="false">IFERROR(M50/S50,0)</f>
        <v>4.60869565217391</v>
      </c>
      <c r="V50" s="5" t="n">
        <v>0.4915</v>
      </c>
    </row>
    <row r="51" customFormat="false" ht="15" hidden="false" customHeight="false" outlineLevel="0" collapsed="false">
      <c r="A51" s="8" t="s">
        <v>68</v>
      </c>
      <c r="B51" s="8" t="s">
        <v>25</v>
      </c>
      <c r="C51" s="8" t="s">
        <v>1047</v>
      </c>
      <c r="D51" s="8" t="n">
        <v>110637</v>
      </c>
      <c r="E51" s="8" t="s">
        <v>517</v>
      </c>
      <c r="F51" s="8" t="s">
        <v>809</v>
      </c>
      <c r="G51" s="8" t="s">
        <v>961</v>
      </c>
      <c r="H51" s="8" t="s">
        <v>51</v>
      </c>
      <c r="I51" s="8" t="s">
        <v>69</v>
      </c>
      <c r="J51" s="4" t="n">
        <v>119000</v>
      </c>
      <c r="K51" s="4" t="n">
        <v>108000</v>
      </c>
      <c r="L51" s="5" t="n">
        <v>0.1</v>
      </c>
      <c r="M51" s="4" t="n">
        <v>105</v>
      </c>
      <c r="N51" s="4" t="n">
        <v>0</v>
      </c>
      <c r="O51" s="4" t="n">
        <v>5</v>
      </c>
      <c r="P51" s="4" t="n">
        <v>0</v>
      </c>
      <c r="Q51" s="4" t="n">
        <v>0</v>
      </c>
      <c r="R51" s="4" t="n">
        <f aca="false">M51+N51+O51+P51+Q51</f>
        <v>110</v>
      </c>
      <c r="S51" s="4" t="n">
        <v>23</v>
      </c>
      <c r="T51" s="4" t="n">
        <f aca="false">R51*K51</f>
        <v>11880000</v>
      </c>
      <c r="U51" s="9" t="n">
        <f aca="false">IFERROR(M51/S51,0)</f>
        <v>4.56521739130435</v>
      </c>
      <c r="V51" s="5" t="n">
        <v>0.213</v>
      </c>
    </row>
    <row r="52" customFormat="false" ht="15" hidden="false" customHeight="false" outlineLevel="0" collapsed="false">
      <c r="A52" s="8" t="s">
        <v>68</v>
      </c>
      <c r="B52" s="8" t="s">
        <v>25</v>
      </c>
      <c r="C52" s="8" t="s">
        <v>1047</v>
      </c>
      <c r="D52" s="8" t="n">
        <v>110802</v>
      </c>
      <c r="E52" s="8" t="s">
        <v>520</v>
      </c>
      <c r="F52" s="8" t="s">
        <v>809</v>
      </c>
      <c r="G52" s="8" t="s">
        <v>961</v>
      </c>
      <c r="H52" s="8" t="s">
        <v>51</v>
      </c>
      <c r="I52" s="8" t="s">
        <v>69</v>
      </c>
      <c r="J52" s="4" t="n">
        <v>190000</v>
      </c>
      <c r="K52" s="4" t="n">
        <v>171000</v>
      </c>
      <c r="L52" s="5" t="n">
        <v>0.1</v>
      </c>
      <c r="M52" s="4" t="n">
        <v>105</v>
      </c>
      <c r="N52" s="4" t="n">
        <v>0</v>
      </c>
      <c r="O52" s="4" t="n">
        <v>5</v>
      </c>
      <c r="P52" s="4" t="n">
        <v>0</v>
      </c>
      <c r="Q52" s="4" t="n">
        <v>0</v>
      </c>
      <c r="R52" s="4" t="n">
        <f aca="false">M52+N52+O52+P52+Q52</f>
        <v>110</v>
      </c>
      <c r="S52" s="4" t="n">
        <v>22</v>
      </c>
      <c r="T52" s="4" t="n">
        <f aca="false">R52*K52</f>
        <v>18810000</v>
      </c>
      <c r="U52" s="9" t="n">
        <f aca="false">IFERROR(M52/S52,0)</f>
        <v>4.77272727272727</v>
      </c>
      <c r="V52" s="5" t="n">
        <v>0.3743</v>
      </c>
    </row>
    <row r="53" customFormat="false" ht="15" hidden="false" customHeight="false" outlineLevel="0" collapsed="false">
      <c r="A53" s="8" t="s">
        <v>68</v>
      </c>
      <c r="B53" s="8" t="s">
        <v>20</v>
      </c>
      <c r="C53" s="8" t="s">
        <v>1046</v>
      </c>
      <c r="D53" s="8" t="n">
        <v>102233</v>
      </c>
      <c r="E53" s="8" t="s">
        <v>559</v>
      </c>
      <c r="F53" s="8" t="s">
        <v>1044</v>
      </c>
      <c r="G53" s="8" t="s">
        <v>961</v>
      </c>
      <c r="H53" s="8" t="s">
        <v>51</v>
      </c>
      <c r="I53" s="8" t="s">
        <v>69</v>
      </c>
      <c r="J53" s="4" t="n">
        <v>269000</v>
      </c>
      <c r="K53" s="4" t="n">
        <v>243000</v>
      </c>
      <c r="L53" s="5" t="n">
        <v>0.1</v>
      </c>
      <c r="M53" s="4" t="n">
        <v>96</v>
      </c>
      <c r="N53" s="4" t="n">
        <v>0</v>
      </c>
      <c r="O53" s="4" t="n">
        <v>11</v>
      </c>
      <c r="P53" s="4" t="n">
        <v>0</v>
      </c>
      <c r="Q53" s="4" t="n">
        <v>3</v>
      </c>
      <c r="R53" s="4" t="n">
        <f aca="false">M53+N53+O53+P53+Q53</f>
        <v>110</v>
      </c>
      <c r="S53" s="4" t="n">
        <v>22</v>
      </c>
      <c r="T53" s="4" t="n">
        <f aca="false">R53*K53</f>
        <v>26730000</v>
      </c>
      <c r="U53" s="9" t="n">
        <f aca="false">IFERROR(M53/S53,0)</f>
        <v>4.36363636363636</v>
      </c>
      <c r="V53" s="5" t="n">
        <v>0.1008</v>
      </c>
    </row>
    <row r="54" customFormat="false" ht="15" hidden="false" customHeight="false" outlineLevel="0" collapsed="false">
      <c r="A54" s="8" t="s">
        <v>68</v>
      </c>
      <c r="B54" s="8" t="s">
        <v>25</v>
      </c>
      <c r="C54" s="8" t="s">
        <v>1047</v>
      </c>
      <c r="D54" s="8" t="n">
        <v>110803</v>
      </c>
      <c r="E54" s="8" t="s">
        <v>521</v>
      </c>
      <c r="F54" s="8" t="s">
        <v>809</v>
      </c>
      <c r="G54" s="8" t="s">
        <v>961</v>
      </c>
      <c r="H54" s="8" t="s">
        <v>51</v>
      </c>
      <c r="I54" s="8" t="s">
        <v>69</v>
      </c>
      <c r="J54" s="4" t="n">
        <v>230000</v>
      </c>
      <c r="K54" s="4" t="n">
        <v>207000</v>
      </c>
      <c r="L54" s="5" t="n">
        <v>0.1</v>
      </c>
      <c r="M54" s="4" t="n">
        <v>104</v>
      </c>
      <c r="N54" s="4" t="n">
        <v>0</v>
      </c>
      <c r="O54" s="4" t="n">
        <v>5</v>
      </c>
      <c r="P54" s="4" t="n">
        <v>0</v>
      </c>
      <c r="Q54" s="4" t="n">
        <v>0</v>
      </c>
      <c r="R54" s="4" t="n">
        <f aca="false">M54+N54+O54+P54+Q54</f>
        <v>109</v>
      </c>
      <c r="S54" s="4" t="n">
        <v>23</v>
      </c>
      <c r="T54" s="4" t="n">
        <f aca="false">R54*K54</f>
        <v>22563000</v>
      </c>
      <c r="U54" s="9" t="n">
        <f aca="false">IFERROR(M54/S54,0)</f>
        <v>4.52173913043478</v>
      </c>
      <c r="V54" s="5" t="n">
        <v>0.4734</v>
      </c>
    </row>
    <row r="55" customFormat="false" ht="15" hidden="false" customHeight="false" outlineLevel="0" collapsed="false">
      <c r="A55" s="8" t="s">
        <v>68</v>
      </c>
      <c r="B55" s="8" t="s">
        <v>25</v>
      </c>
      <c r="C55" s="8" t="s">
        <v>1047</v>
      </c>
      <c r="D55" s="8" t="n">
        <v>110805</v>
      </c>
      <c r="E55" s="8" t="s">
        <v>523</v>
      </c>
      <c r="F55" s="8" t="s">
        <v>809</v>
      </c>
      <c r="G55" s="8" t="s">
        <v>961</v>
      </c>
      <c r="H55" s="8" t="s">
        <v>51</v>
      </c>
      <c r="I55" s="8" t="s">
        <v>69</v>
      </c>
      <c r="J55" s="4" t="n">
        <v>260000</v>
      </c>
      <c r="K55" s="4" t="n">
        <v>234000</v>
      </c>
      <c r="L55" s="5" t="n">
        <v>0.1</v>
      </c>
      <c r="M55" s="4" t="n">
        <v>105</v>
      </c>
      <c r="N55" s="4" t="n">
        <v>0</v>
      </c>
      <c r="O55" s="4" t="n">
        <v>4</v>
      </c>
      <c r="P55" s="4" t="n">
        <v>0</v>
      </c>
      <c r="Q55" s="4" t="n">
        <v>0</v>
      </c>
      <c r="R55" s="4" t="n">
        <f aca="false">M55+N55+O55+P55+Q55</f>
        <v>109</v>
      </c>
      <c r="S55" s="4" t="n">
        <v>23</v>
      </c>
      <c r="T55" s="4" t="n">
        <f aca="false">R55*K55</f>
        <v>25506000</v>
      </c>
      <c r="U55" s="9" t="n">
        <f aca="false">IFERROR(M55/S55,0)</f>
        <v>4.56521739130435</v>
      </c>
      <c r="V55" s="5" t="n">
        <v>0.4231</v>
      </c>
    </row>
    <row r="56" customFormat="false" ht="15" hidden="false" customHeight="false" outlineLevel="0" collapsed="false">
      <c r="A56" s="8" t="s">
        <v>68</v>
      </c>
      <c r="B56" s="8" t="s">
        <v>20</v>
      </c>
      <c r="C56" s="8" t="s">
        <v>1046</v>
      </c>
      <c r="D56" s="8" t="n">
        <v>102228</v>
      </c>
      <c r="E56" s="8" t="s">
        <v>560</v>
      </c>
      <c r="F56" s="8" t="s">
        <v>1044</v>
      </c>
      <c r="G56" s="8" t="s">
        <v>961</v>
      </c>
      <c r="H56" s="8" t="s">
        <v>51</v>
      </c>
      <c r="I56" s="8" t="s">
        <v>69</v>
      </c>
      <c r="J56" s="4" t="n">
        <v>230000</v>
      </c>
      <c r="K56" s="4" t="n">
        <v>207000</v>
      </c>
      <c r="L56" s="5" t="n">
        <v>0.1</v>
      </c>
      <c r="M56" s="4" t="n">
        <v>81</v>
      </c>
      <c r="N56" s="4" t="n">
        <v>0</v>
      </c>
      <c r="O56" s="4" t="n">
        <v>24</v>
      </c>
      <c r="P56" s="4" t="n">
        <v>0</v>
      </c>
      <c r="Q56" s="4" t="n">
        <v>3</v>
      </c>
      <c r="R56" s="4" t="n">
        <f aca="false">M56+N56+O56+P56+Q56</f>
        <v>108</v>
      </c>
      <c r="S56" s="4" t="n">
        <v>18</v>
      </c>
      <c r="T56" s="4" t="n">
        <f aca="false">R56*K56</f>
        <v>22356000</v>
      </c>
      <c r="U56" s="9" t="n">
        <f aca="false">IFERROR(M56/S56,0)</f>
        <v>4.5</v>
      </c>
      <c r="V56" s="5" t="n">
        <v>0.1051</v>
      </c>
    </row>
    <row r="57" customFormat="false" ht="15" hidden="false" customHeight="false" outlineLevel="0" collapsed="false">
      <c r="A57" s="8" t="s">
        <v>68</v>
      </c>
      <c r="B57" s="8" t="s">
        <v>25</v>
      </c>
      <c r="C57" s="8" t="s">
        <v>1047</v>
      </c>
      <c r="D57" s="8" t="n">
        <v>110804</v>
      </c>
      <c r="E57" s="8" t="s">
        <v>522</v>
      </c>
      <c r="F57" s="8" t="s">
        <v>809</v>
      </c>
      <c r="G57" s="8" t="s">
        <v>961</v>
      </c>
      <c r="H57" s="8" t="s">
        <v>51</v>
      </c>
      <c r="I57" s="8" t="s">
        <v>69</v>
      </c>
      <c r="J57" s="4" t="n">
        <v>190000</v>
      </c>
      <c r="K57" s="4" t="n">
        <v>171000</v>
      </c>
      <c r="L57" s="5" t="n">
        <v>0.1</v>
      </c>
      <c r="M57" s="4" t="n">
        <v>106</v>
      </c>
      <c r="N57" s="4" t="n">
        <v>0</v>
      </c>
      <c r="O57" s="4" t="n">
        <v>0</v>
      </c>
      <c r="P57" s="4" t="n">
        <v>0</v>
      </c>
      <c r="Q57" s="4" t="n">
        <v>0</v>
      </c>
      <c r="R57" s="4" t="n">
        <f aca="false">M57+N57+O57+P57+Q57</f>
        <v>106</v>
      </c>
      <c r="S57" s="4" t="n">
        <v>23</v>
      </c>
      <c r="T57" s="4" t="n">
        <f aca="false">R57*K57</f>
        <v>18126000</v>
      </c>
      <c r="U57" s="9" t="n">
        <f aca="false">IFERROR(M57/S57,0)</f>
        <v>4.60869565217391</v>
      </c>
      <c r="V57" s="5" t="n">
        <v>0.3743</v>
      </c>
    </row>
    <row r="58" customFormat="false" ht="15" hidden="false" customHeight="false" outlineLevel="0" collapsed="false">
      <c r="A58" s="8" t="s">
        <v>68</v>
      </c>
      <c r="B58" s="8" t="s">
        <v>25</v>
      </c>
      <c r="C58" s="8" t="s">
        <v>1047</v>
      </c>
      <c r="D58" s="8" t="n">
        <v>30107</v>
      </c>
      <c r="E58" s="8" t="s">
        <v>528</v>
      </c>
      <c r="F58" s="8" t="s">
        <v>809</v>
      </c>
      <c r="G58" s="8" t="s">
        <v>961</v>
      </c>
      <c r="H58" s="8" t="s">
        <v>51</v>
      </c>
      <c r="I58" s="8" t="s">
        <v>69</v>
      </c>
      <c r="J58" s="4" t="n">
        <v>190000</v>
      </c>
      <c r="K58" s="4" t="n">
        <v>171000</v>
      </c>
      <c r="L58" s="5" t="n">
        <v>0.1</v>
      </c>
      <c r="M58" s="4" t="n">
        <v>99</v>
      </c>
      <c r="N58" s="4" t="n">
        <v>0</v>
      </c>
      <c r="O58" s="4" t="n">
        <v>5</v>
      </c>
      <c r="P58" s="4" t="n">
        <v>0</v>
      </c>
      <c r="Q58" s="4" t="n">
        <v>0</v>
      </c>
      <c r="R58" s="4" t="n">
        <f aca="false">M58+N58+O58+P58+Q58</f>
        <v>104</v>
      </c>
      <c r="S58" s="4" t="n">
        <v>23</v>
      </c>
      <c r="T58" s="4" t="n">
        <f aca="false">R58*K58</f>
        <v>17784000</v>
      </c>
      <c r="U58" s="9" t="n">
        <f aca="false">IFERROR(M58/S58,0)</f>
        <v>4.30434782608696</v>
      </c>
      <c r="V58" s="5" t="n">
        <v>0.2105</v>
      </c>
    </row>
    <row r="59" customFormat="false" ht="15" hidden="false" customHeight="false" outlineLevel="0" collapsed="false">
      <c r="A59" s="8" t="s">
        <v>68</v>
      </c>
      <c r="B59" s="8" t="s">
        <v>20</v>
      </c>
      <c r="C59" s="8" t="s">
        <v>1046</v>
      </c>
      <c r="D59" s="8" t="n">
        <v>102440</v>
      </c>
      <c r="E59" s="8" t="s">
        <v>564</v>
      </c>
      <c r="F59" s="8" t="s">
        <v>829</v>
      </c>
      <c r="G59" s="8" t="s">
        <v>961</v>
      </c>
      <c r="H59" s="8" t="s">
        <v>51</v>
      </c>
      <c r="I59" s="8" t="s">
        <v>69</v>
      </c>
      <c r="J59" s="4" t="n">
        <v>175000</v>
      </c>
      <c r="K59" s="4" t="n">
        <v>158000</v>
      </c>
      <c r="L59" s="5" t="n">
        <v>0.1</v>
      </c>
      <c r="M59" s="4" t="n">
        <v>87</v>
      </c>
      <c r="N59" s="4" t="n">
        <v>0</v>
      </c>
      <c r="O59" s="4" t="n">
        <v>16</v>
      </c>
      <c r="P59" s="4" t="n">
        <v>0</v>
      </c>
      <c r="Q59" s="4" t="n">
        <v>0</v>
      </c>
      <c r="R59" s="4" t="n">
        <f aca="false">M59+N59+O59+P59+Q59</f>
        <v>103</v>
      </c>
      <c r="S59" s="4" t="n">
        <v>20</v>
      </c>
      <c r="T59" s="4" t="n">
        <f aca="false">R59*K59</f>
        <v>16274000</v>
      </c>
      <c r="U59" s="9" t="n">
        <f aca="false">IFERROR(M59/S59,0)</f>
        <v>4.35</v>
      </c>
      <c r="V59" s="5" t="n">
        <v>0.1139</v>
      </c>
    </row>
    <row r="60" customFormat="false" ht="15" hidden="false" customHeight="false" outlineLevel="0" collapsed="false">
      <c r="A60" s="8" t="s">
        <v>68</v>
      </c>
      <c r="B60" s="8" t="s">
        <v>25</v>
      </c>
      <c r="C60" s="8" t="s">
        <v>1047</v>
      </c>
      <c r="D60" s="8" t="n">
        <v>110808</v>
      </c>
      <c r="E60" s="8" t="s">
        <v>525</v>
      </c>
      <c r="F60" s="8" t="s">
        <v>809</v>
      </c>
      <c r="G60" s="8" t="s">
        <v>961</v>
      </c>
      <c r="H60" s="8" t="s">
        <v>51</v>
      </c>
      <c r="I60" s="8" t="s">
        <v>69</v>
      </c>
      <c r="J60" s="4" t="n">
        <v>425000</v>
      </c>
      <c r="K60" s="4" t="n">
        <v>383000</v>
      </c>
      <c r="L60" s="5" t="n">
        <v>0.1</v>
      </c>
      <c r="M60" s="4" t="n">
        <v>96</v>
      </c>
      <c r="N60" s="4" t="n">
        <v>0</v>
      </c>
      <c r="O60" s="4" t="n">
        <v>6</v>
      </c>
      <c r="P60" s="4" t="n">
        <v>0</v>
      </c>
      <c r="Q60" s="4" t="n">
        <v>0</v>
      </c>
      <c r="R60" s="4" t="n">
        <f aca="false">M60+N60+O60+P60+Q60</f>
        <v>102</v>
      </c>
      <c r="S60" s="4" t="n">
        <v>22</v>
      </c>
      <c r="T60" s="4" t="n">
        <f aca="false">R60*K60</f>
        <v>39066000</v>
      </c>
      <c r="U60" s="9" t="n">
        <f aca="false">IFERROR(M60/S60,0)</f>
        <v>4.36363636363636</v>
      </c>
      <c r="V60" s="5" t="n">
        <v>0.5509</v>
      </c>
    </row>
    <row r="61" customFormat="false" ht="15" hidden="false" customHeight="false" outlineLevel="0" collapsed="false">
      <c r="A61" s="8" t="s">
        <v>68</v>
      </c>
      <c r="B61" s="8" t="s">
        <v>20</v>
      </c>
      <c r="C61" s="8" t="s">
        <v>1046</v>
      </c>
      <c r="D61" s="8" t="n">
        <v>102234</v>
      </c>
      <c r="E61" s="8" t="s">
        <v>563</v>
      </c>
      <c r="F61" s="8" t="s">
        <v>1044</v>
      </c>
      <c r="G61" s="8" t="s">
        <v>961</v>
      </c>
      <c r="H61" s="8" t="s">
        <v>51</v>
      </c>
      <c r="I61" s="8" t="s">
        <v>69</v>
      </c>
      <c r="J61" s="4" t="n">
        <v>269000</v>
      </c>
      <c r="K61" s="4" t="n">
        <v>243000</v>
      </c>
      <c r="L61" s="5" t="n">
        <v>0.1</v>
      </c>
      <c r="M61" s="4" t="n">
        <v>89</v>
      </c>
      <c r="N61" s="4" t="n">
        <v>0</v>
      </c>
      <c r="O61" s="4" t="n">
        <v>12</v>
      </c>
      <c r="P61" s="4" t="n">
        <v>0</v>
      </c>
      <c r="Q61" s="4" t="n">
        <v>1</v>
      </c>
      <c r="R61" s="4" t="n">
        <f aca="false">M61+N61+O61+P61+Q61</f>
        <v>102</v>
      </c>
      <c r="S61" s="4" t="n">
        <v>21</v>
      </c>
      <c r="T61" s="4" t="n">
        <f aca="false">R61*K61</f>
        <v>24786000</v>
      </c>
      <c r="U61" s="9" t="n">
        <f aca="false">IFERROR(M61/S61,0)</f>
        <v>4.23809523809524</v>
      </c>
      <c r="V61" s="5" t="n">
        <v>0.1008</v>
      </c>
    </row>
    <row r="62" customFormat="false" ht="15" hidden="false" customHeight="false" outlineLevel="0" collapsed="false">
      <c r="A62" s="8" t="s">
        <v>68</v>
      </c>
      <c r="B62" s="8" t="s">
        <v>20</v>
      </c>
      <c r="C62" s="8" t="s">
        <v>1046</v>
      </c>
      <c r="D62" s="8" t="n">
        <v>102174</v>
      </c>
      <c r="E62" s="8" t="s">
        <v>552</v>
      </c>
      <c r="F62" s="8" t="s">
        <v>809</v>
      </c>
      <c r="G62" s="8" t="s">
        <v>961</v>
      </c>
      <c r="H62" s="8" t="s">
        <v>51</v>
      </c>
      <c r="I62" s="8" t="s">
        <v>69</v>
      </c>
      <c r="J62" s="4" t="n">
        <v>199000</v>
      </c>
      <c r="K62" s="4" t="n">
        <v>180000</v>
      </c>
      <c r="L62" s="5" t="n">
        <v>0.1</v>
      </c>
      <c r="M62" s="4" t="n">
        <v>101</v>
      </c>
      <c r="N62" s="4" t="n">
        <v>0</v>
      </c>
      <c r="O62" s="4" t="n">
        <v>0</v>
      </c>
      <c r="P62" s="4" t="n">
        <v>0</v>
      </c>
      <c r="Q62" s="4" t="n">
        <v>0</v>
      </c>
      <c r="R62" s="4" t="n">
        <f aca="false">M62+N62+O62+P62+Q62</f>
        <v>101</v>
      </c>
      <c r="S62" s="4" t="n">
        <v>20</v>
      </c>
      <c r="T62" s="4" t="n">
        <f aca="false">R62*K62</f>
        <v>18180000</v>
      </c>
      <c r="U62" s="9" t="n">
        <f aca="false">IFERROR(M62/S62,0)</f>
        <v>5.05</v>
      </c>
      <c r="V62" s="5" t="n">
        <v>0.2278</v>
      </c>
    </row>
    <row r="63" customFormat="false" ht="15" hidden="false" customHeight="false" outlineLevel="0" collapsed="false">
      <c r="A63" s="8" t="s">
        <v>68</v>
      </c>
      <c r="B63" s="8" t="s">
        <v>20</v>
      </c>
      <c r="C63" s="8" t="s">
        <v>1046</v>
      </c>
      <c r="D63" s="8" t="n">
        <v>102439</v>
      </c>
      <c r="E63" s="8" t="s">
        <v>333</v>
      </c>
      <c r="F63" s="8" t="s">
        <v>829</v>
      </c>
      <c r="G63" s="8" t="s">
        <v>961</v>
      </c>
      <c r="H63" s="8" t="s">
        <v>51</v>
      </c>
      <c r="I63" s="8" t="s">
        <v>69</v>
      </c>
      <c r="J63" s="4" t="n">
        <v>175000</v>
      </c>
      <c r="K63" s="4" t="n">
        <v>158000</v>
      </c>
      <c r="L63" s="5" t="n">
        <v>0.1</v>
      </c>
      <c r="M63" s="4" t="n">
        <v>65</v>
      </c>
      <c r="N63" s="4" t="n">
        <v>20</v>
      </c>
      <c r="O63" s="4" t="n">
        <v>15</v>
      </c>
      <c r="P63" s="4" t="n">
        <v>0</v>
      </c>
      <c r="Q63" s="4" t="n">
        <v>0</v>
      </c>
      <c r="R63" s="4" t="n">
        <f aca="false">M63+N63+O63+P63+Q63</f>
        <v>100</v>
      </c>
      <c r="S63" s="4" t="n">
        <v>20</v>
      </c>
      <c r="T63" s="4" t="n">
        <f aca="false">R63*K63</f>
        <v>15800000</v>
      </c>
      <c r="U63" s="9" t="n">
        <f aca="false">IFERROR(M63/S63,0)</f>
        <v>3.25</v>
      </c>
      <c r="V63" s="5" t="n">
        <v>0.1139</v>
      </c>
    </row>
    <row r="64" customFormat="false" ht="15" hidden="false" customHeight="false" outlineLevel="0" collapsed="false">
      <c r="A64" s="8" t="s">
        <v>68</v>
      </c>
      <c r="B64" s="8" t="s">
        <v>25</v>
      </c>
      <c r="C64" s="8" t="s">
        <v>1047</v>
      </c>
      <c r="D64" s="8" t="n">
        <v>110636</v>
      </c>
      <c r="E64" s="8" t="s">
        <v>516</v>
      </c>
      <c r="F64" s="8" t="s">
        <v>809</v>
      </c>
      <c r="G64" s="8" t="s">
        <v>961</v>
      </c>
      <c r="H64" s="8" t="s">
        <v>51</v>
      </c>
      <c r="I64" s="8" t="s">
        <v>69</v>
      </c>
      <c r="J64" s="4" t="n">
        <v>299000</v>
      </c>
      <c r="K64" s="4" t="n">
        <v>270000</v>
      </c>
      <c r="L64" s="5" t="n">
        <v>0.1</v>
      </c>
      <c r="M64" s="4" t="n">
        <v>87</v>
      </c>
      <c r="N64" s="4" t="n">
        <v>0</v>
      </c>
      <c r="O64" s="4" t="n">
        <v>12</v>
      </c>
      <c r="P64" s="4" t="n">
        <v>0</v>
      </c>
      <c r="Q64" s="4" t="n">
        <v>0</v>
      </c>
      <c r="R64" s="4" t="n">
        <f aca="false">M64+N64+O64+P64+Q64</f>
        <v>99</v>
      </c>
      <c r="S64" s="4" t="n">
        <v>21</v>
      </c>
      <c r="T64" s="4" t="n">
        <f aca="false">R64*K64</f>
        <v>26730000</v>
      </c>
      <c r="U64" s="9" t="n">
        <f aca="false">IFERROR(M64/S64,0)</f>
        <v>4.14285714285714</v>
      </c>
      <c r="V64" s="5" t="n">
        <v>0.2222</v>
      </c>
    </row>
    <row r="65" customFormat="false" ht="15" hidden="false" customHeight="false" outlineLevel="0" collapsed="false">
      <c r="A65" s="8" t="s">
        <v>68</v>
      </c>
      <c r="B65" s="8" t="s">
        <v>25</v>
      </c>
      <c r="C65" s="8" t="s">
        <v>1047</v>
      </c>
      <c r="D65" s="8" t="n">
        <v>110639</v>
      </c>
      <c r="E65" s="8" t="s">
        <v>518</v>
      </c>
      <c r="F65" s="8" t="s">
        <v>809</v>
      </c>
      <c r="G65" s="8" t="s">
        <v>961</v>
      </c>
      <c r="H65" s="8" t="s">
        <v>51</v>
      </c>
      <c r="I65" s="8" t="s">
        <v>69</v>
      </c>
      <c r="J65" s="4" t="n">
        <v>149000</v>
      </c>
      <c r="K65" s="4" t="n">
        <v>135000</v>
      </c>
      <c r="L65" s="5" t="n">
        <v>0.1</v>
      </c>
      <c r="M65" s="4" t="n">
        <v>98</v>
      </c>
      <c r="N65" s="4" t="n">
        <v>0</v>
      </c>
      <c r="O65" s="4" t="n">
        <v>0</v>
      </c>
      <c r="P65" s="4" t="n">
        <v>0</v>
      </c>
      <c r="Q65" s="4" t="n">
        <v>0</v>
      </c>
      <c r="R65" s="4" t="n">
        <f aca="false">M65+N65+O65+P65+Q65</f>
        <v>98</v>
      </c>
      <c r="S65" s="4" t="n">
        <v>23</v>
      </c>
      <c r="T65" s="4" t="n">
        <f aca="false">R65*K65</f>
        <v>13230000</v>
      </c>
      <c r="U65" s="9" t="n">
        <f aca="false">IFERROR(M65/S65,0)</f>
        <v>4.26086956521739</v>
      </c>
      <c r="V65" s="5" t="n">
        <v>0.2222</v>
      </c>
    </row>
    <row r="66" customFormat="false" ht="15" hidden="false" customHeight="false" outlineLevel="0" collapsed="false">
      <c r="A66" s="8" t="s">
        <v>68</v>
      </c>
      <c r="B66" s="8" t="s">
        <v>20</v>
      </c>
      <c r="C66" s="8" t="s">
        <v>1046</v>
      </c>
      <c r="D66" s="8" t="n">
        <v>102225</v>
      </c>
      <c r="E66" s="8" t="s">
        <v>548</v>
      </c>
      <c r="F66" s="8" t="s">
        <v>809</v>
      </c>
      <c r="G66" s="8" t="s">
        <v>961</v>
      </c>
      <c r="H66" s="8" t="s">
        <v>51</v>
      </c>
      <c r="I66" s="8" t="s">
        <v>69</v>
      </c>
      <c r="J66" s="4" t="n">
        <v>279000</v>
      </c>
      <c r="K66" s="4" t="n">
        <v>252000</v>
      </c>
      <c r="L66" s="5" t="n">
        <v>0.1</v>
      </c>
      <c r="M66" s="4" t="n">
        <v>89</v>
      </c>
      <c r="N66" s="4" t="n">
        <v>0</v>
      </c>
      <c r="O66" s="4" t="n">
        <v>0</v>
      </c>
      <c r="P66" s="4" t="n">
        <v>0</v>
      </c>
      <c r="Q66" s="4" t="n">
        <v>0</v>
      </c>
      <c r="R66" s="4" t="n">
        <f aca="false">M66+N66+O66+P66+Q66</f>
        <v>89</v>
      </c>
      <c r="S66" s="4" t="n">
        <v>14</v>
      </c>
      <c r="T66" s="4" t="n">
        <f aca="false">R66*K66</f>
        <v>22428000</v>
      </c>
      <c r="U66" s="9" t="n">
        <f aca="false">IFERROR(M66/S66,0)</f>
        <v>6.35714285714286</v>
      </c>
      <c r="V66" s="5" t="n">
        <v>0.1865</v>
      </c>
    </row>
    <row r="67" customFormat="false" ht="15" hidden="false" customHeight="false" outlineLevel="0" collapsed="false">
      <c r="A67" s="8" t="s">
        <v>68</v>
      </c>
      <c r="B67" s="8" t="s">
        <v>20</v>
      </c>
      <c r="C67" s="8" t="s">
        <v>1048</v>
      </c>
      <c r="D67" s="8" t="n">
        <v>102436</v>
      </c>
      <c r="E67" s="8" t="s">
        <v>282</v>
      </c>
      <c r="F67" s="8" t="s">
        <v>829</v>
      </c>
      <c r="G67" s="8" t="s">
        <v>961</v>
      </c>
      <c r="H67" s="8" t="s">
        <v>51</v>
      </c>
      <c r="I67" s="8" t="s">
        <v>69</v>
      </c>
      <c r="J67" s="4" t="n">
        <v>155000</v>
      </c>
      <c r="K67" s="4" t="n">
        <v>140000</v>
      </c>
      <c r="L67" s="5" t="n">
        <v>0.1</v>
      </c>
      <c r="M67" s="4" t="n">
        <v>36</v>
      </c>
      <c r="N67" s="4" t="n">
        <v>34</v>
      </c>
      <c r="O67" s="4" t="n">
        <v>15</v>
      </c>
      <c r="P67" s="4" t="n">
        <v>0</v>
      </c>
      <c r="Q67" s="4" t="n">
        <v>0</v>
      </c>
      <c r="R67" s="4" t="n">
        <f aca="false">M67+N67+O67+P67+Q67</f>
        <v>85</v>
      </c>
      <c r="S67" s="4" t="n">
        <v>13</v>
      </c>
      <c r="T67" s="4" t="n">
        <f aca="false">R67*K67</f>
        <v>11900000</v>
      </c>
      <c r="U67" s="9" t="n">
        <f aca="false">IFERROR(M67/S67,0)</f>
        <v>2.76923076923077</v>
      </c>
      <c r="V67" s="5" t="n">
        <v>0.1143</v>
      </c>
    </row>
    <row r="68" customFormat="false" ht="15" hidden="false" customHeight="false" outlineLevel="0" collapsed="false">
      <c r="A68" s="8" t="s">
        <v>68</v>
      </c>
      <c r="B68" s="8" t="s">
        <v>20</v>
      </c>
      <c r="C68" s="8" t="s">
        <v>1046</v>
      </c>
      <c r="D68" s="8" t="n">
        <v>101906</v>
      </c>
      <c r="E68" s="8" t="s">
        <v>544</v>
      </c>
      <c r="F68" s="8" t="s">
        <v>809</v>
      </c>
      <c r="G68" s="8" t="s">
        <v>961</v>
      </c>
      <c r="H68" s="8" t="s">
        <v>51</v>
      </c>
      <c r="I68" s="8" t="s">
        <v>69</v>
      </c>
      <c r="J68" s="4" t="n">
        <v>150000</v>
      </c>
      <c r="K68" s="4" t="n">
        <v>135000</v>
      </c>
      <c r="L68" s="5" t="n">
        <v>0.1</v>
      </c>
      <c r="M68" s="4" t="n">
        <v>77</v>
      </c>
      <c r="N68" s="4" t="n">
        <v>0</v>
      </c>
      <c r="O68" s="4" t="n">
        <v>7</v>
      </c>
      <c r="P68" s="4" t="n">
        <v>0</v>
      </c>
      <c r="Q68" s="4" t="n">
        <v>0</v>
      </c>
      <c r="R68" s="4" t="n">
        <f aca="false">M68+N68+O68+P68+Q68</f>
        <v>84</v>
      </c>
      <c r="S68" s="4" t="n">
        <v>23</v>
      </c>
      <c r="T68" s="4" t="n">
        <f aca="false">R68*K68</f>
        <v>11340000</v>
      </c>
      <c r="U68" s="9" t="n">
        <f aca="false">IFERROR(M68/S68,0)</f>
        <v>3.34782608695652</v>
      </c>
      <c r="V68" s="5" t="n">
        <v>0.0741</v>
      </c>
    </row>
    <row r="69" customFormat="false" ht="15" hidden="false" customHeight="false" outlineLevel="0" collapsed="false">
      <c r="A69" s="8" t="s">
        <v>68</v>
      </c>
      <c r="B69" s="8" t="s">
        <v>20</v>
      </c>
      <c r="C69" s="8" t="s">
        <v>1046</v>
      </c>
      <c r="D69" s="8" t="n">
        <v>102172</v>
      </c>
      <c r="E69" s="8" t="s">
        <v>553</v>
      </c>
      <c r="F69" s="8" t="s">
        <v>770</v>
      </c>
      <c r="G69" s="8" t="s">
        <v>961</v>
      </c>
      <c r="H69" s="8" t="s">
        <v>51</v>
      </c>
      <c r="I69" s="8" t="s">
        <v>69</v>
      </c>
      <c r="J69" s="4" t="n">
        <v>199000</v>
      </c>
      <c r="K69" s="4" t="n">
        <v>180000</v>
      </c>
      <c r="L69" s="5" t="n">
        <v>0.1</v>
      </c>
      <c r="M69" s="4" t="n">
        <v>76</v>
      </c>
      <c r="N69" s="4" t="n">
        <v>0</v>
      </c>
      <c r="O69" s="4" t="n">
        <v>0</v>
      </c>
      <c r="P69" s="4" t="n">
        <v>6</v>
      </c>
      <c r="Q69" s="4" t="n">
        <v>0</v>
      </c>
      <c r="R69" s="4" t="n">
        <f aca="false">M69+N69+O69+P69+Q69</f>
        <v>82</v>
      </c>
      <c r="S69" s="4" t="n">
        <v>18</v>
      </c>
      <c r="T69" s="4" t="n">
        <f aca="false">R69*K69</f>
        <v>14760000</v>
      </c>
      <c r="U69" s="9" t="n">
        <f aca="false">IFERROR(M69/S69,0)</f>
        <v>4.22222222222222</v>
      </c>
      <c r="V69" s="5" t="n">
        <v>0.2278</v>
      </c>
    </row>
    <row r="70" customFormat="false" ht="15" hidden="false" customHeight="false" outlineLevel="0" collapsed="false">
      <c r="A70" s="8" t="s">
        <v>68</v>
      </c>
      <c r="B70" s="8" t="s">
        <v>20</v>
      </c>
      <c r="C70" s="8" t="s">
        <v>1046</v>
      </c>
      <c r="D70" s="8" t="n">
        <v>102173</v>
      </c>
      <c r="E70" s="8" t="s">
        <v>551</v>
      </c>
      <c r="F70" s="8" t="s">
        <v>809</v>
      </c>
      <c r="G70" s="8" t="s">
        <v>961</v>
      </c>
      <c r="H70" s="8" t="s">
        <v>51</v>
      </c>
      <c r="I70" s="8" t="s">
        <v>69</v>
      </c>
      <c r="J70" s="4" t="n">
        <v>199000</v>
      </c>
      <c r="K70" s="4" t="n">
        <v>180000</v>
      </c>
      <c r="L70" s="5" t="n">
        <v>0.1</v>
      </c>
      <c r="M70" s="4" t="n">
        <v>78</v>
      </c>
      <c r="N70" s="4" t="n">
        <v>0</v>
      </c>
      <c r="O70" s="4" t="n">
        <v>0</v>
      </c>
      <c r="P70" s="4" t="n">
        <v>1</v>
      </c>
      <c r="Q70" s="4" t="n">
        <v>0</v>
      </c>
      <c r="R70" s="4" t="n">
        <f aca="false">M70+N70+O70+P70+Q70</f>
        <v>79</v>
      </c>
      <c r="S70" s="4" t="n">
        <v>15</v>
      </c>
      <c r="T70" s="4" t="n">
        <f aca="false">R70*K70</f>
        <v>14220000</v>
      </c>
      <c r="U70" s="9" t="n">
        <f aca="false">IFERROR(M70/S70,0)</f>
        <v>5.2</v>
      </c>
      <c r="V70" s="5" t="n">
        <v>0.2278</v>
      </c>
    </row>
    <row r="71" customFormat="false" ht="15" hidden="false" customHeight="false" outlineLevel="0" collapsed="false">
      <c r="A71" s="8" t="s">
        <v>68</v>
      </c>
      <c r="B71" s="8" t="s">
        <v>20</v>
      </c>
      <c r="C71" s="8" t="s">
        <v>1048</v>
      </c>
      <c r="D71" s="8" t="n">
        <v>102437</v>
      </c>
      <c r="E71" s="8" t="s">
        <v>565</v>
      </c>
      <c r="F71" s="8" t="s">
        <v>829</v>
      </c>
      <c r="G71" s="8" t="s">
        <v>961</v>
      </c>
      <c r="H71" s="8" t="s">
        <v>51</v>
      </c>
      <c r="I71" s="8" t="s">
        <v>69</v>
      </c>
      <c r="J71" s="4" t="n">
        <v>155000</v>
      </c>
      <c r="K71" s="4" t="n">
        <v>140000</v>
      </c>
      <c r="L71" s="5" t="n">
        <v>0.1</v>
      </c>
      <c r="M71" s="4" t="n">
        <v>56</v>
      </c>
      <c r="N71" s="4" t="n">
        <v>0</v>
      </c>
      <c r="O71" s="4" t="n">
        <v>15</v>
      </c>
      <c r="P71" s="4" t="n">
        <v>0</v>
      </c>
      <c r="Q71" s="4" t="n">
        <v>0</v>
      </c>
      <c r="R71" s="4" t="n">
        <f aca="false">M71+N71+O71+P71+Q71</f>
        <v>71</v>
      </c>
      <c r="S71" s="4" t="n">
        <v>13</v>
      </c>
      <c r="T71" s="4" t="n">
        <f aca="false">R71*K71</f>
        <v>9940000</v>
      </c>
      <c r="U71" s="9" t="n">
        <f aca="false">IFERROR(M71/S71,0)</f>
        <v>4.30769230769231</v>
      </c>
      <c r="V71" s="5" t="n">
        <v>0.1143</v>
      </c>
    </row>
    <row r="72" customFormat="false" ht="15" hidden="false" customHeight="false" outlineLevel="0" collapsed="false">
      <c r="A72" s="8" t="s">
        <v>68</v>
      </c>
      <c r="B72" s="8" t="s">
        <v>25</v>
      </c>
      <c r="C72" s="8" t="s">
        <v>1047</v>
      </c>
      <c r="D72" s="8" t="n">
        <v>110809</v>
      </c>
      <c r="E72" s="8" t="s">
        <v>526</v>
      </c>
      <c r="F72" s="8" t="s">
        <v>809</v>
      </c>
      <c r="G72" s="8" t="s">
        <v>961</v>
      </c>
      <c r="H72" s="8" t="s">
        <v>51</v>
      </c>
      <c r="I72" s="8" t="s">
        <v>69</v>
      </c>
      <c r="J72" s="4" t="n">
        <v>210000</v>
      </c>
      <c r="K72" s="4" t="n">
        <v>189000</v>
      </c>
      <c r="L72" s="5" t="n">
        <v>0.1</v>
      </c>
      <c r="M72" s="4" t="n">
        <v>64</v>
      </c>
      <c r="N72" s="4" t="n">
        <v>0</v>
      </c>
      <c r="O72" s="4" t="n">
        <v>4</v>
      </c>
      <c r="P72" s="4" t="n">
        <v>0</v>
      </c>
      <c r="Q72" s="4" t="n">
        <v>0</v>
      </c>
      <c r="R72" s="4" t="n">
        <f aca="false">M72+N72+O72+P72+Q72</f>
        <v>68</v>
      </c>
      <c r="S72" s="4" t="n">
        <v>19</v>
      </c>
      <c r="T72" s="4" t="n">
        <f aca="false">R72*K72</f>
        <v>12852000</v>
      </c>
      <c r="U72" s="9" t="n">
        <f aca="false">IFERROR(M72/S72,0)</f>
        <v>3.36842105263158</v>
      </c>
      <c r="V72" s="5" t="n">
        <v>0.4339</v>
      </c>
    </row>
    <row r="73" customFormat="false" ht="15" hidden="false" customHeight="false" outlineLevel="0" collapsed="false">
      <c r="A73" s="8" t="s">
        <v>68</v>
      </c>
      <c r="B73" s="8" t="s">
        <v>20</v>
      </c>
      <c r="C73" s="8" t="s">
        <v>1046</v>
      </c>
      <c r="D73" s="8" t="n">
        <v>100160</v>
      </c>
      <c r="E73" s="8" t="s">
        <v>545</v>
      </c>
      <c r="F73" s="8" t="s">
        <v>809</v>
      </c>
      <c r="G73" s="8" t="s">
        <v>961</v>
      </c>
      <c r="H73" s="8" t="s">
        <v>51</v>
      </c>
      <c r="I73" s="8" t="s">
        <v>69</v>
      </c>
      <c r="J73" s="4" t="n">
        <v>150000</v>
      </c>
      <c r="K73" s="4" t="n">
        <v>135000</v>
      </c>
      <c r="L73" s="5" t="n">
        <v>0.1</v>
      </c>
      <c r="M73" s="4" t="n">
        <v>61</v>
      </c>
      <c r="N73" s="4" t="n">
        <v>0</v>
      </c>
      <c r="O73" s="4" t="n">
        <v>6</v>
      </c>
      <c r="P73" s="4" t="n">
        <v>0</v>
      </c>
      <c r="Q73" s="4" t="n">
        <v>0</v>
      </c>
      <c r="R73" s="4" t="n">
        <f aca="false">M73+N73+O73+P73+Q73</f>
        <v>67</v>
      </c>
      <c r="S73" s="4" t="n">
        <v>21</v>
      </c>
      <c r="T73" s="4" t="n">
        <f aca="false">R73*K73</f>
        <v>9045000</v>
      </c>
      <c r="U73" s="9" t="n">
        <f aca="false">IFERROR(M73/S73,0)</f>
        <v>2.9047619047619</v>
      </c>
      <c r="V73" s="5" t="n">
        <v>0.0741</v>
      </c>
    </row>
    <row r="74" customFormat="false" ht="15" hidden="false" customHeight="false" outlineLevel="0" collapsed="false">
      <c r="A74" s="8" t="s">
        <v>68</v>
      </c>
      <c r="B74" s="8" t="s">
        <v>20</v>
      </c>
      <c r="C74" s="8" t="s">
        <v>1046</v>
      </c>
      <c r="D74" s="8" t="n">
        <v>231052</v>
      </c>
      <c r="E74" s="8" t="s">
        <v>550</v>
      </c>
      <c r="F74" s="8" t="s">
        <v>809</v>
      </c>
      <c r="G74" s="8" t="s">
        <v>961</v>
      </c>
      <c r="H74" s="8" t="s">
        <v>51</v>
      </c>
      <c r="I74" s="8" t="s">
        <v>69</v>
      </c>
      <c r="J74" s="4" t="n">
        <v>279000</v>
      </c>
      <c r="K74" s="4" t="n">
        <v>252000</v>
      </c>
      <c r="L74" s="5" t="n">
        <v>0.1</v>
      </c>
      <c r="M74" s="4" t="n">
        <v>57</v>
      </c>
      <c r="N74" s="4" t="n">
        <v>0</v>
      </c>
      <c r="O74" s="4" t="n">
        <v>0</v>
      </c>
      <c r="P74" s="4" t="n">
        <v>0</v>
      </c>
      <c r="Q74" s="4" t="n">
        <v>0</v>
      </c>
      <c r="R74" s="4" t="n">
        <f aca="false">M74+N74+O74+P74+Q74</f>
        <v>57</v>
      </c>
      <c r="S74" s="4" t="n">
        <v>12</v>
      </c>
      <c r="T74" s="4" t="n">
        <f aca="false">R74*K74</f>
        <v>14364000</v>
      </c>
      <c r="U74" s="9" t="n">
        <f aca="false">IFERROR(M74/S74,0)</f>
        <v>4.75</v>
      </c>
      <c r="V74" s="5" t="n">
        <v>0.1865</v>
      </c>
    </row>
    <row r="75" customFormat="false" ht="15" hidden="false" customHeight="false" outlineLevel="0" collapsed="false">
      <c r="A75" s="8" t="s">
        <v>68</v>
      </c>
      <c r="B75" s="8" t="s">
        <v>20</v>
      </c>
      <c r="C75" s="8" t="s">
        <v>1046</v>
      </c>
      <c r="D75" s="8" t="n">
        <v>231051</v>
      </c>
      <c r="E75" s="8" t="s">
        <v>549</v>
      </c>
      <c r="F75" s="8" t="s">
        <v>809</v>
      </c>
      <c r="G75" s="8" t="s">
        <v>961</v>
      </c>
      <c r="H75" s="8" t="s">
        <v>51</v>
      </c>
      <c r="I75" s="8" t="s">
        <v>69</v>
      </c>
      <c r="J75" s="4" t="n">
        <v>279000</v>
      </c>
      <c r="K75" s="4" t="n">
        <v>252000</v>
      </c>
      <c r="L75" s="5" t="n">
        <v>0.1</v>
      </c>
      <c r="M75" s="4" t="n">
        <v>55</v>
      </c>
      <c r="N75" s="4" t="n">
        <v>0</v>
      </c>
      <c r="O75" s="4" t="n">
        <v>0</v>
      </c>
      <c r="P75" s="4" t="n">
        <v>0</v>
      </c>
      <c r="Q75" s="4" t="n">
        <v>0</v>
      </c>
      <c r="R75" s="4" t="n">
        <f aca="false">M75+N75+O75+P75+Q75</f>
        <v>55</v>
      </c>
      <c r="S75" s="4" t="n">
        <v>14</v>
      </c>
      <c r="T75" s="4" t="n">
        <f aca="false">R75*K75</f>
        <v>13860000</v>
      </c>
      <c r="U75" s="9" t="n">
        <f aca="false">IFERROR(M75/S75,0)</f>
        <v>3.92857142857143</v>
      </c>
      <c r="V75" s="5" t="n">
        <v>0.1865</v>
      </c>
    </row>
    <row r="76" customFormat="false" ht="15" hidden="false" customHeight="false" outlineLevel="0" collapsed="false">
      <c r="A76" s="8" t="s">
        <v>68</v>
      </c>
      <c r="B76" s="8" t="s">
        <v>25</v>
      </c>
      <c r="C76" s="8" t="s">
        <v>1047</v>
      </c>
      <c r="D76" s="8" t="n">
        <v>110810</v>
      </c>
      <c r="E76" s="8" t="s">
        <v>527</v>
      </c>
      <c r="F76" s="8" t="s">
        <v>809</v>
      </c>
      <c r="G76" s="8" t="s">
        <v>961</v>
      </c>
      <c r="H76" s="8" t="s">
        <v>51</v>
      </c>
      <c r="I76" s="8" t="s">
        <v>69</v>
      </c>
      <c r="J76" s="4" t="n">
        <v>210000</v>
      </c>
      <c r="K76" s="4" t="n">
        <v>189000</v>
      </c>
      <c r="L76" s="5" t="n">
        <v>0.1</v>
      </c>
      <c r="M76" s="4" t="n">
        <v>54</v>
      </c>
      <c r="N76" s="4" t="n">
        <v>0</v>
      </c>
      <c r="O76" s="4" t="n">
        <v>0</v>
      </c>
      <c r="P76" s="4" t="n">
        <v>0</v>
      </c>
      <c r="Q76" s="4" t="n">
        <v>0</v>
      </c>
      <c r="R76" s="4" t="n">
        <f aca="false">M76+N76+O76+P76+Q76</f>
        <v>54</v>
      </c>
      <c r="S76" s="4" t="n">
        <v>19</v>
      </c>
      <c r="T76" s="4" t="n">
        <f aca="false">R76*K76</f>
        <v>10206000</v>
      </c>
      <c r="U76" s="9" t="n">
        <f aca="false">IFERROR(M76/S76,0)</f>
        <v>2.84210526315789</v>
      </c>
      <c r="V76" s="5" t="n">
        <v>0.4339</v>
      </c>
    </row>
    <row r="77" customFormat="false" ht="15" hidden="false" customHeight="false" outlineLevel="0" collapsed="false">
      <c r="A77" s="8" t="s">
        <v>68</v>
      </c>
      <c r="B77" s="8" t="s">
        <v>20</v>
      </c>
      <c r="C77" s="8" t="s">
        <v>1046</v>
      </c>
      <c r="D77" s="8" t="n">
        <v>102170</v>
      </c>
      <c r="E77" s="8" t="s">
        <v>554</v>
      </c>
      <c r="F77" s="8" t="s">
        <v>770</v>
      </c>
      <c r="G77" s="8" t="s">
        <v>961</v>
      </c>
      <c r="H77" s="8" t="s">
        <v>51</v>
      </c>
      <c r="I77" s="8" t="s">
        <v>69</v>
      </c>
      <c r="J77" s="4" t="n">
        <v>199000</v>
      </c>
      <c r="K77" s="4" t="n">
        <v>180000</v>
      </c>
      <c r="L77" s="5" t="n">
        <v>0.1</v>
      </c>
      <c r="M77" s="4" t="n">
        <v>48</v>
      </c>
      <c r="N77" s="4" t="n">
        <v>0</v>
      </c>
      <c r="O77" s="4" t="n">
        <v>0</v>
      </c>
      <c r="P77" s="4" t="n">
        <v>3</v>
      </c>
      <c r="Q77" s="4" t="n">
        <v>0</v>
      </c>
      <c r="R77" s="4" t="n">
        <f aca="false">M77+N77+O77+P77+Q77</f>
        <v>51</v>
      </c>
      <c r="S77" s="4" t="n">
        <v>14</v>
      </c>
      <c r="T77" s="4" t="n">
        <f aca="false">R77*K77</f>
        <v>9180000</v>
      </c>
      <c r="U77" s="9" t="n">
        <f aca="false">IFERROR(M77/S77,0)</f>
        <v>3.42857142857143</v>
      </c>
      <c r="V77" s="5" t="n">
        <v>0.2278</v>
      </c>
    </row>
    <row r="78" customFormat="false" ht="15" hidden="false" customHeight="false" outlineLevel="0" collapsed="false">
      <c r="A78" s="8" t="s">
        <v>68</v>
      </c>
      <c r="B78" s="8" t="s">
        <v>20</v>
      </c>
      <c r="C78" s="8" t="s">
        <v>1048</v>
      </c>
      <c r="D78" s="8" t="n">
        <v>230849</v>
      </c>
      <c r="E78" s="8" t="s">
        <v>1049</v>
      </c>
      <c r="F78" s="8" t="s">
        <v>809</v>
      </c>
      <c r="G78" s="8" t="s">
        <v>961</v>
      </c>
      <c r="H78" s="8" t="s">
        <v>51</v>
      </c>
      <c r="I78" s="8" t="s">
        <v>69</v>
      </c>
      <c r="J78" s="4" t="n">
        <v>125000</v>
      </c>
      <c r="K78" s="4" t="n">
        <v>113000</v>
      </c>
      <c r="L78" s="5" t="n">
        <v>0.1</v>
      </c>
      <c r="M78" s="4" t="n">
        <v>49</v>
      </c>
      <c r="N78" s="4" t="n">
        <v>0</v>
      </c>
      <c r="O78" s="4" t="n">
        <v>0</v>
      </c>
      <c r="P78" s="4" t="n">
        <v>0</v>
      </c>
      <c r="Q78" s="4" t="n">
        <v>0</v>
      </c>
      <c r="R78" s="4" t="n">
        <f aca="false">M78+N78+O78+P78+Q78</f>
        <v>49</v>
      </c>
      <c r="S78" s="4" t="n">
        <v>16</v>
      </c>
      <c r="T78" s="4" t="n">
        <f aca="false">R78*K78</f>
        <v>5537000</v>
      </c>
      <c r="U78" s="9" t="n">
        <f aca="false">IFERROR(M78/S78,0)</f>
        <v>3.0625</v>
      </c>
      <c r="V78" s="5" t="n">
        <v>0.1593</v>
      </c>
    </row>
    <row r="79" customFormat="false" ht="15" hidden="false" customHeight="false" outlineLevel="0" collapsed="false">
      <c r="A79" s="8" t="s">
        <v>68</v>
      </c>
      <c r="B79" s="8" t="s">
        <v>20</v>
      </c>
      <c r="C79" s="8" t="s">
        <v>1046</v>
      </c>
      <c r="D79" s="8" t="n">
        <v>102160</v>
      </c>
      <c r="E79" s="8" t="s">
        <v>1050</v>
      </c>
      <c r="F79" s="8" t="s">
        <v>794</v>
      </c>
      <c r="G79" s="8" t="s">
        <v>961</v>
      </c>
      <c r="H79" s="8" t="s">
        <v>51</v>
      </c>
      <c r="I79" s="8" t="s">
        <v>69</v>
      </c>
      <c r="J79" s="4" t="n">
        <v>225000</v>
      </c>
      <c r="K79" s="4" t="n">
        <v>203000</v>
      </c>
      <c r="L79" s="5" t="n">
        <v>0.1</v>
      </c>
      <c r="M79" s="4" t="n">
        <v>43</v>
      </c>
      <c r="N79" s="4" t="n">
        <v>0</v>
      </c>
      <c r="O79" s="4" t="n">
        <v>0</v>
      </c>
      <c r="P79" s="4" t="n">
        <v>0</v>
      </c>
      <c r="Q79" s="4" t="n">
        <v>0</v>
      </c>
      <c r="R79" s="4" t="n">
        <f aca="false">M79+N79+O79+P79+Q79</f>
        <v>43</v>
      </c>
      <c r="S79" s="4" t="n">
        <v>14</v>
      </c>
      <c r="T79" s="4" t="n">
        <f aca="false">R79*K79</f>
        <v>8729000</v>
      </c>
      <c r="U79" s="9" t="n">
        <f aca="false">IFERROR(M79/S79,0)</f>
        <v>3.07142857142857</v>
      </c>
      <c r="V79" s="5" t="n">
        <v>0.064</v>
      </c>
    </row>
    <row r="80" customFormat="false" ht="15" hidden="false" customHeight="false" outlineLevel="0" collapsed="false">
      <c r="A80" s="8" t="s">
        <v>68</v>
      </c>
      <c r="B80" s="8" t="s">
        <v>20</v>
      </c>
      <c r="C80" s="8" t="s">
        <v>1046</v>
      </c>
      <c r="D80" s="8" t="n">
        <v>102226</v>
      </c>
      <c r="E80" s="8" t="s">
        <v>1051</v>
      </c>
      <c r="F80" s="8" t="s">
        <v>809</v>
      </c>
      <c r="G80" s="8" t="s">
        <v>961</v>
      </c>
      <c r="H80" s="8" t="s">
        <v>51</v>
      </c>
      <c r="I80" s="8" t="s">
        <v>69</v>
      </c>
      <c r="J80" s="4" t="n">
        <v>279000</v>
      </c>
      <c r="K80" s="4" t="n">
        <v>252000</v>
      </c>
      <c r="L80" s="5" t="n">
        <v>0.1</v>
      </c>
      <c r="M80" s="4" t="n">
        <v>40</v>
      </c>
      <c r="N80" s="4" t="n">
        <v>0</v>
      </c>
      <c r="O80" s="4" t="n">
        <v>0</v>
      </c>
      <c r="P80" s="4" t="n">
        <v>0</v>
      </c>
      <c r="Q80" s="4" t="n">
        <v>0</v>
      </c>
      <c r="R80" s="4" t="n">
        <f aca="false">M80+N80+O80+P80+Q80</f>
        <v>40</v>
      </c>
      <c r="S80" s="4" t="n">
        <v>7</v>
      </c>
      <c r="T80" s="4" t="n">
        <f aca="false">R80*K80</f>
        <v>10080000</v>
      </c>
      <c r="U80" s="9" t="n">
        <f aca="false">IFERROR(M80/S80,0)</f>
        <v>5.71428571428571</v>
      </c>
      <c r="V80" s="5" t="n">
        <v>0.1865</v>
      </c>
    </row>
    <row r="81" customFormat="false" ht="15" hidden="false" customHeight="false" outlineLevel="0" collapsed="false">
      <c r="A81" s="8" t="s">
        <v>68</v>
      </c>
      <c r="B81" s="8" t="s">
        <v>20</v>
      </c>
      <c r="C81" s="8" t="s">
        <v>1052</v>
      </c>
      <c r="D81" s="8" t="n">
        <v>100221</v>
      </c>
      <c r="E81" s="8" t="s">
        <v>1053</v>
      </c>
      <c r="F81" s="8" t="s">
        <v>809</v>
      </c>
      <c r="G81" s="8" t="s">
        <v>961</v>
      </c>
      <c r="H81" s="8" t="s">
        <v>51</v>
      </c>
      <c r="I81" s="8" t="s">
        <v>69</v>
      </c>
      <c r="J81" s="4" t="n">
        <v>70000</v>
      </c>
      <c r="K81" s="4" t="n">
        <v>63000</v>
      </c>
      <c r="L81" s="5" t="n">
        <v>0.1</v>
      </c>
      <c r="M81" s="4" t="n">
        <v>35</v>
      </c>
      <c r="N81" s="4" t="n">
        <v>0</v>
      </c>
      <c r="O81" s="4" t="n">
        <v>0</v>
      </c>
      <c r="P81" s="4" t="n">
        <v>0</v>
      </c>
      <c r="Q81" s="4" t="n">
        <v>0</v>
      </c>
      <c r="R81" s="4" t="n">
        <f aca="false">M81+N81+O81+P81+Q81</f>
        <v>35</v>
      </c>
      <c r="S81" s="4" t="n">
        <v>9</v>
      </c>
      <c r="T81" s="4" t="n">
        <f aca="false">R81*K81</f>
        <v>2205000</v>
      </c>
      <c r="U81" s="9" t="n">
        <f aca="false">IFERROR(M81/S81,0)</f>
        <v>3.88888888888889</v>
      </c>
      <c r="V81" s="5" t="n">
        <v>0.3016</v>
      </c>
    </row>
    <row r="82" customFormat="false" ht="15" hidden="false" customHeight="false" outlineLevel="0" collapsed="false">
      <c r="A82" s="8" t="s">
        <v>68</v>
      </c>
      <c r="B82" s="8" t="s">
        <v>20</v>
      </c>
      <c r="C82" s="8" t="s">
        <v>1046</v>
      </c>
      <c r="D82" s="8" t="n">
        <v>102224</v>
      </c>
      <c r="E82" s="8" t="s">
        <v>1054</v>
      </c>
      <c r="F82" s="8" t="s">
        <v>809</v>
      </c>
      <c r="G82" s="8" t="s">
        <v>961</v>
      </c>
      <c r="H82" s="8" t="s">
        <v>51</v>
      </c>
      <c r="I82" s="8" t="s">
        <v>69</v>
      </c>
      <c r="J82" s="4" t="n">
        <v>279000</v>
      </c>
      <c r="K82" s="4" t="n">
        <v>252000</v>
      </c>
      <c r="L82" s="5" t="n">
        <v>0.1</v>
      </c>
      <c r="M82" s="4" t="n">
        <v>33</v>
      </c>
      <c r="N82" s="4" t="n">
        <v>0</v>
      </c>
      <c r="O82" s="4" t="n">
        <v>0</v>
      </c>
      <c r="P82" s="4" t="n">
        <v>0</v>
      </c>
      <c r="Q82" s="4" t="n">
        <v>0</v>
      </c>
      <c r="R82" s="4" t="n">
        <f aca="false">M82+N82+O82+P82+Q82</f>
        <v>33</v>
      </c>
      <c r="S82" s="4" t="n">
        <v>8</v>
      </c>
      <c r="T82" s="4" t="n">
        <f aca="false">R82*K82</f>
        <v>8316000</v>
      </c>
      <c r="U82" s="9" t="n">
        <f aca="false">IFERROR(M82/S82,0)</f>
        <v>4.125</v>
      </c>
      <c r="V82" s="5" t="n">
        <v>0.1865</v>
      </c>
    </row>
    <row r="83" customFormat="false" ht="15" hidden="false" customHeight="false" outlineLevel="0" collapsed="false">
      <c r="A83" s="8" t="s">
        <v>68</v>
      </c>
      <c r="B83" s="8" t="s">
        <v>20</v>
      </c>
      <c r="C83" s="8" t="s">
        <v>1046</v>
      </c>
      <c r="D83" s="8" t="n">
        <v>102171</v>
      </c>
      <c r="E83" s="8" t="s">
        <v>1055</v>
      </c>
      <c r="F83" s="8" t="s">
        <v>770</v>
      </c>
      <c r="G83" s="8" t="s">
        <v>961</v>
      </c>
      <c r="H83" s="8" t="s">
        <v>51</v>
      </c>
      <c r="I83" s="8" t="s">
        <v>69</v>
      </c>
      <c r="J83" s="4" t="n">
        <v>199000</v>
      </c>
      <c r="K83" s="4" t="n">
        <v>180000</v>
      </c>
      <c r="L83" s="5" t="n">
        <v>0.1</v>
      </c>
      <c r="M83" s="4" t="n">
        <v>20</v>
      </c>
      <c r="N83" s="4" t="n">
        <v>0</v>
      </c>
      <c r="O83" s="4" t="n">
        <v>0</v>
      </c>
      <c r="P83" s="4" t="n">
        <v>11</v>
      </c>
      <c r="Q83" s="4" t="n">
        <v>0</v>
      </c>
      <c r="R83" s="4" t="n">
        <f aca="false">M83+N83+O83+P83+Q83</f>
        <v>31</v>
      </c>
      <c r="S83" s="4" t="n">
        <v>8</v>
      </c>
      <c r="T83" s="4" t="n">
        <f aca="false">R83*K83</f>
        <v>5580000</v>
      </c>
      <c r="U83" s="9" t="n">
        <f aca="false">IFERROR(M83/S83,0)</f>
        <v>2.5</v>
      </c>
      <c r="V83" s="5" t="n">
        <v>0.2278</v>
      </c>
    </row>
    <row r="84" customFormat="false" ht="15" hidden="false" customHeight="false" outlineLevel="0" collapsed="false">
      <c r="A84" s="8" t="s">
        <v>68</v>
      </c>
      <c r="B84" s="8" t="s">
        <v>20</v>
      </c>
      <c r="C84" s="8" t="s">
        <v>1046</v>
      </c>
      <c r="D84" s="8" t="n">
        <v>102223</v>
      </c>
      <c r="E84" s="8" t="s">
        <v>1056</v>
      </c>
      <c r="F84" s="8" t="s">
        <v>809</v>
      </c>
      <c r="G84" s="8" t="s">
        <v>961</v>
      </c>
      <c r="H84" s="8" t="s">
        <v>51</v>
      </c>
      <c r="I84" s="8" t="s">
        <v>69</v>
      </c>
      <c r="J84" s="4" t="n">
        <v>279000</v>
      </c>
      <c r="K84" s="4" t="n">
        <v>252000</v>
      </c>
      <c r="L84" s="5" t="n">
        <v>0.1</v>
      </c>
      <c r="M84" s="4" t="n">
        <v>28</v>
      </c>
      <c r="N84" s="4" t="n">
        <v>0</v>
      </c>
      <c r="O84" s="4" t="n">
        <v>0</v>
      </c>
      <c r="P84" s="4" t="n">
        <v>0</v>
      </c>
      <c r="Q84" s="4" t="n">
        <v>0</v>
      </c>
      <c r="R84" s="4" t="n">
        <f aca="false">M84+N84+O84+P84+Q84</f>
        <v>28</v>
      </c>
      <c r="S84" s="4" t="n">
        <v>11</v>
      </c>
      <c r="T84" s="4" t="n">
        <f aca="false">R84*K84</f>
        <v>7056000</v>
      </c>
      <c r="U84" s="9" t="n">
        <f aca="false">IFERROR(M84/S84,0)</f>
        <v>2.54545454545455</v>
      </c>
      <c r="V84" s="5" t="n">
        <v>0.1865</v>
      </c>
    </row>
    <row r="85" customFormat="false" ht="15" hidden="false" customHeight="false" outlineLevel="0" collapsed="false">
      <c r="A85" s="8" t="s">
        <v>68</v>
      </c>
      <c r="B85" s="8" t="s">
        <v>20</v>
      </c>
      <c r="C85" s="8" t="s">
        <v>1048</v>
      </c>
      <c r="D85" s="8" t="n">
        <v>102448</v>
      </c>
      <c r="E85" s="8" t="s">
        <v>1057</v>
      </c>
      <c r="F85" s="8" t="s">
        <v>829</v>
      </c>
      <c r="G85" s="8" t="s">
        <v>961</v>
      </c>
      <c r="H85" s="8" t="s">
        <v>51</v>
      </c>
      <c r="I85" s="8" t="s">
        <v>69</v>
      </c>
      <c r="J85" s="4" t="n">
        <v>100000</v>
      </c>
      <c r="K85" s="4" t="n">
        <v>90000</v>
      </c>
      <c r="L85" s="5" t="n">
        <v>0.1</v>
      </c>
      <c r="M85" s="4" t="n">
        <v>21</v>
      </c>
      <c r="N85" s="4" t="n">
        <v>1</v>
      </c>
      <c r="O85" s="4" t="n">
        <v>0</v>
      </c>
      <c r="P85" s="4" t="n">
        <v>0</v>
      </c>
      <c r="Q85" s="4" t="n">
        <v>0</v>
      </c>
      <c r="R85" s="4" t="n">
        <f aca="false">M85+N85+O85+P85+Q85</f>
        <v>22</v>
      </c>
      <c r="S85" s="4" t="n">
        <v>11</v>
      </c>
      <c r="T85" s="4" t="n">
        <f aca="false">R85*K85</f>
        <v>1980000</v>
      </c>
      <c r="U85" s="9" t="n">
        <f aca="false">IFERROR(M85/S85,0)</f>
        <v>1.90909090909091</v>
      </c>
      <c r="V85" s="5" t="n">
        <v>0.1111</v>
      </c>
    </row>
    <row r="86" customFormat="false" ht="15" hidden="false" customHeight="false" outlineLevel="0" collapsed="false">
      <c r="A86" s="8" t="s">
        <v>68</v>
      </c>
      <c r="B86" s="8" t="s">
        <v>20</v>
      </c>
      <c r="C86" s="8" t="s">
        <v>1046</v>
      </c>
      <c r="D86" s="8" t="n">
        <v>102425</v>
      </c>
      <c r="E86" s="8" t="s">
        <v>1058</v>
      </c>
      <c r="F86" s="8" t="s">
        <v>767</v>
      </c>
      <c r="G86" s="8" t="s">
        <v>970</v>
      </c>
      <c r="H86" s="8" t="s">
        <v>51</v>
      </c>
      <c r="I86" s="8" t="s">
        <v>69</v>
      </c>
      <c r="J86" s="4" t="n">
        <v>150000</v>
      </c>
      <c r="K86" s="4" t="n">
        <v>135000</v>
      </c>
      <c r="L86" s="5" t="n">
        <v>0.1</v>
      </c>
      <c r="M86" s="4" t="n">
        <v>22</v>
      </c>
      <c r="N86" s="4" t="n">
        <v>0</v>
      </c>
      <c r="O86" s="4" t="n">
        <v>0</v>
      </c>
      <c r="P86" s="4" t="n">
        <v>0</v>
      </c>
      <c r="Q86" s="4" t="n">
        <v>0</v>
      </c>
      <c r="R86" s="4" t="n">
        <f aca="false">M86+N86+O86+P86+Q86</f>
        <v>22</v>
      </c>
      <c r="S86" s="4" t="n">
        <v>12</v>
      </c>
      <c r="T86" s="4" t="n">
        <f aca="false">R86*K86</f>
        <v>2970000</v>
      </c>
      <c r="U86" s="9" t="n">
        <f aca="false">IFERROR(M86/S86,0)</f>
        <v>1.83333333333333</v>
      </c>
      <c r="V86" s="5" t="n">
        <v>1</v>
      </c>
    </row>
    <row r="87" customFormat="false" ht="15" hidden="false" customHeight="false" outlineLevel="0" collapsed="false">
      <c r="A87" s="8" t="s">
        <v>68</v>
      </c>
      <c r="B87" s="8" t="s">
        <v>25</v>
      </c>
      <c r="C87" s="8" t="s">
        <v>1047</v>
      </c>
      <c r="D87" s="8" t="n">
        <v>110801</v>
      </c>
      <c r="E87" s="8" t="s">
        <v>1059</v>
      </c>
      <c r="F87" s="8" t="s">
        <v>770</v>
      </c>
      <c r="G87" s="8" t="s">
        <v>961</v>
      </c>
      <c r="H87" s="8" t="s">
        <v>51</v>
      </c>
      <c r="I87" s="8" t="s">
        <v>69</v>
      </c>
      <c r="J87" s="4" t="n">
        <v>260000</v>
      </c>
      <c r="K87" s="4" t="n">
        <v>234000</v>
      </c>
      <c r="L87" s="5" t="n">
        <v>0.1</v>
      </c>
      <c r="M87" s="4" t="n">
        <v>21</v>
      </c>
      <c r="N87" s="4" t="n">
        <v>0</v>
      </c>
      <c r="O87" s="4" t="n">
        <v>0</v>
      </c>
      <c r="P87" s="4" t="n">
        <v>0</v>
      </c>
      <c r="Q87" s="4" t="n">
        <v>0</v>
      </c>
      <c r="R87" s="4" t="n">
        <f aca="false">M87+N87+O87+P87+Q87</f>
        <v>21</v>
      </c>
      <c r="S87" s="4" t="n">
        <v>10</v>
      </c>
      <c r="T87" s="4" t="n">
        <f aca="false">R87*K87</f>
        <v>4914000</v>
      </c>
      <c r="U87" s="9" t="n">
        <f aca="false">IFERROR(M87/S87,0)</f>
        <v>2.1</v>
      </c>
      <c r="V87" s="5" t="n">
        <v>0.4915</v>
      </c>
    </row>
    <row r="88" customFormat="false" ht="15" hidden="false" customHeight="false" outlineLevel="0" collapsed="false">
      <c r="A88" s="8" t="s">
        <v>68</v>
      </c>
      <c r="B88" s="8" t="s">
        <v>25</v>
      </c>
      <c r="C88" s="8" t="s">
        <v>1047</v>
      </c>
      <c r="D88" s="8" t="n">
        <v>110806</v>
      </c>
      <c r="E88" s="8" t="s">
        <v>1060</v>
      </c>
      <c r="F88" s="8" t="s">
        <v>770</v>
      </c>
      <c r="G88" s="8" t="s">
        <v>961</v>
      </c>
      <c r="H88" s="8" t="s">
        <v>51</v>
      </c>
      <c r="I88" s="8" t="s">
        <v>69</v>
      </c>
      <c r="J88" s="4" t="n">
        <v>260000</v>
      </c>
      <c r="K88" s="4" t="n">
        <v>234000</v>
      </c>
      <c r="L88" s="5" t="n">
        <v>0.1</v>
      </c>
      <c r="M88" s="4" t="n">
        <v>19</v>
      </c>
      <c r="N88" s="4" t="n">
        <v>0</v>
      </c>
      <c r="O88" s="4" t="n">
        <v>0</v>
      </c>
      <c r="P88" s="4" t="n">
        <v>0</v>
      </c>
      <c r="Q88" s="4" t="n">
        <v>0</v>
      </c>
      <c r="R88" s="4" t="n">
        <f aca="false">M88+N88+O88+P88+Q88</f>
        <v>19</v>
      </c>
      <c r="S88" s="4" t="n">
        <v>6</v>
      </c>
      <c r="T88" s="4" t="n">
        <f aca="false">R88*K88</f>
        <v>4446000</v>
      </c>
      <c r="U88" s="9" t="n">
        <f aca="false">IFERROR(M88/S88,0)</f>
        <v>3.16666666666667</v>
      </c>
      <c r="V88" s="5" t="n">
        <v>0.4915</v>
      </c>
    </row>
    <row r="89" customFormat="false" ht="15" hidden="false" customHeight="false" outlineLevel="0" collapsed="false">
      <c r="A89" s="8" t="s">
        <v>68</v>
      </c>
      <c r="B89" s="8" t="s">
        <v>20</v>
      </c>
      <c r="C89" s="8" t="s">
        <v>1046</v>
      </c>
      <c r="D89" s="8" t="n">
        <v>102161</v>
      </c>
      <c r="E89" s="8" t="s">
        <v>1061</v>
      </c>
      <c r="F89" s="8" t="s">
        <v>794</v>
      </c>
      <c r="G89" s="8" t="s">
        <v>961</v>
      </c>
      <c r="H89" s="8" t="s">
        <v>51</v>
      </c>
      <c r="I89" s="8" t="s">
        <v>69</v>
      </c>
      <c r="J89" s="4" t="n">
        <v>225000</v>
      </c>
      <c r="K89" s="4" t="n">
        <v>203000</v>
      </c>
      <c r="L89" s="5" t="n">
        <v>0.1</v>
      </c>
      <c r="M89" s="4" t="n">
        <v>19</v>
      </c>
      <c r="N89" s="4" t="n">
        <v>0</v>
      </c>
      <c r="O89" s="4" t="n">
        <v>0</v>
      </c>
      <c r="P89" s="4" t="n">
        <v>0</v>
      </c>
      <c r="Q89" s="4" t="n">
        <v>0</v>
      </c>
      <c r="R89" s="4" t="n">
        <f aca="false">M89+N89+O89+P89+Q89</f>
        <v>19</v>
      </c>
      <c r="S89" s="4" t="n">
        <v>6</v>
      </c>
      <c r="T89" s="4" t="n">
        <f aca="false">R89*K89</f>
        <v>3857000</v>
      </c>
      <c r="U89" s="9" t="n">
        <f aca="false">IFERROR(M89/S89,0)</f>
        <v>3.16666666666667</v>
      </c>
      <c r="V89" s="5" t="n">
        <v>0.064</v>
      </c>
    </row>
    <row r="90" customFormat="false" ht="15" hidden="false" customHeight="false" outlineLevel="0" collapsed="false">
      <c r="A90" s="8" t="s">
        <v>68</v>
      </c>
      <c r="B90" s="8" t="s">
        <v>20</v>
      </c>
      <c r="C90" s="8" t="s">
        <v>1046</v>
      </c>
      <c r="D90" s="8" t="n">
        <v>102423</v>
      </c>
      <c r="E90" s="8" t="s">
        <v>1062</v>
      </c>
      <c r="F90" s="8" t="s">
        <v>767</v>
      </c>
      <c r="G90" s="8" t="s">
        <v>970</v>
      </c>
      <c r="H90" s="8" t="s">
        <v>51</v>
      </c>
      <c r="I90" s="8" t="s">
        <v>69</v>
      </c>
      <c r="J90" s="4" t="n">
        <v>150000</v>
      </c>
      <c r="K90" s="4" t="n">
        <v>135000</v>
      </c>
      <c r="L90" s="5" t="n">
        <v>0.1</v>
      </c>
      <c r="M90" s="4" t="n">
        <v>18</v>
      </c>
      <c r="N90" s="4" t="n">
        <v>0</v>
      </c>
      <c r="O90" s="4" t="n">
        <v>0</v>
      </c>
      <c r="P90" s="4" t="n">
        <v>0</v>
      </c>
      <c r="Q90" s="4" t="n">
        <v>0</v>
      </c>
      <c r="R90" s="4" t="n">
        <f aca="false">M90+N90+O90+P90+Q90</f>
        <v>18</v>
      </c>
      <c r="S90" s="4" t="n">
        <v>10</v>
      </c>
      <c r="T90" s="4" t="n">
        <f aca="false">R90*K90</f>
        <v>2430000</v>
      </c>
      <c r="U90" s="9" t="n">
        <f aca="false">IFERROR(M90/S90,0)</f>
        <v>1.8</v>
      </c>
      <c r="V90" s="5" t="n">
        <v>1</v>
      </c>
    </row>
    <row r="91" customFormat="false" ht="15" hidden="false" customHeight="false" outlineLevel="0" collapsed="false">
      <c r="A91" s="8" t="s">
        <v>68</v>
      </c>
      <c r="B91" s="8" t="s">
        <v>20</v>
      </c>
      <c r="C91" s="8" t="s">
        <v>1046</v>
      </c>
      <c r="D91" s="8" t="n">
        <v>102424</v>
      </c>
      <c r="E91" s="8" t="s">
        <v>1063</v>
      </c>
      <c r="F91" s="8" t="s">
        <v>767</v>
      </c>
      <c r="G91" s="8" t="s">
        <v>970</v>
      </c>
      <c r="H91" s="8" t="s">
        <v>51</v>
      </c>
      <c r="I91" s="8" t="s">
        <v>69</v>
      </c>
      <c r="J91" s="4" t="n">
        <v>150000</v>
      </c>
      <c r="K91" s="4" t="n">
        <v>135000</v>
      </c>
      <c r="L91" s="5" t="n">
        <v>0.1</v>
      </c>
      <c r="M91" s="4" t="n">
        <v>18</v>
      </c>
      <c r="N91" s="4" t="n">
        <v>0</v>
      </c>
      <c r="O91" s="4" t="n">
        <v>0</v>
      </c>
      <c r="P91" s="4" t="n">
        <v>0</v>
      </c>
      <c r="Q91" s="4" t="n">
        <v>0</v>
      </c>
      <c r="R91" s="4" t="n">
        <f aca="false">M91+N91+O91+P91+Q91</f>
        <v>18</v>
      </c>
      <c r="S91" s="4" t="n">
        <v>9</v>
      </c>
      <c r="T91" s="4" t="n">
        <f aca="false">R91*K91</f>
        <v>2430000</v>
      </c>
      <c r="U91" s="9" t="n">
        <f aca="false">IFERROR(M91/S91,0)</f>
        <v>2</v>
      </c>
      <c r="V91" s="5" t="n">
        <v>1</v>
      </c>
    </row>
    <row r="92" customFormat="false" ht="15" hidden="false" customHeight="false" outlineLevel="0" collapsed="false">
      <c r="A92" s="8" t="s">
        <v>68</v>
      </c>
      <c r="B92" s="8" t="s">
        <v>20</v>
      </c>
      <c r="C92" s="8" t="s">
        <v>1046</v>
      </c>
      <c r="D92" s="8" t="n">
        <v>102169</v>
      </c>
      <c r="E92" s="8" t="s">
        <v>1064</v>
      </c>
      <c r="F92" s="8" t="s">
        <v>770</v>
      </c>
      <c r="G92" s="8" t="s">
        <v>961</v>
      </c>
      <c r="H92" s="8" t="s">
        <v>51</v>
      </c>
      <c r="I92" s="8" t="s">
        <v>69</v>
      </c>
      <c r="J92" s="4" t="n">
        <v>199000</v>
      </c>
      <c r="K92" s="4" t="n">
        <v>180000</v>
      </c>
      <c r="L92" s="5" t="n">
        <v>0.1</v>
      </c>
      <c r="M92" s="4" t="n">
        <v>8</v>
      </c>
      <c r="N92" s="4" t="n">
        <v>0</v>
      </c>
      <c r="O92" s="4" t="n">
        <v>0</v>
      </c>
      <c r="P92" s="4" t="n">
        <v>6</v>
      </c>
      <c r="Q92" s="4" t="n">
        <v>0</v>
      </c>
      <c r="R92" s="4" t="n">
        <f aca="false">M92+N92+O92+P92+Q92</f>
        <v>14</v>
      </c>
      <c r="S92" s="4" t="n">
        <v>5</v>
      </c>
      <c r="T92" s="4" t="n">
        <f aca="false">R92*K92</f>
        <v>2520000</v>
      </c>
      <c r="U92" s="9" t="n">
        <f aca="false">IFERROR(M92/S92,0)</f>
        <v>1.6</v>
      </c>
      <c r="V92" s="5" t="n">
        <v>0.2278</v>
      </c>
    </row>
    <row r="93" customFormat="false" ht="15" hidden="false" customHeight="false" outlineLevel="0" collapsed="false">
      <c r="A93" s="8" t="s">
        <v>68</v>
      </c>
      <c r="B93" s="8" t="s">
        <v>25</v>
      </c>
      <c r="C93" s="8" t="s">
        <v>1043</v>
      </c>
      <c r="D93" s="8" t="n">
        <v>30030</v>
      </c>
      <c r="E93" s="8" t="s">
        <v>1065</v>
      </c>
      <c r="F93" s="8" t="s">
        <v>794</v>
      </c>
      <c r="G93" s="8" t="s">
        <v>961</v>
      </c>
      <c r="H93" s="8" t="s">
        <v>51</v>
      </c>
      <c r="I93" s="8" t="s">
        <v>69</v>
      </c>
      <c r="J93" s="4" t="n">
        <v>59000</v>
      </c>
      <c r="K93" s="4" t="n">
        <v>54000</v>
      </c>
      <c r="L93" s="5" t="n">
        <v>0.1</v>
      </c>
      <c r="M93" s="4" t="n">
        <v>10</v>
      </c>
      <c r="N93" s="4" t="n">
        <v>0</v>
      </c>
      <c r="O93" s="4" t="n">
        <v>0</v>
      </c>
      <c r="P93" s="4" t="n">
        <v>0</v>
      </c>
      <c r="Q93" s="4" t="n">
        <v>0</v>
      </c>
      <c r="R93" s="4" t="n">
        <f aca="false">M93+N93+O93+P93+Q93</f>
        <v>10</v>
      </c>
      <c r="S93" s="4" t="n">
        <v>4</v>
      </c>
      <c r="T93" s="4" t="n">
        <f aca="false">R93*K93</f>
        <v>540000</v>
      </c>
      <c r="U93" s="9" t="n">
        <f aca="false">IFERROR(M93/S93,0)</f>
        <v>2.5</v>
      </c>
      <c r="V93" s="5" t="n">
        <v>0.2911</v>
      </c>
    </row>
    <row r="94" customFormat="false" ht="15" hidden="false" customHeight="false" outlineLevel="0" collapsed="false">
      <c r="A94" s="8" t="s">
        <v>68</v>
      </c>
      <c r="B94" s="8" t="s">
        <v>25</v>
      </c>
      <c r="C94" s="8" t="s">
        <v>1043</v>
      </c>
      <c r="D94" s="8" t="n">
        <v>30031</v>
      </c>
      <c r="E94" s="8" t="s">
        <v>1066</v>
      </c>
      <c r="F94" s="8" t="s">
        <v>794</v>
      </c>
      <c r="G94" s="8" t="s">
        <v>961</v>
      </c>
      <c r="H94" s="8" t="s">
        <v>51</v>
      </c>
      <c r="I94" s="8" t="s">
        <v>69</v>
      </c>
      <c r="J94" s="4" t="n">
        <v>59000</v>
      </c>
      <c r="K94" s="4" t="n">
        <v>54000</v>
      </c>
      <c r="L94" s="5" t="n">
        <v>0.1</v>
      </c>
      <c r="M94" s="4" t="n">
        <v>7</v>
      </c>
      <c r="N94" s="4" t="n">
        <v>0</v>
      </c>
      <c r="O94" s="4" t="n">
        <v>0</v>
      </c>
      <c r="P94" s="4" t="n">
        <v>0</v>
      </c>
      <c r="Q94" s="4" t="n">
        <v>0</v>
      </c>
      <c r="R94" s="4" t="n">
        <f aca="false">M94+N94+O94+P94+Q94</f>
        <v>7</v>
      </c>
      <c r="S94" s="4" t="n">
        <v>4</v>
      </c>
      <c r="T94" s="4" t="n">
        <f aca="false">R94*K94</f>
        <v>378000</v>
      </c>
      <c r="U94" s="9" t="n">
        <f aca="false">IFERROR(M94/S94,0)</f>
        <v>1.75</v>
      </c>
      <c r="V94" s="5" t="n">
        <v>0.2911</v>
      </c>
    </row>
    <row r="95" customFormat="false" ht="15" hidden="false" customHeight="false" outlineLevel="0" collapsed="false">
      <c r="A95" s="8" t="s">
        <v>139</v>
      </c>
      <c r="B95" s="8" t="s">
        <v>23</v>
      </c>
      <c r="C95" s="8" t="s">
        <v>1067</v>
      </c>
      <c r="D95" s="8" t="n">
        <v>143018</v>
      </c>
      <c r="E95" s="8" t="s">
        <v>286</v>
      </c>
      <c r="F95" s="8" t="s">
        <v>818</v>
      </c>
      <c r="G95" s="8" t="s">
        <v>970</v>
      </c>
      <c r="H95" s="8" t="s">
        <v>51</v>
      </c>
      <c r="I95" s="8" t="s">
        <v>140</v>
      </c>
      <c r="J95" s="4" t="n">
        <v>115000</v>
      </c>
      <c r="K95" s="4" t="n">
        <v>20000</v>
      </c>
      <c r="L95" s="5" t="n">
        <v>0.83478</v>
      </c>
      <c r="M95" s="4" t="n">
        <v>517</v>
      </c>
      <c r="N95" s="4" t="n">
        <v>1803</v>
      </c>
      <c r="O95" s="4" t="n">
        <v>0</v>
      </c>
      <c r="P95" s="4" t="n">
        <v>0</v>
      </c>
      <c r="Q95" s="4" t="n">
        <v>0</v>
      </c>
      <c r="R95" s="4" t="n">
        <f aca="false">M95+N95+O95+P95+Q95</f>
        <v>2320</v>
      </c>
      <c r="S95" s="4" t="n">
        <v>14</v>
      </c>
      <c r="T95" s="4" t="n">
        <f aca="false">R95*K95</f>
        <v>46400000</v>
      </c>
      <c r="U95" s="9" t="n">
        <f aca="false">IFERROR(M95/S95,0)</f>
        <v>36.9285714285714</v>
      </c>
      <c r="V95" s="5" t="n">
        <v>-2</v>
      </c>
    </row>
    <row r="96" customFormat="false" ht="15" hidden="false" customHeight="false" outlineLevel="0" collapsed="false">
      <c r="A96" s="8" t="s">
        <v>139</v>
      </c>
      <c r="B96" s="8" t="s">
        <v>23</v>
      </c>
      <c r="C96" s="8" t="s">
        <v>1067</v>
      </c>
      <c r="D96" s="8" t="n">
        <v>143020</v>
      </c>
      <c r="E96" s="8" t="s">
        <v>690</v>
      </c>
      <c r="F96" s="8" t="s">
        <v>818</v>
      </c>
      <c r="G96" s="8" t="s">
        <v>970</v>
      </c>
      <c r="H96" s="8" t="s">
        <v>51</v>
      </c>
      <c r="I96" s="8" t="s">
        <v>140</v>
      </c>
      <c r="J96" s="4" t="n">
        <v>135000</v>
      </c>
      <c r="K96" s="4" t="n">
        <v>19000</v>
      </c>
      <c r="L96" s="5" t="n">
        <v>0.85926</v>
      </c>
      <c r="M96" s="4" t="n">
        <v>1033</v>
      </c>
      <c r="N96" s="4" t="n">
        <v>0</v>
      </c>
      <c r="O96" s="4" t="n">
        <v>0</v>
      </c>
      <c r="P96" s="4" t="n">
        <v>0</v>
      </c>
      <c r="Q96" s="4" t="n">
        <v>0</v>
      </c>
      <c r="R96" s="4" t="n">
        <f aca="false">M96+N96+O96+P96+Q96</f>
        <v>1033</v>
      </c>
      <c r="S96" s="4" t="n">
        <v>14</v>
      </c>
      <c r="T96" s="4" t="n">
        <f aca="false">R96*K96</f>
        <v>19627000</v>
      </c>
      <c r="U96" s="9" t="n">
        <f aca="false">IFERROR(M96/S96,0)</f>
        <v>73.7857142857143</v>
      </c>
      <c r="V96" s="5" t="n">
        <v>-3.6316</v>
      </c>
    </row>
    <row r="97" customFormat="false" ht="15" hidden="false" customHeight="false" outlineLevel="0" collapsed="false">
      <c r="A97" s="8" t="s">
        <v>139</v>
      </c>
      <c r="B97" s="8" t="s">
        <v>23</v>
      </c>
      <c r="C97" s="8" t="s">
        <v>1067</v>
      </c>
      <c r="D97" s="8" t="n">
        <v>143015</v>
      </c>
      <c r="E97" s="8" t="s">
        <v>689</v>
      </c>
      <c r="F97" s="8" t="s">
        <v>818</v>
      </c>
      <c r="G97" s="8" t="s">
        <v>970</v>
      </c>
      <c r="H97" s="8" t="s">
        <v>51</v>
      </c>
      <c r="I97" s="8" t="s">
        <v>140</v>
      </c>
      <c r="J97" s="4" t="n">
        <v>135000</v>
      </c>
      <c r="K97" s="4" t="n">
        <v>19000</v>
      </c>
      <c r="L97" s="5" t="n">
        <v>0.85926</v>
      </c>
      <c r="M97" s="4" t="n">
        <v>622</v>
      </c>
      <c r="N97" s="4" t="n">
        <v>0</v>
      </c>
      <c r="O97" s="4" t="n">
        <v>0</v>
      </c>
      <c r="P97" s="4" t="n">
        <v>0</v>
      </c>
      <c r="Q97" s="4" t="n">
        <v>0</v>
      </c>
      <c r="R97" s="4" t="n">
        <f aca="false">M97+N97+O97+P97+Q97</f>
        <v>622</v>
      </c>
      <c r="S97" s="4" t="n">
        <v>13</v>
      </c>
      <c r="T97" s="4" t="n">
        <f aca="false">R97*K97</f>
        <v>11818000</v>
      </c>
      <c r="U97" s="9" t="n">
        <f aca="false">IFERROR(M97/S97,0)</f>
        <v>47.8461538461539</v>
      </c>
      <c r="V97" s="5" t="n">
        <v>-3.6316</v>
      </c>
    </row>
    <row r="98" customFormat="false" ht="15" hidden="false" customHeight="false" outlineLevel="0" collapsed="false">
      <c r="A98" s="8" t="s">
        <v>139</v>
      </c>
      <c r="B98" s="8" t="s">
        <v>23</v>
      </c>
      <c r="C98" s="8" t="s">
        <v>1067</v>
      </c>
      <c r="D98" s="8" t="n">
        <v>142450</v>
      </c>
      <c r="E98" s="8" t="s">
        <v>695</v>
      </c>
      <c r="F98" s="8" t="s">
        <v>818</v>
      </c>
      <c r="G98" s="8" t="s">
        <v>970</v>
      </c>
      <c r="H98" s="8" t="s">
        <v>51</v>
      </c>
      <c r="I98" s="8" t="s">
        <v>140</v>
      </c>
      <c r="J98" s="4" t="n">
        <v>129000</v>
      </c>
      <c r="K98" s="4" t="n">
        <v>20000</v>
      </c>
      <c r="L98" s="5" t="n">
        <v>0.85271</v>
      </c>
      <c r="M98" s="4" t="n">
        <v>597</v>
      </c>
      <c r="N98" s="4" t="n">
        <v>0</v>
      </c>
      <c r="O98" s="4" t="n">
        <v>0</v>
      </c>
      <c r="P98" s="4" t="n">
        <v>0</v>
      </c>
      <c r="Q98" s="4" t="n">
        <v>0</v>
      </c>
      <c r="R98" s="4" t="n">
        <f aca="false">M98+N98+O98+P98+Q98</f>
        <v>597</v>
      </c>
      <c r="S98" s="4" t="n">
        <v>5</v>
      </c>
      <c r="T98" s="4" t="n">
        <f aca="false">R98*K98</f>
        <v>11940000</v>
      </c>
      <c r="U98" s="9" t="n">
        <f aca="false">IFERROR(M98/S98,0)</f>
        <v>119.4</v>
      </c>
      <c r="V98" s="5" t="n">
        <v>-3.25</v>
      </c>
    </row>
    <row r="99" customFormat="false" ht="15" hidden="false" customHeight="false" outlineLevel="0" collapsed="false">
      <c r="A99" s="8" t="s">
        <v>139</v>
      </c>
      <c r="B99" s="8" t="s">
        <v>23</v>
      </c>
      <c r="C99" s="8" t="s">
        <v>1067</v>
      </c>
      <c r="D99" s="8" t="n">
        <v>143016</v>
      </c>
      <c r="E99" s="8" t="s">
        <v>692</v>
      </c>
      <c r="F99" s="8" t="s">
        <v>818</v>
      </c>
      <c r="G99" s="8" t="s">
        <v>970</v>
      </c>
      <c r="H99" s="8" t="s">
        <v>51</v>
      </c>
      <c r="I99" s="8" t="s">
        <v>140</v>
      </c>
      <c r="J99" s="4" t="n">
        <v>145000</v>
      </c>
      <c r="K99" s="4" t="n">
        <v>19000</v>
      </c>
      <c r="L99" s="5" t="n">
        <v>0.86897</v>
      </c>
      <c r="M99" s="4" t="n">
        <v>533</v>
      </c>
      <c r="N99" s="4" t="n">
        <v>0</v>
      </c>
      <c r="O99" s="4" t="n">
        <v>0</v>
      </c>
      <c r="P99" s="4" t="n">
        <v>0</v>
      </c>
      <c r="Q99" s="4" t="n">
        <v>0</v>
      </c>
      <c r="R99" s="4" t="n">
        <f aca="false">M99+N99+O99+P99+Q99</f>
        <v>533</v>
      </c>
      <c r="S99" s="4" t="n">
        <v>13</v>
      </c>
      <c r="T99" s="4" t="n">
        <f aca="false">R99*K99</f>
        <v>10127000</v>
      </c>
      <c r="U99" s="9" t="n">
        <f aca="false">IFERROR(M99/S99,0)</f>
        <v>41</v>
      </c>
      <c r="V99" s="5" t="n">
        <v>-3.6316</v>
      </c>
    </row>
    <row r="100" customFormat="false" ht="15" hidden="false" customHeight="false" outlineLevel="0" collapsed="false">
      <c r="A100" s="8" t="s">
        <v>139</v>
      </c>
      <c r="B100" s="8" t="s">
        <v>23</v>
      </c>
      <c r="C100" s="8" t="s">
        <v>1067</v>
      </c>
      <c r="D100" s="8" t="n">
        <v>143019</v>
      </c>
      <c r="E100" s="8" t="s">
        <v>700</v>
      </c>
      <c r="F100" s="8" t="s">
        <v>818</v>
      </c>
      <c r="G100" s="8" t="s">
        <v>970</v>
      </c>
      <c r="H100" s="8" t="s">
        <v>51</v>
      </c>
      <c r="I100" s="8" t="s">
        <v>140</v>
      </c>
      <c r="J100" s="4" t="n">
        <v>88000</v>
      </c>
      <c r="K100" s="4" t="n">
        <v>20000</v>
      </c>
      <c r="L100" s="5" t="n">
        <v>0.78409</v>
      </c>
      <c r="M100" s="4" t="n">
        <v>298</v>
      </c>
      <c r="N100" s="4" t="n">
        <v>0</v>
      </c>
      <c r="O100" s="4" t="n">
        <v>0</v>
      </c>
      <c r="P100" s="4" t="n">
        <v>0</v>
      </c>
      <c r="Q100" s="4" t="n">
        <v>0</v>
      </c>
      <c r="R100" s="4" t="n">
        <f aca="false">M100+N100+O100+P100+Q100</f>
        <v>298</v>
      </c>
      <c r="S100" s="4" t="n">
        <v>12</v>
      </c>
      <c r="T100" s="4" t="n">
        <f aca="false">R100*K100</f>
        <v>5960000</v>
      </c>
      <c r="U100" s="9" t="n">
        <f aca="false">IFERROR(M100/S100,0)</f>
        <v>24.8333333333333</v>
      </c>
      <c r="V100" s="5" t="n">
        <v>-2</v>
      </c>
    </row>
    <row r="101" customFormat="false" ht="15" hidden="false" customHeight="false" outlineLevel="0" collapsed="false">
      <c r="A101" s="8" t="s">
        <v>139</v>
      </c>
      <c r="B101" s="8" t="s">
        <v>23</v>
      </c>
      <c r="C101" s="8" t="s">
        <v>1067</v>
      </c>
      <c r="D101" s="8" t="n">
        <v>142806</v>
      </c>
      <c r="E101" s="8" t="s">
        <v>697</v>
      </c>
      <c r="F101" s="8" t="s">
        <v>818</v>
      </c>
      <c r="G101" s="8" t="s">
        <v>970</v>
      </c>
      <c r="H101" s="8" t="s">
        <v>51</v>
      </c>
      <c r="I101" s="8" t="s">
        <v>140</v>
      </c>
      <c r="J101" s="4" t="n">
        <v>129000</v>
      </c>
      <c r="K101" s="4" t="n">
        <v>20000</v>
      </c>
      <c r="L101" s="5" t="n">
        <v>0.85271</v>
      </c>
      <c r="M101" s="4" t="n">
        <v>297</v>
      </c>
      <c r="N101" s="4" t="n">
        <v>0</v>
      </c>
      <c r="O101" s="4" t="n">
        <v>0</v>
      </c>
      <c r="P101" s="4" t="n">
        <v>0</v>
      </c>
      <c r="Q101" s="4" t="n">
        <v>0</v>
      </c>
      <c r="R101" s="4" t="n">
        <f aca="false">M101+N101+O101+P101+Q101</f>
        <v>297</v>
      </c>
      <c r="S101" s="4" t="n">
        <v>6</v>
      </c>
      <c r="T101" s="4" t="n">
        <f aca="false">R101*K101</f>
        <v>5940000</v>
      </c>
      <c r="U101" s="9" t="n">
        <f aca="false">IFERROR(M101/S101,0)</f>
        <v>49.5</v>
      </c>
      <c r="V101" s="5" t="n">
        <v>-3.25</v>
      </c>
    </row>
    <row r="102" customFormat="false" ht="15" hidden="false" customHeight="false" outlineLevel="0" collapsed="false">
      <c r="A102" s="8" t="s">
        <v>139</v>
      </c>
      <c r="B102" s="8" t="s">
        <v>23</v>
      </c>
      <c r="C102" s="8" t="s">
        <v>1067</v>
      </c>
      <c r="D102" s="8" t="n">
        <v>143021</v>
      </c>
      <c r="E102" s="8" t="s">
        <v>284</v>
      </c>
      <c r="F102" s="8" t="s">
        <v>818</v>
      </c>
      <c r="G102" s="8" t="s">
        <v>970</v>
      </c>
      <c r="H102" s="8" t="s">
        <v>51</v>
      </c>
      <c r="I102" s="8" t="s">
        <v>140</v>
      </c>
      <c r="J102" s="4" t="n">
        <v>88000</v>
      </c>
      <c r="K102" s="4" t="n">
        <v>20000</v>
      </c>
      <c r="L102" s="5" t="n">
        <v>0.78409</v>
      </c>
      <c r="M102" s="4" t="n">
        <v>270</v>
      </c>
      <c r="N102" s="4" t="n">
        <v>10</v>
      </c>
      <c r="O102" s="4" t="n">
        <v>0</v>
      </c>
      <c r="P102" s="4" t="n">
        <v>0</v>
      </c>
      <c r="Q102" s="4" t="n">
        <v>0</v>
      </c>
      <c r="R102" s="4" t="n">
        <f aca="false">M102+N102+O102+P102+Q102</f>
        <v>280</v>
      </c>
      <c r="S102" s="4" t="n">
        <v>13</v>
      </c>
      <c r="T102" s="4" t="n">
        <f aca="false">R102*K102</f>
        <v>5600000</v>
      </c>
      <c r="U102" s="9" t="n">
        <f aca="false">IFERROR(M102/S102,0)</f>
        <v>20.7692307692308</v>
      </c>
      <c r="V102" s="5" t="n">
        <v>-2</v>
      </c>
    </row>
    <row r="103" customFormat="false" ht="15" hidden="false" customHeight="false" outlineLevel="0" collapsed="false">
      <c r="A103" s="8" t="s">
        <v>139</v>
      </c>
      <c r="B103" s="8" t="s">
        <v>23</v>
      </c>
      <c r="C103" s="8" t="s">
        <v>1067</v>
      </c>
      <c r="D103" s="8" t="n">
        <v>143014</v>
      </c>
      <c r="E103" s="8" t="s">
        <v>699</v>
      </c>
      <c r="F103" s="8" t="s">
        <v>818</v>
      </c>
      <c r="G103" s="8" t="s">
        <v>970</v>
      </c>
      <c r="H103" s="8" t="s">
        <v>51</v>
      </c>
      <c r="I103" s="8" t="s">
        <v>140</v>
      </c>
      <c r="J103" s="4" t="n">
        <v>88000</v>
      </c>
      <c r="K103" s="4" t="n">
        <v>20000</v>
      </c>
      <c r="L103" s="5" t="n">
        <v>0.78409</v>
      </c>
      <c r="M103" s="4" t="n">
        <v>272</v>
      </c>
      <c r="N103" s="4" t="n">
        <v>0</v>
      </c>
      <c r="O103" s="4" t="n">
        <v>0</v>
      </c>
      <c r="P103" s="4" t="n">
        <v>0</v>
      </c>
      <c r="Q103" s="4" t="n">
        <v>0</v>
      </c>
      <c r="R103" s="4" t="n">
        <f aca="false">M103+N103+O103+P103+Q103</f>
        <v>272</v>
      </c>
      <c r="S103" s="4" t="n">
        <v>14</v>
      </c>
      <c r="T103" s="4" t="n">
        <f aca="false">R103*K103</f>
        <v>5440000</v>
      </c>
      <c r="U103" s="9" t="n">
        <f aca="false">IFERROR(M103/S103,0)</f>
        <v>19.4285714285714</v>
      </c>
      <c r="V103" s="5" t="n">
        <v>-2</v>
      </c>
    </row>
    <row r="104" customFormat="false" ht="15" hidden="false" customHeight="false" outlineLevel="0" collapsed="false">
      <c r="A104" s="8" t="s">
        <v>139</v>
      </c>
      <c r="B104" s="8" t="s">
        <v>23</v>
      </c>
      <c r="C104" s="8" t="s">
        <v>1067</v>
      </c>
      <c r="D104" s="8" t="n">
        <v>142456</v>
      </c>
      <c r="E104" s="8" t="s">
        <v>701</v>
      </c>
      <c r="F104" s="8" t="s">
        <v>818</v>
      </c>
      <c r="G104" s="8" t="s">
        <v>970</v>
      </c>
      <c r="H104" s="8" t="s">
        <v>51</v>
      </c>
      <c r="I104" s="8" t="s">
        <v>140</v>
      </c>
      <c r="J104" s="4" t="n">
        <v>129000</v>
      </c>
      <c r="K104" s="4" t="n">
        <v>20000</v>
      </c>
      <c r="L104" s="5" t="n">
        <v>0.85271</v>
      </c>
      <c r="M104" s="4" t="n">
        <v>249</v>
      </c>
      <c r="N104" s="4" t="n">
        <v>0</v>
      </c>
      <c r="O104" s="4" t="n">
        <v>0</v>
      </c>
      <c r="P104" s="4" t="n">
        <v>0</v>
      </c>
      <c r="Q104" s="4" t="n">
        <v>0</v>
      </c>
      <c r="R104" s="4" t="n">
        <f aca="false">M104+N104+O104+P104+Q104</f>
        <v>249</v>
      </c>
      <c r="S104" s="4" t="n">
        <v>3</v>
      </c>
      <c r="T104" s="4" t="n">
        <f aca="false">R104*K104</f>
        <v>4980000</v>
      </c>
      <c r="U104" s="9" t="n">
        <f aca="false">IFERROR(M104/S104,0)</f>
        <v>83</v>
      </c>
      <c r="V104" s="5" t="n">
        <v>-3.25</v>
      </c>
    </row>
    <row r="105" customFormat="false" ht="15" hidden="false" customHeight="false" outlineLevel="0" collapsed="false">
      <c r="A105" s="8" t="s">
        <v>139</v>
      </c>
      <c r="B105" s="8" t="s">
        <v>23</v>
      </c>
      <c r="C105" s="8" t="s">
        <v>1067</v>
      </c>
      <c r="D105" s="8" t="n">
        <v>142813</v>
      </c>
      <c r="E105" s="8" t="s">
        <v>702</v>
      </c>
      <c r="F105" s="8" t="s">
        <v>818</v>
      </c>
      <c r="G105" s="8" t="s">
        <v>970</v>
      </c>
      <c r="H105" s="8" t="s">
        <v>51</v>
      </c>
      <c r="I105" s="8" t="s">
        <v>140</v>
      </c>
      <c r="J105" s="4" t="n">
        <v>189000</v>
      </c>
      <c r="K105" s="4" t="n">
        <v>20000</v>
      </c>
      <c r="L105" s="5" t="n">
        <v>0.89947</v>
      </c>
      <c r="M105" s="4" t="n">
        <v>149</v>
      </c>
      <c r="N105" s="4" t="n">
        <v>0</v>
      </c>
      <c r="O105" s="4" t="n">
        <v>0</v>
      </c>
      <c r="P105" s="4" t="n">
        <v>0</v>
      </c>
      <c r="Q105" s="4" t="n">
        <v>0</v>
      </c>
      <c r="R105" s="4" t="n">
        <f aca="false">M105+N105+O105+P105+Q105</f>
        <v>149</v>
      </c>
      <c r="S105" s="4" t="n">
        <v>4</v>
      </c>
      <c r="T105" s="4" t="n">
        <f aca="false">R105*K105</f>
        <v>2980000</v>
      </c>
      <c r="U105" s="9" t="n">
        <f aca="false">IFERROR(M105/S105,0)</f>
        <v>37.25</v>
      </c>
      <c r="V105" s="5" t="n">
        <v>-4.75</v>
      </c>
    </row>
    <row r="106" customFormat="false" ht="15" hidden="false" customHeight="false" outlineLevel="0" collapsed="false">
      <c r="A106" s="8" t="s">
        <v>139</v>
      </c>
      <c r="B106" s="8" t="s">
        <v>23</v>
      </c>
      <c r="C106" s="8" t="s">
        <v>1067</v>
      </c>
      <c r="D106" s="8" t="n">
        <v>143008</v>
      </c>
      <c r="E106" s="8" t="s">
        <v>694</v>
      </c>
      <c r="F106" s="8" t="s">
        <v>818</v>
      </c>
      <c r="G106" s="8" t="s">
        <v>970</v>
      </c>
      <c r="H106" s="8" t="s">
        <v>51</v>
      </c>
      <c r="I106" s="8" t="s">
        <v>140</v>
      </c>
      <c r="J106" s="4" t="n">
        <v>65000</v>
      </c>
      <c r="K106" s="4" t="n">
        <v>20000</v>
      </c>
      <c r="L106" s="5" t="n">
        <v>0.70769</v>
      </c>
      <c r="M106" s="4" t="n">
        <v>133</v>
      </c>
      <c r="N106" s="4" t="n">
        <v>0</v>
      </c>
      <c r="O106" s="4" t="n">
        <v>0</v>
      </c>
      <c r="P106" s="4" t="n">
        <v>0</v>
      </c>
      <c r="Q106" s="4" t="n">
        <v>0</v>
      </c>
      <c r="R106" s="4" t="n">
        <f aca="false">M106+N106+O106+P106+Q106</f>
        <v>133</v>
      </c>
      <c r="S106" s="4" t="n">
        <v>14</v>
      </c>
      <c r="T106" s="4" t="n">
        <f aca="false">R106*K106</f>
        <v>2660000</v>
      </c>
      <c r="U106" s="9" t="n">
        <f aca="false">IFERROR(M106/S106,0)</f>
        <v>9.5</v>
      </c>
      <c r="V106" s="5" t="n">
        <v>-1.3</v>
      </c>
    </row>
    <row r="107" customFormat="false" ht="15" hidden="false" customHeight="false" outlineLevel="0" collapsed="false">
      <c r="A107" s="8" t="s">
        <v>139</v>
      </c>
      <c r="B107" s="8" t="s">
        <v>23</v>
      </c>
      <c r="C107" s="8" t="s">
        <v>1067</v>
      </c>
      <c r="D107" s="8" t="n">
        <v>143024</v>
      </c>
      <c r="E107" s="8" t="s">
        <v>703</v>
      </c>
      <c r="F107" s="8" t="s">
        <v>818</v>
      </c>
      <c r="G107" s="8" t="s">
        <v>970</v>
      </c>
      <c r="H107" s="8" t="s">
        <v>51</v>
      </c>
      <c r="I107" s="8" t="s">
        <v>140</v>
      </c>
      <c r="J107" s="4" t="n">
        <v>85000</v>
      </c>
      <c r="K107" s="4" t="n">
        <v>20000</v>
      </c>
      <c r="L107" s="5" t="n">
        <v>0.77647</v>
      </c>
      <c r="M107" s="4" t="n">
        <v>111</v>
      </c>
      <c r="N107" s="4" t="n">
        <v>0</v>
      </c>
      <c r="O107" s="4" t="n">
        <v>0</v>
      </c>
      <c r="P107" s="4" t="n">
        <v>0</v>
      </c>
      <c r="Q107" s="4" t="n">
        <v>0</v>
      </c>
      <c r="R107" s="4" t="n">
        <f aca="false">M107+N107+O107+P107+Q107</f>
        <v>111</v>
      </c>
      <c r="S107" s="4" t="n">
        <v>10</v>
      </c>
      <c r="T107" s="4" t="n">
        <f aca="false">R107*K107</f>
        <v>2220000</v>
      </c>
      <c r="U107" s="9" t="n">
        <f aca="false">IFERROR(M107/S107,0)</f>
        <v>11.1</v>
      </c>
      <c r="V107" s="5" t="n">
        <v>-2</v>
      </c>
    </row>
    <row r="108" customFormat="false" ht="15" hidden="false" customHeight="false" outlineLevel="0" collapsed="false">
      <c r="A108" s="8" t="s">
        <v>139</v>
      </c>
      <c r="B108" s="8" t="s">
        <v>23</v>
      </c>
      <c r="C108" s="8" t="s">
        <v>1067</v>
      </c>
      <c r="D108" s="8" t="n">
        <v>143003</v>
      </c>
      <c r="E108" s="8" t="s">
        <v>698</v>
      </c>
      <c r="F108" s="8" t="s">
        <v>818</v>
      </c>
      <c r="G108" s="8" t="s">
        <v>970</v>
      </c>
      <c r="H108" s="8" t="s">
        <v>51</v>
      </c>
      <c r="I108" s="8" t="s">
        <v>140</v>
      </c>
      <c r="J108" s="4" t="n">
        <v>88000</v>
      </c>
      <c r="K108" s="4" t="n">
        <v>20000</v>
      </c>
      <c r="L108" s="5" t="n">
        <v>0.78409</v>
      </c>
      <c r="M108" s="4" t="n">
        <v>74</v>
      </c>
      <c r="N108" s="4" t="n">
        <v>0</v>
      </c>
      <c r="O108" s="4" t="n">
        <v>0</v>
      </c>
      <c r="P108" s="4" t="n">
        <v>0</v>
      </c>
      <c r="Q108" s="4" t="n">
        <v>0</v>
      </c>
      <c r="R108" s="4" t="n">
        <f aca="false">M108+N108+O108+P108+Q108</f>
        <v>74</v>
      </c>
      <c r="S108" s="4" t="n">
        <v>9</v>
      </c>
      <c r="T108" s="4" t="n">
        <f aca="false">R108*K108</f>
        <v>1480000</v>
      </c>
      <c r="U108" s="9" t="n">
        <f aca="false">IFERROR(M108/S108,0)</f>
        <v>8.22222222222222</v>
      </c>
      <c r="V108" s="5" t="n">
        <v>-2</v>
      </c>
    </row>
    <row r="109" customFormat="false" ht="15" hidden="false" customHeight="false" outlineLevel="0" collapsed="false">
      <c r="A109" s="8" t="s">
        <v>139</v>
      </c>
      <c r="B109" s="8" t="s">
        <v>23</v>
      </c>
      <c r="C109" s="8" t="s">
        <v>1067</v>
      </c>
      <c r="D109" s="8" t="n">
        <v>143004</v>
      </c>
      <c r="E109" s="8" t="s">
        <v>688</v>
      </c>
      <c r="F109" s="8" t="s">
        <v>818</v>
      </c>
      <c r="G109" s="8" t="s">
        <v>970</v>
      </c>
      <c r="H109" s="8" t="s">
        <v>51</v>
      </c>
      <c r="I109" s="8" t="s">
        <v>140</v>
      </c>
      <c r="J109" s="4" t="n">
        <v>135000</v>
      </c>
      <c r="K109" s="4" t="n">
        <v>19000</v>
      </c>
      <c r="L109" s="5" t="n">
        <v>0.85926</v>
      </c>
      <c r="M109" s="4" t="n">
        <v>73</v>
      </c>
      <c r="N109" s="4" t="n">
        <v>0</v>
      </c>
      <c r="O109" s="4" t="n">
        <v>0</v>
      </c>
      <c r="P109" s="4" t="n">
        <v>0</v>
      </c>
      <c r="Q109" s="4" t="n">
        <v>0</v>
      </c>
      <c r="R109" s="4" t="n">
        <f aca="false">M109+N109+O109+P109+Q109</f>
        <v>73</v>
      </c>
      <c r="S109" s="4" t="n">
        <v>7</v>
      </c>
      <c r="T109" s="4" t="n">
        <f aca="false">R109*K109</f>
        <v>1387000</v>
      </c>
      <c r="U109" s="9" t="n">
        <f aca="false">IFERROR(M109/S109,0)</f>
        <v>10.4285714285714</v>
      </c>
      <c r="V109" s="5" t="n">
        <v>-3.6316</v>
      </c>
    </row>
    <row r="110" customFormat="false" ht="15" hidden="false" customHeight="false" outlineLevel="0" collapsed="false">
      <c r="A110" s="8" t="s">
        <v>139</v>
      </c>
      <c r="B110" s="8" t="s">
        <v>23</v>
      </c>
      <c r="C110" s="8" t="s">
        <v>1067</v>
      </c>
      <c r="D110" s="8" t="n">
        <v>143007</v>
      </c>
      <c r="E110" s="8" t="s">
        <v>691</v>
      </c>
      <c r="F110" s="8" t="s">
        <v>818</v>
      </c>
      <c r="G110" s="8" t="s">
        <v>970</v>
      </c>
      <c r="H110" s="8" t="s">
        <v>51</v>
      </c>
      <c r="I110" s="8" t="s">
        <v>140</v>
      </c>
      <c r="J110" s="4" t="n">
        <v>65000</v>
      </c>
      <c r="K110" s="4" t="n">
        <v>20000</v>
      </c>
      <c r="L110" s="5" t="n">
        <v>0.70769</v>
      </c>
      <c r="M110" s="4" t="n">
        <v>58</v>
      </c>
      <c r="N110" s="4" t="n">
        <v>0</v>
      </c>
      <c r="O110" s="4" t="n">
        <v>0</v>
      </c>
      <c r="P110" s="4" t="n">
        <v>0</v>
      </c>
      <c r="Q110" s="4" t="n">
        <v>0</v>
      </c>
      <c r="R110" s="4" t="n">
        <f aca="false">M110+N110+O110+P110+Q110</f>
        <v>58</v>
      </c>
      <c r="S110" s="4" t="n">
        <v>10</v>
      </c>
      <c r="T110" s="4" t="n">
        <f aca="false">R110*K110</f>
        <v>1160000</v>
      </c>
      <c r="U110" s="9" t="n">
        <f aca="false">IFERROR(M110/S110,0)</f>
        <v>5.8</v>
      </c>
      <c r="V110" s="5" t="n">
        <v>-1.3</v>
      </c>
    </row>
    <row r="111" customFormat="false" ht="15" hidden="false" customHeight="false" outlineLevel="0" collapsed="false">
      <c r="A111" s="8" t="s">
        <v>139</v>
      </c>
      <c r="B111" s="8" t="s">
        <v>23</v>
      </c>
      <c r="C111" s="8" t="s">
        <v>1067</v>
      </c>
      <c r="D111" s="8" t="n">
        <v>143022</v>
      </c>
      <c r="E111" s="8" t="s">
        <v>693</v>
      </c>
      <c r="F111" s="8" t="s">
        <v>818</v>
      </c>
      <c r="G111" s="8" t="s">
        <v>970</v>
      </c>
      <c r="H111" s="8" t="s">
        <v>51</v>
      </c>
      <c r="I111" s="8" t="s">
        <v>140</v>
      </c>
      <c r="J111" s="4" t="n">
        <v>145000</v>
      </c>
      <c r="K111" s="4" t="n">
        <v>19000</v>
      </c>
      <c r="L111" s="5" t="n">
        <v>0.86897</v>
      </c>
      <c r="M111" s="4" t="n">
        <v>57</v>
      </c>
      <c r="N111" s="4" t="n">
        <v>0</v>
      </c>
      <c r="O111" s="4" t="n">
        <v>0</v>
      </c>
      <c r="P111" s="4" t="n">
        <v>0</v>
      </c>
      <c r="Q111" s="4" t="n">
        <v>0</v>
      </c>
      <c r="R111" s="4" t="n">
        <f aca="false">M111+N111+O111+P111+Q111</f>
        <v>57</v>
      </c>
      <c r="S111" s="4" t="n">
        <v>10</v>
      </c>
      <c r="T111" s="4" t="n">
        <f aca="false">R111*K111</f>
        <v>1083000</v>
      </c>
      <c r="U111" s="9" t="n">
        <f aca="false">IFERROR(M111/S111,0)</f>
        <v>5.7</v>
      </c>
      <c r="V111" s="5" t="n">
        <v>-3.6316</v>
      </c>
    </row>
    <row r="112" customFormat="false" ht="15" hidden="false" customHeight="false" outlineLevel="0" collapsed="false">
      <c r="A112" s="8" t="s">
        <v>139</v>
      </c>
      <c r="B112" s="8" t="s">
        <v>23</v>
      </c>
      <c r="C112" s="8" t="s">
        <v>1067</v>
      </c>
      <c r="D112" s="8" t="n">
        <v>142451</v>
      </c>
      <c r="E112" s="8" t="s">
        <v>696</v>
      </c>
      <c r="F112" s="8" t="s">
        <v>818</v>
      </c>
      <c r="G112" s="8" t="s">
        <v>970</v>
      </c>
      <c r="H112" s="8" t="s">
        <v>51</v>
      </c>
      <c r="I112" s="8" t="s">
        <v>140</v>
      </c>
      <c r="J112" s="4" t="n">
        <v>189000</v>
      </c>
      <c r="K112" s="4" t="n">
        <v>20000</v>
      </c>
      <c r="L112" s="5" t="n">
        <v>0.89947</v>
      </c>
      <c r="M112" s="4" t="n">
        <v>55</v>
      </c>
      <c r="N112" s="4" t="n">
        <v>0</v>
      </c>
      <c r="O112" s="4" t="n">
        <v>0</v>
      </c>
      <c r="P112" s="4" t="n">
        <v>0</v>
      </c>
      <c r="Q112" s="4" t="n">
        <v>0</v>
      </c>
      <c r="R112" s="4" t="n">
        <f aca="false">M112+N112+O112+P112+Q112</f>
        <v>55</v>
      </c>
      <c r="S112" s="4" t="n">
        <v>2</v>
      </c>
      <c r="T112" s="4" t="n">
        <f aca="false">R112*K112</f>
        <v>1100000</v>
      </c>
      <c r="U112" s="9" t="n">
        <f aca="false">IFERROR(M112/S112,0)</f>
        <v>27.5</v>
      </c>
      <c r="V112" s="5" t="n">
        <v>-4.75</v>
      </c>
    </row>
    <row r="113" customFormat="false" ht="15" hidden="false" customHeight="false" outlineLevel="0" collapsed="false">
      <c r="A113" s="8" t="s">
        <v>139</v>
      </c>
      <c r="B113" s="8" t="s">
        <v>23</v>
      </c>
      <c r="C113" s="8" t="s">
        <v>1067</v>
      </c>
      <c r="D113" s="8" t="n">
        <v>143001</v>
      </c>
      <c r="E113" s="8" t="s">
        <v>995</v>
      </c>
      <c r="F113" s="8" t="s">
        <v>818</v>
      </c>
      <c r="G113" s="8" t="s">
        <v>970</v>
      </c>
      <c r="H113" s="8" t="s">
        <v>51</v>
      </c>
      <c r="I113" s="8" t="s">
        <v>140</v>
      </c>
      <c r="J113" s="4" t="n">
        <v>65000</v>
      </c>
      <c r="K113" s="4" t="n">
        <v>20000</v>
      </c>
      <c r="L113" s="5" t="n">
        <v>0.70769</v>
      </c>
      <c r="M113" s="4" t="n">
        <v>46</v>
      </c>
      <c r="N113" s="4" t="n">
        <v>0</v>
      </c>
      <c r="O113" s="4" t="n">
        <v>0</v>
      </c>
      <c r="P113" s="4" t="n">
        <v>0</v>
      </c>
      <c r="Q113" s="4" t="n">
        <v>0</v>
      </c>
      <c r="R113" s="4" t="n">
        <f aca="false">M113+N113+O113+P113+Q113</f>
        <v>46</v>
      </c>
      <c r="S113" s="4" t="n">
        <v>10</v>
      </c>
      <c r="T113" s="4" t="n">
        <f aca="false">R113*K113</f>
        <v>920000</v>
      </c>
      <c r="U113" s="9" t="n">
        <f aca="false">IFERROR(M113/S113,0)</f>
        <v>4.6</v>
      </c>
      <c r="V113" s="5" t="n">
        <v>-1.3</v>
      </c>
    </row>
    <row r="114" customFormat="false" ht="15" hidden="false" customHeight="false" outlineLevel="0" collapsed="false">
      <c r="A114" s="8" t="s">
        <v>139</v>
      </c>
      <c r="B114" s="8" t="s">
        <v>23</v>
      </c>
      <c r="C114" s="8" t="s">
        <v>1067</v>
      </c>
      <c r="D114" s="8" t="n">
        <v>142998</v>
      </c>
      <c r="E114" s="8" t="s">
        <v>988</v>
      </c>
      <c r="F114" s="8" t="s">
        <v>818</v>
      </c>
      <c r="G114" s="8" t="s">
        <v>970</v>
      </c>
      <c r="H114" s="8" t="s">
        <v>51</v>
      </c>
      <c r="I114" s="8" t="s">
        <v>140</v>
      </c>
      <c r="J114" s="4" t="n">
        <v>88000</v>
      </c>
      <c r="K114" s="4" t="n">
        <v>20000</v>
      </c>
      <c r="L114" s="5" t="n">
        <v>0.78409</v>
      </c>
      <c r="M114" s="4" t="n">
        <v>44</v>
      </c>
      <c r="N114" s="4" t="n">
        <v>0</v>
      </c>
      <c r="O114" s="4" t="n">
        <v>0</v>
      </c>
      <c r="P114" s="4" t="n">
        <v>0</v>
      </c>
      <c r="Q114" s="4" t="n">
        <v>0</v>
      </c>
      <c r="R114" s="4" t="n">
        <f aca="false">M114+N114+O114+P114+Q114</f>
        <v>44</v>
      </c>
      <c r="S114" s="4" t="n">
        <v>9</v>
      </c>
      <c r="T114" s="4" t="n">
        <f aca="false">R114*K114</f>
        <v>880000</v>
      </c>
      <c r="U114" s="9" t="n">
        <f aca="false">IFERROR(M114/S114,0)</f>
        <v>4.88888888888889</v>
      </c>
      <c r="V114" s="5" t="n">
        <v>-2</v>
      </c>
    </row>
    <row r="115" customFormat="false" ht="15" hidden="false" customHeight="false" outlineLevel="0" collapsed="false">
      <c r="A115" s="8" t="s">
        <v>139</v>
      </c>
      <c r="B115" s="8" t="s">
        <v>23</v>
      </c>
      <c r="C115" s="8" t="s">
        <v>1067</v>
      </c>
      <c r="D115" s="8" t="n">
        <v>143013</v>
      </c>
      <c r="E115" s="8" t="s">
        <v>985</v>
      </c>
      <c r="F115" s="8" t="s">
        <v>818</v>
      </c>
      <c r="G115" s="8" t="s">
        <v>970</v>
      </c>
      <c r="H115" s="8" t="s">
        <v>51</v>
      </c>
      <c r="I115" s="8" t="s">
        <v>140</v>
      </c>
      <c r="J115" s="4" t="n">
        <v>125000</v>
      </c>
      <c r="K115" s="4" t="n">
        <v>19000</v>
      </c>
      <c r="L115" s="5" t="n">
        <v>0.848</v>
      </c>
      <c r="M115" s="4" t="n">
        <v>37</v>
      </c>
      <c r="N115" s="4" t="n">
        <v>0</v>
      </c>
      <c r="O115" s="4" t="n">
        <v>0</v>
      </c>
      <c r="P115" s="4" t="n">
        <v>0</v>
      </c>
      <c r="Q115" s="4" t="n">
        <v>0</v>
      </c>
      <c r="R115" s="4" t="n">
        <f aca="false">M115+N115+O115+P115+Q115</f>
        <v>37</v>
      </c>
      <c r="S115" s="4" t="n">
        <v>8</v>
      </c>
      <c r="T115" s="4" t="n">
        <f aca="false">R115*K115</f>
        <v>703000</v>
      </c>
      <c r="U115" s="9" t="n">
        <f aca="false">IFERROR(M115/S115,0)</f>
        <v>4.625</v>
      </c>
      <c r="V115" s="5" t="n">
        <v>-3.6316</v>
      </c>
    </row>
    <row r="116" customFormat="false" ht="15" hidden="false" customHeight="false" outlineLevel="0" collapsed="false">
      <c r="A116" s="8" t="s">
        <v>139</v>
      </c>
      <c r="B116" s="8" t="s">
        <v>23</v>
      </c>
      <c r="C116" s="8" t="s">
        <v>1067</v>
      </c>
      <c r="D116" s="8" t="n">
        <v>143012</v>
      </c>
      <c r="E116" s="8" t="s">
        <v>987</v>
      </c>
      <c r="F116" s="8" t="s">
        <v>818</v>
      </c>
      <c r="G116" s="8" t="s">
        <v>970</v>
      </c>
      <c r="H116" s="8" t="s">
        <v>51</v>
      </c>
      <c r="I116" s="8" t="s">
        <v>140</v>
      </c>
      <c r="J116" s="4" t="n">
        <v>85000</v>
      </c>
      <c r="K116" s="4" t="n">
        <v>20000</v>
      </c>
      <c r="L116" s="5" t="n">
        <v>0.77647</v>
      </c>
      <c r="M116" s="4" t="n">
        <v>30</v>
      </c>
      <c r="N116" s="4" t="n">
        <v>0</v>
      </c>
      <c r="O116" s="4" t="n">
        <v>0</v>
      </c>
      <c r="P116" s="4" t="n">
        <v>0</v>
      </c>
      <c r="Q116" s="4" t="n">
        <v>0</v>
      </c>
      <c r="R116" s="4" t="n">
        <f aca="false">M116+N116+O116+P116+Q116</f>
        <v>30</v>
      </c>
      <c r="S116" s="4" t="n">
        <v>7</v>
      </c>
      <c r="T116" s="4" t="n">
        <f aca="false">R116*K116</f>
        <v>600000</v>
      </c>
      <c r="U116" s="9" t="n">
        <f aca="false">IFERROR(M116/S116,0)</f>
        <v>4.28571428571429</v>
      </c>
      <c r="V116" s="5" t="n">
        <v>-2</v>
      </c>
    </row>
    <row r="117" customFormat="false" ht="15" hidden="false" customHeight="false" outlineLevel="0" collapsed="false">
      <c r="A117" s="8" t="s">
        <v>139</v>
      </c>
      <c r="B117" s="8" t="s">
        <v>23</v>
      </c>
      <c r="C117" s="8" t="s">
        <v>1067</v>
      </c>
      <c r="D117" s="8" t="n">
        <v>143002</v>
      </c>
      <c r="E117" s="8" t="s">
        <v>974</v>
      </c>
      <c r="F117" s="8" t="s">
        <v>818</v>
      </c>
      <c r="G117" s="8" t="s">
        <v>970</v>
      </c>
      <c r="H117" s="8" t="s">
        <v>51</v>
      </c>
      <c r="I117" s="8" t="s">
        <v>140</v>
      </c>
      <c r="J117" s="4" t="n">
        <v>145000</v>
      </c>
      <c r="K117" s="4" t="n">
        <v>19000</v>
      </c>
      <c r="L117" s="5" t="n">
        <v>0.86897</v>
      </c>
      <c r="M117" s="4" t="n">
        <v>26</v>
      </c>
      <c r="N117" s="4" t="n">
        <v>3</v>
      </c>
      <c r="O117" s="4" t="n">
        <v>0</v>
      </c>
      <c r="P117" s="4" t="n">
        <v>0</v>
      </c>
      <c r="Q117" s="4" t="n">
        <v>0</v>
      </c>
      <c r="R117" s="4" t="n">
        <f aca="false">M117+N117+O117+P117+Q117</f>
        <v>29</v>
      </c>
      <c r="S117" s="4" t="n">
        <v>9</v>
      </c>
      <c r="T117" s="4" t="n">
        <f aca="false">R117*K117</f>
        <v>551000</v>
      </c>
      <c r="U117" s="9" t="n">
        <f aca="false">IFERROR(M117/S117,0)</f>
        <v>2.88888888888889</v>
      </c>
      <c r="V117" s="5" t="n">
        <v>-4.3684</v>
      </c>
    </row>
    <row r="118" customFormat="false" ht="15" hidden="false" customHeight="false" outlineLevel="0" collapsed="false">
      <c r="A118" s="8" t="s">
        <v>139</v>
      </c>
      <c r="B118" s="8" t="s">
        <v>23</v>
      </c>
      <c r="C118" s="8" t="s">
        <v>1067</v>
      </c>
      <c r="D118" s="8" t="n">
        <v>142999</v>
      </c>
      <c r="E118" s="8" t="s">
        <v>980</v>
      </c>
      <c r="F118" s="8" t="s">
        <v>818</v>
      </c>
      <c r="G118" s="8" t="s">
        <v>970</v>
      </c>
      <c r="H118" s="8" t="s">
        <v>51</v>
      </c>
      <c r="I118" s="8" t="s">
        <v>140</v>
      </c>
      <c r="J118" s="4" t="n">
        <v>135000</v>
      </c>
      <c r="K118" s="4" t="n">
        <v>19000</v>
      </c>
      <c r="L118" s="5" t="n">
        <v>0.85926</v>
      </c>
      <c r="M118" s="4" t="n">
        <v>23</v>
      </c>
      <c r="N118" s="4" t="n">
        <v>0</v>
      </c>
      <c r="O118" s="4" t="n">
        <v>0</v>
      </c>
      <c r="P118" s="4" t="n">
        <v>0</v>
      </c>
      <c r="Q118" s="4" t="n">
        <v>0</v>
      </c>
      <c r="R118" s="4" t="n">
        <f aca="false">M118+N118+O118+P118+Q118</f>
        <v>23</v>
      </c>
      <c r="S118" s="4" t="n">
        <v>7</v>
      </c>
      <c r="T118" s="4" t="n">
        <f aca="false">R118*K118</f>
        <v>437000</v>
      </c>
      <c r="U118" s="9" t="n">
        <f aca="false">IFERROR(M118/S118,0)</f>
        <v>3.28571428571429</v>
      </c>
      <c r="V118" s="5" t="n">
        <v>-3.6316</v>
      </c>
    </row>
    <row r="119" customFormat="false" ht="15" hidden="false" customHeight="false" outlineLevel="0" collapsed="false">
      <c r="A119" s="8" t="s">
        <v>139</v>
      </c>
      <c r="B119" s="8" t="s">
        <v>23</v>
      </c>
      <c r="C119" s="8" t="s">
        <v>1067</v>
      </c>
      <c r="D119" s="8" t="n">
        <v>143163</v>
      </c>
      <c r="E119" s="8" t="s">
        <v>986</v>
      </c>
      <c r="F119" s="8" t="s">
        <v>818</v>
      </c>
      <c r="G119" s="8" t="s">
        <v>970</v>
      </c>
      <c r="H119" s="8" t="s">
        <v>51</v>
      </c>
      <c r="I119" s="8" t="s">
        <v>140</v>
      </c>
      <c r="J119" s="4" t="n">
        <v>125000</v>
      </c>
      <c r="K119" s="4" t="n">
        <v>19000</v>
      </c>
      <c r="L119" s="5" t="n">
        <v>0.848</v>
      </c>
      <c r="M119" s="4" t="n">
        <v>23</v>
      </c>
      <c r="N119" s="4" t="n">
        <v>0</v>
      </c>
      <c r="O119" s="4" t="n">
        <v>0</v>
      </c>
      <c r="P119" s="4" t="n">
        <v>0</v>
      </c>
      <c r="Q119" s="4" t="n">
        <v>0</v>
      </c>
      <c r="R119" s="4" t="n">
        <f aca="false">M119+N119+O119+P119+Q119</f>
        <v>23</v>
      </c>
      <c r="S119" s="4" t="n">
        <v>2</v>
      </c>
      <c r="T119" s="4" t="n">
        <f aca="false">R119*K119</f>
        <v>437000</v>
      </c>
      <c r="U119" s="9" t="n">
        <f aca="false">IFERROR(M119/S119,0)</f>
        <v>11.5</v>
      </c>
      <c r="V119" s="5" t="n">
        <v>-3.6316</v>
      </c>
    </row>
    <row r="120" customFormat="false" ht="15" hidden="false" customHeight="false" outlineLevel="0" collapsed="false">
      <c r="A120" s="8" t="s">
        <v>139</v>
      </c>
      <c r="B120" s="8" t="s">
        <v>23</v>
      </c>
      <c r="C120" s="8" t="s">
        <v>1067</v>
      </c>
      <c r="D120" s="8" t="n">
        <v>142997</v>
      </c>
      <c r="E120" s="8" t="s">
        <v>973</v>
      </c>
      <c r="F120" s="8" t="s">
        <v>818</v>
      </c>
      <c r="G120" s="8" t="s">
        <v>970</v>
      </c>
      <c r="H120" s="8" t="s">
        <v>51</v>
      </c>
      <c r="I120" s="8" t="s">
        <v>140</v>
      </c>
      <c r="J120" s="4" t="n">
        <v>145000</v>
      </c>
      <c r="K120" s="4" t="n">
        <v>19000</v>
      </c>
      <c r="L120" s="5" t="n">
        <v>0.86897</v>
      </c>
      <c r="M120" s="4" t="n">
        <v>16</v>
      </c>
      <c r="N120" s="4" t="n">
        <v>4</v>
      </c>
      <c r="O120" s="4" t="n">
        <v>0</v>
      </c>
      <c r="P120" s="4" t="n">
        <v>0</v>
      </c>
      <c r="Q120" s="4" t="n">
        <v>0</v>
      </c>
      <c r="R120" s="4" t="n">
        <f aca="false">M120+N120+O120+P120+Q120</f>
        <v>20</v>
      </c>
      <c r="S120" s="4" t="n">
        <v>6</v>
      </c>
      <c r="T120" s="4" t="n">
        <f aca="false">R120*K120</f>
        <v>380000</v>
      </c>
      <c r="U120" s="9" t="n">
        <f aca="false">IFERROR(M120/S120,0)</f>
        <v>2.66666666666667</v>
      </c>
      <c r="V120" s="5" t="n">
        <v>-4.3684</v>
      </c>
    </row>
    <row r="121" customFormat="false" ht="15" hidden="false" customHeight="false" outlineLevel="0" collapsed="false">
      <c r="A121" s="8" t="s">
        <v>139</v>
      </c>
      <c r="B121" s="8" t="s">
        <v>23</v>
      </c>
      <c r="C121" s="8" t="s">
        <v>1067</v>
      </c>
      <c r="D121" s="8" t="n">
        <v>142446</v>
      </c>
      <c r="E121" s="8" t="s">
        <v>976</v>
      </c>
      <c r="F121" s="8" t="s">
        <v>818</v>
      </c>
      <c r="G121" s="8" t="s">
        <v>970</v>
      </c>
      <c r="H121" s="8" t="s">
        <v>51</v>
      </c>
      <c r="I121" s="8" t="s">
        <v>140</v>
      </c>
      <c r="J121" s="4" t="n">
        <v>159000</v>
      </c>
      <c r="K121" s="4" t="n">
        <v>20000</v>
      </c>
      <c r="L121" s="5" t="n">
        <v>0.8805</v>
      </c>
      <c r="M121" s="4" t="n">
        <v>16</v>
      </c>
      <c r="N121" s="4" t="n">
        <v>0</v>
      </c>
      <c r="O121" s="4" t="n">
        <v>0</v>
      </c>
      <c r="P121" s="4" t="n">
        <v>0</v>
      </c>
      <c r="Q121" s="4" t="n">
        <v>0</v>
      </c>
      <c r="R121" s="4" t="n">
        <f aca="false">M121+N121+O121+P121+Q121</f>
        <v>16</v>
      </c>
      <c r="S121" s="4" t="n">
        <v>3</v>
      </c>
      <c r="T121" s="4" t="n">
        <f aca="false">R121*K121</f>
        <v>320000</v>
      </c>
      <c r="U121" s="9" t="n">
        <f aca="false">IFERROR(M121/S121,0)</f>
        <v>5.33333333333333</v>
      </c>
      <c r="V121" s="5" t="n">
        <v>-4.25</v>
      </c>
    </row>
    <row r="122" customFormat="false" ht="15" hidden="false" customHeight="false" outlineLevel="0" collapsed="false">
      <c r="A122" s="8" t="s">
        <v>139</v>
      </c>
      <c r="B122" s="8" t="s">
        <v>23</v>
      </c>
      <c r="C122" s="8" t="s">
        <v>1067</v>
      </c>
      <c r="D122" s="8" t="n">
        <v>143006</v>
      </c>
      <c r="E122" s="8" t="s">
        <v>982</v>
      </c>
      <c r="F122" s="8" t="s">
        <v>818</v>
      </c>
      <c r="G122" s="8" t="s">
        <v>970</v>
      </c>
      <c r="H122" s="8" t="s">
        <v>51</v>
      </c>
      <c r="I122" s="8" t="s">
        <v>140</v>
      </c>
      <c r="J122" s="4" t="n">
        <v>145000</v>
      </c>
      <c r="K122" s="4" t="n">
        <v>19000</v>
      </c>
      <c r="L122" s="5" t="n">
        <v>0.86897</v>
      </c>
      <c r="M122" s="4" t="n">
        <v>15</v>
      </c>
      <c r="N122" s="4" t="n">
        <v>0</v>
      </c>
      <c r="O122" s="4" t="n">
        <v>0</v>
      </c>
      <c r="P122" s="4" t="n">
        <v>0</v>
      </c>
      <c r="Q122" s="4" t="n">
        <v>0</v>
      </c>
      <c r="R122" s="4" t="n">
        <f aca="false">M122+N122+O122+P122+Q122</f>
        <v>15</v>
      </c>
      <c r="S122" s="4" t="n">
        <v>6</v>
      </c>
      <c r="T122" s="4" t="n">
        <f aca="false">R122*K122</f>
        <v>285000</v>
      </c>
      <c r="U122" s="9" t="n">
        <f aca="false">IFERROR(M122/S122,0)</f>
        <v>2.5</v>
      </c>
      <c r="V122" s="5" t="n">
        <v>-3.6316</v>
      </c>
    </row>
    <row r="123" customFormat="false" ht="15" hidden="false" customHeight="false" outlineLevel="0" collapsed="false">
      <c r="A123" s="8" t="s">
        <v>139</v>
      </c>
      <c r="B123" s="8" t="s">
        <v>23</v>
      </c>
      <c r="C123" s="8" t="s">
        <v>1067</v>
      </c>
      <c r="D123" s="8" t="n">
        <v>143009</v>
      </c>
      <c r="E123" s="8" t="s">
        <v>997</v>
      </c>
      <c r="F123" s="8" t="s">
        <v>818</v>
      </c>
      <c r="G123" s="8" t="s">
        <v>970</v>
      </c>
      <c r="H123" s="8" t="s">
        <v>51</v>
      </c>
      <c r="I123" s="8" t="s">
        <v>140</v>
      </c>
      <c r="J123" s="4" t="n">
        <v>65000</v>
      </c>
      <c r="K123" s="4" t="n">
        <v>20000</v>
      </c>
      <c r="L123" s="5" t="n">
        <v>0.70769</v>
      </c>
      <c r="M123" s="4" t="n">
        <v>13</v>
      </c>
      <c r="N123" s="4" t="n">
        <v>0</v>
      </c>
      <c r="O123" s="4" t="n">
        <v>0</v>
      </c>
      <c r="P123" s="4" t="n">
        <v>0</v>
      </c>
      <c r="Q123" s="4" t="n">
        <v>0</v>
      </c>
      <c r="R123" s="4" t="n">
        <f aca="false">M123+N123+O123+P123+Q123</f>
        <v>13</v>
      </c>
      <c r="S123" s="4" t="n">
        <v>6</v>
      </c>
      <c r="T123" s="4" t="n">
        <f aca="false">R123*K123</f>
        <v>260000</v>
      </c>
      <c r="U123" s="9" t="n">
        <f aca="false">IFERROR(M123/S123,0)</f>
        <v>2.16666666666667</v>
      </c>
      <c r="V123" s="5" t="n">
        <v>-1.3</v>
      </c>
    </row>
    <row r="124" customFormat="false" ht="15" hidden="false" customHeight="false" outlineLevel="0" collapsed="false">
      <c r="A124" s="8" t="s">
        <v>139</v>
      </c>
      <c r="B124" s="8" t="s">
        <v>23</v>
      </c>
      <c r="C124" s="8" t="s">
        <v>1067</v>
      </c>
      <c r="D124" s="8" t="n">
        <v>143005</v>
      </c>
      <c r="E124" s="8" t="s">
        <v>984</v>
      </c>
      <c r="F124" s="8" t="s">
        <v>818</v>
      </c>
      <c r="G124" s="8" t="s">
        <v>970</v>
      </c>
      <c r="H124" s="8" t="s">
        <v>51</v>
      </c>
      <c r="I124" s="8" t="s">
        <v>140</v>
      </c>
      <c r="J124" s="4" t="n">
        <v>145000</v>
      </c>
      <c r="K124" s="4" t="n">
        <v>19000</v>
      </c>
      <c r="L124" s="5" t="n">
        <v>0.86897</v>
      </c>
      <c r="M124" s="4" t="n">
        <v>12</v>
      </c>
      <c r="N124" s="4" t="n">
        <v>0</v>
      </c>
      <c r="O124" s="4" t="n">
        <v>0</v>
      </c>
      <c r="P124" s="4" t="n">
        <v>0</v>
      </c>
      <c r="Q124" s="4" t="n">
        <v>0</v>
      </c>
      <c r="R124" s="4" t="n">
        <f aca="false">M124+N124+O124+P124+Q124</f>
        <v>12</v>
      </c>
      <c r="S124" s="4" t="n">
        <v>5</v>
      </c>
      <c r="T124" s="4" t="n">
        <f aca="false">R124*K124</f>
        <v>228000</v>
      </c>
      <c r="U124" s="9" t="n">
        <f aca="false">IFERROR(M124/S124,0)</f>
        <v>2.4</v>
      </c>
      <c r="V124" s="5" t="n">
        <v>-3.6316</v>
      </c>
    </row>
    <row r="125" customFormat="false" ht="15" hidden="false" customHeight="false" outlineLevel="0" collapsed="false">
      <c r="A125" s="8" t="s">
        <v>139</v>
      </c>
      <c r="B125" s="8" t="s">
        <v>23</v>
      </c>
      <c r="C125" s="8" t="s">
        <v>1067</v>
      </c>
      <c r="D125" s="8" t="n">
        <v>142452</v>
      </c>
      <c r="E125" s="8" t="s">
        <v>977</v>
      </c>
      <c r="F125" s="8" t="s">
        <v>818</v>
      </c>
      <c r="G125" s="8" t="s">
        <v>970</v>
      </c>
      <c r="H125" s="8" t="s">
        <v>51</v>
      </c>
      <c r="I125" s="8" t="s">
        <v>140</v>
      </c>
      <c r="J125" s="4" t="n">
        <v>159000</v>
      </c>
      <c r="K125" s="4" t="n">
        <v>20000</v>
      </c>
      <c r="L125" s="5" t="n">
        <v>0.8805</v>
      </c>
      <c r="M125" s="4" t="n">
        <v>11</v>
      </c>
      <c r="N125" s="4" t="n">
        <v>0</v>
      </c>
      <c r="O125" s="4" t="n">
        <v>0</v>
      </c>
      <c r="P125" s="4" t="n">
        <v>0</v>
      </c>
      <c r="Q125" s="4" t="n">
        <v>0</v>
      </c>
      <c r="R125" s="4" t="n">
        <f aca="false">M125+N125+O125+P125+Q125</f>
        <v>11</v>
      </c>
      <c r="S125" s="4" t="n">
        <v>2</v>
      </c>
      <c r="T125" s="4" t="n">
        <f aca="false">R125*K125</f>
        <v>220000</v>
      </c>
      <c r="U125" s="9" t="n">
        <f aca="false">IFERROR(M125/S125,0)</f>
        <v>5.5</v>
      </c>
      <c r="V125" s="5" t="n">
        <v>-4.25</v>
      </c>
    </row>
    <row r="126" customFormat="false" ht="15" hidden="false" customHeight="false" outlineLevel="0" collapsed="false">
      <c r="A126" s="8" t="s">
        <v>139</v>
      </c>
      <c r="B126" s="8" t="s">
        <v>23</v>
      </c>
      <c r="C126" s="8" t="s">
        <v>1067</v>
      </c>
      <c r="D126" s="8" t="n">
        <v>142814</v>
      </c>
      <c r="E126" s="8" t="s">
        <v>979</v>
      </c>
      <c r="F126" s="8" t="s">
        <v>818</v>
      </c>
      <c r="G126" s="8" t="s">
        <v>970</v>
      </c>
      <c r="H126" s="8" t="s">
        <v>51</v>
      </c>
      <c r="I126" s="8" t="s">
        <v>140</v>
      </c>
      <c r="J126" s="4" t="n">
        <v>159000</v>
      </c>
      <c r="K126" s="4" t="n">
        <v>20000</v>
      </c>
      <c r="L126" s="5" t="n">
        <v>0.8805</v>
      </c>
      <c r="M126" s="4" t="n">
        <v>8</v>
      </c>
      <c r="N126" s="4" t="n">
        <v>0</v>
      </c>
      <c r="O126" s="4" t="n">
        <v>0</v>
      </c>
      <c r="P126" s="4" t="n">
        <v>0</v>
      </c>
      <c r="Q126" s="4" t="n">
        <v>0</v>
      </c>
      <c r="R126" s="4" t="n">
        <f aca="false">M126+N126+O126+P126+Q126</f>
        <v>8</v>
      </c>
      <c r="S126" s="4" t="n">
        <v>2</v>
      </c>
      <c r="T126" s="4" t="n">
        <f aca="false">R126*K126</f>
        <v>160000</v>
      </c>
      <c r="U126" s="9" t="n">
        <f aca="false">IFERROR(M126/S126,0)</f>
        <v>4</v>
      </c>
      <c r="V126" s="5" t="n">
        <v>-4.25</v>
      </c>
    </row>
    <row r="127" customFormat="false" ht="15" hidden="false" customHeight="false" outlineLevel="0" collapsed="false">
      <c r="A127" s="8" t="s">
        <v>139</v>
      </c>
      <c r="B127" s="8" t="s">
        <v>23</v>
      </c>
      <c r="C127" s="8" t="s">
        <v>1067</v>
      </c>
      <c r="D127" s="8" t="n">
        <v>143011</v>
      </c>
      <c r="E127" s="8" t="s">
        <v>999</v>
      </c>
      <c r="F127" s="8" t="s">
        <v>818</v>
      </c>
      <c r="G127" s="8" t="s">
        <v>970</v>
      </c>
      <c r="H127" s="8" t="s">
        <v>51</v>
      </c>
      <c r="I127" s="8" t="s">
        <v>140</v>
      </c>
      <c r="J127" s="4" t="n">
        <v>65000</v>
      </c>
      <c r="K127" s="4" t="n">
        <v>20000</v>
      </c>
      <c r="L127" s="5" t="n">
        <v>0.70769</v>
      </c>
      <c r="M127" s="4" t="n">
        <v>8</v>
      </c>
      <c r="N127" s="4" t="n">
        <v>0</v>
      </c>
      <c r="O127" s="4" t="n">
        <v>0</v>
      </c>
      <c r="P127" s="4" t="n">
        <v>0</v>
      </c>
      <c r="Q127" s="4" t="n">
        <v>0</v>
      </c>
      <c r="R127" s="4" t="n">
        <f aca="false">M127+N127+O127+P127+Q127</f>
        <v>8</v>
      </c>
      <c r="S127" s="4" t="n">
        <v>2</v>
      </c>
      <c r="T127" s="4" t="n">
        <f aca="false">R127*K127</f>
        <v>160000</v>
      </c>
      <c r="U127" s="9" t="n">
        <f aca="false">IFERROR(M127/S127,0)</f>
        <v>4</v>
      </c>
      <c r="V127" s="5" t="n">
        <v>-1.3</v>
      </c>
    </row>
    <row r="128" customFormat="false" ht="15" hidden="false" customHeight="false" outlineLevel="0" collapsed="false">
      <c r="A128" s="8" t="s">
        <v>139</v>
      </c>
      <c r="B128" s="8" t="s">
        <v>23</v>
      </c>
      <c r="C128" s="8" t="s">
        <v>1067</v>
      </c>
      <c r="D128" s="8" t="n">
        <v>143023</v>
      </c>
      <c r="E128" s="8" t="s">
        <v>983</v>
      </c>
      <c r="F128" s="8" t="s">
        <v>818</v>
      </c>
      <c r="G128" s="8" t="s">
        <v>970</v>
      </c>
      <c r="H128" s="8" t="s">
        <v>51</v>
      </c>
      <c r="I128" s="8" t="s">
        <v>140</v>
      </c>
      <c r="J128" s="4" t="n">
        <v>145000</v>
      </c>
      <c r="K128" s="4" t="n">
        <v>19000</v>
      </c>
      <c r="L128" s="5" t="n">
        <v>0.86897</v>
      </c>
      <c r="M128" s="4" t="n">
        <v>7</v>
      </c>
      <c r="N128" s="4" t="n">
        <v>0</v>
      </c>
      <c r="O128" s="4" t="n">
        <v>0</v>
      </c>
      <c r="P128" s="4" t="n">
        <v>0</v>
      </c>
      <c r="Q128" s="4" t="n">
        <v>0</v>
      </c>
      <c r="R128" s="4" t="n">
        <f aca="false">M128+N128+O128+P128+Q128</f>
        <v>7</v>
      </c>
      <c r="S128" s="4" t="n">
        <v>2</v>
      </c>
      <c r="T128" s="4" t="n">
        <f aca="false">R128*K128</f>
        <v>133000</v>
      </c>
      <c r="U128" s="9" t="n">
        <f aca="false">IFERROR(M128/S128,0)</f>
        <v>3.5</v>
      </c>
      <c r="V128" s="5" t="n">
        <v>-3.6316</v>
      </c>
    </row>
    <row r="129" customFormat="false" ht="15" hidden="false" customHeight="false" outlineLevel="0" collapsed="false">
      <c r="A129" s="8" t="s">
        <v>139</v>
      </c>
      <c r="B129" s="8" t="s">
        <v>23</v>
      </c>
      <c r="C129" s="8" t="s">
        <v>1067</v>
      </c>
      <c r="D129" s="8" t="n">
        <v>143010</v>
      </c>
      <c r="E129" s="8" t="s">
        <v>998</v>
      </c>
      <c r="F129" s="8" t="s">
        <v>818</v>
      </c>
      <c r="G129" s="8" t="s">
        <v>970</v>
      </c>
      <c r="H129" s="8" t="s">
        <v>51</v>
      </c>
      <c r="I129" s="8" t="s">
        <v>140</v>
      </c>
      <c r="J129" s="4" t="n">
        <v>65000</v>
      </c>
      <c r="K129" s="4" t="n">
        <v>20000</v>
      </c>
      <c r="L129" s="5" t="n">
        <v>0.70769</v>
      </c>
      <c r="M129" s="4" t="n">
        <v>7</v>
      </c>
      <c r="N129" s="4" t="n">
        <v>0</v>
      </c>
      <c r="O129" s="4" t="n">
        <v>0</v>
      </c>
      <c r="P129" s="4" t="n">
        <v>0</v>
      </c>
      <c r="Q129" s="4" t="n">
        <v>0</v>
      </c>
      <c r="R129" s="4" t="n">
        <f aca="false">M129+N129+O129+P129+Q129</f>
        <v>7</v>
      </c>
      <c r="S129" s="4" t="n">
        <v>4</v>
      </c>
      <c r="T129" s="4" t="n">
        <f aca="false">R129*K129</f>
        <v>140000</v>
      </c>
      <c r="U129" s="9" t="n">
        <f aca="false">IFERROR(M129/S129,0)</f>
        <v>1.75</v>
      </c>
      <c r="V129" s="5" t="n">
        <v>-1.3</v>
      </c>
    </row>
    <row r="130" customFormat="false" ht="15" hidden="false" customHeight="false" outlineLevel="0" collapsed="false">
      <c r="A130" s="8" t="s">
        <v>139</v>
      </c>
      <c r="B130" s="8" t="s">
        <v>23</v>
      </c>
      <c r="C130" s="8" t="s">
        <v>1067</v>
      </c>
      <c r="D130" s="8" t="n">
        <v>143017</v>
      </c>
      <c r="E130" s="8" t="s">
        <v>975</v>
      </c>
      <c r="F130" s="8" t="s">
        <v>818</v>
      </c>
      <c r="G130" s="8" t="s">
        <v>970</v>
      </c>
      <c r="H130" s="8" t="s">
        <v>51</v>
      </c>
      <c r="I130" s="8" t="s">
        <v>140</v>
      </c>
      <c r="J130" s="4" t="n">
        <v>145000</v>
      </c>
      <c r="K130" s="4" t="n">
        <v>19000</v>
      </c>
      <c r="L130" s="5" t="n">
        <v>0.86897</v>
      </c>
      <c r="M130" s="4" t="n">
        <v>3</v>
      </c>
      <c r="N130" s="4" t="n">
        <v>0</v>
      </c>
      <c r="O130" s="4" t="n">
        <v>0</v>
      </c>
      <c r="P130" s="4" t="n">
        <v>0</v>
      </c>
      <c r="Q130" s="4" t="n">
        <v>0</v>
      </c>
      <c r="R130" s="4" t="n">
        <f aca="false">M130+N130+O130+P130+Q130</f>
        <v>3</v>
      </c>
      <c r="S130" s="4" t="n">
        <v>3</v>
      </c>
      <c r="T130" s="4" t="n">
        <f aca="false">R130*K130</f>
        <v>57000</v>
      </c>
      <c r="U130" s="9" t="n">
        <f aca="false">IFERROR(M130/S130,0)</f>
        <v>1</v>
      </c>
      <c r="V130" s="5" t="n">
        <v>-4.3684</v>
      </c>
    </row>
    <row r="131" customFormat="false" ht="15" hidden="false" customHeight="false" outlineLevel="0" collapsed="false">
      <c r="A131" s="8" t="s">
        <v>139</v>
      </c>
      <c r="B131" s="8" t="s">
        <v>23</v>
      </c>
      <c r="C131" s="8" t="s">
        <v>1067</v>
      </c>
      <c r="D131" s="8" t="n">
        <v>143026</v>
      </c>
      <c r="E131" s="8" t="s">
        <v>996</v>
      </c>
      <c r="F131" s="8" t="s">
        <v>818</v>
      </c>
      <c r="G131" s="8" t="s">
        <v>970</v>
      </c>
      <c r="H131" s="8" t="s">
        <v>51</v>
      </c>
      <c r="I131" s="8" t="s">
        <v>140</v>
      </c>
      <c r="J131" s="4" t="n">
        <v>65000</v>
      </c>
      <c r="K131" s="4" t="n">
        <v>20000</v>
      </c>
      <c r="L131" s="5" t="n">
        <v>0.70769</v>
      </c>
      <c r="M131" s="4" t="n">
        <v>3</v>
      </c>
      <c r="N131" s="4" t="n">
        <v>0</v>
      </c>
      <c r="O131" s="4" t="n">
        <v>0</v>
      </c>
      <c r="P131" s="4" t="n">
        <v>0</v>
      </c>
      <c r="Q131" s="4" t="n">
        <v>0</v>
      </c>
      <c r="R131" s="4" t="n">
        <f aca="false">M131+N131+O131+P131+Q131</f>
        <v>3</v>
      </c>
      <c r="S131" s="4" t="n">
        <v>1</v>
      </c>
      <c r="T131" s="4" t="n">
        <f aca="false">R131*K131</f>
        <v>60000</v>
      </c>
      <c r="U131" s="9" t="n">
        <f aca="false">IFERROR(M131/S131,0)</f>
        <v>3</v>
      </c>
      <c r="V131" s="5" t="n">
        <v>-1.3</v>
      </c>
    </row>
    <row r="132" customFormat="false" ht="15" hidden="false" customHeight="false" outlineLevel="0" collapsed="false">
      <c r="A132" s="8" t="s">
        <v>139</v>
      </c>
      <c r="B132" s="8" t="s">
        <v>23</v>
      </c>
      <c r="C132" s="8" t="s">
        <v>1067</v>
      </c>
      <c r="D132" s="8" t="n">
        <v>143000</v>
      </c>
      <c r="E132" s="8" t="s">
        <v>981</v>
      </c>
      <c r="F132" s="8" t="s">
        <v>818</v>
      </c>
      <c r="G132" s="8" t="s">
        <v>970</v>
      </c>
      <c r="H132" s="8" t="s">
        <v>51</v>
      </c>
      <c r="I132" s="8" t="s">
        <v>140</v>
      </c>
      <c r="J132" s="4" t="n">
        <v>145000</v>
      </c>
      <c r="K132" s="4" t="n">
        <v>19000</v>
      </c>
      <c r="L132" s="5" t="n">
        <v>0.86897</v>
      </c>
      <c r="M132" s="4" t="n">
        <v>2</v>
      </c>
      <c r="N132" s="4" t="n">
        <v>0</v>
      </c>
      <c r="O132" s="4" t="n">
        <v>0</v>
      </c>
      <c r="P132" s="4" t="n">
        <v>0</v>
      </c>
      <c r="Q132" s="4" t="n">
        <v>0</v>
      </c>
      <c r="R132" s="4" t="n">
        <f aca="false">M132+N132+O132+P132+Q132</f>
        <v>2</v>
      </c>
      <c r="S132" s="4" t="n">
        <v>1</v>
      </c>
      <c r="T132" s="4" t="n">
        <f aca="false">R132*K132</f>
        <v>38000</v>
      </c>
      <c r="U132" s="9" t="n">
        <f aca="false">IFERROR(M132/S132,0)</f>
        <v>2</v>
      </c>
      <c r="V132" s="5" t="n">
        <v>-3.6316</v>
      </c>
    </row>
    <row r="133" customFormat="false" ht="15" hidden="false" customHeight="false" outlineLevel="0" collapsed="false">
      <c r="A133" s="8" t="s">
        <v>139</v>
      </c>
      <c r="B133" s="8" t="s">
        <v>23</v>
      </c>
      <c r="C133" s="8" t="s">
        <v>1067</v>
      </c>
      <c r="D133" s="8" t="n">
        <v>142453</v>
      </c>
      <c r="E133" s="8" t="s">
        <v>972</v>
      </c>
      <c r="F133" s="8" t="s">
        <v>818</v>
      </c>
      <c r="G133" s="8" t="s">
        <v>970</v>
      </c>
      <c r="H133" s="8" t="s">
        <v>51</v>
      </c>
      <c r="I133" s="8" t="s">
        <v>140</v>
      </c>
      <c r="J133" s="4" t="n">
        <v>189000</v>
      </c>
      <c r="K133" s="4" t="n">
        <v>20000</v>
      </c>
      <c r="L133" s="5" t="n">
        <v>0.89947</v>
      </c>
      <c r="M133" s="4" t="n">
        <v>1</v>
      </c>
      <c r="N133" s="4" t="n">
        <v>0</v>
      </c>
      <c r="O133" s="4" t="n">
        <v>0</v>
      </c>
      <c r="P133" s="4" t="n">
        <v>0</v>
      </c>
      <c r="Q133" s="4" t="n">
        <v>0</v>
      </c>
      <c r="R133" s="4" t="n">
        <f aca="false">M133+N133+O133+P133+Q133</f>
        <v>1</v>
      </c>
      <c r="S133" s="4" t="n">
        <v>1</v>
      </c>
      <c r="T133" s="4" t="n">
        <f aca="false">R133*K133</f>
        <v>20000</v>
      </c>
      <c r="U133" s="9" t="n">
        <f aca="false">IFERROR(M133/S133,0)</f>
        <v>1</v>
      </c>
      <c r="V133" s="5" t="n">
        <v>-4.75</v>
      </c>
    </row>
    <row r="134" customFormat="false" ht="15" hidden="false" customHeight="false" outlineLevel="0" collapsed="false">
      <c r="A134" s="8" t="s">
        <v>139</v>
      </c>
      <c r="B134" s="8" t="s">
        <v>23</v>
      </c>
      <c r="C134" s="8" t="s">
        <v>1067</v>
      </c>
      <c r="D134" s="8" t="n">
        <v>142454</v>
      </c>
      <c r="E134" s="8" t="s">
        <v>978</v>
      </c>
      <c r="F134" s="8" t="s">
        <v>818</v>
      </c>
      <c r="G134" s="8" t="s">
        <v>970</v>
      </c>
      <c r="H134" s="8" t="s">
        <v>51</v>
      </c>
      <c r="I134" s="8" t="s">
        <v>140</v>
      </c>
      <c r="J134" s="4" t="n">
        <v>159000</v>
      </c>
      <c r="K134" s="4" t="n">
        <v>20000</v>
      </c>
      <c r="L134" s="5" t="n">
        <v>0.8805</v>
      </c>
      <c r="M134" s="4" t="n">
        <v>1</v>
      </c>
      <c r="N134" s="4" t="n">
        <v>0</v>
      </c>
      <c r="O134" s="4" t="n">
        <v>0</v>
      </c>
      <c r="P134" s="4" t="n">
        <v>0</v>
      </c>
      <c r="Q134" s="4" t="n">
        <v>0</v>
      </c>
      <c r="R134" s="4" t="n">
        <f aca="false">M134+N134+O134+P134+Q134</f>
        <v>1</v>
      </c>
      <c r="S134" s="4" t="n">
        <v>1</v>
      </c>
      <c r="T134" s="4" t="n">
        <f aca="false">R134*K134</f>
        <v>20000</v>
      </c>
      <c r="U134" s="9" t="n">
        <f aca="false">IFERROR(M134/S134,0)</f>
        <v>1</v>
      </c>
      <c r="V134" s="5" t="n">
        <v>-4.25</v>
      </c>
    </row>
    <row r="135" customFormat="false" ht="15" hidden="false" customHeight="false" outlineLevel="0" collapsed="false">
      <c r="A135" s="8" t="s">
        <v>139</v>
      </c>
      <c r="B135" s="8" t="s">
        <v>23</v>
      </c>
      <c r="C135" s="8" t="s">
        <v>1067</v>
      </c>
      <c r="D135" s="8" t="n">
        <v>143025</v>
      </c>
      <c r="E135" s="8" t="s">
        <v>817</v>
      </c>
      <c r="F135" s="8" t="s">
        <v>818</v>
      </c>
      <c r="G135" s="8" t="s">
        <v>970</v>
      </c>
      <c r="H135" s="8" t="s">
        <v>51</v>
      </c>
      <c r="I135" s="8" t="s">
        <v>140</v>
      </c>
      <c r="J135" s="4" t="n">
        <v>125000</v>
      </c>
      <c r="K135" s="4" t="n">
        <v>19000</v>
      </c>
      <c r="L135" s="5" t="n">
        <v>0.848</v>
      </c>
      <c r="M135" s="4" t="n">
        <v>0</v>
      </c>
      <c r="N135" s="4" t="n">
        <v>0</v>
      </c>
      <c r="O135" s="4" t="n">
        <v>0</v>
      </c>
      <c r="P135" s="4" t="n">
        <v>0</v>
      </c>
      <c r="Q135" s="4" t="n">
        <v>0</v>
      </c>
      <c r="R135" s="4" t="n">
        <f aca="false">M135+N135+O135+P135+Q135</f>
        <v>0</v>
      </c>
      <c r="S135" s="4" t="n">
        <v>0</v>
      </c>
      <c r="T135" s="4" t="n">
        <f aca="false">R135*K135</f>
        <v>0</v>
      </c>
      <c r="U135" s="9" t="n">
        <f aca="false">IFERROR(M135/S135,0)</f>
        <v>0</v>
      </c>
      <c r="V135" s="5" t="n">
        <v>-3.6316</v>
      </c>
    </row>
    <row r="136" customFormat="false" ht="15" hidden="false" customHeight="false" outlineLevel="0" collapsed="false">
      <c r="A136" s="8" t="s">
        <v>139</v>
      </c>
      <c r="B136" s="8" t="s">
        <v>23</v>
      </c>
      <c r="C136" s="8" t="s">
        <v>1068</v>
      </c>
      <c r="D136" s="8" t="n">
        <v>175848</v>
      </c>
      <c r="E136" s="8" t="s">
        <v>819</v>
      </c>
      <c r="F136" s="8" t="s">
        <v>794</v>
      </c>
      <c r="G136" s="8" t="s">
        <v>970</v>
      </c>
      <c r="H136" s="8" t="s">
        <v>51</v>
      </c>
      <c r="I136" s="8" t="s">
        <v>140</v>
      </c>
      <c r="J136" s="4" t="n">
        <v>95000</v>
      </c>
      <c r="K136" s="4" t="n">
        <v>19000</v>
      </c>
      <c r="L136" s="5" t="n">
        <v>0.8</v>
      </c>
      <c r="M136" s="4" t="n">
        <v>0</v>
      </c>
      <c r="N136" s="4" t="n">
        <v>0</v>
      </c>
      <c r="O136" s="4" t="n">
        <v>0</v>
      </c>
      <c r="P136" s="4" t="n">
        <v>0</v>
      </c>
      <c r="Q136" s="4" t="n">
        <v>0</v>
      </c>
      <c r="R136" s="4" t="n">
        <f aca="false">M136+N136+O136+P136+Q136</f>
        <v>0</v>
      </c>
      <c r="S136" s="4" t="n">
        <v>0</v>
      </c>
      <c r="T136" s="4" t="n">
        <f aca="false">R136*K136</f>
        <v>0</v>
      </c>
      <c r="U136" s="9" t="n">
        <f aca="false">IFERROR(M136/S136,0)</f>
        <v>0</v>
      </c>
      <c r="V136" s="5" t="n">
        <v>-3.2105</v>
      </c>
    </row>
    <row r="137" customFormat="false" ht="15" hidden="false" customHeight="false" outlineLevel="0" collapsed="false">
      <c r="A137" s="8" t="s">
        <v>139</v>
      </c>
      <c r="B137" s="8" t="s">
        <v>23</v>
      </c>
      <c r="C137" s="8" t="s">
        <v>1068</v>
      </c>
      <c r="D137" s="8" t="n">
        <v>175891</v>
      </c>
      <c r="E137" s="8" t="s">
        <v>820</v>
      </c>
      <c r="F137" s="8" t="s">
        <v>794</v>
      </c>
      <c r="G137" s="8" t="s">
        <v>970</v>
      </c>
      <c r="H137" s="8" t="s">
        <v>51</v>
      </c>
      <c r="I137" s="8" t="s">
        <v>140</v>
      </c>
      <c r="J137" s="4" t="n">
        <v>95000</v>
      </c>
      <c r="K137" s="4" t="n">
        <v>19000</v>
      </c>
      <c r="L137" s="5" t="n">
        <v>0.8</v>
      </c>
      <c r="M137" s="4" t="n">
        <v>0</v>
      </c>
      <c r="N137" s="4" t="n">
        <v>0</v>
      </c>
      <c r="O137" s="4" t="n">
        <v>0</v>
      </c>
      <c r="P137" s="4" t="n">
        <v>0</v>
      </c>
      <c r="Q137" s="4" t="n">
        <v>0</v>
      </c>
      <c r="R137" s="4" t="n">
        <f aca="false">M137+N137+O137+P137+Q137</f>
        <v>0</v>
      </c>
      <c r="S137" s="4" t="n">
        <v>0</v>
      </c>
      <c r="T137" s="4" t="n">
        <f aca="false">R137*K137</f>
        <v>0</v>
      </c>
      <c r="U137" s="9" t="n">
        <f aca="false">IFERROR(M137/S137,0)</f>
        <v>0</v>
      </c>
      <c r="V137" s="5" t="n">
        <v>-3.2105</v>
      </c>
    </row>
    <row r="138" customFormat="false" ht="15" hidden="false" customHeight="false" outlineLevel="0" collapsed="false">
      <c r="A138" s="8" t="s">
        <v>139</v>
      </c>
      <c r="B138" s="8" t="s">
        <v>23</v>
      </c>
      <c r="C138" s="8" t="s">
        <v>1068</v>
      </c>
      <c r="D138" s="8" t="n">
        <v>176066</v>
      </c>
      <c r="E138" s="8" t="s">
        <v>819</v>
      </c>
      <c r="F138" s="8" t="s">
        <v>794</v>
      </c>
      <c r="G138" s="8" t="s">
        <v>970</v>
      </c>
      <c r="H138" s="8" t="s">
        <v>51</v>
      </c>
      <c r="I138" s="8" t="s">
        <v>140</v>
      </c>
      <c r="J138" s="4" t="n">
        <v>120000</v>
      </c>
      <c r="K138" s="4" t="n">
        <v>19000</v>
      </c>
      <c r="L138" s="5" t="n">
        <v>0.84167</v>
      </c>
      <c r="M138" s="4" t="n">
        <v>0</v>
      </c>
      <c r="N138" s="4" t="n">
        <v>0</v>
      </c>
      <c r="O138" s="4" t="n">
        <v>0</v>
      </c>
      <c r="P138" s="4" t="n">
        <v>0</v>
      </c>
      <c r="Q138" s="4" t="n">
        <v>0</v>
      </c>
      <c r="R138" s="4" t="n">
        <f aca="false">M138+N138+O138+P138+Q138</f>
        <v>0</v>
      </c>
      <c r="S138" s="4" t="n">
        <v>0</v>
      </c>
      <c r="T138" s="4" t="n">
        <f aca="false">R138*K138</f>
        <v>0</v>
      </c>
      <c r="U138" s="9" t="n">
        <f aca="false">IFERROR(M138/S138,0)</f>
        <v>0</v>
      </c>
      <c r="V138" s="5" t="n">
        <v>-4</v>
      </c>
    </row>
    <row r="139" customFormat="false" ht="15" hidden="false" customHeight="false" outlineLevel="0" collapsed="false">
      <c r="A139" s="8" t="s">
        <v>139</v>
      </c>
      <c r="B139" s="8" t="s">
        <v>23</v>
      </c>
      <c r="C139" s="8" t="s">
        <v>1069</v>
      </c>
      <c r="D139" s="8" t="n">
        <v>175828</v>
      </c>
      <c r="E139" s="8" t="s">
        <v>821</v>
      </c>
      <c r="F139" s="8" t="s">
        <v>794</v>
      </c>
      <c r="G139" s="8" t="s">
        <v>970</v>
      </c>
      <c r="H139" s="8" t="s">
        <v>51</v>
      </c>
      <c r="I139" s="8" t="s">
        <v>140</v>
      </c>
      <c r="J139" s="4" t="n">
        <v>95000</v>
      </c>
      <c r="K139" s="4" t="n">
        <v>19000</v>
      </c>
      <c r="L139" s="5" t="n">
        <v>0.8</v>
      </c>
      <c r="M139" s="4" t="n">
        <v>0</v>
      </c>
      <c r="N139" s="4" t="n">
        <v>0</v>
      </c>
      <c r="O139" s="4" t="n">
        <v>0</v>
      </c>
      <c r="P139" s="4" t="n">
        <v>0</v>
      </c>
      <c r="Q139" s="4" t="n">
        <v>0</v>
      </c>
      <c r="R139" s="4" t="n">
        <f aca="false">M139+N139+O139+P139+Q139</f>
        <v>0</v>
      </c>
      <c r="S139" s="4" t="n">
        <v>0</v>
      </c>
      <c r="T139" s="4" t="n">
        <f aca="false">R139*K139</f>
        <v>0</v>
      </c>
      <c r="U139" s="9" t="n">
        <f aca="false">IFERROR(M139/S139,0)</f>
        <v>0</v>
      </c>
      <c r="V139" s="5" t="n">
        <v>-3.2105</v>
      </c>
    </row>
    <row r="140" customFormat="false" ht="15" hidden="false" customHeight="false" outlineLevel="0" collapsed="false">
      <c r="A140" s="8" t="s">
        <v>139</v>
      </c>
      <c r="B140" s="8" t="s">
        <v>23</v>
      </c>
      <c r="C140" s="8" t="s">
        <v>1067</v>
      </c>
      <c r="D140" s="8" t="n">
        <v>142455</v>
      </c>
      <c r="E140" s="8" t="s">
        <v>822</v>
      </c>
      <c r="F140" s="8" t="s">
        <v>818</v>
      </c>
      <c r="G140" s="8" t="s">
        <v>970</v>
      </c>
      <c r="H140" s="8" t="s">
        <v>51</v>
      </c>
      <c r="I140" s="8" t="s">
        <v>140</v>
      </c>
      <c r="J140" s="4" t="n">
        <v>189000</v>
      </c>
      <c r="K140" s="4" t="n">
        <v>20000</v>
      </c>
      <c r="L140" s="5" t="n">
        <v>0.89947</v>
      </c>
      <c r="M140" s="4" t="n">
        <v>0</v>
      </c>
      <c r="N140" s="4" t="n">
        <v>0</v>
      </c>
      <c r="O140" s="4" t="n">
        <v>0</v>
      </c>
      <c r="P140" s="4" t="n">
        <v>0</v>
      </c>
      <c r="Q140" s="4" t="n">
        <v>0</v>
      </c>
      <c r="R140" s="4" t="n">
        <f aca="false">M140+N140+O140+P140+Q140</f>
        <v>0</v>
      </c>
      <c r="S140" s="4" t="n">
        <v>0</v>
      </c>
      <c r="T140" s="4" t="n">
        <f aca="false">R140*K140</f>
        <v>0</v>
      </c>
      <c r="U140" s="9" t="n">
        <f aca="false">IFERROR(M140/S140,0)</f>
        <v>0</v>
      </c>
      <c r="V140" s="5" t="n">
        <v>-4.75</v>
      </c>
    </row>
    <row r="141" customFormat="false" ht="15" hidden="false" customHeight="false" outlineLevel="0" collapsed="false">
      <c r="A141" s="8" t="s">
        <v>139</v>
      </c>
      <c r="B141" s="8" t="s">
        <v>23</v>
      </c>
      <c r="C141" s="8" t="s">
        <v>1070</v>
      </c>
      <c r="D141" s="8" t="n">
        <v>175907</v>
      </c>
      <c r="E141" s="8" t="s">
        <v>823</v>
      </c>
      <c r="F141" s="8" t="s">
        <v>794</v>
      </c>
      <c r="G141" s="8" t="s">
        <v>970</v>
      </c>
      <c r="H141" s="8" t="s">
        <v>51</v>
      </c>
      <c r="I141" s="8" t="s">
        <v>140</v>
      </c>
      <c r="J141" s="4" t="n">
        <v>95000</v>
      </c>
      <c r="K141" s="4" t="n">
        <v>19000</v>
      </c>
      <c r="L141" s="5" t="n">
        <v>0.8</v>
      </c>
      <c r="M141" s="4" t="n">
        <v>0</v>
      </c>
      <c r="N141" s="4" t="n">
        <v>0</v>
      </c>
      <c r="O141" s="4" t="n">
        <v>0</v>
      </c>
      <c r="P141" s="4" t="n">
        <v>0</v>
      </c>
      <c r="Q141" s="4" t="n">
        <v>0</v>
      </c>
      <c r="R141" s="4" t="n">
        <f aca="false">M141+N141+O141+P141+Q141</f>
        <v>0</v>
      </c>
      <c r="S141" s="4" t="n">
        <v>0</v>
      </c>
      <c r="T141" s="4" t="n">
        <f aca="false">R141*K141</f>
        <v>0</v>
      </c>
      <c r="U141" s="9" t="n">
        <f aca="false">IFERROR(M141/S141,0)</f>
        <v>0</v>
      </c>
      <c r="V141" s="5" t="n">
        <v>-3.2105</v>
      </c>
    </row>
    <row r="142" customFormat="false" ht="15" hidden="false" customHeight="false" outlineLevel="0" collapsed="false">
      <c r="A142" s="8" t="s">
        <v>139</v>
      </c>
      <c r="B142" s="8" t="s">
        <v>23</v>
      </c>
      <c r="C142" s="8" t="s">
        <v>1071</v>
      </c>
      <c r="D142" s="8" t="n">
        <v>176087</v>
      </c>
      <c r="E142" s="8" t="s">
        <v>824</v>
      </c>
      <c r="F142" s="8" t="s">
        <v>794</v>
      </c>
      <c r="G142" s="8" t="s">
        <v>970</v>
      </c>
      <c r="H142" s="8" t="s">
        <v>51</v>
      </c>
      <c r="I142" s="8" t="s">
        <v>140</v>
      </c>
      <c r="J142" s="4" t="n">
        <v>195000</v>
      </c>
      <c r="K142" s="4" t="n">
        <v>20000</v>
      </c>
      <c r="L142" s="5" t="n">
        <v>0.90256</v>
      </c>
      <c r="M142" s="4" t="n">
        <v>0</v>
      </c>
      <c r="N142" s="4" t="n">
        <v>0</v>
      </c>
      <c r="O142" s="4" t="n">
        <v>0</v>
      </c>
      <c r="P142" s="4" t="n">
        <v>0</v>
      </c>
      <c r="Q142" s="4" t="n">
        <v>0</v>
      </c>
      <c r="R142" s="4" t="n">
        <f aca="false">M142+N142+O142+P142+Q142</f>
        <v>0</v>
      </c>
      <c r="S142" s="4" t="n">
        <v>0</v>
      </c>
      <c r="T142" s="4" t="n">
        <f aca="false">R142*K142</f>
        <v>0</v>
      </c>
      <c r="U142" s="9" t="n">
        <f aca="false">IFERROR(M142/S142,0)</f>
        <v>0</v>
      </c>
      <c r="V142" s="5" t="n">
        <v>-6.5</v>
      </c>
    </row>
    <row r="143" customFormat="false" ht="15" hidden="false" customHeight="false" outlineLevel="0" collapsed="false">
      <c r="A143" s="8" t="s">
        <v>139</v>
      </c>
      <c r="B143" s="8" t="s">
        <v>23</v>
      </c>
      <c r="C143" s="8" t="s">
        <v>1071</v>
      </c>
      <c r="D143" s="8" t="n">
        <v>175919</v>
      </c>
      <c r="E143" s="8" t="s">
        <v>825</v>
      </c>
      <c r="F143" s="8" t="s">
        <v>794</v>
      </c>
      <c r="G143" s="8" t="s">
        <v>970</v>
      </c>
      <c r="H143" s="8" t="s">
        <v>51</v>
      </c>
      <c r="I143" s="8" t="s">
        <v>140</v>
      </c>
      <c r="J143" s="4" t="n">
        <v>195000</v>
      </c>
      <c r="K143" s="4" t="n">
        <v>20000</v>
      </c>
      <c r="L143" s="5" t="n">
        <v>0.90256</v>
      </c>
      <c r="M143" s="4" t="n">
        <v>0</v>
      </c>
      <c r="N143" s="4" t="n">
        <v>0</v>
      </c>
      <c r="O143" s="4" t="n">
        <v>0</v>
      </c>
      <c r="P143" s="4" t="n">
        <v>0</v>
      </c>
      <c r="Q143" s="4" t="n">
        <v>0</v>
      </c>
      <c r="R143" s="4" t="n">
        <f aca="false">M143+N143+O143+P143+Q143</f>
        <v>0</v>
      </c>
      <c r="S143" s="4" t="n">
        <v>0</v>
      </c>
      <c r="T143" s="4" t="n">
        <f aca="false">R143*K143</f>
        <v>0</v>
      </c>
      <c r="U143" s="9" t="n">
        <f aca="false">IFERROR(M143/S143,0)</f>
        <v>0</v>
      </c>
      <c r="V143" s="5" t="n">
        <v>-6.5</v>
      </c>
    </row>
    <row r="144" customFormat="false" ht="15" hidden="false" customHeight="false" outlineLevel="0" collapsed="false">
      <c r="A144" s="8" t="s">
        <v>139</v>
      </c>
      <c r="B144" s="8" t="s">
        <v>23</v>
      </c>
      <c r="C144" s="8" t="s">
        <v>1067</v>
      </c>
      <c r="D144" s="8" t="n">
        <v>142449</v>
      </c>
      <c r="E144" s="8" t="s">
        <v>826</v>
      </c>
      <c r="F144" s="8" t="s">
        <v>818</v>
      </c>
      <c r="G144" s="8" t="s">
        <v>970</v>
      </c>
      <c r="H144" s="8" t="s">
        <v>51</v>
      </c>
      <c r="I144" s="8" t="s">
        <v>140</v>
      </c>
      <c r="J144" s="4" t="n">
        <v>129000</v>
      </c>
      <c r="K144" s="4" t="n">
        <v>20000</v>
      </c>
      <c r="L144" s="5" t="n">
        <v>0.85271</v>
      </c>
      <c r="M144" s="4" t="n">
        <v>0</v>
      </c>
      <c r="N144" s="4" t="n">
        <v>0</v>
      </c>
      <c r="O144" s="4" t="n">
        <v>0</v>
      </c>
      <c r="P144" s="4" t="n">
        <v>0</v>
      </c>
      <c r="Q144" s="4" t="n">
        <v>0</v>
      </c>
      <c r="R144" s="4" t="n">
        <f aca="false">M144+N144+O144+P144+Q144</f>
        <v>0</v>
      </c>
      <c r="S144" s="4" t="n">
        <v>0</v>
      </c>
      <c r="T144" s="4" t="n">
        <f aca="false">R144*K144</f>
        <v>0</v>
      </c>
      <c r="U144" s="9" t="n">
        <f aca="false">IFERROR(M144/S144,0)</f>
        <v>0</v>
      </c>
      <c r="V144" s="5" t="n">
        <v>-3.25</v>
      </c>
    </row>
    <row r="145" customFormat="false" ht="15" hidden="false" customHeight="false" outlineLevel="0" collapsed="false">
      <c r="A145" s="8" t="s">
        <v>139</v>
      </c>
      <c r="B145" s="8" t="s">
        <v>23</v>
      </c>
      <c r="C145" s="8" t="s">
        <v>1072</v>
      </c>
      <c r="D145" s="8" t="n">
        <v>176169</v>
      </c>
      <c r="E145" s="8" t="s">
        <v>827</v>
      </c>
      <c r="F145" s="8" t="s">
        <v>794</v>
      </c>
      <c r="G145" s="8" t="s">
        <v>970</v>
      </c>
      <c r="H145" s="8" t="s">
        <v>51</v>
      </c>
      <c r="I145" s="8" t="s">
        <v>140</v>
      </c>
      <c r="J145" s="4" t="n">
        <v>120000</v>
      </c>
      <c r="K145" s="4" t="n">
        <v>19000</v>
      </c>
      <c r="L145" s="5" t="n">
        <v>0.84167</v>
      </c>
      <c r="M145" s="4" t="n">
        <v>0</v>
      </c>
      <c r="N145" s="4" t="n">
        <v>0</v>
      </c>
      <c r="O145" s="4" t="n">
        <v>0</v>
      </c>
      <c r="P145" s="4" t="n">
        <v>0</v>
      </c>
      <c r="Q145" s="4" t="n">
        <v>0</v>
      </c>
      <c r="R145" s="4" t="n">
        <f aca="false">M145+N145+O145+P145+Q145</f>
        <v>0</v>
      </c>
      <c r="S145" s="4" t="n">
        <v>0</v>
      </c>
      <c r="T145" s="4" t="n">
        <f aca="false">R145*K145</f>
        <v>0</v>
      </c>
      <c r="U145" s="9" t="n">
        <f aca="false">IFERROR(M145/S145,0)</f>
        <v>0</v>
      </c>
      <c r="V145" s="5" t="n">
        <v>-4</v>
      </c>
    </row>
    <row r="146" customFormat="false" ht="15" hidden="false" customHeight="false" outlineLevel="0" collapsed="false">
      <c r="A146" s="8" t="s">
        <v>73</v>
      </c>
      <c r="B146" s="8" t="s">
        <v>22</v>
      </c>
      <c r="C146" s="8" t="s">
        <v>1073</v>
      </c>
      <c r="D146" s="8" t="n">
        <v>134194</v>
      </c>
      <c r="E146" s="8" t="s">
        <v>668</v>
      </c>
      <c r="F146" s="8" t="s">
        <v>1044</v>
      </c>
      <c r="G146" s="8" t="s">
        <v>961</v>
      </c>
      <c r="H146" s="8" t="s">
        <v>51</v>
      </c>
      <c r="I146" s="8" t="s">
        <v>74</v>
      </c>
      <c r="J146" s="4" t="n">
        <v>188000</v>
      </c>
      <c r="K146" s="4" t="n">
        <v>159000</v>
      </c>
      <c r="L146" s="5" t="n">
        <v>0.15426</v>
      </c>
      <c r="M146" s="4" t="n">
        <v>504</v>
      </c>
      <c r="N146" s="4" t="n">
        <v>246</v>
      </c>
      <c r="O146" s="4" t="n">
        <v>170</v>
      </c>
      <c r="P146" s="4" t="n">
        <v>0</v>
      </c>
      <c r="Q146" s="4" t="n">
        <v>226</v>
      </c>
      <c r="R146" s="4" t="n">
        <f aca="false">M146+N146+O146+P146+Q146</f>
        <v>1146</v>
      </c>
      <c r="S146" s="4" t="n">
        <v>24</v>
      </c>
      <c r="T146" s="4" t="n">
        <f aca="false">R146*K146</f>
        <v>182214000</v>
      </c>
      <c r="U146" s="9" t="n">
        <f aca="false">IFERROR(M146/S146,0)</f>
        <v>21</v>
      </c>
      <c r="V146" s="5" t="n">
        <v>0.1668</v>
      </c>
    </row>
    <row r="147" customFormat="false" ht="15" hidden="false" customHeight="false" outlineLevel="0" collapsed="false">
      <c r="A147" s="8" t="s">
        <v>73</v>
      </c>
      <c r="B147" s="8" t="s">
        <v>22</v>
      </c>
      <c r="C147" s="8" t="s">
        <v>1073</v>
      </c>
      <c r="D147" s="8" t="n">
        <v>134197</v>
      </c>
      <c r="E147" s="8" t="s">
        <v>434</v>
      </c>
      <c r="F147" s="8" t="s">
        <v>1044</v>
      </c>
      <c r="G147" s="8" t="s">
        <v>961</v>
      </c>
      <c r="H147" s="8" t="s">
        <v>51</v>
      </c>
      <c r="I147" s="8" t="s">
        <v>74</v>
      </c>
      <c r="J147" s="4" t="n">
        <v>188000</v>
      </c>
      <c r="K147" s="4" t="n">
        <v>159000</v>
      </c>
      <c r="L147" s="5" t="n">
        <v>0.15426</v>
      </c>
      <c r="M147" s="4" t="n">
        <v>510</v>
      </c>
      <c r="N147" s="4" t="n">
        <v>214</v>
      </c>
      <c r="O147" s="4" t="n">
        <v>166</v>
      </c>
      <c r="P147" s="4" t="n">
        <v>0</v>
      </c>
      <c r="Q147" s="4" t="n">
        <v>187</v>
      </c>
      <c r="R147" s="4" t="n">
        <f aca="false">M147+N147+O147+P147+Q147</f>
        <v>1077</v>
      </c>
      <c r="S147" s="4" t="n">
        <v>23</v>
      </c>
      <c r="T147" s="4" t="n">
        <f aca="false">R147*K147</f>
        <v>171243000</v>
      </c>
      <c r="U147" s="9" t="n">
        <f aca="false">IFERROR(M147/S147,0)</f>
        <v>22.1739130434783</v>
      </c>
      <c r="V147" s="5" t="n">
        <v>0.1668</v>
      </c>
    </row>
    <row r="148" customFormat="false" ht="15" hidden="false" customHeight="false" outlineLevel="0" collapsed="false">
      <c r="A148" s="8" t="s">
        <v>73</v>
      </c>
      <c r="B148" s="8" t="s">
        <v>22</v>
      </c>
      <c r="C148" s="8" t="s">
        <v>1073</v>
      </c>
      <c r="D148" s="8" t="n">
        <v>134195</v>
      </c>
      <c r="E148" s="8" t="s">
        <v>669</v>
      </c>
      <c r="F148" s="8" t="s">
        <v>1044</v>
      </c>
      <c r="G148" s="8" t="s">
        <v>961</v>
      </c>
      <c r="H148" s="8" t="s">
        <v>51</v>
      </c>
      <c r="I148" s="8" t="s">
        <v>74</v>
      </c>
      <c r="J148" s="4" t="n">
        <v>188000</v>
      </c>
      <c r="K148" s="4" t="n">
        <v>159000</v>
      </c>
      <c r="L148" s="5" t="n">
        <v>0.15426</v>
      </c>
      <c r="M148" s="4" t="n">
        <v>515</v>
      </c>
      <c r="N148" s="4" t="n">
        <v>168</v>
      </c>
      <c r="O148" s="4" t="n">
        <v>228</v>
      </c>
      <c r="P148" s="4" t="n">
        <v>0</v>
      </c>
      <c r="Q148" s="4" t="n">
        <v>164</v>
      </c>
      <c r="R148" s="4" t="n">
        <f aca="false">M148+N148+O148+P148+Q148</f>
        <v>1075</v>
      </c>
      <c r="S148" s="4" t="n">
        <v>24</v>
      </c>
      <c r="T148" s="4" t="n">
        <f aca="false">R148*K148</f>
        <v>170925000</v>
      </c>
      <c r="U148" s="9" t="n">
        <f aca="false">IFERROR(M148/S148,0)</f>
        <v>21.4583333333333</v>
      </c>
      <c r="V148" s="5" t="n">
        <v>0.1668</v>
      </c>
    </row>
    <row r="149" customFormat="false" ht="15" hidden="false" customHeight="false" outlineLevel="0" collapsed="false">
      <c r="A149" s="8" t="s">
        <v>73</v>
      </c>
      <c r="B149" s="8" t="s">
        <v>22</v>
      </c>
      <c r="C149" s="8" t="s">
        <v>1073</v>
      </c>
      <c r="D149" s="8" t="n">
        <v>134196</v>
      </c>
      <c r="E149" s="8" t="s">
        <v>453</v>
      </c>
      <c r="F149" s="8" t="s">
        <v>1044</v>
      </c>
      <c r="G149" s="8" t="s">
        <v>961</v>
      </c>
      <c r="H149" s="8" t="s">
        <v>51</v>
      </c>
      <c r="I149" s="8" t="s">
        <v>74</v>
      </c>
      <c r="J149" s="4" t="n">
        <v>188000</v>
      </c>
      <c r="K149" s="4" t="n">
        <v>159000</v>
      </c>
      <c r="L149" s="5" t="n">
        <v>0.15426</v>
      </c>
      <c r="M149" s="4" t="n">
        <v>347</v>
      </c>
      <c r="N149" s="4" t="n">
        <v>12</v>
      </c>
      <c r="O149" s="4" t="n">
        <v>327</v>
      </c>
      <c r="P149" s="4" t="n">
        <v>0</v>
      </c>
      <c r="Q149" s="4" t="n">
        <v>181</v>
      </c>
      <c r="R149" s="4" t="n">
        <f aca="false">M149+N149+O149+P149+Q149</f>
        <v>867</v>
      </c>
      <c r="S149" s="4" t="n">
        <v>23</v>
      </c>
      <c r="T149" s="4" t="n">
        <f aca="false">R149*K149</f>
        <v>137853000</v>
      </c>
      <c r="U149" s="9" t="n">
        <f aca="false">IFERROR(M149/S149,0)</f>
        <v>15.0869565217391</v>
      </c>
      <c r="V149" s="5" t="n">
        <v>0.1668</v>
      </c>
    </row>
    <row r="150" customFormat="false" ht="15" hidden="false" customHeight="false" outlineLevel="0" collapsed="false">
      <c r="A150" s="8" t="s">
        <v>73</v>
      </c>
      <c r="B150" s="8" t="s">
        <v>22</v>
      </c>
      <c r="C150" s="8" t="s">
        <v>1073</v>
      </c>
      <c r="D150" s="8" t="n">
        <v>134231</v>
      </c>
      <c r="E150" s="8" t="s">
        <v>670</v>
      </c>
      <c r="F150" s="8" t="s">
        <v>1044</v>
      </c>
      <c r="G150" s="8" t="s">
        <v>961</v>
      </c>
      <c r="H150" s="8" t="s">
        <v>51</v>
      </c>
      <c r="I150" s="8" t="s">
        <v>74</v>
      </c>
      <c r="J150" s="4" t="n">
        <v>188000</v>
      </c>
      <c r="K150" s="4" t="n">
        <v>159000</v>
      </c>
      <c r="L150" s="5" t="n">
        <v>0.15426</v>
      </c>
      <c r="M150" s="4" t="n">
        <v>399</v>
      </c>
      <c r="N150" s="4" t="n">
        <v>69</v>
      </c>
      <c r="O150" s="4" t="n">
        <v>137</v>
      </c>
      <c r="P150" s="4" t="n">
        <v>0</v>
      </c>
      <c r="Q150" s="4" t="n">
        <v>140</v>
      </c>
      <c r="R150" s="4" t="n">
        <f aca="false">M150+N150+O150+P150+Q150</f>
        <v>745</v>
      </c>
      <c r="S150" s="4" t="n">
        <v>24</v>
      </c>
      <c r="T150" s="4" t="n">
        <f aca="false">R150*K150</f>
        <v>118455000</v>
      </c>
      <c r="U150" s="9" t="n">
        <f aca="false">IFERROR(M150/S150,0)</f>
        <v>16.625</v>
      </c>
      <c r="V150" s="5" t="n">
        <v>0.1668</v>
      </c>
    </row>
    <row r="151" customFormat="false" ht="15" hidden="false" customHeight="false" outlineLevel="0" collapsed="false">
      <c r="A151" s="8" t="s">
        <v>73</v>
      </c>
      <c r="B151" s="8" t="s">
        <v>22</v>
      </c>
      <c r="C151" s="8" t="s">
        <v>1073</v>
      </c>
      <c r="D151" s="8" t="n">
        <v>134198</v>
      </c>
      <c r="E151" s="8" t="s">
        <v>413</v>
      </c>
      <c r="F151" s="8" t="s">
        <v>1044</v>
      </c>
      <c r="G151" s="8" t="s">
        <v>961</v>
      </c>
      <c r="H151" s="8" t="s">
        <v>51</v>
      </c>
      <c r="I151" s="8" t="s">
        <v>74</v>
      </c>
      <c r="J151" s="4" t="n">
        <v>188000</v>
      </c>
      <c r="K151" s="4" t="n">
        <v>159000</v>
      </c>
      <c r="L151" s="5" t="n">
        <v>0.15426</v>
      </c>
      <c r="M151" s="4" t="n">
        <v>328</v>
      </c>
      <c r="N151" s="4" t="n">
        <v>12</v>
      </c>
      <c r="O151" s="4" t="n">
        <v>204</v>
      </c>
      <c r="P151" s="4" t="n">
        <v>0</v>
      </c>
      <c r="Q151" s="4" t="n">
        <v>136</v>
      </c>
      <c r="R151" s="4" t="n">
        <f aca="false">M151+N151+O151+P151+Q151</f>
        <v>680</v>
      </c>
      <c r="S151" s="4" t="n">
        <v>22</v>
      </c>
      <c r="T151" s="4" t="n">
        <f aca="false">R151*K151</f>
        <v>108120000</v>
      </c>
      <c r="U151" s="9" t="n">
        <f aca="false">IFERROR(M151/S151,0)</f>
        <v>14.9090909090909</v>
      </c>
      <c r="V151" s="5" t="n">
        <v>0.1668</v>
      </c>
    </row>
    <row r="152" customFormat="false" ht="15" hidden="false" customHeight="false" outlineLevel="0" collapsed="false">
      <c r="A152" s="8" t="s">
        <v>73</v>
      </c>
      <c r="B152" s="8" t="s">
        <v>22</v>
      </c>
      <c r="C152" s="8" t="s">
        <v>1073</v>
      </c>
      <c r="D152" s="8" t="n">
        <v>134230</v>
      </c>
      <c r="E152" s="8" t="s">
        <v>295</v>
      </c>
      <c r="F152" s="8" t="s">
        <v>1044</v>
      </c>
      <c r="G152" s="8" t="s">
        <v>961</v>
      </c>
      <c r="H152" s="8" t="s">
        <v>51</v>
      </c>
      <c r="I152" s="8" t="s">
        <v>74</v>
      </c>
      <c r="J152" s="4" t="n">
        <v>188000</v>
      </c>
      <c r="K152" s="4" t="n">
        <v>159000</v>
      </c>
      <c r="L152" s="5" t="n">
        <v>0.15426</v>
      </c>
      <c r="M152" s="4" t="n">
        <v>169</v>
      </c>
      <c r="N152" s="4" t="n">
        <v>12</v>
      </c>
      <c r="O152" s="4" t="n">
        <v>193</v>
      </c>
      <c r="P152" s="4" t="n">
        <v>0</v>
      </c>
      <c r="Q152" s="4" t="n">
        <v>14</v>
      </c>
      <c r="R152" s="4" t="n">
        <f aca="false">M152+N152+O152+P152+Q152</f>
        <v>388</v>
      </c>
      <c r="S152" s="4" t="n">
        <v>17</v>
      </c>
      <c r="T152" s="4" t="n">
        <f aca="false">R152*K152</f>
        <v>61692000</v>
      </c>
      <c r="U152" s="9" t="n">
        <f aca="false">IFERROR(M152/S152,0)</f>
        <v>9.94117647058824</v>
      </c>
      <c r="V152" s="5" t="n">
        <v>0.1668</v>
      </c>
    </row>
    <row r="153" customFormat="false" ht="15" hidden="false" customHeight="false" outlineLevel="0" collapsed="false">
      <c r="A153" s="8" t="s">
        <v>97</v>
      </c>
      <c r="B153" s="8" t="s">
        <v>27</v>
      </c>
      <c r="C153" s="8" t="s">
        <v>1074</v>
      </c>
      <c r="D153" s="8" t="n">
        <v>154012</v>
      </c>
      <c r="E153" s="8" t="s">
        <v>503</v>
      </c>
      <c r="F153" s="8" t="s">
        <v>809</v>
      </c>
      <c r="G153" s="8" t="s">
        <v>961</v>
      </c>
      <c r="H153" s="8" t="s">
        <v>51</v>
      </c>
      <c r="I153" s="8" t="s">
        <v>98</v>
      </c>
      <c r="J153" s="4" t="n">
        <v>51000</v>
      </c>
      <c r="K153" s="4" t="n">
        <v>47000</v>
      </c>
      <c r="L153" s="5" t="n">
        <v>0.08</v>
      </c>
      <c r="M153" s="4" t="n">
        <v>562</v>
      </c>
      <c r="N153" s="4" t="n">
        <v>0</v>
      </c>
      <c r="O153" s="4" t="n">
        <v>0</v>
      </c>
      <c r="P153" s="4" t="n">
        <v>0</v>
      </c>
      <c r="Q153" s="4" t="n">
        <v>0</v>
      </c>
      <c r="R153" s="4" t="n">
        <f aca="false">M153+N153+O153+P153+Q153</f>
        <v>562</v>
      </c>
      <c r="S153" s="4" t="n">
        <v>20</v>
      </c>
      <c r="T153" s="4" t="n">
        <f aca="false">R153*K153</f>
        <v>26414000</v>
      </c>
      <c r="U153" s="9" t="n">
        <f aca="false">IFERROR(M153/S153,0)</f>
        <v>28.1</v>
      </c>
      <c r="V153" s="5" t="n">
        <v>0.1277</v>
      </c>
    </row>
    <row r="154" customFormat="false" ht="15" hidden="false" customHeight="false" outlineLevel="0" collapsed="false">
      <c r="A154" s="8" t="s">
        <v>97</v>
      </c>
      <c r="B154" s="8" t="s">
        <v>27</v>
      </c>
      <c r="C154" s="8" t="s">
        <v>1074</v>
      </c>
      <c r="D154" s="8" t="n">
        <v>151051</v>
      </c>
      <c r="E154" s="8" t="s">
        <v>490</v>
      </c>
      <c r="F154" s="8" t="s">
        <v>809</v>
      </c>
      <c r="G154" s="8" t="s">
        <v>961</v>
      </c>
      <c r="H154" s="8" t="s">
        <v>51</v>
      </c>
      <c r="I154" s="8" t="s">
        <v>98</v>
      </c>
      <c r="J154" s="4" t="n">
        <v>44000</v>
      </c>
      <c r="K154" s="4" t="n">
        <v>41000</v>
      </c>
      <c r="L154" s="5" t="n">
        <v>0.08</v>
      </c>
      <c r="M154" s="4" t="n">
        <v>549</v>
      </c>
      <c r="N154" s="4" t="n">
        <v>0</v>
      </c>
      <c r="O154" s="4" t="n">
        <v>0</v>
      </c>
      <c r="P154" s="4" t="n">
        <v>0</v>
      </c>
      <c r="Q154" s="4" t="n">
        <v>0</v>
      </c>
      <c r="R154" s="4" t="n">
        <f aca="false">M154+N154+O154+P154+Q154</f>
        <v>549</v>
      </c>
      <c r="S154" s="4" t="n">
        <v>21</v>
      </c>
      <c r="T154" s="4" t="n">
        <f aca="false">R154*K154</f>
        <v>22509000</v>
      </c>
      <c r="U154" s="9" t="n">
        <f aca="false">IFERROR(M154/S154,0)</f>
        <v>26.1428571428571</v>
      </c>
      <c r="V154" s="5" t="n">
        <v>0.122</v>
      </c>
    </row>
    <row r="155" customFormat="false" ht="15" hidden="false" customHeight="false" outlineLevel="0" collapsed="false">
      <c r="A155" s="8" t="s">
        <v>97</v>
      </c>
      <c r="B155" s="8" t="s">
        <v>27</v>
      </c>
      <c r="C155" s="8" t="s">
        <v>1074</v>
      </c>
      <c r="D155" s="8" t="n">
        <v>151049</v>
      </c>
      <c r="E155" s="8" t="s">
        <v>489</v>
      </c>
      <c r="F155" s="8" t="s">
        <v>809</v>
      </c>
      <c r="G155" s="8" t="s">
        <v>961</v>
      </c>
      <c r="H155" s="8" t="s">
        <v>51</v>
      </c>
      <c r="I155" s="8" t="s">
        <v>98</v>
      </c>
      <c r="J155" s="4" t="n">
        <v>38000</v>
      </c>
      <c r="K155" s="4" t="n">
        <v>35000</v>
      </c>
      <c r="L155" s="5" t="n">
        <v>0.08</v>
      </c>
      <c r="M155" s="4" t="n">
        <v>469</v>
      </c>
      <c r="N155" s="4" t="n">
        <v>0</v>
      </c>
      <c r="O155" s="4" t="n">
        <v>0</v>
      </c>
      <c r="P155" s="4" t="n">
        <v>0</v>
      </c>
      <c r="Q155" s="4" t="n">
        <v>0</v>
      </c>
      <c r="R155" s="4" t="n">
        <f aca="false">M155+N155+O155+P155+Q155</f>
        <v>469</v>
      </c>
      <c r="S155" s="4" t="n">
        <v>18</v>
      </c>
      <c r="T155" s="4" t="n">
        <f aca="false">R155*K155</f>
        <v>16415000</v>
      </c>
      <c r="U155" s="9" t="n">
        <f aca="false">IFERROR(M155/S155,0)</f>
        <v>26.0555555555556</v>
      </c>
      <c r="V155" s="5" t="n">
        <v>0.1714</v>
      </c>
    </row>
    <row r="156" customFormat="false" ht="15" hidden="false" customHeight="false" outlineLevel="0" collapsed="false">
      <c r="A156" s="8" t="s">
        <v>97</v>
      </c>
      <c r="B156" s="8" t="s">
        <v>27</v>
      </c>
      <c r="C156" s="8" t="s">
        <v>1074</v>
      </c>
      <c r="D156" s="8" t="n">
        <v>151565</v>
      </c>
      <c r="E156" s="8" t="s">
        <v>491</v>
      </c>
      <c r="F156" s="8" t="s">
        <v>809</v>
      </c>
      <c r="G156" s="8" t="s">
        <v>961</v>
      </c>
      <c r="H156" s="8" t="s">
        <v>51</v>
      </c>
      <c r="I156" s="8" t="s">
        <v>98</v>
      </c>
      <c r="J156" s="4" t="n">
        <v>51000</v>
      </c>
      <c r="K156" s="4" t="n">
        <v>47000</v>
      </c>
      <c r="L156" s="5" t="n">
        <v>0.08</v>
      </c>
      <c r="M156" s="4" t="n">
        <v>436</v>
      </c>
      <c r="N156" s="4" t="n">
        <v>0</v>
      </c>
      <c r="O156" s="4" t="n">
        <v>0</v>
      </c>
      <c r="P156" s="4" t="n">
        <v>0</v>
      </c>
      <c r="Q156" s="4" t="n">
        <v>0</v>
      </c>
      <c r="R156" s="4" t="n">
        <f aca="false">M156+N156+O156+P156+Q156</f>
        <v>436</v>
      </c>
      <c r="S156" s="4" t="n">
        <v>21</v>
      </c>
      <c r="T156" s="4" t="n">
        <f aca="false">R156*K156</f>
        <v>20492000</v>
      </c>
      <c r="U156" s="9" t="n">
        <f aca="false">IFERROR(M156/S156,0)</f>
        <v>20.7619047619048</v>
      </c>
      <c r="V156" s="5" t="n">
        <v>0.1489</v>
      </c>
    </row>
    <row r="157" customFormat="false" ht="15" hidden="false" customHeight="false" outlineLevel="0" collapsed="false">
      <c r="A157" s="8" t="s">
        <v>97</v>
      </c>
      <c r="B157" s="8" t="s">
        <v>27</v>
      </c>
      <c r="C157" s="8" t="s">
        <v>1074</v>
      </c>
      <c r="D157" s="8" t="n">
        <v>174764</v>
      </c>
      <c r="E157" s="8" t="s">
        <v>495</v>
      </c>
      <c r="F157" s="8" t="s">
        <v>809</v>
      </c>
      <c r="G157" s="8" t="s">
        <v>961</v>
      </c>
      <c r="H157" s="8" t="s">
        <v>51</v>
      </c>
      <c r="I157" s="8" t="s">
        <v>98</v>
      </c>
      <c r="J157" s="4" t="n">
        <v>75000</v>
      </c>
      <c r="K157" s="4" t="n">
        <v>69000</v>
      </c>
      <c r="L157" s="5" t="n">
        <v>0.08</v>
      </c>
      <c r="M157" s="4" t="n">
        <v>414</v>
      </c>
      <c r="N157" s="4" t="n">
        <v>0</v>
      </c>
      <c r="O157" s="4" t="n">
        <v>0</v>
      </c>
      <c r="P157" s="4" t="n">
        <v>0</v>
      </c>
      <c r="Q157" s="4" t="n">
        <v>0</v>
      </c>
      <c r="R157" s="4" t="n">
        <f aca="false">M157+N157+O157+P157+Q157</f>
        <v>414</v>
      </c>
      <c r="S157" s="4" t="n">
        <v>17</v>
      </c>
      <c r="T157" s="4" t="n">
        <f aca="false">R157*K157</f>
        <v>28566000</v>
      </c>
      <c r="U157" s="9" t="n">
        <f aca="false">IFERROR(M157/S157,0)</f>
        <v>24.3529411764706</v>
      </c>
      <c r="V157" s="5" t="n">
        <v>0.087</v>
      </c>
    </row>
    <row r="158" customFormat="false" ht="15" hidden="false" customHeight="false" outlineLevel="0" collapsed="false">
      <c r="A158" s="8" t="s">
        <v>97</v>
      </c>
      <c r="B158" s="8" t="s">
        <v>27</v>
      </c>
      <c r="C158" s="8" t="s">
        <v>1074</v>
      </c>
      <c r="D158" s="8" t="n">
        <v>151724</v>
      </c>
      <c r="E158" s="8" t="s">
        <v>492</v>
      </c>
      <c r="F158" s="8" t="s">
        <v>809</v>
      </c>
      <c r="G158" s="8" t="s">
        <v>961</v>
      </c>
      <c r="H158" s="8" t="s">
        <v>51</v>
      </c>
      <c r="I158" s="8" t="s">
        <v>98</v>
      </c>
      <c r="J158" s="4" t="n">
        <v>40000</v>
      </c>
      <c r="K158" s="4" t="n">
        <v>37000</v>
      </c>
      <c r="L158" s="5" t="n">
        <v>0.08</v>
      </c>
      <c r="M158" s="4" t="n">
        <v>397</v>
      </c>
      <c r="N158" s="4" t="n">
        <v>0</v>
      </c>
      <c r="O158" s="4" t="n">
        <v>0</v>
      </c>
      <c r="P158" s="4" t="n">
        <v>0</v>
      </c>
      <c r="Q158" s="4" t="n">
        <v>0</v>
      </c>
      <c r="R158" s="4" t="n">
        <f aca="false">M158+N158+O158+P158+Q158</f>
        <v>397</v>
      </c>
      <c r="S158" s="4" t="n">
        <v>17</v>
      </c>
      <c r="T158" s="4" t="n">
        <f aca="false">R158*K158</f>
        <v>14689000</v>
      </c>
      <c r="U158" s="9" t="n">
        <f aca="false">IFERROR(M158/S158,0)</f>
        <v>23.3529411764706</v>
      </c>
      <c r="V158" s="5" t="n">
        <v>0.1892</v>
      </c>
    </row>
    <row r="159" customFormat="false" ht="15" hidden="false" customHeight="false" outlineLevel="0" collapsed="false">
      <c r="A159" s="8" t="s">
        <v>97</v>
      </c>
      <c r="B159" s="8" t="s">
        <v>27</v>
      </c>
      <c r="C159" s="8" t="s">
        <v>1074</v>
      </c>
      <c r="D159" s="8" t="n">
        <v>152392</v>
      </c>
      <c r="E159" s="8" t="s">
        <v>498</v>
      </c>
      <c r="F159" s="8" t="s">
        <v>809</v>
      </c>
      <c r="G159" s="8" t="s">
        <v>961</v>
      </c>
      <c r="H159" s="8" t="s">
        <v>51</v>
      </c>
      <c r="I159" s="8" t="s">
        <v>98</v>
      </c>
      <c r="J159" s="4" t="n">
        <v>68000</v>
      </c>
      <c r="K159" s="4" t="n">
        <v>63000</v>
      </c>
      <c r="L159" s="5" t="n">
        <v>0.08</v>
      </c>
      <c r="M159" s="4" t="n">
        <v>256</v>
      </c>
      <c r="N159" s="4" t="n">
        <v>0</v>
      </c>
      <c r="O159" s="4" t="n">
        <v>0</v>
      </c>
      <c r="P159" s="4" t="n">
        <v>0</v>
      </c>
      <c r="Q159" s="4" t="n">
        <v>0</v>
      </c>
      <c r="R159" s="4" t="n">
        <f aca="false">M159+N159+O159+P159+Q159</f>
        <v>256</v>
      </c>
      <c r="S159" s="4" t="n">
        <v>16</v>
      </c>
      <c r="T159" s="4" t="n">
        <f aca="false">R159*K159</f>
        <v>16128000</v>
      </c>
      <c r="U159" s="9" t="n">
        <f aca="false">IFERROR(M159/S159,0)</f>
        <v>16</v>
      </c>
      <c r="V159" s="5" t="n">
        <v>0.2063</v>
      </c>
    </row>
    <row r="160" customFormat="false" ht="15" hidden="false" customHeight="false" outlineLevel="0" collapsed="false">
      <c r="A160" s="8" t="s">
        <v>97</v>
      </c>
      <c r="B160" s="8" t="s">
        <v>27</v>
      </c>
      <c r="C160" s="8" t="s">
        <v>1074</v>
      </c>
      <c r="D160" s="8" t="n">
        <v>174765</v>
      </c>
      <c r="E160" s="8" t="s">
        <v>496</v>
      </c>
      <c r="F160" s="8" t="s">
        <v>809</v>
      </c>
      <c r="G160" s="8" t="s">
        <v>961</v>
      </c>
      <c r="H160" s="8" t="s">
        <v>51</v>
      </c>
      <c r="I160" s="8" t="s">
        <v>98</v>
      </c>
      <c r="J160" s="4" t="n">
        <v>75000</v>
      </c>
      <c r="K160" s="4" t="n">
        <v>69000</v>
      </c>
      <c r="L160" s="5" t="n">
        <v>0.08</v>
      </c>
      <c r="M160" s="4" t="n">
        <v>240</v>
      </c>
      <c r="N160" s="4" t="n">
        <v>0</v>
      </c>
      <c r="O160" s="4" t="n">
        <v>0</v>
      </c>
      <c r="P160" s="4" t="n">
        <v>0</v>
      </c>
      <c r="Q160" s="4" t="n">
        <v>0</v>
      </c>
      <c r="R160" s="4" t="n">
        <f aca="false">M160+N160+O160+P160+Q160</f>
        <v>240</v>
      </c>
      <c r="S160" s="4" t="n">
        <v>16</v>
      </c>
      <c r="T160" s="4" t="n">
        <f aca="false">R160*K160</f>
        <v>16560000</v>
      </c>
      <c r="U160" s="9" t="n">
        <f aca="false">IFERROR(M160/S160,0)</f>
        <v>15</v>
      </c>
      <c r="V160" s="5" t="n">
        <v>0.1594</v>
      </c>
    </row>
    <row r="161" customFormat="false" ht="15" hidden="false" customHeight="false" outlineLevel="0" collapsed="false">
      <c r="A161" s="8" t="s">
        <v>97</v>
      </c>
      <c r="B161" s="8" t="s">
        <v>27</v>
      </c>
      <c r="C161" s="8" t="s">
        <v>1074</v>
      </c>
      <c r="D161" s="8" t="n">
        <v>174766</v>
      </c>
      <c r="E161" s="8" t="s">
        <v>497</v>
      </c>
      <c r="F161" s="8" t="s">
        <v>809</v>
      </c>
      <c r="G161" s="8" t="s">
        <v>961</v>
      </c>
      <c r="H161" s="8" t="s">
        <v>51</v>
      </c>
      <c r="I161" s="8" t="s">
        <v>98</v>
      </c>
      <c r="J161" s="4" t="n">
        <v>75000</v>
      </c>
      <c r="K161" s="4" t="n">
        <v>69000</v>
      </c>
      <c r="L161" s="5" t="n">
        <v>0.08</v>
      </c>
      <c r="M161" s="4" t="n">
        <v>233</v>
      </c>
      <c r="N161" s="4" t="n">
        <v>0</v>
      </c>
      <c r="O161" s="4" t="n">
        <v>0</v>
      </c>
      <c r="P161" s="4" t="n">
        <v>0</v>
      </c>
      <c r="Q161" s="4" t="n">
        <v>0</v>
      </c>
      <c r="R161" s="4" t="n">
        <f aca="false">M161+N161+O161+P161+Q161</f>
        <v>233</v>
      </c>
      <c r="S161" s="4" t="n">
        <v>15</v>
      </c>
      <c r="T161" s="4" t="n">
        <f aca="false">R161*K161</f>
        <v>16077000</v>
      </c>
      <c r="U161" s="9" t="n">
        <f aca="false">IFERROR(M161/S161,0)</f>
        <v>15.5333333333333</v>
      </c>
      <c r="V161" s="5" t="n">
        <v>0.087</v>
      </c>
    </row>
    <row r="162" customFormat="false" ht="15" hidden="false" customHeight="false" outlineLevel="0" collapsed="false">
      <c r="A162" s="8" t="s">
        <v>97</v>
      </c>
      <c r="B162" s="8" t="s">
        <v>27</v>
      </c>
      <c r="C162" s="8" t="s">
        <v>1074</v>
      </c>
      <c r="D162" s="8" t="n">
        <v>154170</v>
      </c>
      <c r="E162" s="8" t="s">
        <v>505</v>
      </c>
      <c r="F162" s="8" t="s">
        <v>809</v>
      </c>
      <c r="G162" s="8" t="s">
        <v>961</v>
      </c>
      <c r="H162" s="8" t="s">
        <v>51</v>
      </c>
      <c r="I162" s="8" t="s">
        <v>98</v>
      </c>
      <c r="J162" s="4" t="n">
        <v>45000</v>
      </c>
      <c r="K162" s="4" t="n">
        <v>42000</v>
      </c>
      <c r="L162" s="5" t="n">
        <v>0.08</v>
      </c>
      <c r="M162" s="4" t="n">
        <v>213</v>
      </c>
      <c r="N162" s="4" t="n">
        <v>0</v>
      </c>
      <c r="O162" s="4" t="n">
        <v>0</v>
      </c>
      <c r="P162" s="4" t="n">
        <v>0</v>
      </c>
      <c r="Q162" s="4" t="n">
        <v>0</v>
      </c>
      <c r="R162" s="4" t="n">
        <f aca="false">M162+N162+O162+P162+Q162</f>
        <v>213</v>
      </c>
      <c r="S162" s="4" t="n">
        <v>8</v>
      </c>
      <c r="T162" s="4" t="n">
        <f aca="false">R162*K162</f>
        <v>8946000</v>
      </c>
      <c r="U162" s="9" t="n">
        <f aca="false">IFERROR(M162/S162,0)</f>
        <v>26.625</v>
      </c>
      <c r="V162" s="5" t="n">
        <v>0.1429</v>
      </c>
    </row>
    <row r="163" customFormat="false" ht="15" hidden="false" customHeight="false" outlineLevel="0" collapsed="false">
      <c r="A163" s="8" t="s">
        <v>97</v>
      </c>
      <c r="B163" s="8" t="s">
        <v>27</v>
      </c>
      <c r="C163" s="8" t="s">
        <v>1074</v>
      </c>
      <c r="D163" s="8" t="n">
        <v>154281</v>
      </c>
      <c r="E163" s="8" t="s">
        <v>506</v>
      </c>
      <c r="F163" s="8" t="s">
        <v>809</v>
      </c>
      <c r="G163" s="8" t="s">
        <v>961</v>
      </c>
      <c r="H163" s="8" t="s">
        <v>51</v>
      </c>
      <c r="I163" s="8" t="s">
        <v>98</v>
      </c>
      <c r="J163" s="4" t="n">
        <v>40000</v>
      </c>
      <c r="K163" s="4" t="n">
        <v>37000</v>
      </c>
      <c r="L163" s="5" t="n">
        <v>0.08</v>
      </c>
      <c r="M163" s="4" t="n">
        <v>206</v>
      </c>
      <c r="N163" s="4" t="n">
        <v>0</v>
      </c>
      <c r="O163" s="4" t="n">
        <v>0</v>
      </c>
      <c r="P163" s="4" t="n">
        <v>0</v>
      </c>
      <c r="Q163" s="4" t="n">
        <v>0</v>
      </c>
      <c r="R163" s="4" t="n">
        <f aca="false">M163+N163+O163+P163+Q163</f>
        <v>206</v>
      </c>
      <c r="S163" s="4" t="n">
        <v>13</v>
      </c>
      <c r="T163" s="4" t="n">
        <f aca="false">R163*K163</f>
        <v>7622000</v>
      </c>
      <c r="U163" s="9" t="n">
        <f aca="false">IFERROR(M163/S163,0)</f>
        <v>15.8461538461538</v>
      </c>
      <c r="V163" s="5" t="n">
        <v>0.1892</v>
      </c>
    </row>
    <row r="164" customFormat="false" ht="15" hidden="false" customHeight="false" outlineLevel="0" collapsed="false">
      <c r="A164" s="8" t="s">
        <v>97</v>
      </c>
      <c r="B164" s="8" t="s">
        <v>27</v>
      </c>
      <c r="C164" s="8" t="s">
        <v>1074</v>
      </c>
      <c r="D164" s="8" t="n">
        <v>174763</v>
      </c>
      <c r="E164" s="8" t="s">
        <v>494</v>
      </c>
      <c r="F164" s="8" t="s">
        <v>809</v>
      </c>
      <c r="G164" s="8" t="s">
        <v>970</v>
      </c>
      <c r="H164" s="8" t="s">
        <v>51</v>
      </c>
      <c r="I164" s="8" t="s">
        <v>98</v>
      </c>
      <c r="J164" s="4" t="n">
        <v>75000</v>
      </c>
      <c r="K164" s="4" t="n">
        <v>69000</v>
      </c>
      <c r="L164" s="5" t="n">
        <v>0.08</v>
      </c>
      <c r="M164" s="4" t="n">
        <v>178</v>
      </c>
      <c r="N164" s="4" t="n">
        <v>0</v>
      </c>
      <c r="O164" s="4" t="n">
        <v>0</v>
      </c>
      <c r="P164" s="4" t="n">
        <v>0</v>
      </c>
      <c r="Q164" s="4" t="n">
        <v>0</v>
      </c>
      <c r="R164" s="4" t="n">
        <f aca="false">M164+N164+O164+P164+Q164</f>
        <v>178</v>
      </c>
      <c r="S164" s="4" t="n">
        <v>10</v>
      </c>
      <c r="T164" s="4" t="n">
        <f aca="false">R164*K164</f>
        <v>12282000</v>
      </c>
      <c r="U164" s="9" t="n">
        <f aca="false">IFERROR(M164/S164,0)</f>
        <v>17.8</v>
      </c>
      <c r="V164" s="5" t="n">
        <v>1</v>
      </c>
    </row>
    <row r="165" customFormat="false" ht="15" hidden="false" customHeight="false" outlineLevel="0" collapsed="false">
      <c r="A165" s="8" t="s">
        <v>97</v>
      </c>
      <c r="B165" s="8" t="s">
        <v>27</v>
      </c>
      <c r="C165" s="8" t="s">
        <v>1074</v>
      </c>
      <c r="D165" s="8" t="n">
        <v>152872</v>
      </c>
      <c r="E165" s="8" t="s">
        <v>500</v>
      </c>
      <c r="F165" s="8" t="s">
        <v>809</v>
      </c>
      <c r="G165" s="8" t="s">
        <v>961</v>
      </c>
      <c r="H165" s="8" t="s">
        <v>51</v>
      </c>
      <c r="I165" s="8" t="s">
        <v>98</v>
      </c>
      <c r="J165" s="4" t="n">
        <v>130000</v>
      </c>
      <c r="K165" s="4" t="n">
        <v>120000</v>
      </c>
      <c r="L165" s="5" t="n">
        <v>0.08</v>
      </c>
      <c r="M165" s="4" t="n">
        <v>178</v>
      </c>
      <c r="N165" s="4" t="n">
        <v>0</v>
      </c>
      <c r="O165" s="4" t="n">
        <v>0</v>
      </c>
      <c r="P165" s="4" t="n">
        <v>0</v>
      </c>
      <c r="Q165" s="4" t="n">
        <v>0</v>
      </c>
      <c r="R165" s="4" t="n">
        <f aca="false">M165+N165+O165+P165+Q165</f>
        <v>178</v>
      </c>
      <c r="S165" s="4" t="n">
        <v>17</v>
      </c>
      <c r="T165" s="4" t="n">
        <f aca="false">R165*K165</f>
        <v>21360000</v>
      </c>
      <c r="U165" s="9" t="n">
        <f aca="false">IFERROR(M165/S165,0)</f>
        <v>10.4705882352941</v>
      </c>
      <c r="V165" s="5" t="n">
        <v>0.1667</v>
      </c>
    </row>
    <row r="166" customFormat="false" ht="15" hidden="false" customHeight="false" outlineLevel="0" collapsed="false">
      <c r="A166" s="8" t="s">
        <v>97</v>
      </c>
      <c r="B166" s="8" t="s">
        <v>27</v>
      </c>
      <c r="C166" s="8" t="s">
        <v>1074</v>
      </c>
      <c r="D166" s="8" t="n">
        <v>152873</v>
      </c>
      <c r="E166" s="8" t="s">
        <v>501</v>
      </c>
      <c r="F166" s="8" t="s">
        <v>809</v>
      </c>
      <c r="G166" s="8" t="s">
        <v>961</v>
      </c>
      <c r="H166" s="8" t="s">
        <v>51</v>
      </c>
      <c r="I166" s="8" t="s">
        <v>98</v>
      </c>
      <c r="J166" s="4" t="n">
        <v>45000</v>
      </c>
      <c r="K166" s="4" t="n">
        <v>42000</v>
      </c>
      <c r="L166" s="5" t="n">
        <v>0.08</v>
      </c>
      <c r="M166" s="4" t="n">
        <v>160</v>
      </c>
      <c r="N166" s="4" t="n">
        <v>0</v>
      </c>
      <c r="O166" s="4" t="n">
        <v>0</v>
      </c>
      <c r="P166" s="4" t="n">
        <v>0</v>
      </c>
      <c r="Q166" s="4" t="n">
        <v>0</v>
      </c>
      <c r="R166" s="4" t="n">
        <f aca="false">M166+N166+O166+P166+Q166</f>
        <v>160</v>
      </c>
      <c r="S166" s="4" t="n">
        <v>12</v>
      </c>
      <c r="T166" s="4" t="n">
        <f aca="false">R166*K166</f>
        <v>6720000</v>
      </c>
      <c r="U166" s="9" t="n">
        <f aca="false">IFERROR(M166/S166,0)</f>
        <v>13.3333333333333</v>
      </c>
      <c r="V166" s="5" t="n">
        <v>0.1667</v>
      </c>
    </row>
    <row r="167" customFormat="false" ht="15" hidden="false" customHeight="false" outlineLevel="0" collapsed="false">
      <c r="A167" s="8" t="s">
        <v>97</v>
      </c>
      <c r="B167" s="8" t="s">
        <v>27</v>
      </c>
      <c r="C167" s="8" t="s">
        <v>1074</v>
      </c>
      <c r="D167" s="8" t="n">
        <v>152557</v>
      </c>
      <c r="E167" s="8" t="s">
        <v>499</v>
      </c>
      <c r="F167" s="8" t="s">
        <v>809</v>
      </c>
      <c r="G167" s="8" t="s">
        <v>961</v>
      </c>
      <c r="H167" s="8" t="s">
        <v>51</v>
      </c>
      <c r="I167" s="8" t="s">
        <v>98</v>
      </c>
      <c r="J167" s="4" t="n">
        <v>125000</v>
      </c>
      <c r="K167" s="4" t="n">
        <v>115000</v>
      </c>
      <c r="L167" s="5" t="n">
        <v>0.08</v>
      </c>
      <c r="M167" s="4" t="n">
        <v>141</v>
      </c>
      <c r="N167" s="4" t="n">
        <v>0</v>
      </c>
      <c r="O167" s="4" t="n">
        <v>0</v>
      </c>
      <c r="P167" s="4" t="n">
        <v>0</v>
      </c>
      <c r="Q167" s="4" t="n">
        <v>0</v>
      </c>
      <c r="R167" s="4" t="n">
        <f aca="false">M167+N167+O167+P167+Q167</f>
        <v>141</v>
      </c>
      <c r="S167" s="4" t="n">
        <v>15</v>
      </c>
      <c r="T167" s="4" t="n">
        <f aca="false">R167*K167</f>
        <v>16215000</v>
      </c>
      <c r="U167" s="9" t="n">
        <f aca="false">IFERROR(M167/S167,0)</f>
        <v>9.4</v>
      </c>
      <c r="V167" s="5" t="n">
        <v>0.2174</v>
      </c>
    </row>
    <row r="168" customFormat="false" ht="15" hidden="false" customHeight="false" outlineLevel="0" collapsed="false">
      <c r="A168" s="8" t="s">
        <v>97</v>
      </c>
      <c r="B168" s="8" t="s">
        <v>27</v>
      </c>
      <c r="C168" s="8" t="s">
        <v>1074</v>
      </c>
      <c r="D168" s="8" t="n">
        <v>154010</v>
      </c>
      <c r="E168" s="8" t="s">
        <v>502</v>
      </c>
      <c r="F168" s="8" t="s">
        <v>809</v>
      </c>
      <c r="G168" s="8" t="s">
        <v>961</v>
      </c>
      <c r="H168" s="8" t="s">
        <v>51</v>
      </c>
      <c r="I168" s="8" t="s">
        <v>98</v>
      </c>
      <c r="J168" s="4" t="n">
        <v>120000</v>
      </c>
      <c r="K168" s="4" t="n">
        <v>111000</v>
      </c>
      <c r="L168" s="5" t="n">
        <v>0.08</v>
      </c>
      <c r="M168" s="4" t="n">
        <v>141</v>
      </c>
      <c r="N168" s="4" t="n">
        <v>0</v>
      </c>
      <c r="O168" s="4" t="n">
        <v>0</v>
      </c>
      <c r="P168" s="4" t="n">
        <v>0</v>
      </c>
      <c r="Q168" s="4" t="n">
        <v>0</v>
      </c>
      <c r="R168" s="4" t="n">
        <f aca="false">M168+N168+O168+P168+Q168</f>
        <v>141</v>
      </c>
      <c r="S168" s="4" t="n">
        <v>10</v>
      </c>
      <c r="T168" s="4" t="n">
        <f aca="false">R168*K168</f>
        <v>15651000</v>
      </c>
      <c r="U168" s="9" t="n">
        <f aca="false">IFERROR(M168/S168,0)</f>
        <v>14.1</v>
      </c>
      <c r="V168" s="5" t="n">
        <v>0.0811</v>
      </c>
    </row>
    <row r="169" customFormat="false" ht="15" hidden="false" customHeight="false" outlineLevel="0" collapsed="false">
      <c r="A169" s="8" t="s">
        <v>97</v>
      </c>
      <c r="B169" s="8" t="s">
        <v>27</v>
      </c>
      <c r="C169" s="8" t="s">
        <v>1074</v>
      </c>
      <c r="D169" s="8" t="n">
        <v>154608</v>
      </c>
      <c r="E169" s="8" t="s">
        <v>507</v>
      </c>
      <c r="F169" s="8" t="s">
        <v>809</v>
      </c>
      <c r="G169" s="8" t="s">
        <v>961</v>
      </c>
      <c r="H169" s="8" t="s">
        <v>51</v>
      </c>
      <c r="I169" s="8" t="s">
        <v>98</v>
      </c>
      <c r="J169" s="4" t="n">
        <v>130000</v>
      </c>
      <c r="K169" s="4" t="n">
        <v>120000</v>
      </c>
      <c r="L169" s="5" t="n">
        <v>0.08</v>
      </c>
      <c r="M169" s="4" t="n">
        <v>123</v>
      </c>
      <c r="N169" s="4" t="n">
        <v>0</v>
      </c>
      <c r="O169" s="4" t="n">
        <v>0</v>
      </c>
      <c r="P169" s="4" t="n">
        <v>0</v>
      </c>
      <c r="Q169" s="4" t="n">
        <v>0</v>
      </c>
      <c r="R169" s="4" t="n">
        <f aca="false">M169+N169+O169+P169+Q169</f>
        <v>123</v>
      </c>
      <c r="S169" s="4" t="n">
        <v>11</v>
      </c>
      <c r="T169" s="4" t="n">
        <f aca="false">R169*K169</f>
        <v>14760000</v>
      </c>
      <c r="U169" s="9" t="n">
        <f aca="false">IFERROR(M169/S169,0)</f>
        <v>11.1818181818182</v>
      </c>
      <c r="V169" s="5" t="n">
        <v>0.1667</v>
      </c>
    </row>
    <row r="170" customFormat="false" ht="15" hidden="false" customHeight="false" outlineLevel="0" collapsed="false">
      <c r="A170" s="8" t="s">
        <v>97</v>
      </c>
      <c r="B170" s="8" t="s">
        <v>27</v>
      </c>
      <c r="C170" s="8" t="s">
        <v>1074</v>
      </c>
      <c r="D170" s="8" t="n">
        <v>174761</v>
      </c>
      <c r="E170" s="8" t="s">
        <v>493</v>
      </c>
      <c r="F170" s="8" t="s">
        <v>770</v>
      </c>
      <c r="G170" s="8" t="s">
        <v>961</v>
      </c>
      <c r="H170" s="8" t="s">
        <v>51</v>
      </c>
      <c r="I170" s="8" t="s">
        <v>98</v>
      </c>
      <c r="J170" s="4" t="n">
        <v>49000</v>
      </c>
      <c r="K170" s="4" t="n">
        <v>46000</v>
      </c>
      <c r="L170" s="5" t="n">
        <v>0.08</v>
      </c>
      <c r="M170" s="4" t="n">
        <v>77</v>
      </c>
      <c r="N170" s="4" t="n">
        <v>0</v>
      </c>
      <c r="O170" s="4" t="n">
        <v>0</v>
      </c>
      <c r="P170" s="4" t="n">
        <v>0</v>
      </c>
      <c r="Q170" s="4" t="n">
        <v>0</v>
      </c>
      <c r="R170" s="4" t="n">
        <f aca="false">M170+N170+O170+P170+Q170</f>
        <v>77</v>
      </c>
      <c r="S170" s="4" t="n">
        <v>8</v>
      </c>
      <c r="T170" s="4" t="n">
        <f aca="false">R170*K170</f>
        <v>3542000</v>
      </c>
      <c r="U170" s="9" t="n">
        <f aca="false">IFERROR(M170/S170,0)</f>
        <v>9.625</v>
      </c>
      <c r="V170" s="5" t="n">
        <v>0.1522</v>
      </c>
    </row>
    <row r="171" customFormat="false" ht="15" hidden="false" customHeight="false" outlineLevel="0" collapsed="false">
      <c r="A171" s="8" t="s">
        <v>97</v>
      </c>
      <c r="B171" s="8" t="s">
        <v>27</v>
      </c>
      <c r="C171" s="8" t="s">
        <v>1074</v>
      </c>
      <c r="D171" s="8" t="n">
        <v>154018</v>
      </c>
      <c r="E171" s="8" t="s">
        <v>504</v>
      </c>
      <c r="F171" s="8" t="s">
        <v>809</v>
      </c>
      <c r="G171" s="8" t="s">
        <v>961</v>
      </c>
      <c r="H171" s="8" t="s">
        <v>51</v>
      </c>
      <c r="I171" s="8" t="s">
        <v>98</v>
      </c>
      <c r="J171" s="4" t="n">
        <v>80000</v>
      </c>
      <c r="K171" s="4" t="n">
        <v>74000</v>
      </c>
      <c r="L171" s="5" t="n">
        <v>0.08</v>
      </c>
      <c r="M171" s="4" t="n">
        <v>62</v>
      </c>
      <c r="N171" s="4" t="n">
        <v>0</v>
      </c>
      <c r="O171" s="4" t="n">
        <v>0</v>
      </c>
      <c r="P171" s="4" t="n">
        <v>0</v>
      </c>
      <c r="Q171" s="4" t="n">
        <v>0</v>
      </c>
      <c r="R171" s="4" t="n">
        <f aca="false">M171+N171+O171+P171+Q171</f>
        <v>62</v>
      </c>
      <c r="S171" s="4" t="n">
        <v>7</v>
      </c>
      <c r="T171" s="4" t="n">
        <f aca="false">R171*K171</f>
        <v>4588000</v>
      </c>
      <c r="U171" s="9" t="n">
        <f aca="false">IFERROR(M171/S171,0)</f>
        <v>8.85714285714286</v>
      </c>
      <c r="V171" s="5" t="n">
        <v>0.0811</v>
      </c>
    </row>
    <row r="172" customFormat="false" ht="15" hidden="false" customHeight="false" outlineLevel="0" collapsed="false">
      <c r="A172" s="8" t="s">
        <v>97</v>
      </c>
      <c r="B172" s="8" t="s">
        <v>27</v>
      </c>
      <c r="C172" s="8" t="s">
        <v>1074</v>
      </c>
      <c r="D172" s="8" t="n">
        <v>154671</v>
      </c>
      <c r="E172" s="8" t="s">
        <v>508</v>
      </c>
      <c r="F172" s="8" t="s">
        <v>829</v>
      </c>
      <c r="G172" s="8" t="s">
        <v>961</v>
      </c>
      <c r="H172" s="8" t="s">
        <v>51</v>
      </c>
      <c r="I172" s="8" t="s">
        <v>98</v>
      </c>
      <c r="J172" s="4" t="n">
        <v>90000</v>
      </c>
      <c r="K172" s="4" t="n">
        <v>83000</v>
      </c>
      <c r="L172" s="5" t="n">
        <v>0.08</v>
      </c>
      <c r="M172" s="4" t="n">
        <v>59</v>
      </c>
      <c r="N172" s="4" t="n">
        <v>0</v>
      </c>
      <c r="O172" s="4" t="n">
        <v>0</v>
      </c>
      <c r="P172" s="4" t="n">
        <v>0</v>
      </c>
      <c r="Q172" s="4" t="n">
        <v>0</v>
      </c>
      <c r="R172" s="4" t="n">
        <f aca="false">M172+N172+O172+P172+Q172</f>
        <v>59</v>
      </c>
      <c r="S172" s="4" t="n">
        <v>5</v>
      </c>
      <c r="T172" s="4" t="n">
        <f aca="false">R172*K172</f>
        <v>4897000</v>
      </c>
      <c r="U172" s="9" t="n">
        <f aca="false">IFERROR(M172/S172,0)</f>
        <v>11.8</v>
      </c>
      <c r="V172" s="5" t="n">
        <v>0.1027</v>
      </c>
    </row>
    <row r="173" customFormat="false" ht="15" hidden="false" customHeight="false" outlineLevel="0" collapsed="false">
      <c r="A173" s="8" t="s">
        <v>97</v>
      </c>
      <c r="B173" s="8" t="s">
        <v>27</v>
      </c>
      <c r="C173" s="8" t="s">
        <v>1074</v>
      </c>
      <c r="D173" s="8" t="n">
        <v>154672</v>
      </c>
      <c r="E173" s="8" t="s">
        <v>509</v>
      </c>
      <c r="F173" s="8" t="s">
        <v>829</v>
      </c>
      <c r="G173" s="8" t="s">
        <v>961</v>
      </c>
      <c r="H173" s="8" t="s">
        <v>51</v>
      </c>
      <c r="I173" s="8" t="s">
        <v>98</v>
      </c>
      <c r="J173" s="4" t="n">
        <v>90000</v>
      </c>
      <c r="K173" s="4" t="n">
        <v>83000</v>
      </c>
      <c r="L173" s="5" t="n">
        <v>0.08</v>
      </c>
      <c r="M173" s="4" t="n">
        <v>51</v>
      </c>
      <c r="N173" s="4" t="n">
        <v>0</v>
      </c>
      <c r="O173" s="4" t="n">
        <v>0</v>
      </c>
      <c r="P173" s="4" t="n">
        <v>0</v>
      </c>
      <c r="Q173" s="4" t="n">
        <v>0</v>
      </c>
      <c r="R173" s="4" t="n">
        <f aca="false">M173+N173+O173+P173+Q173</f>
        <v>51</v>
      </c>
      <c r="S173" s="4" t="n">
        <v>4</v>
      </c>
      <c r="T173" s="4" t="n">
        <f aca="false">R173*K173</f>
        <v>4233000</v>
      </c>
      <c r="U173" s="9" t="n">
        <f aca="false">IFERROR(M173/S173,0)</f>
        <v>12.75</v>
      </c>
      <c r="V173" s="5" t="n">
        <v>0.1027</v>
      </c>
    </row>
    <row r="174" customFormat="false" ht="15" hidden="false" customHeight="false" outlineLevel="0" collapsed="false">
      <c r="A174" s="8" t="s">
        <v>97</v>
      </c>
      <c r="B174" s="8" t="s">
        <v>27</v>
      </c>
      <c r="C174" s="8" t="s">
        <v>1074</v>
      </c>
      <c r="D174" s="8" t="n">
        <v>154675</v>
      </c>
      <c r="E174" s="8" t="s">
        <v>1075</v>
      </c>
      <c r="F174" s="8" t="s">
        <v>829</v>
      </c>
      <c r="G174" s="8" t="s">
        <v>961</v>
      </c>
      <c r="H174" s="8" t="s">
        <v>51</v>
      </c>
      <c r="I174" s="8" t="s">
        <v>98</v>
      </c>
      <c r="J174" s="4" t="n">
        <v>138000</v>
      </c>
      <c r="K174" s="4" t="n">
        <v>127000</v>
      </c>
      <c r="L174" s="5" t="n">
        <v>0.08</v>
      </c>
      <c r="M174" s="4" t="n">
        <v>49</v>
      </c>
      <c r="N174" s="4" t="n">
        <v>0</v>
      </c>
      <c r="O174" s="4" t="n">
        <v>0</v>
      </c>
      <c r="P174" s="4" t="n">
        <v>0</v>
      </c>
      <c r="Q174" s="4" t="n">
        <v>0</v>
      </c>
      <c r="R174" s="4" t="n">
        <f aca="false">M174+N174+O174+P174+Q174</f>
        <v>49</v>
      </c>
      <c r="S174" s="4" t="n">
        <v>5</v>
      </c>
      <c r="T174" s="4" t="n">
        <f aca="false">R174*K174</f>
        <v>6223000</v>
      </c>
      <c r="U174" s="9" t="n">
        <f aca="false">IFERROR(M174/S174,0)</f>
        <v>9.8</v>
      </c>
      <c r="V174" s="5" t="n">
        <v>0.0663</v>
      </c>
    </row>
    <row r="175" customFormat="false" ht="15" hidden="false" customHeight="false" outlineLevel="0" collapsed="false">
      <c r="A175" s="8" t="s">
        <v>97</v>
      </c>
      <c r="B175" s="8" t="s">
        <v>27</v>
      </c>
      <c r="C175" s="8" t="s">
        <v>1074</v>
      </c>
      <c r="D175" s="8" t="n">
        <v>154668</v>
      </c>
      <c r="E175" s="8" t="s">
        <v>1076</v>
      </c>
      <c r="F175" s="8" t="s">
        <v>829</v>
      </c>
      <c r="G175" s="8" t="s">
        <v>961</v>
      </c>
      <c r="H175" s="8" t="s">
        <v>51</v>
      </c>
      <c r="I175" s="8" t="s">
        <v>98</v>
      </c>
      <c r="J175" s="4" t="n">
        <v>90000</v>
      </c>
      <c r="K175" s="4" t="n">
        <v>83000</v>
      </c>
      <c r="L175" s="5" t="n">
        <v>0.08</v>
      </c>
      <c r="M175" s="4" t="n">
        <v>47</v>
      </c>
      <c r="N175" s="4" t="n">
        <v>0</v>
      </c>
      <c r="O175" s="4" t="n">
        <v>0</v>
      </c>
      <c r="P175" s="4" t="n">
        <v>0</v>
      </c>
      <c r="Q175" s="4" t="n">
        <v>0</v>
      </c>
      <c r="R175" s="4" t="n">
        <f aca="false">M175+N175+O175+P175+Q175</f>
        <v>47</v>
      </c>
      <c r="S175" s="4" t="n">
        <v>5</v>
      </c>
      <c r="T175" s="4" t="n">
        <f aca="false">R175*K175</f>
        <v>3901000</v>
      </c>
      <c r="U175" s="9" t="n">
        <f aca="false">IFERROR(M175/S175,0)</f>
        <v>9.4</v>
      </c>
      <c r="V175" s="5" t="n">
        <v>0.1027</v>
      </c>
    </row>
    <row r="176" customFormat="false" ht="15" hidden="false" customHeight="false" outlineLevel="0" collapsed="false">
      <c r="A176" s="8" t="s">
        <v>97</v>
      </c>
      <c r="B176" s="8" t="s">
        <v>27</v>
      </c>
      <c r="C176" s="8" t="s">
        <v>1074</v>
      </c>
      <c r="D176" s="8" t="n">
        <v>154670</v>
      </c>
      <c r="E176" s="8" t="s">
        <v>1077</v>
      </c>
      <c r="F176" s="8" t="s">
        <v>829</v>
      </c>
      <c r="G176" s="8" t="s">
        <v>961</v>
      </c>
      <c r="H176" s="8" t="s">
        <v>51</v>
      </c>
      <c r="I176" s="8" t="s">
        <v>98</v>
      </c>
      <c r="J176" s="4" t="n">
        <v>90000</v>
      </c>
      <c r="K176" s="4" t="n">
        <v>83000</v>
      </c>
      <c r="L176" s="5" t="n">
        <v>0.08</v>
      </c>
      <c r="M176" s="4" t="n">
        <v>37</v>
      </c>
      <c r="N176" s="4" t="n">
        <v>0</v>
      </c>
      <c r="O176" s="4" t="n">
        <v>0</v>
      </c>
      <c r="P176" s="4" t="n">
        <v>0</v>
      </c>
      <c r="Q176" s="4" t="n">
        <v>0</v>
      </c>
      <c r="R176" s="4" t="n">
        <f aca="false">M176+N176+O176+P176+Q176</f>
        <v>37</v>
      </c>
      <c r="S176" s="4" t="n">
        <v>3</v>
      </c>
      <c r="T176" s="4" t="n">
        <f aca="false">R176*K176</f>
        <v>3071000</v>
      </c>
      <c r="U176" s="9" t="n">
        <f aca="false">IFERROR(M176/S176,0)</f>
        <v>12.3333333333333</v>
      </c>
      <c r="V176" s="5" t="n">
        <v>0.1027</v>
      </c>
    </row>
    <row r="177" customFormat="false" ht="15" hidden="false" customHeight="false" outlineLevel="0" collapsed="false">
      <c r="A177" s="8" t="s">
        <v>97</v>
      </c>
      <c r="B177" s="8" t="s">
        <v>27</v>
      </c>
      <c r="C177" s="8" t="s">
        <v>1074</v>
      </c>
      <c r="D177" s="8" t="n">
        <v>154673</v>
      </c>
      <c r="E177" s="8" t="s">
        <v>1078</v>
      </c>
      <c r="F177" s="8" t="s">
        <v>829</v>
      </c>
      <c r="G177" s="8" t="s">
        <v>961</v>
      </c>
      <c r="H177" s="8" t="s">
        <v>51</v>
      </c>
      <c r="I177" s="8" t="s">
        <v>98</v>
      </c>
      <c r="J177" s="4" t="n">
        <v>90000</v>
      </c>
      <c r="K177" s="4" t="n">
        <v>83000</v>
      </c>
      <c r="L177" s="5" t="n">
        <v>0.08</v>
      </c>
      <c r="M177" s="4" t="n">
        <v>33</v>
      </c>
      <c r="N177" s="4" t="n">
        <v>0</v>
      </c>
      <c r="O177" s="4" t="n">
        <v>0</v>
      </c>
      <c r="P177" s="4" t="n">
        <v>0</v>
      </c>
      <c r="Q177" s="4" t="n">
        <v>0</v>
      </c>
      <c r="R177" s="4" t="n">
        <f aca="false">M177+N177+O177+P177+Q177</f>
        <v>33</v>
      </c>
      <c r="S177" s="4" t="n">
        <v>3</v>
      </c>
      <c r="T177" s="4" t="n">
        <f aca="false">R177*K177</f>
        <v>2739000</v>
      </c>
      <c r="U177" s="9" t="n">
        <f aca="false">IFERROR(M177/S177,0)</f>
        <v>11</v>
      </c>
      <c r="V177" s="5" t="n">
        <v>0.1027</v>
      </c>
    </row>
    <row r="178" customFormat="false" ht="15" hidden="false" customHeight="false" outlineLevel="0" collapsed="false">
      <c r="A178" s="8" t="s">
        <v>97</v>
      </c>
      <c r="B178" s="8" t="s">
        <v>27</v>
      </c>
      <c r="C178" s="8" t="s">
        <v>1074</v>
      </c>
      <c r="D178" s="8" t="n">
        <v>154674</v>
      </c>
      <c r="E178" s="8" t="s">
        <v>1079</v>
      </c>
      <c r="F178" s="8" t="s">
        <v>829</v>
      </c>
      <c r="G178" s="8" t="s">
        <v>961</v>
      </c>
      <c r="H178" s="8" t="s">
        <v>51</v>
      </c>
      <c r="I178" s="8" t="s">
        <v>98</v>
      </c>
      <c r="J178" s="4" t="n">
        <v>138000</v>
      </c>
      <c r="K178" s="4" t="n">
        <v>127000</v>
      </c>
      <c r="L178" s="5" t="n">
        <v>0.08</v>
      </c>
      <c r="M178" s="4" t="n">
        <v>33</v>
      </c>
      <c r="N178" s="4" t="n">
        <v>0</v>
      </c>
      <c r="O178" s="4" t="n">
        <v>0</v>
      </c>
      <c r="P178" s="4" t="n">
        <v>0</v>
      </c>
      <c r="Q178" s="4" t="n">
        <v>0</v>
      </c>
      <c r="R178" s="4" t="n">
        <f aca="false">M178+N178+O178+P178+Q178</f>
        <v>33</v>
      </c>
      <c r="S178" s="4" t="n">
        <v>5</v>
      </c>
      <c r="T178" s="4" t="n">
        <f aca="false">R178*K178</f>
        <v>4191000</v>
      </c>
      <c r="U178" s="9" t="n">
        <f aca="false">IFERROR(M178/S178,0)</f>
        <v>6.6</v>
      </c>
      <c r="V178" s="5" t="n">
        <v>0.0663</v>
      </c>
    </row>
    <row r="179" customFormat="false" ht="15" hidden="false" customHeight="false" outlineLevel="0" collapsed="false">
      <c r="A179" s="8" t="s">
        <v>97</v>
      </c>
      <c r="B179" s="8" t="s">
        <v>27</v>
      </c>
      <c r="C179" s="8" t="s">
        <v>1074</v>
      </c>
      <c r="D179" s="8" t="n">
        <v>154676</v>
      </c>
      <c r="E179" s="8" t="s">
        <v>1080</v>
      </c>
      <c r="F179" s="8" t="s">
        <v>829</v>
      </c>
      <c r="G179" s="8" t="s">
        <v>961</v>
      </c>
      <c r="H179" s="8" t="s">
        <v>51</v>
      </c>
      <c r="I179" s="8" t="s">
        <v>98</v>
      </c>
      <c r="J179" s="4" t="n">
        <v>138000</v>
      </c>
      <c r="K179" s="4" t="n">
        <v>127000</v>
      </c>
      <c r="L179" s="5" t="n">
        <v>0.08</v>
      </c>
      <c r="M179" s="4" t="n">
        <v>29</v>
      </c>
      <c r="N179" s="4" t="n">
        <v>0</v>
      </c>
      <c r="O179" s="4" t="n">
        <v>0</v>
      </c>
      <c r="P179" s="4" t="n">
        <v>0</v>
      </c>
      <c r="Q179" s="4" t="n">
        <v>0</v>
      </c>
      <c r="R179" s="4" t="n">
        <f aca="false">M179+N179+O179+P179+Q179</f>
        <v>29</v>
      </c>
      <c r="S179" s="4" t="n">
        <v>2</v>
      </c>
      <c r="T179" s="4" t="n">
        <f aca="false">R179*K179</f>
        <v>3683000</v>
      </c>
      <c r="U179" s="9" t="n">
        <f aca="false">IFERROR(M179/S179,0)</f>
        <v>14.5</v>
      </c>
      <c r="V179" s="5" t="n">
        <v>0.0663</v>
      </c>
    </row>
    <row r="180" customFormat="false" ht="15" hidden="false" customHeight="false" outlineLevel="0" collapsed="false">
      <c r="A180" s="8" t="s">
        <v>97</v>
      </c>
      <c r="B180" s="8" t="s">
        <v>27</v>
      </c>
      <c r="C180" s="8" t="s">
        <v>1074</v>
      </c>
      <c r="D180" s="8" t="n">
        <v>154669</v>
      </c>
      <c r="E180" s="8" t="s">
        <v>1081</v>
      </c>
      <c r="F180" s="8" t="s">
        <v>829</v>
      </c>
      <c r="G180" s="8" t="s">
        <v>961</v>
      </c>
      <c r="H180" s="8" t="s">
        <v>51</v>
      </c>
      <c r="I180" s="8" t="s">
        <v>98</v>
      </c>
      <c r="J180" s="4" t="n">
        <v>90000</v>
      </c>
      <c r="K180" s="4" t="n">
        <v>83000</v>
      </c>
      <c r="L180" s="5" t="n">
        <v>0.08</v>
      </c>
      <c r="M180" s="4" t="n">
        <v>25</v>
      </c>
      <c r="N180" s="4" t="n">
        <v>0</v>
      </c>
      <c r="O180" s="4" t="n">
        <v>0</v>
      </c>
      <c r="P180" s="4" t="n">
        <v>0</v>
      </c>
      <c r="Q180" s="4" t="n">
        <v>0</v>
      </c>
      <c r="R180" s="4" t="n">
        <f aca="false">M180+N180+O180+P180+Q180</f>
        <v>25</v>
      </c>
      <c r="S180" s="4" t="n">
        <v>2</v>
      </c>
      <c r="T180" s="4" t="n">
        <f aca="false">R180*K180</f>
        <v>2075000</v>
      </c>
      <c r="U180" s="9" t="n">
        <f aca="false">IFERROR(M180/S180,0)</f>
        <v>12.5</v>
      </c>
      <c r="V180" s="5" t="n">
        <v>0.1027</v>
      </c>
    </row>
    <row r="181" customFormat="false" ht="15" hidden="false" customHeight="false" outlineLevel="0" collapsed="false">
      <c r="A181" s="8" t="s">
        <v>97</v>
      </c>
      <c r="B181" s="8" t="s">
        <v>27</v>
      </c>
      <c r="C181" s="8" t="s">
        <v>1074</v>
      </c>
      <c r="D181" s="8" t="n">
        <v>154677</v>
      </c>
      <c r="E181" s="8" t="s">
        <v>1082</v>
      </c>
      <c r="F181" s="8" t="s">
        <v>829</v>
      </c>
      <c r="G181" s="8" t="s">
        <v>961</v>
      </c>
      <c r="H181" s="8" t="s">
        <v>51</v>
      </c>
      <c r="I181" s="8" t="s">
        <v>98</v>
      </c>
      <c r="J181" s="4" t="n">
        <v>138000</v>
      </c>
      <c r="K181" s="4" t="n">
        <v>127000</v>
      </c>
      <c r="L181" s="5" t="n">
        <v>0.08</v>
      </c>
      <c r="M181" s="4" t="n">
        <v>24</v>
      </c>
      <c r="N181" s="4" t="n">
        <v>0</v>
      </c>
      <c r="O181" s="4" t="n">
        <v>0</v>
      </c>
      <c r="P181" s="4" t="n">
        <v>0</v>
      </c>
      <c r="Q181" s="4" t="n">
        <v>0</v>
      </c>
      <c r="R181" s="4" t="n">
        <f aca="false">M181+N181+O181+P181+Q181</f>
        <v>24</v>
      </c>
      <c r="S181" s="4" t="n">
        <v>2</v>
      </c>
      <c r="T181" s="4" t="n">
        <f aca="false">R181*K181</f>
        <v>3048000</v>
      </c>
      <c r="U181" s="9" t="n">
        <f aca="false">IFERROR(M181/S181,0)</f>
        <v>12</v>
      </c>
      <c r="V181" s="5" t="n">
        <v>0.0663</v>
      </c>
    </row>
    <row r="182" customFormat="false" ht="15" hidden="false" customHeight="false" outlineLevel="0" collapsed="false">
      <c r="A182" s="8" t="s">
        <v>97</v>
      </c>
      <c r="B182" s="8" t="s">
        <v>27</v>
      </c>
      <c r="C182" s="8" t="s">
        <v>1074</v>
      </c>
      <c r="D182" s="8" t="n">
        <v>154173</v>
      </c>
      <c r="E182" s="8" t="s">
        <v>1083</v>
      </c>
      <c r="F182" s="8" t="s">
        <v>767</v>
      </c>
      <c r="G182" s="8" t="s">
        <v>961</v>
      </c>
      <c r="H182" s="8" t="s">
        <v>51</v>
      </c>
      <c r="I182" s="8" t="s">
        <v>98</v>
      </c>
      <c r="J182" s="4" t="n">
        <v>115000</v>
      </c>
      <c r="K182" s="4" t="n">
        <v>106000</v>
      </c>
      <c r="L182" s="5" t="n">
        <v>0.08</v>
      </c>
      <c r="M182" s="4" t="n">
        <v>19</v>
      </c>
      <c r="N182" s="4" t="n">
        <v>0</v>
      </c>
      <c r="O182" s="4" t="n">
        <v>0</v>
      </c>
      <c r="P182" s="4" t="n">
        <v>0</v>
      </c>
      <c r="Q182" s="4" t="n">
        <v>0</v>
      </c>
      <c r="R182" s="4" t="n">
        <f aca="false">M182+N182+O182+P182+Q182</f>
        <v>19</v>
      </c>
      <c r="S182" s="4" t="n">
        <v>2</v>
      </c>
      <c r="T182" s="4" t="n">
        <f aca="false">R182*K182</f>
        <v>2014000</v>
      </c>
      <c r="U182" s="9" t="n">
        <f aca="false">IFERROR(M182/S182,0)</f>
        <v>9.5</v>
      </c>
      <c r="V182" s="5" t="n">
        <v>0.1604</v>
      </c>
    </row>
    <row r="183" customFormat="false" ht="15" hidden="false" customHeight="false" outlineLevel="0" collapsed="false">
      <c r="A183" s="8" t="s">
        <v>97</v>
      </c>
      <c r="B183" s="8" t="s">
        <v>27</v>
      </c>
      <c r="C183" s="8" t="s">
        <v>1074</v>
      </c>
      <c r="D183" s="8" t="n">
        <v>154667</v>
      </c>
      <c r="E183" s="8" t="s">
        <v>1084</v>
      </c>
      <c r="F183" s="8" t="s">
        <v>829</v>
      </c>
      <c r="G183" s="8" t="s">
        <v>961</v>
      </c>
      <c r="H183" s="8" t="s">
        <v>51</v>
      </c>
      <c r="I183" s="8" t="s">
        <v>98</v>
      </c>
      <c r="J183" s="4" t="n">
        <v>188000</v>
      </c>
      <c r="K183" s="4" t="n">
        <v>173000</v>
      </c>
      <c r="L183" s="5" t="n">
        <v>0.08</v>
      </c>
      <c r="M183" s="4" t="n">
        <v>17</v>
      </c>
      <c r="N183" s="4" t="n">
        <v>0</v>
      </c>
      <c r="O183" s="4" t="n">
        <v>0</v>
      </c>
      <c r="P183" s="4" t="n">
        <v>0</v>
      </c>
      <c r="Q183" s="4" t="n">
        <v>0</v>
      </c>
      <c r="R183" s="4" t="n">
        <f aca="false">M183+N183+O183+P183+Q183</f>
        <v>17</v>
      </c>
      <c r="S183" s="4" t="n">
        <v>3</v>
      </c>
      <c r="T183" s="4" t="n">
        <f aca="false">R183*K183</f>
        <v>2941000</v>
      </c>
      <c r="U183" s="9" t="n">
        <f aca="false">IFERROR(M183/S183,0)</f>
        <v>5.66666666666667</v>
      </c>
      <c r="V183" s="5" t="n">
        <v>0.0867</v>
      </c>
    </row>
    <row r="184" customFormat="false" ht="15" hidden="false" customHeight="false" outlineLevel="0" collapsed="false">
      <c r="A184" s="8" t="s">
        <v>97</v>
      </c>
      <c r="B184" s="8" t="s">
        <v>27</v>
      </c>
      <c r="C184" s="8" t="s">
        <v>1074</v>
      </c>
      <c r="D184" s="8" t="n">
        <v>154021</v>
      </c>
      <c r="E184" s="8" t="s">
        <v>1085</v>
      </c>
      <c r="F184" s="8" t="s">
        <v>767</v>
      </c>
      <c r="G184" s="8" t="s">
        <v>961</v>
      </c>
      <c r="H184" s="8" t="s">
        <v>51</v>
      </c>
      <c r="I184" s="8" t="s">
        <v>98</v>
      </c>
      <c r="J184" s="4" t="n">
        <v>80000</v>
      </c>
      <c r="K184" s="4" t="n">
        <v>74000</v>
      </c>
      <c r="L184" s="5" t="n">
        <v>0.08</v>
      </c>
      <c r="M184" s="4" t="n">
        <v>16</v>
      </c>
      <c r="N184" s="4" t="n">
        <v>0</v>
      </c>
      <c r="O184" s="4" t="n">
        <v>0</v>
      </c>
      <c r="P184" s="4" t="n">
        <v>0</v>
      </c>
      <c r="Q184" s="4" t="n">
        <v>0</v>
      </c>
      <c r="R184" s="4" t="n">
        <f aca="false">M184+N184+O184+P184+Q184</f>
        <v>16</v>
      </c>
      <c r="S184" s="4" t="n">
        <v>4</v>
      </c>
      <c r="T184" s="4" t="n">
        <f aca="false">R184*K184</f>
        <v>1184000</v>
      </c>
      <c r="U184" s="9" t="n">
        <f aca="false">IFERROR(M184/S184,0)</f>
        <v>4</v>
      </c>
      <c r="V184" s="5" t="n">
        <v>0.0811</v>
      </c>
    </row>
    <row r="185" customFormat="false" ht="15" hidden="false" customHeight="false" outlineLevel="0" collapsed="false">
      <c r="A185" s="8" t="s">
        <v>97</v>
      </c>
      <c r="B185" s="8" t="s">
        <v>27</v>
      </c>
      <c r="C185" s="8" t="s">
        <v>1074</v>
      </c>
      <c r="D185" s="8" t="n">
        <v>154022</v>
      </c>
      <c r="E185" s="8" t="s">
        <v>1086</v>
      </c>
      <c r="F185" s="8" t="s">
        <v>767</v>
      </c>
      <c r="G185" s="8" t="s">
        <v>961</v>
      </c>
      <c r="H185" s="8" t="s">
        <v>51</v>
      </c>
      <c r="I185" s="8" t="s">
        <v>98</v>
      </c>
      <c r="J185" s="4" t="n">
        <v>80000</v>
      </c>
      <c r="K185" s="4" t="n">
        <v>74000</v>
      </c>
      <c r="L185" s="5" t="n">
        <v>0.08</v>
      </c>
      <c r="M185" s="4" t="n">
        <v>15</v>
      </c>
      <c r="N185" s="4" t="n">
        <v>0</v>
      </c>
      <c r="O185" s="4" t="n">
        <v>0</v>
      </c>
      <c r="P185" s="4" t="n">
        <v>0</v>
      </c>
      <c r="Q185" s="4" t="n">
        <v>0</v>
      </c>
      <c r="R185" s="4" t="n">
        <f aca="false">M185+N185+O185+P185+Q185</f>
        <v>15</v>
      </c>
      <c r="S185" s="4" t="n">
        <v>3</v>
      </c>
      <c r="T185" s="4" t="n">
        <f aca="false">R185*K185</f>
        <v>1110000</v>
      </c>
      <c r="U185" s="9" t="n">
        <f aca="false">IFERROR(M185/S185,0)</f>
        <v>5</v>
      </c>
      <c r="V185" s="5" t="n">
        <v>0.0811</v>
      </c>
    </row>
    <row r="186" customFormat="false" ht="15" hidden="false" customHeight="false" outlineLevel="0" collapsed="false">
      <c r="A186" s="8" t="s">
        <v>97</v>
      </c>
      <c r="B186" s="8" t="s">
        <v>27</v>
      </c>
      <c r="C186" s="8" t="s">
        <v>1074</v>
      </c>
      <c r="D186" s="8" t="n">
        <v>154023</v>
      </c>
      <c r="E186" s="8" t="s">
        <v>1087</v>
      </c>
      <c r="F186" s="8" t="s">
        <v>767</v>
      </c>
      <c r="G186" s="8" t="s">
        <v>961</v>
      </c>
      <c r="H186" s="8" t="s">
        <v>51</v>
      </c>
      <c r="I186" s="8" t="s">
        <v>98</v>
      </c>
      <c r="J186" s="4" t="n">
        <v>80000</v>
      </c>
      <c r="K186" s="4" t="n">
        <v>74000</v>
      </c>
      <c r="L186" s="5" t="n">
        <v>0.08</v>
      </c>
      <c r="M186" s="4" t="n">
        <v>13</v>
      </c>
      <c r="N186" s="4" t="n">
        <v>0</v>
      </c>
      <c r="O186" s="4" t="n">
        <v>0</v>
      </c>
      <c r="P186" s="4" t="n">
        <v>0</v>
      </c>
      <c r="Q186" s="4" t="n">
        <v>0</v>
      </c>
      <c r="R186" s="4" t="n">
        <f aca="false">M186+N186+O186+P186+Q186</f>
        <v>13</v>
      </c>
      <c r="S186" s="4" t="n">
        <v>3</v>
      </c>
      <c r="T186" s="4" t="n">
        <f aca="false">R186*K186</f>
        <v>962000</v>
      </c>
      <c r="U186" s="9" t="n">
        <f aca="false">IFERROR(M186/S186,0)</f>
        <v>4.33333333333333</v>
      </c>
      <c r="V186" s="5" t="n">
        <v>0.0811</v>
      </c>
    </row>
    <row r="187" customFormat="false" ht="15" hidden="false" customHeight="false" outlineLevel="0" collapsed="false">
      <c r="A187" s="8" t="s">
        <v>97</v>
      </c>
      <c r="B187" s="8" t="s">
        <v>27</v>
      </c>
      <c r="C187" s="8" t="s">
        <v>1074</v>
      </c>
      <c r="D187" s="8" t="n">
        <v>154091</v>
      </c>
      <c r="E187" s="8" t="s">
        <v>1088</v>
      </c>
      <c r="F187" s="8" t="s">
        <v>767</v>
      </c>
      <c r="G187" s="8" t="s">
        <v>961</v>
      </c>
      <c r="H187" s="8" t="s">
        <v>51</v>
      </c>
      <c r="I187" s="8" t="s">
        <v>98</v>
      </c>
      <c r="J187" s="4" t="n">
        <v>68000</v>
      </c>
      <c r="K187" s="4" t="n">
        <v>63000</v>
      </c>
      <c r="L187" s="5" t="n">
        <v>0.08</v>
      </c>
      <c r="M187" s="4" t="n">
        <v>11</v>
      </c>
      <c r="N187" s="4" t="n">
        <v>0</v>
      </c>
      <c r="O187" s="4" t="n">
        <v>0</v>
      </c>
      <c r="P187" s="4" t="n">
        <v>0</v>
      </c>
      <c r="Q187" s="4" t="n">
        <v>0</v>
      </c>
      <c r="R187" s="4" t="n">
        <f aca="false">M187+N187+O187+P187+Q187</f>
        <v>11</v>
      </c>
      <c r="S187" s="4" t="n">
        <v>3</v>
      </c>
      <c r="T187" s="4" t="n">
        <f aca="false">R187*K187</f>
        <v>693000</v>
      </c>
      <c r="U187" s="9" t="n">
        <f aca="false">IFERROR(M187/S187,0)</f>
        <v>3.66666666666667</v>
      </c>
      <c r="V187" s="5" t="n">
        <v>0.2063</v>
      </c>
    </row>
    <row r="188" customFormat="false" ht="15" hidden="false" customHeight="false" outlineLevel="0" collapsed="false">
      <c r="A188" s="8" t="s">
        <v>97</v>
      </c>
      <c r="B188" s="8" t="s">
        <v>27</v>
      </c>
      <c r="C188" s="8" t="s">
        <v>1074</v>
      </c>
      <c r="D188" s="8" t="n">
        <v>154661</v>
      </c>
      <c r="E188" s="8" t="s">
        <v>1089</v>
      </c>
      <c r="F188" s="8" t="s">
        <v>829</v>
      </c>
      <c r="G188" s="8" t="s">
        <v>961</v>
      </c>
      <c r="H188" s="8" t="s">
        <v>51</v>
      </c>
      <c r="I188" s="8" t="s">
        <v>98</v>
      </c>
      <c r="J188" s="4" t="n">
        <v>166000</v>
      </c>
      <c r="K188" s="4" t="n">
        <v>153000</v>
      </c>
      <c r="L188" s="5" t="n">
        <v>0.08</v>
      </c>
      <c r="M188" s="4" t="n">
        <v>11</v>
      </c>
      <c r="N188" s="4" t="n">
        <v>0</v>
      </c>
      <c r="O188" s="4" t="n">
        <v>0</v>
      </c>
      <c r="P188" s="4" t="n">
        <v>0</v>
      </c>
      <c r="Q188" s="4" t="n">
        <v>0</v>
      </c>
      <c r="R188" s="4" t="n">
        <f aca="false">M188+N188+O188+P188+Q188</f>
        <v>11</v>
      </c>
      <c r="S188" s="4" t="n">
        <v>3</v>
      </c>
      <c r="T188" s="4" t="n">
        <f aca="false">R188*K188</f>
        <v>1683000</v>
      </c>
      <c r="U188" s="9" t="n">
        <f aca="false">IFERROR(M188/S188,0)</f>
        <v>3.66666666666667</v>
      </c>
      <c r="V188" s="5" t="n">
        <v>0.0915</v>
      </c>
    </row>
    <row r="189" customFormat="false" ht="15" hidden="false" customHeight="false" outlineLevel="0" collapsed="false">
      <c r="A189" s="8" t="s">
        <v>97</v>
      </c>
      <c r="B189" s="8" t="s">
        <v>27</v>
      </c>
      <c r="C189" s="8" t="s">
        <v>1074</v>
      </c>
      <c r="D189" s="8" t="n">
        <v>154662</v>
      </c>
      <c r="E189" s="8" t="s">
        <v>1090</v>
      </c>
      <c r="F189" s="8" t="s">
        <v>829</v>
      </c>
      <c r="G189" s="8" t="s">
        <v>961</v>
      </c>
      <c r="H189" s="8" t="s">
        <v>51</v>
      </c>
      <c r="I189" s="8" t="s">
        <v>98</v>
      </c>
      <c r="J189" s="4" t="n">
        <v>122000</v>
      </c>
      <c r="K189" s="4" t="n">
        <v>113000</v>
      </c>
      <c r="L189" s="5" t="n">
        <v>0.08</v>
      </c>
      <c r="M189" s="4" t="n">
        <v>8</v>
      </c>
      <c r="N189" s="4" t="n">
        <v>0</v>
      </c>
      <c r="O189" s="4" t="n">
        <v>0</v>
      </c>
      <c r="P189" s="4" t="n">
        <v>0</v>
      </c>
      <c r="Q189" s="4" t="n">
        <v>0</v>
      </c>
      <c r="R189" s="4" t="n">
        <f aca="false">M189+N189+O189+P189+Q189</f>
        <v>8</v>
      </c>
      <c r="S189" s="4" t="n">
        <v>1</v>
      </c>
      <c r="T189" s="4" t="n">
        <f aca="false">R189*K189</f>
        <v>904000</v>
      </c>
      <c r="U189" s="9" t="n">
        <f aca="false">IFERROR(M189/S189,0)</f>
        <v>8</v>
      </c>
      <c r="V189" s="5" t="n">
        <v>0.0973</v>
      </c>
    </row>
    <row r="190" customFormat="false" ht="15" hidden="false" customHeight="false" outlineLevel="0" collapsed="false">
      <c r="A190" s="8" t="s">
        <v>97</v>
      </c>
      <c r="B190" s="8" t="s">
        <v>27</v>
      </c>
      <c r="C190" s="8" t="s">
        <v>1074</v>
      </c>
      <c r="D190" s="8" t="n">
        <v>154009</v>
      </c>
      <c r="E190" s="8" t="s">
        <v>1091</v>
      </c>
      <c r="F190" s="8" t="s">
        <v>809</v>
      </c>
      <c r="G190" s="8" t="s">
        <v>961</v>
      </c>
      <c r="H190" s="8" t="s">
        <v>51</v>
      </c>
      <c r="I190" s="8" t="s">
        <v>98</v>
      </c>
      <c r="J190" s="4" t="n">
        <v>120000</v>
      </c>
      <c r="K190" s="4" t="n">
        <v>111000</v>
      </c>
      <c r="L190" s="5" t="n">
        <v>0.08</v>
      </c>
      <c r="M190" s="4" t="n">
        <v>6</v>
      </c>
      <c r="N190" s="4" t="n">
        <v>0</v>
      </c>
      <c r="O190" s="4" t="n">
        <v>0</v>
      </c>
      <c r="P190" s="4" t="n">
        <v>0</v>
      </c>
      <c r="Q190" s="4" t="n">
        <v>0</v>
      </c>
      <c r="R190" s="4" t="n">
        <f aca="false">M190+N190+O190+P190+Q190</f>
        <v>6</v>
      </c>
      <c r="S190" s="4" t="n">
        <v>3</v>
      </c>
      <c r="T190" s="4" t="n">
        <f aca="false">R190*K190</f>
        <v>666000</v>
      </c>
      <c r="U190" s="9" t="n">
        <f aca="false">IFERROR(M190/S190,0)</f>
        <v>2</v>
      </c>
      <c r="V190" s="5" t="n">
        <v>0.0811</v>
      </c>
    </row>
    <row r="191" customFormat="false" ht="15" hidden="false" customHeight="false" outlineLevel="0" collapsed="false">
      <c r="A191" s="8" t="s">
        <v>97</v>
      </c>
      <c r="B191" s="8" t="s">
        <v>27</v>
      </c>
      <c r="C191" s="8" t="s">
        <v>1074</v>
      </c>
      <c r="D191" s="8" t="n">
        <v>154025</v>
      </c>
      <c r="E191" s="8" t="s">
        <v>1092</v>
      </c>
      <c r="F191" s="8" t="s">
        <v>767</v>
      </c>
      <c r="G191" s="8" t="s">
        <v>961</v>
      </c>
      <c r="H191" s="8" t="s">
        <v>51</v>
      </c>
      <c r="I191" s="8" t="s">
        <v>98</v>
      </c>
      <c r="J191" s="4" t="n">
        <v>80000</v>
      </c>
      <c r="K191" s="4" t="n">
        <v>74000</v>
      </c>
      <c r="L191" s="5" t="n">
        <v>0.08</v>
      </c>
      <c r="M191" s="4" t="n">
        <v>5</v>
      </c>
      <c r="N191" s="4" t="n">
        <v>0</v>
      </c>
      <c r="O191" s="4" t="n">
        <v>0</v>
      </c>
      <c r="P191" s="4" t="n">
        <v>0</v>
      </c>
      <c r="Q191" s="4" t="n">
        <v>0</v>
      </c>
      <c r="R191" s="4" t="n">
        <f aca="false">M191+N191+O191+P191+Q191</f>
        <v>5</v>
      </c>
      <c r="S191" s="4" t="n">
        <v>2</v>
      </c>
      <c r="T191" s="4" t="n">
        <f aca="false">R191*K191</f>
        <v>370000</v>
      </c>
      <c r="U191" s="9" t="n">
        <f aca="false">IFERROR(M191/S191,0)</f>
        <v>2.5</v>
      </c>
      <c r="V191" s="5" t="n">
        <v>0.0811</v>
      </c>
    </row>
    <row r="192" customFormat="false" ht="15" hidden="false" customHeight="false" outlineLevel="0" collapsed="false">
      <c r="A192" s="8" t="s">
        <v>97</v>
      </c>
      <c r="B192" s="8" t="s">
        <v>27</v>
      </c>
      <c r="C192" s="8" t="s">
        <v>1074</v>
      </c>
      <c r="D192" s="8" t="n">
        <v>154660</v>
      </c>
      <c r="E192" s="8" t="s">
        <v>1093</v>
      </c>
      <c r="F192" s="8" t="s">
        <v>829</v>
      </c>
      <c r="G192" s="8" t="s">
        <v>961</v>
      </c>
      <c r="H192" s="8" t="s">
        <v>51</v>
      </c>
      <c r="I192" s="8" t="s">
        <v>98</v>
      </c>
      <c r="J192" s="4" t="n">
        <v>65000</v>
      </c>
      <c r="K192" s="4" t="n">
        <v>60000</v>
      </c>
      <c r="L192" s="5" t="n">
        <v>0.08</v>
      </c>
      <c r="M192" s="4" t="n">
        <v>5</v>
      </c>
      <c r="N192" s="4" t="n">
        <v>0</v>
      </c>
      <c r="O192" s="4" t="n">
        <v>0</v>
      </c>
      <c r="P192" s="4" t="n">
        <v>0</v>
      </c>
      <c r="Q192" s="4" t="n">
        <v>0</v>
      </c>
      <c r="R192" s="4" t="n">
        <f aca="false">M192+N192+O192+P192+Q192</f>
        <v>5</v>
      </c>
      <c r="S192" s="4" t="n">
        <v>3</v>
      </c>
      <c r="T192" s="4" t="n">
        <f aca="false">R192*K192</f>
        <v>300000</v>
      </c>
      <c r="U192" s="9" t="n">
        <f aca="false">IFERROR(M192/S192,0)</f>
        <v>1.66666666666667</v>
      </c>
      <c r="V192" s="5" t="n">
        <v>0.1833</v>
      </c>
    </row>
    <row r="193" customFormat="false" ht="15" hidden="false" customHeight="false" outlineLevel="0" collapsed="false">
      <c r="A193" s="8" t="s">
        <v>97</v>
      </c>
      <c r="B193" s="8" t="s">
        <v>27</v>
      </c>
      <c r="C193" s="8" t="s">
        <v>1074</v>
      </c>
      <c r="D193" s="8" t="n">
        <v>154665</v>
      </c>
      <c r="E193" s="8" t="s">
        <v>1094</v>
      </c>
      <c r="F193" s="8" t="s">
        <v>829</v>
      </c>
      <c r="G193" s="8" t="s">
        <v>961</v>
      </c>
      <c r="H193" s="8" t="s">
        <v>51</v>
      </c>
      <c r="I193" s="8" t="s">
        <v>98</v>
      </c>
      <c r="J193" s="4" t="n">
        <v>144000</v>
      </c>
      <c r="K193" s="4" t="n">
        <v>133000</v>
      </c>
      <c r="L193" s="5" t="n">
        <v>0.08</v>
      </c>
      <c r="M193" s="4" t="n">
        <v>5</v>
      </c>
      <c r="N193" s="4" t="n">
        <v>0</v>
      </c>
      <c r="O193" s="4" t="n">
        <v>0</v>
      </c>
      <c r="P193" s="4" t="n">
        <v>0</v>
      </c>
      <c r="Q193" s="4" t="n">
        <v>0</v>
      </c>
      <c r="R193" s="4" t="n">
        <f aca="false">M193+N193+O193+P193+Q193</f>
        <v>5</v>
      </c>
      <c r="S193" s="4" t="n">
        <v>3</v>
      </c>
      <c r="T193" s="4" t="n">
        <f aca="false">R193*K193</f>
        <v>665000</v>
      </c>
      <c r="U193" s="9" t="n">
        <f aca="false">IFERROR(M193/S193,0)</f>
        <v>1.66666666666667</v>
      </c>
      <c r="V193" s="5" t="n">
        <v>0.0902</v>
      </c>
    </row>
    <row r="194" customFormat="false" ht="15" hidden="false" customHeight="false" outlineLevel="0" collapsed="false">
      <c r="A194" s="8" t="s">
        <v>97</v>
      </c>
      <c r="B194" s="8" t="s">
        <v>27</v>
      </c>
      <c r="C194" s="8" t="s">
        <v>1074</v>
      </c>
      <c r="D194" s="8" t="n">
        <v>152524</v>
      </c>
      <c r="E194" s="8" t="s">
        <v>506</v>
      </c>
      <c r="F194" s="8" t="s">
        <v>770</v>
      </c>
      <c r="G194" s="8" t="s">
        <v>961</v>
      </c>
      <c r="H194" s="8" t="s">
        <v>51</v>
      </c>
      <c r="I194" s="8" t="s">
        <v>98</v>
      </c>
      <c r="J194" s="4" t="n">
        <v>40000</v>
      </c>
      <c r="K194" s="4" t="n">
        <v>37000</v>
      </c>
      <c r="L194" s="5" t="n">
        <v>0.08</v>
      </c>
      <c r="M194" s="4" t="n">
        <v>4</v>
      </c>
      <c r="N194" s="4" t="n">
        <v>0</v>
      </c>
      <c r="O194" s="4" t="n">
        <v>0</v>
      </c>
      <c r="P194" s="4" t="n">
        <v>0</v>
      </c>
      <c r="Q194" s="4" t="n">
        <v>0</v>
      </c>
      <c r="R194" s="4" t="n">
        <f aca="false">M194+N194+O194+P194+Q194</f>
        <v>4</v>
      </c>
      <c r="S194" s="4" t="n">
        <v>2</v>
      </c>
      <c r="T194" s="4" t="n">
        <f aca="false">R194*K194</f>
        <v>148000</v>
      </c>
      <c r="U194" s="9" t="n">
        <f aca="false">IFERROR(M194/S194,0)</f>
        <v>2</v>
      </c>
      <c r="V194" s="5" t="n">
        <v>0.1892</v>
      </c>
    </row>
    <row r="195" customFormat="false" ht="15" hidden="false" customHeight="false" outlineLevel="0" collapsed="false">
      <c r="A195" s="8" t="s">
        <v>97</v>
      </c>
      <c r="B195" s="8" t="s">
        <v>27</v>
      </c>
      <c r="C195" s="8" t="s">
        <v>1074</v>
      </c>
      <c r="D195" s="8" t="n">
        <v>152752</v>
      </c>
      <c r="E195" s="8" t="s">
        <v>505</v>
      </c>
      <c r="F195" s="8" t="s">
        <v>809</v>
      </c>
      <c r="G195" s="8" t="s">
        <v>961</v>
      </c>
      <c r="H195" s="8" t="s">
        <v>51</v>
      </c>
      <c r="I195" s="8" t="s">
        <v>98</v>
      </c>
      <c r="J195" s="4" t="n">
        <v>45000</v>
      </c>
      <c r="K195" s="4" t="n">
        <v>42000</v>
      </c>
      <c r="L195" s="5" t="n">
        <v>0.08</v>
      </c>
      <c r="M195" s="4" t="n">
        <v>3</v>
      </c>
      <c r="N195" s="4" t="n">
        <v>0</v>
      </c>
      <c r="O195" s="4" t="n">
        <v>0</v>
      </c>
      <c r="P195" s="4" t="n">
        <v>0</v>
      </c>
      <c r="Q195" s="4" t="n">
        <v>0</v>
      </c>
      <c r="R195" s="4" t="n">
        <f aca="false">M195+N195+O195+P195+Q195</f>
        <v>3</v>
      </c>
      <c r="S195" s="4" t="n">
        <v>1</v>
      </c>
      <c r="T195" s="4" t="n">
        <f aca="false">R195*K195</f>
        <v>126000</v>
      </c>
      <c r="U195" s="9" t="n">
        <f aca="false">IFERROR(M195/S195,0)</f>
        <v>3</v>
      </c>
      <c r="V195" s="5" t="n">
        <v>0.1429</v>
      </c>
    </row>
    <row r="196" customFormat="false" ht="15" hidden="false" customHeight="false" outlineLevel="0" collapsed="false">
      <c r="A196" s="8" t="s">
        <v>97</v>
      </c>
      <c r="B196" s="8" t="s">
        <v>27</v>
      </c>
      <c r="C196" s="8" t="s">
        <v>1074</v>
      </c>
      <c r="D196" s="8" t="n">
        <v>154024</v>
      </c>
      <c r="E196" s="8" t="s">
        <v>1095</v>
      </c>
      <c r="F196" s="8" t="s">
        <v>767</v>
      </c>
      <c r="G196" s="8" t="s">
        <v>961</v>
      </c>
      <c r="H196" s="8" t="s">
        <v>51</v>
      </c>
      <c r="I196" s="8" t="s">
        <v>98</v>
      </c>
      <c r="J196" s="4" t="n">
        <v>80000</v>
      </c>
      <c r="K196" s="4" t="n">
        <v>74000</v>
      </c>
      <c r="L196" s="5" t="n">
        <v>0.08</v>
      </c>
      <c r="M196" s="4" t="n">
        <v>1</v>
      </c>
      <c r="N196" s="4" t="n">
        <v>0</v>
      </c>
      <c r="O196" s="4" t="n">
        <v>0</v>
      </c>
      <c r="P196" s="4" t="n">
        <v>0</v>
      </c>
      <c r="Q196" s="4" t="n">
        <v>0</v>
      </c>
      <c r="R196" s="4" t="n">
        <f aca="false">M196+N196+O196+P196+Q196</f>
        <v>1</v>
      </c>
      <c r="S196" s="4" t="n">
        <v>1</v>
      </c>
      <c r="T196" s="4" t="n">
        <f aca="false">R196*K196</f>
        <v>74000</v>
      </c>
      <c r="U196" s="9" t="n">
        <f aca="false">IFERROR(M196/S196,0)</f>
        <v>1</v>
      </c>
      <c r="V196" s="5" t="n">
        <v>0.0811</v>
      </c>
    </row>
    <row r="197" customFormat="false" ht="15" hidden="false" customHeight="false" outlineLevel="0" collapsed="false">
      <c r="A197" s="8" t="s">
        <v>97</v>
      </c>
      <c r="B197" s="8" t="s">
        <v>27</v>
      </c>
      <c r="C197" s="8" t="s">
        <v>1074</v>
      </c>
      <c r="D197" s="8" t="n">
        <v>154663</v>
      </c>
      <c r="E197" s="8" t="s">
        <v>1096</v>
      </c>
      <c r="F197" s="8" t="s">
        <v>829</v>
      </c>
      <c r="G197" s="8" t="s">
        <v>961</v>
      </c>
      <c r="H197" s="8" t="s">
        <v>51</v>
      </c>
      <c r="I197" s="8" t="s">
        <v>98</v>
      </c>
      <c r="J197" s="4" t="n">
        <v>122000</v>
      </c>
      <c r="K197" s="4" t="n">
        <v>113000</v>
      </c>
      <c r="L197" s="5" t="n">
        <v>0.08</v>
      </c>
      <c r="M197" s="4" t="n">
        <v>1</v>
      </c>
      <c r="N197" s="4" t="n">
        <v>0</v>
      </c>
      <c r="O197" s="4" t="n">
        <v>0</v>
      </c>
      <c r="P197" s="4" t="n">
        <v>0</v>
      </c>
      <c r="Q197" s="4" t="n">
        <v>0</v>
      </c>
      <c r="R197" s="4" t="n">
        <f aca="false">M197+N197+O197+P197+Q197</f>
        <v>1</v>
      </c>
      <c r="S197" s="4" t="n">
        <v>1</v>
      </c>
      <c r="T197" s="4" t="n">
        <f aca="false">R197*K197</f>
        <v>113000</v>
      </c>
      <c r="U197" s="9" t="n">
        <f aca="false">IFERROR(M197/S197,0)</f>
        <v>1</v>
      </c>
      <c r="V197" s="5" t="n">
        <v>0.0973</v>
      </c>
    </row>
    <row r="198" customFormat="false" ht="15" hidden="false" customHeight="false" outlineLevel="0" collapsed="false">
      <c r="A198" s="8" t="s">
        <v>97</v>
      </c>
      <c r="B198" s="8" t="s">
        <v>27</v>
      </c>
      <c r="C198" s="8" t="s">
        <v>1074</v>
      </c>
      <c r="D198" s="8" t="n">
        <v>154140</v>
      </c>
      <c r="E198" s="8" t="s">
        <v>766</v>
      </c>
      <c r="F198" s="8" t="s">
        <v>767</v>
      </c>
      <c r="G198" s="8" t="s">
        <v>961</v>
      </c>
      <c r="H198" s="8" t="s">
        <v>51</v>
      </c>
      <c r="I198" s="8" t="s">
        <v>98</v>
      </c>
      <c r="J198" s="4" t="n">
        <v>45000</v>
      </c>
      <c r="K198" s="4" t="n">
        <v>42000</v>
      </c>
      <c r="L198" s="5" t="n">
        <v>0.08</v>
      </c>
      <c r="M198" s="4" t="n">
        <v>0</v>
      </c>
      <c r="N198" s="4" t="n">
        <v>0</v>
      </c>
      <c r="O198" s="4" t="n">
        <v>0</v>
      </c>
      <c r="P198" s="4" t="n">
        <v>0</v>
      </c>
      <c r="Q198" s="4" t="n">
        <v>0</v>
      </c>
      <c r="R198" s="4" t="n">
        <f aca="false">M198+N198+O198+P198+Q198</f>
        <v>0</v>
      </c>
      <c r="S198" s="4" t="n">
        <v>0</v>
      </c>
      <c r="T198" s="4" t="n">
        <f aca="false">R198*K198</f>
        <v>0</v>
      </c>
      <c r="U198" s="9" t="n">
        <f aca="false">IFERROR(M198/S198,0)</f>
        <v>0</v>
      </c>
      <c r="V198" s="5" t="n">
        <v>0.0952</v>
      </c>
    </row>
    <row r="199" customFormat="false" ht="15" hidden="false" customHeight="false" outlineLevel="0" collapsed="false">
      <c r="A199" s="8" t="s">
        <v>64</v>
      </c>
      <c r="B199" s="8" t="s">
        <v>24</v>
      </c>
      <c r="C199" s="8" t="s">
        <v>1097</v>
      </c>
      <c r="D199" s="8" t="n">
        <v>220059</v>
      </c>
      <c r="E199" s="8" t="s">
        <v>367</v>
      </c>
      <c r="F199" s="8" t="s">
        <v>1044</v>
      </c>
      <c r="G199" s="8" t="s">
        <v>961</v>
      </c>
      <c r="H199" s="8" t="s">
        <v>66</v>
      </c>
      <c r="I199" s="8" t="s">
        <v>65</v>
      </c>
      <c r="J199" s="4" t="n">
        <v>289000</v>
      </c>
      <c r="K199" s="4" t="n">
        <v>249000</v>
      </c>
      <c r="L199" s="5" t="n">
        <v>0.13841</v>
      </c>
      <c r="M199" s="4" t="n">
        <v>443</v>
      </c>
      <c r="N199" s="4" t="n">
        <v>1499</v>
      </c>
      <c r="O199" s="4" t="n">
        <v>30</v>
      </c>
      <c r="P199" s="4" t="n">
        <v>0</v>
      </c>
      <c r="Q199" s="4" t="n">
        <v>46</v>
      </c>
      <c r="R199" s="4" t="n">
        <f aca="false">M199+N199+O199+P199+Q199</f>
        <v>2018</v>
      </c>
      <c r="S199" s="4" t="n">
        <v>22</v>
      </c>
      <c r="T199" s="4" t="n">
        <f aca="false">R199*K199</f>
        <v>502482000</v>
      </c>
      <c r="U199" s="9" t="n">
        <f aca="false">IFERROR(M199/S199,0)</f>
        <v>20.1363636363636</v>
      </c>
      <c r="V199" s="5"/>
    </row>
    <row r="200" customFormat="false" ht="15" hidden="false" customHeight="false" outlineLevel="0" collapsed="false">
      <c r="A200" s="8" t="s">
        <v>64</v>
      </c>
      <c r="B200" s="8" t="s">
        <v>24</v>
      </c>
      <c r="C200" s="8" t="s">
        <v>1097</v>
      </c>
      <c r="D200" s="8" t="n">
        <v>220056</v>
      </c>
      <c r="E200" s="8" t="s">
        <v>369</v>
      </c>
      <c r="F200" s="8" t="s">
        <v>1044</v>
      </c>
      <c r="G200" s="8" t="s">
        <v>961</v>
      </c>
      <c r="H200" s="8" t="s">
        <v>66</v>
      </c>
      <c r="I200" s="8" t="s">
        <v>65</v>
      </c>
      <c r="J200" s="4" t="n">
        <v>269000</v>
      </c>
      <c r="K200" s="4" t="n">
        <v>229000</v>
      </c>
      <c r="L200" s="5" t="n">
        <v>0.1487</v>
      </c>
      <c r="M200" s="4" t="n">
        <v>297</v>
      </c>
      <c r="N200" s="4" t="n">
        <v>481</v>
      </c>
      <c r="O200" s="4" t="n">
        <v>18</v>
      </c>
      <c r="P200" s="4" t="n">
        <v>0</v>
      </c>
      <c r="Q200" s="4" t="n">
        <v>32</v>
      </c>
      <c r="R200" s="4" t="n">
        <f aca="false">M200+N200+O200+P200+Q200</f>
        <v>828</v>
      </c>
      <c r="S200" s="4" t="n">
        <v>22</v>
      </c>
      <c r="T200" s="4" t="n">
        <f aca="false">R200*K200</f>
        <v>189612000</v>
      </c>
      <c r="U200" s="9" t="n">
        <f aca="false">IFERROR(M200/S200,0)</f>
        <v>13.5</v>
      </c>
      <c r="V200" s="5"/>
    </row>
    <row r="201" customFormat="false" ht="15" hidden="false" customHeight="false" outlineLevel="0" collapsed="false">
      <c r="A201" s="8" t="s">
        <v>64</v>
      </c>
      <c r="B201" s="8" t="s">
        <v>24</v>
      </c>
      <c r="C201" s="8" t="s">
        <v>1097</v>
      </c>
      <c r="D201" s="8" t="n">
        <v>220058</v>
      </c>
      <c r="E201" s="8" t="s">
        <v>374</v>
      </c>
      <c r="F201" s="8" t="s">
        <v>1044</v>
      </c>
      <c r="G201" s="8" t="s">
        <v>961</v>
      </c>
      <c r="H201" s="8" t="s">
        <v>66</v>
      </c>
      <c r="I201" s="8" t="s">
        <v>65</v>
      </c>
      <c r="J201" s="4" t="n">
        <v>289000</v>
      </c>
      <c r="K201" s="4" t="n">
        <v>249000</v>
      </c>
      <c r="L201" s="5" t="n">
        <v>0.13841</v>
      </c>
      <c r="M201" s="4" t="n">
        <v>332</v>
      </c>
      <c r="N201" s="4" t="n">
        <v>310</v>
      </c>
      <c r="O201" s="4" t="n">
        <v>38</v>
      </c>
      <c r="P201" s="4" t="n">
        <v>0</v>
      </c>
      <c r="Q201" s="4" t="n">
        <v>46</v>
      </c>
      <c r="R201" s="4" t="n">
        <f aca="false">M201+N201+O201+P201+Q201</f>
        <v>726</v>
      </c>
      <c r="S201" s="4" t="n">
        <v>22</v>
      </c>
      <c r="T201" s="4" t="n">
        <f aca="false">R201*K201</f>
        <v>180774000</v>
      </c>
      <c r="U201" s="9" t="n">
        <f aca="false">IFERROR(M201/S201,0)</f>
        <v>15.0909090909091</v>
      </c>
      <c r="V201" s="5"/>
    </row>
    <row r="202" customFormat="false" ht="15" hidden="false" customHeight="false" outlineLevel="0" collapsed="false">
      <c r="A202" s="8" t="s">
        <v>64</v>
      </c>
      <c r="B202" s="8" t="s">
        <v>24</v>
      </c>
      <c r="C202" s="8" t="s">
        <v>1097</v>
      </c>
      <c r="D202" s="8" t="n">
        <v>220057</v>
      </c>
      <c r="E202" s="8" t="s">
        <v>373</v>
      </c>
      <c r="F202" s="8" t="s">
        <v>1044</v>
      </c>
      <c r="G202" s="8" t="s">
        <v>961</v>
      </c>
      <c r="H202" s="8" t="s">
        <v>66</v>
      </c>
      <c r="I202" s="8" t="s">
        <v>65</v>
      </c>
      <c r="J202" s="4" t="n">
        <v>289000</v>
      </c>
      <c r="K202" s="4" t="n">
        <v>249000</v>
      </c>
      <c r="L202" s="5" t="n">
        <v>0.13841</v>
      </c>
      <c r="M202" s="4" t="n">
        <v>348</v>
      </c>
      <c r="N202" s="4" t="n">
        <v>319</v>
      </c>
      <c r="O202" s="4" t="n">
        <v>20</v>
      </c>
      <c r="P202" s="4" t="n">
        <v>0</v>
      </c>
      <c r="Q202" s="4" t="n">
        <v>34</v>
      </c>
      <c r="R202" s="4" t="n">
        <f aca="false">M202+N202+O202+P202+Q202</f>
        <v>721</v>
      </c>
      <c r="S202" s="4" t="n">
        <v>22</v>
      </c>
      <c r="T202" s="4" t="n">
        <f aca="false">R202*K202</f>
        <v>179529000</v>
      </c>
      <c r="U202" s="9" t="n">
        <f aca="false">IFERROR(M202/S202,0)</f>
        <v>15.8181818181818</v>
      </c>
      <c r="V202" s="5"/>
    </row>
    <row r="203" customFormat="false" ht="15" hidden="false" customHeight="false" outlineLevel="0" collapsed="false">
      <c r="A203" s="8" t="s">
        <v>64</v>
      </c>
      <c r="B203" s="8" t="s">
        <v>24</v>
      </c>
      <c r="C203" s="8" t="s">
        <v>1097</v>
      </c>
      <c r="D203" s="8" t="n">
        <v>220054</v>
      </c>
      <c r="E203" s="8" t="s">
        <v>376</v>
      </c>
      <c r="F203" s="8" t="s">
        <v>1044</v>
      </c>
      <c r="G203" s="8" t="s">
        <v>961</v>
      </c>
      <c r="H203" s="8" t="s">
        <v>66</v>
      </c>
      <c r="I203" s="8" t="s">
        <v>65</v>
      </c>
      <c r="J203" s="4" t="n">
        <v>269000</v>
      </c>
      <c r="K203" s="4" t="n">
        <v>229000</v>
      </c>
      <c r="L203" s="5" t="n">
        <v>0.1487</v>
      </c>
      <c r="M203" s="4" t="n">
        <v>309</v>
      </c>
      <c r="N203" s="4" t="n">
        <v>155</v>
      </c>
      <c r="O203" s="4" t="n">
        <v>12</v>
      </c>
      <c r="P203" s="4" t="n">
        <v>0</v>
      </c>
      <c r="Q203" s="4" t="n">
        <v>22</v>
      </c>
      <c r="R203" s="4" t="n">
        <f aca="false">M203+N203+O203+P203+Q203</f>
        <v>498</v>
      </c>
      <c r="S203" s="4" t="n">
        <v>22</v>
      </c>
      <c r="T203" s="4" t="n">
        <f aca="false">R203*K203</f>
        <v>114042000</v>
      </c>
      <c r="U203" s="9" t="n">
        <f aca="false">IFERROR(M203/S203,0)</f>
        <v>14.0454545454545</v>
      </c>
      <c r="V203" s="5"/>
    </row>
    <row r="204" customFormat="false" ht="15" hidden="false" customHeight="false" outlineLevel="0" collapsed="false">
      <c r="A204" s="8" t="s">
        <v>64</v>
      </c>
      <c r="B204" s="8" t="s">
        <v>24</v>
      </c>
      <c r="C204" s="8" t="s">
        <v>1097</v>
      </c>
      <c r="D204" s="8" t="n">
        <v>220060</v>
      </c>
      <c r="E204" s="8" t="s">
        <v>510</v>
      </c>
      <c r="F204" s="8" t="s">
        <v>1044</v>
      </c>
      <c r="G204" s="8" t="s">
        <v>961</v>
      </c>
      <c r="H204" s="8" t="s">
        <v>66</v>
      </c>
      <c r="I204" s="8" t="s">
        <v>65</v>
      </c>
      <c r="J204" s="4" t="n">
        <v>289000</v>
      </c>
      <c r="K204" s="4" t="n">
        <v>249000</v>
      </c>
      <c r="L204" s="5" t="n">
        <v>0.13841</v>
      </c>
      <c r="M204" s="4" t="n">
        <v>377</v>
      </c>
      <c r="N204" s="4" t="n">
        <v>0</v>
      </c>
      <c r="O204" s="4" t="n">
        <v>40</v>
      </c>
      <c r="P204" s="4" t="n">
        <v>0</v>
      </c>
      <c r="Q204" s="4" t="n">
        <v>56</v>
      </c>
      <c r="R204" s="4" t="n">
        <f aca="false">M204+N204+O204+P204+Q204</f>
        <v>473</v>
      </c>
      <c r="S204" s="4" t="n">
        <v>22</v>
      </c>
      <c r="T204" s="4" t="n">
        <f aca="false">R204*K204</f>
        <v>117777000</v>
      </c>
      <c r="U204" s="9" t="n">
        <f aca="false">IFERROR(M204/S204,0)</f>
        <v>17.1363636363636</v>
      </c>
      <c r="V204" s="5"/>
    </row>
    <row r="205" customFormat="false" ht="15" hidden="false" customHeight="false" outlineLevel="0" collapsed="false">
      <c r="A205" s="8" t="s">
        <v>64</v>
      </c>
      <c r="B205" s="8" t="s">
        <v>24</v>
      </c>
      <c r="C205" s="8" t="s">
        <v>1097</v>
      </c>
      <c r="D205" s="8" t="n">
        <v>220055</v>
      </c>
      <c r="E205" s="8" t="s">
        <v>411</v>
      </c>
      <c r="F205" s="8" t="s">
        <v>1044</v>
      </c>
      <c r="G205" s="8" t="s">
        <v>961</v>
      </c>
      <c r="H205" s="8" t="s">
        <v>66</v>
      </c>
      <c r="I205" s="8" t="s">
        <v>65</v>
      </c>
      <c r="J205" s="4" t="n">
        <v>269000</v>
      </c>
      <c r="K205" s="4" t="n">
        <v>229000</v>
      </c>
      <c r="L205" s="5" t="n">
        <v>0.1487</v>
      </c>
      <c r="M205" s="4" t="n">
        <v>223</v>
      </c>
      <c r="N205" s="4" t="n">
        <v>12</v>
      </c>
      <c r="O205" s="4" t="n">
        <v>16</v>
      </c>
      <c r="P205" s="4" t="n">
        <v>0</v>
      </c>
      <c r="Q205" s="4" t="n">
        <v>34</v>
      </c>
      <c r="R205" s="4" t="n">
        <f aca="false">M205+N205+O205+P205+Q205</f>
        <v>285</v>
      </c>
      <c r="S205" s="4" t="n">
        <v>22</v>
      </c>
      <c r="T205" s="4" t="n">
        <f aca="false">R205*K205</f>
        <v>65265000</v>
      </c>
      <c r="U205" s="9" t="n">
        <f aca="false">IFERROR(M205/S205,0)</f>
        <v>10.1363636363636</v>
      </c>
      <c r="V205" s="5"/>
    </row>
    <row r="206" customFormat="false" ht="15" hidden="false" customHeight="false" outlineLevel="0" collapsed="false">
      <c r="A206" s="8" t="s">
        <v>75</v>
      </c>
      <c r="B206" s="8" t="s">
        <v>22</v>
      </c>
      <c r="C206" s="8" t="s">
        <v>1098</v>
      </c>
      <c r="D206" s="8" t="n">
        <v>134098</v>
      </c>
      <c r="E206" s="8" t="s">
        <v>1099</v>
      </c>
      <c r="F206" s="8" t="s">
        <v>809</v>
      </c>
      <c r="G206" s="8" t="s">
        <v>961</v>
      </c>
      <c r="H206" s="8" t="s">
        <v>51</v>
      </c>
      <c r="I206" s="8" t="s">
        <v>76</v>
      </c>
      <c r="J206" s="4" t="n">
        <v>60000</v>
      </c>
      <c r="K206" s="4" t="n">
        <v>54000</v>
      </c>
      <c r="L206" s="5" t="n">
        <v>0.1</v>
      </c>
      <c r="M206" s="4" t="n">
        <v>97</v>
      </c>
      <c r="N206" s="4" t="n">
        <v>0</v>
      </c>
      <c r="O206" s="4" t="n">
        <v>55</v>
      </c>
      <c r="P206" s="4" t="n">
        <v>0</v>
      </c>
      <c r="Q206" s="4" t="n">
        <v>63</v>
      </c>
      <c r="R206" s="4" t="n">
        <f aca="false">M206+N206+O206+P206+Q206</f>
        <v>215</v>
      </c>
      <c r="S206" s="4" t="n">
        <v>19</v>
      </c>
      <c r="T206" s="4" t="n">
        <f aca="false">R206*K206</f>
        <v>11610000</v>
      </c>
      <c r="U206" s="9" t="n">
        <f aca="false">IFERROR(M206/S206,0)</f>
        <v>5.10526315789474</v>
      </c>
      <c r="V206" s="5" t="n">
        <v>0.2593</v>
      </c>
    </row>
    <row r="207" customFormat="false" ht="15" hidden="false" customHeight="false" outlineLevel="0" collapsed="false">
      <c r="A207" s="8" t="s">
        <v>75</v>
      </c>
      <c r="B207" s="8" t="s">
        <v>22</v>
      </c>
      <c r="C207" s="8" t="s">
        <v>1098</v>
      </c>
      <c r="D207" s="8" t="n">
        <v>134093</v>
      </c>
      <c r="E207" s="8" t="s">
        <v>1100</v>
      </c>
      <c r="F207" s="8" t="s">
        <v>809</v>
      </c>
      <c r="G207" s="8" t="s">
        <v>961</v>
      </c>
      <c r="H207" s="8" t="s">
        <v>51</v>
      </c>
      <c r="I207" s="8" t="s">
        <v>76</v>
      </c>
      <c r="J207" s="4" t="n">
        <v>60000</v>
      </c>
      <c r="K207" s="4" t="n">
        <v>54000</v>
      </c>
      <c r="L207" s="5" t="n">
        <v>0.1</v>
      </c>
      <c r="M207" s="4" t="n">
        <v>105</v>
      </c>
      <c r="N207" s="4" t="n">
        <v>0</v>
      </c>
      <c r="O207" s="4" t="n">
        <v>43</v>
      </c>
      <c r="P207" s="4" t="n">
        <v>0</v>
      </c>
      <c r="Q207" s="4" t="n">
        <v>62</v>
      </c>
      <c r="R207" s="4" t="n">
        <f aca="false">M207+N207+O207+P207+Q207</f>
        <v>210</v>
      </c>
      <c r="S207" s="4" t="n">
        <v>20</v>
      </c>
      <c r="T207" s="4" t="n">
        <f aca="false">R207*K207</f>
        <v>11340000</v>
      </c>
      <c r="U207" s="9" t="n">
        <f aca="false">IFERROR(M207/S207,0)</f>
        <v>5.25</v>
      </c>
      <c r="V207" s="5" t="n">
        <v>0.2593</v>
      </c>
    </row>
    <row r="208" customFormat="false" ht="15" hidden="false" customHeight="false" outlineLevel="0" collapsed="false">
      <c r="A208" s="8" t="s">
        <v>75</v>
      </c>
      <c r="B208" s="8" t="s">
        <v>22</v>
      </c>
      <c r="C208" s="8" t="s">
        <v>1098</v>
      </c>
      <c r="D208" s="8" t="n">
        <v>134096</v>
      </c>
      <c r="E208" s="8" t="s">
        <v>1101</v>
      </c>
      <c r="F208" s="8" t="s">
        <v>809</v>
      </c>
      <c r="G208" s="8" t="s">
        <v>961</v>
      </c>
      <c r="H208" s="8" t="s">
        <v>51</v>
      </c>
      <c r="I208" s="8" t="s">
        <v>76</v>
      </c>
      <c r="J208" s="4" t="n">
        <v>60000</v>
      </c>
      <c r="K208" s="4" t="n">
        <v>54000</v>
      </c>
      <c r="L208" s="5" t="n">
        <v>0.1</v>
      </c>
      <c r="M208" s="4" t="n">
        <v>129</v>
      </c>
      <c r="N208" s="4" t="n">
        <v>0</v>
      </c>
      <c r="O208" s="4" t="n">
        <v>65</v>
      </c>
      <c r="P208" s="4" t="n">
        <v>0</v>
      </c>
      <c r="Q208" s="4" t="n">
        <v>10</v>
      </c>
      <c r="R208" s="4" t="n">
        <f aca="false">M208+N208+O208+P208+Q208</f>
        <v>204</v>
      </c>
      <c r="S208" s="4" t="n">
        <v>18</v>
      </c>
      <c r="T208" s="4" t="n">
        <f aca="false">R208*K208</f>
        <v>11016000</v>
      </c>
      <c r="U208" s="9" t="n">
        <f aca="false">IFERROR(M208/S208,0)</f>
        <v>7.16666666666667</v>
      </c>
      <c r="V208" s="5" t="n">
        <v>0.2593</v>
      </c>
    </row>
    <row r="209" customFormat="false" ht="15" hidden="false" customHeight="false" outlineLevel="0" collapsed="false">
      <c r="A209" s="8" t="s">
        <v>75</v>
      </c>
      <c r="B209" s="8" t="s">
        <v>22</v>
      </c>
      <c r="C209" s="8" t="s">
        <v>1098</v>
      </c>
      <c r="D209" s="8" t="n">
        <v>134094</v>
      </c>
      <c r="E209" s="8" t="s">
        <v>1102</v>
      </c>
      <c r="F209" s="8" t="s">
        <v>809</v>
      </c>
      <c r="G209" s="8" t="s">
        <v>961</v>
      </c>
      <c r="H209" s="8" t="s">
        <v>51</v>
      </c>
      <c r="I209" s="8" t="s">
        <v>76</v>
      </c>
      <c r="J209" s="4" t="n">
        <v>60000</v>
      </c>
      <c r="K209" s="4" t="n">
        <v>54000</v>
      </c>
      <c r="L209" s="5" t="n">
        <v>0.1</v>
      </c>
      <c r="M209" s="4" t="n">
        <v>117</v>
      </c>
      <c r="N209" s="4" t="n">
        <v>0</v>
      </c>
      <c r="O209" s="4" t="n">
        <v>70</v>
      </c>
      <c r="P209" s="4" t="n">
        <v>0</v>
      </c>
      <c r="Q209" s="4" t="n">
        <v>9</v>
      </c>
      <c r="R209" s="4" t="n">
        <f aca="false">M209+N209+O209+P209+Q209</f>
        <v>196</v>
      </c>
      <c r="S209" s="4" t="n">
        <v>17</v>
      </c>
      <c r="T209" s="4" t="n">
        <f aca="false">R209*K209</f>
        <v>10584000</v>
      </c>
      <c r="U209" s="9" t="n">
        <f aca="false">IFERROR(M209/S209,0)</f>
        <v>6.88235294117647</v>
      </c>
      <c r="V209" s="5" t="n">
        <v>0.2593</v>
      </c>
    </row>
    <row r="210" customFormat="false" ht="15" hidden="false" customHeight="false" outlineLevel="0" collapsed="false">
      <c r="A210" s="8" t="s">
        <v>75</v>
      </c>
      <c r="B210" s="8" t="s">
        <v>22</v>
      </c>
      <c r="C210" s="8" t="s">
        <v>1098</v>
      </c>
      <c r="D210" s="8" t="n">
        <v>134095</v>
      </c>
      <c r="E210" s="8" t="s">
        <v>1103</v>
      </c>
      <c r="F210" s="8" t="s">
        <v>809</v>
      </c>
      <c r="G210" s="8" t="s">
        <v>961</v>
      </c>
      <c r="H210" s="8" t="s">
        <v>51</v>
      </c>
      <c r="I210" s="8" t="s">
        <v>76</v>
      </c>
      <c r="J210" s="4" t="n">
        <v>60000</v>
      </c>
      <c r="K210" s="4" t="n">
        <v>54000</v>
      </c>
      <c r="L210" s="5" t="n">
        <v>0.1</v>
      </c>
      <c r="M210" s="4" t="n">
        <v>109</v>
      </c>
      <c r="N210" s="4" t="n">
        <v>0</v>
      </c>
      <c r="O210" s="4" t="n">
        <v>75</v>
      </c>
      <c r="P210" s="4" t="n">
        <v>0</v>
      </c>
      <c r="Q210" s="4" t="n">
        <v>7</v>
      </c>
      <c r="R210" s="4" t="n">
        <f aca="false">M210+N210+O210+P210+Q210</f>
        <v>191</v>
      </c>
      <c r="S210" s="4" t="n">
        <v>20</v>
      </c>
      <c r="T210" s="4" t="n">
        <f aca="false">R210*K210</f>
        <v>10314000</v>
      </c>
      <c r="U210" s="9" t="n">
        <f aca="false">IFERROR(M210/S210,0)</f>
        <v>5.45</v>
      </c>
      <c r="V210" s="5" t="n">
        <v>0.2593</v>
      </c>
    </row>
    <row r="211" customFormat="false" ht="15" hidden="false" customHeight="false" outlineLevel="0" collapsed="false">
      <c r="A211" s="8" t="s">
        <v>75</v>
      </c>
      <c r="B211" s="8" t="s">
        <v>22</v>
      </c>
      <c r="C211" s="8" t="s">
        <v>1098</v>
      </c>
      <c r="D211" s="8" t="n">
        <v>134097</v>
      </c>
      <c r="E211" s="8" t="s">
        <v>1104</v>
      </c>
      <c r="F211" s="8" t="s">
        <v>809</v>
      </c>
      <c r="G211" s="8" t="s">
        <v>961</v>
      </c>
      <c r="H211" s="8" t="s">
        <v>51</v>
      </c>
      <c r="I211" s="8" t="s">
        <v>76</v>
      </c>
      <c r="J211" s="4" t="n">
        <v>60000</v>
      </c>
      <c r="K211" s="4" t="n">
        <v>54000</v>
      </c>
      <c r="L211" s="5" t="n">
        <v>0.1</v>
      </c>
      <c r="M211" s="4" t="n">
        <v>88</v>
      </c>
      <c r="N211" s="4" t="n">
        <v>0</v>
      </c>
      <c r="O211" s="4" t="n">
        <v>62</v>
      </c>
      <c r="P211" s="4" t="n">
        <v>0</v>
      </c>
      <c r="Q211" s="4" t="n">
        <v>6</v>
      </c>
      <c r="R211" s="4" t="n">
        <f aca="false">M211+N211+O211+P211+Q211</f>
        <v>156</v>
      </c>
      <c r="S211" s="4" t="n">
        <v>18</v>
      </c>
      <c r="T211" s="4" t="n">
        <f aca="false">R211*K211</f>
        <v>8424000</v>
      </c>
      <c r="U211" s="9" t="n">
        <f aca="false">IFERROR(M211/S211,0)</f>
        <v>4.88888888888889</v>
      </c>
      <c r="V211" s="5" t="n">
        <v>0.2593</v>
      </c>
    </row>
    <row r="212" customFormat="false" ht="15" hidden="false" customHeight="false" outlineLevel="0" collapsed="false">
      <c r="A212" s="8" t="s">
        <v>75</v>
      </c>
      <c r="B212" s="8" t="s">
        <v>22</v>
      </c>
      <c r="C212" s="8" t="s">
        <v>1098</v>
      </c>
      <c r="D212" s="8" t="n">
        <v>134106</v>
      </c>
      <c r="E212" s="8" t="s">
        <v>1105</v>
      </c>
      <c r="F212" s="8" t="s">
        <v>809</v>
      </c>
      <c r="G212" s="8" t="s">
        <v>961</v>
      </c>
      <c r="H212" s="8" t="s">
        <v>51</v>
      </c>
      <c r="I212" s="8" t="s">
        <v>76</v>
      </c>
      <c r="J212" s="4" t="n">
        <v>60000</v>
      </c>
      <c r="K212" s="4" t="n">
        <v>54000</v>
      </c>
      <c r="L212" s="5" t="n">
        <v>0.1</v>
      </c>
      <c r="M212" s="4" t="n">
        <v>124</v>
      </c>
      <c r="N212" s="4" t="n">
        <v>0</v>
      </c>
      <c r="O212" s="4" t="n">
        <v>0</v>
      </c>
      <c r="P212" s="4" t="n">
        <v>0</v>
      </c>
      <c r="Q212" s="4" t="n">
        <v>9</v>
      </c>
      <c r="R212" s="4" t="n">
        <f aca="false">M212+N212+O212+P212+Q212</f>
        <v>133</v>
      </c>
      <c r="S212" s="4" t="n">
        <v>19</v>
      </c>
      <c r="T212" s="4" t="n">
        <f aca="false">R212*K212</f>
        <v>7182000</v>
      </c>
      <c r="U212" s="9" t="n">
        <f aca="false">IFERROR(M212/S212,0)</f>
        <v>6.52631578947368</v>
      </c>
      <c r="V212" s="5" t="n">
        <v>0.2593</v>
      </c>
    </row>
    <row r="213" customFormat="false" ht="15" hidden="false" customHeight="false" outlineLevel="0" collapsed="false">
      <c r="A213" s="8" t="s">
        <v>75</v>
      </c>
      <c r="B213" s="8" t="s">
        <v>22</v>
      </c>
      <c r="C213" s="8" t="s">
        <v>1098</v>
      </c>
      <c r="D213" s="8" t="n">
        <v>134109</v>
      </c>
      <c r="E213" s="8" t="s">
        <v>1106</v>
      </c>
      <c r="F213" s="8" t="s">
        <v>809</v>
      </c>
      <c r="G213" s="8" t="s">
        <v>961</v>
      </c>
      <c r="H213" s="8" t="s">
        <v>51</v>
      </c>
      <c r="I213" s="8" t="s">
        <v>76</v>
      </c>
      <c r="J213" s="4" t="n">
        <v>60000</v>
      </c>
      <c r="K213" s="4" t="n">
        <v>54000</v>
      </c>
      <c r="L213" s="5" t="n">
        <v>0.1</v>
      </c>
      <c r="M213" s="4" t="n">
        <v>126</v>
      </c>
      <c r="N213" s="4" t="n">
        <v>0</v>
      </c>
      <c r="O213" s="4" t="n">
        <v>0</v>
      </c>
      <c r="P213" s="4" t="n">
        <v>0</v>
      </c>
      <c r="Q213" s="4" t="n">
        <v>3</v>
      </c>
      <c r="R213" s="4" t="n">
        <f aca="false">M213+N213+O213+P213+Q213</f>
        <v>129</v>
      </c>
      <c r="S213" s="4" t="n">
        <v>19</v>
      </c>
      <c r="T213" s="4" t="n">
        <f aca="false">R213*K213</f>
        <v>6966000</v>
      </c>
      <c r="U213" s="9" t="n">
        <f aca="false">IFERROR(M213/S213,0)</f>
        <v>6.63157894736842</v>
      </c>
      <c r="V213" s="5" t="n">
        <v>0.2593</v>
      </c>
    </row>
    <row r="214" customFormat="false" ht="15" hidden="false" customHeight="false" outlineLevel="0" collapsed="false">
      <c r="A214" s="8" t="s">
        <v>75</v>
      </c>
      <c r="B214" s="8" t="s">
        <v>22</v>
      </c>
      <c r="C214" s="8" t="s">
        <v>1098</v>
      </c>
      <c r="D214" s="8" t="n">
        <v>134105</v>
      </c>
      <c r="E214" s="8" t="s">
        <v>1107</v>
      </c>
      <c r="F214" s="8" t="s">
        <v>809</v>
      </c>
      <c r="G214" s="8" t="s">
        <v>961</v>
      </c>
      <c r="H214" s="8" t="s">
        <v>51</v>
      </c>
      <c r="I214" s="8" t="s">
        <v>76</v>
      </c>
      <c r="J214" s="4" t="n">
        <v>60000</v>
      </c>
      <c r="K214" s="4" t="n">
        <v>54000</v>
      </c>
      <c r="L214" s="5" t="n">
        <v>0.1</v>
      </c>
      <c r="M214" s="4" t="n">
        <v>117</v>
      </c>
      <c r="N214" s="4" t="n">
        <v>0</v>
      </c>
      <c r="O214" s="4" t="n">
        <v>0</v>
      </c>
      <c r="P214" s="4" t="n">
        <v>0</v>
      </c>
      <c r="Q214" s="4" t="n">
        <v>10</v>
      </c>
      <c r="R214" s="4" t="n">
        <f aca="false">M214+N214+O214+P214+Q214</f>
        <v>127</v>
      </c>
      <c r="S214" s="4" t="n">
        <v>18</v>
      </c>
      <c r="T214" s="4" t="n">
        <f aca="false">R214*K214</f>
        <v>6858000</v>
      </c>
      <c r="U214" s="9" t="n">
        <f aca="false">IFERROR(M214/S214,0)</f>
        <v>6.5</v>
      </c>
      <c r="V214" s="5" t="n">
        <v>0.2593</v>
      </c>
    </row>
    <row r="215" customFormat="false" ht="15" hidden="false" customHeight="false" outlineLevel="0" collapsed="false">
      <c r="A215" s="8" t="s">
        <v>75</v>
      </c>
      <c r="B215" s="8" t="s">
        <v>22</v>
      </c>
      <c r="C215" s="8" t="s">
        <v>1098</v>
      </c>
      <c r="D215" s="8" t="n">
        <v>134103</v>
      </c>
      <c r="E215" s="8" t="s">
        <v>1108</v>
      </c>
      <c r="F215" s="8" t="s">
        <v>809</v>
      </c>
      <c r="G215" s="8" t="s">
        <v>961</v>
      </c>
      <c r="H215" s="8" t="s">
        <v>51</v>
      </c>
      <c r="I215" s="8" t="s">
        <v>76</v>
      </c>
      <c r="J215" s="4" t="n">
        <v>60000</v>
      </c>
      <c r="K215" s="4" t="n">
        <v>54000</v>
      </c>
      <c r="L215" s="5" t="n">
        <v>0.1</v>
      </c>
      <c r="M215" s="4" t="n">
        <v>117</v>
      </c>
      <c r="N215" s="4" t="n">
        <v>0</v>
      </c>
      <c r="O215" s="4" t="n">
        <v>0</v>
      </c>
      <c r="P215" s="4" t="n">
        <v>0</v>
      </c>
      <c r="Q215" s="4" t="n">
        <v>9</v>
      </c>
      <c r="R215" s="4" t="n">
        <f aca="false">M215+N215+O215+P215+Q215</f>
        <v>126</v>
      </c>
      <c r="S215" s="4" t="n">
        <v>21</v>
      </c>
      <c r="T215" s="4" t="n">
        <f aca="false">R215*K215</f>
        <v>6804000</v>
      </c>
      <c r="U215" s="9" t="n">
        <f aca="false">IFERROR(M215/S215,0)</f>
        <v>5.57142857142857</v>
      </c>
      <c r="V215" s="5" t="n">
        <v>0.2593</v>
      </c>
    </row>
    <row r="216" customFormat="false" ht="15" hidden="false" customHeight="false" outlineLevel="0" collapsed="false">
      <c r="A216" s="8" t="s">
        <v>75</v>
      </c>
      <c r="B216" s="8" t="s">
        <v>22</v>
      </c>
      <c r="C216" s="8" t="s">
        <v>1098</v>
      </c>
      <c r="D216" s="8" t="n">
        <v>134099</v>
      </c>
      <c r="E216" s="8" t="s">
        <v>1109</v>
      </c>
      <c r="F216" s="8" t="s">
        <v>809</v>
      </c>
      <c r="G216" s="8" t="s">
        <v>961</v>
      </c>
      <c r="H216" s="8" t="s">
        <v>51</v>
      </c>
      <c r="I216" s="8" t="s">
        <v>76</v>
      </c>
      <c r="J216" s="4" t="n">
        <v>60000</v>
      </c>
      <c r="K216" s="4" t="n">
        <v>54000</v>
      </c>
      <c r="L216" s="5" t="n">
        <v>0.1</v>
      </c>
      <c r="M216" s="4" t="n">
        <v>107</v>
      </c>
      <c r="N216" s="4" t="n">
        <v>0</v>
      </c>
      <c r="O216" s="4" t="n">
        <v>0</v>
      </c>
      <c r="P216" s="4" t="n">
        <v>0</v>
      </c>
      <c r="Q216" s="4" t="n">
        <v>6</v>
      </c>
      <c r="R216" s="4" t="n">
        <f aca="false">M216+N216+O216+P216+Q216</f>
        <v>113</v>
      </c>
      <c r="S216" s="4" t="n">
        <v>16</v>
      </c>
      <c r="T216" s="4" t="n">
        <f aca="false">R216*K216</f>
        <v>6102000</v>
      </c>
      <c r="U216" s="9" t="n">
        <f aca="false">IFERROR(M216/S216,0)</f>
        <v>6.6875</v>
      </c>
      <c r="V216" s="5" t="n">
        <v>0.2593</v>
      </c>
    </row>
    <row r="217" customFormat="false" ht="15" hidden="false" customHeight="false" outlineLevel="0" collapsed="false">
      <c r="A217" s="8" t="s">
        <v>75</v>
      </c>
      <c r="B217" s="8" t="s">
        <v>22</v>
      </c>
      <c r="C217" s="8" t="s">
        <v>1098</v>
      </c>
      <c r="D217" s="8" t="n">
        <v>134101</v>
      </c>
      <c r="E217" s="8" t="s">
        <v>1110</v>
      </c>
      <c r="F217" s="8" t="s">
        <v>809</v>
      </c>
      <c r="G217" s="8" t="s">
        <v>961</v>
      </c>
      <c r="H217" s="8" t="s">
        <v>51</v>
      </c>
      <c r="I217" s="8" t="s">
        <v>76</v>
      </c>
      <c r="J217" s="4" t="n">
        <v>60000</v>
      </c>
      <c r="K217" s="4" t="n">
        <v>54000</v>
      </c>
      <c r="L217" s="5" t="n">
        <v>0.1</v>
      </c>
      <c r="M217" s="4" t="n">
        <v>106</v>
      </c>
      <c r="N217" s="4" t="n">
        <v>0</v>
      </c>
      <c r="O217" s="4" t="n">
        <v>0</v>
      </c>
      <c r="P217" s="4" t="n">
        <v>0</v>
      </c>
      <c r="Q217" s="4" t="n">
        <v>4</v>
      </c>
      <c r="R217" s="4" t="n">
        <f aca="false">M217+N217+O217+P217+Q217</f>
        <v>110</v>
      </c>
      <c r="S217" s="4" t="n">
        <v>18</v>
      </c>
      <c r="T217" s="4" t="n">
        <f aca="false">R217*K217</f>
        <v>5940000</v>
      </c>
      <c r="U217" s="9" t="n">
        <f aca="false">IFERROR(M217/S217,0)</f>
        <v>5.88888888888889</v>
      </c>
      <c r="V217" s="5" t="n">
        <v>0.2593</v>
      </c>
    </row>
    <row r="218" customFormat="false" ht="15" hidden="false" customHeight="false" outlineLevel="0" collapsed="false">
      <c r="A218" s="8" t="s">
        <v>75</v>
      </c>
      <c r="B218" s="8" t="s">
        <v>22</v>
      </c>
      <c r="C218" s="8" t="s">
        <v>1098</v>
      </c>
      <c r="D218" s="8" t="n">
        <v>176327</v>
      </c>
      <c r="E218" s="8" t="s">
        <v>1111</v>
      </c>
      <c r="F218" s="8" t="s">
        <v>809</v>
      </c>
      <c r="G218" s="8" t="s">
        <v>961</v>
      </c>
      <c r="H218" s="8" t="s">
        <v>51</v>
      </c>
      <c r="I218" s="8" t="s">
        <v>76</v>
      </c>
      <c r="J218" s="4" t="n">
        <v>47000</v>
      </c>
      <c r="K218" s="4" t="n">
        <v>43000</v>
      </c>
      <c r="L218" s="5" t="n">
        <v>0.1</v>
      </c>
      <c r="M218" s="4" t="n">
        <v>104</v>
      </c>
      <c r="N218" s="4" t="n">
        <v>5</v>
      </c>
      <c r="O218" s="4" t="n">
        <v>0</v>
      </c>
      <c r="P218" s="4" t="n">
        <v>0</v>
      </c>
      <c r="Q218" s="4" t="n">
        <v>0</v>
      </c>
      <c r="R218" s="4" t="n">
        <f aca="false">M218+N218+O218+P218+Q218</f>
        <v>109</v>
      </c>
      <c r="S218" s="4" t="n">
        <v>18</v>
      </c>
      <c r="T218" s="4" t="n">
        <f aca="false">R218*K218</f>
        <v>4687000</v>
      </c>
      <c r="U218" s="9" t="n">
        <f aca="false">IFERROR(M218/S218,0)</f>
        <v>5.77777777777778</v>
      </c>
      <c r="V218" s="5" t="n">
        <v>0.1395</v>
      </c>
    </row>
    <row r="219" customFormat="false" ht="15" hidden="false" customHeight="false" outlineLevel="0" collapsed="false">
      <c r="A219" s="8" t="s">
        <v>75</v>
      </c>
      <c r="B219" s="8" t="s">
        <v>22</v>
      </c>
      <c r="C219" s="8" t="s">
        <v>1098</v>
      </c>
      <c r="D219" s="8" t="n">
        <v>134155</v>
      </c>
      <c r="E219" s="8" t="s">
        <v>1112</v>
      </c>
      <c r="F219" s="8" t="s">
        <v>809</v>
      </c>
      <c r="G219" s="8" t="s">
        <v>961</v>
      </c>
      <c r="H219" s="8" t="s">
        <v>51</v>
      </c>
      <c r="I219" s="8" t="s">
        <v>76</v>
      </c>
      <c r="J219" s="4" t="n">
        <v>559000</v>
      </c>
      <c r="K219" s="4" t="n">
        <v>504000</v>
      </c>
      <c r="L219" s="5" t="n">
        <v>0.1</v>
      </c>
      <c r="M219" s="4" t="n">
        <v>106</v>
      </c>
      <c r="N219" s="4" t="n">
        <v>0</v>
      </c>
      <c r="O219" s="4" t="n">
        <v>0</v>
      </c>
      <c r="P219" s="4" t="n">
        <v>0</v>
      </c>
      <c r="Q219" s="4" t="n">
        <v>0</v>
      </c>
      <c r="R219" s="4" t="n">
        <f aca="false">M219+N219+O219+P219+Q219</f>
        <v>106</v>
      </c>
      <c r="S219" s="4" t="n">
        <v>20</v>
      </c>
      <c r="T219" s="4" t="n">
        <f aca="false">R219*K219</f>
        <v>53424000</v>
      </c>
      <c r="U219" s="9" t="n">
        <f aca="false">IFERROR(M219/S219,0)</f>
        <v>5.3</v>
      </c>
      <c r="V219" s="5" t="n">
        <v>0.2242</v>
      </c>
    </row>
    <row r="220" customFormat="false" ht="15" hidden="false" customHeight="false" outlineLevel="0" collapsed="false">
      <c r="A220" s="8" t="s">
        <v>75</v>
      </c>
      <c r="B220" s="8" t="s">
        <v>22</v>
      </c>
      <c r="C220" s="8" t="s">
        <v>1098</v>
      </c>
      <c r="D220" s="8" t="n">
        <v>134090</v>
      </c>
      <c r="E220" s="8" t="s">
        <v>1113</v>
      </c>
      <c r="F220" s="8" t="s">
        <v>809</v>
      </c>
      <c r="G220" s="8" t="s">
        <v>961</v>
      </c>
      <c r="H220" s="8" t="s">
        <v>51</v>
      </c>
      <c r="I220" s="8" t="s">
        <v>76</v>
      </c>
      <c r="J220" s="4" t="n">
        <v>70000</v>
      </c>
      <c r="K220" s="4" t="n">
        <v>63000</v>
      </c>
      <c r="L220" s="5" t="n">
        <v>0.1</v>
      </c>
      <c r="M220" s="4" t="n">
        <v>105</v>
      </c>
      <c r="N220" s="4" t="n">
        <v>0</v>
      </c>
      <c r="O220" s="4" t="n">
        <v>0</v>
      </c>
      <c r="P220" s="4" t="n">
        <v>0</v>
      </c>
      <c r="Q220" s="4" t="n">
        <v>0</v>
      </c>
      <c r="R220" s="4" t="n">
        <f aca="false">M220+N220+O220+P220+Q220</f>
        <v>105</v>
      </c>
      <c r="S220" s="4" t="n">
        <v>18</v>
      </c>
      <c r="T220" s="4" t="n">
        <f aca="false">R220*K220</f>
        <v>6615000</v>
      </c>
      <c r="U220" s="9" t="n">
        <f aca="false">IFERROR(M220/S220,0)</f>
        <v>5.83333333333333</v>
      </c>
      <c r="V220" s="5" t="n">
        <v>0.254</v>
      </c>
    </row>
    <row r="221" customFormat="false" ht="15" hidden="false" customHeight="false" outlineLevel="0" collapsed="false">
      <c r="A221" s="8" t="s">
        <v>75</v>
      </c>
      <c r="B221" s="8" t="s">
        <v>22</v>
      </c>
      <c r="C221" s="8" t="s">
        <v>1098</v>
      </c>
      <c r="D221" s="8" t="n">
        <v>134110</v>
      </c>
      <c r="E221" s="8" t="s">
        <v>1114</v>
      </c>
      <c r="F221" s="8" t="s">
        <v>809</v>
      </c>
      <c r="G221" s="8" t="s">
        <v>961</v>
      </c>
      <c r="H221" s="8" t="s">
        <v>51</v>
      </c>
      <c r="I221" s="8" t="s">
        <v>76</v>
      </c>
      <c r="J221" s="4" t="n">
        <v>60000</v>
      </c>
      <c r="K221" s="4" t="n">
        <v>54000</v>
      </c>
      <c r="L221" s="5" t="n">
        <v>0.1</v>
      </c>
      <c r="M221" s="4" t="n">
        <v>105</v>
      </c>
      <c r="N221" s="4" t="n">
        <v>0</v>
      </c>
      <c r="O221" s="4" t="n">
        <v>0</v>
      </c>
      <c r="P221" s="4" t="n">
        <v>0</v>
      </c>
      <c r="Q221" s="4" t="n">
        <v>0</v>
      </c>
      <c r="R221" s="4" t="n">
        <f aca="false">M221+N221+O221+P221+Q221</f>
        <v>105</v>
      </c>
      <c r="S221" s="4" t="n">
        <v>19</v>
      </c>
      <c r="T221" s="4" t="n">
        <f aca="false">R221*K221</f>
        <v>5670000</v>
      </c>
      <c r="U221" s="9" t="n">
        <f aca="false">IFERROR(M221/S221,0)</f>
        <v>5.52631578947368</v>
      </c>
      <c r="V221" s="5" t="n">
        <v>0.2593</v>
      </c>
    </row>
    <row r="222" customFormat="false" ht="15" hidden="false" customHeight="false" outlineLevel="0" collapsed="false">
      <c r="A222" s="8" t="s">
        <v>75</v>
      </c>
      <c r="B222" s="8" t="s">
        <v>22</v>
      </c>
      <c r="C222" s="8" t="s">
        <v>1098</v>
      </c>
      <c r="D222" s="8" t="n">
        <v>176320</v>
      </c>
      <c r="E222" s="8" t="s">
        <v>1115</v>
      </c>
      <c r="F222" s="8" t="s">
        <v>767</v>
      </c>
      <c r="G222" s="8" t="s">
        <v>961</v>
      </c>
      <c r="H222" s="8" t="s">
        <v>51</v>
      </c>
      <c r="I222" s="8" t="s">
        <v>76</v>
      </c>
      <c r="J222" s="4" t="n">
        <v>75000</v>
      </c>
      <c r="K222" s="4" t="n">
        <v>68000</v>
      </c>
      <c r="L222" s="5" t="n">
        <v>0.1</v>
      </c>
      <c r="M222" s="4" t="n">
        <v>104</v>
      </c>
      <c r="N222" s="4" t="n">
        <v>0</v>
      </c>
      <c r="O222" s="4" t="n">
        <v>0</v>
      </c>
      <c r="P222" s="4" t="n">
        <v>0</v>
      </c>
      <c r="Q222" s="4" t="n">
        <v>0</v>
      </c>
      <c r="R222" s="4" t="n">
        <f aca="false">M222+N222+O222+P222+Q222</f>
        <v>104</v>
      </c>
      <c r="S222" s="4" t="n">
        <v>12</v>
      </c>
      <c r="T222" s="4" t="n">
        <f aca="false">R222*K222</f>
        <v>7072000</v>
      </c>
      <c r="U222" s="9" t="n">
        <f aca="false">IFERROR(M222/S222,0)</f>
        <v>8.66666666666667</v>
      </c>
      <c r="V222" s="5" t="n">
        <v>0.2794</v>
      </c>
    </row>
    <row r="223" customFormat="false" ht="15" hidden="false" customHeight="false" outlineLevel="0" collapsed="false">
      <c r="A223" s="8" t="s">
        <v>75</v>
      </c>
      <c r="B223" s="8" t="s">
        <v>22</v>
      </c>
      <c r="C223" s="8" t="s">
        <v>1098</v>
      </c>
      <c r="D223" s="8" t="n">
        <v>134107</v>
      </c>
      <c r="E223" s="8" t="s">
        <v>1116</v>
      </c>
      <c r="F223" s="8" t="s">
        <v>809</v>
      </c>
      <c r="G223" s="8" t="s">
        <v>961</v>
      </c>
      <c r="H223" s="8" t="s">
        <v>51</v>
      </c>
      <c r="I223" s="8" t="s">
        <v>76</v>
      </c>
      <c r="J223" s="4" t="n">
        <v>60000</v>
      </c>
      <c r="K223" s="4" t="n">
        <v>54000</v>
      </c>
      <c r="L223" s="5" t="n">
        <v>0.1</v>
      </c>
      <c r="M223" s="4" t="n">
        <v>87</v>
      </c>
      <c r="N223" s="4" t="n">
        <v>1</v>
      </c>
      <c r="O223" s="4" t="n">
        <v>0</v>
      </c>
      <c r="P223" s="4" t="n">
        <v>0</v>
      </c>
      <c r="Q223" s="4" t="n">
        <v>6</v>
      </c>
      <c r="R223" s="4" t="n">
        <f aca="false">M223+N223+O223+P223+Q223</f>
        <v>94</v>
      </c>
      <c r="S223" s="4" t="n">
        <v>15</v>
      </c>
      <c r="T223" s="4" t="n">
        <f aca="false">R223*K223</f>
        <v>5076000</v>
      </c>
      <c r="U223" s="9" t="n">
        <f aca="false">IFERROR(M223/S223,0)</f>
        <v>5.8</v>
      </c>
      <c r="V223" s="5" t="n">
        <v>0.2593</v>
      </c>
    </row>
    <row r="224" customFormat="false" ht="15" hidden="false" customHeight="false" outlineLevel="0" collapsed="false">
      <c r="A224" s="8" t="s">
        <v>75</v>
      </c>
      <c r="B224" s="8" t="s">
        <v>22</v>
      </c>
      <c r="C224" s="8" t="s">
        <v>1098</v>
      </c>
      <c r="D224" s="8" t="n">
        <v>134092</v>
      </c>
      <c r="E224" s="8" t="s">
        <v>1117</v>
      </c>
      <c r="F224" s="8" t="s">
        <v>809</v>
      </c>
      <c r="G224" s="8" t="s">
        <v>961</v>
      </c>
      <c r="H224" s="8" t="s">
        <v>51</v>
      </c>
      <c r="I224" s="8" t="s">
        <v>76</v>
      </c>
      <c r="J224" s="4" t="n">
        <v>70000</v>
      </c>
      <c r="K224" s="4" t="n">
        <v>63000</v>
      </c>
      <c r="L224" s="5" t="n">
        <v>0.1</v>
      </c>
      <c r="M224" s="4" t="n">
        <v>48</v>
      </c>
      <c r="N224" s="4" t="n">
        <v>0</v>
      </c>
      <c r="O224" s="4" t="n">
        <v>0</v>
      </c>
      <c r="P224" s="4" t="n">
        <v>0</v>
      </c>
      <c r="Q224" s="4" t="n">
        <v>41</v>
      </c>
      <c r="R224" s="4" t="n">
        <f aca="false">M224+N224+O224+P224+Q224</f>
        <v>89</v>
      </c>
      <c r="S224" s="4" t="n">
        <v>13</v>
      </c>
      <c r="T224" s="4" t="n">
        <f aca="false">R224*K224</f>
        <v>5607000</v>
      </c>
      <c r="U224" s="9" t="n">
        <f aca="false">IFERROR(M224/S224,0)</f>
        <v>3.69230769230769</v>
      </c>
      <c r="V224" s="5" t="n">
        <v>0.254</v>
      </c>
    </row>
    <row r="225" customFormat="false" ht="15" hidden="false" customHeight="false" outlineLevel="0" collapsed="false">
      <c r="A225" s="8" t="s">
        <v>75</v>
      </c>
      <c r="B225" s="8" t="s">
        <v>22</v>
      </c>
      <c r="C225" s="8" t="s">
        <v>1098</v>
      </c>
      <c r="D225" s="8" t="n">
        <v>134108</v>
      </c>
      <c r="E225" s="8" t="s">
        <v>1022</v>
      </c>
      <c r="F225" s="8" t="s">
        <v>809</v>
      </c>
      <c r="G225" s="8" t="s">
        <v>961</v>
      </c>
      <c r="H225" s="8" t="s">
        <v>51</v>
      </c>
      <c r="I225" s="8" t="s">
        <v>76</v>
      </c>
      <c r="J225" s="4" t="n">
        <v>60000</v>
      </c>
      <c r="K225" s="4" t="n">
        <v>54000</v>
      </c>
      <c r="L225" s="5" t="n">
        <v>0.1</v>
      </c>
      <c r="M225" s="4" t="n">
        <v>84</v>
      </c>
      <c r="N225" s="4" t="n">
        <v>0</v>
      </c>
      <c r="O225" s="4" t="n">
        <v>0</v>
      </c>
      <c r="P225" s="4" t="n">
        <v>0</v>
      </c>
      <c r="Q225" s="4" t="n">
        <v>2</v>
      </c>
      <c r="R225" s="4" t="n">
        <f aca="false">M225+N225+O225+P225+Q225</f>
        <v>86</v>
      </c>
      <c r="S225" s="4" t="n">
        <v>17</v>
      </c>
      <c r="T225" s="4" t="n">
        <f aca="false">R225*K225</f>
        <v>4644000</v>
      </c>
      <c r="U225" s="9" t="n">
        <f aca="false">IFERROR(M225/S225,0)</f>
        <v>4.94117647058824</v>
      </c>
      <c r="V225" s="5" t="n">
        <v>0.2593</v>
      </c>
    </row>
    <row r="226" customFormat="false" ht="15" hidden="false" customHeight="false" outlineLevel="0" collapsed="false">
      <c r="A226" s="8" t="s">
        <v>75</v>
      </c>
      <c r="B226" s="8" t="s">
        <v>22</v>
      </c>
      <c r="C226" s="8" t="s">
        <v>1098</v>
      </c>
      <c r="D226" s="8" t="n">
        <v>134104</v>
      </c>
      <c r="E226" s="8" t="s">
        <v>1118</v>
      </c>
      <c r="F226" s="8" t="s">
        <v>809</v>
      </c>
      <c r="G226" s="8" t="s">
        <v>961</v>
      </c>
      <c r="H226" s="8" t="s">
        <v>51</v>
      </c>
      <c r="I226" s="8" t="s">
        <v>76</v>
      </c>
      <c r="J226" s="4" t="n">
        <v>60000</v>
      </c>
      <c r="K226" s="4" t="n">
        <v>54000</v>
      </c>
      <c r="L226" s="5" t="n">
        <v>0.1</v>
      </c>
      <c r="M226" s="4" t="n">
        <v>76</v>
      </c>
      <c r="N226" s="4" t="n">
        <v>0</v>
      </c>
      <c r="O226" s="4" t="n">
        <v>0</v>
      </c>
      <c r="P226" s="4" t="n">
        <v>0</v>
      </c>
      <c r="Q226" s="4" t="n">
        <v>7</v>
      </c>
      <c r="R226" s="4" t="n">
        <f aca="false">M226+N226+O226+P226+Q226</f>
        <v>83</v>
      </c>
      <c r="S226" s="4" t="n">
        <v>17</v>
      </c>
      <c r="T226" s="4" t="n">
        <f aca="false">R226*K226</f>
        <v>4482000</v>
      </c>
      <c r="U226" s="9" t="n">
        <f aca="false">IFERROR(M226/S226,0)</f>
        <v>4.47058823529412</v>
      </c>
      <c r="V226" s="5" t="n">
        <v>0.2593</v>
      </c>
    </row>
    <row r="227" customFormat="false" ht="15" hidden="false" customHeight="false" outlineLevel="0" collapsed="false">
      <c r="A227" s="8" t="s">
        <v>75</v>
      </c>
      <c r="B227" s="8" t="s">
        <v>22</v>
      </c>
      <c r="C227" s="8" t="s">
        <v>1098</v>
      </c>
      <c r="D227" s="8" t="n">
        <v>134100</v>
      </c>
      <c r="E227" s="8" t="s">
        <v>1119</v>
      </c>
      <c r="F227" s="8" t="s">
        <v>809</v>
      </c>
      <c r="G227" s="8" t="s">
        <v>961</v>
      </c>
      <c r="H227" s="8" t="s">
        <v>51</v>
      </c>
      <c r="I227" s="8" t="s">
        <v>76</v>
      </c>
      <c r="J227" s="4" t="n">
        <v>60000</v>
      </c>
      <c r="K227" s="4" t="n">
        <v>54000</v>
      </c>
      <c r="L227" s="5" t="n">
        <v>0.1</v>
      </c>
      <c r="M227" s="4" t="n">
        <v>78</v>
      </c>
      <c r="N227" s="4" t="n">
        <v>0</v>
      </c>
      <c r="O227" s="4" t="n">
        <v>0</v>
      </c>
      <c r="P227" s="4" t="n">
        <v>0</v>
      </c>
      <c r="Q227" s="4" t="n">
        <v>3</v>
      </c>
      <c r="R227" s="4" t="n">
        <f aca="false">M227+N227+O227+P227+Q227</f>
        <v>81</v>
      </c>
      <c r="S227" s="4" t="n">
        <v>16</v>
      </c>
      <c r="T227" s="4" t="n">
        <f aca="false">R227*K227</f>
        <v>4374000</v>
      </c>
      <c r="U227" s="9" t="n">
        <f aca="false">IFERROR(M227/S227,0)</f>
        <v>4.875</v>
      </c>
      <c r="V227" s="5" t="n">
        <v>0.2593</v>
      </c>
    </row>
    <row r="228" customFormat="false" ht="15" hidden="false" customHeight="false" outlineLevel="0" collapsed="false">
      <c r="A228" s="8" t="s">
        <v>75</v>
      </c>
      <c r="B228" s="8" t="s">
        <v>22</v>
      </c>
      <c r="C228" s="8" t="s">
        <v>1098</v>
      </c>
      <c r="D228" s="8" t="n">
        <v>133791</v>
      </c>
      <c r="E228" s="8" t="s">
        <v>1120</v>
      </c>
      <c r="F228" s="8" t="s">
        <v>809</v>
      </c>
      <c r="G228" s="8" t="s">
        <v>961</v>
      </c>
      <c r="H228" s="8" t="s">
        <v>51</v>
      </c>
      <c r="I228" s="8" t="s">
        <v>76</v>
      </c>
      <c r="J228" s="4" t="n">
        <v>190000</v>
      </c>
      <c r="K228" s="4" t="n">
        <v>171000</v>
      </c>
      <c r="L228" s="5" t="n">
        <v>0.1</v>
      </c>
      <c r="M228" s="4" t="n">
        <v>74</v>
      </c>
      <c r="N228" s="4" t="n">
        <v>0</v>
      </c>
      <c r="O228" s="4" t="n">
        <v>5</v>
      </c>
      <c r="P228" s="4" t="n">
        <v>0</v>
      </c>
      <c r="Q228" s="4" t="n">
        <v>1</v>
      </c>
      <c r="R228" s="4" t="n">
        <f aca="false">M228+N228+O228+P228+Q228</f>
        <v>80</v>
      </c>
      <c r="S228" s="4" t="n">
        <v>21</v>
      </c>
      <c r="T228" s="4" t="n">
        <f aca="false">R228*K228</f>
        <v>13680000</v>
      </c>
      <c r="U228" s="9" t="n">
        <f aca="false">IFERROR(M228/S228,0)</f>
        <v>3.52380952380952</v>
      </c>
      <c r="V228" s="5" t="n">
        <v>0.1813</v>
      </c>
    </row>
    <row r="229" customFormat="false" ht="15" hidden="false" customHeight="false" outlineLevel="0" collapsed="false">
      <c r="A229" s="8" t="s">
        <v>75</v>
      </c>
      <c r="B229" s="8" t="s">
        <v>22</v>
      </c>
      <c r="C229" s="8" t="s">
        <v>1098</v>
      </c>
      <c r="D229" s="8" t="n">
        <v>133846</v>
      </c>
      <c r="E229" s="8" t="s">
        <v>1121</v>
      </c>
      <c r="F229" s="8" t="s">
        <v>767</v>
      </c>
      <c r="G229" s="8" t="s">
        <v>961</v>
      </c>
      <c r="H229" s="8" t="s">
        <v>51</v>
      </c>
      <c r="I229" s="8" t="s">
        <v>76</v>
      </c>
      <c r="J229" s="4" t="n">
        <v>50000</v>
      </c>
      <c r="K229" s="4" t="n">
        <v>45000</v>
      </c>
      <c r="L229" s="5" t="n">
        <v>0.1</v>
      </c>
      <c r="M229" s="4" t="n">
        <v>80</v>
      </c>
      <c r="N229" s="4" t="n">
        <v>0</v>
      </c>
      <c r="O229" s="4" t="n">
        <v>0</v>
      </c>
      <c r="P229" s="4" t="n">
        <v>0</v>
      </c>
      <c r="Q229" s="4" t="n">
        <v>0</v>
      </c>
      <c r="R229" s="4" t="n">
        <f aca="false">M229+N229+O229+P229+Q229</f>
        <v>80</v>
      </c>
      <c r="S229" s="4" t="n">
        <v>2</v>
      </c>
      <c r="T229" s="4" t="n">
        <f aca="false">R229*K229</f>
        <v>3600000</v>
      </c>
      <c r="U229" s="9" t="n">
        <f aca="false">IFERROR(M229/S229,0)</f>
        <v>40</v>
      </c>
      <c r="V229" s="5" t="n">
        <v>0.5556</v>
      </c>
    </row>
    <row r="230" customFormat="false" ht="15" hidden="false" customHeight="false" outlineLevel="0" collapsed="false">
      <c r="A230" s="8" t="s">
        <v>75</v>
      </c>
      <c r="B230" s="8" t="s">
        <v>22</v>
      </c>
      <c r="C230" s="8" t="s">
        <v>1122</v>
      </c>
      <c r="D230" s="8" t="n">
        <v>134473</v>
      </c>
      <c r="E230" s="8" t="s">
        <v>1123</v>
      </c>
      <c r="F230" s="8" t="s">
        <v>767</v>
      </c>
      <c r="G230" s="8" t="s">
        <v>961</v>
      </c>
      <c r="H230" s="8" t="s">
        <v>51</v>
      </c>
      <c r="I230" s="8" t="s">
        <v>76</v>
      </c>
      <c r="J230" s="4" t="n">
        <v>135000</v>
      </c>
      <c r="K230" s="4" t="n">
        <v>122000</v>
      </c>
      <c r="L230" s="5" t="n">
        <v>0.1</v>
      </c>
      <c r="M230" s="4" t="n">
        <v>75</v>
      </c>
      <c r="N230" s="4" t="n">
        <v>0</v>
      </c>
      <c r="O230" s="4" t="n">
        <v>0</v>
      </c>
      <c r="P230" s="4" t="n">
        <v>0</v>
      </c>
      <c r="Q230" s="4" t="n">
        <v>0</v>
      </c>
      <c r="R230" s="4" t="n">
        <f aca="false">M230+N230+O230+P230+Q230</f>
        <v>75</v>
      </c>
      <c r="S230" s="4" t="n">
        <v>8</v>
      </c>
      <c r="T230" s="4" t="n">
        <f aca="false">R230*K230</f>
        <v>9150000</v>
      </c>
      <c r="U230" s="9" t="n">
        <f aca="false">IFERROR(M230/S230,0)</f>
        <v>9.375</v>
      </c>
      <c r="V230" s="5" t="n">
        <v>0.2623</v>
      </c>
    </row>
    <row r="231" customFormat="false" ht="15" hidden="false" customHeight="false" outlineLevel="0" collapsed="false">
      <c r="A231" s="8" t="s">
        <v>75</v>
      </c>
      <c r="B231" s="8" t="s">
        <v>22</v>
      </c>
      <c r="C231" s="8" t="s">
        <v>1098</v>
      </c>
      <c r="D231" s="8" t="n">
        <v>134102</v>
      </c>
      <c r="E231" s="8" t="s">
        <v>1124</v>
      </c>
      <c r="F231" s="8" t="s">
        <v>809</v>
      </c>
      <c r="G231" s="8" t="s">
        <v>961</v>
      </c>
      <c r="H231" s="8" t="s">
        <v>51</v>
      </c>
      <c r="I231" s="8" t="s">
        <v>76</v>
      </c>
      <c r="J231" s="4" t="n">
        <v>60000</v>
      </c>
      <c r="K231" s="4" t="n">
        <v>54000</v>
      </c>
      <c r="L231" s="5" t="n">
        <v>0.1</v>
      </c>
      <c r="M231" s="4" t="n">
        <v>66</v>
      </c>
      <c r="N231" s="4" t="n">
        <v>0</v>
      </c>
      <c r="O231" s="4" t="n">
        <v>0</v>
      </c>
      <c r="P231" s="4" t="n">
        <v>0</v>
      </c>
      <c r="Q231" s="4" t="n">
        <v>8</v>
      </c>
      <c r="R231" s="4" t="n">
        <f aca="false">M231+N231+O231+P231+Q231</f>
        <v>74</v>
      </c>
      <c r="S231" s="4" t="n">
        <v>17</v>
      </c>
      <c r="T231" s="4" t="n">
        <f aca="false">R231*K231</f>
        <v>3996000</v>
      </c>
      <c r="U231" s="9" t="n">
        <f aca="false">IFERROR(M231/S231,0)</f>
        <v>3.88235294117647</v>
      </c>
      <c r="V231" s="5" t="n">
        <v>0.2593</v>
      </c>
    </row>
    <row r="232" customFormat="false" ht="15" hidden="false" customHeight="false" outlineLevel="0" collapsed="false">
      <c r="A232" s="8" t="s">
        <v>75</v>
      </c>
      <c r="B232" s="8" t="s">
        <v>22</v>
      </c>
      <c r="C232" s="8" t="s">
        <v>1098</v>
      </c>
      <c r="D232" s="8" t="n">
        <v>133586</v>
      </c>
      <c r="E232" s="8" t="s">
        <v>1125</v>
      </c>
      <c r="F232" s="8" t="s">
        <v>809</v>
      </c>
      <c r="G232" s="8" t="s">
        <v>961</v>
      </c>
      <c r="H232" s="8" t="s">
        <v>51</v>
      </c>
      <c r="I232" s="8" t="s">
        <v>76</v>
      </c>
      <c r="J232" s="4" t="n">
        <v>220000</v>
      </c>
      <c r="K232" s="4" t="n">
        <v>198000</v>
      </c>
      <c r="L232" s="5" t="n">
        <v>0.1</v>
      </c>
      <c r="M232" s="4" t="n">
        <v>73</v>
      </c>
      <c r="N232" s="4" t="n">
        <v>0</v>
      </c>
      <c r="O232" s="4" t="n">
        <v>0</v>
      </c>
      <c r="P232" s="4" t="n">
        <v>0</v>
      </c>
      <c r="Q232" s="4" t="n">
        <v>0</v>
      </c>
      <c r="R232" s="4" t="n">
        <f aca="false">M232+N232+O232+P232+Q232</f>
        <v>73</v>
      </c>
      <c r="S232" s="4" t="n">
        <v>20</v>
      </c>
      <c r="T232" s="4" t="n">
        <f aca="false">R232*K232</f>
        <v>14454000</v>
      </c>
      <c r="U232" s="9" t="n">
        <f aca="false">IFERROR(M232/S232,0)</f>
        <v>3.65</v>
      </c>
      <c r="V232" s="5" t="n">
        <v>0.1313</v>
      </c>
    </row>
    <row r="233" customFormat="false" ht="15" hidden="false" customHeight="false" outlineLevel="0" collapsed="false">
      <c r="A233" s="8" t="s">
        <v>75</v>
      </c>
      <c r="B233" s="8" t="s">
        <v>22</v>
      </c>
      <c r="C233" s="8" t="s">
        <v>1098</v>
      </c>
      <c r="D233" s="8" t="n">
        <v>176333</v>
      </c>
      <c r="E233" s="8" t="s">
        <v>1126</v>
      </c>
      <c r="F233" s="8" t="s">
        <v>809</v>
      </c>
      <c r="G233" s="8" t="s">
        <v>961</v>
      </c>
      <c r="H233" s="8" t="s">
        <v>51</v>
      </c>
      <c r="I233" s="8" t="s">
        <v>76</v>
      </c>
      <c r="J233" s="4" t="n">
        <v>475000</v>
      </c>
      <c r="K233" s="4" t="n">
        <v>428000</v>
      </c>
      <c r="L233" s="5" t="n">
        <v>0.1</v>
      </c>
      <c r="M233" s="4" t="n">
        <v>72</v>
      </c>
      <c r="N233" s="4" t="n">
        <v>0</v>
      </c>
      <c r="O233" s="4" t="n">
        <v>0</v>
      </c>
      <c r="P233" s="4" t="n">
        <v>0</v>
      </c>
      <c r="Q233" s="4" t="n">
        <v>0</v>
      </c>
      <c r="R233" s="4" t="n">
        <f aca="false">M233+N233+O233+P233+Q233</f>
        <v>72</v>
      </c>
      <c r="S233" s="4" t="n">
        <v>22</v>
      </c>
      <c r="T233" s="4" t="n">
        <f aca="false">R233*K233</f>
        <v>30816000</v>
      </c>
      <c r="U233" s="9" t="n">
        <f aca="false">IFERROR(M233/S233,0)</f>
        <v>3.27272727272727</v>
      </c>
      <c r="V233" s="5" t="n">
        <v>0.1776</v>
      </c>
    </row>
    <row r="234" customFormat="false" ht="15" hidden="false" customHeight="false" outlineLevel="0" collapsed="false">
      <c r="A234" s="8" t="s">
        <v>75</v>
      </c>
      <c r="B234" s="8" t="s">
        <v>22</v>
      </c>
      <c r="C234" s="8" t="s">
        <v>1098</v>
      </c>
      <c r="D234" s="8" t="n">
        <v>176324</v>
      </c>
      <c r="E234" s="8" t="s">
        <v>1127</v>
      </c>
      <c r="F234" s="8" t="s">
        <v>767</v>
      </c>
      <c r="G234" s="8" t="s">
        <v>961</v>
      </c>
      <c r="H234" s="8" t="s">
        <v>51</v>
      </c>
      <c r="I234" s="8" t="s">
        <v>76</v>
      </c>
      <c r="J234" s="4" t="n">
        <v>86000</v>
      </c>
      <c r="K234" s="4" t="n">
        <v>78000</v>
      </c>
      <c r="L234" s="5" t="n">
        <v>0.1</v>
      </c>
      <c r="M234" s="4" t="n">
        <v>70</v>
      </c>
      <c r="N234" s="4" t="n">
        <v>0</v>
      </c>
      <c r="O234" s="4" t="n">
        <v>0</v>
      </c>
      <c r="P234" s="4" t="n">
        <v>0</v>
      </c>
      <c r="Q234" s="4" t="n">
        <v>0</v>
      </c>
      <c r="R234" s="4" t="n">
        <f aca="false">M234+N234+O234+P234+Q234</f>
        <v>70</v>
      </c>
      <c r="S234" s="4" t="n">
        <v>6</v>
      </c>
      <c r="T234" s="4" t="n">
        <f aca="false">R234*K234</f>
        <v>5460000</v>
      </c>
      <c r="U234" s="9" t="n">
        <f aca="false">IFERROR(M234/S234,0)</f>
        <v>11.6666666666667</v>
      </c>
      <c r="V234" s="5" t="n">
        <v>0.2821</v>
      </c>
    </row>
    <row r="235" customFormat="false" ht="15" hidden="false" customHeight="false" outlineLevel="0" collapsed="false">
      <c r="A235" s="8" t="s">
        <v>75</v>
      </c>
      <c r="B235" s="8" t="s">
        <v>22</v>
      </c>
      <c r="C235" s="8" t="s">
        <v>1098</v>
      </c>
      <c r="D235" s="8" t="n">
        <v>133585</v>
      </c>
      <c r="E235" s="8" t="s">
        <v>1128</v>
      </c>
      <c r="F235" s="8" t="s">
        <v>809</v>
      </c>
      <c r="G235" s="8" t="s">
        <v>961</v>
      </c>
      <c r="H235" s="8" t="s">
        <v>51</v>
      </c>
      <c r="I235" s="8" t="s">
        <v>76</v>
      </c>
      <c r="J235" s="4" t="n">
        <v>215000</v>
      </c>
      <c r="K235" s="4" t="n">
        <v>194000</v>
      </c>
      <c r="L235" s="5" t="n">
        <v>0.1</v>
      </c>
      <c r="M235" s="4" t="n">
        <v>67</v>
      </c>
      <c r="N235" s="4" t="n">
        <v>0</v>
      </c>
      <c r="O235" s="4" t="n">
        <v>0</v>
      </c>
      <c r="P235" s="4" t="n">
        <v>0</v>
      </c>
      <c r="Q235" s="4" t="n">
        <v>0</v>
      </c>
      <c r="R235" s="4" t="n">
        <f aca="false">M235+N235+O235+P235+Q235</f>
        <v>67</v>
      </c>
      <c r="S235" s="4" t="n">
        <v>17</v>
      </c>
      <c r="T235" s="4" t="n">
        <f aca="false">R235*K235</f>
        <v>12998000</v>
      </c>
      <c r="U235" s="9" t="n">
        <f aca="false">IFERROR(M235/S235,0)</f>
        <v>3.94117647058824</v>
      </c>
      <c r="V235" s="5" t="n">
        <v>0.1701</v>
      </c>
    </row>
    <row r="236" customFormat="false" ht="15" hidden="false" customHeight="false" outlineLevel="0" collapsed="false">
      <c r="A236" s="8" t="s">
        <v>75</v>
      </c>
      <c r="B236" s="8" t="s">
        <v>22</v>
      </c>
      <c r="C236" s="8" t="s">
        <v>1098</v>
      </c>
      <c r="D236" s="8" t="n">
        <v>176332</v>
      </c>
      <c r="E236" s="8" t="s">
        <v>1129</v>
      </c>
      <c r="F236" s="8" t="s">
        <v>809</v>
      </c>
      <c r="G236" s="8" t="s">
        <v>961</v>
      </c>
      <c r="H236" s="8" t="s">
        <v>51</v>
      </c>
      <c r="I236" s="8" t="s">
        <v>76</v>
      </c>
      <c r="J236" s="4" t="n">
        <v>515000</v>
      </c>
      <c r="K236" s="4" t="n">
        <v>464000</v>
      </c>
      <c r="L236" s="5" t="n">
        <v>0.1</v>
      </c>
      <c r="M236" s="4" t="n">
        <v>66</v>
      </c>
      <c r="N236" s="4" t="n">
        <v>0</v>
      </c>
      <c r="O236" s="4" t="n">
        <v>0</v>
      </c>
      <c r="P236" s="4" t="n">
        <v>0</v>
      </c>
      <c r="Q236" s="4" t="n">
        <v>0</v>
      </c>
      <c r="R236" s="4" t="n">
        <f aca="false">M236+N236+O236+P236+Q236</f>
        <v>66</v>
      </c>
      <c r="S236" s="4" t="n">
        <v>22</v>
      </c>
      <c r="T236" s="4" t="n">
        <f aca="false">R236*K236</f>
        <v>30624000</v>
      </c>
      <c r="U236" s="9" t="n">
        <f aca="false">IFERROR(M236/S236,0)</f>
        <v>3</v>
      </c>
      <c r="V236" s="5" t="n">
        <v>0.2914</v>
      </c>
    </row>
    <row r="237" customFormat="false" ht="15" hidden="false" customHeight="false" outlineLevel="0" collapsed="false">
      <c r="A237" s="8" t="s">
        <v>75</v>
      </c>
      <c r="B237" s="8" t="s">
        <v>22</v>
      </c>
      <c r="C237" s="8" t="s">
        <v>1098</v>
      </c>
      <c r="D237" s="8" t="n">
        <v>176325</v>
      </c>
      <c r="E237" s="8" t="s">
        <v>1130</v>
      </c>
      <c r="F237" s="8" t="s">
        <v>809</v>
      </c>
      <c r="G237" s="8" t="s">
        <v>961</v>
      </c>
      <c r="H237" s="8" t="s">
        <v>51</v>
      </c>
      <c r="I237" s="8" t="s">
        <v>76</v>
      </c>
      <c r="J237" s="4" t="n">
        <v>85000</v>
      </c>
      <c r="K237" s="4" t="n">
        <v>77000</v>
      </c>
      <c r="L237" s="5" t="n">
        <v>0.1</v>
      </c>
      <c r="M237" s="4" t="n">
        <v>64</v>
      </c>
      <c r="N237" s="4" t="n">
        <v>0</v>
      </c>
      <c r="O237" s="4" t="n">
        <v>0</v>
      </c>
      <c r="P237" s="4" t="n">
        <v>0</v>
      </c>
      <c r="Q237" s="4" t="n">
        <v>0</v>
      </c>
      <c r="R237" s="4" t="n">
        <f aca="false">M237+N237+O237+P237+Q237</f>
        <v>64</v>
      </c>
      <c r="S237" s="4" t="n">
        <v>20</v>
      </c>
      <c r="T237" s="4" t="n">
        <f aca="false">R237*K237</f>
        <v>4928000</v>
      </c>
      <c r="U237" s="9" t="n">
        <f aca="false">IFERROR(M237/S237,0)</f>
        <v>3.2</v>
      </c>
      <c r="V237" s="5" t="n">
        <v>0.1299</v>
      </c>
    </row>
    <row r="238" customFormat="false" ht="15" hidden="false" customHeight="false" outlineLevel="0" collapsed="false">
      <c r="A238" s="8" t="s">
        <v>75</v>
      </c>
      <c r="B238" s="8" t="s">
        <v>22</v>
      </c>
      <c r="C238" s="8" t="s">
        <v>1098</v>
      </c>
      <c r="D238" s="8" t="n">
        <v>134168</v>
      </c>
      <c r="E238" s="8" t="s">
        <v>1131</v>
      </c>
      <c r="F238" s="8" t="s">
        <v>809</v>
      </c>
      <c r="G238" s="8" t="s">
        <v>961</v>
      </c>
      <c r="H238" s="8" t="s">
        <v>51</v>
      </c>
      <c r="I238" s="8" t="s">
        <v>76</v>
      </c>
      <c r="J238" s="4" t="n">
        <v>611000</v>
      </c>
      <c r="K238" s="4" t="n">
        <v>550000</v>
      </c>
      <c r="L238" s="5" t="n">
        <v>0.1</v>
      </c>
      <c r="M238" s="4" t="n">
        <v>63</v>
      </c>
      <c r="N238" s="4" t="n">
        <v>0</v>
      </c>
      <c r="O238" s="4" t="n">
        <v>0</v>
      </c>
      <c r="P238" s="4" t="n">
        <v>0</v>
      </c>
      <c r="Q238" s="4" t="n">
        <v>0</v>
      </c>
      <c r="R238" s="4" t="n">
        <f aca="false">M238+N238+O238+P238+Q238</f>
        <v>63</v>
      </c>
      <c r="S238" s="4" t="n">
        <v>19</v>
      </c>
      <c r="T238" s="4" t="n">
        <f aca="false">R238*K238</f>
        <v>34650000</v>
      </c>
      <c r="U238" s="9" t="n">
        <f aca="false">IFERROR(M238/S238,0)</f>
        <v>3.31578947368421</v>
      </c>
      <c r="V238" s="5" t="n">
        <v>0.14</v>
      </c>
    </row>
    <row r="239" customFormat="false" ht="15" hidden="false" customHeight="false" outlineLevel="0" collapsed="false">
      <c r="A239" s="8" t="s">
        <v>75</v>
      </c>
      <c r="B239" s="8" t="s">
        <v>22</v>
      </c>
      <c r="C239" s="8" t="s">
        <v>1098</v>
      </c>
      <c r="D239" s="8" t="n">
        <v>133793</v>
      </c>
      <c r="E239" s="8" t="s">
        <v>1132</v>
      </c>
      <c r="F239" s="8" t="s">
        <v>809</v>
      </c>
      <c r="G239" s="8" t="s">
        <v>961</v>
      </c>
      <c r="H239" s="8" t="s">
        <v>51</v>
      </c>
      <c r="I239" s="8" t="s">
        <v>76</v>
      </c>
      <c r="J239" s="4" t="n">
        <v>155000</v>
      </c>
      <c r="K239" s="4" t="n">
        <v>140000</v>
      </c>
      <c r="L239" s="5" t="n">
        <v>0.1</v>
      </c>
      <c r="M239" s="4" t="n">
        <v>62</v>
      </c>
      <c r="N239" s="4" t="n">
        <v>0</v>
      </c>
      <c r="O239" s="4" t="n">
        <v>0</v>
      </c>
      <c r="P239" s="4" t="n">
        <v>0</v>
      </c>
      <c r="Q239" s="4" t="n">
        <v>0</v>
      </c>
      <c r="R239" s="4" t="n">
        <f aca="false">M239+N239+O239+P239+Q239</f>
        <v>62</v>
      </c>
      <c r="S239" s="4" t="n">
        <v>18</v>
      </c>
      <c r="T239" s="4" t="n">
        <f aca="false">R239*K239</f>
        <v>8680000</v>
      </c>
      <c r="U239" s="9" t="n">
        <f aca="false">IFERROR(M239/S239,0)</f>
        <v>3.44444444444444</v>
      </c>
      <c r="V239" s="5" t="n">
        <v>0.1429</v>
      </c>
    </row>
    <row r="240" customFormat="false" ht="15" hidden="false" customHeight="false" outlineLevel="0" collapsed="false">
      <c r="A240" s="8" t="s">
        <v>75</v>
      </c>
      <c r="B240" s="8" t="s">
        <v>22</v>
      </c>
      <c r="C240" s="8" t="s">
        <v>1098</v>
      </c>
      <c r="D240" s="8" t="n">
        <v>176322</v>
      </c>
      <c r="E240" s="8" t="s">
        <v>1133</v>
      </c>
      <c r="F240" s="8" t="s">
        <v>809</v>
      </c>
      <c r="G240" s="8" t="s">
        <v>961</v>
      </c>
      <c r="H240" s="8" t="s">
        <v>51</v>
      </c>
      <c r="I240" s="8" t="s">
        <v>76</v>
      </c>
      <c r="J240" s="4" t="n">
        <v>199000</v>
      </c>
      <c r="K240" s="4" t="n">
        <v>180000</v>
      </c>
      <c r="L240" s="5" t="n">
        <v>0.1</v>
      </c>
      <c r="M240" s="4" t="n">
        <v>61</v>
      </c>
      <c r="N240" s="4" t="n">
        <v>0</v>
      </c>
      <c r="O240" s="4" t="n">
        <v>0</v>
      </c>
      <c r="P240" s="4" t="n">
        <v>0</v>
      </c>
      <c r="Q240" s="4" t="n">
        <v>0</v>
      </c>
      <c r="R240" s="4" t="n">
        <f aca="false">M240+N240+O240+P240+Q240</f>
        <v>61</v>
      </c>
      <c r="S240" s="4" t="n">
        <v>20</v>
      </c>
      <c r="T240" s="4" t="n">
        <f aca="false">R240*K240</f>
        <v>10980000</v>
      </c>
      <c r="U240" s="9" t="n">
        <f aca="false">IFERROR(M240/S240,0)</f>
        <v>3.05</v>
      </c>
      <c r="V240" s="5" t="n">
        <v>0.1556</v>
      </c>
    </row>
    <row r="241" customFormat="false" ht="15" hidden="false" customHeight="false" outlineLevel="0" collapsed="false">
      <c r="A241" s="8" t="s">
        <v>75</v>
      </c>
      <c r="B241" s="8" t="s">
        <v>22</v>
      </c>
      <c r="C241" s="8" t="s">
        <v>1098</v>
      </c>
      <c r="D241" s="8" t="n">
        <v>133789</v>
      </c>
      <c r="E241" s="8" t="s">
        <v>1134</v>
      </c>
      <c r="F241" s="8" t="s">
        <v>809</v>
      </c>
      <c r="G241" s="8" t="s">
        <v>961</v>
      </c>
      <c r="H241" s="8" t="s">
        <v>51</v>
      </c>
      <c r="I241" s="8" t="s">
        <v>76</v>
      </c>
      <c r="J241" s="4" t="n">
        <v>190000</v>
      </c>
      <c r="K241" s="4" t="n">
        <v>171000</v>
      </c>
      <c r="L241" s="5" t="n">
        <v>0.1</v>
      </c>
      <c r="M241" s="4" t="n">
        <v>49</v>
      </c>
      <c r="N241" s="4" t="n">
        <v>0</v>
      </c>
      <c r="O241" s="4" t="n">
        <v>7</v>
      </c>
      <c r="P241" s="4" t="n">
        <v>0</v>
      </c>
      <c r="Q241" s="4" t="n">
        <v>4</v>
      </c>
      <c r="R241" s="4" t="n">
        <f aca="false">M241+N241+O241+P241+Q241</f>
        <v>60</v>
      </c>
      <c r="S241" s="4" t="n">
        <v>15</v>
      </c>
      <c r="T241" s="4" t="n">
        <f aca="false">R241*K241</f>
        <v>10260000</v>
      </c>
      <c r="U241" s="9" t="n">
        <f aca="false">IFERROR(M241/S241,0)</f>
        <v>3.26666666666667</v>
      </c>
      <c r="V241" s="5" t="n">
        <v>0.1813</v>
      </c>
    </row>
    <row r="242" customFormat="false" ht="15" hidden="false" customHeight="false" outlineLevel="0" collapsed="false">
      <c r="A242" s="8" t="s">
        <v>75</v>
      </c>
      <c r="B242" s="8" t="s">
        <v>22</v>
      </c>
      <c r="C242" s="8" t="s">
        <v>1098</v>
      </c>
      <c r="D242" s="8" t="n">
        <v>176334</v>
      </c>
      <c r="E242" s="8" t="s">
        <v>1135</v>
      </c>
      <c r="F242" s="8" t="s">
        <v>809</v>
      </c>
      <c r="G242" s="8" t="s">
        <v>961</v>
      </c>
      <c r="H242" s="8" t="s">
        <v>51</v>
      </c>
      <c r="I242" s="8" t="s">
        <v>76</v>
      </c>
      <c r="J242" s="4" t="n">
        <v>515000</v>
      </c>
      <c r="K242" s="4" t="n">
        <v>464000</v>
      </c>
      <c r="L242" s="5" t="n">
        <v>0.1</v>
      </c>
      <c r="M242" s="4" t="n">
        <v>60</v>
      </c>
      <c r="N242" s="4" t="n">
        <v>0</v>
      </c>
      <c r="O242" s="4" t="n">
        <v>0</v>
      </c>
      <c r="P242" s="4" t="n">
        <v>0</v>
      </c>
      <c r="Q242" s="4" t="n">
        <v>0</v>
      </c>
      <c r="R242" s="4" t="n">
        <f aca="false">M242+N242+O242+P242+Q242</f>
        <v>60</v>
      </c>
      <c r="S242" s="4" t="n">
        <v>22</v>
      </c>
      <c r="T242" s="4" t="n">
        <f aca="false">R242*K242</f>
        <v>27840000</v>
      </c>
      <c r="U242" s="9" t="n">
        <f aca="false">IFERROR(M242/S242,0)</f>
        <v>2.72727272727273</v>
      </c>
      <c r="V242" s="5" t="n">
        <v>0.2774</v>
      </c>
    </row>
    <row r="243" customFormat="false" ht="15" hidden="false" customHeight="false" outlineLevel="0" collapsed="false">
      <c r="A243" s="8" t="s">
        <v>75</v>
      </c>
      <c r="B243" s="8" t="s">
        <v>22</v>
      </c>
      <c r="C243" s="8" t="s">
        <v>1098</v>
      </c>
      <c r="D243" s="8" t="n">
        <v>133119</v>
      </c>
      <c r="E243" s="8" t="s">
        <v>1136</v>
      </c>
      <c r="F243" s="8" t="s">
        <v>809</v>
      </c>
      <c r="G243" s="8" t="s">
        <v>961</v>
      </c>
      <c r="H243" s="8" t="s">
        <v>51</v>
      </c>
      <c r="I243" s="8" t="s">
        <v>76</v>
      </c>
      <c r="J243" s="4" t="n">
        <v>495000</v>
      </c>
      <c r="K243" s="4" t="n">
        <v>446000</v>
      </c>
      <c r="L243" s="5" t="n">
        <v>0.1</v>
      </c>
      <c r="M243" s="4" t="n">
        <v>58</v>
      </c>
      <c r="N243" s="4" t="n">
        <v>0</v>
      </c>
      <c r="O243" s="4" t="n">
        <v>0</v>
      </c>
      <c r="P243" s="4" t="n">
        <v>0</v>
      </c>
      <c r="Q243" s="4" t="n">
        <v>0</v>
      </c>
      <c r="R243" s="4" t="n">
        <f aca="false">M243+N243+O243+P243+Q243</f>
        <v>58</v>
      </c>
      <c r="S243" s="4" t="n">
        <v>18</v>
      </c>
      <c r="T243" s="4" t="n">
        <f aca="false">R243*K243</f>
        <v>25868000</v>
      </c>
      <c r="U243" s="9" t="n">
        <f aca="false">IFERROR(M243/S243,0)</f>
        <v>3.22222222222222</v>
      </c>
      <c r="V243" s="5" t="n">
        <v>0.2578</v>
      </c>
    </row>
    <row r="244" customFormat="false" ht="15" hidden="false" customHeight="false" outlineLevel="0" collapsed="false">
      <c r="A244" s="8" t="s">
        <v>75</v>
      </c>
      <c r="B244" s="8" t="s">
        <v>22</v>
      </c>
      <c r="C244" s="8" t="s">
        <v>1098</v>
      </c>
      <c r="D244" s="8" t="n">
        <v>134091</v>
      </c>
      <c r="E244" s="8" t="s">
        <v>1137</v>
      </c>
      <c r="F244" s="8" t="s">
        <v>809</v>
      </c>
      <c r="G244" s="8" t="s">
        <v>961</v>
      </c>
      <c r="H244" s="8" t="s">
        <v>51</v>
      </c>
      <c r="I244" s="8" t="s">
        <v>76</v>
      </c>
      <c r="J244" s="4" t="n">
        <v>70000</v>
      </c>
      <c r="K244" s="4" t="n">
        <v>63000</v>
      </c>
      <c r="L244" s="5" t="n">
        <v>0.1</v>
      </c>
      <c r="M244" s="4" t="n">
        <v>58</v>
      </c>
      <c r="N244" s="4" t="n">
        <v>0</v>
      </c>
      <c r="O244" s="4" t="n">
        <v>0</v>
      </c>
      <c r="P244" s="4" t="n">
        <v>0</v>
      </c>
      <c r="Q244" s="4" t="n">
        <v>0</v>
      </c>
      <c r="R244" s="4" t="n">
        <f aca="false">M244+N244+O244+P244+Q244</f>
        <v>58</v>
      </c>
      <c r="S244" s="4" t="n">
        <v>12</v>
      </c>
      <c r="T244" s="4" t="n">
        <f aca="false">R244*K244</f>
        <v>3654000</v>
      </c>
      <c r="U244" s="9" t="n">
        <f aca="false">IFERROR(M244/S244,0)</f>
        <v>4.83333333333333</v>
      </c>
      <c r="V244" s="5" t="n">
        <v>0.254</v>
      </c>
    </row>
    <row r="245" customFormat="false" ht="15" hidden="false" customHeight="false" outlineLevel="0" collapsed="false">
      <c r="A245" s="8" t="s">
        <v>75</v>
      </c>
      <c r="B245" s="8" t="s">
        <v>22</v>
      </c>
      <c r="C245" s="8" t="s">
        <v>1098</v>
      </c>
      <c r="D245" s="8" t="n">
        <v>133584</v>
      </c>
      <c r="E245" s="8" t="s">
        <v>1138</v>
      </c>
      <c r="F245" s="8" t="s">
        <v>809</v>
      </c>
      <c r="G245" s="8" t="s">
        <v>961</v>
      </c>
      <c r="H245" s="8" t="s">
        <v>51</v>
      </c>
      <c r="I245" s="8" t="s">
        <v>76</v>
      </c>
      <c r="J245" s="4" t="n">
        <v>245000</v>
      </c>
      <c r="K245" s="4" t="n">
        <v>221000</v>
      </c>
      <c r="L245" s="5" t="n">
        <v>0.1</v>
      </c>
      <c r="M245" s="4" t="n">
        <v>58</v>
      </c>
      <c r="N245" s="4" t="n">
        <v>0</v>
      </c>
      <c r="O245" s="4" t="n">
        <v>0</v>
      </c>
      <c r="P245" s="4" t="n">
        <v>0</v>
      </c>
      <c r="Q245" s="4" t="n">
        <v>0</v>
      </c>
      <c r="R245" s="4" t="n">
        <f aca="false">M245+N245+O245+P245+Q245</f>
        <v>58</v>
      </c>
      <c r="S245" s="4" t="n">
        <v>18</v>
      </c>
      <c r="T245" s="4" t="n">
        <f aca="false">R245*K245</f>
        <v>12818000</v>
      </c>
      <c r="U245" s="9" t="n">
        <f aca="false">IFERROR(M245/S245,0)</f>
        <v>3.22222222222222</v>
      </c>
      <c r="V245" s="5" t="n">
        <v>0.1448</v>
      </c>
    </row>
    <row r="246" customFormat="false" ht="15" hidden="false" customHeight="false" outlineLevel="0" collapsed="false">
      <c r="A246" s="8" t="s">
        <v>75</v>
      </c>
      <c r="B246" s="8" t="s">
        <v>22</v>
      </c>
      <c r="C246" s="8" t="s">
        <v>1098</v>
      </c>
      <c r="D246" s="8" t="n">
        <v>176331</v>
      </c>
      <c r="E246" s="8" t="s">
        <v>1139</v>
      </c>
      <c r="F246" s="8" t="s">
        <v>809</v>
      </c>
      <c r="G246" s="8" t="s">
        <v>961</v>
      </c>
      <c r="H246" s="8" t="s">
        <v>51</v>
      </c>
      <c r="I246" s="8" t="s">
        <v>76</v>
      </c>
      <c r="J246" s="4" t="n">
        <v>465000</v>
      </c>
      <c r="K246" s="4" t="n">
        <v>419000</v>
      </c>
      <c r="L246" s="5" t="n">
        <v>0.1</v>
      </c>
      <c r="M246" s="4" t="n">
        <v>55</v>
      </c>
      <c r="N246" s="4" t="n">
        <v>0</v>
      </c>
      <c r="O246" s="4" t="n">
        <v>0</v>
      </c>
      <c r="P246" s="4" t="n">
        <v>0</v>
      </c>
      <c r="Q246" s="4" t="n">
        <v>0</v>
      </c>
      <c r="R246" s="4" t="n">
        <f aca="false">M246+N246+O246+P246+Q246</f>
        <v>55</v>
      </c>
      <c r="S246" s="4" t="n">
        <v>21</v>
      </c>
      <c r="T246" s="4" t="n">
        <f aca="false">R246*K246</f>
        <v>23045000</v>
      </c>
      <c r="U246" s="9" t="n">
        <f aca="false">IFERROR(M246/S246,0)</f>
        <v>2.61904761904762</v>
      </c>
      <c r="V246" s="5" t="n">
        <v>0.1957</v>
      </c>
    </row>
    <row r="247" customFormat="false" ht="15" hidden="false" customHeight="false" outlineLevel="0" collapsed="false">
      <c r="A247" s="8" t="s">
        <v>75</v>
      </c>
      <c r="B247" s="8" t="s">
        <v>22</v>
      </c>
      <c r="C247" s="8" t="s">
        <v>1098</v>
      </c>
      <c r="D247" s="8" t="n">
        <v>133792</v>
      </c>
      <c r="E247" s="8" t="s">
        <v>1140</v>
      </c>
      <c r="F247" s="8" t="s">
        <v>809</v>
      </c>
      <c r="G247" s="8" t="s">
        <v>961</v>
      </c>
      <c r="H247" s="8" t="s">
        <v>51</v>
      </c>
      <c r="I247" s="8" t="s">
        <v>76</v>
      </c>
      <c r="J247" s="4" t="n">
        <v>175000</v>
      </c>
      <c r="K247" s="4" t="n">
        <v>158000</v>
      </c>
      <c r="L247" s="5" t="n">
        <v>0.1</v>
      </c>
      <c r="M247" s="4" t="n">
        <v>48</v>
      </c>
      <c r="N247" s="4" t="n">
        <v>0</v>
      </c>
      <c r="O247" s="4" t="n">
        <v>3</v>
      </c>
      <c r="P247" s="4" t="n">
        <v>0</v>
      </c>
      <c r="Q247" s="4" t="n">
        <v>2</v>
      </c>
      <c r="R247" s="4" t="n">
        <f aca="false">M247+N247+O247+P247+Q247</f>
        <v>53</v>
      </c>
      <c r="S247" s="4" t="n">
        <v>19</v>
      </c>
      <c r="T247" s="4" t="n">
        <f aca="false">R247*K247</f>
        <v>8374000</v>
      </c>
      <c r="U247" s="9" t="n">
        <f aca="false">IFERROR(M247/S247,0)</f>
        <v>2.52631578947368</v>
      </c>
      <c r="V247" s="5" t="n">
        <v>0.1772</v>
      </c>
    </row>
    <row r="248" customFormat="false" ht="15" hidden="false" customHeight="false" outlineLevel="0" collapsed="false">
      <c r="A248" s="8" t="s">
        <v>75</v>
      </c>
      <c r="B248" s="8" t="s">
        <v>22</v>
      </c>
      <c r="C248" s="8" t="s">
        <v>1098</v>
      </c>
      <c r="D248" s="8" t="n">
        <v>134159</v>
      </c>
      <c r="E248" s="8" t="s">
        <v>1141</v>
      </c>
      <c r="F248" s="8" t="s">
        <v>809</v>
      </c>
      <c r="G248" s="8" t="s">
        <v>961</v>
      </c>
      <c r="H248" s="8" t="s">
        <v>51</v>
      </c>
      <c r="I248" s="8" t="s">
        <v>76</v>
      </c>
      <c r="J248" s="4" t="n">
        <v>1386000</v>
      </c>
      <c r="K248" s="4" t="n">
        <v>1248000</v>
      </c>
      <c r="L248" s="5" t="n">
        <v>0.1</v>
      </c>
      <c r="M248" s="4" t="n">
        <v>52</v>
      </c>
      <c r="N248" s="4" t="n">
        <v>0</v>
      </c>
      <c r="O248" s="4" t="n">
        <v>0</v>
      </c>
      <c r="P248" s="4" t="n">
        <v>0</v>
      </c>
      <c r="Q248" s="4" t="n">
        <v>0</v>
      </c>
      <c r="R248" s="4" t="n">
        <f aca="false">M248+N248+O248+P248+Q248</f>
        <v>52</v>
      </c>
      <c r="S248" s="4" t="n">
        <v>14</v>
      </c>
      <c r="T248" s="4" t="n">
        <f aca="false">R248*K248</f>
        <v>64896000</v>
      </c>
      <c r="U248" s="9" t="n">
        <f aca="false">IFERROR(M248/S248,0)</f>
        <v>3.71428571428571</v>
      </c>
      <c r="V248" s="5" t="n">
        <v>0.2051</v>
      </c>
    </row>
    <row r="249" customFormat="false" ht="15" hidden="false" customHeight="false" outlineLevel="0" collapsed="false">
      <c r="A249" s="8" t="s">
        <v>75</v>
      </c>
      <c r="B249" s="8" t="s">
        <v>22</v>
      </c>
      <c r="C249" s="8" t="s">
        <v>1098</v>
      </c>
      <c r="D249" s="8" t="n">
        <v>134161</v>
      </c>
      <c r="E249" s="8" t="s">
        <v>1142</v>
      </c>
      <c r="F249" s="8" t="s">
        <v>809</v>
      </c>
      <c r="G249" s="8" t="s">
        <v>961</v>
      </c>
      <c r="H249" s="8" t="s">
        <v>51</v>
      </c>
      <c r="I249" s="8" t="s">
        <v>76</v>
      </c>
      <c r="J249" s="4" t="n">
        <v>415000</v>
      </c>
      <c r="K249" s="4" t="n">
        <v>374000</v>
      </c>
      <c r="L249" s="5" t="n">
        <v>0.1</v>
      </c>
      <c r="M249" s="4" t="n">
        <v>52</v>
      </c>
      <c r="N249" s="4" t="n">
        <v>0</v>
      </c>
      <c r="O249" s="4" t="n">
        <v>0</v>
      </c>
      <c r="P249" s="4" t="n">
        <v>0</v>
      </c>
      <c r="Q249" s="4" t="n">
        <v>0</v>
      </c>
      <c r="R249" s="4" t="n">
        <f aca="false">M249+N249+O249+P249+Q249</f>
        <v>52</v>
      </c>
      <c r="S249" s="4" t="n">
        <v>16</v>
      </c>
      <c r="T249" s="4" t="n">
        <f aca="false">R249*K249</f>
        <v>19448000</v>
      </c>
      <c r="U249" s="9" t="n">
        <f aca="false">IFERROR(M249/S249,0)</f>
        <v>3.25</v>
      </c>
      <c r="V249" s="5" t="n">
        <v>0.1622</v>
      </c>
    </row>
    <row r="250" customFormat="false" ht="15" hidden="false" customHeight="false" outlineLevel="0" collapsed="false">
      <c r="A250" s="8" t="s">
        <v>75</v>
      </c>
      <c r="B250" s="8" t="s">
        <v>22</v>
      </c>
      <c r="C250" s="8" t="s">
        <v>1098</v>
      </c>
      <c r="D250" s="8" t="n">
        <v>176318</v>
      </c>
      <c r="E250" s="8" t="s">
        <v>1143</v>
      </c>
      <c r="F250" s="8" t="s">
        <v>809</v>
      </c>
      <c r="G250" s="8" t="s">
        <v>961</v>
      </c>
      <c r="H250" s="8" t="s">
        <v>51</v>
      </c>
      <c r="I250" s="8" t="s">
        <v>76</v>
      </c>
      <c r="J250" s="4" t="n">
        <v>105000</v>
      </c>
      <c r="K250" s="4" t="n">
        <v>95000</v>
      </c>
      <c r="L250" s="5" t="n">
        <v>0.1</v>
      </c>
      <c r="M250" s="4" t="n">
        <v>52</v>
      </c>
      <c r="N250" s="4" t="n">
        <v>0</v>
      </c>
      <c r="O250" s="4" t="n">
        <v>0</v>
      </c>
      <c r="P250" s="4" t="n">
        <v>0</v>
      </c>
      <c r="Q250" s="4" t="n">
        <v>0</v>
      </c>
      <c r="R250" s="4" t="n">
        <f aca="false">M250+N250+O250+P250+Q250</f>
        <v>52</v>
      </c>
      <c r="S250" s="4" t="n">
        <v>18</v>
      </c>
      <c r="T250" s="4" t="n">
        <f aca="false">R250*K250</f>
        <v>4940000</v>
      </c>
      <c r="U250" s="9" t="n">
        <f aca="false">IFERROR(M250/S250,0)</f>
        <v>2.88888888888889</v>
      </c>
      <c r="V250" s="5" t="n">
        <v>0.1158</v>
      </c>
    </row>
    <row r="251" customFormat="false" ht="15" hidden="false" customHeight="false" outlineLevel="0" collapsed="false">
      <c r="A251" s="8" t="s">
        <v>75</v>
      </c>
      <c r="B251" s="8" t="s">
        <v>22</v>
      </c>
      <c r="C251" s="8" t="s">
        <v>1098</v>
      </c>
      <c r="D251" s="8" t="n">
        <v>134150</v>
      </c>
      <c r="E251" s="8" t="s">
        <v>1144</v>
      </c>
      <c r="F251" s="8" t="s">
        <v>809</v>
      </c>
      <c r="G251" s="8" t="s">
        <v>961</v>
      </c>
      <c r="H251" s="8" t="s">
        <v>51</v>
      </c>
      <c r="I251" s="8" t="s">
        <v>76</v>
      </c>
      <c r="J251" s="4" t="n">
        <v>1270000</v>
      </c>
      <c r="K251" s="4" t="n">
        <v>1143000</v>
      </c>
      <c r="L251" s="5" t="n">
        <v>0.1</v>
      </c>
      <c r="M251" s="4" t="n">
        <v>51</v>
      </c>
      <c r="N251" s="4" t="n">
        <v>0</v>
      </c>
      <c r="O251" s="4" t="n">
        <v>0</v>
      </c>
      <c r="P251" s="4" t="n">
        <v>0</v>
      </c>
      <c r="Q251" s="4" t="n">
        <v>0</v>
      </c>
      <c r="R251" s="4" t="n">
        <f aca="false">M251+N251+O251+P251+Q251</f>
        <v>51</v>
      </c>
      <c r="S251" s="4" t="n">
        <v>15</v>
      </c>
      <c r="T251" s="4" t="n">
        <f aca="false">R251*K251</f>
        <v>58293000</v>
      </c>
      <c r="U251" s="9" t="n">
        <f aca="false">IFERROR(M251/S251,0)</f>
        <v>3.4</v>
      </c>
      <c r="V251" s="5" t="n">
        <v>0.2047</v>
      </c>
    </row>
    <row r="252" customFormat="false" ht="15" hidden="false" customHeight="false" outlineLevel="0" collapsed="false">
      <c r="A252" s="8" t="s">
        <v>75</v>
      </c>
      <c r="B252" s="8" t="s">
        <v>22</v>
      </c>
      <c r="C252" s="8" t="s">
        <v>1098</v>
      </c>
      <c r="D252" s="8" t="n">
        <v>176319</v>
      </c>
      <c r="E252" s="8" t="s">
        <v>1145</v>
      </c>
      <c r="F252" s="8" t="s">
        <v>809</v>
      </c>
      <c r="G252" s="8" t="s">
        <v>961</v>
      </c>
      <c r="H252" s="8" t="s">
        <v>51</v>
      </c>
      <c r="I252" s="8" t="s">
        <v>76</v>
      </c>
      <c r="J252" s="4" t="n">
        <v>80000</v>
      </c>
      <c r="K252" s="4" t="n">
        <v>72000</v>
      </c>
      <c r="L252" s="5" t="n">
        <v>0.1</v>
      </c>
      <c r="M252" s="4" t="n">
        <v>51</v>
      </c>
      <c r="N252" s="4" t="n">
        <v>0</v>
      </c>
      <c r="O252" s="4" t="n">
        <v>0</v>
      </c>
      <c r="P252" s="4" t="n">
        <v>0</v>
      </c>
      <c r="Q252" s="4" t="n">
        <v>0</v>
      </c>
      <c r="R252" s="4" t="n">
        <f aca="false">M252+N252+O252+P252+Q252</f>
        <v>51</v>
      </c>
      <c r="S252" s="4" t="n">
        <v>15</v>
      </c>
      <c r="T252" s="4" t="n">
        <f aca="false">R252*K252</f>
        <v>3672000</v>
      </c>
      <c r="U252" s="9" t="n">
        <f aca="false">IFERROR(M252/S252,0)</f>
        <v>3.4</v>
      </c>
      <c r="V252" s="5" t="n">
        <v>0.1389</v>
      </c>
    </row>
    <row r="253" customFormat="false" ht="15" hidden="false" customHeight="false" outlineLevel="0" collapsed="false">
      <c r="A253" s="8" t="s">
        <v>75</v>
      </c>
      <c r="B253" s="8" t="s">
        <v>22</v>
      </c>
      <c r="C253" s="8" t="s">
        <v>1098</v>
      </c>
      <c r="D253" s="8" t="n">
        <v>133790</v>
      </c>
      <c r="E253" s="8" t="s">
        <v>1146</v>
      </c>
      <c r="F253" s="8" t="s">
        <v>809</v>
      </c>
      <c r="G253" s="8" t="s">
        <v>961</v>
      </c>
      <c r="H253" s="8" t="s">
        <v>51</v>
      </c>
      <c r="I253" s="8" t="s">
        <v>76</v>
      </c>
      <c r="J253" s="4" t="n">
        <v>190000</v>
      </c>
      <c r="K253" s="4" t="n">
        <v>171000</v>
      </c>
      <c r="L253" s="5" t="n">
        <v>0.1</v>
      </c>
      <c r="M253" s="4" t="n">
        <v>46</v>
      </c>
      <c r="N253" s="4" t="n">
        <v>0</v>
      </c>
      <c r="O253" s="4" t="n">
        <v>0</v>
      </c>
      <c r="P253" s="4" t="n">
        <v>0</v>
      </c>
      <c r="Q253" s="4" t="n">
        <v>3</v>
      </c>
      <c r="R253" s="4" t="n">
        <f aca="false">M253+N253+O253+P253+Q253</f>
        <v>49</v>
      </c>
      <c r="S253" s="4" t="n">
        <v>18</v>
      </c>
      <c r="T253" s="4" t="n">
        <f aca="false">R253*K253</f>
        <v>8379000</v>
      </c>
      <c r="U253" s="9" t="n">
        <f aca="false">IFERROR(M253/S253,0)</f>
        <v>2.55555555555556</v>
      </c>
      <c r="V253" s="5" t="n">
        <v>0.1813</v>
      </c>
    </row>
    <row r="254" customFormat="false" ht="15" hidden="false" customHeight="false" outlineLevel="0" collapsed="false">
      <c r="A254" s="8" t="s">
        <v>75</v>
      </c>
      <c r="B254" s="8" t="s">
        <v>22</v>
      </c>
      <c r="C254" s="8" t="s">
        <v>1098</v>
      </c>
      <c r="D254" s="8" t="n">
        <v>134164</v>
      </c>
      <c r="E254" s="8" t="s">
        <v>1147</v>
      </c>
      <c r="F254" s="8" t="s">
        <v>809</v>
      </c>
      <c r="G254" s="8" t="s">
        <v>961</v>
      </c>
      <c r="H254" s="8" t="s">
        <v>51</v>
      </c>
      <c r="I254" s="8" t="s">
        <v>76</v>
      </c>
      <c r="J254" s="4" t="n">
        <v>631000</v>
      </c>
      <c r="K254" s="4" t="n">
        <v>568000</v>
      </c>
      <c r="L254" s="5" t="n">
        <v>0.1</v>
      </c>
      <c r="M254" s="4" t="n">
        <v>48</v>
      </c>
      <c r="N254" s="4" t="n">
        <v>0</v>
      </c>
      <c r="O254" s="4" t="n">
        <v>0</v>
      </c>
      <c r="P254" s="4" t="n">
        <v>0</v>
      </c>
      <c r="Q254" s="4" t="n">
        <v>0</v>
      </c>
      <c r="R254" s="4" t="n">
        <f aca="false">M254+N254+O254+P254+Q254</f>
        <v>48</v>
      </c>
      <c r="S254" s="4" t="n">
        <v>16</v>
      </c>
      <c r="T254" s="4" t="n">
        <f aca="false">R254*K254</f>
        <v>27264000</v>
      </c>
      <c r="U254" s="9" t="n">
        <f aca="false">IFERROR(M254/S254,0)</f>
        <v>3</v>
      </c>
      <c r="V254" s="5" t="n">
        <v>0.162</v>
      </c>
    </row>
    <row r="255" customFormat="false" ht="15" hidden="false" customHeight="false" outlineLevel="0" collapsed="false">
      <c r="A255" s="8" t="s">
        <v>75</v>
      </c>
      <c r="B255" s="8" t="s">
        <v>22</v>
      </c>
      <c r="C255" s="8" t="s">
        <v>1098</v>
      </c>
      <c r="D255" s="8" t="n">
        <v>134154</v>
      </c>
      <c r="E255" s="8" t="s">
        <v>1148</v>
      </c>
      <c r="F255" s="8" t="s">
        <v>809</v>
      </c>
      <c r="G255" s="8" t="s">
        <v>961</v>
      </c>
      <c r="H255" s="8" t="s">
        <v>51</v>
      </c>
      <c r="I255" s="8" t="s">
        <v>76</v>
      </c>
      <c r="J255" s="4" t="n">
        <v>559000</v>
      </c>
      <c r="K255" s="4" t="n">
        <v>504000</v>
      </c>
      <c r="L255" s="5" t="n">
        <v>0.1</v>
      </c>
      <c r="M255" s="4" t="n">
        <v>44</v>
      </c>
      <c r="N255" s="4" t="n">
        <v>0</v>
      </c>
      <c r="O255" s="4" t="n">
        <v>0</v>
      </c>
      <c r="P255" s="4" t="n">
        <v>0</v>
      </c>
      <c r="Q255" s="4" t="n">
        <v>0</v>
      </c>
      <c r="R255" s="4" t="n">
        <f aca="false">M255+N255+O255+P255+Q255</f>
        <v>44</v>
      </c>
      <c r="S255" s="4" t="n">
        <v>17</v>
      </c>
      <c r="T255" s="4" t="n">
        <f aca="false">R255*K255</f>
        <v>22176000</v>
      </c>
      <c r="U255" s="9" t="n">
        <f aca="false">IFERROR(M255/S255,0)</f>
        <v>2.58823529411765</v>
      </c>
      <c r="V255" s="5" t="n">
        <v>0.1627</v>
      </c>
    </row>
    <row r="256" customFormat="false" ht="15" hidden="false" customHeight="false" outlineLevel="0" collapsed="false">
      <c r="A256" s="8" t="s">
        <v>75</v>
      </c>
      <c r="B256" s="8" t="s">
        <v>22</v>
      </c>
      <c r="C256" s="8" t="s">
        <v>1098</v>
      </c>
      <c r="D256" s="8" t="n">
        <v>133583</v>
      </c>
      <c r="E256" s="8" t="s">
        <v>1149</v>
      </c>
      <c r="F256" s="8" t="s">
        <v>809</v>
      </c>
      <c r="G256" s="8" t="s">
        <v>961</v>
      </c>
      <c r="H256" s="8" t="s">
        <v>51</v>
      </c>
      <c r="I256" s="8" t="s">
        <v>76</v>
      </c>
      <c r="J256" s="4" t="n">
        <v>245000</v>
      </c>
      <c r="K256" s="4" t="n">
        <v>221000</v>
      </c>
      <c r="L256" s="5" t="n">
        <v>0.1</v>
      </c>
      <c r="M256" s="4" t="n">
        <v>40</v>
      </c>
      <c r="N256" s="4" t="n">
        <v>0</v>
      </c>
      <c r="O256" s="4" t="n">
        <v>0</v>
      </c>
      <c r="P256" s="4" t="n">
        <v>0</v>
      </c>
      <c r="Q256" s="4" t="n">
        <v>0</v>
      </c>
      <c r="R256" s="4" t="n">
        <f aca="false">M256+N256+O256+P256+Q256</f>
        <v>40</v>
      </c>
      <c r="S256" s="4" t="n">
        <v>15</v>
      </c>
      <c r="T256" s="4" t="n">
        <f aca="false">R256*K256</f>
        <v>8840000</v>
      </c>
      <c r="U256" s="9" t="n">
        <f aca="false">IFERROR(M256/S256,0)</f>
        <v>2.66666666666667</v>
      </c>
      <c r="V256" s="5" t="n">
        <v>0.1448</v>
      </c>
    </row>
    <row r="257" customFormat="false" ht="15" hidden="false" customHeight="false" outlineLevel="0" collapsed="false">
      <c r="A257" s="8" t="s">
        <v>75</v>
      </c>
      <c r="B257" s="8" t="s">
        <v>22</v>
      </c>
      <c r="C257" s="8" t="s">
        <v>1098</v>
      </c>
      <c r="D257" s="8" t="n">
        <v>174013</v>
      </c>
      <c r="E257" s="8" t="s">
        <v>1150</v>
      </c>
      <c r="F257" s="8" t="s">
        <v>809</v>
      </c>
      <c r="G257" s="8" t="s">
        <v>961</v>
      </c>
      <c r="H257" s="8" t="s">
        <v>51</v>
      </c>
      <c r="I257" s="8" t="s">
        <v>76</v>
      </c>
      <c r="J257" s="4" t="n">
        <v>520000</v>
      </c>
      <c r="K257" s="4" t="n">
        <v>468000</v>
      </c>
      <c r="L257" s="5" t="n">
        <v>0.1</v>
      </c>
      <c r="M257" s="4" t="n">
        <v>39</v>
      </c>
      <c r="N257" s="4" t="n">
        <v>0</v>
      </c>
      <c r="O257" s="4" t="n">
        <v>0</v>
      </c>
      <c r="P257" s="4" t="n">
        <v>0</v>
      </c>
      <c r="Q257" s="4" t="n">
        <v>0</v>
      </c>
      <c r="R257" s="4" t="n">
        <f aca="false">M257+N257+O257+P257+Q257</f>
        <v>39</v>
      </c>
      <c r="S257" s="4" t="n">
        <v>15</v>
      </c>
      <c r="T257" s="4" t="n">
        <f aca="false">R257*K257</f>
        <v>18252000</v>
      </c>
      <c r="U257" s="9" t="n">
        <f aca="false">IFERROR(M257/S257,0)</f>
        <v>2.6</v>
      </c>
      <c r="V257" s="5" t="n">
        <v>0.2778</v>
      </c>
    </row>
    <row r="258" customFormat="false" ht="15" hidden="false" customHeight="false" outlineLevel="0" collapsed="false">
      <c r="A258" s="8" t="s">
        <v>75</v>
      </c>
      <c r="B258" s="8" t="s">
        <v>22</v>
      </c>
      <c r="C258" s="8" t="s">
        <v>1098</v>
      </c>
      <c r="D258" s="8" t="n">
        <v>134163</v>
      </c>
      <c r="E258" s="8" t="s">
        <v>1151</v>
      </c>
      <c r="F258" s="8" t="s">
        <v>809</v>
      </c>
      <c r="G258" s="8" t="s">
        <v>961</v>
      </c>
      <c r="H258" s="8" t="s">
        <v>51</v>
      </c>
      <c r="I258" s="8" t="s">
        <v>76</v>
      </c>
      <c r="J258" s="4" t="n">
        <v>433000</v>
      </c>
      <c r="K258" s="4" t="n">
        <v>390000</v>
      </c>
      <c r="L258" s="5" t="n">
        <v>0.1</v>
      </c>
      <c r="M258" s="4" t="n">
        <v>39</v>
      </c>
      <c r="N258" s="4" t="n">
        <v>0</v>
      </c>
      <c r="O258" s="4" t="n">
        <v>0</v>
      </c>
      <c r="P258" s="4" t="n">
        <v>0</v>
      </c>
      <c r="Q258" s="4" t="n">
        <v>0</v>
      </c>
      <c r="R258" s="4" t="n">
        <f aca="false">M258+N258+O258+P258+Q258</f>
        <v>39</v>
      </c>
      <c r="S258" s="4" t="n">
        <v>14</v>
      </c>
      <c r="T258" s="4" t="n">
        <f aca="false">R258*K258</f>
        <v>15210000</v>
      </c>
      <c r="U258" s="9" t="n">
        <f aca="false">IFERROR(M258/S258,0)</f>
        <v>2.78571428571429</v>
      </c>
      <c r="V258" s="5" t="n">
        <v>0.1631</v>
      </c>
    </row>
    <row r="259" customFormat="false" ht="15" hidden="false" customHeight="false" outlineLevel="0" collapsed="false">
      <c r="A259" s="8" t="s">
        <v>75</v>
      </c>
      <c r="B259" s="8" t="s">
        <v>22</v>
      </c>
      <c r="C259" s="8" t="s">
        <v>1098</v>
      </c>
      <c r="D259" s="8" t="n">
        <v>134162</v>
      </c>
      <c r="E259" s="8" t="s">
        <v>1152</v>
      </c>
      <c r="F259" s="8" t="s">
        <v>809</v>
      </c>
      <c r="G259" s="8" t="s">
        <v>961</v>
      </c>
      <c r="H259" s="8" t="s">
        <v>51</v>
      </c>
      <c r="I259" s="8" t="s">
        <v>76</v>
      </c>
      <c r="J259" s="4" t="n">
        <v>419000</v>
      </c>
      <c r="K259" s="4" t="n">
        <v>378000</v>
      </c>
      <c r="L259" s="5" t="n">
        <v>0.1</v>
      </c>
      <c r="M259" s="4" t="n">
        <v>35</v>
      </c>
      <c r="N259" s="4" t="n">
        <v>0</v>
      </c>
      <c r="O259" s="4" t="n">
        <v>0</v>
      </c>
      <c r="P259" s="4" t="n">
        <v>0</v>
      </c>
      <c r="Q259" s="4" t="n">
        <v>0</v>
      </c>
      <c r="R259" s="4" t="n">
        <f aca="false">M259+N259+O259+P259+Q259</f>
        <v>35</v>
      </c>
      <c r="S259" s="4" t="n">
        <v>13</v>
      </c>
      <c r="T259" s="4" t="n">
        <f aca="false">R259*K259</f>
        <v>13230000</v>
      </c>
      <c r="U259" s="9" t="n">
        <f aca="false">IFERROR(M259/S259,0)</f>
        <v>2.69230769230769</v>
      </c>
      <c r="V259" s="5" t="n">
        <v>0.1643</v>
      </c>
    </row>
    <row r="260" customFormat="false" ht="15" hidden="false" customHeight="false" outlineLevel="0" collapsed="false">
      <c r="A260" s="8" t="s">
        <v>75</v>
      </c>
      <c r="B260" s="8" t="s">
        <v>22</v>
      </c>
      <c r="C260" s="8" t="s">
        <v>1098</v>
      </c>
      <c r="D260" s="8" t="n">
        <v>176326</v>
      </c>
      <c r="E260" s="8" t="s">
        <v>1153</v>
      </c>
      <c r="F260" s="8" t="s">
        <v>809</v>
      </c>
      <c r="G260" s="8" t="s">
        <v>961</v>
      </c>
      <c r="H260" s="8" t="s">
        <v>51</v>
      </c>
      <c r="I260" s="8" t="s">
        <v>76</v>
      </c>
      <c r="J260" s="4" t="n">
        <v>89000</v>
      </c>
      <c r="K260" s="4" t="n">
        <v>81000</v>
      </c>
      <c r="L260" s="5" t="n">
        <v>0.1</v>
      </c>
      <c r="M260" s="4" t="n">
        <v>34</v>
      </c>
      <c r="N260" s="4" t="n">
        <v>0</v>
      </c>
      <c r="O260" s="4" t="n">
        <v>0</v>
      </c>
      <c r="P260" s="4" t="n">
        <v>0</v>
      </c>
      <c r="Q260" s="4" t="n">
        <v>0</v>
      </c>
      <c r="R260" s="4" t="n">
        <f aca="false">M260+N260+O260+P260+Q260</f>
        <v>34</v>
      </c>
      <c r="S260" s="4" t="n">
        <v>15</v>
      </c>
      <c r="T260" s="4" t="n">
        <f aca="false">R260*K260</f>
        <v>2754000</v>
      </c>
      <c r="U260" s="9" t="n">
        <f aca="false">IFERROR(M260/S260,0)</f>
        <v>2.26666666666667</v>
      </c>
      <c r="V260" s="5" t="n">
        <v>0.1605</v>
      </c>
    </row>
    <row r="261" customFormat="false" ht="15" hidden="false" customHeight="false" outlineLevel="0" collapsed="false">
      <c r="A261" s="8" t="s">
        <v>75</v>
      </c>
      <c r="B261" s="8" t="s">
        <v>22</v>
      </c>
      <c r="C261" s="8" t="s">
        <v>1098</v>
      </c>
      <c r="D261" s="8" t="n">
        <v>133565</v>
      </c>
      <c r="E261" s="8" t="s">
        <v>1154</v>
      </c>
      <c r="F261" s="8" t="s">
        <v>767</v>
      </c>
      <c r="G261" s="8" t="s">
        <v>961</v>
      </c>
      <c r="H261" s="8" t="s">
        <v>51</v>
      </c>
      <c r="I261" s="8" t="s">
        <v>76</v>
      </c>
      <c r="J261" s="4" t="n">
        <v>70000</v>
      </c>
      <c r="K261" s="4" t="n">
        <v>63000</v>
      </c>
      <c r="L261" s="5" t="n">
        <v>0.1</v>
      </c>
      <c r="M261" s="4" t="n">
        <v>33</v>
      </c>
      <c r="N261" s="4" t="n">
        <v>0</v>
      </c>
      <c r="O261" s="4" t="n">
        <v>0</v>
      </c>
      <c r="P261" s="4" t="n">
        <v>0</v>
      </c>
      <c r="Q261" s="4" t="n">
        <v>0</v>
      </c>
      <c r="R261" s="4" t="n">
        <f aca="false">M261+N261+O261+P261+Q261</f>
        <v>33</v>
      </c>
      <c r="S261" s="4" t="n">
        <v>6</v>
      </c>
      <c r="T261" s="4" t="n">
        <f aca="false">R261*K261</f>
        <v>2079000</v>
      </c>
      <c r="U261" s="9" t="n">
        <f aca="false">IFERROR(M261/S261,0)</f>
        <v>5.5</v>
      </c>
      <c r="V261" s="5" t="n">
        <v>0.254</v>
      </c>
    </row>
    <row r="262" customFormat="false" ht="15" hidden="false" customHeight="false" outlineLevel="0" collapsed="false">
      <c r="A262" s="8" t="s">
        <v>75</v>
      </c>
      <c r="B262" s="8" t="s">
        <v>22</v>
      </c>
      <c r="C262" s="8" t="s">
        <v>1098</v>
      </c>
      <c r="D262" s="8" t="n">
        <v>133120</v>
      </c>
      <c r="E262" s="8" t="s">
        <v>1155</v>
      </c>
      <c r="F262" s="8" t="s">
        <v>809</v>
      </c>
      <c r="G262" s="8" t="s">
        <v>961</v>
      </c>
      <c r="H262" s="8" t="s">
        <v>51</v>
      </c>
      <c r="I262" s="8" t="s">
        <v>76</v>
      </c>
      <c r="J262" s="4" t="n">
        <v>495000</v>
      </c>
      <c r="K262" s="4" t="n">
        <v>446000</v>
      </c>
      <c r="L262" s="5" t="n">
        <v>0.1</v>
      </c>
      <c r="M262" s="4" t="n">
        <v>27</v>
      </c>
      <c r="N262" s="4" t="n">
        <v>0</v>
      </c>
      <c r="O262" s="4" t="n">
        <v>0</v>
      </c>
      <c r="P262" s="4" t="n">
        <v>0</v>
      </c>
      <c r="Q262" s="4" t="n">
        <v>3</v>
      </c>
      <c r="R262" s="4" t="n">
        <f aca="false">M262+N262+O262+P262+Q262</f>
        <v>30</v>
      </c>
      <c r="S262" s="4" t="n">
        <v>11</v>
      </c>
      <c r="T262" s="4" t="n">
        <f aca="false">R262*K262</f>
        <v>13380000</v>
      </c>
      <c r="U262" s="9" t="n">
        <f aca="false">IFERROR(M262/S262,0)</f>
        <v>2.45454545454545</v>
      </c>
      <c r="V262" s="5" t="n">
        <v>0.2578</v>
      </c>
    </row>
    <row r="263" customFormat="false" ht="15" hidden="false" customHeight="false" outlineLevel="0" collapsed="false">
      <c r="A263" s="8" t="s">
        <v>75</v>
      </c>
      <c r="B263" s="8" t="s">
        <v>22</v>
      </c>
      <c r="C263" s="8" t="s">
        <v>1098</v>
      </c>
      <c r="D263" s="8" t="n">
        <v>134165</v>
      </c>
      <c r="E263" s="8" t="s">
        <v>1156</v>
      </c>
      <c r="F263" s="8" t="s">
        <v>809</v>
      </c>
      <c r="G263" s="8" t="s">
        <v>961</v>
      </c>
      <c r="H263" s="8" t="s">
        <v>51</v>
      </c>
      <c r="I263" s="8" t="s">
        <v>76</v>
      </c>
      <c r="J263" s="4" t="n">
        <v>1109000</v>
      </c>
      <c r="K263" s="4" t="n">
        <v>999000</v>
      </c>
      <c r="L263" s="5" t="n">
        <v>0.1</v>
      </c>
      <c r="M263" s="4" t="n">
        <v>30</v>
      </c>
      <c r="N263" s="4" t="n">
        <v>0</v>
      </c>
      <c r="O263" s="4" t="n">
        <v>0</v>
      </c>
      <c r="P263" s="4" t="n">
        <v>0</v>
      </c>
      <c r="Q263" s="4" t="n">
        <v>0</v>
      </c>
      <c r="R263" s="4" t="n">
        <f aca="false">M263+N263+O263+P263+Q263</f>
        <v>30</v>
      </c>
      <c r="S263" s="4" t="n">
        <v>12</v>
      </c>
      <c r="T263" s="4" t="n">
        <f aca="false">R263*K263</f>
        <v>29970000</v>
      </c>
      <c r="U263" s="9" t="n">
        <f aca="false">IFERROR(M263/S263,0)</f>
        <v>2.5</v>
      </c>
      <c r="V263" s="5" t="n">
        <v>0.1623</v>
      </c>
    </row>
    <row r="264" customFormat="false" ht="15" hidden="false" customHeight="false" outlineLevel="0" collapsed="false">
      <c r="A264" s="8" t="s">
        <v>75</v>
      </c>
      <c r="B264" s="8" t="s">
        <v>22</v>
      </c>
      <c r="C264" s="8" t="s">
        <v>1098</v>
      </c>
      <c r="D264" s="8" t="n">
        <v>134167</v>
      </c>
      <c r="E264" s="8" t="s">
        <v>1157</v>
      </c>
      <c r="F264" s="8" t="s">
        <v>809</v>
      </c>
      <c r="G264" s="8" t="s">
        <v>961</v>
      </c>
      <c r="H264" s="8" t="s">
        <v>51</v>
      </c>
      <c r="I264" s="8" t="s">
        <v>76</v>
      </c>
      <c r="J264" s="4" t="n">
        <v>315000</v>
      </c>
      <c r="K264" s="4" t="n">
        <v>284000</v>
      </c>
      <c r="L264" s="5" t="n">
        <v>0.1</v>
      </c>
      <c r="M264" s="4" t="n">
        <v>27</v>
      </c>
      <c r="N264" s="4" t="n">
        <v>0</v>
      </c>
      <c r="O264" s="4" t="n">
        <v>0</v>
      </c>
      <c r="P264" s="4" t="n">
        <v>0</v>
      </c>
      <c r="Q264" s="4" t="n">
        <v>0</v>
      </c>
      <c r="R264" s="4" t="n">
        <f aca="false">M264+N264+O264+P264+Q264</f>
        <v>27</v>
      </c>
      <c r="S264" s="4" t="n">
        <v>10</v>
      </c>
      <c r="T264" s="4" t="n">
        <f aca="false">R264*K264</f>
        <v>7668000</v>
      </c>
      <c r="U264" s="9" t="n">
        <f aca="false">IFERROR(M264/S264,0)</f>
        <v>2.7</v>
      </c>
      <c r="V264" s="5" t="n">
        <v>0.2261</v>
      </c>
    </row>
    <row r="265" customFormat="false" ht="15" hidden="false" customHeight="false" outlineLevel="0" collapsed="false">
      <c r="A265" s="8" t="s">
        <v>75</v>
      </c>
      <c r="B265" s="8" t="s">
        <v>22</v>
      </c>
      <c r="C265" s="8" t="s">
        <v>1098</v>
      </c>
      <c r="D265" s="8" t="n">
        <v>134169</v>
      </c>
      <c r="E265" s="8" t="s">
        <v>1158</v>
      </c>
      <c r="F265" s="8" t="s">
        <v>809</v>
      </c>
      <c r="G265" s="8" t="s">
        <v>961</v>
      </c>
      <c r="H265" s="8" t="s">
        <v>51</v>
      </c>
      <c r="I265" s="8" t="s">
        <v>76</v>
      </c>
      <c r="J265" s="4" t="n">
        <v>409000</v>
      </c>
      <c r="K265" s="4" t="n">
        <v>369000</v>
      </c>
      <c r="L265" s="5" t="n">
        <v>0.1</v>
      </c>
      <c r="M265" s="4" t="n">
        <v>25</v>
      </c>
      <c r="N265" s="4" t="n">
        <v>0</v>
      </c>
      <c r="O265" s="4" t="n">
        <v>0</v>
      </c>
      <c r="P265" s="4" t="n">
        <v>0</v>
      </c>
      <c r="Q265" s="4" t="n">
        <v>0</v>
      </c>
      <c r="R265" s="4" t="n">
        <f aca="false">M265+N265+O265+P265+Q265</f>
        <v>25</v>
      </c>
      <c r="S265" s="4" t="n">
        <v>12</v>
      </c>
      <c r="T265" s="4" t="n">
        <f aca="false">R265*K265</f>
        <v>9225000</v>
      </c>
      <c r="U265" s="9" t="n">
        <f aca="false">IFERROR(M265/S265,0)</f>
        <v>2.08333333333333</v>
      </c>
      <c r="V265" s="5" t="n">
        <v>0.1653</v>
      </c>
    </row>
    <row r="266" customFormat="false" ht="15" hidden="false" customHeight="false" outlineLevel="0" collapsed="false">
      <c r="A266" s="8" t="s">
        <v>75</v>
      </c>
      <c r="B266" s="8" t="s">
        <v>22</v>
      </c>
      <c r="C266" s="8" t="s">
        <v>1098</v>
      </c>
      <c r="D266" s="8" t="n">
        <v>133788</v>
      </c>
      <c r="E266" s="8" t="s">
        <v>1159</v>
      </c>
      <c r="F266" s="8" t="s">
        <v>809</v>
      </c>
      <c r="G266" s="8" t="s">
        <v>961</v>
      </c>
      <c r="H266" s="8" t="s">
        <v>51</v>
      </c>
      <c r="I266" s="8" t="s">
        <v>76</v>
      </c>
      <c r="J266" s="4" t="n">
        <v>90000</v>
      </c>
      <c r="K266" s="4" t="n">
        <v>81000</v>
      </c>
      <c r="L266" s="5" t="n">
        <v>0.1</v>
      </c>
      <c r="M266" s="4" t="n">
        <v>24</v>
      </c>
      <c r="N266" s="4" t="n">
        <v>0</v>
      </c>
      <c r="O266" s="4" t="n">
        <v>0</v>
      </c>
      <c r="P266" s="4" t="n">
        <v>0</v>
      </c>
      <c r="Q266" s="4" t="n">
        <v>0</v>
      </c>
      <c r="R266" s="4" t="n">
        <f aca="false">M266+N266+O266+P266+Q266</f>
        <v>24</v>
      </c>
      <c r="S266" s="4" t="n">
        <v>12</v>
      </c>
      <c r="T266" s="4" t="n">
        <f aca="false">R266*K266</f>
        <v>1944000</v>
      </c>
      <c r="U266" s="9" t="n">
        <f aca="false">IFERROR(M266/S266,0)</f>
        <v>2</v>
      </c>
      <c r="V266" s="5" t="n">
        <v>0.1481</v>
      </c>
    </row>
    <row r="267" customFormat="false" ht="15" hidden="false" customHeight="false" outlineLevel="0" collapsed="false">
      <c r="A267" s="8" t="s">
        <v>75</v>
      </c>
      <c r="B267" s="8" t="s">
        <v>22</v>
      </c>
      <c r="C267" s="8" t="s">
        <v>1098</v>
      </c>
      <c r="D267" s="8" t="n">
        <v>134148</v>
      </c>
      <c r="E267" s="8" t="s">
        <v>1160</v>
      </c>
      <c r="F267" s="8" t="s">
        <v>809</v>
      </c>
      <c r="G267" s="8" t="s">
        <v>961</v>
      </c>
      <c r="H267" s="8" t="s">
        <v>51</v>
      </c>
      <c r="I267" s="8" t="s">
        <v>76</v>
      </c>
      <c r="J267" s="4" t="n">
        <v>1155000</v>
      </c>
      <c r="K267" s="4" t="n">
        <v>1040000</v>
      </c>
      <c r="L267" s="5" t="n">
        <v>0.1</v>
      </c>
      <c r="M267" s="4" t="n">
        <v>18</v>
      </c>
      <c r="N267" s="4" t="n">
        <v>0</v>
      </c>
      <c r="O267" s="4" t="n">
        <v>0</v>
      </c>
      <c r="P267" s="4" t="n">
        <v>0</v>
      </c>
      <c r="Q267" s="4" t="n">
        <v>0</v>
      </c>
      <c r="R267" s="4" t="n">
        <f aca="false">M267+N267+O267+P267+Q267</f>
        <v>18</v>
      </c>
      <c r="S267" s="4" t="n">
        <v>5</v>
      </c>
      <c r="T267" s="4" t="n">
        <f aca="false">R267*K267</f>
        <v>18720000</v>
      </c>
      <c r="U267" s="9" t="n">
        <f aca="false">IFERROR(M267/S267,0)</f>
        <v>3.6</v>
      </c>
      <c r="V267" s="5" t="n">
        <v>0.2048</v>
      </c>
    </row>
    <row r="268" customFormat="false" ht="15" hidden="false" customHeight="false" outlineLevel="0" collapsed="false">
      <c r="A268" s="8" t="s">
        <v>75</v>
      </c>
      <c r="B268" s="8" t="s">
        <v>22</v>
      </c>
      <c r="C268" s="8" t="s">
        <v>1098</v>
      </c>
      <c r="D268" s="8" t="n">
        <v>133555</v>
      </c>
      <c r="E268" s="8" t="s">
        <v>1161</v>
      </c>
      <c r="F268" s="8" t="s">
        <v>767</v>
      </c>
      <c r="G268" s="8" t="s">
        <v>961</v>
      </c>
      <c r="H268" s="8" t="s">
        <v>51</v>
      </c>
      <c r="I268" s="8" t="s">
        <v>76</v>
      </c>
      <c r="J268" s="4" t="n">
        <v>70000</v>
      </c>
      <c r="K268" s="4" t="n">
        <v>63000</v>
      </c>
      <c r="L268" s="5" t="n">
        <v>0.1</v>
      </c>
      <c r="M268" s="4" t="n">
        <v>17</v>
      </c>
      <c r="N268" s="4" t="n">
        <v>0</v>
      </c>
      <c r="O268" s="4" t="n">
        <v>0</v>
      </c>
      <c r="P268" s="4" t="n">
        <v>0</v>
      </c>
      <c r="Q268" s="4" t="n">
        <v>0</v>
      </c>
      <c r="R268" s="4" t="n">
        <f aca="false">M268+N268+O268+P268+Q268</f>
        <v>17</v>
      </c>
      <c r="S268" s="4" t="n">
        <v>1</v>
      </c>
      <c r="T268" s="4" t="n">
        <f aca="false">R268*K268</f>
        <v>1071000</v>
      </c>
      <c r="U268" s="9" t="n">
        <f aca="false">IFERROR(M268/S268,0)</f>
        <v>17</v>
      </c>
      <c r="V268" s="5" t="n">
        <v>0.254</v>
      </c>
    </row>
    <row r="269" customFormat="false" ht="15" hidden="false" customHeight="false" outlineLevel="0" collapsed="false">
      <c r="A269" s="8" t="s">
        <v>75</v>
      </c>
      <c r="B269" s="8" t="s">
        <v>22</v>
      </c>
      <c r="C269" s="8" t="s">
        <v>1098</v>
      </c>
      <c r="D269" s="8" t="n">
        <v>133840</v>
      </c>
      <c r="E269" s="8" t="s">
        <v>1162</v>
      </c>
      <c r="F269" s="8" t="s">
        <v>767</v>
      </c>
      <c r="G269" s="8" t="s">
        <v>961</v>
      </c>
      <c r="H269" s="8" t="s">
        <v>51</v>
      </c>
      <c r="I269" s="8" t="s">
        <v>76</v>
      </c>
      <c r="J269" s="4" t="n">
        <v>50000</v>
      </c>
      <c r="K269" s="4" t="n">
        <v>45000</v>
      </c>
      <c r="L269" s="5" t="n">
        <v>0.1</v>
      </c>
      <c r="M269" s="4" t="n">
        <v>16</v>
      </c>
      <c r="N269" s="4" t="n">
        <v>0</v>
      </c>
      <c r="O269" s="4" t="n">
        <v>0</v>
      </c>
      <c r="P269" s="4" t="n">
        <v>0</v>
      </c>
      <c r="Q269" s="4" t="n">
        <v>0</v>
      </c>
      <c r="R269" s="4" t="n">
        <f aca="false">M269+N269+O269+P269+Q269</f>
        <v>16</v>
      </c>
      <c r="S269" s="4" t="n">
        <v>2</v>
      </c>
      <c r="T269" s="4" t="n">
        <f aca="false">R269*K269</f>
        <v>720000</v>
      </c>
      <c r="U269" s="9" t="n">
        <f aca="false">IFERROR(M269/S269,0)</f>
        <v>8</v>
      </c>
      <c r="V269" s="5" t="n">
        <v>0.5556</v>
      </c>
    </row>
    <row r="270" customFormat="false" ht="15" hidden="false" customHeight="false" outlineLevel="0" collapsed="false">
      <c r="A270" s="8" t="s">
        <v>75</v>
      </c>
      <c r="B270" s="8" t="s">
        <v>22</v>
      </c>
      <c r="C270" s="8" t="s">
        <v>1098</v>
      </c>
      <c r="D270" s="8" t="n">
        <v>133844</v>
      </c>
      <c r="E270" s="8" t="s">
        <v>1163</v>
      </c>
      <c r="F270" s="8" t="s">
        <v>767</v>
      </c>
      <c r="G270" s="8" t="s">
        <v>961</v>
      </c>
      <c r="H270" s="8" t="s">
        <v>51</v>
      </c>
      <c r="I270" s="8" t="s">
        <v>76</v>
      </c>
      <c r="J270" s="4" t="n">
        <v>50000</v>
      </c>
      <c r="K270" s="4" t="n">
        <v>45000</v>
      </c>
      <c r="L270" s="5" t="n">
        <v>0.1</v>
      </c>
      <c r="M270" s="4" t="n">
        <v>16</v>
      </c>
      <c r="N270" s="4" t="n">
        <v>0</v>
      </c>
      <c r="O270" s="4" t="n">
        <v>0</v>
      </c>
      <c r="P270" s="4" t="n">
        <v>0</v>
      </c>
      <c r="Q270" s="4" t="n">
        <v>0</v>
      </c>
      <c r="R270" s="4" t="n">
        <f aca="false">M270+N270+O270+P270+Q270</f>
        <v>16</v>
      </c>
      <c r="S270" s="4" t="n">
        <v>3</v>
      </c>
      <c r="T270" s="4" t="n">
        <f aca="false">R270*K270</f>
        <v>720000</v>
      </c>
      <c r="U270" s="9" t="n">
        <f aca="false">IFERROR(M270/S270,0)</f>
        <v>5.33333333333333</v>
      </c>
      <c r="V270" s="5" t="n">
        <v>0.5556</v>
      </c>
    </row>
    <row r="271" customFormat="false" ht="15" hidden="false" customHeight="false" outlineLevel="0" collapsed="false">
      <c r="A271" s="8" t="s">
        <v>75</v>
      </c>
      <c r="B271" s="8" t="s">
        <v>22</v>
      </c>
      <c r="C271" s="8" t="s">
        <v>1098</v>
      </c>
      <c r="D271" s="8" t="n">
        <v>133552</v>
      </c>
      <c r="E271" s="8" t="s">
        <v>1164</v>
      </c>
      <c r="F271" s="8" t="s">
        <v>767</v>
      </c>
      <c r="G271" s="8" t="s">
        <v>961</v>
      </c>
      <c r="H271" s="8" t="s">
        <v>51</v>
      </c>
      <c r="I271" s="8" t="s">
        <v>76</v>
      </c>
      <c r="J271" s="4" t="n">
        <v>70000</v>
      </c>
      <c r="K271" s="4" t="n">
        <v>63000</v>
      </c>
      <c r="L271" s="5" t="n">
        <v>0.1</v>
      </c>
      <c r="M271" s="4" t="n">
        <v>16</v>
      </c>
      <c r="N271" s="4" t="n">
        <v>0</v>
      </c>
      <c r="O271" s="4" t="n">
        <v>0</v>
      </c>
      <c r="P271" s="4" t="n">
        <v>0</v>
      </c>
      <c r="Q271" s="4" t="n">
        <v>0</v>
      </c>
      <c r="R271" s="4" t="n">
        <f aca="false">M271+N271+O271+P271+Q271</f>
        <v>16</v>
      </c>
      <c r="S271" s="4" t="n">
        <v>2</v>
      </c>
      <c r="T271" s="4" t="n">
        <f aca="false">R271*K271</f>
        <v>1008000</v>
      </c>
      <c r="U271" s="9" t="n">
        <f aca="false">IFERROR(M271/S271,0)</f>
        <v>8</v>
      </c>
      <c r="V271" s="5" t="n">
        <v>0.254</v>
      </c>
    </row>
    <row r="272" customFormat="false" ht="15" hidden="false" customHeight="false" outlineLevel="0" collapsed="false">
      <c r="A272" s="8" t="s">
        <v>75</v>
      </c>
      <c r="B272" s="8" t="s">
        <v>22</v>
      </c>
      <c r="C272" s="8" t="s">
        <v>1098</v>
      </c>
      <c r="D272" s="8" t="n">
        <v>133843</v>
      </c>
      <c r="E272" s="8" t="s">
        <v>1165</v>
      </c>
      <c r="F272" s="8" t="s">
        <v>767</v>
      </c>
      <c r="G272" s="8" t="s">
        <v>961</v>
      </c>
      <c r="H272" s="8" t="s">
        <v>51</v>
      </c>
      <c r="I272" s="8" t="s">
        <v>76</v>
      </c>
      <c r="J272" s="4" t="n">
        <v>50000</v>
      </c>
      <c r="K272" s="4" t="n">
        <v>45000</v>
      </c>
      <c r="L272" s="5" t="n">
        <v>0.1</v>
      </c>
      <c r="M272" s="4" t="n">
        <v>15</v>
      </c>
      <c r="N272" s="4" t="n">
        <v>0</v>
      </c>
      <c r="O272" s="4" t="n">
        <v>0</v>
      </c>
      <c r="P272" s="4" t="n">
        <v>0</v>
      </c>
      <c r="Q272" s="4" t="n">
        <v>0</v>
      </c>
      <c r="R272" s="4" t="n">
        <f aca="false">M272+N272+O272+P272+Q272</f>
        <v>15</v>
      </c>
      <c r="S272" s="4" t="n">
        <v>1</v>
      </c>
      <c r="T272" s="4" t="n">
        <f aca="false">R272*K272</f>
        <v>675000</v>
      </c>
      <c r="U272" s="9" t="n">
        <f aca="false">IFERROR(M272/S272,0)</f>
        <v>15</v>
      </c>
      <c r="V272" s="5" t="n">
        <v>0.5556</v>
      </c>
    </row>
    <row r="273" customFormat="false" ht="15" hidden="false" customHeight="false" outlineLevel="0" collapsed="false">
      <c r="A273" s="8" t="s">
        <v>75</v>
      </c>
      <c r="B273" s="8" t="s">
        <v>22</v>
      </c>
      <c r="C273" s="8" t="s">
        <v>1098</v>
      </c>
      <c r="D273" s="8" t="n">
        <v>134153</v>
      </c>
      <c r="E273" s="8" t="s">
        <v>1166</v>
      </c>
      <c r="F273" s="8" t="s">
        <v>809</v>
      </c>
      <c r="G273" s="8" t="s">
        <v>961</v>
      </c>
      <c r="H273" s="8" t="s">
        <v>51</v>
      </c>
      <c r="I273" s="8" t="s">
        <v>76</v>
      </c>
      <c r="J273" s="4" t="n">
        <v>809000</v>
      </c>
      <c r="K273" s="4" t="n">
        <v>729000</v>
      </c>
      <c r="L273" s="5" t="n">
        <v>0.1</v>
      </c>
      <c r="M273" s="4" t="n">
        <v>15</v>
      </c>
      <c r="N273" s="4" t="n">
        <v>0</v>
      </c>
      <c r="O273" s="4" t="n">
        <v>0</v>
      </c>
      <c r="P273" s="4" t="n">
        <v>0</v>
      </c>
      <c r="Q273" s="4" t="n">
        <v>0</v>
      </c>
      <c r="R273" s="4" t="n">
        <f aca="false">M273+N273+O273+P273+Q273</f>
        <v>15</v>
      </c>
      <c r="S273" s="4" t="n">
        <v>6</v>
      </c>
      <c r="T273" s="4" t="n">
        <f aca="false">R273*K273</f>
        <v>10935000</v>
      </c>
      <c r="U273" s="9" t="n">
        <f aca="false">IFERROR(M273/S273,0)</f>
        <v>2.5</v>
      </c>
      <c r="V273" s="5" t="n">
        <v>0.2058</v>
      </c>
    </row>
    <row r="274" customFormat="false" ht="15" hidden="false" customHeight="false" outlineLevel="0" collapsed="false">
      <c r="A274" s="8" t="s">
        <v>75</v>
      </c>
      <c r="B274" s="8" t="s">
        <v>22</v>
      </c>
      <c r="C274" s="8" t="s">
        <v>1098</v>
      </c>
      <c r="D274" s="8" t="n">
        <v>134588</v>
      </c>
      <c r="E274" s="8" t="s">
        <v>1167</v>
      </c>
      <c r="F274" s="8" t="s">
        <v>809</v>
      </c>
      <c r="G274" s="8" t="s">
        <v>961</v>
      </c>
      <c r="H274" s="8" t="s">
        <v>51</v>
      </c>
      <c r="I274" s="8" t="s">
        <v>76</v>
      </c>
      <c r="J274" s="4" t="n">
        <v>225000</v>
      </c>
      <c r="K274" s="4" t="n">
        <v>203000</v>
      </c>
      <c r="L274" s="5" t="n">
        <v>0.1</v>
      </c>
      <c r="M274" s="4" t="n">
        <v>15</v>
      </c>
      <c r="N274" s="4" t="n">
        <v>0</v>
      </c>
      <c r="O274" s="4" t="n">
        <v>0</v>
      </c>
      <c r="P274" s="4" t="n">
        <v>0</v>
      </c>
      <c r="Q274" s="4" t="n">
        <v>0</v>
      </c>
      <c r="R274" s="4" t="n">
        <f aca="false">M274+N274+O274+P274+Q274</f>
        <v>15</v>
      </c>
      <c r="S274" s="4" t="n">
        <v>6</v>
      </c>
      <c r="T274" s="4" t="n">
        <f aca="false">R274*K274</f>
        <v>3045000</v>
      </c>
      <c r="U274" s="9" t="n">
        <f aca="false">IFERROR(M274/S274,0)</f>
        <v>2.5</v>
      </c>
      <c r="V274" s="5" t="n">
        <v>0.1379</v>
      </c>
    </row>
    <row r="275" customFormat="false" ht="15" hidden="false" customHeight="false" outlineLevel="0" collapsed="false">
      <c r="A275" s="8" t="s">
        <v>75</v>
      </c>
      <c r="B275" s="8" t="s">
        <v>22</v>
      </c>
      <c r="C275" s="8" t="s">
        <v>1098</v>
      </c>
      <c r="D275" s="8" t="n">
        <v>133557</v>
      </c>
      <c r="E275" s="8" t="s">
        <v>1168</v>
      </c>
      <c r="F275" s="8" t="s">
        <v>767</v>
      </c>
      <c r="G275" s="8" t="s">
        <v>961</v>
      </c>
      <c r="H275" s="8" t="s">
        <v>51</v>
      </c>
      <c r="I275" s="8" t="s">
        <v>76</v>
      </c>
      <c r="J275" s="4" t="n">
        <v>70000</v>
      </c>
      <c r="K275" s="4" t="n">
        <v>63000</v>
      </c>
      <c r="L275" s="5" t="n">
        <v>0.1</v>
      </c>
      <c r="M275" s="4" t="n">
        <v>14</v>
      </c>
      <c r="N275" s="4" t="n">
        <v>0</v>
      </c>
      <c r="O275" s="4" t="n">
        <v>0</v>
      </c>
      <c r="P275" s="4" t="n">
        <v>0</v>
      </c>
      <c r="Q275" s="4" t="n">
        <v>0</v>
      </c>
      <c r="R275" s="4" t="n">
        <f aca="false">M275+N275+O275+P275+Q275</f>
        <v>14</v>
      </c>
      <c r="S275" s="4" t="n">
        <v>1</v>
      </c>
      <c r="T275" s="4" t="n">
        <f aca="false">R275*K275</f>
        <v>882000</v>
      </c>
      <c r="U275" s="9" t="n">
        <f aca="false">IFERROR(M275/S275,0)</f>
        <v>14</v>
      </c>
      <c r="V275" s="5" t="n">
        <v>0.254</v>
      </c>
    </row>
    <row r="276" customFormat="false" ht="15" hidden="false" customHeight="false" outlineLevel="0" collapsed="false">
      <c r="A276" s="8" t="s">
        <v>75</v>
      </c>
      <c r="B276" s="8" t="s">
        <v>22</v>
      </c>
      <c r="C276" s="8" t="s">
        <v>1098</v>
      </c>
      <c r="D276" s="8" t="n">
        <v>133558</v>
      </c>
      <c r="E276" s="8" t="s">
        <v>1169</v>
      </c>
      <c r="F276" s="8" t="s">
        <v>767</v>
      </c>
      <c r="G276" s="8" t="s">
        <v>961</v>
      </c>
      <c r="H276" s="8" t="s">
        <v>51</v>
      </c>
      <c r="I276" s="8" t="s">
        <v>76</v>
      </c>
      <c r="J276" s="4" t="n">
        <v>70000</v>
      </c>
      <c r="K276" s="4" t="n">
        <v>63000</v>
      </c>
      <c r="L276" s="5" t="n">
        <v>0.1</v>
      </c>
      <c r="M276" s="4" t="n">
        <v>14</v>
      </c>
      <c r="N276" s="4" t="n">
        <v>0</v>
      </c>
      <c r="O276" s="4" t="n">
        <v>0</v>
      </c>
      <c r="P276" s="4" t="n">
        <v>0</v>
      </c>
      <c r="Q276" s="4" t="n">
        <v>0</v>
      </c>
      <c r="R276" s="4" t="n">
        <f aca="false">M276+N276+O276+P276+Q276</f>
        <v>14</v>
      </c>
      <c r="S276" s="4" t="n">
        <v>1</v>
      </c>
      <c r="T276" s="4" t="n">
        <f aca="false">R276*K276</f>
        <v>882000</v>
      </c>
      <c r="U276" s="9" t="n">
        <f aca="false">IFERROR(M276/S276,0)</f>
        <v>14</v>
      </c>
      <c r="V276" s="5" t="n">
        <v>0.254</v>
      </c>
    </row>
    <row r="277" customFormat="false" ht="15" hidden="false" customHeight="false" outlineLevel="0" collapsed="false">
      <c r="A277" s="8" t="s">
        <v>75</v>
      </c>
      <c r="B277" s="8" t="s">
        <v>22</v>
      </c>
      <c r="C277" s="8" t="s">
        <v>1098</v>
      </c>
      <c r="D277" s="8" t="n">
        <v>133554</v>
      </c>
      <c r="E277" s="8" t="s">
        <v>1170</v>
      </c>
      <c r="F277" s="8" t="s">
        <v>767</v>
      </c>
      <c r="G277" s="8" t="s">
        <v>961</v>
      </c>
      <c r="H277" s="8" t="s">
        <v>51</v>
      </c>
      <c r="I277" s="8" t="s">
        <v>76</v>
      </c>
      <c r="J277" s="4" t="n">
        <v>70000</v>
      </c>
      <c r="K277" s="4" t="n">
        <v>63000</v>
      </c>
      <c r="L277" s="5" t="n">
        <v>0.1</v>
      </c>
      <c r="M277" s="4" t="n">
        <v>13</v>
      </c>
      <c r="N277" s="4" t="n">
        <v>0</v>
      </c>
      <c r="O277" s="4" t="n">
        <v>0</v>
      </c>
      <c r="P277" s="4" t="n">
        <v>0</v>
      </c>
      <c r="Q277" s="4" t="n">
        <v>0</v>
      </c>
      <c r="R277" s="4" t="n">
        <f aca="false">M277+N277+O277+P277+Q277</f>
        <v>13</v>
      </c>
      <c r="S277" s="4" t="n">
        <v>1</v>
      </c>
      <c r="T277" s="4" t="n">
        <f aca="false">R277*K277</f>
        <v>819000</v>
      </c>
      <c r="U277" s="9" t="n">
        <f aca="false">IFERROR(M277/S277,0)</f>
        <v>13</v>
      </c>
      <c r="V277" s="5" t="n">
        <v>0.254</v>
      </c>
    </row>
    <row r="278" customFormat="false" ht="15" hidden="false" customHeight="false" outlineLevel="0" collapsed="false">
      <c r="A278" s="8" t="s">
        <v>75</v>
      </c>
      <c r="B278" s="8" t="s">
        <v>22</v>
      </c>
      <c r="C278" s="8" t="s">
        <v>1098</v>
      </c>
      <c r="D278" s="8" t="n">
        <v>133556</v>
      </c>
      <c r="E278" s="8" t="s">
        <v>1171</v>
      </c>
      <c r="F278" s="8" t="s">
        <v>767</v>
      </c>
      <c r="G278" s="8" t="s">
        <v>961</v>
      </c>
      <c r="H278" s="8" t="s">
        <v>51</v>
      </c>
      <c r="I278" s="8" t="s">
        <v>76</v>
      </c>
      <c r="J278" s="4" t="n">
        <v>70000</v>
      </c>
      <c r="K278" s="4" t="n">
        <v>63000</v>
      </c>
      <c r="L278" s="5" t="n">
        <v>0.1</v>
      </c>
      <c r="M278" s="4" t="n">
        <v>13</v>
      </c>
      <c r="N278" s="4" t="n">
        <v>0</v>
      </c>
      <c r="O278" s="4" t="n">
        <v>0</v>
      </c>
      <c r="P278" s="4" t="n">
        <v>0</v>
      </c>
      <c r="Q278" s="4" t="n">
        <v>0</v>
      </c>
      <c r="R278" s="4" t="n">
        <f aca="false">M278+N278+O278+P278+Q278</f>
        <v>13</v>
      </c>
      <c r="S278" s="4" t="n">
        <v>1</v>
      </c>
      <c r="T278" s="4" t="n">
        <f aca="false">R278*K278</f>
        <v>819000</v>
      </c>
      <c r="U278" s="9" t="n">
        <f aca="false">IFERROR(M278/S278,0)</f>
        <v>13</v>
      </c>
      <c r="V278" s="5" t="n">
        <v>0.254</v>
      </c>
    </row>
    <row r="279" customFormat="false" ht="15" hidden="false" customHeight="false" outlineLevel="0" collapsed="false">
      <c r="A279" s="8" t="s">
        <v>75</v>
      </c>
      <c r="B279" s="8" t="s">
        <v>22</v>
      </c>
      <c r="C279" s="8" t="s">
        <v>1098</v>
      </c>
      <c r="D279" s="8" t="n">
        <v>133848</v>
      </c>
      <c r="E279" s="8" t="s">
        <v>1172</v>
      </c>
      <c r="F279" s="8" t="s">
        <v>767</v>
      </c>
      <c r="G279" s="8" t="s">
        <v>961</v>
      </c>
      <c r="H279" s="8" t="s">
        <v>51</v>
      </c>
      <c r="I279" s="8" t="s">
        <v>76</v>
      </c>
      <c r="J279" s="4" t="n">
        <v>50000</v>
      </c>
      <c r="K279" s="4" t="n">
        <v>45000</v>
      </c>
      <c r="L279" s="5" t="n">
        <v>0.1</v>
      </c>
      <c r="M279" s="4" t="n">
        <v>12</v>
      </c>
      <c r="N279" s="4" t="n">
        <v>0</v>
      </c>
      <c r="O279" s="4" t="n">
        <v>0</v>
      </c>
      <c r="P279" s="4" t="n">
        <v>0</v>
      </c>
      <c r="Q279" s="4" t="n">
        <v>0</v>
      </c>
      <c r="R279" s="4" t="n">
        <f aca="false">M279+N279+O279+P279+Q279</f>
        <v>12</v>
      </c>
      <c r="S279" s="4" t="n">
        <v>3</v>
      </c>
      <c r="T279" s="4" t="n">
        <f aca="false">R279*K279</f>
        <v>540000</v>
      </c>
      <c r="U279" s="9" t="n">
        <f aca="false">IFERROR(M279/S279,0)</f>
        <v>4</v>
      </c>
      <c r="V279" s="5" t="n">
        <v>0.5556</v>
      </c>
    </row>
    <row r="280" customFormat="false" ht="15" hidden="false" customHeight="false" outlineLevel="0" collapsed="false">
      <c r="A280" s="8" t="s">
        <v>75</v>
      </c>
      <c r="B280" s="8" t="s">
        <v>22</v>
      </c>
      <c r="C280" s="8" t="s">
        <v>1098</v>
      </c>
      <c r="D280" s="8" t="n">
        <v>134149</v>
      </c>
      <c r="E280" s="8" t="s">
        <v>1173</v>
      </c>
      <c r="F280" s="8" t="s">
        <v>809</v>
      </c>
      <c r="G280" s="8" t="s">
        <v>961</v>
      </c>
      <c r="H280" s="8" t="s">
        <v>51</v>
      </c>
      <c r="I280" s="8" t="s">
        <v>76</v>
      </c>
      <c r="J280" s="4" t="n">
        <v>1155000</v>
      </c>
      <c r="K280" s="4" t="n">
        <v>1040000</v>
      </c>
      <c r="L280" s="5" t="n">
        <v>0.1</v>
      </c>
      <c r="M280" s="4" t="n">
        <v>12</v>
      </c>
      <c r="N280" s="4" t="n">
        <v>0</v>
      </c>
      <c r="O280" s="4" t="n">
        <v>0</v>
      </c>
      <c r="P280" s="4" t="n">
        <v>0</v>
      </c>
      <c r="Q280" s="4" t="n">
        <v>0</v>
      </c>
      <c r="R280" s="4" t="n">
        <f aca="false">M280+N280+O280+P280+Q280</f>
        <v>12</v>
      </c>
      <c r="S280" s="4" t="n">
        <v>2</v>
      </c>
      <c r="T280" s="4" t="n">
        <f aca="false">R280*K280</f>
        <v>12480000</v>
      </c>
      <c r="U280" s="9" t="n">
        <f aca="false">IFERROR(M280/S280,0)</f>
        <v>6</v>
      </c>
      <c r="V280" s="5" t="n">
        <v>0.2048</v>
      </c>
    </row>
    <row r="281" customFormat="false" ht="15" hidden="false" customHeight="false" outlineLevel="0" collapsed="false">
      <c r="A281" s="8" t="s">
        <v>75</v>
      </c>
      <c r="B281" s="8" t="s">
        <v>22</v>
      </c>
      <c r="C281" s="8" t="s">
        <v>1098</v>
      </c>
      <c r="D281" s="8" t="n">
        <v>133550</v>
      </c>
      <c r="E281" s="8" t="s">
        <v>1174</v>
      </c>
      <c r="F281" s="8" t="s">
        <v>767</v>
      </c>
      <c r="G281" s="8" t="s">
        <v>961</v>
      </c>
      <c r="H281" s="8" t="s">
        <v>51</v>
      </c>
      <c r="I281" s="8" t="s">
        <v>76</v>
      </c>
      <c r="J281" s="4" t="n">
        <v>70000</v>
      </c>
      <c r="K281" s="4" t="n">
        <v>63000</v>
      </c>
      <c r="L281" s="5" t="n">
        <v>0.1</v>
      </c>
      <c r="M281" s="4" t="n">
        <v>11</v>
      </c>
      <c r="N281" s="4" t="n">
        <v>0</v>
      </c>
      <c r="O281" s="4" t="n">
        <v>0</v>
      </c>
      <c r="P281" s="4" t="n">
        <v>0</v>
      </c>
      <c r="Q281" s="4" t="n">
        <v>0</v>
      </c>
      <c r="R281" s="4" t="n">
        <f aca="false">M281+N281+O281+P281+Q281</f>
        <v>11</v>
      </c>
      <c r="S281" s="4" t="n">
        <v>1</v>
      </c>
      <c r="T281" s="4" t="n">
        <f aca="false">R281*K281</f>
        <v>693000</v>
      </c>
      <c r="U281" s="9" t="n">
        <f aca="false">IFERROR(M281/S281,0)</f>
        <v>11</v>
      </c>
      <c r="V281" s="5" t="n">
        <v>0.254</v>
      </c>
    </row>
    <row r="282" customFormat="false" ht="15" hidden="false" customHeight="false" outlineLevel="0" collapsed="false">
      <c r="A282" s="8" t="s">
        <v>75</v>
      </c>
      <c r="B282" s="8" t="s">
        <v>22</v>
      </c>
      <c r="C282" s="8" t="s">
        <v>1098</v>
      </c>
      <c r="D282" s="8" t="n">
        <v>134166</v>
      </c>
      <c r="E282" s="8" t="s">
        <v>1175</v>
      </c>
      <c r="F282" s="8" t="s">
        <v>809</v>
      </c>
      <c r="G282" s="8" t="s">
        <v>961</v>
      </c>
      <c r="H282" s="8" t="s">
        <v>51</v>
      </c>
      <c r="I282" s="8" t="s">
        <v>76</v>
      </c>
      <c r="J282" s="4" t="n">
        <v>225000</v>
      </c>
      <c r="K282" s="4" t="n">
        <v>203000</v>
      </c>
      <c r="L282" s="5" t="n">
        <v>0.1</v>
      </c>
      <c r="M282" s="4" t="n">
        <v>11</v>
      </c>
      <c r="N282" s="4" t="n">
        <v>0</v>
      </c>
      <c r="O282" s="4" t="n">
        <v>0</v>
      </c>
      <c r="P282" s="4" t="n">
        <v>0</v>
      </c>
      <c r="Q282" s="4" t="n">
        <v>0</v>
      </c>
      <c r="R282" s="4" t="n">
        <f aca="false">M282+N282+O282+P282+Q282</f>
        <v>11</v>
      </c>
      <c r="S282" s="4" t="n">
        <v>4</v>
      </c>
      <c r="T282" s="4" t="n">
        <f aca="false">R282*K282</f>
        <v>2233000</v>
      </c>
      <c r="U282" s="9" t="n">
        <f aca="false">IFERROR(M282/S282,0)</f>
        <v>2.75</v>
      </c>
      <c r="V282" s="5" t="n">
        <v>0.1819</v>
      </c>
    </row>
    <row r="283" customFormat="false" ht="15" hidden="false" customHeight="false" outlineLevel="0" collapsed="false">
      <c r="A283" s="8" t="s">
        <v>75</v>
      </c>
      <c r="B283" s="8" t="s">
        <v>22</v>
      </c>
      <c r="C283" s="8" t="s">
        <v>1098</v>
      </c>
      <c r="D283" s="8" t="n">
        <v>133839</v>
      </c>
      <c r="E283" s="8" t="s">
        <v>1176</v>
      </c>
      <c r="F283" s="8" t="s">
        <v>767</v>
      </c>
      <c r="G283" s="8" t="s">
        <v>961</v>
      </c>
      <c r="H283" s="8" t="s">
        <v>51</v>
      </c>
      <c r="I283" s="8" t="s">
        <v>76</v>
      </c>
      <c r="J283" s="4" t="n">
        <v>50000</v>
      </c>
      <c r="K283" s="4" t="n">
        <v>45000</v>
      </c>
      <c r="L283" s="5" t="n">
        <v>0.1</v>
      </c>
      <c r="M283" s="4" t="n">
        <v>10</v>
      </c>
      <c r="N283" s="4" t="n">
        <v>0</v>
      </c>
      <c r="O283" s="4" t="n">
        <v>0</v>
      </c>
      <c r="P283" s="4" t="n">
        <v>0</v>
      </c>
      <c r="Q283" s="4" t="n">
        <v>0</v>
      </c>
      <c r="R283" s="4" t="n">
        <f aca="false">M283+N283+O283+P283+Q283</f>
        <v>10</v>
      </c>
      <c r="S283" s="4" t="n">
        <v>1</v>
      </c>
      <c r="T283" s="4" t="n">
        <f aca="false">R283*K283</f>
        <v>450000</v>
      </c>
      <c r="U283" s="9" t="n">
        <f aca="false">IFERROR(M283/S283,0)</f>
        <v>10</v>
      </c>
      <c r="V283" s="5" t="n">
        <v>0.5556</v>
      </c>
    </row>
    <row r="284" customFormat="false" ht="15" hidden="false" customHeight="false" outlineLevel="0" collapsed="false">
      <c r="A284" s="8" t="s">
        <v>75</v>
      </c>
      <c r="B284" s="8" t="s">
        <v>22</v>
      </c>
      <c r="C284" s="8" t="s">
        <v>1098</v>
      </c>
      <c r="D284" s="8" t="n">
        <v>134160</v>
      </c>
      <c r="E284" s="8" t="s">
        <v>1177</v>
      </c>
      <c r="F284" s="8" t="s">
        <v>767</v>
      </c>
      <c r="G284" s="8" t="s">
        <v>961</v>
      </c>
      <c r="H284" s="8" t="s">
        <v>51</v>
      </c>
      <c r="I284" s="8" t="s">
        <v>76</v>
      </c>
      <c r="J284" s="4" t="n">
        <v>1386000</v>
      </c>
      <c r="K284" s="4" t="n">
        <v>1248000</v>
      </c>
      <c r="L284" s="5" t="n">
        <v>0.1</v>
      </c>
      <c r="M284" s="4" t="n">
        <v>5</v>
      </c>
      <c r="N284" s="4" t="n">
        <v>0</v>
      </c>
      <c r="O284" s="4" t="n">
        <v>0</v>
      </c>
      <c r="P284" s="4" t="n">
        <v>0</v>
      </c>
      <c r="Q284" s="4" t="n">
        <v>0</v>
      </c>
      <c r="R284" s="4" t="n">
        <f aca="false">M284+N284+O284+P284+Q284</f>
        <v>5</v>
      </c>
      <c r="S284" s="4" t="n">
        <v>2</v>
      </c>
      <c r="T284" s="4" t="n">
        <f aca="false">R284*K284</f>
        <v>6240000</v>
      </c>
      <c r="U284" s="9" t="n">
        <f aca="false">IFERROR(M284/S284,0)</f>
        <v>2.5</v>
      </c>
      <c r="V284" s="5" t="n">
        <v>0.2051</v>
      </c>
    </row>
    <row r="285" customFormat="false" ht="15" hidden="false" customHeight="false" outlineLevel="0" collapsed="false">
      <c r="A285" s="8" t="s">
        <v>75</v>
      </c>
      <c r="B285" s="8" t="s">
        <v>22</v>
      </c>
      <c r="C285" s="8" t="s">
        <v>1098</v>
      </c>
      <c r="D285" s="8" t="n">
        <v>134837</v>
      </c>
      <c r="E285" s="8" t="s">
        <v>1178</v>
      </c>
      <c r="F285" s="8" t="s">
        <v>767</v>
      </c>
      <c r="G285" s="8" t="s">
        <v>961</v>
      </c>
      <c r="H285" s="8" t="s">
        <v>51</v>
      </c>
      <c r="I285" s="8" t="s">
        <v>76</v>
      </c>
      <c r="J285" s="4" t="n">
        <v>352000</v>
      </c>
      <c r="K285" s="4" t="n">
        <v>317000</v>
      </c>
      <c r="L285" s="5" t="n">
        <v>0.1</v>
      </c>
      <c r="M285" s="4" t="n">
        <v>5</v>
      </c>
      <c r="N285" s="4" t="n">
        <v>0</v>
      </c>
      <c r="O285" s="4" t="n">
        <v>0</v>
      </c>
      <c r="P285" s="4" t="n">
        <v>0</v>
      </c>
      <c r="Q285" s="4" t="n">
        <v>0</v>
      </c>
      <c r="R285" s="4" t="n">
        <f aca="false">M285+N285+O285+P285+Q285</f>
        <v>5</v>
      </c>
      <c r="S285" s="4" t="n">
        <v>1</v>
      </c>
      <c r="T285" s="4" t="n">
        <f aca="false">R285*K285</f>
        <v>1585000</v>
      </c>
      <c r="U285" s="9" t="n">
        <f aca="false">IFERROR(M285/S285,0)</f>
        <v>5</v>
      </c>
      <c r="V285" s="5" t="n">
        <v>0.1703</v>
      </c>
    </row>
    <row r="286" customFormat="false" ht="15" hidden="false" customHeight="false" outlineLevel="0" collapsed="false">
      <c r="A286" s="8" t="s">
        <v>75</v>
      </c>
      <c r="B286" s="8" t="s">
        <v>22</v>
      </c>
      <c r="C286" s="8" t="s">
        <v>1098</v>
      </c>
      <c r="D286" s="8" t="n">
        <v>174014</v>
      </c>
      <c r="E286" s="8" t="s">
        <v>1179</v>
      </c>
      <c r="F286" s="8" t="s">
        <v>767</v>
      </c>
      <c r="G286" s="8" t="s">
        <v>961</v>
      </c>
      <c r="H286" s="8" t="s">
        <v>51</v>
      </c>
      <c r="I286" s="8" t="s">
        <v>76</v>
      </c>
      <c r="J286" s="4" t="n">
        <v>250000</v>
      </c>
      <c r="K286" s="4" t="n">
        <v>225000</v>
      </c>
      <c r="L286" s="5" t="n">
        <v>0.1</v>
      </c>
      <c r="M286" s="4" t="n">
        <v>4</v>
      </c>
      <c r="N286" s="4" t="n">
        <v>0</v>
      </c>
      <c r="O286" s="4" t="n">
        <v>0</v>
      </c>
      <c r="P286" s="4" t="n">
        <v>0</v>
      </c>
      <c r="Q286" s="4" t="n">
        <v>0</v>
      </c>
      <c r="R286" s="4" t="n">
        <f aca="false">M286+N286+O286+P286+Q286</f>
        <v>4</v>
      </c>
      <c r="S286" s="4" t="n">
        <v>1</v>
      </c>
      <c r="T286" s="4" t="n">
        <f aca="false">R286*K286</f>
        <v>900000</v>
      </c>
      <c r="U286" s="9" t="n">
        <f aca="false">IFERROR(M286/S286,0)</f>
        <v>4</v>
      </c>
      <c r="V286" s="5" t="n">
        <v>0.1333</v>
      </c>
    </row>
    <row r="287" customFormat="false" ht="15" hidden="false" customHeight="false" outlineLevel="0" collapsed="false">
      <c r="A287" s="8" t="s">
        <v>75</v>
      </c>
      <c r="B287" s="8" t="s">
        <v>22</v>
      </c>
      <c r="C287" s="8" t="s">
        <v>1098</v>
      </c>
      <c r="D287" s="8" t="n">
        <v>133769</v>
      </c>
      <c r="E287" s="8" t="s">
        <v>1180</v>
      </c>
      <c r="F287" s="8" t="s">
        <v>767</v>
      </c>
      <c r="G287" s="8" t="s">
        <v>970</v>
      </c>
      <c r="H287" s="8" t="s">
        <v>51</v>
      </c>
      <c r="I287" s="8" t="s">
        <v>76</v>
      </c>
      <c r="J287" s="4" t="n">
        <v>300000</v>
      </c>
      <c r="K287" s="4" t="n">
        <v>270000</v>
      </c>
      <c r="L287" s="5" t="n">
        <v>0.1</v>
      </c>
      <c r="M287" s="4" t="n">
        <v>4</v>
      </c>
      <c r="N287" s="4" t="n">
        <v>0</v>
      </c>
      <c r="O287" s="4" t="n">
        <v>0</v>
      </c>
      <c r="P287" s="4" t="n">
        <v>0</v>
      </c>
      <c r="Q287" s="4" t="n">
        <v>0</v>
      </c>
      <c r="R287" s="4" t="n">
        <f aca="false">M287+N287+O287+P287+Q287</f>
        <v>4</v>
      </c>
      <c r="S287" s="4" t="n">
        <v>1</v>
      </c>
      <c r="T287" s="4" t="n">
        <f aca="false">R287*K287</f>
        <v>1080000</v>
      </c>
      <c r="U287" s="9" t="n">
        <f aca="false">IFERROR(M287/S287,0)</f>
        <v>4</v>
      </c>
      <c r="V287" s="5" t="n">
        <v>0.5556</v>
      </c>
    </row>
    <row r="288" customFormat="false" ht="15" hidden="false" customHeight="false" outlineLevel="0" collapsed="false">
      <c r="A288" s="8" t="s">
        <v>75</v>
      </c>
      <c r="B288" s="8" t="s">
        <v>22</v>
      </c>
      <c r="C288" s="8" t="s">
        <v>1098</v>
      </c>
      <c r="D288" s="8" t="n">
        <v>133847</v>
      </c>
      <c r="E288" s="8" t="s">
        <v>1181</v>
      </c>
      <c r="F288" s="8" t="s">
        <v>767</v>
      </c>
      <c r="G288" s="8" t="s">
        <v>961</v>
      </c>
      <c r="H288" s="8" t="s">
        <v>51</v>
      </c>
      <c r="I288" s="8" t="s">
        <v>76</v>
      </c>
      <c r="J288" s="4" t="n">
        <v>50000</v>
      </c>
      <c r="K288" s="4" t="n">
        <v>45000</v>
      </c>
      <c r="L288" s="5" t="n">
        <v>0.1</v>
      </c>
      <c r="M288" s="4" t="n">
        <v>4</v>
      </c>
      <c r="N288" s="4" t="n">
        <v>0</v>
      </c>
      <c r="O288" s="4" t="n">
        <v>0</v>
      </c>
      <c r="P288" s="4" t="n">
        <v>0</v>
      </c>
      <c r="Q288" s="4" t="n">
        <v>0</v>
      </c>
      <c r="R288" s="4" t="n">
        <f aca="false">M288+N288+O288+P288+Q288</f>
        <v>4</v>
      </c>
      <c r="S288" s="4" t="n">
        <v>2</v>
      </c>
      <c r="T288" s="4" t="n">
        <f aca="false">R288*K288</f>
        <v>180000</v>
      </c>
      <c r="U288" s="9" t="n">
        <f aca="false">IFERROR(M288/S288,0)</f>
        <v>2</v>
      </c>
      <c r="V288" s="5" t="n">
        <v>0.5556</v>
      </c>
    </row>
    <row r="289" customFormat="false" ht="15" hidden="false" customHeight="false" outlineLevel="0" collapsed="false">
      <c r="A289" s="8" t="s">
        <v>75</v>
      </c>
      <c r="B289" s="8" t="s">
        <v>22</v>
      </c>
      <c r="C289" s="8" t="s">
        <v>1098</v>
      </c>
      <c r="D289" s="8" t="n">
        <v>134151</v>
      </c>
      <c r="E289" s="8" t="s">
        <v>1182</v>
      </c>
      <c r="F289" s="8" t="s">
        <v>767</v>
      </c>
      <c r="G289" s="8" t="s">
        <v>961</v>
      </c>
      <c r="H289" s="8" t="s">
        <v>51</v>
      </c>
      <c r="I289" s="8" t="s">
        <v>76</v>
      </c>
      <c r="J289" s="4" t="n">
        <v>855000</v>
      </c>
      <c r="K289" s="4" t="n">
        <v>770000</v>
      </c>
      <c r="L289" s="5" t="n">
        <v>0.1</v>
      </c>
      <c r="M289" s="4" t="n">
        <v>4</v>
      </c>
      <c r="N289" s="4" t="n">
        <v>0</v>
      </c>
      <c r="O289" s="4" t="n">
        <v>0</v>
      </c>
      <c r="P289" s="4" t="n">
        <v>0</v>
      </c>
      <c r="Q289" s="4" t="n">
        <v>0</v>
      </c>
      <c r="R289" s="4" t="n">
        <f aca="false">M289+N289+O289+P289+Q289</f>
        <v>4</v>
      </c>
      <c r="S289" s="4" t="n">
        <v>1</v>
      </c>
      <c r="T289" s="4" t="n">
        <f aca="false">R289*K289</f>
        <v>3080000</v>
      </c>
      <c r="U289" s="9" t="n">
        <f aca="false">IFERROR(M289/S289,0)</f>
        <v>4</v>
      </c>
      <c r="V289" s="5" t="n">
        <v>0.2039</v>
      </c>
    </row>
    <row r="290" customFormat="false" ht="15" hidden="false" customHeight="false" outlineLevel="0" collapsed="false">
      <c r="A290" s="8" t="s">
        <v>75</v>
      </c>
      <c r="B290" s="8" t="s">
        <v>22</v>
      </c>
      <c r="C290" s="8" t="s">
        <v>1098</v>
      </c>
      <c r="D290" s="8" t="n">
        <v>134821</v>
      </c>
      <c r="E290" s="8" t="s">
        <v>1183</v>
      </c>
      <c r="F290" s="8" t="s">
        <v>767</v>
      </c>
      <c r="G290" s="8" t="s">
        <v>961</v>
      </c>
      <c r="H290" s="8" t="s">
        <v>51</v>
      </c>
      <c r="I290" s="8" t="s">
        <v>76</v>
      </c>
      <c r="J290" s="4" t="n">
        <v>465000</v>
      </c>
      <c r="K290" s="4" t="n">
        <v>419000</v>
      </c>
      <c r="L290" s="5" t="n">
        <v>0.1</v>
      </c>
      <c r="M290" s="4" t="n">
        <v>4</v>
      </c>
      <c r="N290" s="4" t="n">
        <v>0</v>
      </c>
      <c r="O290" s="4" t="n">
        <v>0</v>
      </c>
      <c r="P290" s="4" t="n">
        <v>0</v>
      </c>
      <c r="Q290" s="4" t="n">
        <v>0</v>
      </c>
      <c r="R290" s="4" t="n">
        <f aca="false">M290+N290+O290+P290+Q290</f>
        <v>4</v>
      </c>
      <c r="S290" s="4" t="n">
        <v>1</v>
      </c>
      <c r="T290" s="4" t="n">
        <f aca="false">R290*K290</f>
        <v>1676000</v>
      </c>
      <c r="U290" s="9" t="n">
        <f aca="false">IFERROR(M290/S290,0)</f>
        <v>4</v>
      </c>
      <c r="V290" s="5" t="n">
        <v>0.2196</v>
      </c>
    </row>
    <row r="291" customFormat="false" ht="15" hidden="false" customHeight="false" outlineLevel="0" collapsed="false">
      <c r="A291" s="8" t="s">
        <v>75</v>
      </c>
      <c r="B291" s="8" t="s">
        <v>22</v>
      </c>
      <c r="C291" s="8" t="s">
        <v>1098</v>
      </c>
      <c r="D291" s="8" t="n">
        <v>134830</v>
      </c>
      <c r="E291" s="8" t="s">
        <v>1184</v>
      </c>
      <c r="F291" s="8" t="s">
        <v>767</v>
      </c>
      <c r="G291" s="8" t="s">
        <v>961</v>
      </c>
      <c r="H291" s="8" t="s">
        <v>51</v>
      </c>
      <c r="I291" s="8" t="s">
        <v>76</v>
      </c>
      <c r="J291" s="4" t="n">
        <v>1655000</v>
      </c>
      <c r="K291" s="4" t="n">
        <v>1490000</v>
      </c>
      <c r="L291" s="5" t="n">
        <v>0.1</v>
      </c>
      <c r="M291" s="4" t="n">
        <v>3</v>
      </c>
      <c r="N291" s="4" t="n">
        <v>0</v>
      </c>
      <c r="O291" s="4" t="n">
        <v>0</v>
      </c>
      <c r="P291" s="4" t="n">
        <v>0</v>
      </c>
      <c r="Q291" s="4" t="n">
        <v>0</v>
      </c>
      <c r="R291" s="4" t="n">
        <f aca="false">M291+N291+O291+P291+Q291</f>
        <v>3</v>
      </c>
      <c r="S291" s="4" t="n">
        <v>1</v>
      </c>
      <c r="T291" s="4" t="n">
        <f aca="false">R291*K291</f>
        <v>4470000</v>
      </c>
      <c r="U291" s="9" t="n">
        <f aca="false">IFERROR(M291/S291,0)</f>
        <v>3</v>
      </c>
      <c r="V291" s="5" t="n">
        <v>0.1732</v>
      </c>
    </row>
    <row r="292" customFormat="false" ht="15" hidden="false" customHeight="false" outlineLevel="0" collapsed="false">
      <c r="A292" s="8" t="s">
        <v>75</v>
      </c>
      <c r="B292" s="8" t="s">
        <v>22</v>
      </c>
      <c r="C292" s="8" t="s">
        <v>1098</v>
      </c>
      <c r="D292" s="8" t="n">
        <v>133579</v>
      </c>
      <c r="E292" s="8" t="s">
        <v>1185</v>
      </c>
      <c r="F292" s="8" t="s">
        <v>767</v>
      </c>
      <c r="G292" s="8" t="s">
        <v>961</v>
      </c>
      <c r="H292" s="8" t="s">
        <v>51</v>
      </c>
      <c r="I292" s="8" t="s">
        <v>76</v>
      </c>
      <c r="J292" s="4" t="n">
        <v>125000</v>
      </c>
      <c r="K292" s="4" t="n">
        <v>113000</v>
      </c>
      <c r="L292" s="5" t="n">
        <v>0.1</v>
      </c>
      <c r="M292" s="4" t="n">
        <v>3</v>
      </c>
      <c r="N292" s="4" t="n">
        <v>0</v>
      </c>
      <c r="O292" s="4" t="n">
        <v>0</v>
      </c>
      <c r="P292" s="4" t="n">
        <v>0</v>
      </c>
      <c r="Q292" s="4" t="n">
        <v>0</v>
      </c>
      <c r="R292" s="4" t="n">
        <f aca="false">M292+N292+O292+P292+Q292</f>
        <v>3</v>
      </c>
      <c r="S292" s="4" t="n">
        <v>1</v>
      </c>
      <c r="T292" s="4" t="n">
        <f aca="false">R292*K292</f>
        <v>339000</v>
      </c>
      <c r="U292" s="9" t="n">
        <f aca="false">IFERROR(M292/S292,0)</f>
        <v>3</v>
      </c>
      <c r="V292" s="5" t="n">
        <v>0.1416</v>
      </c>
    </row>
    <row r="293" customFormat="false" ht="15" hidden="false" customHeight="false" outlineLevel="0" collapsed="false">
      <c r="A293" s="8" t="s">
        <v>75</v>
      </c>
      <c r="B293" s="8" t="s">
        <v>22</v>
      </c>
      <c r="C293" s="8" t="s">
        <v>1098</v>
      </c>
      <c r="D293" s="8" t="n">
        <v>134147</v>
      </c>
      <c r="E293" s="8" t="s">
        <v>1186</v>
      </c>
      <c r="F293" s="8" t="s">
        <v>767</v>
      </c>
      <c r="G293" s="8" t="s">
        <v>961</v>
      </c>
      <c r="H293" s="8" t="s">
        <v>51</v>
      </c>
      <c r="I293" s="8" t="s">
        <v>76</v>
      </c>
      <c r="J293" s="4" t="n">
        <v>1039000</v>
      </c>
      <c r="K293" s="4" t="n">
        <v>936000</v>
      </c>
      <c r="L293" s="5" t="n">
        <v>0.1</v>
      </c>
      <c r="M293" s="4" t="n">
        <v>2</v>
      </c>
      <c r="N293" s="4" t="n">
        <v>0</v>
      </c>
      <c r="O293" s="4" t="n">
        <v>0</v>
      </c>
      <c r="P293" s="4" t="n">
        <v>0</v>
      </c>
      <c r="Q293" s="4" t="n">
        <v>0</v>
      </c>
      <c r="R293" s="4" t="n">
        <f aca="false">M293+N293+O293+P293+Q293</f>
        <v>2</v>
      </c>
      <c r="S293" s="4" t="n">
        <v>1</v>
      </c>
      <c r="T293" s="4" t="n">
        <f aca="false">R293*K293</f>
        <v>1872000</v>
      </c>
      <c r="U293" s="9" t="n">
        <f aca="false">IFERROR(M293/S293,0)</f>
        <v>2</v>
      </c>
      <c r="V293" s="5" t="n">
        <v>0.2051</v>
      </c>
    </row>
    <row r="294" customFormat="false" ht="15" hidden="false" customHeight="false" outlineLevel="0" collapsed="false">
      <c r="A294" s="8" t="s">
        <v>75</v>
      </c>
      <c r="B294" s="8" t="s">
        <v>22</v>
      </c>
      <c r="C294" s="8" t="s">
        <v>1098</v>
      </c>
      <c r="D294" s="8" t="n">
        <v>134820</v>
      </c>
      <c r="E294" s="8" t="s">
        <v>1187</v>
      </c>
      <c r="F294" s="8" t="s">
        <v>767</v>
      </c>
      <c r="G294" s="8" t="s">
        <v>961</v>
      </c>
      <c r="H294" s="8" t="s">
        <v>51</v>
      </c>
      <c r="I294" s="8" t="s">
        <v>76</v>
      </c>
      <c r="J294" s="4" t="n">
        <v>416000</v>
      </c>
      <c r="K294" s="4" t="n">
        <v>375000</v>
      </c>
      <c r="L294" s="5" t="n">
        <v>0.1</v>
      </c>
      <c r="M294" s="4" t="n">
        <v>2</v>
      </c>
      <c r="N294" s="4" t="n">
        <v>0</v>
      </c>
      <c r="O294" s="4" t="n">
        <v>0</v>
      </c>
      <c r="P294" s="4" t="n">
        <v>0</v>
      </c>
      <c r="Q294" s="4" t="n">
        <v>0</v>
      </c>
      <c r="R294" s="4" t="n">
        <f aca="false">M294+N294+O294+P294+Q294</f>
        <v>2</v>
      </c>
      <c r="S294" s="4" t="n">
        <v>1</v>
      </c>
      <c r="T294" s="4" t="n">
        <f aca="false">R294*K294</f>
        <v>750000</v>
      </c>
      <c r="U294" s="9" t="n">
        <f aca="false">IFERROR(M294/S294,0)</f>
        <v>2</v>
      </c>
      <c r="V294" s="5" t="n">
        <v>0.216</v>
      </c>
    </row>
    <row r="295" customFormat="false" ht="15" hidden="false" customHeight="false" outlineLevel="0" collapsed="false">
      <c r="A295" s="8" t="s">
        <v>75</v>
      </c>
      <c r="B295" s="8" t="s">
        <v>22</v>
      </c>
      <c r="C295" s="8" t="s">
        <v>1098</v>
      </c>
      <c r="D295" s="8" t="n">
        <v>134822</v>
      </c>
      <c r="E295" s="8" t="s">
        <v>1188</v>
      </c>
      <c r="F295" s="8" t="s">
        <v>767</v>
      </c>
      <c r="G295" s="8" t="s">
        <v>961</v>
      </c>
      <c r="H295" s="8" t="s">
        <v>51</v>
      </c>
      <c r="I295" s="8" t="s">
        <v>76</v>
      </c>
      <c r="J295" s="4" t="n">
        <v>465000</v>
      </c>
      <c r="K295" s="4" t="n">
        <v>419000</v>
      </c>
      <c r="L295" s="5" t="n">
        <v>0.1</v>
      </c>
      <c r="M295" s="4" t="n">
        <v>2</v>
      </c>
      <c r="N295" s="4" t="n">
        <v>0</v>
      </c>
      <c r="O295" s="4" t="n">
        <v>0</v>
      </c>
      <c r="P295" s="4" t="n">
        <v>0</v>
      </c>
      <c r="Q295" s="4" t="n">
        <v>0</v>
      </c>
      <c r="R295" s="4" t="n">
        <f aca="false">M295+N295+O295+P295+Q295</f>
        <v>2</v>
      </c>
      <c r="S295" s="4" t="n">
        <v>1</v>
      </c>
      <c r="T295" s="4" t="n">
        <f aca="false">R295*K295</f>
        <v>838000</v>
      </c>
      <c r="U295" s="9" t="n">
        <f aca="false">IFERROR(M295/S295,0)</f>
        <v>2</v>
      </c>
      <c r="V295" s="5" t="n">
        <v>0.2196</v>
      </c>
    </row>
    <row r="296" customFormat="false" ht="15" hidden="false" customHeight="false" outlineLevel="0" collapsed="false">
      <c r="A296" s="8" t="s">
        <v>75</v>
      </c>
      <c r="B296" s="8" t="s">
        <v>22</v>
      </c>
      <c r="C296" s="8" t="s">
        <v>1098</v>
      </c>
      <c r="D296" s="8" t="n">
        <v>134828</v>
      </c>
      <c r="E296" s="8" t="s">
        <v>1189</v>
      </c>
      <c r="F296" s="8" t="s">
        <v>767</v>
      </c>
      <c r="G296" s="8" t="s">
        <v>961</v>
      </c>
      <c r="H296" s="8" t="s">
        <v>51</v>
      </c>
      <c r="I296" s="8" t="s">
        <v>76</v>
      </c>
      <c r="J296" s="4" t="n">
        <v>509000</v>
      </c>
      <c r="K296" s="4" t="n">
        <v>459000</v>
      </c>
      <c r="L296" s="5" t="n">
        <v>0.1</v>
      </c>
      <c r="M296" s="4" t="n">
        <v>2</v>
      </c>
      <c r="N296" s="4" t="n">
        <v>0</v>
      </c>
      <c r="O296" s="4" t="n">
        <v>0</v>
      </c>
      <c r="P296" s="4" t="n">
        <v>0</v>
      </c>
      <c r="Q296" s="4" t="n">
        <v>0</v>
      </c>
      <c r="R296" s="4" t="n">
        <f aca="false">M296+N296+O296+P296+Q296</f>
        <v>2</v>
      </c>
      <c r="S296" s="4" t="n">
        <v>1</v>
      </c>
      <c r="T296" s="4" t="n">
        <f aca="false">R296*K296</f>
        <v>918000</v>
      </c>
      <c r="U296" s="9" t="n">
        <f aca="false">IFERROR(M296/S296,0)</f>
        <v>2</v>
      </c>
      <c r="V296" s="5" t="n">
        <v>0.1699</v>
      </c>
    </row>
    <row r="297" customFormat="false" ht="15" hidden="false" customHeight="false" outlineLevel="0" collapsed="false">
      <c r="A297" s="8" t="s">
        <v>75</v>
      </c>
      <c r="B297" s="8" t="s">
        <v>22</v>
      </c>
      <c r="C297" s="8" t="s">
        <v>1098</v>
      </c>
      <c r="D297" s="8" t="n">
        <v>134834</v>
      </c>
      <c r="E297" s="8" t="s">
        <v>1190</v>
      </c>
      <c r="F297" s="8" t="s">
        <v>767</v>
      </c>
      <c r="G297" s="8" t="s">
        <v>961</v>
      </c>
      <c r="H297" s="8" t="s">
        <v>51</v>
      </c>
      <c r="I297" s="8" t="s">
        <v>76</v>
      </c>
      <c r="J297" s="4" t="n">
        <v>359000</v>
      </c>
      <c r="K297" s="4" t="n">
        <v>324000</v>
      </c>
      <c r="L297" s="5" t="n">
        <v>0.1</v>
      </c>
      <c r="M297" s="4" t="n">
        <v>2</v>
      </c>
      <c r="N297" s="4" t="n">
        <v>0</v>
      </c>
      <c r="O297" s="4" t="n">
        <v>0</v>
      </c>
      <c r="P297" s="4" t="n">
        <v>0</v>
      </c>
      <c r="Q297" s="4" t="n">
        <v>0</v>
      </c>
      <c r="R297" s="4" t="n">
        <f aca="false">M297+N297+O297+P297+Q297</f>
        <v>2</v>
      </c>
      <c r="S297" s="4" t="n">
        <v>1</v>
      </c>
      <c r="T297" s="4" t="n">
        <f aca="false">R297*K297</f>
        <v>648000</v>
      </c>
      <c r="U297" s="9" t="n">
        <f aca="false">IFERROR(M297/S297,0)</f>
        <v>2</v>
      </c>
      <c r="V297" s="5" t="n">
        <v>0.1975</v>
      </c>
    </row>
    <row r="298" customFormat="false" ht="15" hidden="false" customHeight="false" outlineLevel="0" collapsed="false">
      <c r="A298" s="8" t="s">
        <v>75</v>
      </c>
      <c r="B298" s="8" t="s">
        <v>22</v>
      </c>
      <c r="C298" s="8" t="s">
        <v>1098</v>
      </c>
      <c r="D298" s="8" t="n">
        <v>174015</v>
      </c>
      <c r="E298" s="8" t="s">
        <v>1191</v>
      </c>
      <c r="F298" s="8" t="s">
        <v>809</v>
      </c>
      <c r="G298" s="8" t="s">
        <v>961</v>
      </c>
      <c r="H298" s="8" t="s">
        <v>51</v>
      </c>
      <c r="I298" s="8" t="s">
        <v>76</v>
      </c>
      <c r="J298" s="4" t="n">
        <v>245000</v>
      </c>
      <c r="K298" s="4" t="n">
        <v>221000</v>
      </c>
      <c r="L298" s="5" t="n">
        <v>0.1</v>
      </c>
      <c r="M298" s="4" t="n">
        <v>1</v>
      </c>
      <c r="N298" s="4" t="n">
        <v>0</v>
      </c>
      <c r="O298" s="4" t="n">
        <v>0</v>
      </c>
      <c r="P298" s="4" t="n">
        <v>0</v>
      </c>
      <c r="Q298" s="4" t="n">
        <v>0</v>
      </c>
      <c r="R298" s="4" t="n">
        <f aca="false">M298+N298+O298+P298+Q298</f>
        <v>1</v>
      </c>
      <c r="S298" s="4" t="n">
        <v>1</v>
      </c>
      <c r="T298" s="4" t="n">
        <f aca="false">R298*K298</f>
        <v>221000</v>
      </c>
      <c r="U298" s="9" t="n">
        <f aca="false">IFERROR(M298/S298,0)</f>
        <v>1</v>
      </c>
      <c r="V298" s="5" t="n">
        <v>0.3656</v>
      </c>
    </row>
    <row r="299" customFormat="false" ht="15" hidden="false" customHeight="false" outlineLevel="0" collapsed="false">
      <c r="A299" s="8" t="s">
        <v>75</v>
      </c>
      <c r="B299" s="8" t="s">
        <v>22</v>
      </c>
      <c r="C299" s="8" t="s">
        <v>1098</v>
      </c>
      <c r="D299" s="8" t="n">
        <v>133767</v>
      </c>
      <c r="E299" s="8" t="s">
        <v>1192</v>
      </c>
      <c r="F299" s="8" t="s">
        <v>767</v>
      </c>
      <c r="G299" s="8" t="s">
        <v>961</v>
      </c>
      <c r="H299" s="8" t="s">
        <v>51</v>
      </c>
      <c r="I299" s="8" t="s">
        <v>76</v>
      </c>
      <c r="J299" s="4" t="n">
        <v>735000</v>
      </c>
      <c r="K299" s="4" t="n">
        <v>662000</v>
      </c>
      <c r="L299" s="5" t="n">
        <v>0.1</v>
      </c>
      <c r="M299" s="4" t="n">
        <v>1</v>
      </c>
      <c r="N299" s="4" t="n">
        <v>0</v>
      </c>
      <c r="O299" s="4" t="n">
        <v>0</v>
      </c>
      <c r="P299" s="4" t="n">
        <v>0</v>
      </c>
      <c r="Q299" s="4" t="n">
        <v>0</v>
      </c>
      <c r="R299" s="4" t="n">
        <f aca="false">M299+N299+O299+P299+Q299</f>
        <v>1</v>
      </c>
      <c r="S299" s="4" t="n">
        <v>1</v>
      </c>
      <c r="T299" s="4" t="n">
        <f aca="false">R299*K299</f>
        <v>662000</v>
      </c>
      <c r="U299" s="9" t="n">
        <f aca="false">IFERROR(M299/S299,0)</f>
        <v>1</v>
      </c>
      <c r="V299" s="5" t="n">
        <v>0.4486</v>
      </c>
    </row>
    <row r="300" customFormat="false" ht="15" hidden="false" customHeight="false" outlineLevel="0" collapsed="false">
      <c r="A300" s="8" t="s">
        <v>75</v>
      </c>
      <c r="B300" s="8" t="s">
        <v>22</v>
      </c>
      <c r="C300" s="8" t="s">
        <v>1098</v>
      </c>
      <c r="D300" s="8" t="n">
        <v>133845</v>
      </c>
      <c r="E300" s="8" t="s">
        <v>1193</v>
      </c>
      <c r="F300" s="8" t="s">
        <v>767</v>
      </c>
      <c r="G300" s="8" t="s">
        <v>961</v>
      </c>
      <c r="H300" s="8" t="s">
        <v>51</v>
      </c>
      <c r="I300" s="8" t="s">
        <v>76</v>
      </c>
      <c r="J300" s="4" t="n">
        <v>50000</v>
      </c>
      <c r="K300" s="4" t="n">
        <v>45000</v>
      </c>
      <c r="L300" s="5" t="n">
        <v>0.1</v>
      </c>
      <c r="M300" s="4" t="n">
        <v>1</v>
      </c>
      <c r="N300" s="4" t="n">
        <v>0</v>
      </c>
      <c r="O300" s="4" t="n">
        <v>0</v>
      </c>
      <c r="P300" s="4" t="n">
        <v>0</v>
      </c>
      <c r="Q300" s="4" t="n">
        <v>0</v>
      </c>
      <c r="R300" s="4" t="n">
        <f aca="false">M300+N300+O300+P300+Q300</f>
        <v>1</v>
      </c>
      <c r="S300" s="4" t="n">
        <v>1</v>
      </c>
      <c r="T300" s="4" t="n">
        <f aca="false">R300*K300</f>
        <v>45000</v>
      </c>
      <c r="U300" s="9" t="n">
        <f aca="false">IFERROR(M300/S300,0)</f>
        <v>1</v>
      </c>
      <c r="V300" s="5" t="n">
        <v>0.5556</v>
      </c>
    </row>
    <row r="301" customFormat="false" ht="15" hidden="false" customHeight="false" outlineLevel="0" collapsed="false">
      <c r="A301" s="8" t="s">
        <v>75</v>
      </c>
      <c r="B301" s="8" t="s">
        <v>22</v>
      </c>
      <c r="C301" s="8" t="s">
        <v>1098</v>
      </c>
      <c r="D301" s="8" t="n">
        <v>133770</v>
      </c>
      <c r="E301" s="8" t="s">
        <v>1194</v>
      </c>
      <c r="F301" s="8" t="s">
        <v>794</v>
      </c>
      <c r="G301" s="8" t="s">
        <v>970</v>
      </c>
      <c r="H301" s="8" t="s">
        <v>51</v>
      </c>
      <c r="I301" s="8" t="s">
        <v>76</v>
      </c>
      <c r="J301" s="4" t="n">
        <v>300000</v>
      </c>
      <c r="K301" s="4" t="n">
        <v>270000</v>
      </c>
      <c r="L301" s="5" t="n">
        <v>0.1</v>
      </c>
      <c r="M301" s="4" t="n">
        <v>1</v>
      </c>
      <c r="N301" s="4" t="n">
        <v>0</v>
      </c>
      <c r="O301" s="4" t="n">
        <v>0</v>
      </c>
      <c r="P301" s="4" t="n">
        <v>0</v>
      </c>
      <c r="Q301" s="4" t="n">
        <v>0</v>
      </c>
      <c r="R301" s="4" t="n">
        <f aca="false">M301+N301+O301+P301+Q301</f>
        <v>1</v>
      </c>
      <c r="S301" s="4" t="n">
        <v>1</v>
      </c>
      <c r="T301" s="4" t="n">
        <f aca="false">R301*K301</f>
        <v>270000</v>
      </c>
      <c r="U301" s="9" t="n">
        <f aca="false">IFERROR(M301/S301,0)</f>
        <v>1</v>
      </c>
      <c r="V301" s="5" t="n">
        <v>0.5556</v>
      </c>
    </row>
    <row r="302" customFormat="false" ht="15" hidden="false" customHeight="false" outlineLevel="0" collapsed="false">
      <c r="A302" s="8" t="s">
        <v>75</v>
      </c>
      <c r="B302" s="8" t="s">
        <v>22</v>
      </c>
      <c r="C302" s="8" t="s">
        <v>1098</v>
      </c>
      <c r="D302" s="8" t="n">
        <v>134824</v>
      </c>
      <c r="E302" s="8" t="s">
        <v>1195</v>
      </c>
      <c r="F302" s="8" t="s">
        <v>767</v>
      </c>
      <c r="G302" s="8" t="s">
        <v>961</v>
      </c>
      <c r="H302" s="8" t="s">
        <v>51</v>
      </c>
      <c r="I302" s="8" t="s">
        <v>76</v>
      </c>
      <c r="J302" s="4" t="n">
        <v>1019000</v>
      </c>
      <c r="K302" s="4" t="n">
        <v>918000</v>
      </c>
      <c r="L302" s="5" t="n">
        <v>0.1</v>
      </c>
      <c r="M302" s="4" t="n">
        <v>1</v>
      </c>
      <c r="N302" s="4" t="n">
        <v>0</v>
      </c>
      <c r="O302" s="4" t="n">
        <v>0</v>
      </c>
      <c r="P302" s="4" t="n">
        <v>0</v>
      </c>
      <c r="Q302" s="4" t="n">
        <v>0</v>
      </c>
      <c r="R302" s="4" t="n">
        <f aca="false">M302+N302+O302+P302+Q302</f>
        <v>1</v>
      </c>
      <c r="S302" s="4" t="n">
        <v>1</v>
      </c>
      <c r="T302" s="4" t="n">
        <f aca="false">R302*K302</f>
        <v>918000</v>
      </c>
      <c r="U302" s="9" t="n">
        <f aca="false">IFERROR(M302/S302,0)</f>
        <v>1</v>
      </c>
      <c r="V302" s="5" t="n">
        <v>0.2146</v>
      </c>
    </row>
    <row r="303" customFormat="false" ht="15" hidden="false" customHeight="false" outlineLevel="0" collapsed="false">
      <c r="A303" s="8" t="s">
        <v>75</v>
      </c>
      <c r="B303" s="8" t="s">
        <v>22</v>
      </c>
      <c r="C303" s="8" t="s">
        <v>1098</v>
      </c>
      <c r="D303" s="8" t="n">
        <v>134156</v>
      </c>
      <c r="E303" s="8" t="s">
        <v>1196</v>
      </c>
      <c r="F303" s="8" t="s">
        <v>809</v>
      </c>
      <c r="G303" s="8" t="s">
        <v>961</v>
      </c>
      <c r="H303" s="8" t="s">
        <v>51</v>
      </c>
      <c r="I303" s="8" t="s">
        <v>76</v>
      </c>
      <c r="J303" s="4" t="n">
        <v>194000</v>
      </c>
      <c r="K303" s="4" t="n">
        <v>175000</v>
      </c>
      <c r="L303" s="5" t="n">
        <v>0.1</v>
      </c>
      <c r="M303" s="4" t="n">
        <v>1</v>
      </c>
      <c r="N303" s="4" t="n">
        <v>0</v>
      </c>
      <c r="O303" s="4" t="n">
        <v>0</v>
      </c>
      <c r="P303" s="4" t="n">
        <v>0</v>
      </c>
      <c r="Q303" s="4" t="n">
        <v>0</v>
      </c>
      <c r="R303" s="4" t="n">
        <f aca="false">M303+N303+O303+P303+Q303</f>
        <v>1</v>
      </c>
      <c r="S303" s="4" t="n">
        <v>1</v>
      </c>
      <c r="T303" s="4" t="n">
        <f aca="false">R303*K303</f>
        <v>175000</v>
      </c>
      <c r="U303" s="9" t="n">
        <f aca="false">IFERROR(M303/S303,0)</f>
        <v>1</v>
      </c>
      <c r="V303" s="5" t="n">
        <v>0.1636</v>
      </c>
    </row>
    <row r="304" customFormat="false" ht="15" hidden="false" customHeight="false" outlineLevel="0" collapsed="false">
      <c r="A304" s="8" t="s">
        <v>75</v>
      </c>
      <c r="B304" s="8" t="s">
        <v>22</v>
      </c>
      <c r="C304" s="8" t="s">
        <v>1098</v>
      </c>
      <c r="D304" s="8" t="n">
        <v>133842</v>
      </c>
      <c r="E304" s="8" t="s">
        <v>805</v>
      </c>
      <c r="F304" s="8" t="s">
        <v>767</v>
      </c>
      <c r="G304" s="8" t="s">
        <v>961</v>
      </c>
      <c r="H304" s="8" t="s">
        <v>51</v>
      </c>
      <c r="I304" s="8" t="s">
        <v>76</v>
      </c>
      <c r="J304" s="4" t="n">
        <v>50000</v>
      </c>
      <c r="K304" s="4" t="n">
        <v>45000</v>
      </c>
      <c r="L304" s="5" t="n">
        <v>0.1</v>
      </c>
      <c r="M304" s="4" t="n">
        <v>0</v>
      </c>
      <c r="N304" s="4" t="n">
        <v>0</v>
      </c>
      <c r="O304" s="4" t="n">
        <v>0</v>
      </c>
      <c r="P304" s="4" t="n">
        <v>0</v>
      </c>
      <c r="Q304" s="4" t="n">
        <v>0</v>
      </c>
      <c r="R304" s="4" t="n">
        <f aca="false">M304+N304+O304+P304+Q304</f>
        <v>0</v>
      </c>
      <c r="S304" s="4" t="n">
        <v>0</v>
      </c>
      <c r="T304" s="4" t="n">
        <f aca="false">R304*K304</f>
        <v>0</v>
      </c>
      <c r="U304" s="9" t="n">
        <f aca="false">IFERROR(M304/S304,0)</f>
        <v>0</v>
      </c>
      <c r="V304" s="5" t="n">
        <v>0.5556</v>
      </c>
    </row>
    <row r="305" customFormat="false" ht="15" hidden="false" customHeight="false" outlineLevel="0" collapsed="false">
      <c r="A305" s="8" t="s">
        <v>75</v>
      </c>
      <c r="B305" s="8" t="s">
        <v>22</v>
      </c>
      <c r="C305" s="8" t="s">
        <v>1098</v>
      </c>
      <c r="D305" s="8" t="n">
        <v>134819</v>
      </c>
      <c r="E305" s="8" t="s">
        <v>806</v>
      </c>
      <c r="F305" s="8" t="s">
        <v>767</v>
      </c>
      <c r="G305" s="8" t="s">
        <v>961</v>
      </c>
      <c r="H305" s="8" t="s">
        <v>51</v>
      </c>
      <c r="I305" s="8" t="s">
        <v>76</v>
      </c>
      <c r="J305" s="4" t="n">
        <v>1100000</v>
      </c>
      <c r="K305" s="4" t="n">
        <v>990000</v>
      </c>
      <c r="L305" s="5" t="n">
        <v>0.1</v>
      </c>
      <c r="M305" s="4" t="n">
        <v>0</v>
      </c>
      <c r="N305" s="4" t="n">
        <v>0</v>
      </c>
      <c r="O305" s="4" t="n">
        <v>0</v>
      </c>
      <c r="P305" s="4" t="n">
        <v>0</v>
      </c>
      <c r="Q305" s="4" t="n">
        <v>0</v>
      </c>
      <c r="R305" s="4" t="n">
        <f aca="false">M305+N305+O305+P305+Q305</f>
        <v>0</v>
      </c>
      <c r="S305" s="4" t="n">
        <v>0</v>
      </c>
      <c r="T305" s="4" t="n">
        <f aca="false">R305*K305</f>
        <v>0</v>
      </c>
      <c r="U305" s="9" t="n">
        <f aca="false">IFERROR(M305/S305,0)</f>
        <v>0</v>
      </c>
      <c r="V305" s="5" t="n">
        <v>0.2798</v>
      </c>
    </row>
    <row r="306" customFormat="false" ht="15" hidden="false" customHeight="false" outlineLevel="0" collapsed="false">
      <c r="A306" s="8" t="s">
        <v>75</v>
      </c>
      <c r="B306" s="8" t="s">
        <v>22</v>
      </c>
      <c r="C306" s="8" t="s">
        <v>1098</v>
      </c>
      <c r="D306" s="8" t="n">
        <v>134829</v>
      </c>
      <c r="E306" s="8" t="s">
        <v>807</v>
      </c>
      <c r="F306" s="8" t="s">
        <v>767</v>
      </c>
      <c r="G306" s="8" t="s">
        <v>961</v>
      </c>
      <c r="H306" s="8" t="s">
        <v>51</v>
      </c>
      <c r="I306" s="8" t="s">
        <v>76</v>
      </c>
      <c r="J306" s="4" t="n">
        <v>611000</v>
      </c>
      <c r="K306" s="4" t="n">
        <v>550000</v>
      </c>
      <c r="L306" s="5" t="n">
        <v>0.1</v>
      </c>
      <c r="M306" s="4" t="n">
        <v>0</v>
      </c>
      <c r="N306" s="4" t="n">
        <v>0</v>
      </c>
      <c r="O306" s="4" t="n">
        <v>0</v>
      </c>
      <c r="P306" s="4" t="n">
        <v>0</v>
      </c>
      <c r="Q306" s="4" t="n">
        <v>0</v>
      </c>
      <c r="R306" s="4" t="n">
        <f aca="false">M306+N306+O306+P306+Q306</f>
        <v>0</v>
      </c>
      <c r="S306" s="4" t="n">
        <v>0</v>
      </c>
      <c r="T306" s="4" t="n">
        <f aca="false">R306*K306</f>
        <v>0</v>
      </c>
      <c r="U306" s="9" t="n">
        <f aca="false">IFERROR(M306/S306,0)</f>
        <v>0</v>
      </c>
      <c r="V306" s="5" t="n">
        <v>0.1691</v>
      </c>
    </row>
    <row r="307" customFormat="false" ht="15" hidden="false" customHeight="false" outlineLevel="0" collapsed="false">
      <c r="A307" s="8" t="s">
        <v>118</v>
      </c>
      <c r="B307" s="8" t="s">
        <v>25</v>
      </c>
      <c r="C307" s="8" t="s">
        <v>1043</v>
      </c>
      <c r="D307" s="8" t="n">
        <v>110221</v>
      </c>
      <c r="E307" s="8" t="s">
        <v>533</v>
      </c>
      <c r="F307" s="8" t="s">
        <v>1044</v>
      </c>
      <c r="G307" s="8" t="s">
        <v>961</v>
      </c>
      <c r="H307" s="8" t="s">
        <v>62</v>
      </c>
      <c r="I307" s="8" t="s">
        <v>119</v>
      </c>
      <c r="J307" s="4" t="n">
        <v>75000</v>
      </c>
      <c r="K307" s="4" t="n">
        <v>56000</v>
      </c>
      <c r="L307" s="5" t="n">
        <v>0.25</v>
      </c>
      <c r="M307" s="4" t="n">
        <v>1887</v>
      </c>
      <c r="N307" s="4" t="n">
        <v>638</v>
      </c>
      <c r="O307" s="4" t="n">
        <v>708</v>
      </c>
      <c r="P307" s="4" t="n">
        <v>0</v>
      </c>
      <c r="Q307" s="4" t="n">
        <v>24</v>
      </c>
      <c r="R307" s="4" t="n">
        <f aca="false">M307+N307+O307+P307+Q307</f>
        <v>3257</v>
      </c>
      <c r="S307" s="4" t="n">
        <v>24</v>
      </c>
      <c r="T307" s="4" t="n">
        <f aca="false">R307*K307</f>
        <v>182392000</v>
      </c>
      <c r="U307" s="9" t="n">
        <f aca="false">IFERROR(M307/S307,0)</f>
        <v>78.625</v>
      </c>
      <c r="V307" s="5"/>
    </row>
    <row r="308" customFormat="false" ht="15" hidden="false" customHeight="false" outlineLevel="0" collapsed="false">
      <c r="A308" s="8" t="s">
        <v>118</v>
      </c>
      <c r="B308" s="8" t="s">
        <v>25</v>
      </c>
      <c r="C308" s="8" t="s">
        <v>1043</v>
      </c>
      <c r="D308" s="8" t="n">
        <v>110028</v>
      </c>
      <c r="E308" s="8" t="s">
        <v>532</v>
      </c>
      <c r="F308" s="8" t="s">
        <v>1044</v>
      </c>
      <c r="G308" s="8" t="s">
        <v>961</v>
      </c>
      <c r="H308" s="8" t="s">
        <v>62</v>
      </c>
      <c r="I308" s="8" t="s">
        <v>119</v>
      </c>
      <c r="J308" s="4" t="n">
        <v>75000</v>
      </c>
      <c r="K308" s="4" t="n">
        <v>56000</v>
      </c>
      <c r="L308" s="5" t="n">
        <v>0.25</v>
      </c>
      <c r="M308" s="4" t="n">
        <v>827</v>
      </c>
      <c r="N308" s="4" t="n">
        <v>0</v>
      </c>
      <c r="O308" s="4" t="n">
        <v>369</v>
      </c>
      <c r="P308" s="4" t="n">
        <v>0</v>
      </c>
      <c r="Q308" s="4" t="n">
        <v>17</v>
      </c>
      <c r="R308" s="4" t="n">
        <f aca="false">M308+N308+O308+P308+Q308</f>
        <v>1213</v>
      </c>
      <c r="S308" s="4" t="n">
        <v>22</v>
      </c>
      <c r="T308" s="4" t="n">
        <f aca="false">R308*K308</f>
        <v>67928000</v>
      </c>
      <c r="U308" s="9" t="n">
        <f aca="false">IFERROR(M308/S308,0)</f>
        <v>37.5909090909091</v>
      </c>
      <c r="V308" s="5"/>
    </row>
    <row r="309" customFormat="false" ht="15" hidden="false" customHeight="false" outlineLevel="0" collapsed="false">
      <c r="A309" s="8" t="s">
        <v>125</v>
      </c>
      <c r="B309" s="8" t="s">
        <v>25</v>
      </c>
      <c r="C309" s="8" t="s">
        <v>1043</v>
      </c>
      <c r="D309" s="8" t="n">
        <v>110685</v>
      </c>
      <c r="E309" s="8" t="s">
        <v>432</v>
      </c>
      <c r="F309" s="8" t="s">
        <v>809</v>
      </c>
      <c r="G309" s="8" t="s">
        <v>961</v>
      </c>
      <c r="H309" s="8" t="s">
        <v>51</v>
      </c>
      <c r="I309" s="8" t="s">
        <v>126</v>
      </c>
      <c r="J309" s="4" t="n">
        <v>70000</v>
      </c>
      <c r="K309" s="4" t="n">
        <v>47000</v>
      </c>
      <c r="L309" s="5" t="n">
        <v>0.33333</v>
      </c>
      <c r="M309" s="4" t="n">
        <v>301</v>
      </c>
      <c r="N309" s="4" t="n">
        <v>686</v>
      </c>
      <c r="O309" s="4" t="n">
        <v>24</v>
      </c>
      <c r="P309" s="4" t="n">
        <v>0</v>
      </c>
      <c r="Q309" s="4" t="n">
        <v>42</v>
      </c>
      <c r="R309" s="4" t="n">
        <f aca="false">M309+N309+O309+P309+Q309</f>
        <v>1053</v>
      </c>
      <c r="S309" s="4" t="n">
        <v>23</v>
      </c>
      <c r="T309" s="4" t="n">
        <f aca="false">R309*K309</f>
        <v>49491000</v>
      </c>
      <c r="U309" s="9" t="n">
        <f aca="false">IFERROR(M309/S309,0)</f>
        <v>13.0869565217391</v>
      </c>
      <c r="V309" s="5" t="n">
        <v>0.0638</v>
      </c>
    </row>
    <row r="310" customFormat="false" ht="15" hidden="false" customHeight="false" outlineLevel="0" collapsed="false">
      <c r="A310" s="8" t="s">
        <v>125</v>
      </c>
      <c r="B310" s="8" t="s">
        <v>25</v>
      </c>
      <c r="C310" s="8" t="s">
        <v>1043</v>
      </c>
      <c r="D310" s="8" t="n">
        <v>111038</v>
      </c>
      <c r="E310" s="8" t="s">
        <v>370</v>
      </c>
      <c r="F310" s="8" t="s">
        <v>1044</v>
      </c>
      <c r="G310" s="8" t="s">
        <v>961</v>
      </c>
      <c r="H310" s="8" t="s">
        <v>51</v>
      </c>
      <c r="I310" s="8" t="s">
        <v>126</v>
      </c>
      <c r="J310" s="4" t="n">
        <v>89000</v>
      </c>
      <c r="K310" s="4" t="n">
        <v>60000</v>
      </c>
      <c r="L310" s="5" t="n">
        <v>0.33333</v>
      </c>
      <c r="M310" s="4" t="n">
        <v>252</v>
      </c>
      <c r="N310" s="4" t="n">
        <v>470</v>
      </c>
      <c r="O310" s="4" t="n">
        <v>139</v>
      </c>
      <c r="P310" s="4" t="n">
        <v>0</v>
      </c>
      <c r="Q310" s="4" t="n">
        <v>17</v>
      </c>
      <c r="R310" s="4" t="n">
        <f aca="false">M310+N310+O310+P310+Q310</f>
        <v>878</v>
      </c>
      <c r="S310" s="4" t="n">
        <v>22</v>
      </c>
      <c r="T310" s="4" t="n">
        <f aca="false">R310*K310</f>
        <v>52680000</v>
      </c>
      <c r="U310" s="9" t="n">
        <f aca="false">IFERROR(M310/S310,0)</f>
        <v>11.4545454545455</v>
      </c>
      <c r="V310" s="5" t="n">
        <v>0.0297</v>
      </c>
    </row>
    <row r="311" customFormat="false" ht="15" hidden="false" customHeight="false" outlineLevel="0" collapsed="false">
      <c r="A311" s="8" t="s">
        <v>125</v>
      </c>
      <c r="B311" s="8" t="s">
        <v>25</v>
      </c>
      <c r="C311" s="8" t="s">
        <v>1043</v>
      </c>
      <c r="D311" s="8" t="n">
        <v>110683</v>
      </c>
      <c r="E311" s="8" t="s">
        <v>435</v>
      </c>
      <c r="F311" s="8" t="s">
        <v>809</v>
      </c>
      <c r="G311" s="8" t="s">
        <v>961</v>
      </c>
      <c r="H311" s="8" t="s">
        <v>51</v>
      </c>
      <c r="I311" s="8" t="s">
        <v>126</v>
      </c>
      <c r="J311" s="4" t="n">
        <v>85000</v>
      </c>
      <c r="K311" s="4" t="n">
        <v>57000</v>
      </c>
      <c r="L311" s="5" t="n">
        <v>0.33333</v>
      </c>
      <c r="M311" s="4" t="n">
        <v>411</v>
      </c>
      <c r="N311" s="4" t="n">
        <v>181</v>
      </c>
      <c r="O311" s="4" t="n">
        <v>32</v>
      </c>
      <c r="P311" s="4" t="n">
        <v>0</v>
      </c>
      <c r="Q311" s="4" t="n">
        <v>0</v>
      </c>
      <c r="R311" s="4" t="n">
        <f aca="false">M311+N311+O311+P311+Q311</f>
        <v>624</v>
      </c>
      <c r="S311" s="4" t="n">
        <v>23</v>
      </c>
      <c r="T311" s="4" t="n">
        <f aca="false">R311*K311</f>
        <v>35568000</v>
      </c>
      <c r="U311" s="9" t="n">
        <f aca="false">IFERROR(M311/S311,0)</f>
        <v>17.8695652173913</v>
      </c>
      <c r="V311" s="5" t="n">
        <v>0.2105</v>
      </c>
    </row>
    <row r="312" customFormat="false" ht="15" hidden="false" customHeight="false" outlineLevel="0" collapsed="false">
      <c r="A312" s="8" t="s">
        <v>125</v>
      </c>
      <c r="B312" s="8" t="s">
        <v>25</v>
      </c>
      <c r="C312" s="8" t="s">
        <v>1043</v>
      </c>
      <c r="D312" s="8" t="n">
        <v>110687</v>
      </c>
      <c r="E312" s="8" t="s">
        <v>436</v>
      </c>
      <c r="F312" s="8" t="s">
        <v>809</v>
      </c>
      <c r="G312" s="8" t="s">
        <v>961</v>
      </c>
      <c r="H312" s="8" t="s">
        <v>51</v>
      </c>
      <c r="I312" s="8" t="s">
        <v>126</v>
      </c>
      <c r="J312" s="4" t="n">
        <v>70000</v>
      </c>
      <c r="K312" s="4" t="n">
        <v>47000</v>
      </c>
      <c r="L312" s="5" t="n">
        <v>0.33333</v>
      </c>
      <c r="M312" s="4" t="n">
        <v>288</v>
      </c>
      <c r="N312" s="4" t="n">
        <v>145</v>
      </c>
      <c r="O312" s="4" t="n">
        <v>30</v>
      </c>
      <c r="P312" s="4" t="n">
        <v>0</v>
      </c>
      <c r="Q312" s="4" t="n">
        <v>71</v>
      </c>
      <c r="R312" s="4" t="n">
        <f aca="false">M312+N312+O312+P312+Q312</f>
        <v>534</v>
      </c>
      <c r="S312" s="4" t="n">
        <v>23</v>
      </c>
      <c r="T312" s="4" t="n">
        <f aca="false">R312*K312</f>
        <v>25098000</v>
      </c>
      <c r="U312" s="9" t="n">
        <f aca="false">IFERROR(M312/S312,0)</f>
        <v>12.5217391304348</v>
      </c>
      <c r="V312" s="5" t="n">
        <v>0.0638</v>
      </c>
    </row>
    <row r="313" customFormat="false" ht="15" hidden="false" customHeight="false" outlineLevel="0" collapsed="false">
      <c r="A313" s="8" t="s">
        <v>125</v>
      </c>
      <c r="B313" s="8" t="s">
        <v>25</v>
      </c>
      <c r="C313" s="8" t="s">
        <v>1043</v>
      </c>
      <c r="D313" s="8" t="n">
        <v>174510</v>
      </c>
      <c r="E313" s="8" t="s">
        <v>381</v>
      </c>
      <c r="F313" s="8" t="s">
        <v>809</v>
      </c>
      <c r="G313" s="8" t="s">
        <v>961</v>
      </c>
      <c r="H313" s="8" t="s">
        <v>51</v>
      </c>
      <c r="I313" s="8" t="s">
        <v>126</v>
      </c>
      <c r="J313" s="4" t="n">
        <v>75000</v>
      </c>
      <c r="K313" s="4" t="n">
        <v>51000</v>
      </c>
      <c r="L313" s="5" t="n">
        <v>0.33333</v>
      </c>
      <c r="M313" s="4" t="n">
        <v>265</v>
      </c>
      <c r="N313" s="4" t="n">
        <v>129</v>
      </c>
      <c r="O313" s="4" t="n">
        <v>30</v>
      </c>
      <c r="P313" s="4" t="n">
        <v>0</v>
      </c>
      <c r="Q313" s="4" t="n">
        <v>0</v>
      </c>
      <c r="R313" s="4" t="n">
        <f aca="false">M313+N313+O313+P313+Q313</f>
        <v>424</v>
      </c>
      <c r="S313" s="4" t="n">
        <v>22</v>
      </c>
      <c r="T313" s="4" t="n">
        <f aca="false">R313*K313</f>
        <v>21624000</v>
      </c>
      <c r="U313" s="9" t="n">
        <f aca="false">IFERROR(M313/S313,0)</f>
        <v>12.0454545454545</v>
      </c>
      <c r="V313" s="5" t="n">
        <v>0.1373</v>
      </c>
    </row>
    <row r="314" customFormat="false" ht="15" hidden="false" customHeight="false" outlineLevel="0" collapsed="false">
      <c r="A314" s="8" t="s">
        <v>125</v>
      </c>
      <c r="B314" s="8" t="s">
        <v>25</v>
      </c>
      <c r="C314" s="8" t="s">
        <v>1043</v>
      </c>
      <c r="D314" s="8" t="n">
        <v>110652</v>
      </c>
      <c r="E314" s="8" t="s">
        <v>535</v>
      </c>
      <c r="F314" s="8" t="s">
        <v>809</v>
      </c>
      <c r="G314" s="8" t="s">
        <v>961</v>
      </c>
      <c r="H314" s="8" t="s">
        <v>51</v>
      </c>
      <c r="I314" s="8" t="s">
        <v>126</v>
      </c>
      <c r="J314" s="4" t="n">
        <v>105000</v>
      </c>
      <c r="K314" s="4" t="n">
        <v>71000</v>
      </c>
      <c r="L314" s="5" t="n">
        <v>0.33333</v>
      </c>
      <c r="M314" s="4" t="n">
        <v>285</v>
      </c>
      <c r="N314" s="4" t="n">
        <v>0</v>
      </c>
      <c r="O314" s="4" t="n">
        <v>21</v>
      </c>
      <c r="P314" s="4" t="n">
        <v>0</v>
      </c>
      <c r="Q314" s="4" t="n">
        <v>56</v>
      </c>
      <c r="R314" s="4" t="n">
        <f aca="false">M314+N314+O314+P314+Q314</f>
        <v>362</v>
      </c>
      <c r="S314" s="4" t="n">
        <v>23</v>
      </c>
      <c r="T314" s="4" t="n">
        <f aca="false">R314*K314</f>
        <v>25702000</v>
      </c>
      <c r="U314" s="9" t="n">
        <f aca="false">IFERROR(M314/S314,0)</f>
        <v>12.3913043478261</v>
      </c>
      <c r="V314" s="5" t="n">
        <v>0.0535</v>
      </c>
    </row>
    <row r="315" customFormat="false" ht="15" hidden="false" customHeight="false" outlineLevel="0" collapsed="false">
      <c r="A315" s="8" t="s">
        <v>125</v>
      </c>
      <c r="B315" s="8" t="s">
        <v>25</v>
      </c>
      <c r="C315" s="8" t="s">
        <v>1043</v>
      </c>
      <c r="D315" s="8" t="n">
        <v>110686</v>
      </c>
      <c r="E315" s="8" t="s">
        <v>536</v>
      </c>
      <c r="F315" s="8" t="s">
        <v>809</v>
      </c>
      <c r="G315" s="8" t="s">
        <v>961</v>
      </c>
      <c r="H315" s="8" t="s">
        <v>51</v>
      </c>
      <c r="I315" s="8" t="s">
        <v>126</v>
      </c>
      <c r="J315" s="4" t="n">
        <v>70000</v>
      </c>
      <c r="K315" s="4" t="n">
        <v>47000</v>
      </c>
      <c r="L315" s="5" t="n">
        <v>0.33333</v>
      </c>
      <c r="M315" s="4" t="n">
        <v>208</v>
      </c>
      <c r="N315" s="4" t="n">
        <v>0</v>
      </c>
      <c r="O315" s="4" t="n">
        <v>19</v>
      </c>
      <c r="P315" s="4" t="n">
        <v>0</v>
      </c>
      <c r="Q315" s="4" t="n">
        <v>37</v>
      </c>
      <c r="R315" s="4" t="n">
        <f aca="false">M315+N315+O315+P315+Q315</f>
        <v>264</v>
      </c>
      <c r="S315" s="4" t="n">
        <v>21</v>
      </c>
      <c r="T315" s="4" t="n">
        <f aca="false">R315*K315</f>
        <v>12408000</v>
      </c>
      <c r="U315" s="9" t="n">
        <f aca="false">IFERROR(M315/S315,0)</f>
        <v>9.90476190476191</v>
      </c>
      <c r="V315" s="5" t="n">
        <v>0.0426</v>
      </c>
    </row>
    <row r="316" customFormat="false" ht="15" hidden="false" customHeight="false" outlineLevel="0" collapsed="false">
      <c r="A316" s="8" t="s">
        <v>125</v>
      </c>
      <c r="B316" s="8" t="s">
        <v>25</v>
      </c>
      <c r="C316" s="8" t="s">
        <v>1043</v>
      </c>
      <c r="D316" s="8" t="n">
        <v>110535</v>
      </c>
      <c r="E316" s="8" t="s">
        <v>534</v>
      </c>
      <c r="F316" s="8" t="s">
        <v>809</v>
      </c>
      <c r="G316" s="8" t="s">
        <v>961</v>
      </c>
      <c r="H316" s="8" t="s">
        <v>51</v>
      </c>
      <c r="I316" s="8" t="s">
        <v>126</v>
      </c>
      <c r="J316" s="4" t="n">
        <v>130000</v>
      </c>
      <c r="K316" s="4" t="n">
        <v>87000</v>
      </c>
      <c r="L316" s="5" t="n">
        <v>0.33333</v>
      </c>
      <c r="M316" s="4" t="n">
        <v>52</v>
      </c>
      <c r="N316" s="4" t="n">
        <v>0</v>
      </c>
      <c r="O316" s="4" t="n">
        <v>0</v>
      </c>
      <c r="P316" s="4" t="n">
        <v>0</v>
      </c>
      <c r="Q316" s="4" t="n">
        <v>0</v>
      </c>
      <c r="R316" s="4" t="n">
        <f aca="false">M316+N316+O316+P316+Q316</f>
        <v>52</v>
      </c>
      <c r="S316" s="4" t="n">
        <v>11</v>
      </c>
      <c r="T316" s="4" t="n">
        <f aca="false">R316*K316</f>
        <v>4524000</v>
      </c>
      <c r="U316" s="9" t="n">
        <f aca="false">IFERROR(M316/S316,0)</f>
        <v>4.72727272727273</v>
      </c>
      <c r="V316" s="5" t="n">
        <v>0.069</v>
      </c>
    </row>
    <row r="317" customFormat="false" ht="15" hidden="false" customHeight="false" outlineLevel="0" collapsed="false">
      <c r="A317" s="8" t="s">
        <v>57</v>
      </c>
      <c r="B317" s="8" t="s">
        <v>22</v>
      </c>
      <c r="C317" s="8" t="s">
        <v>1122</v>
      </c>
      <c r="D317" s="8" t="n">
        <v>230486</v>
      </c>
      <c r="E317" s="8" t="s">
        <v>1197</v>
      </c>
      <c r="F317" s="8" t="s">
        <v>809</v>
      </c>
      <c r="G317" s="8" t="s">
        <v>961</v>
      </c>
      <c r="H317" s="8" t="s">
        <v>51</v>
      </c>
      <c r="I317" s="8" t="s">
        <v>58</v>
      </c>
      <c r="J317" s="4" t="n">
        <v>126500</v>
      </c>
      <c r="K317" s="4" t="n">
        <v>114000</v>
      </c>
      <c r="L317" s="5" t="n">
        <v>0.1</v>
      </c>
      <c r="M317" s="4" t="n">
        <v>91</v>
      </c>
      <c r="N317" s="4" t="n">
        <v>0</v>
      </c>
      <c r="O317" s="4" t="n">
        <v>10</v>
      </c>
      <c r="P317" s="4" t="n">
        <v>0</v>
      </c>
      <c r="Q317" s="4" t="n">
        <v>0</v>
      </c>
      <c r="R317" s="4" t="n">
        <f aca="false">M317+N317+O317+P317+Q317</f>
        <v>101</v>
      </c>
      <c r="S317" s="4" t="n">
        <v>22</v>
      </c>
      <c r="T317" s="4" t="n">
        <f aca="false">R317*K317</f>
        <v>11514000</v>
      </c>
      <c r="U317" s="9" t="n">
        <f aca="false">IFERROR(M317/S317,0)</f>
        <v>4.13636363636364</v>
      </c>
      <c r="V317" s="5" t="n">
        <v>0.2632</v>
      </c>
    </row>
    <row r="318" customFormat="false" ht="15" hidden="false" customHeight="false" outlineLevel="0" collapsed="false">
      <c r="A318" s="8" t="s">
        <v>57</v>
      </c>
      <c r="B318" s="8" t="s">
        <v>22</v>
      </c>
      <c r="C318" s="8" t="s">
        <v>1098</v>
      </c>
      <c r="D318" s="8" t="n">
        <v>231269</v>
      </c>
      <c r="E318" s="8" t="s">
        <v>1198</v>
      </c>
      <c r="F318" s="8" t="s">
        <v>809</v>
      </c>
      <c r="G318" s="8" t="s">
        <v>961</v>
      </c>
      <c r="H318" s="8" t="s">
        <v>51</v>
      </c>
      <c r="I318" s="8" t="s">
        <v>58</v>
      </c>
      <c r="J318" s="4" t="n">
        <v>139000</v>
      </c>
      <c r="K318" s="4" t="n">
        <v>126000</v>
      </c>
      <c r="L318" s="5" t="n">
        <v>0.1</v>
      </c>
      <c r="M318" s="4" t="n">
        <v>66</v>
      </c>
      <c r="N318" s="4" t="n">
        <v>0</v>
      </c>
      <c r="O318" s="4" t="n">
        <v>20</v>
      </c>
      <c r="P318" s="4" t="n">
        <v>0</v>
      </c>
      <c r="Q318" s="4" t="n">
        <v>0</v>
      </c>
      <c r="R318" s="4" t="n">
        <f aca="false">M318+N318+O318+P318+Q318</f>
        <v>86</v>
      </c>
      <c r="S318" s="4" t="n">
        <v>10</v>
      </c>
      <c r="T318" s="4" t="n">
        <f aca="false">R318*K318</f>
        <v>10836000</v>
      </c>
      <c r="U318" s="9" t="n">
        <f aca="false">IFERROR(M318/S318,0)</f>
        <v>6.6</v>
      </c>
      <c r="V318" s="5" t="n">
        <v>0.2242</v>
      </c>
    </row>
    <row r="319" customFormat="false" ht="15" hidden="false" customHeight="false" outlineLevel="0" collapsed="false">
      <c r="A319" s="8" t="s">
        <v>57</v>
      </c>
      <c r="B319" s="8" t="s">
        <v>22</v>
      </c>
      <c r="C319" s="8" t="s">
        <v>1122</v>
      </c>
      <c r="D319" s="8" t="n">
        <v>231596</v>
      </c>
      <c r="E319" s="8" t="s">
        <v>1199</v>
      </c>
      <c r="F319" s="8" t="s">
        <v>809</v>
      </c>
      <c r="G319" s="8" t="s">
        <v>961</v>
      </c>
      <c r="H319" s="8" t="s">
        <v>51</v>
      </c>
      <c r="I319" s="8" t="s">
        <v>58</v>
      </c>
      <c r="J319" s="4" t="n">
        <v>149000</v>
      </c>
      <c r="K319" s="4" t="n">
        <v>135000</v>
      </c>
      <c r="L319" s="5" t="n">
        <v>0.1</v>
      </c>
      <c r="M319" s="4" t="n">
        <v>78</v>
      </c>
      <c r="N319" s="4" t="n">
        <v>0</v>
      </c>
      <c r="O319" s="4" t="n">
        <v>0</v>
      </c>
      <c r="P319" s="4" t="n">
        <v>0</v>
      </c>
      <c r="Q319" s="4" t="n">
        <v>0</v>
      </c>
      <c r="R319" s="4" t="n">
        <f aca="false">M319+N319+O319+P319+Q319</f>
        <v>78</v>
      </c>
      <c r="S319" s="4" t="n">
        <v>11</v>
      </c>
      <c r="T319" s="4" t="n">
        <f aca="false">R319*K319</f>
        <v>10530000</v>
      </c>
      <c r="U319" s="9" t="n">
        <f aca="false">IFERROR(M319/S319,0)</f>
        <v>7.09090909090909</v>
      </c>
      <c r="V319" s="5" t="n">
        <v>0.1867</v>
      </c>
    </row>
    <row r="320" customFormat="false" ht="15" hidden="false" customHeight="false" outlineLevel="0" collapsed="false">
      <c r="A320" s="8" t="s">
        <v>57</v>
      </c>
      <c r="B320" s="8" t="s">
        <v>22</v>
      </c>
      <c r="C320" s="8" t="s">
        <v>1098</v>
      </c>
      <c r="D320" s="8" t="n">
        <v>231270</v>
      </c>
      <c r="E320" s="8" t="s">
        <v>1200</v>
      </c>
      <c r="F320" s="8" t="s">
        <v>809</v>
      </c>
      <c r="G320" s="8" t="s">
        <v>961</v>
      </c>
      <c r="H320" s="8" t="s">
        <v>51</v>
      </c>
      <c r="I320" s="8" t="s">
        <v>58</v>
      </c>
      <c r="J320" s="4" t="n">
        <v>139000</v>
      </c>
      <c r="K320" s="4" t="n">
        <v>126000</v>
      </c>
      <c r="L320" s="5" t="n">
        <v>0.1</v>
      </c>
      <c r="M320" s="4" t="n">
        <v>57</v>
      </c>
      <c r="N320" s="4" t="n">
        <v>0</v>
      </c>
      <c r="O320" s="4" t="n">
        <v>15</v>
      </c>
      <c r="P320" s="4" t="n">
        <v>0</v>
      </c>
      <c r="Q320" s="4" t="n">
        <v>0</v>
      </c>
      <c r="R320" s="4" t="n">
        <f aca="false">M320+N320+O320+P320+Q320</f>
        <v>72</v>
      </c>
      <c r="S320" s="4" t="n">
        <v>9</v>
      </c>
      <c r="T320" s="4" t="n">
        <f aca="false">R320*K320</f>
        <v>9072000</v>
      </c>
      <c r="U320" s="9" t="n">
        <f aca="false">IFERROR(M320/S320,0)</f>
        <v>6.33333333333333</v>
      </c>
      <c r="V320" s="5" t="n">
        <v>0.1786</v>
      </c>
    </row>
    <row r="321" customFormat="false" ht="15" hidden="false" customHeight="false" outlineLevel="0" collapsed="false">
      <c r="A321" s="8" t="s">
        <v>57</v>
      </c>
      <c r="B321" s="8" t="s">
        <v>22</v>
      </c>
      <c r="C321" s="8" t="s">
        <v>1122</v>
      </c>
      <c r="D321" s="8" t="n">
        <v>135093</v>
      </c>
      <c r="E321" s="8" t="s">
        <v>1201</v>
      </c>
      <c r="F321" s="8" t="s">
        <v>829</v>
      </c>
      <c r="G321" s="8" t="s">
        <v>961</v>
      </c>
      <c r="H321" s="8" t="s">
        <v>51</v>
      </c>
      <c r="I321" s="8" t="s">
        <v>58</v>
      </c>
      <c r="J321" s="4" t="n">
        <v>185000</v>
      </c>
      <c r="K321" s="4" t="n">
        <v>167000</v>
      </c>
      <c r="L321" s="5" t="n">
        <v>0.1</v>
      </c>
      <c r="M321" s="4" t="n">
        <v>47</v>
      </c>
      <c r="N321" s="4" t="n">
        <v>0</v>
      </c>
      <c r="O321" s="4" t="n">
        <v>15</v>
      </c>
      <c r="P321" s="4" t="n">
        <v>0</v>
      </c>
      <c r="Q321" s="4" t="n">
        <v>0</v>
      </c>
      <c r="R321" s="4" t="n">
        <f aca="false">M321+N321+O321+P321+Q321</f>
        <v>62</v>
      </c>
      <c r="S321" s="4" t="n">
        <v>8</v>
      </c>
      <c r="T321" s="4" t="n">
        <f aca="false">R321*K321</f>
        <v>10354000</v>
      </c>
      <c r="U321" s="9" t="n">
        <f aca="false">IFERROR(M321/S321,0)</f>
        <v>5.875</v>
      </c>
      <c r="V321" s="5" t="n">
        <v>0.2024</v>
      </c>
    </row>
    <row r="322" customFormat="false" ht="15" hidden="false" customHeight="false" outlineLevel="0" collapsed="false">
      <c r="A322" s="8" t="s">
        <v>57</v>
      </c>
      <c r="B322" s="8" t="s">
        <v>22</v>
      </c>
      <c r="C322" s="8" t="s">
        <v>1122</v>
      </c>
      <c r="D322" s="8" t="n">
        <v>134966</v>
      </c>
      <c r="E322" s="8" t="s">
        <v>1202</v>
      </c>
      <c r="F322" s="8" t="s">
        <v>767</v>
      </c>
      <c r="G322" s="8" t="s">
        <v>961</v>
      </c>
      <c r="H322" s="8" t="s">
        <v>51</v>
      </c>
      <c r="I322" s="8" t="s">
        <v>58</v>
      </c>
      <c r="J322" s="4" t="n">
        <v>350000</v>
      </c>
      <c r="K322" s="4" t="n">
        <v>315000</v>
      </c>
      <c r="L322" s="5" t="n">
        <v>0.1</v>
      </c>
      <c r="M322" s="4" t="n">
        <v>58</v>
      </c>
      <c r="N322" s="4" t="n">
        <v>0</v>
      </c>
      <c r="O322" s="4" t="n">
        <v>0</v>
      </c>
      <c r="P322" s="4" t="n">
        <v>0</v>
      </c>
      <c r="Q322" s="4" t="n">
        <v>0</v>
      </c>
      <c r="R322" s="4" t="n">
        <f aca="false">M322+N322+O322+P322+Q322</f>
        <v>58</v>
      </c>
      <c r="S322" s="4" t="n">
        <v>13</v>
      </c>
      <c r="T322" s="4" t="n">
        <f aca="false">R322*K322</f>
        <v>18270000</v>
      </c>
      <c r="U322" s="9" t="n">
        <f aca="false">IFERROR(M322/S322,0)</f>
        <v>4.46153846153846</v>
      </c>
      <c r="V322" s="5" t="n">
        <v>0.2063</v>
      </c>
    </row>
    <row r="323" customFormat="false" ht="15" hidden="false" customHeight="false" outlineLevel="0" collapsed="false">
      <c r="A323" s="8" t="s">
        <v>57</v>
      </c>
      <c r="B323" s="8" t="s">
        <v>22</v>
      </c>
      <c r="C323" s="8" t="s">
        <v>1122</v>
      </c>
      <c r="D323" s="8" t="n">
        <v>134968</v>
      </c>
      <c r="E323" s="8" t="s">
        <v>1203</v>
      </c>
      <c r="F323" s="8" t="s">
        <v>809</v>
      </c>
      <c r="G323" s="8" t="s">
        <v>961</v>
      </c>
      <c r="H323" s="8" t="s">
        <v>51</v>
      </c>
      <c r="I323" s="8" t="s">
        <v>58</v>
      </c>
      <c r="J323" s="4" t="n">
        <v>130000</v>
      </c>
      <c r="K323" s="4" t="n">
        <v>117000</v>
      </c>
      <c r="L323" s="5" t="n">
        <v>0.1</v>
      </c>
      <c r="M323" s="4" t="n">
        <v>58</v>
      </c>
      <c r="N323" s="4" t="n">
        <v>0</v>
      </c>
      <c r="O323" s="4" t="n">
        <v>0</v>
      </c>
      <c r="P323" s="4" t="n">
        <v>0</v>
      </c>
      <c r="Q323" s="4" t="n">
        <v>0</v>
      </c>
      <c r="R323" s="4" t="n">
        <f aca="false">M323+N323+O323+P323+Q323</f>
        <v>58</v>
      </c>
      <c r="S323" s="4" t="n">
        <v>20</v>
      </c>
      <c r="T323" s="4" t="n">
        <f aca="false">R323*K323</f>
        <v>6786000</v>
      </c>
      <c r="U323" s="9" t="n">
        <f aca="false">IFERROR(M323/S323,0)</f>
        <v>2.9</v>
      </c>
      <c r="V323" s="5" t="n">
        <v>0.3419</v>
      </c>
    </row>
    <row r="324" customFormat="false" ht="15" hidden="false" customHeight="false" outlineLevel="0" collapsed="false">
      <c r="A324" s="8" t="s">
        <v>57</v>
      </c>
      <c r="B324" s="8" t="s">
        <v>22</v>
      </c>
      <c r="C324" s="8" t="s">
        <v>1098</v>
      </c>
      <c r="D324" s="8" t="n">
        <v>231136</v>
      </c>
      <c r="E324" s="8" t="s">
        <v>1204</v>
      </c>
      <c r="F324" s="8" t="s">
        <v>794</v>
      </c>
      <c r="G324" s="8" t="s">
        <v>961</v>
      </c>
      <c r="H324" s="8" t="s">
        <v>51</v>
      </c>
      <c r="I324" s="8" t="s">
        <v>58</v>
      </c>
      <c r="J324" s="4" t="n">
        <v>750000</v>
      </c>
      <c r="K324" s="4" t="n">
        <v>675000</v>
      </c>
      <c r="L324" s="5" t="n">
        <v>0.1</v>
      </c>
      <c r="M324" s="4" t="n">
        <v>47</v>
      </c>
      <c r="N324" s="4" t="n">
        <v>0</v>
      </c>
      <c r="O324" s="4" t="n">
        <v>10</v>
      </c>
      <c r="P324" s="4" t="n">
        <v>0</v>
      </c>
      <c r="Q324" s="4" t="n">
        <v>0</v>
      </c>
      <c r="R324" s="4" t="n">
        <f aca="false">M324+N324+O324+P324+Q324</f>
        <v>57</v>
      </c>
      <c r="S324" s="4" t="n">
        <v>10</v>
      </c>
      <c r="T324" s="4" t="n">
        <f aca="false">R324*K324</f>
        <v>38475000</v>
      </c>
      <c r="U324" s="9" t="n">
        <f aca="false">IFERROR(M324/S324,0)</f>
        <v>4.7</v>
      </c>
      <c r="V324" s="5" t="n">
        <v>0.1667</v>
      </c>
    </row>
    <row r="325" customFormat="false" ht="15" hidden="false" customHeight="false" outlineLevel="0" collapsed="false">
      <c r="A325" s="8" t="s">
        <v>57</v>
      </c>
      <c r="B325" s="8" t="s">
        <v>22</v>
      </c>
      <c r="C325" s="8" t="s">
        <v>1098</v>
      </c>
      <c r="D325" s="8" t="n">
        <v>134487</v>
      </c>
      <c r="E325" s="8" t="s">
        <v>1205</v>
      </c>
      <c r="F325" s="8" t="s">
        <v>809</v>
      </c>
      <c r="G325" s="8" t="s">
        <v>961</v>
      </c>
      <c r="H325" s="8" t="s">
        <v>51</v>
      </c>
      <c r="I325" s="8" t="s">
        <v>58</v>
      </c>
      <c r="J325" s="4" t="n">
        <v>799000</v>
      </c>
      <c r="K325" s="4" t="n">
        <v>720000</v>
      </c>
      <c r="L325" s="5" t="n">
        <v>0.1</v>
      </c>
      <c r="M325" s="4" t="n">
        <v>47</v>
      </c>
      <c r="N325" s="4" t="n">
        <v>0</v>
      </c>
      <c r="O325" s="4" t="n">
        <v>6</v>
      </c>
      <c r="P325" s="4" t="n">
        <v>0</v>
      </c>
      <c r="Q325" s="4" t="n">
        <v>0</v>
      </c>
      <c r="R325" s="4" t="n">
        <f aca="false">M325+N325+O325+P325+Q325</f>
        <v>53</v>
      </c>
      <c r="S325" s="4" t="n">
        <v>13</v>
      </c>
      <c r="T325" s="4" t="n">
        <f aca="false">R325*K325</f>
        <v>38160000</v>
      </c>
      <c r="U325" s="9" t="n">
        <f aca="false">IFERROR(M325/S325,0)</f>
        <v>3.61538461538462</v>
      </c>
      <c r="V325" s="5" t="n">
        <v>0.1625</v>
      </c>
    </row>
    <row r="326" customFormat="false" ht="15" hidden="false" customHeight="false" outlineLevel="0" collapsed="false">
      <c r="A326" s="8" t="s">
        <v>57</v>
      </c>
      <c r="B326" s="8" t="s">
        <v>22</v>
      </c>
      <c r="C326" s="8" t="s">
        <v>1098</v>
      </c>
      <c r="D326" s="8" t="n">
        <v>134961</v>
      </c>
      <c r="E326" s="8" t="s">
        <v>1206</v>
      </c>
      <c r="F326" s="8" t="s">
        <v>809</v>
      </c>
      <c r="G326" s="8" t="s">
        <v>961</v>
      </c>
      <c r="H326" s="8" t="s">
        <v>51</v>
      </c>
      <c r="I326" s="8" t="s">
        <v>58</v>
      </c>
      <c r="J326" s="4" t="n">
        <v>990000</v>
      </c>
      <c r="K326" s="4" t="n">
        <v>891000</v>
      </c>
      <c r="L326" s="5" t="n">
        <v>0.1</v>
      </c>
      <c r="M326" s="4" t="n">
        <v>51</v>
      </c>
      <c r="N326" s="4" t="n">
        <v>0</v>
      </c>
      <c r="O326" s="4" t="n">
        <v>2</v>
      </c>
      <c r="P326" s="4" t="n">
        <v>0</v>
      </c>
      <c r="Q326" s="4" t="n">
        <v>0</v>
      </c>
      <c r="R326" s="4" t="n">
        <f aca="false">M326+N326+O326+P326+Q326</f>
        <v>53</v>
      </c>
      <c r="S326" s="4" t="n">
        <v>14</v>
      </c>
      <c r="T326" s="4" t="n">
        <f aca="false">R326*K326</f>
        <v>47223000</v>
      </c>
      <c r="U326" s="9" t="n">
        <f aca="false">IFERROR(M326/S326,0)</f>
        <v>3.64285714285714</v>
      </c>
      <c r="V326" s="5" t="n">
        <v>0.1919</v>
      </c>
    </row>
    <row r="327" customFormat="false" ht="15" hidden="false" customHeight="false" outlineLevel="0" collapsed="false">
      <c r="A327" s="8" t="s">
        <v>57</v>
      </c>
      <c r="B327" s="8" t="s">
        <v>22</v>
      </c>
      <c r="C327" s="8" t="s">
        <v>1098</v>
      </c>
      <c r="D327" s="8" t="n">
        <v>231262</v>
      </c>
      <c r="E327" s="8" t="s">
        <v>1207</v>
      </c>
      <c r="F327" s="8" t="s">
        <v>767</v>
      </c>
      <c r="G327" s="8" t="s">
        <v>961</v>
      </c>
      <c r="H327" s="8" t="s">
        <v>51</v>
      </c>
      <c r="I327" s="8" t="s">
        <v>58</v>
      </c>
      <c r="J327" s="4" t="n">
        <v>139000</v>
      </c>
      <c r="K327" s="4" t="n">
        <v>126000</v>
      </c>
      <c r="L327" s="5" t="n">
        <v>0.1</v>
      </c>
      <c r="M327" s="4" t="n">
        <v>48</v>
      </c>
      <c r="N327" s="4" t="n">
        <v>0</v>
      </c>
      <c r="O327" s="4" t="n">
        <v>4</v>
      </c>
      <c r="P327" s="4" t="n">
        <v>0</v>
      </c>
      <c r="Q327" s="4" t="n">
        <v>0</v>
      </c>
      <c r="R327" s="4" t="n">
        <f aca="false">M327+N327+O327+P327+Q327</f>
        <v>52</v>
      </c>
      <c r="S327" s="4" t="n">
        <v>9</v>
      </c>
      <c r="T327" s="4" t="n">
        <f aca="false">R327*K327</f>
        <v>6552000</v>
      </c>
      <c r="U327" s="9" t="n">
        <f aca="false">IFERROR(M327/S327,0)</f>
        <v>5.33333333333333</v>
      </c>
      <c r="V327" s="5" t="n">
        <v>0.1786</v>
      </c>
    </row>
    <row r="328" customFormat="false" ht="15" hidden="false" customHeight="false" outlineLevel="0" collapsed="false">
      <c r="A328" s="8" t="s">
        <v>57</v>
      </c>
      <c r="B328" s="8" t="s">
        <v>22</v>
      </c>
      <c r="C328" s="8" t="s">
        <v>1098</v>
      </c>
      <c r="D328" s="8" t="n">
        <v>135166</v>
      </c>
      <c r="E328" s="8" t="s">
        <v>1208</v>
      </c>
      <c r="F328" s="8" t="s">
        <v>829</v>
      </c>
      <c r="G328" s="8" t="s">
        <v>961</v>
      </c>
      <c r="H328" s="8" t="s">
        <v>51</v>
      </c>
      <c r="I328" s="8" t="s">
        <v>58</v>
      </c>
      <c r="J328" s="4" t="n">
        <v>139000</v>
      </c>
      <c r="K328" s="4" t="n">
        <v>126000</v>
      </c>
      <c r="L328" s="5" t="n">
        <v>0.1</v>
      </c>
      <c r="M328" s="4" t="n">
        <v>34</v>
      </c>
      <c r="N328" s="4" t="n">
        <v>0</v>
      </c>
      <c r="O328" s="4" t="n">
        <v>14</v>
      </c>
      <c r="P328" s="4" t="n">
        <v>0</v>
      </c>
      <c r="Q328" s="4" t="n">
        <v>0</v>
      </c>
      <c r="R328" s="4" t="n">
        <f aca="false">M328+N328+O328+P328+Q328</f>
        <v>48</v>
      </c>
      <c r="S328" s="4" t="n">
        <v>6</v>
      </c>
      <c r="T328" s="4" t="n">
        <f aca="false">R328*K328</f>
        <v>6048000</v>
      </c>
      <c r="U328" s="9" t="n">
        <f aca="false">IFERROR(M328/S328,0)</f>
        <v>5.66666666666667</v>
      </c>
      <c r="V328" s="5" t="n">
        <v>0.1667</v>
      </c>
    </row>
    <row r="329" customFormat="false" ht="15" hidden="false" customHeight="false" outlineLevel="0" collapsed="false">
      <c r="A329" s="8" t="s">
        <v>57</v>
      </c>
      <c r="B329" s="8" t="s">
        <v>22</v>
      </c>
      <c r="C329" s="8" t="s">
        <v>1098</v>
      </c>
      <c r="D329" s="8" t="n">
        <v>134731</v>
      </c>
      <c r="E329" s="8" t="s">
        <v>1209</v>
      </c>
      <c r="F329" s="8" t="s">
        <v>809</v>
      </c>
      <c r="G329" s="8" t="s">
        <v>961</v>
      </c>
      <c r="H329" s="8" t="s">
        <v>51</v>
      </c>
      <c r="I329" s="8" t="s">
        <v>58</v>
      </c>
      <c r="J329" s="4" t="n">
        <v>350000</v>
      </c>
      <c r="K329" s="4" t="n">
        <v>315000</v>
      </c>
      <c r="L329" s="5" t="n">
        <v>0.1</v>
      </c>
      <c r="M329" s="4" t="n">
        <v>46</v>
      </c>
      <c r="N329" s="4" t="n">
        <v>0</v>
      </c>
      <c r="O329" s="4" t="n">
        <v>0</v>
      </c>
      <c r="P329" s="4" t="n">
        <v>0</v>
      </c>
      <c r="Q329" s="4" t="n">
        <v>0</v>
      </c>
      <c r="R329" s="4" t="n">
        <f aca="false">M329+N329+O329+P329+Q329</f>
        <v>46</v>
      </c>
      <c r="S329" s="4" t="n">
        <v>13</v>
      </c>
      <c r="T329" s="4" t="n">
        <f aca="false">R329*K329</f>
        <v>14490000</v>
      </c>
      <c r="U329" s="9" t="n">
        <f aca="false">IFERROR(M329/S329,0)</f>
        <v>3.53846153846154</v>
      </c>
      <c r="V329" s="5" t="n">
        <v>0.3651</v>
      </c>
    </row>
    <row r="330" customFormat="false" ht="15" hidden="false" customHeight="false" outlineLevel="0" collapsed="false">
      <c r="A330" s="8" t="s">
        <v>57</v>
      </c>
      <c r="B330" s="8" t="s">
        <v>22</v>
      </c>
      <c r="C330" s="8" t="s">
        <v>1122</v>
      </c>
      <c r="D330" s="8" t="n">
        <v>231265</v>
      </c>
      <c r="E330" s="8" t="s">
        <v>1021</v>
      </c>
      <c r="F330" s="8" t="s">
        <v>809</v>
      </c>
      <c r="G330" s="8" t="s">
        <v>961</v>
      </c>
      <c r="H330" s="8" t="s">
        <v>51</v>
      </c>
      <c r="I330" s="8" t="s">
        <v>58</v>
      </c>
      <c r="J330" s="4" t="n">
        <v>199000</v>
      </c>
      <c r="K330" s="4" t="n">
        <v>180000</v>
      </c>
      <c r="L330" s="5" t="n">
        <v>0.1</v>
      </c>
      <c r="M330" s="4" t="n">
        <v>45</v>
      </c>
      <c r="N330" s="4" t="n">
        <v>0</v>
      </c>
      <c r="O330" s="4" t="n">
        <v>0</v>
      </c>
      <c r="P330" s="4" t="n">
        <v>0</v>
      </c>
      <c r="Q330" s="4" t="n">
        <v>0</v>
      </c>
      <c r="R330" s="4" t="n">
        <f aca="false">M330+N330+O330+P330+Q330</f>
        <v>45</v>
      </c>
      <c r="S330" s="4" t="n">
        <v>5</v>
      </c>
      <c r="T330" s="4" t="n">
        <f aca="false">R330*K330</f>
        <v>8100000</v>
      </c>
      <c r="U330" s="9" t="n">
        <f aca="false">IFERROR(M330/S330,0)</f>
        <v>9</v>
      </c>
      <c r="V330" s="5" t="n">
        <v>0.175</v>
      </c>
    </row>
    <row r="331" customFormat="false" ht="15" hidden="false" customHeight="false" outlineLevel="0" collapsed="false">
      <c r="A331" s="8" t="s">
        <v>57</v>
      </c>
      <c r="B331" s="8" t="s">
        <v>22</v>
      </c>
      <c r="C331" s="8" t="s">
        <v>1122</v>
      </c>
      <c r="D331" s="8" t="n">
        <v>231267</v>
      </c>
      <c r="E331" s="8" t="s">
        <v>1210</v>
      </c>
      <c r="F331" s="8" t="s">
        <v>809</v>
      </c>
      <c r="G331" s="8" t="s">
        <v>961</v>
      </c>
      <c r="H331" s="8" t="s">
        <v>51</v>
      </c>
      <c r="I331" s="8" t="s">
        <v>58</v>
      </c>
      <c r="J331" s="4" t="n">
        <v>199000</v>
      </c>
      <c r="K331" s="4" t="n">
        <v>180000</v>
      </c>
      <c r="L331" s="5" t="n">
        <v>0.1</v>
      </c>
      <c r="M331" s="4" t="n">
        <v>41</v>
      </c>
      <c r="N331" s="4" t="n">
        <v>0</v>
      </c>
      <c r="O331" s="4" t="n">
        <v>4</v>
      </c>
      <c r="P331" s="4" t="n">
        <v>0</v>
      </c>
      <c r="Q331" s="4" t="n">
        <v>0</v>
      </c>
      <c r="R331" s="4" t="n">
        <f aca="false">M331+N331+O331+P331+Q331</f>
        <v>45</v>
      </c>
      <c r="S331" s="4" t="n">
        <v>10</v>
      </c>
      <c r="T331" s="4" t="n">
        <f aca="false">R331*K331</f>
        <v>8100000</v>
      </c>
      <c r="U331" s="9" t="n">
        <f aca="false">IFERROR(M331/S331,0)</f>
        <v>4.1</v>
      </c>
      <c r="V331" s="5" t="n">
        <v>0.175</v>
      </c>
    </row>
    <row r="332" customFormat="false" ht="15" hidden="false" customHeight="false" outlineLevel="0" collapsed="false">
      <c r="A332" s="8" t="s">
        <v>57</v>
      </c>
      <c r="B332" s="8" t="s">
        <v>22</v>
      </c>
      <c r="C332" s="8" t="s">
        <v>1122</v>
      </c>
      <c r="D332" s="8" t="n">
        <v>135092</v>
      </c>
      <c r="E332" s="8" t="s">
        <v>1211</v>
      </c>
      <c r="F332" s="8" t="s">
        <v>829</v>
      </c>
      <c r="G332" s="8" t="s">
        <v>961</v>
      </c>
      <c r="H332" s="8" t="s">
        <v>51</v>
      </c>
      <c r="I332" s="8" t="s">
        <v>58</v>
      </c>
      <c r="J332" s="4" t="n">
        <v>185000</v>
      </c>
      <c r="K332" s="4" t="n">
        <v>167000</v>
      </c>
      <c r="L332" s="5" t="n">
        <v>0.1</v>
      </c>
      <c r="M332" s="4" t="n">
        <v>30</v>
      </c>
      <c r="N332" s="4" t="n">
        <v>0</v>
      </c>
      <c r="O332" s="4" t="n">
        <v>15</v>
      </c>
      <c r="P332" s="4" t="n">
        <v>0</v>
      </c>
      <c r="Q332" s="4" t="n">
        <v>0</v>
      </c>
      <c r="R332" s="4" t="n">
        <f aca="false">M332+N332+O332+P332+Q332</f>
        <v>45</v>
      </c>
      <c r="S332" s="4" t="n">
        <v>6</v>
      </c>
      <c r="T332" s="4" t="n">
        <f aca="false">R332*K332</f>
        <v>7515000</v>
      </c>
      <c r="U332" s="9" t="n">
        <f aca="false">IFERROR(M332/S332,0)</f>
        <v>5</v>
      </c>
      <c r="V332" s="5" t="n">
        <v>0.2024</v>
      </c>
    </row>
    <row r="333" customFormat="false" ht="15" hidden="false" customHeight="false" outlineLevel="0" collapsed="false">
      <c r="A333" s="8" t="s">
        <v>57</v>
      </c>
      <c r="B333" s="8" t="s">
        <v>22</v>
      </c>
      <c r="C333" s="8" t="s">
        <v>1098</v>
      </c>
      <c r="D333" s="8" t="n">
        <v>230796</v>
      </c>
      <c r="E333" s="8" t="s">
        <v>1212</v>
      </c>
      <c r="F333" s="8" t="s">
        <v>809</v>
      </c>
      <c r="G333" s="8" t="s">
        <v>961</v>
      </c>
      <c r="H333" s="8" t="s">
        <v>51</v>
      </c>
      <c r="I333" s="8" t="s">
        <v>58</v>
      </c>
      <c r="J333" s="4" t="n">
        <v>790000</v>
      </c>
      <c r="K333" s="4" t="n">
        <v>711000</v>
      </c>
      <c r="L333" s="5" t="n">
        <v>0.1</v>
      </c>
      <c r="M333" s="4" t="n">
        <v>41</v>
      </c>
      <c r="N333" s="4" t="n">
        <v>0</v>
      </c>
      <c r="O333" s="4" t="n">
        <v>4</v>
      </c>
      <c r="P333" s="4" t="n">
        <v>0</v>
      </c>
      <c r="Q333" s="4" t="n">
        <v>0</v>
      </c>
      <c r="R333" s="4" t="n">
        <f aca="false">M333+N333+O333+P333+Q333</f>
        <v>45</v>
      </c>
      <c r="S333" s="4" t="n">
        <v>14</v>
      </c>
      <c r="T333" s="4" t="n">
        <f aca="false">R333*K333</f>
        <v>31995000</v>
      </c>
      <c r="U333" s="9" t="n">
        <f aca="false">IFERROR(M333/S333,0)</f>
        <v>2.92857142857143</v>
      </c>
      <c r="V333" s="5" t="n">
        <v>0.1646</v>
      </c>
    </row>
    <row r="334" customFormat="false" ht="15" hidden="false" customHeight="false" outlineLevel="0" collapsed="false">
      <c r="A334" s="8" t="s">
        <v>57</v>
      </c>
      <c r="B334" s="8" t="s">
        <v>22</v>
      </c>
      <c r="C334" s="8" t="s">
        <v>1098</v>
      </c>
      <c r="D334" s="8" t="n">
        <v>134813</v>
      </c>
      <c r="E334" s="8" t="s">
        <v>1213</v>
      </c>
      <c r="F334" s="8" t="s">
        <v>809</v>
      </c>
      <c r="G334" s="8" t="s">
        <v>961</v>
      </c>
      <c r="H334" s="8" t="s">
        <v>51</v>
      </c>
      <c r="I334" s="8" t="s">
        <v>58</v>
      </c>
      <c r="J334" s="4" t="n">
        <v>650000</v>
      </c>
      <c r="K334" s="4" t="n">
        <v>585000</v>
      </c>
      <c r="L334" s="5" t="n">
        <v>0.1</v>
      </c>
      <c r="M334" s="4" t="n">
        <v>44</v>
      </c>
      <c r="N334" s="4" t="n">
        <v>0</v>
      </c>
      <c r="O334" s="4" t="n">
        <v>0</v>
      </c>
      <c r="P334" s="4" t="n">
        <v>0</v>
      </c>
      <c r="Q334" s="4" t="n">
        <v>0</v>
      </c>
      <c r="R334" s="4" t="n">
        <f aca="false">M334+N334+O334+P334+Q334</f>
        <v>44</v>
      </c>
      <c r="S334" s="4" t="n">
        <v>11</v>
      </c>
      <c r="T334" s="4" t="n">
        <f aca="false">R334*K334</f>
        <v>25740000</v>
      </c>
      <c r="U334" s="9" t="n">
        <f aca="false">IFERROR(M334/S334,0)</f>
        <v>4</v>
      </c>
      <c r="V334" s="5" t="n">
        <v>0.1805</v>
      </c>
    </row>
    <row r="335" customFormat="false" ht="15" hidden="false" customHeight="false" outlineLevel="0" collapsed="false">
      <c r="A335" s="8" t="s">
        <v>57</v>
      </c>
      <c r="B335" s="8" t="s">
        <v>22</v>
      </c>
      <c r="C335" s="8" t="s">
        <v>1098</v>
      </c>
      <c r="D335" s="8" t="n">
        <v>135165</v>
      </c>
      <c r="E335" s="8" t="s">
        <v>1214</v>
      </c>
      <c r="F335" s="8" t="s">
        <v>829</v>
      </c>
      <c r="G335" s="8" t="s">
        <v>961</v>
      </c>
      <c r="H335" s="8" t="s">
        <v>51</v>
      </c>
      <c r="I335" s="8" t="s">
        <v>58</v>
      </c>
      <c r="J335" s="4" t="n">
        <v>105000</v>
      </c>
      <c r="K335" s="4" t="n">
        <v>95000</v>
      </c>
      <c r="L335" s="5" t="n">
        <v>0.1</v>
      </c>
      <c r="M335" s="4" t="n">
        <v>31</v>
      </c>
      <c r="N335" s="4" t="n">
        <v>0</v>
      </c>
      <c r="O335" s="4" t="n">
        <v>13</v>
      </c>
      <c r="P335" s="4" t="n">
        <v>0</v>
      </c>
      <c r="Q335" s="4" t="n">
        <v>0</v>
      </c>
      <c r="R335" s="4" t="n">
        <f aca="false">M335+N335+O335+P335+Q335</f>
        <v>44</v>
      </c>
      <c r="S335" s="4" t="n">
        <v>6</v>
      </c>
      <c r="T335" s="4" t="n">
        <f aca="false">R335*K335</f>
        <v>4180000</v>
      </c>
      <c r="U335" s="9" t="n">
        <f aca="false">IFERROR(M335/S335,0)</f>
        <v>5.16666666666667</v>
      </c>
      <c r="V335" s="5" t="n">
        <v>0.1684</v>
      </c>
    </row>
    <row r="336" customFormat="false" ht="15" hidden="false" customHeight="false" outlineLevel="0" collapsed="false">
      <c r="A336" s="8" t="s">
        <v>57</v>
      </c>
      <c r="B336" s="8" t="s">
        <v>22</v>
      </c>
      <c r="C336" s="8" t="s">
        <v>1098</v>
      </c>
      <c r="D336" s="8" t="n">
        <v>230862</v>
      </c>
      <c r="E336" s="8" t="s">
        <v>1215</v>
      </c>
      <c r="F336" s="8" t="s">
        <v>809</v>
      </c>
      <c r="G336" s="8" t="s">
        <v>961</v>
      </c>
      <c r="H336" s="8" t="s">
        <v>51</v>
      </c>
      <c r="I336" s="8" t="s">
        <v>58</v>
      </c>
      <c r="J336" s="4" t="n">
        <v>790000</v>
      </c>
      <c r="K336" s="4" t="n">
        <v>711000</v>
      </c>
      <c r="L336" s="5" t="n">
        <v>0.1</v>
      </c>
      <c r="M336" s="4" t="n">
        <v>42</v>
      </c>
      <c r="N336" s="4" t="n">
        <v>0</v>
      </c>
      <c r="O336" s="4" t="n">
        <v>2</v>
      </c>
      <c r="P336" s="4" t="n">
        <v>0</v>
      </c>
      <c r="Q336" s="4" t="n">
        <v>0</v>
      </c>
      <c r="R336" s="4" t="n">
        <f aca="false">M336+N336+O336+P336+Q336</f>
        <v>44</v>
      </c>
      <c r="S336" s="4" t="n">
        <v>11</v>
      </c>
      <c r="T336" s="4" t="n">
        <f aca="false">R336*K336</f>
        <v>31284000</v>
      </c>
      <c r="U336" s="9" t="n">
        <f aca="false">IFERROR(M336/S336,0)</f>
        <v>3.81818181818182</v>
      </c>
      <c r="V336" s="5" t="n">
        <v>0.1709</v>
      </c>
    </row>
    <row r="337" customFormat="false" ht="15" hidden="false" customHeight="false" outlineLevel="0" collapsed="false">
      <c r="A337" s="8" t="s">
        <v>57</v>
      </c>
      <c r="B337" s="8" t="s">
        <v>22</v>
      </c>
      <c r="C337" s="8" t="s">
        <v>1098</v>
      </c>
      <c r="D337" s="8" t="n">
        <v>134979</v>
      </c>
      <c r="E337" s="8" t="s">
        <v>1216</v>
      </c>
      <c r="F337" s="8" t="s">
        <v>809</v>
      </c>
      <c r="G337" s="8" t="s">
        <v>961</v>
      </c>
      <c r="H337" s="8" t="s">
        <v>51</v>
      </c>
      <c r="I337" s="8" t="s">
        <v>58</v>
      </c>
      <c r="J337" s="4" t="n">
        <v>1990000</v>
      </c>
      <c r="K337" s="4" t="n">
        <v>1791000</v>
      </c>
      <c r="L337" s="5" t="n">
        <v>0.1</v>
      </c>
      <c r="M337" s="4" t="n">
        <v>41</v>
      </c>
      <c r="N337" s="4" t="n">
        <v>0</v>
      </c>
      <c r="O337" s="4" t="n">
        <v>3</v>
      </c>
      <c r="P337" s="4" t="n">
        <v>0</v>
      </c>
      <c r="Q337" s="4" t="n">
        <v>0</v>
      </c>
      <c r="R337" s="4" t="n">
        <f aca="false">M337+N337+O337+P337+Q337</f>
        <v>44</v>
      </c>
      <c r="S337" s="4" t="n">
        <v>20</v>
      </c>
      <c r="T337" s="4" t="n">
        <f aca="false">R337*K337</f>
        <v>78804000</v>
      </c>
      <c r="U337" s="9" t="n">
        <f aca="false">IFERROR(M337/S337,0)</f>
        <v>2.05</v>
      </c>
      <c r="V337" s="5" t="n">
        <v>0.1884</v>
      </c>
    </row>
    <row r="338" customFormat="false" ht="15" hidden="false" customHeight="false" outlineLevel="0" collapsed="false">
      <c r="A338" s="8" t="s">
        <v>57</v>
      </c>
      <c r="B338" s="8" t="s">
        <v>22</v>
      </c>
      <c r="C338" s="8" t="s">
        <v>1098</v>
      </c>
      <c r="D338" s="8" t="n">
        <v>134981</v>
      </c>
      <c r="E338" s="8" t="s">
        <v>1217</v>
      </c>
      <c r="F338" s="8" t="s">
        <v>809</v>
      </c>
      <c r="G338" s="8" t="s">
        <v>961</v>
      </c>
      <c r="H338" s="8" t="s">
        <v>51</v>
      </c>
      <c r="I338" s="8" t="s">
        <v>58</v>
      </c>
      <c r="J338" s="4" t="n">
        <v>490000</v>
      </c>
      <c r="K338" s="4" t="n">
        <v>441000</v>
      </c>
      <c r="L338" s="5" t="n">
        <v>0.1</v>
      </c>
      <c r="M338" s="4" t="n">
        <v>41</v>
      </c>
      <c r="N338" s="4" t="n">
        <v>0</v>
      </c>
      <c r="O338" s="4" t="n">
        <v>2</v>
      </c>
      <c r="P338" s="4" t="n">
        <v>0</v>
      </c>
      <c r="Q338" s="4" t="n">
        <v>0</v>
      </c>
      <c r="R338" s="4" t="n">
        <f aca="false">M338+N338+O338+P338+Q338</f>
        <v>43</v>
      </c>
      <c r="S338" s="4" t="n">
        <v>14</v>
      </c>
      <c r="T338" s="4" t="n">
        <f aca="false">R338*K338</f>
        <v>18963000</v>
      </c>
      <c r="U338" s="9" t="n">
        <f aca="false">IFERROR(M338/S338,0)</f>
        <v>2.92857142857143</v>
      </c>
      <c r="V338" s="5" t="n">
        <v>0.1905</v>
      </c>
    </row>
    <row r="339" customFormat="false" ht="15" hidden="false" customHeight="false" outlineLevel="0" collapsed="false">
      <c r="A339" s="8" t="s">
        <v>57</v>
      </c>
      <c r="B339" s="8" t="s">
        <v>22</v>
      </c>
      <c r="C339" s="8" t="s">
        <v>1122</v>
      </c>
      <c r="D339" s="8" t="n">
        <v>231266</v>
      </c>
      <c r="E339" s="8" t="s">
        <v>1218</v>
      </c>
      <c r="F339" s="8" t="s">
        <v>809</v>
      </c>
      <c r="G339" s="8" t="s">
        <v>961</v>
      </c>
      <c r="H339" s="8" t="s">
        <v>51</v>
      </c>
      <c r="I339" s="8" t="s">
        <v>58</v>
      </c>
      <c r="J339" s="4" t="n">
        <v>199000</v>
      </c>
      <c r="K339" s="4" t="n">
        <v>180000</v>
      </c>
      <c r="L339" s="5" t="n">
        <v>0.1</v>
      </c>
      <c r="M339" s="4" t="n">
        <v>42</v>
      </c>
      <c r="N339" s="4" t="n">
        <v>0</v>
      </c>
      <c r="O339" s="4" t="n">
        <v>1</v>
      </c>
      <c r="P339" s="4" t="n">
        <v>0</v>
      </c>
      <c r="Q339" s="4" t="n">
        <v>0</v>
      </c>
      <c r="R339" s="4" t="n">
        <f aca="false">M339+N339+O339+P339+Q339</f>
        <v>43</v>
      </c>
      <c r="S339" s="4" t="n">
        <v>5</v>
      </c>
      <c r="T339" s="4" t="n">
        <f aca="false">R339*K339</f>
        <v>7740000</v>
      </c>
      <c r="U339" s="9" t="n">
        <f aca="false">IFERROR(M339/S339,0)</f>
        <v>8.4</v>
      </c>
      <c r="V339" s="5" t="n">
        <v>0.175</v>
      </c>
    </row>
    <row r="340" customFormat="false" ht="15" hidden="false" customHeight="false" outlineLevel="0" collapsed="false">
      <c r="A340" s="8" t="s">
        <v>57</v>
      </c>
      <c r="B340" s="8" t="s">
        <v>22</v>
      </c>
      <c r="C340" s="8" t="s">
        <v>1122</v>
      </c>
      <c r="D340" s="8" t="n">
        <v>135091</v>
      </c>
      <c r="E340" s="8" t="s">
        <v>1219</v>
      </c>
      <c r="F340" s="8" t="s">
        <v>829</v>
      </c>
      <c r="G340" s="8" t="s">
        <v>961</v>
      </c>
      <c r="H340" s="8" t="s">
        <v>51</v>
      </c>
      <c r="I340" s="8" t="s">
        <v>58</v>
      </c>
      <c r="J340" s="4" t="n">
        <v>250000</v>
      </c>
      <c r="K340" s="4" t="n">
        <v>225000</v>
      </c>
      <c r="L340" s="5" t="n">
        <v>0.1</v>
      </c>
      <c r="M340" s="4" t="n">
        <v>37</v>
      </c>
      <c r="N340" s="4" t="n">
        <v>0</v>
      </c>
      <c r="O340" s="4" t="n">
        <v>6</v>
      </c>
      <c r="P340" s="4" t="n">
        <v>0</v>
      </c>
      <c r="Q340" s="4" t="n">
        <v>0</v>
      </c>
      <c r="R340" s="4" t="n">
        <f aca="false">M340+N340+O340+P340+Q340</f>
        <v>43</v>
      </c>
      <c r="S340" s="4" t="n">
        <v>8</v>
      </c>
      <c r="T340" s="4" t="n">
        <f aca="false">R340*K340</f>
        <v>9675000</v>
      </c>
      <c r="U340" s="9" t="n">
        <f aca="false">IFERROR(M340/S340,0)</f>
        <v>4.625</v>
      </c>
      <c r="V340" s="5" t="n">
        <v>0.1822</v>
      </c>
    </row>
    <row r="341" customFormat="false" ht="15" hidden="false" customHeight="false" outlineLevel="0" collapsed="false">
      <c r="A341" s="8" t="s">
        <v>57</v>
      </c>
      <c r="B341" s="8" t="s">
        <v>22</v>
      </c>
      <c r="C341" s="8" t="s">
        <v>1098</v>
      </c>
      <c r="D341" s="8" t="n">
        <v>135163</v>
      </c>
      <c r="E341" s="8" t="s">
        <v>1220</v>
      </c>
      <c r="F341" s="8" t="s">
        <v>829</v>
      </c>
      <c r="G341" s="8" t="s">
        <v>961</v>
      </c>
      <c r="H341" s="8" t="s">
        <v>51</v>
      </c>
      <c r="I341" s="8" t="s">
        <v>58</v>
      </c>
      <c r="J341" s="4" t="n">
        <v>125000</v>
      </c>
      <c r="K341" s="4" t="n">
        <v>113000</v>
      </c>
      <c r="L341" s="5" t="n">
        <v>0.1</v>
      </c>
      <c r="M341" s="4" t="n">
        <v>32</v>
      </c>
      <c r="N341" s="4" t="n">
        <v>0</v>
      </c>
      <c r="O341" s="4" t="n">
        <v>11</v>
      </c>
      <c r="P341" s="4" t="n">
        <v>0</v>
      </c>
      <c r="Q341" s="4" t="n">
        <v>0</v>
      </c>
      <c r="R341" s="4" t="n">
        <f aca="false">M341+N341+O341+P341+Q341</f>
        <v>43</v>
      </c>
      <c r="S341" s="4" t="n">
        <v>6</v>
      </c>
      <c r="T341" s="4" t="n">
        <f aca="false">R341*K341</f>
        <v>4859000</v>
      </c>
      <c r="U341" s="9" t="n">
        <f aca="false">IFERROR(M341/S341,0)</f>
        <v>5.33333333333333</v>
      </c>
      <c r="V341" s="5" t="n">
        <v>0.2212</v>
      </c>
    </row>
    <row r="342" customFormat="false" ht="15" hidden="false" customHeight="false" outlineLevel="0" collapsed="false">
      <c r="A342" s="8" t="s">
        <v>57</v>
      </c>
      <c r="B342" s="8" t="s">
        <v>22</v>
      </c>
      <c r="C342" s="8" t="s">
        <v>1122</v>
      </c>
      <c r="D342" s="8" t="n">
        <v>134959</v>
      </c>
      <c r="E342" s="8" t="s">
        <v>1221</v>
      </c>
      <c r="F342" s="8" t="s">
        <v>809</v>
      </c>
      <c r="G342" s="8" t="s">
        <v>961</v>
      </c>
      <c r="H342" s="8" t="s">
        <v>51</v>
      </c>
      <c r="I342" s="8" t="s">
        <v>58</v>
      </c>
      <c r="J342" s="4" t="n">
        <v>1500000</v>
      </c>
      <c r="K342" s="4" t="n">
        <v>1350000</v>
      </c>
      <c r="L342" s="5" t="n">
        <v>0.1</v>
      </c>
      <c r="M342" s="4" t="n">
        <v>40</v>
      </c>
      <c r="N342" s="4" t="n">
        <v>0</v>
      </c>
      <c r="O342" s="4" t="n">
        <v>2</v>
      </c>
      <c r="P342" s="4" t="n">
        <v>0</v>
      </c>
      <c r="Q342" s="4" t="n">
        <v>0</v>
      </c>
      <c r="R342" s="4" t="n">
        <f aca="false">M342+N342+O342+P342+Q342</f>
        <v>42</v>
      </c>
      <c r="S342" s="4" t="n">
        <v>12</v>
      </c>
      <c r="T342" s="4" t="n">
        <f aca="false">R342*K342</f>
        <v>56700000</v>
      </c>
      <c r="U342" s="9" t="n">
        <f aca="false">IFERROR(M342/S342,0)</f>
        <v>3.33333333333333</v>
      </c>
      <c r="V342" s="5" t="n">
        <v>0.1978</v>
      </c>
    </row>
    <row r="343" customFormat="false" ht="15" hidden="false" customHeight="false" outlineLevel="0" collapsed="false">
      <c r="A343" s="8" t="s">
        <v>57</v>
      </c>
      <c r="B343" s="8" t="s">
        <v>22</v>
      </c>
      <c r="C343" s="8" t="s">
        <v>1098</v>
      </c>
      <c r="D343" s="8" t="n">
        <v>134960</v>
      </c>
      <c r="E343" s="8" t="s">
        <v>1222</v>
      </c>
      <c r="F343" s="8" t="s">
        <v>809</v>
      </c>
      <c r="G343" s="8" t="s">
        <v>961</v>
      </c>
      <c r="H343" s="8" t="s">
        <v>51</v>
      </c>
      <c r="I343" s="8" t="s">
        <v>58</v>
      </c>
      <c r="J343" s="4" t="n">
        <v>890000</v>
      </c>
      <c r="K343" s="4" t="n">
        <v>801000</v>
      </c>
      <c r="L343" s="5" t="n">
        <v>0.1</v>
      </c>
      <c r="M343" s="4" t="n">
        <v>38</v>
      </c>
      <c r="N343" s="4" t="n">
        <v>0</v>
      </c>
      <c r="O343" s="4" t="n">
        <v>3</v>
      </c>
      <c r="P343" s="4" t="n">
        <v>0</v>
      </c>
      <c r="Q343" s="4" t="n">
        <v>1</v>
      </c>
      <c r="R343" s="4" t="n">
        <f aca="false">M343+N343+O343+P343+Q343</f>
        <v>42</v>
      </c>
      <c r="S343" s="4" t="n">
        <v>14</v>
      </c>
      <c r="T343" s="4" t="n">
        <f aca="false">R343*K343</f>
        <v>33642000</v>
      </c>
      <c r="U343" s="9" t="n">
        <f aca="false">IFERROR(M343/S343,0)</f>
        <v>2.71428571428571</v>
      </c>
      <c r="V343" s="5" t="n">
        <v>0.191</v>
      </c>
    </row>
    <row r="344" customFormat="false" ht="15" hidden="false" customHeight="false" outlineLevel="0" collapsed="false">
      <c r="A344" s="8" t="s">
        <v>57</v>
      </c>
      <c r="B344" s="8" t="s">
        <v>22</v>
      </c>
      <c r="C344" s="8" t="s">
        <v>1098</v>
      </c>
      <c r="D344" s="8" t="n">
        <v>134977</v>
      </c>
      <c r="E344" s="8" t="s">
        <v>1223</v>
      </c>
      <c r="F344" s="8" t="s">
        <v>809</v>
      </c>
      <c r="G344" s="8" t="s">
        <v>961</v>
      </c>
      <c r="H344" s="8" t="s">
        <v>51</v>
      </c>
      <c r="I344" s="8" t="s">
        <v>58</v>
      </c>
      <c r="J344" s="4" t="n">
        <v>2449000</v>
      </c>
      <c r="K344" s="4" t="n">
        <v>2205000</v>
      </c>
      <c r="L344" s="5" t="n">
        <v>0.1</v>
      </c>
      <c r="M344" s="4" t="n">
        <v>38</v>
      </c>
      <c r="N344" s="4" t="n">
        <v>0</v>
      </c>
      <c r="O344" s="4" t="n">
        <v>4</v>
      </c>
      <c r="P344" s="4" t="n">
        <v>0</v>
      </c>
      <c r="Q344" s="4" t="n">
        <v>0</v>
      </c>
      <c r="R344" s="4" t="n">
        <f aca="false">M344+N344+O344+P344+Q344</f>
        <v>42</v>
      </c>
      <c r="S344" s="4" t="n">
        <v>17</v>
      </c>
      <c r="T344" s="4" t="n">
        <f aca="false">R344*K344</f>
        <v>92610000</v>
      </c>
      <c r="U344" s="9" t="n">
        <f aca="false">IFERROR(M344/S344,0)</f>
        <v>2.23529411764706</v>
      </c>
      <c r="V344" s="5" t="n">
        <v>0.1985</v>
      </c>
    </row>
    <row r="345" customFormat="false" ht="15" hidden="false" customHeight="false" outlineLevel="0" collapsed="false">
      <c r="A345" s="8" t="s">
        <v>57</v>
      </c>
      <c r="B345" s="8" t="s">
        <v>22</v>
      </c>
      <c r="C345" s="8" t="s">
        <v>1098</v>
      </c>
      <c r="D345" s="8" t="n">
        <v>134482</v>
      </c>
      <c r="E345" s="8" t="s">
        <v>1224</v>
      </c>
      <c r="F345" s="8" t="s">
        <v>809</v>
      </c>
      <c r="G345" s="8" t="s">
        <v>961</v>
      </c>
      <c r="H345" s="8" t="s">
        <v>51</v>
      </c>
      <c r="I345" s="8" t="s">
        <v>58</v>
      </c>
      <c r="J345" s="4" t="n">
        <v>715000</v>
      </c>
      <c r="K345" s="4" t="n">
        <v>644000</v>
      </c>
      <c r="L345" s="5" t="n">
        <v>0.1</v>
      </c>
      <c r="M345" s="4" t="n">
        <v>40</v>
      </c>
      <c r="N345" s="4" t="n">
        <v>0</v>
      </c>
      <c r="O345" s="4" t="n">
        <v>0</v>
      </c>
      <c r="P345" s="4" t="n">
        <v>0</v>
      </c>
      <c r="Q345" s="4" t="n">
        <v>0</v>
      </c>
      <c r="R345" s="4" t="n">
        <f aca="false">M345+N345+O345+P345+Q345</f>
        <v>40</v>
      </c>
      <c r="S345" s="4" t="n">
        <v>10</v>
      </c>
      <c r="T345" s="4" t="n">
        <f aca="false">R345*K345</f>
        <v>25760000</v>
      </c>
      <c r="U345" s="9" t="n">
        <f aca="false">IFERROR(M345/S345,0)</f>
        <v>4</v>
      </c>
      <c r="V345" s="5" t="n">
        <v>0.187</v>
      </c>
    </row>
    <row r="346" customFormat="false" ht="15" hidden="false" customHeight="false" outlineLevel="0" collapsed="false">
      <c r="A346" s="8" t="s">
        <v>57</v>
      </c>
      <c r="B346" s="8" t="s">
        <v>22</v>
      </c>
      <c r="C346" s="8" t="s">
        <v>1098</v>
      </c>
      <c r="D346" s="8" t="n">
        <v>134912</v>
      </c>
      <c r="E346" s="8" t="s">
        <v>1225</v>
      </c>
      <c r="F346" s="8" t="s">
        <v>809</v>
      </c>
      <c r="G346" s="8" t="s">
        <v>961</v>
      </c>
      <c r="H346" s="8" t="s">
        <v>51</v>
      </c>
      <c r="I346" s="8" t="s">
        <v>58</v>
      </c>
      <c r="J346" s="4" t="n">
        <v>365000</v>
      </c>
      <c r="K346" s="4" t="n">
        <v>329000</v>
      </c>
      <c r="L346" s="5" t="n">
        <v>0.1</v>
      </c>
      <c r="M346" s="4" t="n">
        <v>37</v>
      </c>
      <c r="N346" s="4" t="n">
        <v>0</v>
      </c>
      <c r="O346" s="4" t="n">
        <v>3</v>
      </c>
      <c r="P346" s="4" t="n">
        <v>0</v>
      </c>
      <c r="Q346" s="4" t="n">
        <v>0</v>
      </c>
      <c r="R346" s="4" t="n">
        <f aca="false">M346+N346+O346+P346+Q346</f>
        <v>40</v>
      </c>
      <c r="S346" s="4" t="n">
        <v>13</v>
      </c>
      <c r="T346" s="4" t="n">
        <f aca="false">R346*K346</f>
        <v>13160000</v>
      </c>
      <c r="U346" s="9" t="n">
        <f aca="false">IFERROR(M346/S346,0)</f>
        <v>2.84615384615385</v>
      </c>
      <c r="V346" s="5" t="n">
        <v>0.1793</v>
      </c>
    </row>
    <row r="347" customFormat="false" ht="15" hidden="false" customHeight="false" outlineLevel="0" collapsed="false">
      <c r="A347" s="8" t="s">
        <v>57</v>
      </c>
      <c r="B347" s="8" t="s">
        <v>22</v>
      </c>
      <c r="C347" s="8" t="s">
        <v>1122</v>
      </c>
      <c r="D347" s="8" t="n">
        <v>231268</v>
      </c>
      <c r="E347" s="8" t="s">
        <v>1226</v>
      </c>
      <c r="F347" s="8" t="s">
        <v>809</v>
      </c>
      <c r="G347" s="8" t="s">
        <v>961</v>
      </c>
      <c r="H347" s="8" t="s">
        <v>51</v>
      </c>
      <c r="I347" s="8" t="s">
        <v>58</v>
      </c>
      <c r="J347" s="4" t="n">
        <v>199000</v>
      </c>
      <c r="K347" s="4" t="n">
        <v>180000</v>
      </c>
      <c r="L347" s="5" t="n">
        <v>0.1</v>
      </c>
      <c r="M347" s="4" t="n">
        <v>33</v>
      </c>
      <c r="N347" s="4" t="n">
        <v>0</v>
      </c>
      <c r="O347" s="4" t="n">
        <v>7</v>
      </c>
      <c r="P347" s="4" t="n">
        <v>0</v>
      </c>
      <c r="Q347" s="4" t="n">
        <v>0</v>
      </c>
      <c r="R347" s="4" t="n">
        <f aca="false">M347+N347+O347+P347+Q347</f>
        <v>40</v>
      </c>
      <c r="S347" s="4" t="n">
        <v>8</v>
      </c>
      <c r="T347" s="4" t="n">
        <f aca="false">R347*K347</f>
        <v>7200000</v>
      </c>
      <c r="U347" s="9" t="n">
        <f aca="false">IFERROR(M347/S347,0)</f>
        <v>4.125</v>
      </c>
      <c r="V347" s="5" t="n">
        <v>0.175</v>
      </c>
    </row>
    <row r="348" customFormat="false" ht="15" hidden="false" customHeight="false" outlineLevel="0" collapsed="false">
      <c r="A348" s="8" t="s">
        <v>57</v>
      </c>
      <c r="B348" s="8" t="s">
        <v>22</v>
      </c>
      <c r="C348" s="8" t="s">
        <v>1098</v>
      </c>
      <c r="D348" s="8" t="n">
        <v>230797</v>
      </c>
      <c r="E348" s="8" t="s">
        <v>1227</v>
      </c>
      <c r="F348" s="8" t="s">
        <v>809</v>
      </c>
      <c r="G348" s="8" t="s">
        <v>961</v>
      </c>
      <c r="H348" s="8" t="s">
        <v>51</v>
      </c>
      <c r="I348" s="8" t="s">
        <v>58</v>
      </c>
      <c r="J348" s="4" t="n">
        <v>810000</v>
      </c>
      <c r="K348" s="4" t="n">
        <v>729000</v>
      </c>
      <c r="L348" s="5" t="n">
        <v>0.1</v>
      </c>
      <c r="M348" s="4" t="n">
        <v>38</v>
      </c>
      <c r="N348" s="4" t="n">
        <v>0</v>
      </c>
      <c r="O348" s="4" t="n">
        <v>2</v>
      </c>
      <c r="P348" s="4" t="n">
        <v>0</v>
      </c>
      <c r="Q348" s="4" t="n">
        <v>0</v>
      </c>
      <c r="R348" s="4" t="n">
        <f aca="false">M348+N348+O348+P348+Q348</f>
        <v>40</v>
      </c>
      <c r="S348" s="4" t="n">
        <v>10</v>
      </c>
      <c r="T348" s="4" t="n">
        <f aca="false">R348*K348</f>
        <v>29160000</v>
      </c>
      <c r="U348" s="9" t="n">
        <f aca="false">IFERROR(M348/S348,0)</f>
        <v>3.8</v>
      </c>
      <c r="V348" s="5" t="n">
        <v>0.1481</v>
      </c>
    </row>
    <row r="349" customFormat="false" ht="15" hidden="false" customHeight="false" outlineLevel="0" collapsed="false">
      <c r="A349" s="8" t="s">
        <v>57</v>
      </c>
      <c r="B349" s="8" t="s">
        <v>22</v>
      </c>
      <c r="C349" s="8" t="s">
        <v>1122</v>
      </c>
      <c r="D349" s="8" t="n">
        <v>134810</v>
      </c>
      <c r="E349" s="8" t="s">
        <v>1228</v>
      </c>
      <c r="F349" s="8" t="s">
        <v>809</v>
      </c>
      <c r="G349" s="8" t="s">
        <v>961</v>
      </c>
      <c r="H349" s="8" t="s">
        <v>51</v>
      </c>
      <c r="I349" s="8" t="s">
        <v>58</v>
      </c>
      <c r="J349" s="4" t="n">
        <v>490000</v>
      </c>
      <c r="K349" s="4" t="n">
        <v>441000</v>
      </c>
      <c r="L349" s="5" t="n">
        <v>0.1</v>
      </c>
      <c r="M349" s="4" t="n">
        <v>39</v>
      </c>
      <c r="N349" s="4" t="n">
        <v>0</v>
      </c>
      <c r="O349" s="4" t="n">
        <v>0</v>
      </c>
      <c r="P349" s="4" t="n">
        <v>0</v>
      </c>
      <c r="Q349" s="4" t="n">
        <v>0</v>
      </c>
      <c r="R349" s="4" t="n">
        <f aca="false">M349+N349+O349+P349+Q349</f>
        <v>39</v>
      </c>
      <c r="S349" s="4" t="n">
        <v>16</v>
      </c>
      <c r="T349" s="4" t="n">
        <f aca="false">R349*K349</f>
        <v>17199000</v>
      </c>
      <c r="U349" s="9" t="n">
        <f aca="false">IFERROR(M349/S349,0)</f>
        <v>2.4375</v>
      </c>
      <c r="V349" s="5" t="n">
        <v>0.19</v>
      </c>
    </row>
    <row r="350" customFormat="false" ht="15" hidden="false" customHeight="false" outlineLevel="0" collapsed="false">
      <c r="A350" s="8" t="s">
        <v>57</v>
      </c>
      <c r="B350" s="8" t="s">
        <v>22</v>
      </c>
      <c r="C350" s="8" t="s">
        <v>1098</v>
      </c>
      <c r="D350" s="8" t="n">
        <v>231417</v>
      </c>
      <c r="E350" s="8" t="s">
        <v>1229</v>
      </c>
      <c r="F350" s="8" t="s">
        <v>809</v>
      </c>
      <c r="G350" s="8" t="s">
        <v>961</v>
      </c>
      <c r="H350" s="8" t="s">
        <v>51</v>
      </c>
      <c r="I350" s="8" t="s">
        <v>58</v>
      </c>
      <c r="J350" s="4" t="n">
        <v>700000</v>
      </c>
      <c r="K350" s="4" t="n">
        <v>630000</v>
      </c>
      <c r="L350" s="5" t="n">
        <v>0.1</v>
      </c>
      <c r="M350" s="4" t="n">
        <v>34</v>
      </c>
      <c r="N350" s="4" t="n">
        <v>0</v>
      </c>
      <c r="O350" s="4" t="n">
        <v>5</v>
      </c>
      <c r="P350" s="4" t="n">
        <v>0</v>
      </c>
      <c r="Q350" s="4" t="n">
        <v>0</v>
      </c>
      <c r="R350" s="4" t="n">
        <f aca="false">M350+N350+O350+P350+Q350</f>
        <v>39</v>
      </c>
      <c r="S350" s="4" t="n">
        <v>14</v>
      </c>
      <c r="T350" s="4" t="n">
        <f aca="false">R350*K350</f>
        <v>24570000</v>
      </c>
      <c r="U350" s="9" t="n">
        <f aca="false">IFERROR(M350/S350,0)</f>
        <v>2.42857142857143</v>
      </c>
      <c r="V350" s="5" t="n">
        <v>0.153</v>
      </c>
    </row>
    <row r="351" customFormat="false" ht="15" hidden="false" customHeight="false" outlineLevel="0" collapsed="false">
      <c r="A351" s="8" t="s">
        <v>57</v>
      </c>
      <c r="B351" s="8" t="s">
        <v>22</v>
      </c>
      <c r="C351" s="8" t="s">
        <v>1098</v>
      </c>
      <c r="D351" s="8" t="n">
        <v>231448</v>
      </c>
      <c r="E351" s="8" t="s">
        <v>1230</v>
      </c>
      <c r="F351" s="8" t="s">
        <v>809</v>
      </c>
      <c r="G351" s="8" t="s">
        <v>961</v>
      </c>
      <c r="H351" s="8" t="s">
        <v>51</v>
      </c>
      <c r="I351" s="8" t="s">
        <v>58</v>
      </c>
      <c r="J351" s="4" t="n">
        <v>920000</v>
      </c>
      <c r="K351" s="4" t="n">
        <v>828000</v>
      </c>
      <c r="L351" s="5" t="n">
        <v>0.1</v>
      </c>
      <c r="M351" s="4" t="n">
        <v>32</v>
      </c>
      <c r="N351" s="4" t="n">
        <v>0</v>
      </c>
      <c r="O351" s="4" t="n">
        <v>7</v>
      </c>
      <c r="P351" s="4" t="n">
        <v>0</v>
      </c>
      <c r="Q351" s="4" t="n">
        <v>0</v>
      </c>
      <c r="R351" s="4" t="n">
        <f aca="false">M351+N351+O351+P351+Q351</f>
        <v>39</v>
      </c>
      <c r="S351" s="4" t="n">
        <v>12</v>
      </c>
      <c r="T351" s="4" t="n">
        <f aca="false">R351*K351</f>
        <v>32292000</v>
      </c>
      <c r="U351" s="9" t="n">
        <f aca="false">IFERROR(M351/S351,0)</f>
        <v>2.66666666666667</v>
      </c>
      <c r="V351" s="5" t="n">
        <v>0.1522</v>
      </c>
    </row>
    <row r="352" customFormat="false" ht="15" hidden="false" customHeight="false" outlineLevel="0" collapsed="false">
      <c r="A352" s="8" t="s">
        <v>57</v>
      </c>
      <c r="B352" s="8" t="s">
        <v>22</v>
      </c>
      <c r="C352" s="8" t="s">
        <v>1122</v>
      </c>
      <c r="D352" s="8" t="n">
        <v>135090</v>
      </c>
      <c r="E352" s="8" t="s">
        <v>1231</v>
      </c>
      <c r="F352" s="8" t="s">
        <v>829</v>
      </c>
      <c r="G352" s="8" t="s">
        <v>961</v>
      </c>
      <c r="H352" s="8" t="s">
        <v>51</v>
      </c>
      <c r="I352" s="8" t="s">
        <v>58</v>
      </c>
      <c r="J352" s="4" t="n">
        <v>250000</v>
      </c>
      <c r="K352" s="4" t="n">
        <v>225000</v>
      </c>
      <c r="L352" s="5" t="n">
        <v>0.1</v>
      </c>
      <c r="M352" s="4" t="n">
        <v>38</v>
      </c>
      <c r="N352" s="4" t="n">
        <v>0</v>
      </c>
      <c r="O352" s="4" t="n">
        <v>0</v>
      </c>
      <c r="P352" s="4" t="n">
        <v>0</v>
      </c>
      <c r="Q352" s="4" t="n">
        <v>0</v>
      </c>
      <c r="R352" s="4" t="n">
        <f aca="false">M352+N352+O352+P352+Q352</f>
        <v>38</v>
      </c>
      <c r="S352" s="4" t="n">
        <v>8</v>
      </c>
      <c r="T352" s="4" t="n">
        <f aca="false">R352*K352</f>
        <v>8550000</v>
      </c>
      <c r="U352" s="9" t="n">
        <f aca="false">IFERROR(M352/S352,0)</f>
        <v>4.75</v>
      </c>
      <c r="V352" s="5" t="n">
        <v>0.1822</v>
      </c>
    </row>
    <row r="353" customFormat="false" ht="15" hidden="false" customHeight="false" outlineLevel="0" collapsed="false">
      <c r="A353" s="8" t="s">
        <v>57</v>
      </c>
      <c r="B353" s="8" t="s">
        <v>22</v>
      </c>
      <c r="C353" s="8" t="s">
        <v>1098</v>
      </c>
      <c r="D353" s="8" t="n">
        <v>135167</v>
      </c>
      <c r="E353" s="8" t="s">
        <v>1232</v>
      </c>
      <c r="F353" s="8" t="s">
        <v>829</v>
      </c>
      <c r="G353" s="8" t="s">
        <v>961</v>
      </c>
      <c r="H353" s="8" t="s">
        <v>51</v>
      </c>
      <c r="I353" s="8" t="s">
        <v>58</v>
      </c>
      <c r="J353" s="4" t="n">
        <v>179000</v>
      </c>
      <c r="K353" s="4" t="n">
        <v>162000</v>
      </c>
      <c r="L353" s="5" t="n">
        <v>0.1</v>
      </c>
      <c r="M353" s="4" t="n">
        <v>26</v>
      </c>
      <c r="N353" s="4" t="n">
        <v>0</v>
      </c>
      <c r="O353" s="4" t="n">
        <v>12</v>
      </c>
      <c r="P353" s="4" t="n">
        <v>0</v>
      </c>
      <c r="Q353" s="4" t="n">
        <v>0</v>
      </c>
      <c r="R353" s="4" t="n">
        <f aca="false">M353+N353+O353+P353+Q353</f>
        <v>38</v>
      </c>
      <c r="S353" s="4" t="n">
        <v>5</v>
      </c>
      <c r="T353" s="4" t="n">
        <f aca="false">R353*K353</f>
        <v>6156000</v>
      </c>
      <c r="U353" s="9" t="n">
        <f aca="false">IFERROR(M353/S353,0)</f>
        <v>5.2</v>
      </c>
      <c r="V353" s="5" t="n">
        <v>0.1975</v>
      </c>
    </row>
    <row r="354" customFormat="false" ht="15" hidden="false" customHeight="false" outlineLevel="0" collapsed="false">
      <c r="A354" s="8" t="s">
        <v>57</v>
      </c>
      <c r="B354" s="8" t="s">
        <v>22</v>
      </c>
      <c r="C354" s="8" t="s">
        <v>1098</v>
      </c>
      <c r="D354" s="8" t="n">
        <v>230992</v>
      </c>
      <c r="E354" s="8" t="s">
        <v>1233</v>
      </c>
      <c r="F354" s="8" t="s">
        <v>809</v>
      </c>
      <c r="G354" s="8" t="s">
        <v>961</v>
      </c>
      <c r="H354" s="8" t="s">
        <v>51</v>
      </c>
      <c r="I354" s="8" t="s">
        <v>58</v>
      </c>
      <c r="J354" s="4" t="n">
        <v>500000</v>
      </c>
      <c r="K354" s="4" t="n">
        <v>450000</v>
      </c>
      <c r="L354" s="5" t="n">
        <v>0.1</v>
      </c>
      <c r="M354" s="4" t="n">
        <v>36</v>
      </c>
      <c r="N354" s="4" t="n">
        <v>0</v>
      </c>
      <c r="O354" s="4" t="n">
        <v>2</v>
      </c>
      <c r="P354" s="4" t="n">
        <v>0</v>
      </c>
      <c r="Q354" s="4" t="n">
        <v>0</v>
      </c>
      <c r="R354" s="4" t="n">
        <f aca="false">M354+N354+O354+P354+Q354</f>
        <v>38</v>
      </c>
      <c r="S354" s="4" t="n">
        <v>11</v>
      </c>
      <c r="T354" s="4" t="n">
        <f aca="false">R354*K354</f>
        <v>17100000</v>
      </c>
      <c r="U354" s="9" t="n">
        <f aca="false">IFERROR(M354/S354,0)</f>
        <v>3.27272727272727</v>
      </c>
      <c r="V354" s="5" t="n">
        <v>0.1516</v>
      </c>
    </row>
    <row r="355" customFormat="false" ht="15" hidden="false" customHeight="false" outlineLevel="0" collapsed="false">
      <c r="A355" s="8" t="s">
        <v>57</v>
      </c>
      <c r="B355" s="8" t="s">
        <v>22</v>
      </c>
      <c r="C355" s="8" t="s">
        <v>1098</v>
      </c>
      <c r="D355" s="8" t="n">
        <v>134976</v>
      </c>
      <c r="E355" s="8" t="s">
        <v>1234</v>
      </c>
      <c r="F355" s="8" t="s">
        <v>809</v>
      </c>
      <c r="G355" s="8" t="s">
        <v>961</v>
      </c>
      <c r="H355" s="8" t="s">
        <v>51</v>
      </c>
      <c r="I355" s="8" t="s">
        <v>58</v>
      </c>
      <c r="J355" s="4" t="n">
        <v>2449000</v>
      </c>
      <c r="K355" s="4" t="n">
        <v>2205000</v>
      </c>
      <c r="L355" s="5" t="n">
        <v>0.1</v>
      </c>
      <c r="M355" s="4" t="n">
        <v>35</v>
      </c>
      <c r="N355" s="4" t="n">
        <v>0</v>
      </c>
      <c r="O355" s="4" t="n">
        <v>3</v>
      </c>
      <c r="P355" s="4" t="n">
        <v>0</v>
      </c>
      <c r="Q355" s="4" t="n">
        <v>0</v>
      </c>
      <c r="R355" s="4" t="n">
        <f aca="false">M355+N355+O355+P355+Q355</f>
        <v>38</v>
      </c>
      <c r="S355" s="4" t="n">
        <v>12</v>
      </c>
      <c r="T355" s="4" t="n">
        <f aca="false">R355*K355</f>
        <v>83790000</v>
      </c>
      <c r="U355" s="9" t="n">
        <f aca="false">IFERROR(M355/S355,0)</f>
        <v>2.91666666666667</v>
      </c>
      <c r="V355" s="5" t="n">
        <v>0.1985</v>
      </c>
    </row>
    <row r="356" customFormat="false" ht="15" hidden="false" customHeight="false" outlineLevel="0" collapsed="false">
      <c r="A356" s="8" t="s">
        <v>57</v>
      </c>
      <c r="B356" s="8" t="s">
        <v>22</v>
      </c>
      <c r="C356" s="8" t="s">
        <v>1098</v>
      </c>
      <c r="D356" s="8" t="n">
        <v>231389</v>
      </c>
      <c r="E356" s="8" t="s">
        <v>1235</v>
      </c>
      <c r="F356" s="8" t="s">
        <v>809</v>
      </c>
      <c r="G356" s="8" t="s">
        <v>961</v>
      </c>
      <c r="H356" s="8" t="s">
        <v>51</v>
      </c>
      <c r="I356" s="8" t="s">
        <v>58</v>
      </c>
      <c r="J356" s="4" t="n">
        <v>650000</v>
      </c>
      <c r="K356" s="4" t="n">
        <v>585000</v>
      </c>
      <c r="L356" s="5" t="n">
        <v>0.1</v>
      </c>
      <c r="M356" s="4" t="n">
        <v>34</v>
      </c>
      <c r="N356" s="4" t="n">
        <v>0</v>
      </c>
      <c r="O356" s="4" t="n">
        <v>3</v>
      </c>
      <c r="P356" s="4" t="n">
        <v>0</v>
      </c>
      <c r="Q356" s="4" t="n">
        <v>0</v>
      </c>
      <c r="R356" s="4" t="n">
        <f aca="false">M356+N356+O356+P356+Q356</f>
        <v>37</v>
      </c>
      <c r="S356" s="4" t="n">
        <v>11</v>
      </c>
      <c r="T356" s="4" t="n">
        <f aca="false">R356*K356</f>
        <v>21645000</v>
      </c>
      <c r="U356" s="9" t="n">
        <f aca="false">IFERROR(M356/S356,0)</f>
        <v>3.09090909090909</v>
      </c>
      <c r="V356" s="5" t="n">
        <v>0.1508</v>
      </c>
    </row>
    <row r="357" customFormat="false" ht="15" hidden="false" customHeight="false" outlineLevel="0" collapsed="false">
      <c r="A357" s="8" t="s">
        <v>57</v>
      </c>
      <c r="B357" s="8" t="s">
        <v>22</v>
      </c>
      <c r="C357" s="8" t="s">
        <v>1098</v>
      </c>
      <c r="D357" s="8" t="n">
        <v>135161</v>
      </c>
      <c r="E357" s="8" t="s">
        <v>1236</v>
      </c>
      <c r="F357" s="8" t="s">
        <v>829</v>
      </c>
      <c r="G357" s="8" t="s">
        <v>961</v>
      </c>
      <c r="H357" s="8" t="s">
        <v>51</v>
      </c>
      <c r="I357" s="8" t="s">
        <v>58</v>
      </c>
      <c r="J357" s="4" t="n">
        <v>105000</v>
      </c>
      <c r="K357" s="4" t="n">
        <v>95000</v>
      </c>
      <c r="L357" s="5" t="n">
        <v>0.1</v>
      </c>
      <c r="M357" s="4" t="n">
        <v>28</v>
      </c>
      <c r="N357" s="4" t="n">
        <v>0</v>
      </c>
      <c r="O357" s="4" t="n">
        <v>9</v>
      </c>
      <c r="P357" s="4" t="n">
        <v>0</v>
      </c>
      <c r="Q357" s="4" t="n">
        <v>0</v>
      </c>
      <c r="R357" s="4" t="n">
        <f aca="false">M357+N357+O357+P357+Q357</f>
        <v>37</v>
      </c>
      <c r="S357" s="4" t="n">
        <v>5</v>
      </c>
      <c r="T357" s="4" t="n">
        <f aca="false">R357*K357</f>
        <v>3515000</v>
      </c>
      <c r="U357" s="9" t="n">
        <f aca="false">IFERROR(M357/S357,0)</f>
        <v>5.6</v>
      </c>
      <c r="V357" s="5" t="n">
        <v>0.1684</v>
      </c>
    </row>
    <row r="358" customFormat="false" ht="15" hidden="false" customHeight="false" outlineLevel="0" collapsed="false">
      <c r="A358" s="8" t="s">
        <v>57</v>
      </c>
      <c r="B358" s="8" t="s">
        <v>22</v>
      </c>
      <c r="C358" s="8" t="s">
        <v>1098</v>
      </c>
      <c r="D358" s="8" t="n">
        <v>135162</v>
      </c>
      <c r="E358" s="8" t="s">
        <v>1237</v>
      </c>
      <c r="F358" s="8" t="s">
        <v>829</v>
      </c>
      <c r="G358" s="8" t="s">
        <v>961</v>
      </c>
      <c r="H358" s="8" t="s">
        <v>51</v>
      </c>
      <c r="I358" s="8" t="s">
        <v>58</v>
      </c>
      <c r="J358" s="4" t="n">
        <v>129000</v>
      </c>
      <c r="K358" s="4" t="n">
        <v>117000</v>
      </c>
      <c r="L358" s="5" t="n">
        <v>0.1</v>
      </c>
      <c r="M358" s="4" t="n">
        <v>26</v>
      </c>
      <c r="N358" s="4" t="n">
        <v>0</v>
      </c>
      <c r="O358" s="4" t="n">
        <v>11</v>
      </c>
      <c r="P358" s="4" t="n">
        <v>0</v>
      </c>
      <c r="Q358" s="4" t="n">
        <v>0</v>
      </c>
      <c r="R358" s="4" t="n">
        <f aca="false">M358+N358+O358+P358+Q358</f>
        <v>37</v>
      </c>
      <c r="S358" s="4" t="n">
        <v>4</v>
      </c>
      <c r="T358" s="4" t="n">
        <f aca="false">R358*K358</f>
        <v>4329000</v>
      </c>
      <c r="U358" s="9" t="n">
        <f aca="false">IFERROR(M358/S358,0)</f>
        <v>6.5</v>
      </c>
      <c r="V358" s="5" t="n">
        <v>0.188</v>
      </c>
    </row>
    <row r="359" customFormat="false" ht="15" hidden="false" customHeight="false" outlineLevel="0" collapsed="false">
      <c r="A359" s="8" t="s">
        <v>57</v>
      </c>
      <c r="B359" s="8" t="s">
        <v>22</v>
      </c>
      <c r="C359" s="8" t="s">
        <v>1098</v>
      </c>
      <c r="D359" s="8" t="n">
        <v>135036</v>
      </c>
      <c r="E359" s="8" t="s">
        <v>1238</v>
      </c>
      <c r="F359" s="8" t="s">
        <v>809</v>
      </c>
      <c r="G359" s="8" t="s">
        <v>961</v>
      </c>
      <c r="H359" s="8" t="s">
        <v>51</v>
      </c>
      <c r="I359" s="8" t="s">
        <v>58</v>
      </c>
      <c r="J359" s="4" t="n">
        <v>715000</v>
      </c>
      <c r="K359" s="4" t="n">
        <v>644000</v>
      </c>
      <c r="L359" s="5" t="n">
        <v>0.1</v>
      </c>
      <c r="M359" s="4" t="n">
        <v>32</v>
      </c>
      <c r="N359" s="4" t="n">
        <v>0</v>
      </c>
      <c r="O359" s="4" t="n">
        <v>5</v>
      </c>
      <c r="P359" s="4" t="n">
        <v>0</v>
      </c>
      <c r="Q359" s="4" t="n">
        <v>0</v>
      </c>
      <c r="R359" s="4" t="n">
        <f aca="false">M359+N359+O359+P359+Q359</f>
        <v>37</v>
      </c>
      <c r="S359" s="4" t="n">
        <v>12</v>
      </c>
      <c r="T359" s="4" t="n">
        <f aca="false">R359*K359</f>
        <v>23828000</v>
      </c>
      <c r="U359" s="9" t="n">
        <f aca="false">IFERROR(M359/S359,0)</f>
        <v>2.66666666666667</v>
      </c>
      <c r="V359" s="5" t="n">
        <v>0.1693</v>
      </c>
    </row>
    <row r="360" customFormat="false" ht="15" hidden="false" customHeight="false" outlineLevel="0" collapsed="false">
      <c r="A360" s="8" t="s">
        <v>57</v>
      </c>
      <c r="B360" s="8" t="s">
        <v>22</v>
      </c>
      <c r="C360" s="8" t="s">
        <v>1098</v>
      </c>
      <c r="D360" s="8" t="n">
        <v>231595</v>
      </c>
      <c r="E360" s="8" t="s">
        <v>1239</v>
      </c>
      <c r="F360" s="8" t="s">
        <v>809</v>
      </c>
      <c r="G360" s="8" t="s">
        <v>961</v>
      </c>
      <c r="H360" s="8" t="s">
        <v>51</v>
      </c>
      <c r="I360" s="8" t="s">
        <v>58</v>
      </c>
      <c r="J360" s="4" t="n">
        <v>650000</v>
      </c>
      <c r="K360" s="4" t="n">
        <v>585000</v>
      </c>
      <c r="L360" s="5" t="n">
        <v>0.1</v>
      </c>
      <c r="M360" s="4" t="n">
        <v>35</v>
      </c>
      <c r="N360" s="4" t="n">
        <v>0</v>
      </c>
      <c r="O360" s="4" t="n">
        <v>1</v>
      </c>
      <c r="P360" s="4" t="n">
        <v>0</v>
      </c>
      <c r="Q360" s="4" t="n">
        <v>0</v>
      </c>
      <c r="R360" s="4" t="n">
        <f aca="false">M360+N360+O360+P360+Q360</f>
        <v>36</v>
      </c>
      <c r="S360" s="4" t="n">
        <v>9</v>
      </c>
      <c r="T360" s="4" t="n">
        <f aca="false">R360*K360</f>
        <v>21060000</v>
      </c>
      <c r="U360" s="9" t="n">
        <f aca="false">IFERROR(M360/S360,0)</f>
        <v>3.88888888888889</v>
      </c>
      <c r="V360" s="5" t="n">
        <v>0.1508</v>
      </c>
    </row>
    <row r="361" customFormat="false" ht="15" hidden="false" customHeight="false" outlineLevel="0" collapsed="false">
      <c r="A361" s="8" t="s">
        <v>57</v>
      </c>
      <c r="B361" s="8" t="s">
        <v>22</v>
      </c>
      <c r="C361" s="8" t="s">
        <v>1098</v>
      </c>
      <c r="D361" s="8" t="n">
        <v>231418</v>
      </c>
      <c r="E361" s="8" t="s">
        <v>1240</v>
      </c>
      <c r="F361" s="8" t="s">
        <v>809</v>
      </c>
      <c r="G361" s="8" t="s">
        <v>961</v>
      </c>
      <c r="H361" s="8" t="s">
        <v>51</v>
      </c>
      <c r="I361" s="8" t="s">
        <v>58</v>
      </c>
      <c r="J361" s="4" t="n">
        <v>770000</v>
      </c>
      <c r="K361" s="4" t="n">
        <v>693000</v>
      </c>
      <c r="L361" s="5" t="n">
        <v>0.1</v>
      </c>
      <c r="M361" s="4" t="n">
        <v>30</v>
      </c>
      <c r="N361" s="4" t="n">
        <v>0</v>
      </c>
      <c r="O361" s="4" t="n">
        <v>6</v>
      </c>
      <c r="P361" s="4" t="n">
        <v>0</v>
      </c>
      <c r="Q361" s="4" t="n">
        <v>0</v>
      </c>
      <c r="R361" s="4" t="n">
        <f aca="false">M361+N361+O361+P361+Q361</f>
        <v>36</v>
      </c>
      <c r="S361" s="4" t="n">
        <v>15</v>
      </c>
      <c r="T361" s="4" t="n">
        <f aca="false">R361*K361</f>
        <v>24948000</v>
      </c>
      <c r="U361" s="9" t="n">
        <f aca="false">IFERROR(M361/S361,0)</f>
        <v>2</v>
      </c>
      <c r="V361" s="5" t="n">
        <v>0.1504</v>
      </c>
    </row>
    <row r="362" customFormat="false" ht="15" hidden="false" customHeight="false" outlineLevel="0" collapsed="false">
      <c r="A362" s="8" t="s">
        <v>57</v>
      </c>
      <c r="B362" s="8" t="s">
        <v>22</v>
      </c>
      <c r="C362" s="8" t="s">
        <v>1098</v>
      </c>
      <c r="D362" s="8" t="n">
        <v>134485</v>
      </c>
      <c r="E362" s="8" t="s">
        <v>1241</v>
      </c>
      <c r="F362" s="8" t="s">
        <v>809</v>
      </c>
      <c r="G362" s="8" t="s">
        <v>961</v>
      </c>
      <c r="H362" s="8" t="s">
        <v>51</v>
      </c>
      <c r="I362" s="8" t="s">
        <v>58</v>
      </c>
      <c r="J362" s="4" t="n">
        <v>570000</v>
      </c>
      <c r="K362" s="4" t="n">
        <v>513000</v>
      </c>
      <c r="L362" s="5" t="n">
        <v>0.1</v>
      </c>
      <c r="M362" s="4" t="n">
        <v>33</v>
      </c>
      <c r="N362" s="4" t="n">
        <v>0</v>
      </c>
      <c r="O362" s="4" t="n">
        <v>3</v>
      </c>
      <c r="P362" s="4" t="n">
        <v>0</v>
      </c>
      <c r="Q362" s="4" t="n">
        <v>0</v>
      </c>
      <c r="R362" s="4" t="n">
        <f aca="false">M362+N362+O362+P362+Q362</f>
        <v>36</v>
      </c>
      <c r="S362" s="4" t="n">
        <v>16</v>
      </c>
      <c r="T362" s="4" t="n">
        <f aca="false">R362*K362</f>
        <v>18468000</v>
      </c>
      <c r="U362" s="9" t="n">
        <f aca="false">IFERROR(M362/S362,0)</f>
        <v>2.0625</v>
      </c>
      <c r="V362" s="5" t="n">
        <v>0.1667</v>
      </c>
    </row>
    <row r="363" customFormat="false" ht="15" hidden="false" customHeight="false" outlineLevel="0" collapsed="false">
      <c r="A363" s="8" t="s">
        <v>57</v>
      </c>
      <c r="B363" s="8" t="s">
        <v>22</v>
      </c>
      <c r="C363" s="8" t="s">
        <v>1122</v>
      </c>
      <c r="D363" s="8" t="n">
        <v>231597</v>
      </c>
      <c r="E363" s="8" t="s">
        <v>1242</v>
      </c>
      <c r="F363" s="8" t="s">
        <v>809</v>
      </c>
      <c r="G363" s="8" t="s">
        <v>961</v>
      </c>
      <c r="H363" s="8" t="s">
        <v>51</v>
      </c>
      <c r="I363" s="8" t="s">
        <v>58</v>
      </c>
      <c r="J363" s="4" t="n">
        <v>149000</v>
      </c>
      <c r="K363" s="4" t="n">
        <v>135000</v>
      </c>
      <c r="L363" s="5" t="n">
        <v>0.1</v>
      </c>
      <c r="M363" s="4" t="n">
        <v>35</v>
      </c>
      <c r="N363" s="4" t="n">
        <v>0</v>
      </c>
      <c r="O363" s="4" t="n">
        <v>0</v>
      </c>
      <c r="P363" s="4" t="n">
        <v>0</v>
      </c>
      <c r="Q363" s="4" t="n">
        <v>0</v>
      </c>
      <c r="R363" s="4" t="n">
        <f aca="false">M363+N363+O363+P363+Q363</f>
        <v>35</v>
      </c>
      <c r="S363" s="4" t="n">
        <v>7</v>
      </c>
      <c r="T363" s="4" t="n">
        <f aca="false">R363*K363</f>
        <v>4725000</v>
      </c>
      <c r="U363" s="9" t="n">
        <f aca="false">IFERROR(M363/S363,0)</f>
        <v>5</v>
      </c>
      <c r="V363" s="5" t="n">
        <v>0.1867</v>
      </c>
    </row>
    <row r="364" customFormat="false" ht="15" hidden="false" customHeight="false" outlineLevel="0" collapsed="false">
      <c r="A364" s="8" t="s">
        <v>57</v>
      </c>
      <c r="B364" s="8" t="s">
        <v>22</v>
      </c>
      <c r="C364" s="8" t="s">
        <v>1098</v>
      </c>
      <c r="D364" s="8" t="n">
        <v>231607</v>
      </c>
      <c r="E364" s="8" t="s">
        <v>1243</v>
      </c>
      <c r="F364" s="8" t="s">
        <v>767</v>
      </c>
      <c r="G364" s="8" t="s">
        <v>961</v>
      </c>
      <c r="H364" s="8" t="s">
        <v>51</v>
      </c>
      <c r="I364" s="8" t="s">
        <v>58</v>
      </c>
      <c r="J364" s="4" t="n">
        <v>690000</v>
      </c>
      <c r="K364" s="4" t="n">
        <v>621000</v>
      </c>
      <c r="L364" s="5" t="n">
        <v>0.1</v>
      </c>
      <c r="M364" s="4" t="n">
        <v>34</v>
      </c>
      <c r="N364" s="4" t="n">
        <v>0</v>
      </c>
      <c r="O364" s="4" t="n">
        <v>1</v>
      </c>
      <c r="P364" s="4" t="n">
        <v>0</v>
      </c>
      <c r="Q364" s="4" t="n">
        <v>0</v>
      </c>
      <c r="R364" s="4" t="n">
        <f aca="false">M364+N364+O364+P364+Q364</f>
        <v>35</v>
      </c>
      <c r="S364" s="4" t="n">
        <v>13</v>
      </c>
      <c r="T364" s="4" t="n">
        <f aca="false">R364*K364</f>
        <v>21735000</v>
      </c>
      <c r="U364" s="9" t="n">
        <f aca="false">IFERROR(M364/S364,0)</f>
        <v>2.61538461538462</v>
      </c>
      <c r="V364" s="5" t="n">
        <v>0.1626</v>
      </c>
    </row>
    <row r="365" customFormat="false" ht="15" hidden="false" customHeight="false" outlineLevel="0" collapsed="false">
      <c r="A365" s="8" t="s">
        <v>57</v>
      </c>
      <c r="B365" s="8" t="s">
        <v>22</v>
      </c>
      <c r="C365" s="8" t="s">
        <v>1098</v>
      </c>
      <c r="D365" s="8" t="n">
        <v>231608</v>
      </c>
      <c r="E365" s="8" t="s">
        <v>1244</v>
      </c>
      <c r="F365" s="8" t="s">
        <v>767</v>
      </c>
      <c r="G365" s="8" t="s">
        <v>961</v>
      </c>
      <c r="H365" s="8" t="s">
        <v>51</v>
      </c>
      <c r="I365" s="8" t="s">
        <v>58</v>
      </c>
      <c r="J365" s="4" t="n">
        <v>830000</v>
      </c>
      <c r="K365" s="4" t="n">
        <v>747000</v>
      </c>
      <c r="L365" s="5" t="n">
        <v>0.1</v>
      </c>
      <c r="M365" s="4" t="n">
        <v>35</v>
      </c>
      <c r="N365" s="4" t="n">
        <v>0</v>
      </c>
      <c r="O365" s="4" t="n">
        <v>0</v>
      </c>
      <c r="P365" s="4" t="n">
        <v>0</v>
      </c>
      <c r="Q365" s="4" t="n">
        <v>0</v>
      </c>
      <c r="R365" s="4" t="n">
        <f aca="false">M365+N365+O365+P365+Q365</f>
        <v>35</v>
      </c>
      <c r="S365" s="4" t="n">
        <v>11</v>
      </c>
      <c r="T365" s="4" t="n">
        <f aca="false">R365*K365</f>
        <v>26145000</v>
      </c>
      <c r="U365" s="9" t="n">
        <f aca="false">IFERROR(M365/S365,0)</f>
        <v>3.18181818181818</v>
      </c>
      <c r="V365" s="5" t="n">
        <v>0.1502</v>
      </c>
    </row>
    <row r="366" customFormat="false" ht="15" hidden="false" customHeight="false" outlineLevel="0" collapsed="false">
      <c r="A366" s="8" t="s">
        <v>57</v>
      </c>
      <c r="B366" s="8" t="s">
        <v>22</v>
      </c>
      <c r="C366" s="8" t="s">
        <v>1098</v>
      </c>
      <c r="D366" s="8" t="n">
        <v>134730</v>
      </c>
      <c r="E366" s="8" t="s">
        <v>1245</v>
      </c>
      <c r="F366" s="8" t="s">
        <v>809</v>
      </c>
      <c r="G366" s="8" t="s">
        <v>961</v>
      </c>
      <c r="H366" s="8" t="s">
        <v>51</v>
      </c>
      <c r="I366" s="8" t="s">
        <v>58</v>
      </c>
      <c r="J366" s="4" t="n">
        <v>350000</v>
      </c>
      <c r="K366" s="4" t="n">
        <v>315000</v>
      </c>
      <c r="L366" s="5" t="n">
        <v>0.1</v>
      </c>
      <c r="M366" s="4" t="n">
        <v>34</v>
      </c>
      <c r="N366" s="4" t="n">
        <v>0</v>
      </c>
      <c r="O366" s="4" t="n">
        <v>0</v>
      </c>
      <c r="P366" s="4" t="n">
        <v>0</v>
      </c>
      <c r="Q366" s="4" t="n">
        <v>0</v>
      </c>
      <c r="R366" s="4" t="n">
        <f aca="false">M366+N366+O366+P366+Q366</f>
        <v>34</v>
      </c>
      <c r="S366" s="4" t="n">
        <v>12</v>
      </c>
      <c r="T366" s="4" t="n">
        <f aca="false">R366*K366</f>
        <v>10710000</v>
      </c>
      <c r="U366" s="9" t="n">
        <f aca="false">IFERROR(M366/S366,0)</f>
        <v>2.83333333333333</v>
      </c>
      <c r="V366" s="5" t="n">
        <v>0.2063</v>
      </c>
    </row>
    <row r="367" customFormat="false" ht="15" hidden="false" customHeight="false" outlineLevel="0" collapsed="false">
      <c r="A367" s="8" t="s">
        <v>57</v>
      </c>
      <c r="B367" s="8" t="s">
        <v>22</v>
      </c>
      <c r="C367" s="8" t="s">
        <v>1098</v>
      </c>
      <c r="D367" s="8" t="n">
        <v>231447</v>
      </c>
      <c r="E367" s="8" t="s">
        <v>1246</v>
      </c>
      <c r="F367" s="8" t="s">
        <v>809</v>
      </c>
      <c r="G367" s="8" t="s">
        <v>961</v>
      </c>
      <c r="H367" s="8" t="s">
        <v>51</v>
      </c>
      <c r="I367" s="8" t="s">
        <v>58</v>
      </c>
      <c r="J367" s="4" t="n">
        <v>690000</v>
      </c>
      <c r="K367" s="4" t="n">
        <v>621000</v>
      </c>
      <c r="L367" s="5" t="n">
        <v>0.1</v>
      </c>
      <c r="M367" s="4" t="n">
        <v>30</v>
      </c>
      <c r="N367" s="4" t="n">
        <v>0</v>
      </c>
      <c r="O367" s="4" t="n">
        <v>4</v>
      </c>
      <c r="P367" s="4" t="n">
        <v>0</v>
      </c>
      <c r="Q367" s="4" t="n">
        <v>0</v>
      </c>
      <c r="R367" s="4" t="n">
        <f aca="false">M367+N367+O367+P367+Q367</f>
        <v>34</v>
      </c>
      <c r="S367" s="4" t="n">
        <v>15</v>
      </c>
      <c r="T367" s="4" t="n">
        <f aca="false">R367*K367</f>
        <v>21114000</v>
      </c>
      <c r="U367" s="9" t="n">
        <f aca="false">IFERROR(M367/S367,0)</f>
        <v>2</v>
      </c>
      <c r="V367" s="5" t="n">
        <v>0.1594</v>
      </c>
    </row>
    <row r="368" customFormat="false" ht="15" hidden="false" customHeight="false" outlineLevel="0" collapsed="false">
      <c r="A368" s="8" t="s">
        <v>57</v>
      </c>
      <c r="B368" s="8" t="s">
        <v>22</v>
      </c>
      <c r="C368" s="8" t="s">
        <v>1098</v>
      </c>
      <c r="D368" s="8" t="n">
        <v>135028</v>
      </c>
      <c r="E368" s="8" t="s">
        <v>1247</v>
      </c>
      <c r="F368" s="8" t="s">
        <v>809</v>
      </c>
      <c r="G368" s="8" t="s">
        <v>961</v>
      </c>
      <c r="H368" s="8" t="s">
        <v>51</v>
      </c>
      <c r="I368" s="8" t="s">
        <v>58</v>
      </c>
      <c r="J368" s="4" t="n">
        <v>1050000</v>
      </c>
      <c r="K368" s="4" t="n">
        <v>945000</v>
      </c>
      <c r="L368" s="5" t="n">
        <v>0.1</v>
      </c>
      <c r="M368" s="4" t="n">
        <v>29</v>
      </c>
      <c r="N368" s="4" t="n">
        <v>0</v>
      </c>
      <c r="O368" s="4" t="n">
        <v>5</v>
      </c>
      <c r="P368" s="4" t="n">
        <v>0</v>
      </c>
      <c r="Q368" s="4" t="n">
        <v>0</v>
      </c>
      <c r="R368" s="4" t="n">
        <f aca="false">M368+N368+O368+P368+Q368</f>
        <v>34</v>
      </c>
      <c r="S368" s="4" t="n">
        <v>10</v>
      </c>
      <c r="T368" s="4" t="n">
        <f aca="false">R368*K368</f>
        <v>32130000</v>
      </c>
      <c r="U368" s="9" t="n">
        <f aca="false">IFERROR(M368/S368,0)</f>
        <v>2.9</v>
      </c>
      <c r="V368" s="5" t="n">
        <v>0.1884</v>
      </c>
    </row>
    <row r="369" customFormat="false" ht="15" hidden="false" customHeight="false" outlineLevel="0" collapsed="false">
      <c r="A369" s="8" t="s">
        <v>57</v>
      </c>
      <c r="B369" s="8" t="s">
        <v>22</v>
      </c>
      <c r="C369" s="8" t="s">
        <v>1098</v>
      </c>
      <c r="D369" s="8" t="n">
        <v>230199</v>
      </c>
      <c r="E369" s="8" t="s">
        <v>1248</v>
      </c>
      <c r="F369" s="8" t="s">
        <v>809</v>
      </c>
      <c r="G369" s="8" t="s">
        <v>961</v>
      </c>
      <c r="H369" s="8" t="s">
        <v>51</v>
      </c>
      <c r="I369" s="8" t="s">
        <v>58</v>
      </c>
      <c r="J369" s="4" t="n">
        <v>630000</v>
      </c>
      <c r="K369" s="4" t="n">
        <v>567000</v>
      </c>
      <c r="L369" s="5" t="n">
        <v>0.1</v>
      </c>
      <c r="M369" s="4" t="n">
        <v>33</v>
      </c>
      <c r="N369" s="4" t="n">
        <v>0</v>
      </c>
      <c r="O369" s="4" t="n">
        <v>0</v>
      </c>
      <c r="P369" s="4" t="n">
        <v>0</v>
      </c>
      <c r="Q369" s="4" t="n">
        <v>0</v>
      </c>
      <c r="R369" s="4" t="n">
        <f aca="false">M369+N369+O369+P369+Q369</f>
        <v>33</v>
      </c>
      <c r="S369" s="4" t="n">
        <v>13</v>
      </c>
      <c r="T369" s="4" t="n">
        <f aca="false">R369*K369</f>
        <v>18711000</v>
      </c>
      <c r="U369" s="9" t="n">
        <f aca="false">IFERROR(M369/S369,0)</f>
        <v>2.53846153846154</v>
      </c>
      <c r="V369" s="5" t="n">
        <v>0.1746</v>
      </c>
    </row>
    <row r="370" customFormat="false" ht="15" hidden="false" customHeight="false" outlineLevel="0" collapsed="false">
      <c r="A370" s="8" t="s">
        <v>57</v>
      </c>
      <c r="B370" s="8" t="s">
        <v>22</v>
      </c>
      <c r="C370" s="8" t="s">
        <v>1122</v>
      </c>
      <c r="D370" s="8" t="n">
        <v>134811</v>
      </c>
      <c r="E370" s="8" t="s">
        <v>1249</v>
      </c>
      <c r="F370" s="8" t="s">
        <v>809</v>
      </c>
      <c r="G370" s="8" t="s">
        <v>961</v>
      </c>
      <c r="H370" s="8" t="s">
        <v>51</v>
      </c>
      <c r="I370" s="8" t="s">
        <v>58</v>
      </c>
      <c r="J370" s="4" t="n">
        <v>490000</v>
      </c>
      <c r="K370" s="4" t="n">
        <v>441000</v>
      </c>
      <c r="L370" s="5" t="n">
        <v>0.1</v>
      </c>
      <c r="M370" s="4" t="n">
        <v>33</v>
      </c>
      <c r="N370" s="4" t="n">
        <v>0</v>
      </c>
      <c r="O370" s="4" t="n">
        <v>0</v>
      </c>
      <c r="P370" s="4" t="n">
        <v>0</v>
      </c>
      <c r="Q370" s="4" t="n">
        <v>0</v>
      </c>
      <c r="R370" s="4" t="n">
        <f aca="false">M370+N370+O370+P370+Q370</f>
        <v>33</v>
      </c>
      <c r="S370" s="4" t="n">
        <v>14</v>
      </c>
      <c r="T370" s="4" t="n">
        <f aca="false">R370*K370</f>
        <v>14553000</v>
      </c>
      <c r="U370" s="9" t="n">
        <f aca="false">IFERROR(M370/S370,0)</f>
        <v>2.35714285714286</v>
      </c>
      <c r="V370" s="5" t="n">
        <v>0.19</v>
      </c>
    </row>
    <row r="371" customFormat="false" ht="15" hidden="false" customHeight="false" outlineLevel="0" collapsed="false">
      <c r="A371" s="8" t="s">
        <v>57</v>
      </c>
      <c r="B371" s="8" t="s">
        <v>22</v>
      </c>
      <c r="C371" s="8" t="s">
        <v>1098</v>
      </c>
      <c r="D371" s="8" t="n">
        <v>135164</v>
      </c>
      <c r="E371" s="8" t="s">
        <v>1250</v>
      </c>
      <c r="F371" s="8" t="s">
        <v>829</v>
      </c>
      <c r="G371" s="8" t="s">
        <v>961</v>
      </c>
      <c r="H371" s="8" t="s">
        <v>51</v>
      </c>
      <c r="I371" s="8" t="s">
        <v>58</v>
      </c>
      <c r="J371" s="4" t="n">
        <v>159000</v>
      </c>
      <c r="K371" s="4" t="n">
        <v>144000</v>
      </c>
      <c r="L371" s="5" t="n">
        <v>0.1</v>
      </c>
      <c r="M371" s="4" t="n">
        <v>19</v>
      </c>
      <c r="N371" s="4" t="n">
        <v>0</v>
      </c>
      <c r="O371" s="4" t="n">
        <v>14</v>
      </c>
      <c r="P371" s="4" t="n">
        <v>0</v>
      </c>
      <c r="Q371" s="4" t="n">
        <v>0</v>
      </c>
      <c r="R371" s="4" t="n">
        <f aca="false">M371+N371+O371+P371+Q371</f>
        <v>33</v>
      </c>
      <c r="S371" s="4" t="n">
        <v>5</v>
      </c>
      <c r="T371" s="4" t="n">
        <f aca="false">R371*K371</f>
        <v>4752000</v>
      </c>
      <c r="U371" s="9" t="n">
        <f aca="false">IFERROR(M371/S371,0)</f>
        <v>3.8</v>
      </c>
      <c r="V371" s="5" t="n">
        <v>0.2014</v>
      </c>
    </row>
    <row r="372" customFormat="false" ht="15" hidden="false" customHeight="false" outlineLevel="0" collapsed="false">
      <c r="A372" s="8" t="s">
        <v>57</v>
      </c>
      <c r="B372" s="8" t="s">
        <v>22</v>
      </c>
      <c r="C372" s="8" t="s">
        <v>1098</v>
      </c>
      <c r="D372" s="8" t="n">
        <v>135020</v>
      </c>
      <c r="E372" s="8" t="s">
        <v>1251</v>
      </c>
      <c r="F372" s="8" t="s">
        <v>809</v>
      </c>
      <c r="G372" s="8" t="s">
        <v>961</v>
      </c>
      <c r="H372" s="8" t="s">
        <v>51</v>
      </c>
      <c r="I372" s="8" t="s">
        <v>58</v>
      </c>
      <c r="J372" s="4" t="n">
        <v>805000</v>
      </c>
      <c r="K372" s="4" t="n">
        <v>725000</v>
      </c>
      <c r="L372" s="5" t="n">
        <v>0.1</v>
      </c>
      <c r="M372" s="4" t="n">
        <v>28</v>
      </c>
      <c r="N372" s="4" t="n">
        <v>0</v>
      </c>
      <c r="O372" s="4" t="n">
        <v>5</v>
      </c>
      <c r="P372" s="4" t="n">
        <v>0</v>
      </c>
      <c r="Q372" s="4" t="n">
        <v>0</v>
      </c>
      <c r="R372" s="4" t="n">
        <f aca="false">M372+N372+O372+P372+Q372</f>
        <v>33</v>
      </c>
      <c r="S372" s="4" t="n">
        <v>9</v>
      </c>
      <c r="T372" s="4" t="n">
        <f aca="false">R372*K372</f>
        <v>23925000</v>
      </c>
      <c r="U372" s="9" t="n">
        <f aca="false">IFERROR(M372/S372,0)</f>
        <v>3.11111111111111</v>
      </c>
      <c r="V372" s="5" t="n">
        <v>0.1807</v>
      </c>
    </row>
    <row r="373" customFormat="false" ht="15" hidden="false" customHeight="false" outlineLevel="0" collapsed="false">
      <c r="A373" s="8" t="s">
        <v>57</v>
      </c>
      <c r="B373" s="8" t="s">
        <v>22</v>
      </c>
      <c r="C373" s="8" t="s">
        <v>1098</v>
      </c>
      <c r="D373" s="8" t="n">
        <v>231606</v>
      </c>
      <c r="E373" s="8" t="s">
        <v>1252</v>
      </c>
      <c r="F373" s="8" t="s">
        <v>767</v>
      </c>
      <c r="G373" s="8" t="s">
        <v>961</v>
      </c>
      <c r="H373" s="8" t="s">
        <v>51</v>
      </c>
      <c r="I373" s="8" t="s">
        <v>58</v>
      </c>
      <c r="J373" s="4" t="n">
        <v>600000</v>
      </c>
      <c r="K373" s="4" t="n">
        <v>540000</v>
      </c>
      <c r="L373" s="5" t="n">
        <v>0.1</v>
      </c>
      <c r="M373" s="4" t="n">
        <v>29</v>
      </c>
      <c r="N373" s="4" t="n">
        <v>0</v>
      </c>
      <c r="O373" s="4" t="n">
        <v>3</v>
      </c>
      <c r="P373" s="4" t="n">
        <v>0</v>
      </c>
      <c r="Q373" s="4" t="n">
        <v>0</v>
      </c>
      <c r="R373" s="4" t="n">
        <f aca="false">M373+N373+O373+P373+Q373</f>
        <v>32</v>
      </c>
      <c r="S373" s="4" t="n">
        <v>9</v>
      </c>
      <c r="T373" s="4" t="n">
        <f aca="false">R373*K373</f>
        <v>17280000</v>
      </c>
      <c r="U373" s="9" t="n">
        <f aca="false">IFERROR(M373/S373,0)</f>
        <v>3.22222222222222</v>
      </c>
      <c r="V373" s="5" t="n">
        <v>0.1556</v>
      </c>
    </row>
    <row r="374" customFormat="false" ht="15" hidden="false" customHeight="false" outlineLevel="0" collapsed="false">
      <c r="A374" s="8" t="s">
        <v>57</v>
      </c>
      <c r="B374" s="8" t="s">
        <v>22</v>
      </c>
      <c r="C374" s="8" t="s">
        <v>1098</v>
      </c>
      <c r="D374" s="8" t="n">
        <v>134382</v>
      </c>
      <c r="E374" s="8" t="s">
        <v>1253</v>
      </c>
      <c r="F374" s="8" t="s">
        <v>809</v>
      </c>
      <c r="G374" s="8" t="s">
        <v>961</v>
      </c>
      <c r="H374" s="8" t="s">
        <v>51</v>
      </c>
      <c r="I374" s="8" t="s">
        <v>58</v>
      </c>
      <c r="J374" s="4" t="n">
        <v>650000</v>
      </c>
      <c r="K374" s="4" t="n">
        <v>585000</v>
      </c>
      <c r="L374" s="5" t="n">
        <v>0.1</v>
      </c>
      <c r="M374" s="4" t="n">
        <v>31</v>
      </c>
      <c r="N374" s="4" t="n">
        <v>0</v>
      </c>
      <c r="O374" s="4" t="n">
        <v>0</v>
      </c>
      <c r="P374" s="4" t="n">
        <v>0</v>
      </c>
      <c r="Q374" s="4" t="n">
        <v>0</v>
      </c>
      <c r="R374" s="4" t="n">
        <f aca="false">M374+N374+O374+P374+Q374</f>
        <v>31</v>
      </c>
      <c r="S374" s="4" t="n">
        <v>12</v>
      </c>
      <c r="T374" s="4" t="n">
        <f aca="false">R374*K374</f>
        <v>18135000</v>
      </c>
      <c r="U374" s="9" t="n">
        <f aca="false">IFERROR(M374/S374,0)</f>
        <v>2.58333333333333</v>
      </c>
      <c r="V374" s="5" t="n">
        <v>0.16</v>
      </c>
    </row>
    <row r="375" customFormat="false" ht="15" hidden="false" customHeight="false" outlineLevel="0" collapsed="false">
      <c r="A375" s="8" t="s">
        <v>57</v>
      </c>
      <c r="B375" s="8" t="s">
        <v>22</v>
      </c>
      <c r="C375" s="8" t="s">
        <v>1098</v>
      </c>
      <c r="D375" s="8" t="n">
        <v>231261</v>
      </c>
      <c r="E375" s="8" t="s">
        <v>1254</v>
      </c>
      <c r="F375" s="8" t="s">
        <v>767</v>
      </c>
      <c r="G375" s="8" t="s">
        <v>961</v>
      </c>
      <c r="H375" s="8" t="s">
        <v>51</v>
      </c>
      <c r="I375" s="8" t="s">
        <v>58</v>
      </c>
      <c r="J375" s="4" t="n">
        <v>139000</v>
      </c>
      <c r="K375" s="4" t="n">
        <v>126000</v>
      </c>
      <c r="L375" s="5" t="n">
        <v>0.1</v>
      </c>
      <c r="M375" s="4" t="n">
        <v>31</v>
      </c>
      <c r="N375" s="4" t="n">
        <v>0</v>
      </c>
      <c r="O375" s="4" t="n">
        <v>0</v>
      </c>
      <c r="P375" s="4" t="n">
        <v>0</v>
      </c>
      <c r="Q375" s="4" t="n">
        <v>0</v>
      </c>
      <c r="R375" s="4" t="n">
        <f aca="false">M375+N375+O375+P375+Q375</f>
        <v>31</v>
      </c>
      <c r="S375" s="4" t="n">
        <v>9</v>
      </c>
      <c r="T375" s="4" t="n">
        <f aca="false">R375*K375</f>
        <v>3906000</v>
      </c>
      <c r="U375" s="9" t="n">
        <f aca="false">IFERROR(M375/S375,0)</f>
        <v>3.44444444444444</v>
      </c>
      <c r="V375" s="5" t="n">
        <v>0.1786</v>
      </c>
    </row>
    <row r="376" customFormat="false" ht="15" hidden="false" customHeight="false" outlineLevel="0" collapsed="false">
      <c r="A376" s="8" t="s">
        <v>57</v>
      </c>
      <c r="B376" s="8" t="s">
        <v>22</v>
      </c>
      <c r="C376" s="8" t="s">
        <v>1122</v>
      </c>
      <c r="D376" s="8" t="n">
        <v>135081</v>
      </c>
      <c r="E376" s="8" t="s">
        <v>1255</v>
      </c>
      <c r="F376" s="8" t="s">
        <v>818</v>
      </c>
      <c r="G376" s="8" t="s">
        <v>961</v>
      </c>
      <c r="H376" s="8" t="s">
        <v>51</v>
      </c>
      <c r="I376" s="8" t="s">
        <v>58</v>
      </c>
      <c r="J376" s="4" t="n">
        <v>320000</v>
      </c>
      <c r="K376" s="4" t="n">
        <v>288000</v>
      </c>
      <c r="L376" s="5" t="n">
        <v>0.1</v>
      </c>
      <c r="M376" s="4" t="n">
        <v>27</v>
      </c>
      <c r="N376" s="4" t="n">
        <v>0</v>
      </c>
      <c r="O376" s="4" t="n">
        <v>4</v>
      </c>
      <c r="P376" s="4" t="n">
        <v>0</v>
      </c>
      <c r="Q376" s="4" t="n">
        <v>0</v>
      </c>
      <c r="R376" s="4" t="n">
        <f aca="false">M376+N376+O376+P376+Q376</f>
        <v>31</v>
      </c>
      <c r="S376" s="4" t="n">
        <v>6</v>
      </c>
      <c r="T376" s="4" t="n">
        <f aca="false">R376*K376</f>
        <v>8928000</v>
      </c>
      <c r="U376" s="9" t="n">
        <f aca="false">IFERROR(M376/S376,0)</f>
        <v>4.5</v>
      </c>
      <c r="V376" s="5" t="n">
        <v>0.1753</v>
      </c>
    </row>
    <row r="377" customFormat="false" ht="15" hidden="false" customHeight="false" outlineLevel="0" collapsed="false">
      <c r="A377" s="8" t="s">
        <v>57</v>
      </c>
      <c r="B377" s="8" t="s">
        <v>22</v>
      </c>
      <c r="C377" s="8" t="s">
        <v>1098</v>
      </c>
      <c r="D377" s="8" t="n">
        <v>231260</v>
      </c>
      <c r="E377" s="8" t="s">
        <v>1256</v>
      </c>
      <c r="F377" s="8" t="s">
        <v>809</v>
      </c>
      <c r="G377" s="8" t="s">
        <v>961</v>
      </c>
      <c r="H377" s="8" t="s">
        <v>51</v>
      </c>
      <c r="I377" s="8" t="s">
        <v>58</v>
      </c>
      <c r="J377" s="4" t="n">
        <v>460000</v>
      </c>
      <c r="K377" s="4" t="n">
        <v>414000</v>
      </c>
      <c r="L377" s="5" t="n">
        <v>0.1</v>
      </c>
      <c r="M377" s="4" t="n">
        <v>27</v>
      </c>
      <c r="N377" s="4" t="n">
        <v>0</v>
      </c>
      <c r="O377" s="4" t="n">
        <v>3</v>
      </c>
      <c r="P377" s="4" t="n">
        <v>0</v>
      </c>
      <c r="Q377" s="4" t="n">
        <v>0</v>
      </c>
      <c r="R377" s="4" t="n">
        <f aca="false">M377+N377+O377+P377+Q377</f>
        <v>30</v>
      </c>
      <c r="S377" s="4" t="n">
        <v>11</v>
      </c>
      <c r="T377" s="4" t="n">
        <f aca="false">R377*K377</f>
        <v>12420000</v>
      </c>
      <c r="U377" s="9" t="n">
        <f aca="false">IFERROR(M377/S377,0)</f>
        <v>2.45454545454545</v>
      </c>
      <c r="V377" s="5" t="n">
        <v>0.128</v>
      </c>
    </row>
    <row r="378" customFormat="false" ht="15" hidden="false" customHeight="false" outlineLevel="0" collapsed="false">
      <c r="A378" s="8" t="s">
        <v>57</v>
      </c>
      <c r="B378" s="8" t="s">
        <v>22</v>
      </c>
      <c r="C378" s="8" t="s">
        <v>1098</v>
      </c>
      <c r="D378" s="8" t="n">
        <v>134526</v>
      </c>
      <c r="E378" s="8" t="s">
        <v>1257</v>
      </c>
      <c r="F378" s="8" t="s">
        <v>767</v>
      </c>
      <c r="G378" s="8" t="s">
        <v>961</v>
      </c>
      <c r="H378" s="8" t="s">
        <v>51</v>
      </c>
      <c r="I378" s="8" t="s">
        <v>58</v>
      </c>
      <c r="J378" s="4" t="n">
        <v>750000</v>
      </c>
      <c r="K378" s="4" t="n">
        <v>675000</v>
      </c>
      <c r="L378" s="5" t="n">
        <v>0.1</v>
      </c>
      <c r="M378" s="4" t="n">
        <v>26</v>
      </c>
      <c r="N378" s="4" t="n">
        <v>0</v>
      </c>
      <c r="O378" s="4" t="n">
        <v>4</v>
      </c>
      <c r="P378" s="4" t="n">
        <v>0</v>
      </c>
      <c r="Q378" s="4" t="n">
        <v>0</v>
      </c>
      <c r="R378" s="4" t="n">
        <f aca="false">M378+N378+O378+P378+Q378</f>
        <v>30</v>
      </c>
      <c r="S378" s="4" t="n">
        <v>10</v>
      </c>
      <c r="T378" s="4" t="n">
        <f aca="false">R378*K378</f>
        <v>20250000</v>
      </c>
      <c r="U378" s="9" t="n">
        <f aca="false">IFERROR(M378/S378,0)</f>
        <v>2.6</v>
      </c>
      <c r="V378" s="5" t="n">
        <v>0.1348</v>
      </c>
    </row>
    <row r="379" customFormat="false" ht="15" hidden="false" customHeight="false" outlineLevel="0" collapsed="false">
      <c r="A379" s="8" t="s">
        <v>57</v>
      </c>
      <c r="B379" s="8" t="s">
        <v>22</v>
      </c>
      <c r="C379" s="8" t="s">
        <v>1098</v>
      </c>
      <c r="D379" s="8" t="n">
        <v>134918</v>
      </c>
      <c r="E379" s="8" t="s">
        <v>1258</v>
      </c>
      <c r="F379" s="8" t="s">
        <v>767</v>
      </c>
      <c r="G379" s="8" t="s">
        <v>961</v>
      </c>
      <c r="H379" s="8" t="s">
        <v>51</v>
      </c>
      <c r="I379" s="8" t="s">
        <v>58</v>
      </c>
      <c r="J379" s="4" t="n">
        <v>690000</v>
      </c>
      <c r="K379" s="4" t="n">
        <v>621000</v>
      </c>
      <c r="L379" s="5" t="n">
        <v>0.1</v>
      </c>
      <c r="M379" s="4" t="n">
        <v>25</v>
      </c>
      <c r="N379" s="4" t="n">
        <v>0</v>
      </c>
      <c r="O379" s="4" t="n">
        <v>5</v>
      </c>
      <c r="P379" s="4" t="n">
        <v>0</v>
      </c>
      <c r="Q379" s="4" t="n">
        <v>0</v>
      </c>
      <c r="R379" s="4" t="n">
        <f aca="false">M379+N379+O379+P379+Q379</f>
        <v>30</v>
      </c>
      <c r="S379" s="4" t="n">
        <v>9</v>
      </c>
      <c r="T379" s="4" t="n">
        <f aca="false">R379*K379</f>
        <v>18630000</v>
      </c>
      <c r="U379" s="9" t="n">
        <f aca="false">IFERROR(M379/S379,0)</f>
        <v>2.77777777777778</v>
      </c>
      <c r="V379" s="5" t="n">
        <v>0.1556</v>
      </c>
    </row>
    <row r="380" customFormat="false" ht="15" hidden="false" customHeight="false" outlineLevel="0" collapsed="false">
      <c r="A380" s="8" t="s">
        <v>57</v>
      </c>
      <c r="B380" s="8" t="s">
        <v>22</v>
      </c>
      <c r="C380" s="8" t="s">
        <v>1098</v>
      </c>
      <c r="D380" s="8" t="n">
        <v>134980</v>
      </c>
      <c r="E380" s="8" t="s">
        <v>1259</v>
      </c>
      <c r="F380" s="8" t="s">
        <v>809</v>
      </c>
      <c r="G380" s="8" t="s">
        <v>961</v>
      </c>
      <c r="H380" s="8" t="s">
        <v>51</v>
      </c>
      <c r="I380" s="8" t="s">
        <v>58</v>
      </c>
      <c r="J380" s="4" t="n">
        <v>490000</v>
      </c>
      <c r="K380" s="4" t="n">
        <v>441000</v>
      </c>
      <c r="L380" s="5" t="n">
        <v>0.1</v>
      </c>
      <c r="M380" s="4" t="n">
        <v>25</v>
      </c>
      <c r="N380" s="4" t="n">
        <v>0</v>
      </c>
      <c r="O380" s="4" t="n">
        <v>4</v>
      </c>
      <c r="P380" s="4" t="n">
        <v>0</v>
      </c>
      <c r="Q380" s="4" t="n">
        <v>0</v>
      </c>
      <c r="R380" s="4" t="n">
        <f aca="false">M380+N380+O380+P380+Q380</f>
        <v>29</v>
      </c>
      <c r="S380" s="4" t="n">
        <v>11</v>
      </c>
      <c r="T380" s="4" t="n">
        <f aca="false">R380*K380</f>
        <v>12789000</v>
      </c>
      <c r="U380" s="9" t="n">
        <f aca="false">IFERROR(M380/S380,0)</f>
        <v>2.27272727272727</v>
      </c>
      <c r="V380" s="5" t="n">
        <v>0.1905</v>
      </c>
    </row>
    <row r="381" customFormat="false" ht="15" hidden="false" customHeight="false" outlineLevel="0" collapsed="false">
      <c r="A381" s="8" t="s">
        <v>57</v>
      </c>
      <c r="B381" s="8" t="s">
        <v>22</v>
      </c>
      <c r="C381" s="8" t="s">
        <v>1098</v>
      </c>
      <c r="D381" s="8" t="n">
        <v>230197</v>
      </c>
      <c r="E381" s="8" t="s">
        <v>1260</v>
      </c>
      <c r="F381" s="8" t="s">
        <v>809</v>
      </c>
      <c r="G381" s="8" t="s">
        <v>961</v>
      </c>
      <c r="H381" s="8" t="s">
        <v>51</v>
      </c>
      <c r="I381" s="8" t="s">
        <v>58</v>
      </c>
      <c r="J381" s="4" t="n">
        <v>650000</v>
      </c>
      <c r="K381" s="4" t="n">
        <v>585000</v>
      </c>
      <c r="L381" s="5" t="n">
        <v>0.1</v>
      </c>
      <c r="M381" s="4" t="n">
        <v>26</v>
      </c>
      <c r="N381" s="4" t="n">
        <v>0</v>
      </c>
      <c r="O381" s="4" t="n">
        <v>3</v>
      </c>
      <c r="P381" s="4" t="n">
        <v>0</v>
      </c>
      <c r="Q381" s="4" t="n">
        <v>0</v>
      </c>
      <c r="R381" s="4" t="n">
        <f aca="false">M381+N381+O381+P381+Q381</f>
        <v>29</v>
      </c>
      <c r="S381" s="4" t="n">
        <v>12</v>
      </c>
      <c r="T381" s="4" t="n">
        <f aca="false">R381*K381</f>
        <v>16965000</v>
      </c>
      <c r="U381" s="9" t="n">
        <f aca="false">IFERROR(M381/S381,0)</f>
        <v>2.16666666666667</v>
      </c>
      <c r="V381" s="5" t="n">
        <v>0.1665</v>
      </c>
    </row>
    <row r="382" customFormat="false" ht="15" hidden="false" customHeight="false" outlineLevel="0" collapsed="false">
      <c r="A382" s="8" t="s">
        <v>57</v>
      </c>
      <c r="B382" s="8" t="s">
        <v>22</v>
      </c>
      <c r="C382" s="8" t="s">
        <v>1098</v>
      </c>
      <c r="D382" s="8" t="n">
        <v>231259</v>
      </c>
      <c r="E382" s="8" t="s">
        <v>1261</v>
      </c>
      <c r="F382" s="8" t="s">
        <v>767</v>
      </c>
      <c r="G382" s="8" t="s">
        <v>961</v>
      </c>
      <c r="H382" s="8" t="s">
        <v>51</v>
      </c>
      <c r="I382" s="8" t="s">
        <v>58</v>
      </c>
      <c r="J382" s="4" t="n">
        <v>460000</v>
      </c>
      <c r="K382" s="4" t="n">
        <v>414000</v>
      </c>
      <c r="L382" s="5" t="n">
        <v>0.1</v>
      </c>
      <c r="M382" s="4" t="n">
        <v>26</v>
      </c>
      <c r="N382" s="4" t="n">
        <v>0</v>
      </c>
      <c r="O382" s="4" t="n">
        <v>2</v>
      </c>
      <c r="P382" s="4" t="n">
        <v>0</v>
      </c>
      <c r="Q382" s="4" t="n">
        <v>0</v>
      </c>
      <c r="R382" s="4" t="n">
        <f aca="false">M382+N382+O382+P382+Q382</f>
        <v>28</v>
      </c>
      <c r="S382" s="4" t="n">
        <v>10</v>
      </c>
      <c r="T382" s="4" t="n">
        <f aca="false">R382*K382</f>
        <v>11592000</v>
      </c>
      <c r="U382" s="9" t="n">
        <f aca="false">IFERROR(M382/S382,0)</f>
        <v>2.6</v>
      </c>
      <c r="V382" s="5" t="n">
        <v>0.128</v>
      </c>
    </row>
    <row r="383" customFormat="false" ht="15" hidden="false" customHeight="false" outlineLevel="0" collapsed="false">
      <c r="A383" s="8" t="s">
        <v>57</v>
      </c>
      <c r="B383" s="8" t="s">
        <v>22</v>
      </c>
      <c r="C383" s="8" t="s">
        <v>1098</v>
      </c>
      <c r="D383" s="8" t="n">
        <v>135029</v>
      </c>
      <c r="E383" s="8" t="s">
        <v>1262</v>
      </c>
      <c r="F383" s="8" t="s">
        <v>809</v>
      </c>
      <c r="G383" s="8" t="s">
        <v>961</v>
      </c>
      <c r="H383" s="8" t="s">
        <v>51</v>
      </c>
      <c r="I383" s="8" t="s">
        <v>58</v>
      </c>
      <c r="J383" s="4" t="n">
        <v>599000</v>
      </c>
      <c r="K383" s="4" t="n">
        <v>540000</v>
      </c>
      <c r="L383" s="5" t="n">
        <v>0.1</v>
      </c>
      <c r="M383" s="4" t="n">
        <v>16</v>
      </c>
      <c r="N383" s="4" t="n">
        <v>0</v>
      </c>
      <c r="O383" s="4" t="n">
        <v>12</v>
      </c>
      <c r="P383" s="4" t="n">
        <v>0</v>
      </c>
      <c r="Q383" s="4" t="n">
        <v>0</v>
      </c>
      <c r="R383" s="4" t="n">
        <f aca="false">M383+N383+O383+P383+Q383</f>
        <v>28</v>
      </c>
      <c r="S383" s="4" t="n">
        <v>5</v>
      </c>
      <c r="T383" s="4" t="n">
        <f aca="false">R383*K383</f>
        <v>15120000</v>
      </c>
      <c r="U383" s="9" t="n">
        <f aca="false">IFERROR(M383/S383,0)</f>
        <v>3.2</v>
      </c>
      <c r="V383" s="5" t="n">
        <v>0.1277</v>
      </c>
    </row>
    <row r="384" customFormat="false" ht="15" hidden="false" customHeight="false" outlineLevel="0" collapsed="false">
      <c r="A384" s="8" t="s">
        <v>57</v>
      </c>
      <c r="B384" s="8" t="s">
        <v>22</v>
      </c>
      <c r="C384" s="8" t="s">
        <v>1098</v>
      </c>
      <c r="D384" s="8" t="n">
        <v>135035</v>
      </c>
      <c r="E384" s="8" t="s">
        <v>1263</v>
      </c>
      <c r="F384" s="8" t="s">
        <v>809</v>
      </c>
      <c r="G384" s="8" t="s">
        <v>961</v>
      </c>
      <c r="H384" s="8" t="s">
        <v>51</v>
      </c>
      <c r="I384" s="8" t="s">
        <v>58</v>
      </c>
      <c r="J384" s="4" t="n">
        <v>555000</v>
      </c>
      <c r="K384" s="4" t="n">
        <v>500000</v>
      </c>
      <c r="L384" s="5" t="n">
        <v>0.1</v>
      </c>
      <c r="M384" s="4" t="n">
        <v>21</v>
      </c>
      <c r="N384" s="4" t="n">
        <v>0</v>
      </c>
      <c r="O384" s="4" t="n">
        <v>6</v>
      </c>
      <c r="P384" s="4" t="n">
        <v>0</v>
      </c>
      <c r="Q384" s="4" t="n">
        <v>0</v>
      </c>
      <c r="R384" s="4" t="n">
        <f aca="false">M384+N384+O384+P384+Q384</f>
        <v>27</v>
      </c>
      <c r="S384" s="4" t="n">
        <v>8</v>
      </c>
      <c r="T384" s="4" t="n">
        <f aca="false">R384*K384</f>
        <v>13500000</v>
      </c>
      <c r="U384" s="9" t="n">
        <f aca="false">IFERROR(M384/S384,0)</f>
        <v>2.625</v>
      </c>
      <c r="V384" s="5" t="n">
        <v>0.172</v>
      </c>
    </row>
    <row r="385" customFormat="false" ht="15" hidden="false" customHeight="false" outlineLevel="0" collapsed="false">
      <c r="A385" s="8" t="s">
        <v>57</v>
      </c>
      <c r="B385" s="8" t="s">
        <v>22</v>
      </c>
      <c r="C385" s="8" t="s">
        <v>1098</v>
      </c>
      <c r="D385" s="8" t="n">
        <v>135037</v>
      </c>
      <c r="E385" s="8" t="s">
        <v>1264</v>
      </c>
      <c r="F385" s="8" t="s">
        <v>809</v>
      </c>
      <c r="G385" s="8" t="s">
        <v>961</v>
      </c>
      <c r="H385" s="8" t="s">
        <v>51</v>
      </c>
      <c r="I385" s="8" t="s">
        <v>58</v>
      </c>
      <c r="J385" s="4" t="n">
        <v>815000</v>
      </c>
      <c r="K385" s="4" t="n">
        <v>734000</v>
      </c>
      <c r="L385" s="5" t="n">
        <v>0.1</v>
      </c>
      <c r="M385" s="4" t="n">
        <v>23</v>
      </c>
      <c r="N385" s="4" t="n">
        <v>0</v>
      </c>
      <c r="O385" s="4" t="n">
        <v>4</v>
      </c>
      <c r="P385" s="4" t="n">
        <v>0</v>
      </c>
      <c r="Q385" s="4" t="n">
        <v>0</v>
      </c>
      <c r="R385" s="4" t="n">
        <f aca="false">M385+N385+O385+P385+Q385</f>
        <v>27</v>
      </c>
      <c r="S385" s="4" t="n">
        <v>8</v>
      </c>
      <c r="T385" s="4" t="n">
        <f aca="false">R385*K385</f>
        <v>19818000</v>
      </c>
      <c r="U385" s="9" t="n">
        <f aca="false">IFERROR(M385/S385,0)</f>
        <v>2.875</v>
      </c>
      <c r="V385" s="5" t="n">
        <v>0.1567</v>
      </c>
    </row>
    <row r="386" customFormat="false" ht="15" hidden="false" customHeight="false" outlineLevel="0" collapsed="false">
      <c r="A386" s="8" t="s">
        <v>57</v>
      </c>
      <c r="B386" s="8" t="s">
        <v>22</v>
      </c>
      <c r="C386" s="8" t="s">
        <v>1098</v>
      </c>
      <c r="D386" s="8" t="n">
        <v>231594</v>
      </c>
      <c r="E386" s="8" t="s">
        <v>1265</v>
      </c>
      <c r="F386" s="8" t="s">
        <v>809</v>
      </c>
      <c r="G386" s="8" t="s">
        <v>961</v>
      </c>
      <c r="H386" s="8" t="s">
        <v>51</v>
      </c>
      <c r="I386" s="8" t="s">
        <v>58</v>
      </c>
      <c r="J386" s="4" t="n">
        <v>715000</v>
      </c>
      <c r="K386" s="4" t="n">
        <v>644000</v>
      </c>
      <c r="L386" s="5" t="n">
        <v>0.1</v>
      </c>
      <c r="M386" s="4" t="n">
        <v>26</v>
      </c>
      <c r="N386" s="4" t="n">
        <v>0</v>
      </c>
      <c r="O386" s="4" t="n">
        <v>0</v>
      </c>
      <c r="P386" s="4" t="n">
        <v>0</v>
      </c>
      <c r="Q386" s="4" t="n">
        <v>0</v>
      </c>
      <c r="R386" s="4" t="n">
        <f aca="false">M386+N386+O386+P386+Q386</f>
        <v>26</v>
      </c>
      <c r="S386" s="4" t="n">
        <v>8</v>
      </c>
      <c r="T386" s="4" t="n">
        <f aca="false">R386*K386</f>
        <v>16744000</v>
      </c>
      <c r="U386" s="9" t="n">
        <f aca="false">IFERROR(M386/S386,0)</f>
        <v>3.25</v>
      </c>
      <c r="V386" s="5" t="n">
        <v>0.187</v>
      </c>
    </row>
    <row r="387" customFormat="false" ht="15" hidden="false" customHeight="false" outlineLevel="0" collapsed="false">
      <c r="A387" s="8" t="s">
        <v>57</v>
      </c>
      <c r="B387" s="8" t="s">
        <v>22</v>
      </c>
      <c r="C387" s="8" t="s">
        <v>1122</v>
      </c>
      <c r="D387" s="8" t="n">
        <v>134812</v>
      </c>
      <c r="E387" s="8" t="s">
        <v>1266</v>
      </c>
      <c r="F387" s="8" t="s">
        <v>767</v>
      </c>
      <c r="G387" s="8" t="s">
        <v>961</v>
      </c>
      <c r="H387" s="8" t="s">
        <v>51</v>
      </c>
      <c r="I387" s="8" t="s">
        <v>58</v>
      </c>
      <c r="J387" s="4" t="n">
        <v>130000</v>
      </c>
      <c r="K387" s="4" t="n">
        <v>117000</v>
      </c>
      <c r="L387" s="5" t="n">
        <v>0.1</v>
      </c>
      <c r="M387" s="4" t="n">
        <v>26</v>
      </c>
      <c r="N387" s="4" t="n">
        <v>0</v>
      </c>
      <c r="O387" s="4" t="n">
        <v>0</v>
      </c>
      <c r="P387" s="4" t="n">
        <v>0</v>
      </c>
      <c r="Q387" s="4" t="n">
        <v>0</v>
      </c>
      <c r="R387" s="4" t="n">
        <f aca="false">M387+N387+O387+P387+Q387</f>
        <v>26</v>
      </c>
      <c r="S387" s="4" t="n">
        <v>9</v>
      </c>
      <c r="T387" s="4" t="n">
        <f aca="false">R387*K387</f>
        <v>3042000</v>
      </c>
      <c r="U387" s="9" t="n">
        <f aca="false">IFERROR(M387/S387,0)</f>
        <v>2.88888888888889</v>
      </c>
      <c r="V387" s="5" t="n">
        <v>0.3932</v>
      </c>
    </row>
    <row r="388" customFormat="false" ht="15" hidden="false" customHeight="false" outlineLevel="0" collapsed="false">
      <c r="A388" s="8" t="s">
        <v>57</v>
      </c>
      <c r="B388" s="8" t="s">
        <v>22</v>
      </c>
      <c r="C388" s="8" t="s">
        <v>1098</v>
      </c>
      <c r="D388" s="8" t="n">
        <v>134527</v>
      </c>
      <c r="E388" s="8" t="s">
        <v>1267</v>
      </c>
      <c r="F388" s="8" t="s">
        <v>767</v>
      </c>
      <c r="G388" s="8" t="s">
        <v>961</v>
      </c>
      <c r="H388" s="8" t="s">
        <v>51</v>
      </c>
      <c r="I388" s="8" t="s">
        <v>58</v>
      </c>
      <c r="J388" s="4" t="n">
        <v>950000</v>
      </c>
      <c r="K388" s="4" t="n">
        <v>855000</v>
      </c>
      <c r="L388" s="5" t="n">
        <v>0.1</v>
      </c>
      <c r="M388" s="4" t="n">
        <v>22</v>
      </c>
      <c r="N388" s="4" t="n">
        <v>0</v>
      </c>
      <c r="O388" s="4" t="n">
        <v>4</v>
      </c>
      <c r="P388" s="4" t="n">
        <v>0</v>
      </c>
      <c r="Q388" s="4" t="n">
        <v>0</v>
      </c>
      <c r="R388" s="4" t="n">
        <f aca="false">M388+N388+O388+P388+Q388</f>
        <v>26</v>
      </c>
      <c r="S388" s="4" t="n">
        <v>9</v>
      </c>
      <c r="T388" s="4" t="n">
        <f aca="false">R388*K388</f>
        <v>22230000</v>
      </c>
      <c r="U388" s="9" t="n">
        <f aca="false">IFERROR(M388/S388,0)</f>
        <v>2.44444444444444</v>
      </c>
      <c r="V388" s="5" t="n">
        <v>0.1264</v>
      </c>
    </row>
    <row r="389" customFormat="false" ht="15" hidden="false" customHeight="false" outlineLevel="0" collapsed="false">
      <c r="A389" s="8" t="s">
        <v>57</v>
      </c>
      <c r="B389" s="8" t="s">
        <v>22</v>
      </c>
      <c r="C389" s="8" t="s">
        <v>1122</v>
      </c>
      <c r="D389" s="8" t="n">
        <v>134967</v>
      </c>
      <c r="E389" s="8" t="s">
        <v>1268</v>
      </c>
      <c r="F389" s="8" t="s">
        <v>767</v>
      </c>
      <c r="G389" s="8" t="s">
        <v>961</v>
      </c>
      <c r="H389" s="8" t="s">
        <v>51</v>
      </c>
      <c r="I389" s="8" t="s">
        <v>58</v>
      </c>
      <c r="J389" s="4" t="n">
        <v>350000</v>
      </c>
      <c r="K389" s="4" t="n">
        <v>315000</v>
      </c>
      <c r="L389" s="5" t="n">
        <v>0.1</v>
      </c>
      <c r="M389" s="4" t="n">
        <v>25</v>
      </c>
      <c r="N389" s="4" t="n">
        <v>0</v>
      </c>
      <c r="O389" s="4" t="n">
        <v>0</v>
      </c>
      <c r="P389" s="4" t="n">
        <v>0</v>
      </c>
      <c r="Q389" s="4" t="n">
        <v>0</v>
      </c>
      <c r="R389" s="4" t="n">
        <f aca="false">M389+N389+O389+P389+Q389</f>
        <v>25</v>
      </c>
      <c r="S389" s="4" t="n">
        <v>9</v>
      </c>
      <c r="T389" s="4" t="n">
        <f aca="false">R389*K389</f>
        <v>7875000</v>
      </c>
      <c r="U389" s="9" t="n">
        <f aca="false">IFERROR(M389/S389,0)</f>
        <v>2.77777777777778</v>
      </c>
      <c r="V389" s="5" t="n">
        <v>0.1429</v>
      </c>
    </row>
    <row r="390" customFormat="false" ht="15" hidden="false" customHeight="false" outlineLevel="0" collapsed="false">
      <c r="A390" s="8" t="s">
        <v>57</v>
      </c>
      <c r="B390" s="8" t="s">
        <v>22</v>
      </c>
      <c r="C390" s="8" t="s">
        <v>1098</v>
      </c>
      <c r="D390" s="8" t="n">
        <v>135038</v>
      </c>
      <c r="E390" s="8" t="s">
        <v>1269</v>
      </c>
      <c r="F390" s="8" t="s">
        <v>809</v>
      </c>
      <c r="G390" s="8" t="s">
        <v>961</v>
      </c>
      <c r="H390" s="8" t="s">
        <v>51</v>
      </c>
      <c r="I390" s="8" t="s">
        <v>58</v>
      </c>
      <c r="J390" s="4" t="n">
        <v>935000</v>
      </c>
      <c r="K390" s="4" t="n">
        <v>842000</v>
      </c>
      <c r="L390" s="5" t="n">
        <v>0.1</v>
      </c>
      <c r="M390" s="4" t="n">
        <v>24</v>
      </c>
      <c r="N390" s="4" t="n">
        <v>0</v>
      </c>
      <c r="O390" s="4" t="n">
        <v>1</v>
      </c>
      <c r="P390" s="4" t="n">
        <v>0</v>
      </c>
      <c r="Q390" s="4" t="n">
        <v>0</v>
      </c>
      <c r="R390" s="4" t="n">
        <f aca="false">M390+N390+O390+P390+Q390</f>
        <v>25</v>
      </c>
      <c r="S390" s="4" t="n">
        <v>8</v>
      </c>
      <c r="T390" s="4" t="n">
        <f aca="false">R390*K390</f>
        <v>21050000</v>
      </c>
      <c r="U390" s="9" t="n">
        <f aca="false">IFERROR(M390/S390,0)</f>
        <v>3</v>
      </c>
      <c r="V390" s="5" t="n">
        <v>0.2177</v>
      </c>
    </row>
    <row r="391" customFormat="false" ht="15" hidden="false" customHeight="false" outlineLevel="0" collapsed="false">
      <c r="A391" s="8" t="s">
        <v>57</v>
      </c>
      <c r="B391" s="8" t="s">
        <v>22</v>
      </c>
      <c r="C391" s="8" t="s">
        <v>1098</v>
      </c>
      <c r="D391" s="8" t="n">
        <v>135033</v>
      </c>
      <c r="E391" s="8" t="s">
        <v>1018</v>
      </c>
      <c r="F391" s="8" t="s">
        <v>809</v>
      </c>
      <c r="G391" s="8" t="s">
        <v>961</v>
      </c>
      <c r="H391" s="8" t="s">
        <v>51</v>
      </c>
      <c r="I391" s="8" t="s">
        <v>58</v>
      </c>
      <c r="J391" s="4" t="n">
        <v>289000</v>
      </c>
      <c r="K391" s="4" t="n">
        <v>261000</v>
      </c>
      <c r="L391" s="5" t="n">
        <v>0.1</v>
      </c>
      <c r="M391" s="4" t="n">
        <v>17</v>
      </c>
      <c r="N391" s="4" t="n">
        <v>0</v>
      </c>
      <c r="O391" s="4" t="n">
        <v>7</v>
      </c>
      <c r="P391" s="4" t="n">
        <v>0</v>
      </c>
      <c r="Q391" s="4" t="n">
        <v>0</v>
      </c>
      <c r="R391" s="4" t="n">
        <f aca="false">M391+N391+O391+P391+Q391</f>
        <v>24</v>
      </c>
      <c r="S391" s="4" t="n">
        <v>5</v>
      </c>
      <c r="T391" s="4" t="n">
        <f aca="false">R391*K391</f>
        <v>6264000</v>
      </c>
      <c r="U391" s="9" t="n">
        <f aca="false">IFERROR(M391/S391,0)</f>
        <v>3.4</v>
      </c>
      <c r="V391" s="5" t="n">
        <v>0.1716</v>
      </c>
    </row>
    <row r="392" customFormat="false" ht="15" hidden="false" customHeight="false" outlineLevel="0" collapsed="false">
      <c r="A392" s="8" t="s">
        <v>57</v>
      </c>
      <c r="B392" s="8" t="s">
        <v>22</v>
      </c>
      <c r="C392" s="8" t="s">
        <v>1122</v>
      </c>
      <c r="D392" s="8" t="n">
        <v>135089</v>
      </c>
      <c r="E392" s="8" t="s">
        <v>1270</v>
      </c>
      <c r="F392" s="8" t="s">
        <v>818</v>
      </c>
      <c r="G392" s="8" t="s">
        <v>961</v>
      </c>
      <c r="H392" s="8" t="s">
        <v>51</v>
      </c>
      <c r="I392" s="8" t="s">
        <v>58</v>
      </c>
      <c r="J392" s="4" t="n">
        <v>320000</v>
      </c>
      <c r="K392" s="4" t="n">
        <v>288000</v>
      </c>
      <c r="L392" s="5" t="n">
        <v>0.1</v>
      </c>
      <c r="M392" s="4" t="n">
        <v>18</v>
      </c>
      <c r="N392" s="4" t="n">
        <v>0</v>
      </c>
      <c r="O392" s="4" t="n">
        <v>6</v>
      </c>
      <c r="P392" s="4" t="n">
        <v>0</v>
      </c>
      <c r="Q392" s="4" t="n">
        <v>0</v>
      </c>
      <c r="R392" s="4" t="n">
        <f aca="false">M392+N392+O392+P392+Q392</f>
        <v>24</v>
      </c>
      <c r="S392" s="4" t="n">
        <v>5</v>
      </c>
      <c r="T392" s="4" t="n">
        <f aca="false">R392*K392</f>
        <v>6912000</v>
      </c>
      <c r="U392" s="9" t="n">
        <f aca="false">IFERROR(M392/S392,0)</f>
        <v>3.6</v>
      </c>
      <c r="V392" s="5" t="n">
        <v>0.1753</v>
      </c>
    </row>
    <row r="393" customFormat="false" ht="15" hidden="false" customHeight="false" outlineLevel="0" collapsed="false">
      <c r="A393" s="8" t="s">
        <v>57</v>
      </c>
      <c r="B393" s="8" t="s">
        <v>22</v>
      </c>
      <c r="C393" s="8" t="s">
        <v>1098</v>
      </c>
      <c r="D393" s="8" t="n">
        <v>135032</v>
      </c>
      <c r="E393" s="8" t="s">
        <v>1019</v>
      </c>
      <c r="F393" s="8" t="s">
        <v>809</v>
      </c>
      <c r="G393" s="8" t="s">
        <v>961</v>
      </c>
      <c r="H393" s="8" t="s">
        <v>51</v>
      </c>
      <c r="I393" s="8" t="s">
        <v>58</v>
      </c>
      <c r="J393" s="4" t="n">
        <v>289000</v>
      </c>
      <c r="K393" s="4" t="n">
        <v>261000</v>
      </c>
      <c r="L393" s="5" t="n">
        <v>0.1</v>
      </c>
      <c r="M393" s="4" t="n">
        <v>20</v>
      </c>
      <c r="N393" s="4" t="n">
        <v>0</v>
      </c>
      <c r="O393" s="4" t="n">
        <v>3</v>
      </c>
      <c r="P393" s="4" t="n">
        <v>0</v>
      </c>
      <c r="Q393" s="4" t="n">
        <v>0</v>
      </c>
      <c r="R393" s="4" t="n">
        <f aca="false">M393+N393+O393+P393+Q393</f>
        <v>23</v>
      </c>
      <c r="S393" s="4" t="n">
        <v>7</v>
      </c>
      <c r="T393" s="4" t="n">
        <f aca="false">R393*K393</f>
        <v>6003000</v>
      </c>
      <c r="U393" s="9" t="n">
        <f aca="false">IFERROR(M393/S393,0)</f>
        <v>2.85714285714286</v>
      </c>
      <c r="V393" s="5" t="n">
        <v>0.1716</v>
      </c>
    </row>
    <row r="394" customFormat="false" ht="15" hidden="false" customHeight="false" outlineLevel="0" collapsed="false">
      <c r="A394" s="8" t="s">
        <v>57</v>
      </c>
      <c r="B394" s="8" t="s">
        <v>22</v>
      </c>
      <c r="C394" s="8" t="s">
        <v>1122</v>
      </c>
      <c r="D394" s="8" t="n">
        <v>135084</v>
      </c>
      <c r="E394" s="8" t="s">
        <v>1271</v>
      </c>
      <c r="F394" s="8" t="s">
        <v>818</v>
      </c>
      <c r="G394" s="8" t="s">
        <v>961</v>
      </c>
      <c r="H394" s="8" t="s">
        <v>51</v>
      </c>
      <c r="I394" s="8" t="s">
        <v>58</v>
      </c>
      <c r="J394" s="4" t="n">
        <v>850000</v>
      </c>
      <c r="K394" s="4" t="n">
        <v>765000</v>
      </c>
      <c r="L394" s="5" t="n">
        <v>0.1</v>
      </c>
      <c r="M394" s="4" t="n">
        <v>18</v>
      </c>
      <c r="N394" s="4" t="n">
        <v>0</v>
      </c>
      <c r="O394" s="4" t="n">
        <v>5</v>
      </c>
      <c r="P394" s="4" t="n">
        <v>0</v>
      </c>
      <c r="Q394" s="4" t="n">
        <v>0</v>
      </c>
      <c r="R394" s="4" t="n">
        <f aca="false">M394+N394+O394+P394+Q394</f>
        <v>23</v>
      </c>
      <c r="S394" s="4" t="n">
        <v>14</v>
      </c>
      <c r="T394" s="4" t="n">
        <f aca="false">R394*K394</f>
        <v>17595000</v>
      </c>
      <c r="U394" s="9" t="n">
        <f aca="false">IFERROR(M394/S394,0)</f>
        <v>1.28571428571429</v>
      </c>
      <c r="V394" s="5" t="n">
        <v>0.1588</v>
      </c>
    </row>
    <row r="395" customFormat="false" ht="15" hidden="false" customHeight="false" outlineLevel="0" collapsed="false">
      <c r="A395" s="8" t="s">
        <v>57</v>
      </c>
      <c r="B395" s="8" t="s">
        <v>22</v>
      </c>
      <c r="C395" s="8" t="s">
        <v>1098</v>
      </c>
      <c r="D395" s="8" t="n">
        <v>231517</v>
      </c>
      <c r="E395" s="8" t="s">
        <v>1272</v>
      </c>
      <c r="F395" s="8" t="s">
        <v>794</v>
      </c>
      <c r="G395" s="8" t="s">
        <v>961</v>
      </c>
      <c r="H395" s="8" t="s">
        <v>51</v>
      </c>
      <c r="I395" s="8" t="s">
        <v>58</v>
      </c>
      <c r="J395" s="4" t="n">
        <v>450000</v>
      </c>
      <c r="K395" s="4" t="n">
        <v>405000</v>
      </c>
      <c r="L395" s="5" t="n">
        <v>0.1</v>
      </c>
      <c r="M395" s="4" t="n">
        <v>22</v>
      </c>
      <c r="N395" s="4" t="n">
        <v>0</v>
      </c>
      <c r="O395" s="4" t="n">
        <v>0</v>
      </c>
      <c r="P395" s="4" t="n">
        <v>0</v>
      </c>
      <c r="Q395" s="4" t="n">
        <v>0</v>
      </c>
      <c r="R395" s="4" t="n">
        <f aca="false">M395+N395+O395+P395+Q395</f>
        <v>22</v>
      </c>
      <c r="S395" s="4" t="n">
        <v>11</v>
      </c>
      <c r="T395" s="4" t="n">
        <f aca="false">R395*K395</f>
        <v>8910000</v>
      </c>
      <c r="U395" s="9" t="n">
        <f aca="false">IFERROR(M395/S395,0)</f>
        <v>2</v>
      </c>
      <c r="V395" s="5" t="n">
        <v>0.1204</v>
      </c>
    </row>
    <row r="396" customFormat="false" ht="15" hidden="false" customHeight="false" outlineLevel="0" collapsed="false">
      <c r="A396" s="8" t="s">
        <v>57</v>
      </c>
      <c r="B396" s="8" t="s">
        <v>22</v>
      </c>
      <c r="C396" s="8" t="s">
        <v>1098</v>
      </c>
      <c r="D396" s="8" t="n">
        <v>134486</v>
      </c>
      <c r="E396" s="8" t="s">
        <v>1273</v>
      </c>
      <c r="F396" s="8" t="s">
        <v>809</v>
      </c>
      <c r="G396" s="8" t="s">
        <v>961</v>
      </c>
      <c r="H396" s="8" t="s">
        <v>51</v>
      </c>
      <c r="I396" s="8" t="s">
        <v>58</v>
      </c>
      <c r="J396" s="4" t="n">
        <v>670000</v>
      </c>
      <c r="K396" s="4" t="n">
        <v>603000</v>
      </c>
      <c r="L396" s="5" t="n">
        <v>0.1</v>
      </c>
      <c r="M396" s="4" t="n">
        <v>20</v>
      </c>
      <c r="N396" s="4" t="n">
        <v>0</v>
      </c>
      <c r="O396" s="4" t="n">
        <v>2</v>
      </c>
      <c r="P396" s="4" t="n">
        <v>0</v>
      </c>
      <c r="Q396" s="4" t="n">
        <v>0</v>
      </c>
      <c r="R396" s="4" t="n">
        <f aca="false">M396+N396+O396+P396+Q396</f>
        <v>22</v>
      </c>
      <c r="S396" s="4" t="n">
        <v>8</v>
      </c>
      <c r="T396" s="4" t="n">
        <f aca="false">R396*K396</f>
        <v>13266000</v>
      </c>
      <c r="U396" s="9" t="n">
        <f aca="false">IFERROR(M396/S396,0)</f>
        <v>2.5</v>
      </c>
      <c r="V396" s="5" t="n">
        <v>0.1642</v>
      </c>
    </row>
    <row r="397" customFormat="false" ht="15" hidden="false" customHeight="false" outlineLevel="0" collapsed="false">
      <c r="A397" s="8" t="s">
        <v>57</v>
      </c>
      <c r="B397" s="8" t="s">
        <v>22</v>
      </c>
      <c r="C397" s="8" t="s">
        <v>1098</v>
      </c>
      <c r="D397" s="8" t="n">
        <v>134911</v>
      </c>
      <c r="E397" s="8" t="s">
        <v>1274</v>
      </c>
      <c r="F397" s="8" t="s">
        <v>809</v>
      </c>
      <c r="G397" s="8" t="s">
        <v>961</v>
      </c>
      <c r="H397" s="8" t="s">
        <v>51</v>
      </c>
      <c r="I397" s="8" t="s">
        <v>58</v>
      </c>
      <c r="J397" s="4" t="n">
        <v>365000</v>
      </c>
      <c r="K397" s="4" t="n">
        <v>329000</v>
      </c>
      <c r="L397" s="5" t="n">
        <v>0.1</v>
      </c>
      <c r="M397" s="4" t="n">
        <v>17</v>
      </c>
      <c r="N397" s="4" t="n">
        <v>0</v>
      </c>
      <c r="O397" s="4" t="n">
        <v>4</v>
      </c>
      <c r="P397" s="4" t="n">
        <v>0</v>
      </c>
      <c r="Q397" s="4" t="n">
        <v>0</v>
      </c>
      <c r="R397" s="4" t="n">
        <f aca="false">M397+N397+O397+P397+Q397</f>
        <v>21</v>
      </c>
      <c r="S397" s="4" t="n">
        <v>10</v>
      </c>
      <c r="T397" s="4" t="n">
        <f aca="false">R397*K397</f>
        <v>6909000</v>
      </c>
      <c r="U397" s="9" t="n">
        <f aca="false">IFERROR(M397/S397,0)</f>
        <v>1.7</v>
      </c>
      <c r="V397" s="5" t="n">
        <v>0.1793</v>
      </c>
    </row>
    <row r="398" customFormat="false" ht="15" hidden="false" customHeight="false" outlineLevel="0" collapsed="false">
      <c r="A398" s="8" t="s">
        <v>57</v>
      </c>
      <c r="B398" s="8" t="s">
        <v>22</v>
      </c>
      <c r="C398" s="8" t="s">
        <v>1098</v>
      </c>
      <c r="D398" s="8" t="n">
        <v>135034</v>
      </c>
      <c r="E398" s="8" t="s">
        <v>1275</v>
      </c>
      <c r="F398" s="8" t="s">
        <v>809</v>
      </c>
      <c r="G398" s="8" t="s">
        <v>961</v>
      </c>
      <c r="H398" s="8" t="s">
        <v>51</v>
      </c>
      <c r="I398" s="8" t="s">
        <v>58</v>
      </c>
      <c r="J398" s="4" t="n">
        <v>289000</v>
      </c>
      <c r="K398" s="4" t="n">
        <v>261000</v>
      </c>
      <c r="L398" s="5" t="n">
        <v>0.1</v>
      </c>
      <c r="M398" s="4" t="n">
        <v>17</v>
      </c>
      <c r="N398" s="4" t="n">
        <v>0</v>
      </c>
      <c r="O398" s="4" t="n">
        <v>4</v>
      </c>
      <c r="P398" s="4" t="n">
        <v>0</v>
      </c>
      <c r="Q398" s="4" t="n">
        <v>0</v>
      </c>
      <c r="R398" s="4" t="n">
        <f aca="false">M398+N398+O398+P398+Q398</f>
        <v>21</v>
      </c>
      <c r="S398" s="4" t="n">
        <v>6</v>
      </c>
      <c r="T398" s="4" t="n">
        <f aca="false">R398*K398</f>
        <v>5481000</v>
      </c>
      <c r="U398" s="9" t="n">
        <f aca="false">IFERROR(M398/S398,0)</f>
        <v>2.83333333333333</v>
      </c>
      <c r="V398" s="5" t="n">
        <v>0.1716</v>
      </c>
    </row>
    <row r="399" customFormat="false" ht="15" hidden="false" customHeight="false" outlineLevel="0" collapsed="false">
      <c r="A399" s="8" t="s">
        <v>57</v>
      </c>
      <c r="B399" s="8" t="s">
        <v>22</v>
      </c>
      <c r="C399" s="8" t="s">
        <v>1122</v>
      </c>
      <c r="D399" s="8" t="n">
        <v>135079</v>
      </c>
      <c r="E399" s="8" t="s">
        <v>1276</v>
      </c>
      <c r="F399" s="8" t="s">
        <v>818</v>
      </c>
      <c r="G399" s="8" t="s">
        <v>961</v>
      </c>
      <c r="H399" s="8" t="s">
        <v>51</v>
      </c>
      <c r="I399" s="8" t="s">
        <v>58</v>
      </c>
      <c r="J399" s="4" t="n">
        <v>985000</v>
      </c>
      <c r="K399" s="4" t="n">
        <v>887000</v>
      </c>
      <c r="L399" s="5" t="n">
        <v>0.1</v>
      </c>
      <c r="M399" s="4" t="n">
        <v>19</v>
      </c>
      <c r="N399" s="4" t="n">
        <v>0</v>
      </c>
      <c r="O399" s="4" t="n">
        <v>2</v>
      </c>
      <c r="P399" s="4" t="n">
        <v>0</v>
      </c>
      <c r="Q399" s="4" t="n">
        <v>0</v>
      </c>
      <c r="R399" s="4" t="n">
        <f aca="false">M399+N399+O399+P399+Q399</f>
        <v>21</v>
      </c>
      <c r="S399" s="4" t="n">
        <v>12</v>
      </c>
      <c r="T399" s="4" t="n">
        <f aca="false">R399*K399</f>
        <v>18627000</v>
      </c>
      <c r="U399" s="9" t="n">
        <f aca="false">IFERROR(M399/S399,0)</f>
        <v>1.58333333333333</v>
      </c>
      <c r="V399" s="5" t="n">
        <v>0.1649</v>
      </c>
    </row>
    <row r="400" customFormat="false" ht="15" hidden="false" customHeight="false" outlineLevel="0" collapsed="false">
      <c r="A400" s="8" t="s">
        <v>57</v>
      </c>
      <c r="B400" s="8" t="s">
        <v>22</v>
      </c>
      <c r="C400" s="8" t="s">
        <v>1098</v>
      </c>
      <c r="D400" s="8" t="n">
        <v>231416</v>
      </c>
      <c r="E400" s="8" t="s">
        <v>1277</v>
      </c>
      <c r="F400" s="8" t="s">
        <v>767</v>
      </c>
      <c r="G400" s="8" t="s">
        <v>961</v>
      </c>
      <c r="H400" s="8" t="s">
        <v>51</v>
      </c>
      <c r="I400" s="8" t="s">
        <v>58</v>
      </c>
      <c r="J400" s="4" t="n">
        <v>500000</v>
      </c>
      <c r="K400" s="4" t="n">
        <v>450000</v>
      </c>
      <c r="L400" s="5" t="n">
        <v>0.1</v>
      </c>
      <c r="M400" s="4" t="n">
        <v>15</v>
      </c>
      <c r="N400" s="4" t="n">
        <v>0</v>
      </c>
      <c r="O400" s="4" t="n">
        <v>5</v>
      </c>
      <c r="P400" s="4" t="n">
        <v>0</v>
      </c>
      <c r="Q400" s="4" t="n">
        <v>0</v>
      </c>
      <c r="R400" s="4" t="n">
        <f aca="false">M400+N400+O400+P400+Q400</f>
        <v>20</v>
      </c>
      <c r="S400" s="4" t="n">
        <v>8</v>
      </c>
      <c r="T400" s="4" t="n">
        <f aca="false">R400*K400</f>
        <v>9000000</v>
      </c>
      <c r="U400" s="9" t="n">
        <f aca="false">IFERROR(M400/S400,0)</f>
        <v>1.875</v>
      </c>
      <c r="V400" s="5" t="n">
        <v>0.1239</v>
      </c>
    </row>
    <row r="401" customFormat="false" ht="15" hidden="false" customHeight="false" outlineLevel="0" collapsed="false">
      <c r="A401" s="8" t="s">
        <v>57</v>
      </c>
      <c r="B401" s="8" t="s">
        <v>22</v>
      </c>
      <c r="C401" s="8" t="s">
        <v>1098</v>
      </c>
      <c r="D401" s="8" t="n">
        <v>134963</v>
      </c>
      <c r="E401" s="8" t="s">
        <v>1278</v>
      </c>
      <c r="F401" s="8" t="s">
        <v>809</v>
      </c>
      <c r="G401" s="8" t="s">
        <v>961</v>
      </c>
      <c r="H401" s="8" t="s">
        <v>51</v>
      </c>
      <c r="I401" s="8" t="s">
        <v>58</v>
      </c>
      <c r="J401" s="4" t="n">
        <v>730000</v>
      </c>
      <c r="K401" s="4" t="n">
        <v>657000</v>
      </c>
      <c r="L401" s="5" t="n">
        <v>0.1</v>
      </c>
      <c r="M401" s="4" t="n">
        <v>18</v>
      </c>
      <c r="N401" s="4" t="n">
        <v>0</v>
      </c>
      <c r="O401" s="4" t="n">
        <v>2</v>
      </c>
      <c r="P401" s="4" t="n">
        <v>0</v>
      </c>
      <c r="Q401" s="4" t="n">
        <v>0</v>
      </c>
      <c r="R401" s="4" t="n">
        <f aca="false">M401+N401+O401+P401+Q401</f>
        <v>20</v>
      </c>
      <c r="S401" s="4" t="n">
        <v>8</v>
      </c>
      <c r="T401" s="4" t="n">
        <f aca="false">R401*K401</f>
        <v>13140000</v>
      </c>
      <c r="U401" s="9" t="n">
        <f aca="false">IFERROR(M401/S401,0)</f>
        <v>2.25</v>
      </c>
      <c r="V401" s="5" t="n">
        <v>0.1931</v>
      </c>
    </row>
    <row r="402" customFormat="false" ht="15" hidden="false" customHeight="false" outlineLevel="0" collapsed="false">
      <c r="A402" s="8" t="s">
        <v>57</v>
      </c>
      <c r="B402" s="8" t="s">
        <v>22</v>
      </c>
      <c r="C402" s="8" t="s">
        <v>1098</v>
      </c>
      <c r="D402" s="8" t="n">
        <v>134965</v>
      </c>
      <c r="E402" s="8" t="s">
        <v>1279</v>
      </c>
      <c r="F402" s="8" t="s">
        <v>809</v>
      </c>
      <c r="G402" s="8" t="s">
        <v>961</v>
      </c>
      <c r="H402" s="8" t="s">
        <v>51</v>
      </c>
      <c r="I402" s="8" t="s">
        <v>58</v>
      </c>
      <c r="J402" s="4" t="n">
        <v>750000</v>
      </c>
      <c r="K402" s="4" t="n">
        <v>675000</v>
      </c>
      <c r="L402" s="5" t="n">
        <v>0.1</v>
      </c>
      <c r="M402" s="4" t="n">
        <v>20</v>
      </c>
      <c r="N402" s="4" t="n">
        <v>0</v>
      </c>
      <c r="O402" s="4" t="n">
        <v>0</v>
      </c>
      <c r="P402" s="4" t="n">
        <v>0</v>
      </c>
      <c r="Q402" s="4" t="n">
        <v>0</v>
      </c>
      <c r="R402" s="4" t="n">
        <f aca="false">M402+N402+O402+P402+Q402</f>
        <v>20</v>
      </c>
      <c r="S402" s="4" t="n">
        <v>9</v>
      </c>
      <c r="T402" s="4" t="n">
        <f aca="false">R402*K402</f>
        <v>13500000</v>
      </c>
      <c r="U402" s="9" t="n">
        <f aca="false">IFERROR(M402/S402,0)</f>
        <v>2.22222222222222</v>
      </c>
      <c r="V402" s="5" t="n">
        <v>0.2163</v>
      </c>
    </row>
    <row r="403" customFormat="false" ht="15" hidden="false" customHeight="false" outlineLevel="0" collapsed="false">
      <c r="A403" s="8" t="s">
        <v>57</v>
      </c>
      <c r="B403" s="8" t="s">
        <v>22</v>
      </c>
      <c r="C403" s="8" t="s">
        <v>1098</v>
      </c>
      <c r="D403" s="8" t="n">
        <v>231197</v>
      </c>
      <c r="E403" s="8" t="s">
        <v>1280</v>
      </c>
      <c r="F403" s="8" t="s">
        <v>809</v>
      </c>
      <c r="G403" s="8" t="s">
        <v>961</v>
      </c>
      <c r="H403" s="8" t="s">
        <v>51</v>
      </c>
      <c r="I403" s="8" t="s">
        <v>58</v>
      </c>
      <c r="J403" s="4" t="n">
        <v>145000</v>
      </c>
      <c r="K403" s="4" t="n">
        <v>131000</v>
      </c>
      <c r="L403" s="5" t="n">
        <v>0.1</v>
      </c>
      <c r="M403" s="4" t="n">
        <v>7</v>
      </c>
      <c r="N403" s="4" t="n">
        <v>0</v>
      </c>
      <c r="O403" s="4" t="n">
        <v>13</v>
      </c>
      <c r="P403" s="4" t="n">
        <v>0</v>
      </c>
      <c r="Q403" s="4" t="n">
        <v>0</v>
      </c>
      <c r="R403" s="4" t="n">
        <f aca="false">M403+N403+O403+P403+Q403</f>
        <v>20</v>
      </c>
      <c r="S403" s="4" t="n">
        <v>4</v>
      </c>
      <c r="T403" s="4" t="n">
        <f aca="false">R403*K403</f>
        <v>2620000</v>
      </c>
      <c r="U403" s="9" t="n">
        <f aca="false">IFERROR(M403/S403,0)</f>
        <v>1.75</v>
      </c>
      <c r="V403" s="5" t="n">
        <v>0.2214</v>
      </c>
    </row>
    <row r="404" customFormat="false" ht="15" hidden="false" customHeight="false" outlineLevel="0" collapsed="false">
      <c r="A404" s="8" t="s">
        <v>57</v>
      </c>
      <c r="B404" s="8" t="s">
        <v>22</v>
      </c>
      <c r="C404" s="8" t="s">
        <v>1098</v>
      </c>
      <c r="D404" s="8" t="n">
        <v>231488</v>
      </c>
      <c r="E404" s="8" t="s">
        <v>1281</v>
      </c>
      <c r="F404" s="8" t="s">
        <v>809</v>
      </c>
      <c r="G404" s="8" t="s">
        <v>961</v>
      </c>
      <c r="H404" s="8" t="s">
        <v>51</v>
      </c>
      <c r="I404" s="8" t="s">
        <v>58</v>
      </c>
      <c r="J404" s="4" t="n">
        <v>335000</v>
      </c>
      <c r="K404" s="4" t="n">
        <v>302000</v>
      </c>
      <c r="L404" s="5" t="n">
        <v>0.1</v>
      </c>
      <c r="M404" s="4" t="n">
        <v>19</v>
      </c>
      <c r="N404" s="4" t="n">
        <v>0</v>
      </c>
      <c r="O404" s="4" t="n">
        <v>0</v>
      </c>
      <c r="P404" s="4" t="n">
        <v>0</v>
      </c>
      <c r="Q404" s="4" t="n">
        <v>0</v>
      </c>
      <c r="R404" s="4" t="n">
        <f aca="false">M404+N404+O404+P404+Q404</f>
        <v>19</v>
      </c>
      <c r="S404" s="4" t="n">
        <v>10</v>
      </c>
      <c r="T404" s="4" t="n">
        <f aca="false">R404*K404</f>
        <v>5738000</v>
      </c>
      <c r="U404" s="9" t="n">
        <f aca="false">IFERROR(M404/S404,0)</f>
        <v>1.9</v>
      </c>
      <c r="V404" s="5" t="n">
        <v>0.1838</v>
      </c>
    </row>
    <row r="405" customFormat="false" ht="15" hidden="false" customHeight="false" outlineLevel="0" collapsed="false">
      <c r="A405" s="8" t="s">
        <v>57</v>
      </c>
      <c r="B405" s="8" t="s">
        <v>22</v>
      </c>
      <c r="C405" s="8" t="s">
        <v>1122</v>
      </c>
      <c r="D405" s="8" t="n">
        <v>134958</v>
      </c>
      <c r="E405" s="8" t="s">
        <v>1282</v>
      </c>
      <c r="F405" s="8" t="s">
        <v>809</v>
      </c>
      <c r="G405" s="8" t="s">
        <v>961</v>
      </c>
      <c r="H405" s="8" t="s">
        <v>51</v>
      </c>
      <c r="I405" s="8" t="s">
        <v>58</v>
      </c>
      <c r="J405" s="4" t="n">
        <v>1300000</v>
      </c>
      <c r="K405" s="4" t="n">
        <v>1170000</v>
      </c>
      <c r="L405" s="5" t="n">
        <v>0.1</v>
      </c>
      <c r="M405" s="4" t="n">
        <v>19</v>
      </c>
      <c r="N405" s="4" t="n">
        <v>0</v>
      </c>
      <c r="O405" s="4" t="n">
        <v>0</v>
      </c>
      <c r="P405" s="4" t="n">
        <v>0</v>
      </c>
      <c r="Q405" s="4" t="n">
        <v>0</v>
      </c>
      <c r="R405" s="4" t="n">
        <f aca="false">M405+N405+O405+P405+Q405</f>
        <v>19</v>
      </c>
      <c r="S405" s="4" t="n">
        <v>5</v>
      </c>
      <c r="T405" s="4" t="n">
        <f aca="false">R405*K405</f>
        <v>22230000</v>
      </c>
      <c r="U405" s="9" t="n">
        <f aca="false">IFERROR(M405/S405,0)</f>
        <v>3.8</v>
      </c>
      <c r="V405" s="5" t="n">
        <v>0.1979</v>
      </c>
    </row>
    <row r="406" customFormat="false" ht="15" hidden="false" customHeight="false" outlineLevel="0" collapsed="false">
      <c r="A406" s="8" t="s">
        <v>57</v>
      </c>
      <c r="B406" s="8" t="s">
        <v>22</v>
      </c>
      <c r="C406" s="8" t="s">
        <v>1098</v>
      </c>
      <c r="D406" s="8" t="n">
        <v>230847</v>
      </c>
      <c r="E406" s="8" t="s">
        <v>1283</v>
      </c>
      <c r="F406" s="8" t="s">
        <v>794</v>
      </c>
      <c r="G406" s="8" t="s">
        <v>961</v>
      </c>
      <c r="H406" s="8" t="s">
        <v>51</v>
      </c>
      <c r="I406" s="8" t="s">
        <v>58</v>
      </c>
      <c r="J406" s="4" t="n">
        <v>790000</v>
      </c>
      <c r="K406" s="4" t="n">
        <v>711000</v>
      </c>
      <c r="L406" s="5" t="n">
        <v>0.1</v>
      </c>
      <c r="M406" s="4" t="n">
        <v>16</v>
      </c>
      <c r="N406" s="4" t="n">
        <v>0</v>
      </c>
      <c r="O406" s="4" t="n">
        <v>3</v>
      </c>
      <c r="P406" s="4" t="n">
        <v>0</v>
      </c>
      <c r="Q406" s="4" t="n">
        <v>0</v>
      </c>
      <c r="R406" s="4" t="n">
        <f aca="false">M406+N406+O406+P406+Q406</f>
        <v>19</v>
      </c>
      <c r="S406" s="4" t="n">
        <v>7</v>
      </c>
      <c r="T406" s="4" t="n">
        <f aca="false">R406*K406</f>
        <v>13509000</v>
      </c>
      <c r="U406" s="9" t="n">
        <f aca="false">IFERROR(M406/S406,0)</f>
        <v>2.28571428571429</v>
      </c>
      <c r="V406" s="5" t="n">
        <v>0.1589</v>
      </c>
    </row>
    <row r="407" customFormat="false" ht="15" hidden="false" customHeight="false" outlineLevel="0" collapsed="false">
      <c r="A407" s="8" t="s">
        <v>57</v>
      </c>
      <c r="B407" s="8" t="s">
        <v>22</v>
      </c>
      <c r="C407" s="8" t="s">
        <v>1098</v>
      </c>
      <c r="D407" s="8" t="n">
        <v>230990</v>
      </c>
      <c r="E407" s="8" t="s">
        <v>1284</v>
      </c>
      <c r="F407" s="8" t="s">
        <v>767</v>
      </c>
      <c r="G407" s="8" t="s">
        <v>961</v>
      </c>
      <c r="H407" s="8" t="s">
        <v>51</v>
      </c>
      <c r="I407" s="8" t="s">
        <v>58</v>
      </c>
      <c r="J407" s="4" t="n">
        <v>600000</v>
      </c>
      <c r="K407" s="4" t="n">
        <v>540000</v>
      </c>
      <c r="L407" s="5" t="n">
        <v>0.1</v>
      </c>
      <c r="M407" s="4" t="n">
        <v>13</v>
      </c>
      <c r="N407" s="4" t="n">
        <v>0</v>
      </c>
      <c r="O407" s="4" t="n">
        <v>6</v>
      </c>
      <c r="P407" s="4" t="n">
        <v>0</v>
      </c>
      <c r="Q407" s="4" t="n">
        <v>0</v>
      </c>
      <c r="R407" s="4" t="n">
        <f aca="false">M407+N407+O407+P407+Q407</f>
        <v>19</v>
      </c>
      <c r="S407" s="4" t="n">
        <v>5</v>
      </c>
      <c r="T407" s="4" t="n">
        <f aca="false">R407*K407</f>
        <v>10260000</v>
      </c>
      <c r="U407" s="9" t="n">
        <f aca="false">IFERROR(M407/S407,0)</f>
        <v>2.6</v>
      </c>
      <c r="V407" s="5" t="n">
        <v>0.1683</v>
      </c>
    </row>
    <row r="408" customFormat="false" ht="15" hidden="false" customHeight="false" outlineLevel="0" collapsed="false">
      <c r="A408" s="8" t="s">
        <v>57</v>
      </c>
      <c r="B408" s="8" t="s">
        <v>22</v>
      </c>
      <c r="C408" s="8" t="s">
        <v>1098</v>
      </c>
      <c r="D408" s="8" t="n">
        <v>134978</v>
      </c>
      <c r="E408" s="8" t="s">
        <v>1285</v>
      </c>
      <c r="F408" s="8" t="s">
        <v>809</v>
      </c>
      <c r="G408" s="8" t="s">
        <v>961</v>
      </c>
      <c r="H408" s="8" t="s">
        <v>51</v>
      </c>
      <c r="I408" s="8" t="s">
        <v>58</v>
      </c>
      <c r="J408" s="4" t="n">
        <v>1990000</v>
      </c>
      <c r="K408" s="4" t="n">
        <v>1791000</v>
      </c>
      <c r="L408" s="5" t="n">
        <v>0.1</v>
      </c>
      <c r="M408" s="4" t="n">
        <v>17</v>
      </c>
      <c r="N408" s="4" t="n">
        <v>0</v>
      </c>
      <c r="O408" s="4" t="n">
        <v>2</v>
      </c>
      <c r="P408" s="4" t="n">
        <v>0</v>
      </c>
      <c r="Q408" s="4" t="n">
        <v>0</v>
      </c>
      <c r="R408" s="4" t="n">
        <f aca="false">M408+N408+O408+P408+Q408</f>
        <v>19</v>
      </c>
      <c r="S408" s="4" t="n">
        <v>10</v>
      </c>
      <c r="T408" s="4" t="n">
        <f aca="false">R408*K408</f>
        <v>34029000</v>
      </c>
      <c r="U408" s="9" t="n">
        <f aca="false">IFERROR(M408/S408,0)</f>
        <v>1.7</v>
      </c>
      <c r="V408" s="5" t="n">
        <v>0.1884</v>
      </c>
    </row>
    <row r="409" customFormat="false" ht="15" hidden="false" customHeight="false" outlineLevel="0" collapsed="false">
      <c r="A409" s="8" t="s">
        <v>57</v>
      </c>
      <c r="B409" s="8" t="s">
        <v>22</v>
      </c>
      <c r="C409" s="8" t="s">
        <v>1098</v>
      </c>
      <c r="D409" s="8" t="n">
        <v>134975</v>
      </c>
      <c r="E409" s="8" t="s">
        <v>1286</v>
      </c>
      <c r="F409" s="8" t="s">
        <v>809</v>
      </c>
      <c r="G409" s="8" t="s">
        <v>961</v>
      </c>
      <c r="H409" s="8" t="s">
        <v>51</v>
      </c>
      <c r="I409" s="8" t="s">
        <v>58</v>
      </c>
      <c r="J409" s="4" t="n">
        <v>350000</v>
      </c>
      <c r="K409" s="4" t="n">
        <v>315000</v>
      </c>
      <c r="L409" s="5" t="n">
        <v>0.1</v>
      </c>
      <c r="M409" s="4" t="n">
        <v>15</v>
      </c>
      <c r="N409" s="4" t="n">
        <v>0</v>
      </c>
      <c r="O409" s="4" t="n">
        <v>3</v>
      </c>
      <c r="P409" s="4" t="n">
        <v>0</v>
      </c>
      <c r="Q409" s="4" t="n">
        <v>0</v>
      </c>
      <c r="R409" s="4" t="n">
        <f aca="false">M409+N409+O409+P409+Q409</f>
        <v>18</v>
      </c>
      <c r="S409" s="4" t="n">
        <v>9</v>
      </c>
      <c r="T409" s="4" t="n">
        <f aca="false">R409*K409</f>
        <v>5670000</v>
      </c>
      <c r="U409" s="9" t="n">
        <f aca="false">IFERROR(M409/S409,0)</f>
        <v>1.66666666666667</v>
      </c>
      <c r="V409" s="5" t="n">
        <v>0.1587</v>
      </c>
    </row>
    <row r="410" customFormat="false" ht="15" hidden="false" customHeight="false" outlineLevel="0" collapsed="false">
      <c r="A410" s="8" t="s">
        <v>57</v>
      </c>
      <c r="B410" s="8" t="s">
        <v>22</v>
      </c>
      <c r="C410" s="8" t="s">
        <v>1098</v>
      </c>
      <c r="D410" s="8" t="n">
        <v>230198</v>
      </c>
      <c r="E410" s="8" t="s">
        <v>1287</v>
      </c>
      <c r="F410" s="8" t="s">
        <v>809</v>
      </c>
      <c r="G410" s="8" t="s">
        <v>961</v>
      </c>
      <c r="H410" s="8" t="s">
        <v>51</v>
      </c>
      <c r="I410" s="8" t="s">
        <v>58</v>
      </c>
      <c r="J410" s="4" t="n">
        <v>480000</v>
      </c>
      <c r="K410" s="4" t="n">
        <v>432000</v>
      </c>
      <c r="L410" s="5" t="n">
        <v>0.1</v>
      </c>
      <c r="M410" s="4" t="n">
        <v>18</v>
      </c>
      <c r="N410" s="4" t="n">
        <v>0</v>
      </c>
      <c r="O410" s="4" t="n">
        <v>0</v>
      </c>
      <c r="P410" s="4" t="n">
        <v>0</v>
      </c>
      <c r="Q410" s="4" t="n">
        <v>0</v>
      </c>
      <c r="R410" s="4" t="n">
        <f aca="false">M410+N410+O410+P410+Q410</f>
        <v>18</v>
      </c>
      <c r="S410" s="4" t="n">
        <v>11</v>
      </c>
      <c r="T410" s="4" t="n">
        <f aca="false">R410*K410</f>
        <v>7776000</v>
      </c>
      <c r="U410" s="9" t="n">
        <f aca="false">IFERROR(M410/S410,0)</f>
        <v>1.63636363636364</v>
      </c>
      <c r="V410" s="5" t="n">
        <v>0.1852</v>
      </c>
    </row>
    <row r="411" customFormat="false" ht="15" hidden="false" customHeight="false" outlineLevel="0" collapsed="false">
      <c r="A411" s="8" t="s">
        <v>57</v>
      </c>
      <c r="B411" s="8" t="s">
        <v>22</v>
      </c>
      <c r="C411" s="8" t="s">
        <v>1122</v>
      </c>
      <c r="D411" s="8" t="n">
        <v>230484</v>
      </c>
      <c r="E411" s="8" t="s">
        <v>1288</v>
      </c>
      <c r="F411" s="8" t="s">
        <v>809</v>
      </c>
      <c r="G411" s="8" t="s">
        <v>961</v>
      </c>
      <c r="H411" s="8" t="s">
        <v>51</v>
      </c>
      <c r="I411" s="8" t="s">
        <v>58</v>
      </c>
      <c r="J411" s="4" t="n">
        <v>450000</v>
      </c>
      <c r="K411" s="4" t="n">
        <v>405000</v>
      </c>
      <c r="L411" s="5" t="n">
        <v>0.1</v>
      </c>
      <c r="M411" s="4" t="n">
        <v>15</v>
      </c>
      <c r="N411" s="4" t="n">
        <v>0</v>
      </c>
      <c r="O411" s="4" t="n">
        <v>3</v>
      </c>
      <c r="P411" s="4" t="n">
        <v>0</v>
      </c>
      <c r="Q411" s="4" t="n">
        <v>0</v>
      </c>
      <c r="R411" s="4" t="n">
        <f aca="false">M411+N411+O411+P411+Q411</f>
        <v>18</v>
      </c>
      <c r="S411" s="4" t="n">
        <v>7</v>
      </c>
      <c r="T411" s="4" t="n">
        <f aca="false">R411*K411</f>
        <v>7290000</v>
      </c>
      <c r="U411" s="9" t="n">
        <f aca="false">IFERROR(M411/S411,0)</f>
        <v>2.14285714285714</v>
      </c>
      <c r="V411" s="5" t="n">
        <v>0.1333</v>
      </c>
    </row>
    <row r="412" customFormat="false" ht="15" hidden="false" customHeight="false" outlineLevel="0" collapsed="false">
      <c r="A412" s="8" t="s">
        <v>57</v>
      </c>
      <c r="B412" s="8" t="s">
        <v>22</v>
      </c>
      <c r="C412" s="8" t="s">
        <v>1122</v>
      </c>
      <c r="D412" s="8" t="n">
        <v>230485</v>
      </c>
      <c r="E412" s="8" t="s">
        <v>1289</v>
      </c>
      <c r="F412" s="8" t="s">
        <v>809</v>
      </c>
      <c r="G412" s="8" t="s">
        <v>961</v>
      </c>
      <c r="H412" s="8" t="s">
        <v>51</v>
      </c>
      <c r="I412" s="8" t="s">
        <v>58</v>
      </c>
      <c r="J412" s="4" t="n">
        <v>450000</v>
      </c>
      <c r="K412" s="4" t="n">
        <v>405000</v>
      </c>
      <c r="L412" s="5" t="n">
        <v>0.1</v>
      </c>
      <c r="M412" s="4" t="n">
        <v>18</v>
      </c>
      <c r="N412" s="4" t="n">
        <v>0</v>
      </c>
      <c r="O412" s="4" t="n">
        <v>0</v>
      </c>
      <c r="P412" s="4" t="n">
        <v>0</v>
      </c>
      <c r="Q412" s="4" t="n">
        <v>0</v>
      </c>
      <c r="R412" s="4" t="n">
        <f aca="false">M412+N412+O412+P412+Q412</f>
        <v>18</v>
      </c>
      <c r="S412" s="4" t="n">
        <v>10</v>
      </c>
      <c r="T412" s="4" t="n">
        <f aca="false">R412*K412</f>
        <v>7290000</v>
      </c>
      <c r="U412" s="9" t="n">
        <f aca="false">IFERROR(M412/S412,0)</f>
        <v>1.8</v>
      </c>
      <c r="V412" s="5" t="n">
        <v>0.1333</v>
      </c>
    </row>
    <row r="413" customFormat="false" ht="15" hidden="false" customHeight="false" outlineLevel="0" collapsed="false">
      <c r="A413" s="8" t="s">
        <v>57</v>
      </c>
      <c r="B413" s="8" t="s">
        <v>22</v>
      </c>
      <c r="C413" s="8" t="s">
        <v>1098</v>
      </c>
      <c r="D413" s="8" t="n">
        <v>231255</v>
      </c>
      <c r="E413" s="8" t="s">
        <v>1290</v>
      </c>
      <c r="F413" s="8" t="s">
        <v>809</v>
      </c>
      <c r="G413" s="8" t="s">
        <v>961</v>
      </c>
      <c r="H413" s="8" t="s">
        <v>51</v>
      </c>
      <c r="I413" s="8" t="s">
        <v>58</v>
      </c>
      <c r="J413" s="4" t="n">
        <v>1950000</v>
      </c>
      <c r="K413" s="4" t="n">
        <v>1755000</v>
      </c>
      <c r="L413" s="5" t="n">
        <v>0.1</v>
      </c>
      <c r="M413" s="4" t="n">
        <v>17</v>
      </c>
      <c r="N413" s="4" t="n">
        <v>0</v>
      </c>
      <c r="O413" s="4" t="n">
        <v>1</v>
      </c>
      <c r="P413" s="4" t="n">
        <v>0</v>
      </c>
      <c r="Q413" s="4" t="n">
        <v>0</v>
      </c>
      <c r="R413" s="4" t="n">
        <f aca="false">M413+N413+O413+P413+Q413</f>
        <v>18</v>
      </c>
      <c r="S413" s="4" t="n">
        <v>10</v>
      </c>
      <c r="T413" s="4" t="n">
        <f aca="false">R413*K413</f>
        <v>31590000</v>
      </c>
      <c r="U413" s="9" t="n">
        <f aca="false">IFERROR(M413/S413,0)</f>
        <v>1.7</v>
      </c>
      <c r="V413" s="5" t="n">
        <v>0.1613</v>
      </c>
    </row>
    <row r="414" customFormat="false" ht="15" hidden="false" customHeight="false" outlineLevel="0" collapsed="false">
      <c r="A414" s="8" t="s">
        <v>57</v>
      </c>
      <c r="B414" s="8" t="s">
        <v>22</v>
      </c>
      <c r="C414" s="8" t="s">
        <v>1098</v>
      </c>
      <c r="D414" s="8" t="n">
        <v>134472</v>
      </c>
      <c r="E414" s="8" t="s">
        <v>1291</v>
      </c>
      <c r="F414" s="8" t="s">
        <v>809</v>
      </c>
      <c r="G414" s="8" t="s">
        <v>961</v>
      </c>
      <c r="H414" s="8" t="s">
        <v>51</v>
      </c>
      <c r="I414" s="8" t="s">
        <v>58</v>
      </c>
      <c r="J414" s="4" t="n">
        <v>610000</v>
      </c>
      <c r="K414" s="4" t="n">
        <v>549000</v>
      </c>
      <c r="L414" s="5" t="n">
        <v>0.1</v>
      </c>
      <c r="M414" s="4" t="n">
        <v>18</v>
      </c>
      <c r="N414" s="4" t="n">
        <v>0</v>
      </c>
      <c r="O414" s="4" t="n">
        <v>0</v>
      </c>
      <c r="P414" s="4" t="n">
        <v>0</v>
      </c>
      <c r="Q414" s="4" t="n">
        <v>0</v>
      </c>
      <c r="R414" s="4" t="n">
        <f aca="false">M414+N414+O414+P414+Q414</f>
        <v>18</v>
      </c>
      <c r="S414" s="4" t="n">
        <v>7</v>
      </c>
      <c r="T414" s="4" t="n">
        <f aca="false">R414*K414</f>
        <v>9882000</v>
      </c>
      <c r="U414" s="9" t="n">
        <f aca="false">IFERROR(M414/S414,0)</f>
        <v>2.57142857142857</v>
      </c>
      <c r="V414" s="5" t="n">
        <v>0.1761</v>
      </c>
    </row>
    <row r="415" customFormat="false" ht="15" hidden="false" customHeight="false" outlineLevel="0" collapsed="false">
      <c r="A415" s="8" t="s">
        <v>57</v>
      </c>
      <c r="B415" s="8" t="s">
        <v>22</v>
      </c>
      <c r="C415" s="8" t="s">
        <v>1098</v>
      </c>
      <c r="D415" s="8" t="n">
        <v>135021</v>
      </c>
      <c r="E415" s="8" t="s">
        <v>1292</v>
      </c>
      <c r="F415" s="8" t="s">
        <v>809</v>
      </c>
      <c r="G415" s="8" t="s">
        <v>961</v>
      </c>
      <c r="H415" s="8" t="s">
        <v>51</v>
      </c>
      <c r="I415" s="8" t="s">
        <v>58</v>
      </c>
      <c r="J415" s="4" t="n">
        <v>550000</v>
      </c>
      <c r="K415" s="4" t="n">
        <v>495000</v>
      </c>
      <c r="L415" s="5" t="n">
        <v>0.1</v>
      </c>
      <c r="M415" s="4" t="n">
        <v>14</v>
      </c>
      <c r="N415" s="4" t="n">
        <v>0</v>
      </c>
      <c r="O415" s="4" t="n">
        <v>4</v>
      </c>
      <c r="P415" s="4" t="n">
        <v>0</v>
      </c>
      <c r="Q415" s="4" t="n">
        <v>0</v>
      </c>
      <c r="R415" s="4" t="n">
        <f aca="false">M415+N415+O415+P415+Q415</f>
        <v>18</v>
      </c>
      <c r="S415" s="4" t="n">
        <v>5</v>
      </c>
      <c r="T415" s="4" t="n">
        <f aca="false">R415*K415</f>
        <v>8910000</v>
      </c>
      <c r="U415" s="9" t="n">
        <f aca="false">IFERROR(M415/S415,0)</f>
        <v>2.8</v>
      </c>
      <c r="V415" s="5" t="n">
        <v>0.1515</v>
      </c>
    </row>
    <row r="416" customFormat="false" ht="15" hidden="false" customHeight="false" outlineLevel="0" collapsed="false">
      <c r="A416" s="8" t="s">
        <v>57</v>
      </c>
      <c r="B416" s="8" t="s">
        <v>22</v>
      </c>
      <c r="C416" s="8" t="s">
        <v>1098</v>
      </c>
      <c r="D416" s="8" t="n">
        <v>134974</v>
      </c>
      <c r="E416" s="8" t="s">
        <v>1293</v>
      </c>
      <c r="F416" s="8" t="s">
        <v>809</v>
      </c>
      <c r="G416" s="8" t="s">
        <v>961</v>
      </c>
      <c r="H416" s="8" t="s">
        <v>51</v>
      </c>
      <c r="I416" s="8" t="s">
        <v>58</v>
      </c>
      <c r="J416" s="4" t="n">
        <v>350000</v>
      </c>
      <c r="K416" s="4" t="n">
        <v>315000</v>
      </c>
      <c r="L416" s="5" t="n">
        <v>0.1</v>
      </c>
      <c r="M416" s="4" t="n">
        <v>16</v>
      </c>
      <c r="N416" s="4" t="n">
        <v>0</v>
      </c>
      <c r="O416" s="4" t="n">
        <v>0</v>
      </c>
      <c r="P416" s="4" t="n">
        <v>0</v>
      </c>
      <c r="Q416" s="4" t="n">
        <v>0</v>
      </c>
      <c r="R416" s="4" t="n">
        <f aca="false">M416+N416+O416+P416+Q416</f>
        <v>16</v>
      </c>
      <c r="S416" s="4" t="n">
        <v>7</v>
      </c>
      <c r="T416" s="4" t="n">
        <f aca="false">R416*K416</f>
        <v>5040000</v>
      </c>
      <c r="U416" s="9" t="n">
        <f aca="false">IFERROR(M416/S416,0)</f>
        <v>2.28571428571429</v>
      </c>
      <c r="V416" s="5" t="n">
        <v>0.1644</v>
      </c>
    </row>
    <row r="417" customFormat="false" ht="15" hidden="false" customHeight="false" outlineLevel="0" collapsed="false">
      <c r="A417" s="8" t="s">
        <v>57</v>
      </c>
      <c r="B417" s="8" t="s">
        <v>22</v>
      </c>
      <c r="C417" s="8" t="s">
        <v>1098</v>
      </c>
      <c r="D417" s="8" t="n">
        <v>230214</v>
      </c>
      <c r="E417" s="8" t="s">
        <v>1294</v>
      </c>
      <c r="F417" s="8" t="s">
        <v>809</v>
      </c>
      <c r="G417" s="8" t="s">
        <v>961</v>
      </c>
      <c r="H417" s="8" t="s">
        <v>51</v>
      </c>
      <c r="I417" s="8" t="s">
        <v>58</v>
      </c>
      <c r="J417" s="4" t="n">
        <v>470000</v>
      </c>
      <c r="K417" s="4" t="n">
        <v>423000</v>
      </c>
      <c r="L417" s="5" t="n">
        <v>0.1</v>
      </c>
      <c r="M417" s="4" t="n">
        <v>16</v>
      </c>
      <c r="N417" s="4" t="n">
        <v>0</v>
      </c>
      <c r="O417" s="4" t="n">
        <v>0</v>
      </c>
      <c r="P417" s="4" t="n">
        <v>0</v>
      </c>
      <c r="Q417" s="4" t="n">
        <v>0</v>
      </c>
      <c r="R417" s="4" t="n">
        <f aca="false">M417+N417+O417+P417+Q417</f>
        <v>16</v>
      </c>
      <c r="S417" s="4" t="n">
        <v>8</v>
      </c>
      <c r="T417" s="4" t="n">
        <f aca="false">R417*K417</f>
        <v>6768000</v>
      </c>
      <c r="U417" s="9" t="n">
        <f aca="false">IFERROR(M417/S417,0)</f>
        <v>2</v>
      </c>
      <c r="V417" s="5" t="n">
        <v>0.1626</v>
      </c>
    </row>
    <row r="418" customFormat="false" ht="15" hidden="false" customHeight="false" outlineLevel="0" collapsed="false">
      <c r="A418" s="8" t="s">
        <v>57</v>
      </c>
      <c r="B418" s="8" t="s">
        <v>22</v>
      </c>
      <c r="C418" s="8" t="s">
        <v>1098</v>
      </c>
      <c r="D418" s="8" t="n">
        <v>134916</v>
      </c>
      <c r="E418" s="8" t="s">
        <v>1295</v>
      </c>
      <c r="F418" s="8" t="s">
        <v>767</v>
      </c>
      <c r="G418" s="8" t="s">
        <v>961</v>
      </c>
      <c r="H418" s="8" t="s">
        <v>51</v>
      </c>
      <c r="I418" s="8" t="s">
        <v>58</v>
      </c>
      <c r="J418" s="4" t="n">
        <v>2150000</v>
      </c>
      <c r="K418" s="4" t="n">
        <v>1935000</v>
      </c>
      <c r="L418" s="5" t="n">
        <v>0.1</v>
      </c>
      <c r="M418" s="4" t="n">
        <v>16</v>
      </c>
      <c r="N418" s="4" t="n">
        <v>0</v>
      </c>
      <c r="O418" s="4" t="n">
        <v>0</v>
      </c>
      <c r="P418" s="4" t="n">
        <v>0</v>
      </c>
      <c r="Q418" s="4" t="n">
        <v>0</v>
      </c>
      <c r="R418" s="4" t="n">
        <f aca="false">M418+N418+O418+P418+Q418</f>
        <v>16</v>
      </c>
      <c r="S418" s="4" t="n">
        <v>4</v>
      </c>
      <c r="T418" s="4" t="n">
        <f aca="false">R418*K418</f>
        <v>30960000</v>
      </c>
      <c r="U418" s="9" t="n">
        <f aca="false">IFERROR(M418/S418,0)</f>
        <v>4</v>
      </c>
      <c r="V418" s="5" t="n">
        <v>0.1214</v>
      </c>
    </row>
    <row r="419" customFormat="false" ht="15" hidden="false" customHeight="false" outlineLevel="0" collapsed="false">
      <c r="A419" s="8" t="s">
        <v>57</v>
      </c>
      <c r="B419" s="8" t="s">
        <v>22</v>
      </c>
      <c r="C419" s="8" t="s">
        <v>1098</v>
      </c>
      <c r="D419" s="8" t="n">
        <v>134957</v>
      </c>
      <c r="E419" s="8" t="s">
        <v>1296</v>
      </c>
      <c r="F419" s="8" t="s">
        <v>809</v>
      </c>
      <c r="G419" s="8" t="s">
        <v>961</v>
      </c>
      <c r="H419" s="8" t="s">
        <v>51</v>
      </c>
      <c r="I419" s="8" t="s">
        <v>58</v>
      </c>
      <c r="J419" s="4" t="n">
        <v>450000</v>
      </c>
      <c r="K419" s="4" t="n">
        <v>405000</v>
      </c>
      <c r="L419" s="5" t="n">
        <v>0.1</v>
      </c>
      <c r="M419" s="4" t="n">
        <v>14</v>
      </c>
      <c r="N419" s="4" t="n">
        <v>0</v>
      </c>
      <c r="O419" s="4" t="n">
        <v>2</v>
      </c>
      <c r="P419" s="4" t="n">
        <v>0</v>
      </c>
      <c r="Q419" s="4" t="n">
        <v>0</v>
      </c>
      <c r="R419" s="4" t="n">
        <f aca="false">M419+N419+O419+P419+Q419</f>
        <v>16</v>
      </c>
      <c r="S419" s="4" t="n">
        <v>9</v>
      </c>
      <c r="T419" s="4" t="n">
        <f aca="false">R419*K419</f>
        <v>6480000</v>
      </c>
      <c r="U419" s="9" t="n">
        <f aca="false">IFERROR(M419/S419,0)</f>
        <v>1.55555555555556</v>
      </c>
      <c r="V419" s="5" t="n">
        <v>0.1556</v>
      </c>
    </row>
    <row r="420" customFormat="false" ht="15" hidden="false" customHeight="false" outlineLevel="0" collapsed="false">
      <c r="A420" s="8" t="s">
        <v>57</v>
      </c>
      <c r="B420" s="8" t="s">
        <v>22</v>
      </c>
      <c r="C420" s="8" t="s">
        <v>1098</v>
      </c>
      <c r="D420" s="8" t="n">
        <v>135022</v>
      </c>
      <c r="E420" s="8" t="s">
        <v>1297</v>
      </c>
      <c r="F420" s="8" t="s">
        <v>809</v>
      </c>
      <c r="G420" s="8" t="s">
        <v>961</v>
      </c>
      <c r="H420" s="8" t="s">
        <v>51</v>
      </c>
      <c r="I420" s="8" t="s">
        <v>58</v>
      </c>
      <c r="J420" s="4" t="n">
        <v>630000</v>
      </c>
      <c r="K420" s="4" t="n">
        <v>567000</v>
      </c>
      <c r="L420" s="5" t="n">
        <v>0.1</v>
      </c>
      <c r="M420" s="4" t="n">
        <v>11</v>
      </c>
      <c r="N420" s="4" t="n">
        <v>0</v>
      </c>
      <c r="O420" s="4" t="n">
        <v>3</v>
      </c>
      <c r="P420" s="4" t="n">
        <v>0</v>
      </c>
      <c r="Q420" s="4" t="n">
        <v>0</v>
      </c>
      <c r="R420" s="4" t="n">
        <f aca="false">M420+N420+O420+P420+Q420</f>
        <v>14</v>
      </c>
      <c r="S420" s="4" t="n">
        <v>5</v>
      </c>
      <c r="T420" s="4" t="n">
        <f aca="false">R420*K420</f>
        <v>7938000</v>
      </c>
      <c r="U420" s="9" t="n">
        <f aca="false">IFERROR(M420/S420,0)</f>
        <v>2.2</v>
      </c>
      <c r="V420" s="5" t="n">
        <v>0.157</v>
      </c>
    </row>
    <row r="421" customFormat="false" ht="15" hidden="false" customHeight="false" outlineLevel="0" collapsed="false">
      <c r="A421" s="8" t="s">
        <v>57</v>
      </c>
      <c r="B421" s="8" t="s">
        <v>22</v>
      </c>
      <c r="C421" s="8" t="s">
        <v>1098</v>
      </c>
      <c r="D421" s="8" t="n">
        <v>231610</v>
      </c>
      <c r="E421" s="8" t="s">
        <v>1298</v>
      </c>
      <c r="F421" s="8" t="s">
        <v>767</v>
      </c>
      <c r="G421" s="8" t="s">
        <v>961</v>
      </c>
      <c r="H421" s="8" t="s">
        <v>51</v>
      </c>
      <c r="I421" s="8" t="s">
        <v>58</v>
      </c>
      <c r="J421" s="4" t="n">
        <v>350000</v>
      </c>
      <c r="K421" s="4" t="n">
        <v>315000</v>
      </c>
      <c r="L421" s="5" t="n">
        <v>0.1</v>
      </c>
      <c r="M421" s="4" t="n">
        <v>14</v>
      </c>
      <c r="N421" s="4" t="n">
        <v>0</v>
      </c>
      <c r="O421" s="4" t="n">
        <v>0</v>
      </c>
      <c r="P421" s="4" t="n">
        <v>0</v>
      </c>
      <c r="Q421" s="4" t="n">
        <v>0</v>
      </c>
      <c r="R421" s="4" t="n">
        <f aca="false">M421+N421+O421+P421+Q421</f>
        <v>14</v>
      </c>
      <c r="S421" s="4" t="n">
        <v>5</v>
      </c>
      <c r="T421" s="4" t="n">
        <f aca="false">R421*K421</f>
        <v>4410000</v>
      </c>
      <c r="U421" s="9" t="n">
        <f aca="false">IFERROR(M421/S421,0)</f>
        <v>2.8</v>
      </c>
      <c r="V421" s="5" t="n">
        <v>0.1254</v>
      </c>
    </row>
    <row r="422" customFormat="false" ht="15" hidden="false" customHeight="false" outlineLevel="0" collapsed="false">
      <c r="A422" s="8" t="s">
        <v>57</v>
      </c>
      <c r="B422" s="8" t="s">
        <v>22</v>
      </c>
      <c r="C422" s="8" t="s">
        <v>1098</v>
      </c>
      <c r="D422" s="8" t="n">
        <v>231414</v>
      </c>
      <c r="E422" s="8" t="s">
        <v>1299</v>
      </c>
      <c r="F422" s="8" t="s">
        <v>767</v>
      </c>
      <c r="G422" s="8" t="s">
        <v>961</v>
      </c>
      <c r="H422" s="8" t="s">
        <v>51</v>
      </c>
      <c r="I422" s="8" t="s">
        <v>58</v>
      </c>
      <c r="J422" s="4" t="n">
        <v>145000</v>
      </c>
      <c r="K422" s="4" t="n">
        <v>131000</v>
      </c>
      <c r="L422" s="5" t="n">
        <v>0.1</v>
      </c>
      <c r="M422" s="4" t="n">
        <v>13</v>
      </c>
      <c r="N422" s="4" t="n">
        <v>0</v>
      </c>
      <c r="O422" s="4" t="n">
        <v>0</v>
      </c>
      <c r="P422" s="4" t="n">
        <v>0</v>
      </c>
      <c r="Q422" s="4" t="n">
        <v>0</v>
      </c>
      <c r="R422" s="4" t="n">
        <f aca="false">M422+N422+O422+P422+Q422</f>
        <v>13</v>
      </c>
      <c r="S422" s="4" t="n">
        <v>4</v>
      </c>
      <c r="T422" s="4" t="n">
        <f aca="false">R422*K422</f>
        <v>1703000</v>
      </c>
      <c r="U422" s="9" t="n">
        <f aca="false">IFERROR(M422/S422,0)</f>
        <v>3.25</v>
      </c>
      <c r="V422" s="5" t="n">
        <v>0.1225</v>
      </c>
    </row>
    <row r="423" customFormat="false" ht="15" hidden="false" customHeight="false" outlineLevel="0" collapsed="false">
      <c r="A423" s="8" t="s">
        <v>57</v>
      </c>
      <c r="B423" s="8" t="s">
        <v>22</v>
      </c>
      <c r="C423" s="8" t="s">
        <v>1122</v>
      </c>
      <c r="D423" s="8" t="n">
        <v>231598</v>
      </c>
      <c r="E423" s="8" t="s">
        <v>1300</v>
      </c>
      <c r="F423" s="8" t="s">
        <v>767</v>
      </c>
      <c r="G423" s="8" t="s">
        <v>961</v>
      </c>
      <c r="H423" s="8" t="s">
        <v>51</v>
      </c>
      <c r="I423" s="8" t="s">
        <v>58</v>
      </c>
      <c r="J423" s="4" t="n">
        <v>350000</v>
      </c>
      <c r="K423" s="4" t="n">
        <v>315000</v>
      </c>
      <c r="L423" s="5" t="n">
        <v>0.1</v>
      </c>
      <c r="M423" s="4" t="n">
        <v>3</v>
      </c>
      <c r="N423" s="4" t="n">
        <v>0</v>
      </c>
      <c r="O423" s="4" t="n">
        <v>10</v>
      </c>
      <c r="P423" s="4" t="n">
        <v>0</v>
      </c>
      <c r="Q423" s="4" t="n">
        <v>0</v>
      </c>
      <c r="R423" s="4" t="n">
        <f aca="false">M423+N423+O423+P423+Q423</f>
        <v>13</v>
      </c>
      <c r="S423" s="4" t="n">
        <v>2</v>
      </c>
      <c r="T423" s="4" t="n">
        <f aca="false">R423*K423</f>
        <v>4095000</v>
      </c>
      <c r="U423" s="9" t="n">
        <f aca="false">IFERROR(M423/S423,0)</f>
        <v>1.5</v>
      </c>
      <c r="V423" s="5" t="n">
        <v>0.1746</v>
      </c>
    </row>
    <row r="424" customFormat="false" ht="15" hidden="false" customHeight="false" outlineLevel="0" collapsed="false">
      <c r="A424" s="8" t="s">
        <v>57</v>
      </c>
      <c r="B424" s="8" t="s">
        <v>22</v>
      </c>
      <c r="C424" s="8" t="s">
        <v>1098</v>
      </c>
      <c r="D424" s="8" t="n">
        <v>134572</v>
      </c>
      <c r="E424" s="8" t="s">
        <v>1301</v>
      </c>
      <c r="F424" s="8" t="s">
        <v>809</v>
      </c>
      <c r="G424" s="8" t="s">
        <v>961</v>
      </c>
      <c r="H424" s="8" t="s">
        <v>51</v>
      </c>
      <c r="I424" s="8" t="s">
        <v>58</v>
      </c>
      <c r="J424" s="4" t="n">
        <v>350000</v>
      </c>
      <c r="K424" s="4" t="n">
        <v>315000</v>
      </c>
      <c r="L424" s="5" t="n">
        <v>0.1</v>
      </c>
      <c r="M424" s="4" t="n">
        <v>12</v>
      </c>
      <c r="N424" s="4" t="n">
        <v>0</v>
      </c>
      <c r="O424" s="4" t="n">
        <v>0</v>
      </c>
      <c r="P424" s="4" t="n">
        <v>0</v>
      </c>
      <c r="Q424" s="4" t="n">
        <v>0</v>
      </c>
      <c r="R424" s="4" t="n">
        <f aca="false">M424+N424+O424+P424+Q424</f>
        <v>12</v>
      </c>
      <c r="S424" s="4" t="n">
        <v>7</v>
      </c>
      <c r="T424" s="4" t="n">
        <f aca="false">R424*K424</f>
        <v>3780000</v>
      </c>
      <c r="U424" s="9" t="n">
        <f aca="false">IFERROR(M424/S424,0)</f>
        <v>1.71428571428571</v>
      </c>
      <c r="V424" s="5" t="n">
        <v>0.1143</v>
      </c>
    </row>
    <row r="425" customFormat="false" ht="15" hidden="false" customHeight="false" outlineLevel="0" collapsed="false">
      <c r="A425" s="8" t="s">
        <v>57</v>
      </c>
      <c r="B425" s="8" t="s">
        <v>22</v>
      </c>
      <c r="C425" s="8" t="s">
        <v>1098</v>
      </c>
      <c r="D425" s="8" t="n">
        <v>134814</v>
      </c>
      <c r="E425" s="8" t="s">
        <v>1302</v>
      </c>
      <c r="F425" s="8" t="s">
        <v>809</v>
      </c>
      <c r="G425" s="8" t="s">
        <v>961</v>
      </c>
      <c r="H425" s="8" t="s">
        <v>51</v>
      </c>
      <c r="I425" s="8" t="s">
        <v>58</v>
      </c>
      <c r="J425" s="4" t="n">
        <v>845000</v>
      </c>
      <c r="K425" s="4" t="n">
        <v>761000</v>
      </c>
      <c r="L425" s="5" t="n">
        <v>0.1</v>
      </c>
      <c r="M425" s="4" t="n">
        <v>11</v>
      </c>
      <c r="N425" s="4" t="n">
        <v>0</v>
      </c>
      <c r="O425" s="4" t="n">
        <v>1</v>
      </c>
      <c r="P425" s="4" t="n">
        <v>0</v>
      </c>
      <c r="Q425" s="4" t="n">
        <v>0</v>
      </c>
      <c r="R425" s="4" t="n">
        <f aca="false">M425+N425+O425+P425+Q425</f>
        <v>12</v>
      </c>
      <c r="S425" s="4" t="n">
        <v>7</v>
      </c>
      <c r="T425" s="4" t="n">
        <f aca="false">R425*K425</f>
        <v>9132000</v>
      </c>
      <c r="U425" s="9" t="n">
        <f aca="false">IFERROR(M425/S425,0)</f>
        <v>1.57142857142857</v>
      </c>
      <c r="V425" s="5" t="n">
        <v>0.2102</v>
      </c>
    </row>
    <row r="426" customFormat="false" ht="15" hidden="false" customHeight="false" outlineLevel="0" collapsed="false">
      <c r="A426" s="8" t="s">
        <v>57</v>
      </c>
      <c r="B426" s="8" t="s">
        <v>22</v>
      </c>
      <c r="C426" s="8" t="s">
        <v>1098</v>
      </c>
      <c r="D426" s="8" t="n">
        <v>231395</v>
      </c>
      <c r="E426" s="8" t="s">
        <v>1303</v>
      </c>
      <c r="F426" s="8" t="s">
        <v>809</v>
      </c>
      <c r="G426" s="8" t="s">
        <v>961</v>
      </c>
      <c r="H426" s="8" t="s">
        <v>51</v>
      </c>
      <c r="I426" s="8" t="s">
        <v>58</v>
      </c>
      <c r="J426" s="4" t="n">
        <v>450000</v>
      </c>
      <c r="K426" s="4" t="n">
        <v>405000</v>
      </c>
      <c r="L426" s="5" t="n">
        <v>0.1</v>
      </c>
      <c r="M426" s="4" t="n">
        <v>12</v>
      </c>
      <c r="N426" s="4" t="n">
        <v>0</v>
      </c>
      <c r="O426" s="4" t="n">
        <v>0</v>
      </c>
      <c r="P426" s="4" t="n">
        <v>0</v>
      </c>
      <c r="Q426" s="4" t="n">
        <v>0</v>
      </c>
      <c r="R426" s="4" t="n">
        <f aca="false">M426+N426+O426+P426+Q426</f>
        <v>12</v>
      </c>
      <c r="S426" s="4" t="n">
        <v>5</v>
      </c>
      <c r="T426" s="4" t="n">
        <f aca="false">R426*K426</f>
        <v>4860000</v>
      </c>
      <c r="U426" s="9" t="n">
        <f aca="false">IFERROR(M426/S426,0)</f>
        <v>2.4</v>
      </c>
      <c r="V426" s="5" t="n">
        <v>0.1204</v>
      </c>
    </row>
    <row r="427" customFormat="false" ht="15" hidden="false" customHeight="false" outlineLevel="0" collapsed="false">
      <c r="A427" s="8" t="s">
        <v>57</v>
      </c>
      <c r="B427" s="8" t="s">
        <v>22</v>
      </c>
      <c r="C427" s="8" t="s">
        <v>1098</v>
      </c>
      <c r="D427" s="8" t="n">
        <v>134381</v>
      </c>
      <c r="E427" s="8" t="s">
        <v>1304</v>
      </c>
      <c r="F427" s="8" t="s">
        <v>809</v>
      </c>
      <c r="G427" s="8" t="s">
        <v>961</v>
      </c>
      <c r="H427" s="8" t="s">
        <v>51</v>
      </c>
      <c r="I427" s="8" t="s">
        <v>58</v>
      </c>
      <c r="J427" s="4" t="n">
        <v>550000</v>
      </c>
      <c r="K427" s="4" t="n">
        <v>495000</v>
      </c>
      <c r="L427" s="5" t="n">
        <v>0.1</v>
      </c>
      <c r="M427" s="4" t="n">
        <v>12</v>
      </c>
      <c r="N427" s="4" t="n">
        <v>0</v>
      </c>
      <c r="O427" s="4" t="n">
        <v>0</v>
      </c>
      <c r="P427" s="4" t="n">
        <v>0</v>
      </c>
      <c r="Q427" s="4" t="n">
        <v>0</v>
      </c>
      <c r="R427" s="4" t="n">
        <f aca="false">M427+N427+O427+P427+Q427</f>
        <v>12</v>
      </c>
      <c r="S427" s="4" t="n">
        <v>4</v>
      </c>
      <c r="T427" s="4" t="n">
        <f aca="false">R427*K427</f>
        <v>5940000</v>
      </c>
      <c r="U427" s="9" t="n">
        <f aca="false">IFERROR(M427/S427,0)</f>
        <v>3</v>
      </c>
      <c r="V427" s="5" t="n">
        <v>0.16</v>
      </c>
    </row>
    <row r="428" customFormat="false" ht="15" hidden="false" customHeight="false" outlineLevel="0" collapsed="false">
      <c r="A428" s="8" t="s">
        <v>57</v>
      </c>
      <c r="B428" s="8" t="s">
        <v>22</v>
      </c>
      <c r="C428" s="8" t="s">
        <v>1098</v>
      </c>
      <c r="D428" s="8" t="n">
        <v>135159</v>
      </c>
      <c r="E428" s="8" t="s">
        <v>1305</v>
      </c>
      <c r="F428" s="8" t="s">
        <v>829</v>
      </c>
      <c r="G428" s="8" t="s">
        <v>961</v>
      </c>
      <c r="H428" s="8" t="s">
        <v>51</v>
      </c>
      <c r="I428" s="8" t="s">
        <v>58</v>
      </c>
      <c r="J428" s="4" t="n">
        <v>1060000</v>
      </c>
      <c r="K428" s="4" t="n">
        <v>954000</v>
      </c>
      <c r="L428" s="5" t="n">
        <v>0.1</v>
      </c>
      <c r="M428" s="4" t="n">
        <v>9</v>
      </c>
      <c r="N428" s="4" t="n">
        <v>0</v>
      </c>
      <c r="O428" s="4" t="n">
        <v>3</v>
      </c>
      <c r="P428" s="4" t="n">
        <v>0</v>
      </c>
      <c r="Q428" s="4" t="n">
        <v>0</v>
      </c>
      <c r="R428" s="4" t="n">
        <f aca="false">M428+N428+O428+P428+Q428</f>
        <v>12</v>
      </c>
      <c r="S428" s="4" t="n">
        <v>5</v>
      </c>
      <c r="T428" s="4" t="n">
        <f aca="false">R428*K428</f>
        <v>11448000</v>
      </c>
      <c r="U428" s="9" t="n">
        <f aca="false">IFERROR(M428/S428,0)</f>
        <v>1.8</v>
      </c>
      <c r="V428" s="5" t="n">
        <v>0.1719</v>
      </c>
    </row>
    <row r="429" customFormat="false" ht="15" hidden="false" customHeight="false" outlineLevel="0" collapsed="false">
      <c r="A429" s="8" t="s">
        <v>57</v>
      </c>
      <c r="B429" s="8" t="s">
        <v>22</v>
      </c>
      <c r="C429" s="8" t="s">
        <v>1098</v>
      </c>
      <c r="D429" s="8" t="n">
        <v>231198</v>
      </c>
      <c r="E429" s="8" t="s">
        <v>1016</v>
      </c>
      <c r="F429" s="8" t="s">
        <v>809</v>
      </c>
      <c r="G429" s="8" t="s">
        <v>961</v>
      </c>
      <c r="H429" s="8" t="s">
        <v>51</v>
      </c>
      <c r="I429" s="8" t="s">
        <v>58</v>
      </c>
      <c r="J429" s="4" t="n">
        <v>125000</v>
      </c>
      <c r="K429" s="4" t="n">
        <v>113000</v>
      </c>
      <c r="L429" s="5" t="n">
        <v>0.1</v>
      </c>
      <c r="M429" s="4" t="n">
        <v>12</v>
      </c>
      <c r="N429" s="4" t="n">
        <v>0</v>
      </c>
      <c r="O429" s="4" t="n">
        <v>0</v>
      </c>
      <c r="P429" s="4" t="n">
        <v>0</v>
      </c>
      <c r="Q429" s="4" t="n">
        <v>0</v>
      </c>
      <c r="R429" s="4" t="n">
        <f aca="false">M429+N429+O429+P429+Q429</f>
        <v>12</v>
      </c>
      <c r="S429" s="4" t="n">
        <v>5</v>
      </c>
      <c r="T429" s="4" t="n">
        <f aca="false">R429*K429</f>
        <v>1356000</v>
      </c>
      <c r="U429" s="9" t="n">
        <f aca="false">IFERROR(M429/S429,0)</f>
        <v>2.4</v>
      </c>
      <c r="V429" s="5" t="n">
        <v>0.2252</v>
      </c>
    </row>
    <row r="430" customFormat="false" ht="15" hidden="false" customHeight="false" outlineLevel="0" collapsed="false">
      <c r="A430" s="8" t="s">
        <v>57</v>
      </c>
      <c r="B430" s="8" t="s">
        <v>22</v>
      </c>
      <c r="C430" s="8" t="s">
        <v>1098</v>
      </c>
      <c r="D430" s="8" t="n">
        <v>231203</v>
      </c>
      <c r="E430" s="8" t="s">
        <v>1306</v>
      </c>
      <c r="F430" s="8" t="s">
        <v>809</v>
      </c>
      <c r="G430" s="8" t="s">
        <v>961</v>
      </c>
      <c r="H430" s="8" t="s">
        <v>51</v>
      </c>
      <c r="I430" s="8" t="s">
        <v>58</v>
      </c>
      <c r="J430" s="4" t="n">
        <v>495000</v>
      </c>
      <c r="K430" s="4" t="n">
        <v>446000</v>
      </c>
      <c r="L430" s="5" t="n">
        <v>0.1</v>
      </c>
      <c r="M430" s="4" t="n">
        <v>11</v>
      </c>
      <c r="N430" s="4" t="n">
        <v>0</v>
      </c>
      <c r="O430" s="4" t="n">
        <v>0</v>
      </c>
      <c r="P430" s="4" t="n">
        <v>0</v>
      </c>
      <c r="Q430" s="4" t="n">
        <v>0</v>
      </c>
      <c r="R430" s="4" t="n">
        <f aca="false">M430+N430+O430+P430+Q430</f>
        <v>11</v>
      </c>
      <c r="S430" s="4" t="n">
        <v>4</v>
      </c>
      <c r="T430" s="4" t="n">
        <f aca="false">R430*K430</f>
        <v>4906000</v>
      </c>
      <c r="U430" s="9" t="n">
        <f aca="false">IFERROR(M430/S430,0)</f>
        <v>2.75</v>
      </c>
      <c r="V430" s="5" t="n">
        <v>0.1318</v>
      </c>
    </row>
    <row r="431" customFormat="false" ht="15" hidden="false" customHeight="false" outlineLevel="0" collapsed="false">
      <c r="A431" s="8" t="s">
        <v>57</v>
      </c>
      <c r="B431" s="8" t="s">
        <v>22</v>
      </c>
      <c r="C431" s="8" t="s">
        <v>1098</v>
      </c>
      <c r="D431" s="8" t="n">
        <v>231204</v>
      </c>
      <c r="E431" s="8" t="s">
        <v>1307</v>
      </c>
      <c r="F431" s="8" t="s">
        <v>809</v>
      </c>
      <c r="G431" s="8" t="s">
        <v>961</v>
      </c>
      <c r="H431" s="8" t="s">
        <v>51</v>
      </c>
      <c r="I431" s="8" t="s">
        <v>58</v>
      </c>
      <c r="J431" s="4" t="n">
        <v>495000</v>
      </c>
      <c r="K431" s="4" t="n">
        <v>446000</v>
      </c>
      <c r="L431" s="5" t="n">
        <v>0.1</v>
      </c>
      <c r="M431" s="4" t="n">
        <v>11</v>
      </c>
      <c r="N431" s="4" t="n">
        <v>0</v>
      </c>
      <c r="O431" s="4" t="n">
        <v>0</v>
      </c>
      <c r="P431" s="4" t="n">
        <v>0</v>
      </c>
      <c r="Q431" s="4" t="n">
        <v>0</v>
      </c>
      <c r="R431" s="4" t="n">
        <f aca="false">M431+N431+O431+P431+Q431</f>
        <v>11</v>
      </c>
      <c r="S431" s="4" t="n">
        <v>5</v>
      </c>
      <c r="T431" s="4" t="n">
        <f aca="false">R431*K431</f>
        <v>4906000</v>
      </c>
      <c r="U431" s="9" t="n">
        <f aca="false">IFERROR(M431/S431,0)</f>
        <v>2.2</v>
      </c>
      <c r="V431" s="5" t="n">
        <v>0.1525</v>
      </c>
    </row>
    <row r="432" customFormat="false" ht="15" hidden="false" customHeight="false" outlineLevel="0" collapsed="false">
      <c r="A432" s="8" t="s">
        <v>57</v>
      </c>
      <c r="B432" s="8" t="s">
        <v>22</v>
      </c>
      <c r="C432" s="8" t="s">
        <v>1098</v>
      </c>
      <c r="D432" s="8" t="n">
        <v>231609</v>
      </c>
      <c r="E432" s="8" t="s">
        <v>1308</v>
      </c>
      <c r="F432" s="8" t="s">
        <v>767</v>
      </c>
      <c r="G432" s="8" t="s">
        <v>961</v>
      </c>
      <c r="H432" s="8" t="s">
        <v>51</v>
      </c>
      <c r="I432" s="8" t="s">
        <v>58</v>
      </c>
      <c r="J432" s="4" t="n">
        <v>660000</v>
      </c>
      <c r="K432" s="4" t="n">
        <v>594000</v>
      </c>
      <c r="L432" s="5" t="n">
        <v>0.1</v>
      </c>
      <c r="M432" s="4" t="n">
        <v>11</v>
      </c>
      <c r="N432" s="4" t="n">
        <v>0</v>
      </c>
      <c r="O432" s="4" t="n">
        <v>0</v>
      </c>
      <c r="P432" s="4" t="n">
        <v>0</v>
      </c>
      <c r="Q432" s="4" t="n">
        <v>0</v>
      </c>
      <c r="R432" s="4" t="n">
        <f aca="false">M432+N432+O432+P432+Q432</f>
        <v>11</v>
      </c>
      <c r="S432" s="4" t="n">
        <v>7</v>
      </c>
      <c r="T432" s="4" t="n">
        <f aca="false">R432*K432</f>
        <v>6534000</v>
      </c>
      <c r="U432" s="9" t="n">
        <f aca="false">IFERROR(M432/S432,0)</f>
        <v>1.57142857142857</v>
      </c>
      <c r="V432" s="5" t="n">
        <v>0.1284</v>
      </c>
    </row>
    <row r="433" customFormat="false" ht="15" hidden="false" customHeight="false" outlineLevel="0" collapsed="false">
      <c r="A433" s="8" t="s">
        <v>57</v>
      </c>
      <c r="B433" s="8" t="s">
        <v>22</v>
      </c>
      <c r="C433" s="8" t="s">
        <v>1098</v>
      </c>
      <c r="D433" s="8" t="n">
        <v>134489</v>
      </c>
      <c r="E433" s="8" t="s">
        <v>1309</v>
      </c>
      <c r="F433" s="8" t="s">
        <v>794</v>
      </c>
      <c r="G433" s="8" t="s">
        <v>961</v>
      </c>
      <c r="H433" s="8" t="s">
        <v>51</v>
      </c>
      <c r="I433" s="8" t="s">
        <v>58</v>
      </c>
      <c r="J433" s="4" t="n">
        <v>350000</v>
      </c>
      <c r="K433" s="4" t="n">
        <v>315000</v>
      </c>
      <c r="L433" s="5" t="n">
        <v>0.1</v>
      </c>
      <c r="M433" s="4" t="n">
        <v>11</v>
      </c>
      <c r="N433" s="4" t="n">
        <v>0</v>
      </c>
      <c r="O433" s="4" t="n">
        <v>0</v>
      </c>
      <c r="P433" s="4" t="n">
        <v>0</v>
      </c>
      <c r="Q433" s="4" t="n">
        <v>0</v>
      </c>
      <c r="R433" s="4" t="n">
        <f aca="false">M433+N433+O433+P433+Q433</f>
        <v>11</v>
      </c>
      <c r="S433" s="4" t="n">
        <v>4</v>
      </c>
      <c r="T433" s="4" t="n">
        <f aca="false">R433*K433</f>
        <v>3465000</v>
      </c>
      <c r="U433" s="9" t="n">
        <f aca="false">IFERROR(M433/S433,0)</f>
        <v>2.75</v>
      </c>
      <c r="V433" s="5" t="n">
        <v>0.1254</v>
      </c>
    </row>
    <row r="434" customFormat="false" ht="15" hidden="false" customHeight="false" outlineLevel="0" collapsed="false">
      <c r="A434" s="8" t="s">
        <v>57</v>
      </c>
      <c r="B434" s="8" t="s">
        <v>22</v>
      </c>
      <c r="C434" s="8" t="s">
        <v>1098</v>
      </c>
      <c r="D434" s="8" t="n">
        <v>230200</v>
      </c>
      <c r="E434" s="8" t="s">
        <v>1310</v>
      </c>
      <c r="F434" s="8" t="s">
        <v>809</v>
      </c>
      <c r="G434" s="8" t="s">
        <v>961</v>
      </c>
      <c r="H434" s="8" t="s">
        <v>51</v>
      </c>
      <c r="I434" s="8" t="s">
        <v>58</v>
      </c>
      <c r="J434" s="4" t="n">
        <v>350000</v>
      </c>
      <c r="K434" s="4" t="n">
        <v>315000</v>
      </c>
      <c r="L434" s="5" t="n">
        <v>0.1</v>
      </c>
      <c r="M434" s="4" t="n">
        <v>10</v>
      </c>
      <c r="N434" s="4" t="n">
        <v>0</v>
      </c>
      <c r="O434" s="4" t="n">
        <v>0</v>
      </c>
      <c r="P434" s="4" t="n">
        <v>0</v>
      </c>
      <c r="Q434" s="4" t="n">
        <v>0</v>
      </c>
      <c r="R434" s="4" t="n">
        <f aca="false">M434+N434+O434+P434+Q434</f>
        <v>10</v>
      </c>
      <c r="S434" s="4" t="n">
        <v>6</v>
      </c>
      <c r="T434" s="4" t="n">
        <f aca="false">R434*K434</f>
        <v>3150000</v>
      </c>
      <c r="U434" s="9" t="n">
        <f aca="false">IFERROR(M434/S434,0)</f>
        <v>1.66666666666667</v>
      </c>
      <c r="V434" s="5" t="n">
        <v>0.1714</v>
      </c>
    </row>
    <row r="435" customFormat="false" ht="15" hidden="false" customHeight="false" outlineLevel="0" collapsed="false">
      <c r="A435" s="8" t="s">
        <v>57</v>
      </c>
      <c r="B435" s="8" t="s">
        <v>22</v>
      </c>
      <c r="C435" s="8" t="s">
        <v>1098</v>
      </c>
      <c r="D435" s="8" t="n">
        <v>231394</v>
      </c>
      <c r="E435" s="8" t="s">
        <v>1311</v>
      </c>
      <c r="F435" s="8" t="s">
        <v>809</v>
      </c>
      <c r="G435" s="8" t="s">
        <v>961</v>
      </c>
      <c r="H435" s="8" t="s">
        <v>51</v>
      </c>
      <c r="I435" s="8" t="s">
        <v>58</v>
      </c>
      <c r="J435" s="4" t="n">
        <v>420000</v>
      </c>
      <c r="K435" s="4" t="n">
        <v>378000</v>
      </c>
      <c r="L435" s="5" t="n">
        <v>0.1</v>
      </c>
      <c r="M435" s="4" t="n">
        <v>10</v>
      </c>
      <c r="N435" s="4" t="n">
        <v>0</v>
      </c>
      <c r="O435" s="4" t="n">
        <v>0</v>
      </c>
      <c r="P435" s="4" t="n">
        <v>0</v>
      </c>
      <c r="Q435" s="4" t="n">
        <v>0</v>
      </c>
      <c r="R435" s="4" t="n">
        <f aca="false">M435+N435+O435+P435+Q435</f>
        <v>10</v>
      </c>
      <c r="S435" s="4" t="n">
        <v>4</v>
      </c>
      <c r="T435" s="4" t="n">
        <f aca="false">R435*K435</f>
        <v>3780000</v>
      </c>
      <c r="U435" s="9" t="n">
        <f aca="false">IFERROR(M435/S435,0)</f>
        <v>2.5</v>
      </c>
      <c r="V435" s="5" t="n">
        <v>0.1667</v>
      </c>
    </row>
    <row r="436" customFormat="false" ht="15" hidden="false" customHeight="false" outlineLevel="0" collapsed="false">
      <c r="A436" s="8" t="s">
        <v>57</v>
      </c>
      <c r="B436" s="8" t="s">
        <v>22</v>
      </c>
      <c r="C436" s="8" t="s">
        <v>1098</v>
      </c>
      <c r="D436" s="8" t="n">
        <v>134952</v>
      </c>
      <c r="E436" s="8" t="s">
        <v>1312</v>
      </c>
      <c r="F436" s="8" t="s">
        <v>767</v>
      </c>
      <c r="G436" s="8" t="s">
        <v>961</v>
      </c>
      <c r="H436" s="8" t="s">
        <v>51</v>
      </c>
      <c r="I436" s="8" t="s">
        <v>58</v>
      </c>
      <c r="J436" s="4" t="n">
        <v>550000</v>
      </c>
      <c r="K436" s="4" t="n">
        <v>495000</v>
      </c>
      <c r="L436" s="5" t="n">
        <v>0.1</v>
      </c>
      <c r="M436" s="4" t="n">
        <v>10</v>
      </c>
      <c r="N436" s="4" t="n">
        <v>0</v>
      </c>
      <c r="O436" s="4" t="n">
        <v>0</v>
      </c>
      <c r="P436" s="4" t="n">
        <v>0</v>
      </c>
      <c r="Q436" s="4" t="n">
        <v>0</v>
      </c>
      <c r="R436" s="4" t="n">
        <f aca="false">M436+N436+O436+P436+Q436</f>
        <v>10</v>
      </c>
      <c r="S436" s="4" t="n">
        <v>6</v>
      </c>
      <c r="T436" s="4" t="n">
        <f aca="false">R436*K436</f>
        <v>4950000</v>
      </c>
      <c r="U436" s="9" t="n">
        <f aca="false">IFERROR(M436/S436,0)</f>
        <v>1.66666666666667</v>
      </c>
      <c r="V436" s="5" t="n">
        <v>0.1929</v>
      </c>
    </row>
    <row r="437" customFormat="false" ht="15" hidden="false" customHeight="false" outlineLevel="0" collapsed="false">
      <c r="A437" s="8" t="s">
        <v>57</v>
      </c>
      <c r="B437" s="8" t="s">
        <v>22</v>
      </c>
      <c r="C437" s="8" t="s">
        <v>1098</v>
      </c>
      <c r="D437" s="8" t="n">
        <v>134488</v>
      </c>
      <c r="E437" s="8" t="s">
        <v>1313</v>
      </c>
      <c r="F437" s="8" t="s">
        <v>794</v>
      </c>
      <c r="G437" s="8" t="s">
        <v>961</v>
      </c>
      <c r="H437" s="8" t="s">
        <v>51</v>
      </c>
      <c r="I437" s="8" t="s">
        <v>58</v>
      </c>
      <c r="J437" s="4" t="n">
        <v>250000</v>
      </c>
      <c r="K437" s="4" t="n">
        <v>225000</v>
      </c>
      <c r="L437" s="5" t="n">
        <v>0.1</v>
      </c>
      <c r="M437" s="4" t="n">
        <v>4</v>
      </c>
      <c r="N437" s="4" t="n">
        <v>0</v>
      </c>
      <c r="O437" s="4" t="n">
        <v>5</v>
      </c>
      <c r="P437" s="4" t="n">
        <v>0</v>
      </c>
      <c r="Q437" s="4" t="n">
        <v>0</v>
      </c>
      <c r="R437" s="4" t="n">
        <f aca="false">M437+N437+O437+P437+Q437</f>
        <v>9</v>
      </c>
      <c r="S437" s="4" t="n">
        <v>2</v>
      </c>
      <c r="T437" s="4" t="n">
        <f aca="false">R437*K437</f>
        <v>2025000</v>
      </c>
      <c r="U437" s="9" t="n">
        <f aca="false">IFERROR(M437/S437,0)</f>
        <v>2</v>
      </c>
      <c r="V437" s="5" t="n">
        <v>0.1982</v>
      </c>
    </row>
    <row r="438" customFormat="false" ht="15" hidden="false" customHeight="false" outlineLevel="0" collapsed="false">
      <c r="A438" s="8" t="s">
        <v>57</v>
      </c>
      <c r="B438" s="8" t="s">
        <v>22</v>
      </c>
      <c r="C438" s="8" t="s">
        <v>1098</v>
      </c>
      <c r="D438" s="8" t="n">
        <v>231415</v>
      </c>
      <c r="E438" s="8" t="s">
        <v>1314</v>
      </c>
      <c r="F438" s="8" t="s">
        <v>767</v>
      </c>
      <c r="G438" s="8" t="s">
        <v>961</v>
      </c>
      <c r="H438" s="8" t="s">
        <v>51</v>
      </c>
      <c r="I438" s="8" t="s">
        <v>58</v>
      </c>
      <c r="J438" s="4" t="n">
        <v>175000</v>
      </c>
      <c r="K438" s="4" t="n">
        <v>158000</v>
      </c>
      <c r="L438" s="5" t="n">
        <v>0.1</v>
      </c>
      <c r="M438" s="4" t="n">
        <v>9</v>
      </c>
      <c r="N438" s="4" t="n">
        <v>0</v>
      </c>
      <c r="O438" s="4" t="n">
        <v>0</v>
      </c>
      <c r="P438" s="4" t="n">
        <v>0</v>
      </c>
      <c r="Q438" s="4" t="n">
        <v>0</v>
      </c>
      <c r="R438" s="4" t="n">
        <f aca="false">M438+N438+O438+P438+Q438</f>
        <v>9</v>
      </c>
      <c r="S438" s="4" t="n">
        <v>4</v>
      </c>
      <c r="T438" s="4" t="n">
        <f aca="false">R438*K438</f>
        <v>1422000</v>
      </c>
      <c r="U438" s="9" t="n">
        <f aca="false">IFERROR(M438/S438,0)</f>
        <v>2.25</v>
      </c>
      <c r="V438" s="5" t="n">
        <v>0.1282</v>
      </c>
    </row>
    <row r="439" customFormat="false" ht="15" hidden="false" customHeight="false" outlineLevel="0" collapsed="false">
      <c r="A439" s="8" t="s">
        <v>57</v>
      </c>
      <c r="B439" s="8" t="s">
        <v>22</v>
      </c>
      <c r="C439" s="8" t="s">
        <v>1098</v>
      </c>
      <c r="D439" s="8" t="n">
        <v>231611</v>
      </c>
      <c r="E439" s="8" t="s">
        <v>1315</v>
      </c>
      <c r="F439" s="8" t="s">
        <v>767</v>
      </c>
      <c r="G439" s="8" t="s">
        <v>961</v>
      </c>
      <c r="H439" s="8" t="s">
        <v>51</v>
      </c>
      <c r="I439" s="8" t="s">
        <v>58</v>
      </c>
      <c r="J439" s="4" t="n">
        <v>350000</v>
      </c>
      <c r="K439" s="4" t="n">
        <v>315000</v>
      </c>
      <c r="L439" s="5" t="n">
        <v>0.1</v>
      </c>
      <c r="M439" s="4" t="n">
        <v>8</v>
      </c>
      <c r="N439" s="4" t="n">
        <v>0</v>
      </c>
      <c r="O439" s="4" t="n">
        <v>0</v>
      </c>
      <c r="P439" s="4" t="n">
        <v>0</v>
      </c>
      <c r="Q439" s="4" t="n">
        <v>0</v>
      </c>
      <c r="R439" s="4" t="n">
        <f aca="false">M439+N439+O439+P439+Q439</f>
        <v>8</v>
      </c>
      <c r="S439" s="4" t="n">
        <v>4</v>
      </c>
      <c r="T439" s="4" t="n">
        <f aca="false">R439*K439</f>
        <v>2520000</v>
      </c>
      <c r="U439" s="9" t="n">
        <f aca="false">IFERROR(M439/S439,0)</f>
        <v>2</v>
      </c>
      <c r="V439" s="5" t="n">
        <v>0.1254</v>
      </c>
    </row>
    <row r="440" customFormat="false" ht="15" hidden="false" customHeight="false" outlineLevel="0" collapsed="false">
      <c r="A440" s="8" t="s">
        <v>57</v>
      </c>
      <c r="B440" s="8" t="s">
        <v>22</v>
      </c>
      <c r="C440" s="8" t="s">
        <v>1098</v>
      </c>
      <c r="D440" s="8" t="n">
        <v>134490</v>
      </c>
      <c r="E440" s="8" t="s">
        <v>1316</v>
      </c>
      <c r="F440" s="8" t="s">
        <v>794</v>
      </c>
      <c r="G440" s="8" t="s">
        <v>961</v>
      </c>
      <c r="H440" s="8" t="s">
        <v>51</v>
      </c>
      <c r="I440" s="8" t="s">
        <v>58</v>
      </c>
      <c r="J440" s="4" t="n">
        <v>390000</v>
      </c>
      <c r="K440" s="4" t="n">
        <v>351000</v>
      </c>
      <c r="L440" s="5" t="n">
        <v>0.1</v>
      </c>
      <c r="M440" s="4" t="n">
        <v>8</v>
      </c>
      <c r="N440" s="4" t="n">
        <v>0</v>
      </c>
      <c r="O440" s="4" t="n">
        <v>0</v>
      </c>
      <c r="P440" s="4" t="n">
        <v>0</v>
      </c>
      <c r="Q440" s="4" t="n">
        <v>0</v>
      </c>
      <c r="R440" s="4" t="n">
        <f aca="false">M440+N440+O440+P440+Q440</f>
        <v>8</v>
      </c>
      <c r="S440" s="4" t="n">
        <v>3</v>
      </c>
      <c r="T440" s="4" t="n">
        <f aca="false">R440*K440</f>
        <v>2808000</v>
      </c>
      <c r="U440" s="9" t="n">
        <f aca="false">IFERROR(M440/S440,0)</f>
        <v>2.66666666666667</v>
      </c>
      <c r="V440" s="5" t="n">
        <v>0.1204</v>
      </c>
    </row>
    <row r="441" customFormat="false" ht="15" hidden="false" customHeight="false" outlineLevel="0" collapsed="false">
      <c r="A441" s="8" t="s">
        <v>57</v>
      </c>
      <c r="B441" s="8" t="s">
        <v>22</v>
      </c>
      <c r="C441" s="8" t="s">
        <v>1122</v>
      </c>
      <c r="D441" s="8" t="n">
        <v>135083</v>
      </c>
      <c r="E441" s="8" t="s">
        <v>1317</v>
      </c>
      <c r="F441" s="8" t="s">
        <v>818</v>
      </c>
      <c r="G441" s="8" t="s">
        <v>961</v>
      </c>
      <c r="H441" s="8" t="s">
        <v>51</v>
      </c>
      <c r="I441" s="8" t="s">
        <v>58</v>
      </c>
      <c r="J441" s="4" t="n">
        <v>850000</v>
      </c>
      <c r="K441" s="4" t="n">
        <v>765000</v>
      </c>
      <c r="L441" s="5" t="n">
        <v>0.1</v>
      </c>
      <c r="M441" s="4" t="n">
        <v>8</v>
      </c>
      <c r="N441" s="4" t="n">
        <v>0</v>
      </c>
      <c r="O441" s="4" t="n">
        <v>0</v>
      </c>
      <c r="P441" s="4" t="n">
        <v>0</v>
      </c>
      <c r="Q441" s="4" t="n">
        <v>0</v>
      </c>
      <c r="R441" s="4" t="n">
        <f aca="false">M441+N441+O441+P441+Q441</f>
        <v>8</v>
      </c>
      <c r="S441" s="4" t="n">
        <v>6</v>
      </c>
      <c r="T441" s="4" t="n">
        <f aca="false">R441*K441</f>
        <v>6120000</v>
      </c>
      <c r="U441" s="9" t="n">
        <f aca="false">IFERROR(M441/S441,0)</f>
        <v>1.33333333333333</v>
      </c>
      <c r="V441" s="5" t="n">
        <v>0.1822</v>
      </c>
    </row>
    <row r="442" customFormat="false" ht="15" hidden="false" customHeight="false" outlineLevel="0" collapsed="false">
      <c r="A442" s="8" t="s">
        <v>57</v>
      </c>
      <c r="B442" s="8" t="s">
        <v>22</v>
      </c>
      <c r="C442" s="8" t="s">
        <v>1098</v>
      </c>
      <c r="D442" s="8" t="n">
        <v>134383</v>
      </c>
      <c r="E442" s="8" t="s">
        <v>1318</v>
      </c>
      <c r="F442" s="8" t="s">
        <v>809</v>
      </c>
      <c r="G442" s="8" t="s">
        <v>961</v>
      </c>
      <c r="H442" s="8" t="s">
        <v>51</v>
      </c>
      <c r="I442" s="8" t="s">
        <v>58</v>
      </c>
      <c r="J442" s="4" t="n">
        <v>350000</v>
      </c>
      <c r="K442" s="4" t="n">
        <v>315000</v>
      </c>
      <c r="L442" s="5" t="n">
        <v>0.1</v>
      </c>
      <c r="M442" s="4" t="n">
        <v>6</v>
      </c>
      <c r="N442" s="4" t="n">
        <v>1</v>
      </c>
      <c r="O442" s="4" t="n">
        <v>0</v>
      </c>
      <c r="P442" s="4" t="n">
        <v>0</v>
      </c>
      <c r="Q442" s="4" t="n">
        <v>0</v>
      </c>
      <c r="R442" s="4" t="n">
        <f aca="false">M442+N442+O442+P442+Q442</f>
        <v>7</v>
      </c>
      <c r="S442" s="4" t="n">
        <v>3</v>
      </c>
      <c r="T442" s="4" t="n">
        <f aca="false">R442*K442</f>
        <v>2205000</v>
      </c>
      <c r="U442" s="9" t="n">
        <f aca="false">IFERROR(M442/S442,0)</f>
        <v>2</v>
      </c>
      <c r="V442" s="5" t="n">
        <v>0.1143</v>
      </c>
    </row>
    <row r="443" customFormat="false" ht="15" hidden="false" customHeight="false" outlineLevel="0" collapsed="false">
      <c r="A443" s="8" t="s">
        <v>57</v>
      </c>
      <c r="B443" s="8" t="s">
        <v>22</v>
      </c>
      <c r="C443" s="8" t="s">
        <v>1098</v>
      </c>
      <c r="D443" s="8" t="n">
        <v>134914</v>
      </c>
      <c r="E443" s="8" t="s">
        <v>1319</v>
      </c>
      <c r="F443" s="8" t="s">
        <v>809</v>
      </c>
      <c r="G443" s="8" t="s">
        <v>961</v>
      </c>
      <c r="H443" s="8" t="s">
        <v>51</v>
      </c>
      <c r="I443" s="8" t="s">
        <v>58</v>
      </c>
      <c r="J443" s="4" t="n">
        <v>450000</v>
      </c>
      <c r="K443" s="4" t="n">
        <v>405000</v>
      </c>
      <c r="L443" s="5" t="n">
        <v>0.1</v>
      </c>
      <c r="M443" s="4" t="n">
        <v>7</v>
      </c>
      <c r="N443" s="4" t="n">
        <v>0</v>
      </c>
      <c r="O443" s="4" t="n">
        <v>0</v>
      </c>
      <c r="P443" s="4" t="n">
        <v>0</v>
      </c>
      <c r="Q443" s="4" t="n">
        <v>0</v>
      </c>
      <c r="R443" s="4" t="n">
        <f aca="false">M443+N443+O443+P443+Q443</f>
        <v>7</v>
      </c>
      <c r="S443" s="4" t="n">
        <v>3</v>
      </c>
      <c r="T443" s="4" t="n">
        <f aca="false">R443*K443</f>
        <v>2835000</v>
      </c>
      <c r="U443" s="9" t="n">
        <f aca="false">IFERROR(M443/S443,0)</f>
        <v>2.33333333333333</v>
      </c>
      <c r="V443" s="5" t="n">
        <v>0.1975</v>
      </c>
    </row>
    <row r="444" customFormat="false" ht="15" hidden="false" customHeight="false" outlineLevel="0" collapsed="false">
      <c r="A444" s="8" t="s">
        <v>57</v>
      </c>
      <c r="B444" s="8" t="s">
        <v>22</v>
      </c>
      <c r="C444" s="8" t="s">
        <v>1098</v>
      </c>
      <c r="D444" s="8" t="n">
        <v>134570</v>
      </c>
      <c r="E444" s="8" t="s">
        <v>1320</v>
      </c>
      <c r="F444" s="8" t="s">
        <v>767</v>
      </c>
      <c r="G444" s="8" t="s">
        <v>961</v>
      </c>
      <c r="H444" s="8" t="s">
        <v>51</v>
      </c>
      <c r="I444" s="8" t="s">
        <v>58</v>
      </c>
      <c r="J444" s="4" t="n">
        <v>499000</v>
      </c>
      <c r="K444" s="4" t="n">
        <v>450000</v>
      </c>
      <c r="L444" s="5" t="n">
        <v>0.1</v>
      </c>
      <c r="M444" s="4" t="n">
        <v>7</v>
      </c>
      <c r="N444" s="4" t="n">
        <v>0</v>
      </c>
      <c r="O444" s="4" t="n">
        <v>0</v>
      </c>
      <c r="P444" s="4" t="n">
        <v>0</v>
      </c>
      <c r="Q444" s="4" t="n">
        <v>0</v>
      </c>
      <c r="R444" s="4" t="n">
        <f aca="false">M444+N444+O444+P444+Q444</f>
        <v>7</v>
      </c>
      <c r="S444" s="4" t="n">
        <v>4</v>
      </c>
      <c r="T444" s="4" t="n">
        <f aca="false">R444*K444</f>
        <v>3150000</v>
      </c>
      <c r="U444" s="9" t="n">
        <f aca="false">IFERROR(M444/S444,0)</f>
        <v>1.75</v>
      </c>
      <c r="V444" s="5" t="n">
        <v>0.1133</v>
      </c>
    </row>
    <row r="445" customFormat="false" ht="15" hidden="false" customHeight="false" outlineLevel="0" collapsed="false">
      <c r="A445" s="8" t="s">
        <v>57</v>
      </c>
      <c r="B445" s="8" t="s">
        <v>22</v>
      </c>
      <c r="C445" s="8" t="s">
        <v>1098</v>
      </c>
      <c r="D445" s="8" t="n">
        <v>135160</v>
      </c>
      <c r="E445" s="8" t="s">
        <v>1321</v>
      </c>
      <c r="F445" s="8" t="s">
        <v>829</v>
      </c>
      <c r="G445" s="8" t="s">
        <v>961</v>
      </c>
      <c r="H445" s="8" t="s">
        <v>51</v>
      </c>
      <c r="I445" s="8" t="s">
        <v>58</v>
      </c>
      <c r="J445" s="4" t="n">
        <v>1160000</v>
      </c>
      <c r="K445" s="4" t="n">
        <v>1044000</v>
      </c>
      <c r="L445" s="5" t="n">
        <v>0.1</v>
      </c>
      <c r="M445" s="4" t="n">
        <v>3</v>
      </c>
      <c r="N445" s="4" t="n">
        <v>0</v>
      </c>
      <c r="O445" s="4" t="n">
        <v>4</v>
      </c>
      <c r="P445" s="4" t="n">
        <v>0</v>
      </c>
      <c r="Q445" s="4" t="n">
        <v>0</v>
      </c>
      <c r="R445" s="4" t="n">
        <f aca="false">M445+N445+O445+P445+Q445</f>
        <v>7</v>
      </c>
      <c r="S445" s="4" t="n">
        <v>2</v>
      </c>
      <c r="T445" s="4" t="n">
        <f aca="false">R445*K445</f>
        <v>7308000</v>
      </c>
      <c r="U445" s="9" t="n">
        <f aca="false">IFERROR(M445/S445,0)</f>
        <v>1.5</v>
      </c>
      <c r="V445" s="5" t="n">
        <v>0.1379</v>
      </c>
    </row>
    <row r="446" customFormat="false" ht="15" hidden="false" customHeight="false" outlineLevel="0" collapsed="false">
      <c r="A446" s="8" t="s">
        <v>57</v>
      </c>
      <c r="B446" s="8" t="s">
        <v>22</v>
      </c>
      <c r="C446" s="8" t="s">
        <v>1122</v>
      </c>
      <c r="D446" s="8" t="n">
        <v>135078</v>
      </c>
      <c r="E446" s="8" t="s">
        <v>1322</v>
      </c>
      <c r="F446" s="8" t="s">
        <v>818</v>
      </c>
      <c r="G446" s="8" t="s">
        <v>961</v>
      </c>
      <c r="H446" s="8" t="s">
        <v>51</v>
      </c>
      <c r="I446" s="8" t="s">
        <v>58</v>
      </c>
      <c r="J446" s="4" t="n">
        <v>850000</v>
      </c>
      <c r="K446" s="4" t="n">
        <v>765000</v>
      </c>
      <c r="L446" s="5" t="n">
        <v>0.1</v>
      </c>
      <c r="M446" s="4" t="n">
        <v>4</v>
      </c>
      <c r="N446" s="4" t="n">
        <v>0</v>
      </c>
      <c r="O446" s="4" t="n">
        <v>3</v>
      </c>
      <c r="P446" s="4" t="n">
        <v>0</v>
      </c>
      <c r="Q446" s="4" t="n">
        <v>0</v>
      </c>
      <c r="R446" s="4" t="n">
        <f aca="false">M446+N446+O446+P446+Q446</f>
        <v>7</v>
      </c>
      <c r="S446" s="4" t="n">
        <v>4</v>
      </c>
      <c r="T446" s="4" t="n">
        <f aca="false">R446*K446</f>
        <v>5355000</v>
      </c>
      <c r="U446" s="9" t="n">
        <f aca="false">IFERROR(M446/S446,0)</f>
        <v>1</v>
      </c>
      <c r="V446" s="5" t="n">
        <v>0.1588</v>
      </c>
    </row>
    <row r="447" customFormat="false" ht="15" hidden="false" customHeight="false" outlineLevel="0" collapsed="false">
      <c r="A447" s="8" t="s">
        <v>57</v>
      </c>
      <c r="B447" s="8" t="s">
        <v>22</v>
      </c>
      <c r="C447" s="8" t="s">
        <v>1122</v>
      </c>
      <c r="D447" s="8" t="n">
        <v>135080</v>
      </c>
      <c r="E447" s="8" t="s">
        <v>1323</v>
      </c>
      <c r="F447" s="8" t="s">
        <v>818</v>
      </c>
      <c r="G447" s="8" t="s">
        <v>961</v>
      </c>
      <c r="H447" s="8" t="s">
        <v>51</v>
      </c>
      <c r="I447" s="8" t="s">
        <v>58</v>
      </c>
      <c r="J447" s="4" t="n">
        <v>985000</v>
      </c>
      <c r="K447" s="4" t="n">
        <v>887000</v>
      </c>
      <c r="L447" s="5" t="n">
        <v>0.1</v>
      </c>
      <c r="M447" s="4" t="n">
        <v>5</v>
      </c>
      <c r="N447" s="4" t="n">
        <v>0</v>
      </c>
      <c r="O447" s="4" t="n">
        <v>2</v>
      </c>
      <c r="P447" s="4" t="n">
        <v>0</v>
      </c>
      <c r="Q447" s="4" t="n">
        <v>0</v>
      </c>
      <c r="R447" s="4" t="n">
        <f aca="false">M447+N447+O447+P447+Q447</f>
        <v>7</v>
      </c>
      <c r="S447" s="4" t="n">
        <v>3</v>
      </c>
      <c r="T447" s="4" t="n">
        <f aca="false">R447*K447</f>
        <v>6209000</v>
      </c>
      <c r="U447" s="9" t="n">
        <f aca="false">IFERROR(M447/S447,0)</f>
        <v>1.66666666666667</v>
      </c>
      <c r="V447" s="5" t="n">
        <v>0.1649</v>
      </c>
    </row>
    <row r="448" customFormat="false" ht="15" hidden="false" customHeight="false" outlineLevel="0" collapsed="false">
      <c r="A448" s="8" t="s">
        <v>57</v>
      </c>
      <c r="B448" s="8" t="s">
        <v>22</v>
      </c>
      <c r="C448" s="8" t="s">
        <v>1122</v>
      </c>
      <c r="D448" s="8" t="n">
        <v>135085</v>
      </c>
      <c r="E448" s="8" t="s">
        <v>1324</v>
      </c>
      <c r="F448" s="8" t="s">
        <v>818</v>
      </c>
      <c r="G448" s="8" t="s">
        <v>961</v>
      </c>
      <c r="H448" s="8" t="s">
        <v>51</v>
      </c>
      <c r="I448" s="8" t="s">
        <v>58</v>
      </c>
      <c r="J448" s="4" t="n">
        <v>850000</v>
      </c>
      <c r="K448" s="4" t="n">
        <v>765000</v>
      </c>
      <c r="L448" s="5" t="n">
        <v>0.1</v>
      </c>
      <c r="M448" s="4" t="n">
        <v>5</v>
      </c>
      <c r="N448" s="4" t="n">
        <v>0</v>
      </c>
      <c r="O448" s="4" t="n">
        <v>2</v>
      </c>
      <c r="P448" s="4" t="n">
        <v>0</v>
      </c>
      <c r="Q448" s="4" t="n">
        <v>0</v>
      </c>
      <c r="R448" s="4" t="n">
        <f aca="false">M448+N448+O448+P448+Q448</f>
        <v>7</v>
      </c>
      <c r="S448" s="4" t="n">
        <v>2</v>
      </c>
      <c r="T448" s="4" t="n">
        <f aca="false">R448*K448</f>
        <v>5355000</v>
      </c>
      <c r="U448" s="9" t="n">
        <f aca="false">IFERROR(M448/S448,0)</f>
        <v>2.5</v>
      </c>
      <c r="V448" s="5" t="n">
        <v>0.1289</v>
      </c>
    </row>
    <row r="449" customFormat="false" ht="15" hidden="false" customHeight="false" outlineLevel="0" collapsed="false">
      <c r="A449" s="8" t="s">
        <v>57</v>
      </c>
      <c r="B449" s="8" t="s">
        <v>22</v>
      </c>
      <c r="C449" s="8" t="s">
        <v>1122</v>
      </c>
      <c r="D449" s="8" t="n">
        <v>135086</v>
      </c>
      <c r="E449" s="8" t="s">
        <v>1015</v>
      </c>
      <c r="F449" s="8" t="s">
        <v>818</v>
      </c>
      <c r="G449" s="8" t="s">
        <v>961</v>
      </c>
      <c r="H449" s="8" t="s">
        <v>51</v>
      </c>
      <c r="I449" s="8" t="s">
        <v>58</v>
      </c>
      <c r="J449" s="4" t="n">
        <v>850000</v>
      </c>
      <c r="K449" s="4" t="n">
        <v>765000</v>
      </c>
      <c r="L449" s="5" t="n">
        <v>0.1</v>
      </c>
      <c r="M449" s="4" t="n">
        <v>4</v>
      </c>
      <c r="N449" s="4" t="n">
        <v>0</v>
      </c>
      <c r="O449" s="4" t="n">
        <v>3</v>
      </c>
      <c r="P449" s="4" t="n">
        <v>0</v>
      </c>
      <c r="Q449" s="4" t="n">
        <v>0</v>
      </c>
      <c r="R449" s="4" t="n">
        <f aca="false">M449+N449+O449+P449+Q449</f>
        <v>7</v>
      </c>
      <c r="S449" s="4" t="n">
        <v>2</v>
      </c>
      <c r="T449" s="4" t="n">
        <f aca="false">R449*K449</f>
        <v>5355000</v>
      </c>
      <c r="U449" s="9" t="n">
        <f aca="false">IFERROR(M449/S449,0)</f>
        <v>2</v>
      </c>
      <c r="V449" s="5" t="n">
        <v>0.1822</v>
      </c>
    </row>
    <row r="450" customFormat="false" ht="15" hidden="false" customHeight="false" outlineLevel="0" collapsed="false">
      <c r="A450" s="8" t="s">
        <v>57</v>
      </c>
      <c r="B450" s="8" t="s">
        <v>22</v>
      </c>
      <c r="C450" s="8" t="s">
        <v>1098</v>
      </c>
      <c r="D450" s="8" t="n">
        <v>134477</v>
      </c>
      <c r="E450" s="8" t="s">
        <v>1325</v>
      </c>
      <c r="F450" s="8" t="s">
        <v>809</v>
      </c>
      <c r="G450" s="8" t="s">
        <v>961</v>
      </c>
      <c r="H450" s="8" t="s">
        <v>51</v>
      </c>
      <c r="I450" s="8" t="s">
        <v>58</v>
      </c>
      <c r="J450" s="4" t="n">
        <v>450000</v>
      </c>
      <c r="K450" s="4" t="n">
        <v>405000</v>
      </c>
      <c r="L450" s="5" t="n">
        <v>0.1</v>
      </c>
      <c r="M450" s="4" t="n">
        <v>5</v>
      </c>
      <c r="N450" s="4" t="n">
        <v>0</v>
      </c>
      <c r="O450" s="4" t="n">
        <v>0</v>
      </c>
      <c r="P450" s="4" t="n">
        <v>0</v>
      </c>
      <c r="Q450" s="4" t="n">
        <v>0</v>
      </c>
      <c r="R450" s="4" t="n">
        <f aca="false">M450+N450+O450+P450+Q450</f>
        <v>5</v>
      </c>
      <c r="S450" s="4" t="n">
        <v>4</v>
      </c>
      <c r="T450" s="4" t="n">
        <f aca="false">R450*K450</f>
        <v>2025000</v>
      </c>
      <c r="U450" s="9" t="n">
        <f aca="false">IFERROR(M450/S450,0)</f>
        <v>1.25</v>
      </c>
      <c r="V450" s="5" t="n">
        <v>0.1595</v>
      </c>
    </row>
    <row r="451" customFormat="false" ht="15" hidden="false" customHeight="false" outlineLevel="0" collapsed="false">
      <c r="A451" s="8" t="s">
        <v>57</v>
      </c>
      <c r="B451" s="8" t="s">
        <v>22</v>
      </c>
      <c r="C451" s="8" t="s">
        <v>1098</v>
      </c>
      <c r="D451" s="8" t="n">
        <v>230585</v>
      </c>
      <c r="E451" s="8" t="s">
        <v>1326</v>
      </c>
      <c r="F451" s="8" t="s">
        <v>809</v>
      </c>
      <c r="G451" s="8" t="s">
        <v>961</v>
      </c>
      <c r="H451" s="8" t="s">
        <v>51</v>
      </c>
      <c r="I451" s="8" t="s">
        <v>58</v>
      </c>
      <c r="J451" s="4" t="n">
        <v>750000</v>
      </c>
      <c r="K451" s="4" t="n">
        <v>675000</v>
      </c>
      <c r="L451" s="5" t="n">
        <v>0.1</v>
      </c>
      <c r="M451" s="4" t="n">
        <v>5</v>
      </c>
      <c r="N451" s="4" t="n">
        <v>0</v>
      </c>
      <c r="O451" s="4" t="n">
        <v>0</v>
      </c>
      <c r="P451" s="4" t="n">
        <v>0</v>
      </c>
      <c r="Q451" s="4" t="n">
        <v>0</v>
      </c>
      <c r="R451" s="4" t="n">
        <f aca="false">M451+N451+O451+P451+Q451</f>
        <v>5</v>
      </c>
      <c r="S451" s="4" t="n">
        <v>2</v>
      </c>
      <c r="T451" s="4" t="n">
        <f aca="false">R451*K451</f>
        <v>3375000</v>
      </c>
      <c r="U451" s="9" t="n">
        <f aca="false">IFERROR(M451/S451,0)</f>
        <v>2.5</v>
      </c>
      <c r="V451" s="5" t="n">
        <v>0.16</v>
      </c>
    </row>
    <row r="452" customFormat="false" ht="15" hidden="false" customHeight="false" outlineLevel="0" collapsed="false">
      <c r="A452" s="8" t="s">
        <v>57</v>
      </c>
      <c r="B452" s="8" t="s">
        <v>22</v>
      </c>
      <c r="C452" s="8" t="s">
        <v>1098</v>
      </c>
      <c r="D452" s="8" t="n">
        <v>134564</v>
      </c>
      <c r="E452" s="8" t="s">
        <v>1327</v>
      </c>
      <c r="F452" s="8" t="s">
        <v>799</v>
      </c>
      <c r="G452" s="8" t="s">
        <v>961</v>
      </c>
      <c r="H452" s="8" t="s">
        <v>51</v>
      </c>
      <c r="I452" s="8" t="s">
        <v>58</v>
      </c>
      <c r="J452" s="4" t="n">
        <v>290000</v>
      </c>
      <c r="K452" s="4" t="n">
        <v>261000</v>
      </c>
      <c r="L452" s="5" t="n">
        <v>0.1</v>
      </c>
      <c r="M452" s="4" t="n">
        <v>3</v>
      </c>
      <c r="N452" s="4" t="n">
        <v>0</v>
      </c>
      <c r="O452" s="4" t="n">
        <v>2</v>
      </c>
      <c r="P452" s="4" t="n">
        <v>0</v>
      </c>
      <c r="Q452" s="4" t="n">
        <v>0</v>
      </c>
      <c r="R452" s="4" t="n">
        <f aca="false">M452+N452+O452+P452+Q452</f>
        <v>5</v>
      </c>
      <c r="S452" s="4" t="n">
        <v>1</v>
      </c>
      <c r="T452" s="4" t="n">
        <f aca="false">R452*K452</f>
        <v>1305000</v>
      </c>
      <c r="U452" s="9" t="n">
        <f aca="false">IFERROR(M452/S452,0)</f>
        <v>3</v>
      </c>
      <c r="V452" s="5" t="n">
        <v>0.1483</v>
      </c>
    </row>
    <row r="453" customFormat="false" ht="15" hidden="false" customHeight="false" outlineLevel="0" collapsed="false">
      <c r="A453" s="8" t="s">
        <v>57</v>
      </c>
      <c r="B453" s="8" t="s">
        <v>22</v>
      </c>
      <c r="C453" s="8" t="s">
        <v>1098</v>
      </c>
      <c r="D453" s="8" t="n">
        <v>134568</v>
      </c>
      <c r="E453" s="8" t="s">
        <v>1328</v>
      </c>
      <c r="F453" s="8" t="s">
        <v>767</v>
      </c>
      <c r="G453" s="8" t="s">
        <v>961</v>
      </c>
      <c r="H453" s="8" t="s">
        <v>51</v>
      </c>
      <c r="I453" s="8" t="s">
        <v>58</v>
      </c>
      <c r="J453" s="4" t="n">
        <v>580000</v>
      </c>
      <c r="K453" s="4" t="n">
        <v>522000</v>
      </c>
      <c r="L453" s="5" t="n">
        <v>0.1</v>
      </c>
      <c r="M453" s="4" t="n">
        <v>5</v>
      </c>
      <c r="N453" s="4" t="n">
        <v>0</v>
      </c>
      <c r="O453" s="4" t="n">
        <v>0</v>
      </c>
      <c r="P453" s="4" t="n">
        <v>0</v>
      </c>
      <c r="Q453" s="4" t="n">
        <v>0</v>
      </c>
      <c r="R453" s="4" t="n">
        <f aca="false">M453+N453+O453+P453+Q453</f>
        <v>5</v>
      </c>
      <c r="S453" s="4" t="n">
        <v>3</v>
      </c>
      <c r="T453" s="4" t="n">
        <f aca="false">R453*K453</f>
        <v>2610000</v>
      </c>
      <c r="U453" s="9" t="n">
        <f aca="false">IFERROR(M453/S453,0)</f>
        <v>1.66666666666667</v>
      </c>
      <c r="V453" s="5" t="n">
        <v>0.1173</v>
      </c>
    </row>
    <row r="454" customFormat="false" ht="15" hidden="false" customHeight="false" outlineLevel="0" collapsed="false">
      <c r="A454" s="8" t="s">
        <v>57</v>
      </c>
      <c r="B454" s="8" t="s">
        <v>22</v>
      </c>
      <c r="C454" s="8" t="s">
        <v>1098</v>
      </c>
      <c r="D454" s="8" t="n">
        <v>135027</v>
      </c>
      <c r="E454" s="8" t="s">
        <v>1329</v>
      </c>
      <c r="F454" s="8" t="s">
        <v>809</v>
      </c>
      <c r="G454" s="8" t="s">
        <v>961</v>
      </c>
      <c r="H454" s="8" t="s">
        <v>51</v>
      </c>
      <c r="I454" s="8" t="s">
        <v>58</v>
      </c>
      <c r="J454" s="4" t="n">
        <v>799000</v>
      </c>
      <c r="K454" s="4" t="n">
        <v>720000</v>
      </c>
      <c r="L454" s="5" t="n">
        <v>0.1</v>
      </c>
      <c r="M454" s="4" t="n">
        <v>3</v>
      </c>
      <c r="N454" s="4" t="n">
        <v>0</v>
      </c>
      <c r="O454" s="4" t="n">
        <v>2</v>
      </c>
      <c r="P454" s="4" t="n">
        <v>0</v>
      </c>
      <c r="Q454" s="4" t="n">
        <v>0</v>
      </c>
      <c r="R454" s="4" t="n">
        <f aca="false">M454+N454+O454+P454+Q454</f>
        <v>5</v>
      </c>
      <c r="S454" s="4" t="n">
        <v>2</v>
      </c>
      <c r="T454" s="4" t="n">
        <f aca="false">R454*K454</f>
        <v>3600000</v>
      </c>
      <c r="U454" s="9" t="n">
        <f aca="false">IFERROR(M454/S454,0)</f>
        <v>1.5</v>
      </c>
      <c r="V454" s="5" t="n">
        <v>0.15</v>
      </c>
    </row>
    <row r="455" customFormat="false" ht="15" hidden="false" customHeight="false" outlineLevel="0" collapsed="false">
      <c r="A455" s="8" t="s">
        <v>57</v>
      </c>
      <c r="B455" s="8" t="s">
        <v>22</v>
      </c>
      <c r="C455" s="8" t="s">
        <v>1098</v>
      </c>
      <c r="D455" s="8" t="n">
        <v>231200</v>
      </c>
      <c r="E455" s="8" t="s">
        <v>1330</v>
      </c>
      <c r="F455" s="8" t="s">
        <v>809</v>
      </c>
      <c r="G455" s="8" t="s">
        <v>961</v>
      </c>
      <c r="H455" s="8" t="s">
        <v>51</v>
      </c>
      <c r="I455" s="8" t="s">
        <v>58</v>
      </c>
      <c r="J455" s="4" t="n">
        <v>250000</v>
      </c>
      <c r="K455" s="4" t="n">
        <v>225000</v>
      </c>
      <c r="L455" s="5" t="n">
        <v>0.1</v>
      </c>
      <c r="M455" s="4" t="n">
        <v>4</v>
      </c>
      <c r="N455" s="4" t="n">
        <v>0</v>
      </c>
      <c r="O455" s="4" t="n">
        <v>0</v>
      </c>
      <c r="P455" s="4" t="n">
        <v>0</v>
      </c>
      <c r="Q455" s="4" t="n">
        <v>0</v>
      </c>
      <c r="R455" s="4" t="n">
        <f aca="false">M455+N455+O455+P455+Q455</f>
        <v>4</v>
      </c>
      <c r="S455" s="4" t="n">
        <v>2</v>
      </c>
      <c r="T455" s="4" t="n">
        <f aca="false">R455*K455</f>
        <v>900000</v>
      </c>
      <c r="U455" s="9" t="n">
        <f aca="false">IFERROR(M455/S455,0)</f>
        <v>2</v>
      </c>
      <c r="V455" s="5" t="n">
        <v>0.1556</v>
      </c>
    </row>
    <row r="456" customFormat="false" ht="15" hidden="false" customHeight="false" outlineLevel="0" collapsed="false">
      <c r="A456" s="8" t="s">
        <v>57</v>
      </c>
      <c r="B456" s="8" t="s">
        <v>22</v>
      </c>
      <c r="C456" s="8" t="s">
        <v>1098</v>
      </c>
      <c r="D456" s="8" t="n">
        <v>134915</v>
      </c>
      <c r="E456" s="8" t="s">
        <v>1331</v>
      </c>
      <c r="F456" s="8" t="s">
        <v>809</v>
      </c>
      <c r="G456" s="8" t="s">
        <v>961</v>
      </c>
      <c r="H456" s="8" t="s">
        <v>51</v>
      </c>
      <c r="I456" s="8" t="s">
        <v>58</v>
      </c>
      <c r="J456" s="4" t="n">
        <v>450000</v>
      </c>
      <c r="K456" s="4" t="n">
        <v>405000</v>
      </c>
      <c r="L456" s="5" t="n">
        <v>0.1</v>
      </c>
      <c r="M456" s="4" t="n">
        <v>4</v>
      </c>
      <c r="N456" s="4" t="n">
        <v>0</v>
      </c>
      <c r="O456" s="4" t="n">
        <v>0</v>
      </c>
      <c r="P456" s="4" t="n">
        <v>0</v>
      </c>
      <c r="Q456" s="4" t="n">
        <v>0</v>
      </c>
      <c r="R456" s="4" t="n">
        <f aca="false">M456+N456+O456+P456+Q456</f>
        <v>4</v>
      </c>
      <c r="S456" s="4" t="n">
        <v>2</v>
      </c>
      <c r="T456" s="4" t="n">
        <f aca="false">R456*K456</f>
        <v>1620000</v>
      </c>
      <c r="U456" s="9" t="n">
        <f aca="false">IFERROR(M456/S456,0)</f>
        <v>2</v>
      </c>
      <c r="V456" s="5" t="n">
        <v>0.1975</v>
      </c>
    </row>
    <row r="457" customFormat="false" ht="15" hidden="false" customHeight="false" outlineLevel="0" collapsed="false">
      <c r="A457" s="8" t="s">
        <v>57</v>
      </c>
      <c r="B457" s="8" t="s">
        <v>22</v>
      </c>
      <c r="C457" s="8" t="s">
        <v>1098</v>
      </c>
      <c r="D457" s="8" t="n">
        <v>231519</v>
      </c>
      <c r="E457" s="8" t="s">
        <v>1332</v>
      </c>
      <c r="F457" s="8" t="s">
        <v>767</v>
      </c>
      <c r="G457" s="8" t="s">
        <v>961</v>
      </c>
      <c r="H457" s="8" t="s">
        <v>51</v>
      </c>
      <c r="I457" s="8" t="s">
        <v>58</v>
      </c>
      <c r="J457" s="4" t="n">
        <v>650000</v>
      </c>
      <c r="K457" s="4" t="n">
        <v>585000</v>
      </c>
      <c r="L457" s="5" t="n">
        <v>0.1</v>
      </c>
      <c r="M457" s="4" t="n">
        <v>1</v>
      </c>
      <c r="N457" s="4" t="n">
        <v>0</v>
      </c>
      <c r="O457" s="4" t="n">
        <v>3</v>
      </c>
      <c r="P457" s="4" t="n">
        <v>0</v>
      </c>
      <c r="Q457" s="4" t="n">
        <v>0</v>
      </c>
      <c r="R457" s="4" t="n">
        <f aca="false">M457+N457+O457+P457+Q457</f>
        <v>4</v>
      </c>
      <c r="S457" s="4" t="n">
        <v>1</v>
      </c>
      <c r="T457" s="4" t="n">
        <f aca="false">R457*K457</f>
        <v>2340000</v>
      </c>
      <c r="U457" s="9" t="n">
        <f aca="false">IFERROR(M457/S457,0)</f>
        <v>1</v>
      </c>
      <c r="V457" s="5" t="n">
        <v>0.1508</v>
      </c>
    </row>
    <row r="458" customFormat="false" ht="15" hidden="false" customHeight="false" outlineLevel="0" collapsed="false">
      <c r="A458" s="8" t="s">
        <v>57</v>
      </c>
      <c r="B458" s="8" t="s">
        <v>22</v>
      </c>
      <c r="C458" s="8" t="s">
        <v>1098</v>
      </c>
      <c r="D458" s="8" t="n">
        <v>231410</v>
      </c>
      <c r="E458" s="8" t="s">
        <v>1333</v>
      </c>
      <c r="F458" s="8" t="s">
        <v>794</v>
      </c>
      <c r="G458" s="8" t="s">
        <v>961</v>
      </c>
      <c r="H458" s="8" t="s">
        <v>51</v>
      </c>
      <c r="I458" s="8" t="s">
        <v>58</v>
      </c>
      <c r="J458" s="4" t="n">
        <v>2150000</v>
      </c>
      <c r="K458" s="4" t="n">
        <v>1935000</v>
      </c>
      <c r="L458" s="5" t="n">
        <v>0.1</v>
      </c>
      <c r="M458" s="4" t="n">
        <v>4</v>
      </c>
      <c r="N458" s="4" t="n">
        <v>0</v>
      </c>
      <c r="O458" s="4" t="n">
        <v>0</v>
      </c>
      <c r="P458" s="4" t="n">
        <v>0</v>
      </c>
      <c r="Q458" s="4" t="n">
        <v>0</v>
      </c>
      <c r="R458" s="4" t="n">
        <f aca="false">M458+N458+O458+P458+Q458</f>
        <v>4</v>
      </c>
      <c r="S458" s="4" t="n">
        <v>2</v>
      </c>
      <c r="T458" s="4" t="n">
        <f aca="false">R458*K458</f>
        <v>7740000</v>
      </c>
      <c r="U458" s="9" t="n">
        <f aca="false">IFERROR(M458/S458,0)</f>
        <v>2</v>
      </c>
      <c r="V458" s="5" t="n">
        <v>0.1214</v>
      </c>
    </row>
    <row r="459" customFormat="false" ht="15" hidden="false" customHeight="false" outlineLevel="0" collapsed="false">
      <c r="A459" s="8" t="s">
        <v>57</v>
      </c>
      <c r="B459" s="8" t="s">
        <v>22</v>
      </c>
      <c r="C459" s="8" t="s">
        <v>1098</v>
      </c>
      <c r="D459" s="8" t="n">
        <v>134569</v>
      </c>
      <c r="E459" s="8" t="s">
        <v>1334</v>
      </c>
      <c r="F459" s="8" t="s">
        <v>767</v>
      </c>
      <c r="G459" s="8" t="s">
        <v>961</v>
      </c>
      <c r="H459" s="8" t="s">
        <v>51</v>
      </c>
      <c r="I459" s="8" t="s">
        <v>58</v>
      </c>
      <c r="J459" s="4" t="n">
        <v>499000</v>
      </c>
      <c r="K459" s="4" t="n">
        <v>450000</v>
      </c>
      <c r="L459" s="5" t="n">
        <v>0.1</v>
      </c>
      <c r="M459" s="4" t="n">
        <v>4</v>
      </c>
      <c r="N459" s="4" t="n">
        <v>0</v>
      </c>
      <c r="O459" s="4" t="n">
        <v>0</v>
      </c>
      <c r="P459" s="4" t="n">
        <v>0</v>
      </c>
      <c r="Q459" s="4" t="n">
        <v>0</v>
      </c>
      <c r="R459" s="4" t="n">
        <f aca="false">M459+N459+O459+P459+Q459</f>
        <v>4</v>
      </c>
      <c r="S459" s="4" t="n">
        <v>3</v>
      </c>
      <c r="T459" s="4" t="n">
        <f aca="false">R459*K459</f>
        <v>1800000</v>
      </c>
      <c r="U459" s="9" t="n">
        <f aca="false">IFERROR(M459/S459,0)</f>
        <v>1.33333333333333</v>
      </c>
      <c r="V459" s="5" t="n">
        <v>0.1133</v>
      </c>
    </row>
    <row r="460" customFormat="false" ht="15" hidden="false" customHeight="false" outlineLevel="0" collapsed="false">
      <c r="A460" s="8" t="s">
        <v>57</v>
      </c>
      <c r="B460" s="8" t="s">
        <v>22</v>
      </c>
      <c r="C460" s="8" t="s">
        <v>1098</v>
      </c>
      <c r="D460" s="8" t="n">
        <v>135026</v>
      </c>
      <c r="E460" s="8" t="s">
        <v>1335</v>
      </c>
      <c r="F460" s="8" t="s">
        <v>809</v>
      </c>
      <c r="G460" s="8" t="s">
        <v>961</v>
      </c>
      <c r="H460" s="8" t="s">
        <v>51</v>
      </c>
      <c r="I460" s="8" t="s">
        <v>58</v>
      </c>
      <c r="J460" s="4" t="n">
        <v>449000</v>
      </c>
      <c r="K460" s="4" t="n">
        <v>405000</v>
      </c>
      <c r="L460" s="5" t="n">
        <v>0.1</v>
      </c>
      <c r="M460" s="4" t="n">
        <v>0</v>
      </c>
      <c r="N460" s="4" t="n">
        <v>0</v>
      </c>
      <c r="O460" s="4" t="n">
        <v>4</v>
      </c>
      <c r="P460" s="4" t="n">
        <v>0</v>
      </c>
      <c r="Q460" s="4" t="n">
        <v>0</v>
      </c>
      <c r="R460" s="4" t="n">
        <f aca="false">M460+N460+O460+P460+Q460</f>
        <v>4</v>
      </c>
      <c r="S460" s="4" t="n">
        <v>0</v>
      </c>
      <c r="T460" s="4" t="n">
        <f aca="false">R460*K460</f>
        <v>1620000</v>
      </c>
      <c r="U460" s="9" t="n">
        <f aca="false">IFERROR(M460/S460,0)</f>
        <v>0</v>
      </c>
      <c r="V460" s="5" t="n">
        <v>0.1204</v>
      </c>
    </row>
    <row r="461" customFormat="false" ht="15" hidden="false" customHeight="false" outlineLevel="0" collapsed="false">
      <c r="A461" s="8" t="s">
        <v>57</v>
      </c>
      <c r="B461" s="8" t="s">
        <v>22</v>
      </c>
      <c r="C461" s="8" t="s">
        <v>1122</v>
      </c>
      <c r="D461" s="8" t="n">
        <v>135082</v>
      </c>
      <c r="E461" s="8" t="s">
        <v>1336</v>
      </c>
      <c r="F461" s="8" t="s">
        <v>818</v>
      </c>
      <c r="G461" s="8" t="s">
        <v>961</v>
      </c>
      <c r="H461" s="8" t="s">
        <v>51</v>
      </c>
      <c r="I461" s="8" t="s">
        <v>58</v>
      </c>
      <c r="J461" s="4" t="n">
        <v>850000</v>
      </c>
      <c r="K461" s="4" t="n">
        <v>765000</v>
      </c>
      <c r="L461" s="5" t="n">
        <v>0.1</v>
      </c>
      <c r="M461" s="4" t="n">
        <v>4</v>
      </c>
      <c r="N461" s="4" t="n">
        <v>0</v>
      </c>
      <c r="O461" s="4" t="n">
        <v>0</v>
      </c>
      <c r="P461" s="4" t="n">
        <v>0</v>
      </c>
      <c r="Q461" s="4" t="n">
        <v>0</v>
      </c>
      <c r="R461" s="4" t="n">
        <f aca="false">M461+N461+O461+P461+Q461</f>
        <v>4</v>
      </c>
      <c r="S461" s="4" t="n">
        <v>3</v>
      </c>
      <c r="T461" s="4" t="n">
        <f aca="false">R461*K461</f>
        <v>3060000</v>
      </c>
      <c r="U461" s="9" t="n">
        <f aca="false">IFERROR(M461/S461,0)</f>
        <v>1.33333333333333</v>
      </c>
      <c r="V461" s="5" t="n">
        <v>0.1822</v>
      </c>
    </row>
    <row r="462" customFormat="false" ht="15" hidden="false" customHeight="false" outlineLevel="0" collapsed="false">
      <c r="A462" s="8" t="s">
        <v>57</v>
      </c>
      <c r="B462" s="8" t="s">
        <v>22</v>
      </c>
      <c r="C462" s="8" t="s">
        <v>1122</v>
      </c>
      <c r="D462" s="8" t="n">
        <v>135088</v>
      </c>
      <c r="E462" s="8" t="s">
        <v>1337</v>
      </c>
      <c r="F462" s="8" t="s">
        <v>818</v>
      </c>
      <c r="G462" s="8" t="s">
        <v>961</v>
      </c>
      <c r="H462" s="8" t="s">
        <v>51</v>
      </c>
      <c r="I462" s="8" t="s">
        <v>58</v>
      </c>
      <c r="J462" s="4" t="n">
        <v>985000</v>
      </c>
      <c r="K462" s="4" t="n">
        <v>887000</v>
      </c>
      <c r="L462" s="5" t="n">
        <v>0.1</v>
      </c>
      <c r="M462" s="4" t="n">
        <v>4</v>
      </c>
      <c r="N462" s="4" t="n">
        <v>0</v>
      </c>
      <c r="O462" s="4" t="n">
        <v>0</v>
      </c>
      <c r="P462" s="4" t="n">
        <v>0</v>
      </c>
      <c r="Q462" s="4" t="n">
        <v>0</v>
      </c>
      <c r="R462" s="4" t="n">
        <f aca="false">M462+N462+O462+P462+Q462</f>
        <v>4</v>
      </c>
      <c r="S462" s="4" t="n">
        <v>3</v>
      </c>
      <c r="T462" s="4" t="n">
        <f aca="false">R462*K462</f>
        <v>3548000</v>
      </c>
      <c r="U462" s="9" t="n">
        <f aca="false">IFERROR(M462/S462,0)</f>
        <v>1.33333333333333</v>
      </c>
      <c r="V462" s="5" t="n">
        <v>0.1649</v>
      </c>
    </row>
    <row r="463" customFormat="false" ht="15" hidden="false" customHeight="false" outlineLevel="0" collapsed="false">
      <c r="A463" s="8" t="s">
        <v>57</v>
      </c>
      <c r="B463" s="8" t="s">
        <v>22</v>
      </c>
      <c r="C463" s="8" t="s">
        <v>1098</v>
      </c>
      <c r="D463" s="8" t="n">
        <v>135031</v>
      </c>
      <c r="E463" s="8" t="s">
        <v>1338</v>
      </c>
      <c r="F463" s="8" t="s">
        <v>809</v>
      </c>
      <c r="G463" s="8" t="s">
        <v>961</v>
      </c>
      <c r="H463" s="8" t="s">
        <v>51</v>
      </c>
      <c r="I463" s="8" t="s">
        <v>58</v>
      </c>
      <c r="J463" s="4" t="n">
        <v>229000</v>
      </c>
      <c r="K463" s="4" t="n">
        <v>207000</v>
      </c>
      <c r="L463" s="5" t="n">
        <v>0.1</v>
      </c>
      <c r="M463" s="4" t="n">
        <v>3</v>
      </c>
      <c r="N463" s="4" t="n">
        <v>0</v>
      </c>
      <c r="O463" s="4" t="n">
        <v>0</v>
      </c>
      <c r="P463" s="4" t="n">
        <v>0</v>
      </c>
      <c r="Q463" s="4" t="n">
        <v>0</v>
      </c>
      <c r="R463" s="4" t="n">
        <f aca="false">M463+N463+O463+P463+Q463</f>
        <v>3</v>
      </c>
      <c r="S463" s="4" t="n">
        <v>1</v>
      </c>
      <c r="T463" s="4" t="n">
        <f aca="false">R463*K463</f>
        <v>621000</v>
      </c>
      <c r="U463" s="9" t="n">
        <f aca="false">IFERROR(M463/S463,0)</f>
        <v>3</v>
      </c>
      <c r="V463" s="5" t="n">
        <v>0.1739</v>
      </c>
    </row>
    <row r="464" customFormat="false" ht="15" hidden="false" customHeight="false" outlineLevel="0" collapsed="false">
      <c r="A464" s="8" t="s">
        <v>57</v>
      </c>
      <c r="B464" s="8" t="s">
        <v>22</v>
      </c>
      <c r="C464" s="8" t="s">
        <v>1098</v>
      </c>
      <c r="D464" s="8" t="n">
        <v>231616</v>
      </c>
      <c r="E464" s="8" t="s">
        <v>1339</v>
      </c>
      <c r="F464" s="8" t="s">
        <v>809</v>
      </c>
      <c r="G464" s="8" t="s">
        <v>961</v>
      </c>
      <c r="H464" s="8" t="s">
        <v>51</v>
      </c>
      <c r="I464" s="8" t="s">
        <v>58</v>
      </c>
      <c r="J464" s="4" t="n">
        <v>165000</v>
      </c>
      <c r="K464" s="4" t="n">
        <v>149000</v>
      </c>
      <c r="L464" s="5" t="n">
        <v>0.1</v>
      </c>
      <c r="M464" s="4" t="n">
        <v>3</v>
      </c>
      <c r="N464" s="4" t="n">
        <v>0</v>
      </c>
      <c r="O464" s="4" t="n">
        <v>0</v>
      </c>
      <c r="P464" s="4" t="n">
        <v>0</v>
      </c>
      <c r="Q464" s="4" t="n">
        <v>0</v>
      </c>
      <c r="R464" s="4" t="n">
        <f aca="false">M464+N464+O464+P464+Q464</f>
        <v>3</v>
      </c>
      <c r="S464" s="4" t="n">
        <v>2</v>
      </c>
      <c r="T464" s="4" t="n">
        <f aca="false">R464*K464</f>
        <v>447000</v>
      </c>
      <c r="U464" s="9" t="n">
        <f aca="false">IFERROR(M464/S464,0)</f>
        <v>1.5</v>
      </c>
      <c r="V464" s="5" t="n">
        <v>0.1968</v>
      </c>
    </row>
    <row r="465" customFormat="false" ht="15" hidden="false" customHeight="false" outlineLevel="0" collapsed="false">
      <c r="A465" s="8" t="s">
        <v>57</v>
      </c>
      <c r="B465" s="8" t="s">
        <v>22</v>
      </c>
      <c r="C465" s="8" t="s">
        <v>1122</v>
      </c>
      <c r="D465" s="8" t="n">
        <v>134498</v>
      </c>
      <c r="E465" s="8" t="s">
        <v>1340</v>
      </c>
      <c r="F465" s="8" t="s">
        <v>809</v>
      </c>
      <c r="G465" s="8" t="s">
        <v>961</v>
      </c>
      <c r="H465" s="8" t="s">
        <v>51</v>
      </c>
      <c r="I465" s="8" t="s">
        <v>58</v>
      </c>
      <c r="J465" s="4" t="n">
        <v>1490000</v>
      </c>
      <c r="K465" s="4" t="n">
        <v>1341000</v>
      </c>
      <c r="L465" s="5" t="n">
        <v>0.1</v>
      </c>
      <c r="M465" s="4" t="n">
        <v>3</v>
      </c>
      <c r="N465" s="4" t="n">
        <v>0</v>
      </c>
      <c r="O465" s="4" t="n">
        <v>0</v>
      </c>
      <c r="P465" s="4" t="n">
        <v>0</v>
      </c>
      <c r="Q465" s="4" t="n">
        <v>0</v>
      </c>
      <c r="R465" s="4" t="n">
        <f aca="false">M465+N465+O465+P465+Q465</f>
        <v>3</v>
      </c>
      <c r="S465" s="4" t="n">
        <v>2</v>
      </c>
      <c r="T465" s="4" t="n">
        <f aca="false">R465*K465</f>
        <v>4023000</v>
      </c>
      <c r="U465" s="9" t="n">
        <f aca="false">IFERROR(M465/S465,0)</f>
        <v>1.5</v>
      </c>
      <c r="V465" s="5" t="n">
        <v>0.1611</v>
      </c>
    </row>
    <row r="466" customFormat="false" ht="15" hidden="false" customHeight="false" outlineLevel="0" collapsed="false">
      <c r="A466" s="8" t="s">
        <v>57</v>
      </c>
      <c r="B466" s="8" t="s">
        <v>22</v>
      </c>
      <c r="C466" s="8" t="s">
        <v>1098</v>
      </c>
      <c r="D466" s="8" t="n">
        <v>231411</v>
      </c>
      <c r="E466" s="8" t="s">
        <v>1341</v>
      </c>
      <c r="F466" s="8" t="s">
        <v>809</v>
      </c>
      <c r="G466" s="8" t="s">
        <v>961</v>
      </c>
      <c r="H466" s="8" t="s">
        <v>51</v>
      </c>
      <c r="I466" s="8" t="s">
        <v>58</v>
      </c>
      <c r="J466" s="4" t="n">
        <v>1750000</v>
      </c>
      <c r="K466" s="4" t="n">
        <v>1575000</v>
      </c>
      <c r="L466" s="5" t="n">
        <v>0.1</v>
      </c>
      <c r="M466" s="4" t="n">
        <v>3</v>
      </c>
      <c r="N466" s="4" t="n">
        <v>0</v>
      </c>
      <c r="O466" s="4" t="n">
        <v>0</v>
      </c>
      <c r="P466" s="4" t="n">
        <v>0</v>
      </c>
      <c r="Q466" s="4" t="n">
        <v>0</v>
      </c>
      <c r="R466" s="4" t="n">
        <f aca="false">M466+N466+O466+P466+Q466</f>
        <v>3</v>
      </c>
      <c r="S466" s="4" t="n">
        <v>2</v>
      </c>
      <c r="T466" s="4" t="n">
        <f aca="false">R466*K466</f>
        <v>4725000</v>
      </c>
      <c r="U466" s="9" t="n">
        <f aca="false">IFERROR(M466/S466,0)</f>
        <v>1.5</v>
      </c>
      <c r="V466" s="5" t="n">
        <v>0.1525</v>
      </c>
    </row>
    <row r="467" customFormat="false" ht="15" hidden="false" customHeight="false" outlineLevel="0" collapsed="false">
      <c r="A467" s="8" t="s">
        <v>57</v>
      </c>
      <c r="B467" s="8" t="s">
        <v>22</v>
      </c>
      <c r="C467" s="8" t="s">
        <v>1098</v>
      </c>
      <c r="D467" s="8" t="n">
        <v>134964</v>
      </c>
      <c r="E467" s="8" t="s">
        <v>1342</v>
      </c>
      <c r="F467" s="8" t="s">
        <v>767</v>
      </c>
      <c r="G467" s="8" t="s">
        <v>961</v>
      </c>
      <c r="H467" s="8" t="s">
        <v>51</v>
      </c>
      <c r="I467" s="8" t="s">
        <v>58</v>
      </c>
      <c r="J467" s="4" t="n">
        <v>650000</v>
      </c>
      <c r="K467" s="4" t="n">
        <v>585000</v>
      </c>
      <c r="L467" s="5" t="n">
        <v>0.1</v>
      </c>
      <c r="M467" s="4" t="n">
        <v>3</v>
      </c>
      <c r="N467" s="4" t="n">
        <v>0</v>
      </c>
      <c r="O467" s="4" t="n">
        <v>0</v>
      </c>
      <c r="P467" s="4" t="n">
        <v>0</v>
      </c>
      <c r="Q467" s="4" t="n">
        <v>0</v>
      </c>
      <c r="R467" s="4" t="n">
        <f aca="false">M467+N467+O467+P467+Q467</f>
        <v>3</v>
      </c>
      <c r="S467" s="4" t="n">
        <v>3</v>
      </c>
      <c r="T467" s="4" t="n">
        <f aca="false">R467*K467</f>
        <v>1755000</v>
      </c>
      <c r="U467" s="9" t="n">
        <f aca="false">IFERROR(M467/S467,0)</f>
        <v>1</v>
      </c>
      <c r="V467" s="5" t="n">
        <v>0.1556</v>
      </c>
    </row>
    <row r="468" customFormat="false" ht="15" hidden="false" customHeight="false" outlineLevel="0" collapsed="false">
      <c r="A468" s="8" t="s">
        <v>57</v>
      </c>
      <c r="B468" s="8" t="s">
        <v>22</v>
      </c>
      <c r="C468" s="8" t="s">
        <v>1098</v>
      </c>
      <c r="D468" s="8" t="n">
        <v>135025</v>
      </c>
      <c r="E468" s="8" t="s">
        <v>1343</v>
      </c>
      <c r="F468" s="8" t="s">
        <v>809</v>
      </c>
      <c r="G468" s="8" t="s">
        <v>961</v>
      </c>
      <c r="H468" s="8" t="s">
        <v>51</v>
      </c>
      <c r="I468" s="8" t="s">
        <v>58</v>
      </c>
      <c r="J468" s="4" t="n">
        <v>360000</v>
      </c>
      <c r="K468" s="4" t="n">
        <v>324000</v>
      </c>
      <c r="L468" s="5" t="n">
        <v>0.1</v>
      </c>
      <c r="M468" s="4" t="n">
        <v>3</v>
      </c>
      <c r="N468" s="4" t="n">
        <v>0</v>
      </c>
      <c r="O468" s="4" t="n">
        <v>0</v>
      </c>
      <c r="P468" s="4" t="n">
        <v>0</v>
      </c>
      <c r="Q468" s="4" t="n">
        <v>0</v>
      </c>
      <c r="R468" s="4" t="n">
        <f aca="false">M468+N468+O468+P468+Q468</f>
        <v>3</v>
      </c>
      <c r="S468" s="4" t="n">
        <v>1</v>
      </c>
      <c r="T468" s="4" t="n">
        <f aca="false">R468*K468</f>
        <v>972000</v>
      </c>
      <c r="U468" s="9" t="n">
        <f aca="false">IFERROR(M468/S468,0)</f>
        <v>3</v>
      </c>
      <c r="V468" s="5" t="n">
        <v>0.1528</v>
      </c>
    </row>
    <row r="469" customFormat="false" ht="15" hidden="false" customHeight="false" outlineLevel="0" collapsed="false">
      <c r="A469" s="8" t="s">
        <v>57</v>
      </c>
      <c r="B469" s="8" t="s">
        <v>22</v>
      </c>
      <c r="C469" s="8" t="s">
        <v>1122</v>
      </c>
      <c r="D469" s="8" t="n">
        <v>135087</v>
      </c>
      <c r="E469" s="8" t="s">
        <v>1344</v>
      </c>
      <c r="F469" s="8" t="s">
        <v>818</v>
      </c>
      <c r="G469" s="8" t="s">
        <v>961</v>
      </c>
      <c r="H469" s="8" t="s">
        <v>51</v>
      </c>
      <c r="I469" s="8" t="s">
        <v>58</v>
      </c>
      <c r="J469" s="4" t="n">
        <v>985000</v>
      </c>
      <c r="K469" s="4" t="n">
        <v>887000</v>
      </c>
      <c r="L469" s="5" t="n">
        <v>0.1</v>
      </c>
      <c r="M469" s="4" t="n">
        <v>3</v>
      </c>
      <c r="N469" s="4" t="n">
        <v>0</v>
      </c>
      <c r="O469" s="4" t="n">
        <v>0</v>
      </c>
      <c r="P469" s="4" t="n">
        <v>0</v>
      </c>
      <c r="Q469" s="4" t="n">
        <v>0</v>
      </c>
      <c r="R469" s="4" t="n">
        <f aca="false">M469+N469+O469+P469+Q469</f>
        <v>3</v>
      </c>
      <c r="S469" s="4" t="n">
        <v>3</v>
      </c>
      <c r="T469" s="4" t="n">
        <f aca="false">R469*K469</f>
        <v>2661000</v>
      </c>
      <c r="U469" s="9" t="n">
        <f aca="false">IFERROR(M469/S469,0)</f>
        <v>1</v>
      </c>
      <c r="V469" s="5" t="n">
        <v>0.1116</v>
      </c>
    </row>
    <row r="470" customFormat="false" ht="15" hidden="false" customHeight="false" outlineLevel="0" collapsed="false">
      <c r="A470" s="8" t="s">
        <v>57</v>
      </c>
      <c r="B470" s="8" t="s">
        <v>22</v>
      </c>
      <c r="C470" s="8" t="s">
        <v>1098</v>
      </c>
      <c r="D470" s="8" t="n">
        <v>231199</v>
      </c>
      <c r="E470" s="8" t="s">
        <v>967</v>
      </c>
      <c r="F470" s="8" t="s">
        <v>767</v>
      </c>
      <c r="G470" s="8" t="s">
        <v>961</v>
      </c>
      <c r="H470" s="8" t="s">
        <v>51</v>
      </c>
      <c r="I470" s="8" t="s">
        <v>58</v>
      </c>
      <c r="J470" s="4" t="n">
        <v>250000</v>
      </c>
      <c r="K470" s="4" t="n">
        <v>225000</v>
      </c>
      <c r="L470" s="5" t="n">
        <v>0.1</v>
      </c>
      <c r="M470" s="4" t="n">
        <v>2</v>
      </c>
      <c r="N470" s="4" t="n">
        <v>0</v>
      </c>
      <c r="O470" s="4" t="n">
        <v>0</v>
      </c>
      <c r="P470" s="4" t="n">
        <v>0</v>
      </c>
      <c r="Q470" s="4" t="n">
        <v>0</v>
      </c>
      <c r="R470" s="4" t="n">
        <f aca="false">M470+N470+O470+P470+Q470</f>
        <v>2</v>
      </c>
      <c r="S470" s="4" t="n">
        <v>1</v>
      </c>
      <c r="T470" s="4" t="n">
        <f aca="false">R470*K470</f>
        <v>450000</v>
      </c>
      <c r="U470" s="9" t="n">
        <f aca="false">IFERROR(M470/S470,0)</f>
        <v>2</v>
      </c>
      <c r="V470" s="5" t="n">
        <v>-0.2244</v>
      </c>
    </row>
    <row r="471" customFormat="false" ht="15" hidden="false" customHeight="false" outlineLevel="0" collapsed="false">
      <c r="A471" s="8" t="s">
        <v>57</v>
      </c>
      <c r="B471" s="8" t="s">
        <v>22</v>
      </c>
      <c r="C471" s="8" t="s">
        <v>1098</v>
      </c>
      <c r="D471" s="8" t="n">
        <v>230584</v>
      </c>
      <c r="E471" s="8" t="s">
        <v>1345</v>
      </c>
      <c r="F471" s="8" t="s">
        <v>809</v>
      </c>
      <c r="G471" s="8" t="s">
        <v>961</v>
      </c>
      <c r="H471" s="8" t="s">
        <v>51</v>
      </c>
      <c r="I471" s="8" t="s">
        <v>58</v>
      </c>
      <c r="J471" s="4" t="n">
        <v>750000</v>
      </c>
      <c r="K471" s="4" t="n">
        <v>675000</v>
      </c>
      <c r="L471" s="5" t="n">
        <v>0.1</v>
      </c>
      <c r="M471" s="4" t="n">
        <v>2</v>
      </c>
      <c r="N471" s="4" t="n">
        <v>0</v>
      </c>
      <c r="O471" s="4" t="n">
        <v>0</v>
      </c>
      <c r="P471" s="4" t="n">
        <v>0</v>
      </c>
      <c r="Q471" s="4" t="n">
        <v>0</v>
      </c>
      <c r="R471" s="4" t="n">
        <f aca="false">M471+N471+O471+P471+Q471</f>
        <v>2</v>
      </c>
      <c r="S471" s="4" t="n">
        <v>2</v>
      </c>
      <c r="T471" s="4" t="n">
        <f aca="false">R471*K471</f>
        <v>1350000</v>
      </c>
      <c r="U471" s="9" t="n">
        <f aca="false">IFERROR(M471/S471,0)</f>
        <v>1</v>
      </c>
      <c r="V471" s="5" t="n">
        <v>0.16</v>
      </c>
    </row>
    <row r="472" customFormat="false" ht="15" hidden="false" customHeight="false" outlineLevel="0" collapsed="false">
      <c r="A472" s="8" t="s">
        <v>57</v>
      </c>
      <c r="B472" s="8" t="s">
        <v>22</v>
      </c>
      <c r="C472" s="8" t="s">
        <v>1098</v>
      </c>
      <c r="D472" s="8" t="n">
        <v>231600</v>
      </c>
      <c r="E472" s="8" t="s">
        <v>1346</v>
      </c>
      <c r="F472" s="8" t="s">
        <v>767</v>
      </c>
      <c r="G472" s="8" t="s">
        <v>961</v>
      </c>
      <c r="H472" s="8" t="s">
        <v>51</v>
      </c>
      <c r="I472" s="8" t="s">
        <v>58</v>
      </c>
      <c r="J472" s="4" t="n">
        <v>545000</v>
      </c>
      <c r="K472" s="4" t="n">
        <v>491000</v>
      </c>
      <c r="L472" s="5" t="n">
        <v>0.1</v>
      </c>
      <c r="M472" s="4" t="n">
        <v>2</v>
      </c>
      <c r="N472" s="4" t="n">
        <v>0</v>
      </c>
      <c r="O472" s="4" t="n">
        <v>0</v>
      </c>
      <c r="P472" s="4" t="n">
        <v>0</v>
      </c>
      <c r="Q472" s="4" t="n">
        <v>0</v>
      </c>
      <c r="R472" s="4" t="n">
        <f aca="false">M472+N472+O472+P472+Q472</f>
        <v>2</v>
      </c>
      <c r="S472" s="4" t="n">
        <v>1</v>
      </c>
      <c r="T472" s="4" t="n">
        <f aca="false">R472*K472</f>
        <v>982000</v>
      </c>
      <c r="U472" s="9" t="n">
        <f aca="false">IFERROR(M472/S472,0)</f>
        <v>2</v>
      </c>
      <c r="V472" s="5" t="n">
        <v>0.1568</v>
      </c>
    </row>
    <row r="473" customFormat="false" ht="15" hidden="false" customHeight="false" outlineLevel="0" collapsed="false">
      <c r="A473" s="8" t="s">
        <v>57</v>
      </c>
      <c r="B473" s="8" t="s">
        <v>22</v>
      </c>
      <c r="C473" s="8" t="s">
        <v>1098</v>
      </c>
      <c r="D473" s="8" t="n">
        <v>134393</v>
      </c>
      <c r="E473" s="8" t="s">
        <v>1347</v>
      </c>
      <c r="F473" s="8" t="s">
        <v>809</v>
      </c>
      <c r="G473" s="8" t="s">
        <v>961</v>
      </c>
      <c r="H473" s="8" t="s">
        <v>51</v>
      </c>
      <c r="I473" s="8" t="s">
        <v>58</v>
      </c>
      <c r="J473" s="4" t="n">
        <v>499000</v>
      </c>
      <c r="K473" s="4" t="n">
        <v>450000</v>
      </c>
      <c r="L473" s="5" t="n">
        <v>0.1</v>
      </c>
      <c r="M473" s="4" t="n">
        <v>2</v>
      </c>
      <c r="N473" s="4" t="n">
        <v>0</v>
      </c>
      <c r="O473" s="4" t="n">
        <v>0</v>
      </c>
      <c r="P473" s="4" t="n">
        <v>0</v>
      </c>
      <c r="Q473" s="4" t="n">
        <v>0</v>
      </c>
      <c r="R473" s="4" t="n">
        <f aca="false">M473+N473+O473+P473+Q473</f>
        <v>2</v>
      </c>
      <c r="S473" s="4" t="n">
        <v>2</v>
      </c>
      <c r="T473" s="4" t="n">
        <f aca="false">R473*K473</f>
        <v>900000</v>
      </c>
      <c r="U473" s="9" t="n">
        <f aca="false">IFERROR(M473/S473,0)</f>
        <v>1</v>
      </c>
      <c r="V473" s="5" t="n">
        <v>0.1133</v>
      </c>
    </row>
    <row r="474" customFormat="false" ht="15" hidden="false" customHeight="false" outlineLevel="0" collapsed="false">
      <c r="A474" s="8" t="s">
        <v>57</v>
      </c>
      <c r="B474" s="8" t="s">
        <v>22</v>
      </c>
      <c r="C474" s="8" t="s">
        <v>1098</v>
      </c>
      <c r="D474" s="8" t="n">
        <v>134471</v>
      </c>
      <c r="E474" s="8" t="s">
        <v>1348</v>
      </c>
      <c r="F474" s="8" t="s">
        <v>809</v>
      </c>
      <c r="G474" s="8" t="s">
        <v>961</v>
      </c>
      <c r="H474" s="8" t="s">
        <v>51</v>
      </c>
      <c r="I474" s="8" t="s">
        <v>58</v>
      </c>
      <c r="J474" s="4" t="n">
        <v>510000</v>
      </c>
      <c r="K474" s="4" t="n">
        <v>459000</v>
      </c>
      <c r="L474" s="5" t="n">
        <v>0.1</v>
      </c>
      <c r="M474" s="4" t="n">
        <v>2</v>
      </c>
      <c r="N474" s="4" t="n">
        <v>0</v>
      </c>
      <c r="O474" s="4" t="n">
        <v>0</v>
      </c>
      <c r="P474" s="4" t="n">
        <v>0</v>
      </c>
      <c r="Q474" s="4" t="n">
        <v>0</v>
      </c>
      <c r="R474" s="4" t="n">
        <f aca="false">M474+N474+O474+P474+Q474</f>
        <v>2</v>
      </c>
      <c r="S474" s="4" t="n">
        <v>2</v>
      </c>
      <c r="T474" s="4" t="n">
        <f aca="false">R474*K474</f>
        <v>918000</v>
      </c>
      <c r="U474" s="9" t="n">
        <f aca="false">IFERROR(M474/S474,0)</f>
        <v>1</v>
      </c>
      <c r="V474" s="5" t="n">
        <v>0.1756</v>
      </c>
    </row>
    <row r="475" customFormat="false" ht="15" hidden="false" customHeight="false" outlineLevel="0" collapsed="false">
      <c r="A475" s="8" t="s">
        <v>57</v>
      </c>
      <c r="B475" s="8" t="s">
        <v>22</v>
      </c>
      <c r="C475" s="8" t="s">
        <v>1098</v>
      </c>
      <c r="D475" s="8" t="n">
        <v>134560</v>
      </c>
      <c r="E475" s="8" t="s">
        <v>1349</v>
      </c>
      <c r="F475" s="8" t="s">
        <v>809</v>
      </c>
      <c r="G475" s="8" t="s">
        <v>961</v>
      </c>
      <c r="H475" s="8" t="s">
        <v>51</v>
      </c>
      <c r="I475" s="8" t="s">
        <v>58</v>
      </c>
      <c r="J475" s="4" t="n">
        <v>1590000</v>
      </c>
      <c r="K475" s="4" t="n">
        <v>1431000</v>
      </c>
      <c r="L475" s="5" t="n">
        <v>0.1</v>
      </c>
      <c r="M475" s="4" t="n">
        <v>2</v>
      </c>
      <c r="N475" s="4" t="n">
        <v>0</v>
      </c>
      <c r="O475" s="4" t="n">
        <v>0</v>
      </c>
      <c r="P475" s="4" t="n">
        <v>0</v>
      </c>
      <c r="Q475" s="4" t="n">
        <v>0</v>
      </c>
      <c r="R475" s="4" t="n">
        <f aca="false">M475+N475+O475+P475+Q475</f>
        <v>2</v>
      </c>
      <c r="S475" s="4" t="n">
        <v>2</v>
      </c>
      <c r="T475" s="4" t="n">
        <f aca="false">R475*K475</f>
        <v>2862000</v>
      </c>
      <c r="U475" s="9" t="n">
        <f aca="false">IFERROR(M475/S475,0)</f>
        <v>1</v>
      </c>
      <c r="V475" s="5" t="n">
        <v>0.1821</v>
      </c>
    </row>
    <row r="476" customFormat="false" ht="15" hidden="false" customHeight="false" outlineLevel="0" collapsed="false">
      <c r="A476" s="8" t="s">
        <v>57</v>
      </c>
      <c r="B476" s="8" t="s">
        <v>22</v>
      </c>
      <c r="C476" s="8" t="s">
        <v>1098</v>
      </c>
      <c r="D476" s="8" t="n">
        <v>134562</v>
      </c>
      <c r="E476" s="8" t="s">
        <v>1350</v>
      </c>
      <c r="F476" s="8" t="s">
        <v>809</v>
      </c>
      <c r="G476" s="8" t="s">
        <v>961</v>
      </c>
      <c r="H476" s="8" t="s">
        <v>51</v>
      </c>
      <c r="I476" s="8" t="s">
        <v>58</v>
      </c>
      <c r="J476" s="4" t="n">
        <v>700000</v>
      </c>
      <c r="K476" s="4" t="n">
        <v>630000</v>
      </c>
      <c r="L476" s="5" t="n">
        <v>0.1</v>
      </c>
      <c r="M476" s="4" t="n">
        <v>2</v>
      </c>
      <c r="N476" s="4" t="n">
        <v>0</v>
      </c>
      <c r="O476" s="4" t="n">
        <v>0</v>
      </c>
      <c r="P476" s="4" t="n">
        <v>0</v>
      </c>
      <c r="Q476" s="4" t="n">
        <v>0</v>
      </c>
      <c r="R476" s="4" t="n">
        <f aca="false">M476+N476+O476+P476+Q476</f>
        <v>2</v>
      </c>
      <c r="S476" s="4" t="n">
        <v>2</v>
      </c>
      <c r="T476" s="4" t="n">
        <f aca="false">R476*K476</f>
        <v>1260000</v>
      </c>
      <c r="U476" s="9" t="n">
        <f aca="false">IFERROR(M476/S476,0)</f>
        <v>1</v>
      </c>
      <c r="V476" s="5" t="n">
        <v>0.1179</v>
      </c>
    </row>
    <row r="477" customFormat="false" ht="15" hidden="false" customHeight="false" outlineLevel="0" collapsed="false">
      <c r="A477" s="8" t="s">
        <v>57</v>
      </c>
      <c r="B477" s="8" t="s">
        <v>22</v>
      </c>
      <c r="C477" s="8" t="s">
        <v>1098</v>
      </c>
      <c r="D477" s="8" t="n">
        <v>134571</v>
      </c>
      <c r="E477" s="8" t="s">
        <v>1351</v>
      </c>
      <c r="F477" s="8" t="s">
        <v>809</v>
      </c>
      <c r="G477" s="8" t="s">
        <v>961</v>
      </c>
      <c r="H477" s="8" t="s">
        <v>51</v>
      </c>
      <c r="I477" s="8" t="s">
        <v>58</v>
      </c>
      <c r="J477" s="4" t="n">
        <v>650000</v>
      </c>
      <c r="K477" s="4" t="n">
        <v>585000</v>
      </c>
      <c r="L477" s="5" t="n">
        <v>0.1</v>
      </c>
      <c r="M477" s="4" t="n">
        <v>2</v>
      </c>
      <c r="N477" s="4" t="n">
        <v>0</v>
      </c>
      <c r="O477" s="4" t="n">
        <v>0</v>
      </c>
      <c r="P477" s="4" t="n">
        <v>0</v>
      </c>
      <c r="Q477" s="4" t="n">
        <v>0</v>
      </c>
      <c r="R477" s="4" t="n">
        <f aca="false">M477+N477+O477+P477+Q477</f>
        <v>2</v>
      </c>
      <c r="S477" s="4" t="n">
        <v>1</v>
      </c>
      <c r="T477" s="4" t="n">
        <f aca="false">R477*K477</f>
        <v>1170000</v>
      </c>
      <c r="U477" s="9" t="n">
        <f aca="false">IFERROR(M477/S477,0)</f>
        <v>2</v>
      </c>
      <c r="V477" s="5" t="n">
        <v>0.1231</v>
      </c>
    </row>
    <row r="478" customFormat="false" ht="15" hidden="false" customHeight="false" outlineLevel="0" collapsed="false">
      <c r="A478" s="8" t="s">
        <v>57</v>
      </c>
      <c r="B478" s="8" t="s">
        <v>22</v>
      </c>
      <c r="C478" s="8" t="s">
        <v>1352</v>
      </c>
      <c r="D478" s="8" t="n">
        <v>231464</v>
      </c>
      <c r="E478" s="8" t="s">
        <v>1353</v>
      </c>
      <c r="F478" s="8" t="s">
        <v>794</v>
      </c>
      <c r="G478" s="8" t="s">
        <v>961</v>
      </c>
      <c r="H478" s="8" t="s">
        <v>51</v>
      </c>
      <c r="I478" s="8" t="s">
        <v>58</v>
      </c>
      <c r="J478" s="4" t="n">
        <v>250000</v>
      </c>
      <c r="K478" s="4" t="n">
        <v>225000</v>
      </c>
      <c r="L478" s="5" t="n">
        <v>0.1</v>
      </c>
      <c r="M478" s="4" t="n">
        <v>2</v>
      </c>
      <c r="N478" s="4" t="n">
        <v>0</v>
      </c>
      <c r="O478" s="4" t="n">
        <v>0</v>
      </c>
      <c r="P478" s="4" t="n">
        <v>0</v>
      </c>
      <c r="Q478" s="4" t="n">
        <v>0</v>
      </c>
      <c r="R478" s="4" t="n">
        <f aca="false">M478+N478+O478+P478+Q478</f>
        <v>2</v>
      </c>
      <c r="S478" s="4" t="n">
        <v>1</v>
      </c>
      <c r="T478" s="4" t="n">
        <f aca="false">R478*K478</f>
        <v>450000</v>
      </c>
      <c r="U478" s="9" t="n">
        <f aca="false">IFERROR(M478/S478,0)</f>
        <v>2</v>
      </c>
      <c r="V478" s="5" t="n">
        <v>0.1344</v>
      </c>
    </row>
    <row r="479" customFormat="false" ht="15" hidden="false" customHeight="false" outlineLevel="0" collapsed="false">
      <c r="A479" s="8" t="s">
        <v>57</v>
      </c>
      <c r="B479" s="8" t="s">
        <v>22</v>
      </c>
      <c r="C479" s="8" t="s">
        <v>1098</v>
      </c>
      <c r="D479" s="8" t="n">
        <v>231201</v>
      </c>
      <c r="E479" s="8" t="s">
        <v>1354</v>
      </c>
      <c r="F479" s="8" t="s">
        <v>767</v>
      </c>
      <c r="G479" s="8" t="s">
        <v>961</v>
      </c>
      <c r="H479" s="8" t="s">
        <v>51</v>
      </c>
      <c r="I479" s="8" t="s">
        <v>58</v>
      </c>
      <c r="J479" s="4" t="n">
        <v>370000</v>
      </c>
      <c r="K479" s="4" t="n">
        <v>333000</v>
      </c>
      <c r="L479" s="5" t="n">
        <v>0.1</v>
      </c>
      <c r="M479" s="4" t="n">
        <v>1</v>
      </c>
      <c r="N479" s="4" t="n">
        <v>0</v>
      </c>
      <c r="O479" s="4" t="n">
        <v>0</v>
      </c>
      <c r="P479" s="4" t="n">
        <v>0</v>
      </c>
      <c r="Q479" s="4" t="n">
        <v>0</v>
      </c>
      <c r="R479" s="4" t="n">
        <f aca="false">M479+N479+O479+P479+Q479</f>
        <v>1</v>
      </c>
      <c r="S479" s="4" t="n">
        <v>1</v>
      </c>
      <c r="T479" s="4" t="n">
        <f aca="false">R479*K479</f>
        <v>333000</v>
      </c>
      <c r="U479" s="9" t="n">
        <f aca="false">IFERROR(M479/S479,0)</f>
        <v>1</v>
      </c>
      <c r="V479" s="5" t="n">
        <v>0.1622</v>
      </c>
    </row>
    <row r="480" customFormat="false" ht="15" hidden="false" customHeight="false" outlineLevel="0" collapsed="false">
      <c r="A480" s="8" t="s">
        <v>57</v>
      </c>
      <c r="B480" s="8" t="s">
        <v>22</v>
      </c>
      <c r="C480" s="8" t="s">
        <v>1098</v>
      </c>
      <c r="D480" s="8" t="n">
        <v>135030</v>
      </c>
      <c r="E480" s="8" t="s">
        <v>1355</v>
      </c>
      <c r="F480" s="8" t="s">
        <v>767</v>
      </c>
      <c r="G480" s="8" t="s">
        <v>961</v>
      </c>
      <c r="H480" s="8" t="s">
        <v>51</v>
      </c>
      <c r="I480" s="8" t="s">
        <v>58</v>
      </c>
      <c r="J480" s="4" t="n">
        <v>229000</v>
      </c>
      <c r="K480" s="4" t="n">
        <v>207000</v>
      </c>
      <c r="L480" s="5" t="n">
        <v>0.1</v>
      </c>
      <c r="M480" s="4" t="n">
        <v>1</v>
      </c>
      <c r="N480" s="4" t="n">
        <v>0</v>
      </c>
      <c r="O480" s="4" t="n">
        <v>0</v>
      </c>
      <c r="P480" s="4" t="n">
        <v>0</v>
      </c>
      <c r="Q480" s="4" t="n">
        <v>0</v>
      </c>
      <c r="R480" s="4" t="n">
        <f aca="false">M480+N480+O480+P480+Q480</f>
        <v>1</v>
      </c>
      <c r="S480" s="4" t="n">
        <v>1</v>
      </c>
      <c r="T480" s="4" t="n">
        <f aca="false">R480*K480</f>
        <v>207000</v>
      </c>
      <c r="U480" s="9" t="n">
        <f aca="false">IFERROR(M480/S480,0)</f>
        <v>1</v>
      </c>
      <c r="V480" s="5" t="n">
        <v>0.1739</v>
      </c>
    </row>
    <row r="481" customFormat="false" ht="15" hidden="false" customHeight="false" outlineLevel="0" collapsed="false">
      <c r="A481" s="8" t="s">
        <v>57</v>
      </c>
      <c r="B481" s="8" t="s">
        <v>22</v>
      </c>
      <c r="C481" s="8" t="s">
        <v>1098</v>
      </c>
      <c r="D481" s="8" t="n">
        <v>134492</v>
      </c>
      <c r="E481" s="8" t="s">
        <v>1356</v>
      </c>
      <c r="F481" s="8" t="s">
        <v>794</v>
      </c>
      <c r="G481" s="8" t="s">
        <v>961</v>
      </c>
      <c r="H481" s="8" t="s">
        <v>51</v>
      </c>
      <c r="I481" s="8" t="s">
        <v>58</v>
      </c>
      <c r="J481" s="4" t="n">
        <v>165000</v>
      </c>
      <c r="K481" s="4" t="n">
        <v>149000</v>
      </c>
      <c r="L481" s="5" t="n">
        <v>0.1</v>
      </c>
      <c r="M481" s="4" t="n">
        <v>0</v>
      </c>
      <c r="N481" s="4" t="n">
        <v>0</v>
      </c>
      <c r="O481" s="4" t="n">
        <v>1</v>
      </c>
      <c r="P481" s="4" t="n">
        <v>0</v>
      </c>
      <c r="Q481" s="4" t="n">
        <v>0</v>
      </c>
      <c r="R481" s="4" t="n">
        <f aca="false">M481+N481+O481+P481+Q481</f>
        <v>1</v>
      </c>
      <c r="S481" s="4" t="n">
        <v>0</v>
      </c>
      <c r="T481" s="4" t="n">
        <f aca="false">R481*K481</f>
        <v>149000</v>
      </c>
      <c r="U481" s="9" t="n">
        <f aca="false">IFERROR(M481/S481,0)</f>
        <v>0</v>
      </c>
      <c r="V481" s="5" t="n">
        <v>0.1968</v>
      </c>
    </row>
    <row r="482" customFormat="false" ht="15" hidden="false" customHeight="false" outlineLevel="0" collapsed="false">
      <c r="A482" s="8" t="s">
        <v>57</v>
      </c>
      <c r="B482" s="8" t="s">
        <v>22</v>
      </c>
      <c r="C482" s="8" t="s">
        <v>1098</v>
      </c>
      <c r="D482" s="8" t="n">
        <v>231393</v>
      </c>
      <c r="E482" s="8" t="s">
        <v>1357</v>
      </c>
      <c r="F482" s="8" t="s">
        <v>809</v>
      </c>
      <c r="G482" s="8" t="s">
        <v>961</v>
      </c>
      <c r="H482" s="8" t="s">
        <v>51</v>
      </c>
      <c r="I482" s="8" t="s">
        <v>58</v>
      </c>
      <c r="J482" s="4" t="n">
        <v>720000</v>
      </c>
      <c r="K482" s="4" t="n">
        <v>648000</v>
      </c>
      <c r="L482" s="5" t="n">
        <v>0.1</v>
      </c>
      <c r="M482" s="4" t="n">
        <v>1</v>
      </c>
      <c r="N482" s="4" t="n">
        <v>0</v>
      </c>
      <c r="O482" s="4" t="n">
        <v>0</v>
      </c>
      <c r="P482" s="4" t="n">
        <v>0</v>
      </c>
      <c r="Q482" s="4" t="n">
        <v>0</v>
      </c>
      <c r="R482" s="4" t="n">
        <f aca="false">M482+N482+O482+P482+Q482</f>
        <v>1</v>
      </c>
      <c r="S482" s="4" t="n">
        <v>1</v>
      </c>
      <c r="T482" s="4" t="n">
        <f aca="false">R482*K482</f>
        <v>648000</v>
      </c>
      <c r="U482" s="9" t="n">
        <f aca="false">IFERROR(M482/S482,0)</f>
        <v>1</v>
      </c>
      <c r="V482" s="5" t="n">
        <v>0.1204</v>
      </c>
    </row>
    <row r="483" customFormat="false" ht="15" hidden="false" customHeight="false" outlineLevel="0" collapsed="false">
      <c r="A483" s="8" t="s">
        <v>57</v>
      </c>
      <c r="B483" s="8" t="s">
        <v>22</v>
      </c>
      <c r="C483" s="8" t="s">
        <v>1098</v>
      </c>
      <c r="D483" s="8" t="n">
        <v>230831</v>
      </c>
      <c r="E483" s="8" t="s">
        <v>1358</v>
      </c>
      <c r="F483" s="8" t="s">
        <v>794</v>
      </c>
      <c r="G483" s="8" t="s">
        <v>961</v>
      </c>
      <c r="H483" s="8" t="s">
        <v>51</v>
      </c>
      <c r="I483" s="8" t="s">
        <v>58</v>
      </c>
      <c r="J483" s="4" t="n">
        <v>500000</v>
      </c>
      <c r="K483" s="4" t="n">
        <v>450000</v>
      </c>
      <c r="L483" s="5" t="n">
        <v>0.1</v>
      </c>
      <c r="M483" s="4" t="n">
        <v>1</v>
      </c>
      <c r="N483" s="4" t="n">
        <v>0</v>
      </c>
      <c r="O483" s="4" t="n">
        <v>0</v>
      </c>
      <c r="P483" s="4" t="n">
        <v>0</v>
      </c>
      <c r="Q483" s="4" t="n">
        <v>0</v>
      </c>
      <c r="R483" s="4" t="n">
        <f aca="false">M483+N483+O483+P483+Q483</f>
        <v>1</v>
      </c>
      <c r="S483" s="4" t="n">
        <v>1</v>
      </c>
      <c r="T483" s="4" t="n">
        <f aca="false">R483*K483</f>
        <v>450000</v>
      </c>
      <c r="U483" s="9" t="n">
        <f aca="false">IFERROR(M483/S483,0)</f>
        <v>1</v>
      </c>
      <c r="V483" s="5" t="n">
        <v>0.1516</v>
      </c>
    </row>
    <row r="484" customFormat="false" ht="15" hidden="false" customHeight="false" outlineLevel="0" collapsed="false">
      <c r="A484" s="8" t="s">
        <v>57</v>
      </c>
      <c r="B484" s="8" t="s">
        <v>22</v>
      </c>
      <c r="C484" s="8" t="s">
        <v>1098</v>
      </c>
      <c r="D484" s="8" t="n">
        <v>134388</v>
      </c>
      <c r="E484" s="8" t="s">
        <v>1359</v>
      </c>
      <c r="F484" s="8" t="s">
        <v>767</v>
      </c>
      <c r="G484" s="8" t="s">
        <v>961</v>
      </c>
      <c r="H484" s="8" t="s">
        <v>51</v>
      </c>
      <c r="I484" s="8" t="s">
        <v>58</v>
      </c>
      <c r="J484" s="4" t="n">
        <v>410000</v>
      </c>
      <c r="K484" s="4" t="n">
        <v>369000</v>
      </c>
      <c r="L484" s="5" t="n">
        <v>0.1</v>
      </c>
      <c r="M484" s="4" t="n">
        <v>1</v>
      </c>
      <c r="N484" s="4" t="n">
        <v>0</v>
      </c>
      <c r="O484" s="4" t="n">
        <v>0</v>
      </c>
      <c r="P484" s="4" t="n">
        <v>0</v>
      </c>
      <c r="Q484" s="4" t="n">
        <v>0</v>
      </c>
      <c r="R484" s="4" t="n">
        <f aca="false">M484+N484+O484+P484+Q484</f>
        <v>1</v>
      </c>
      <c r="S484" s="4" t="n">
        <v>1</v>
      </c>
      <c r="T484" s="4" t="n">
        <f aca="false">R484*K484</f>
        <v>369000</v>
      </c>
      <c r="U484" s="9" t="n">
        <f aca="false">IFERROR(M484/S484,0)</f>
        <v>1</v>
      </c>
      <c r="V484" s="5" t="n">
        <v>0.1118</v>
      </c>
    </row>
    <row r="485" customFormat="false" ht="15" hidden="false" customHeight="false" outlineLevel="0" collapsed="false">
      <c r="A485" s="8" t="s">
        <v>57</v>
      </c>
      <c r="B485" s="8" t="s">
        <v>22</v>
      </c>
      <c r="C485" s="8" t="s">
        <v>1098</v>
      </c>
      <c r="D485" s="8" t="n">
        <v>134389</v>
      </c>
      <c r="E485" s="8" t="s">
        <v>1360</v>
      </c>
      <c r="F485" s="8" t="s">
        <v>767</v>
      </c>
      <c r="G485" s="8" t="s">
        <v>961</v>
      </c>
      <c r="H485" s="8" t="s">
        <v>51</v>
      </c>
      <c r="I485" s="8" t="s">
        <v>58</v>
      </c>
      <c r="J485" s="4" t="n">
        <v>410000</v>
      </c>
      <c r="K485" s="4" t="n">
        <v>369000</v>
      </c>
      <c r="L485" s="5" t="n">
        <v>0.1</v>
      </c>
      <c r="M485" s="4" t="n">
        <v>1</v>
      </c>
      <c r="N485" s="4" t="n">
        <v>0</v>
      </c>
      <c r="O485" s="4" t="n">
        <v>0</v>
      </c>
      <c r="P485" s="4" t="n">
        <v>0</v>
      </c>
      <c r="Q485" s="4" t="n">
        <v>0</v>
      </c>
      <c r="R485" s="4" t="n">
        <f aca="false">M485+N485+O485+P485+Q485</f>
        <v>1</v>
      </c>
      <c r="S485" s="4" t="n">
        <v>1</v>
      </c>
      <c r="T485" s="4" t="n">
        <f aca="false">R485*K485</f>
        <v>369000</v>
      </c>
      <c r="U485" s="9" t="n">
        <f aca="false">IFERROR(M485/S485,0)</f>
        <v>1</v>
      </c>
      <c r="V485" s="5" t="n">
        <v>0.1118</v>
      </c>
    </row>
    <row r="486" customFormat="false" ht="15" hidden="false" customHeight="false" outlineLevel="0" collapsed="false">
      <c r="A486" s="8" t="s">
        <v>57</v>
      </c>
      <c r="B486" s="8" t="s">
        <v>22</v>
      </c>
      <c r="C486" s="8" t="s">
        <v>1098</v>
      </c>
      <c r="D486" s="8" t="n">
        <v>134910</v>
      </c>
      <c r="E486" s="8" t="s">
        <v>1361</v>
      </c>
      <c r="F486" s="8" t="s">
        <v>809</v>
      </c>
      <c r="G486" s="8" t="s">
        <v>961</v>
      </c>
      <c r="H486" s="8" t="s">
        <v>51</v>
      </c>
      <c r="I486" s="8" t="s">
        <v>58</v>
      </c>
      <c r="J486" s="4" t="n">
        <v>2490000</v>
      </c>
      <c r="K486" s="4" t="n">
        <v>2241000</v>
      </c>
      <c r="L486" s="5" t="n">
        <v>0.1</v>
      </c>
      <c r="M486" s="4" t="n">
        <v>1</v>
      </c>
      <c r="N486" s="4" t="n">
        <v>0</v>
      </c>
      <c r="O486" s="4" t="n">
        <v>0</v>
      </c>
      <c r="P486" s="4" t="n">
        <v>0</v>
      </c>
      <c r="Q486" s="4" t="n">
        <v>0</v>
      </c>
      <c r="R486" s="4" t="n">
        <f aca="false">M486+N486+O486+P486+Q486</f>
        <v>1</v>
      </c>
      <c r="S486" s="4" t="n">
        <v>1</v>
      </c>
      <c r="T486" s="4" t="n">
        <f aca="false">R486*K486</f>
        <v>2241000</v>
      </c>
      <c r="U486" s="9" t="n">
        <f aca="false">IFERROR(M486/S486,0)</f>
        <v>1</v>
      </c>
      <c r="V486" s="5" t="n">
        <v>0.2459</v>
      </c>
    </row>
    <row r="487" customFormat="false" ht="15" hidden="false" customHeight="false" outlineLevel="0" collapsed="false">
      <c r="A487" s="8" t="s">
        <v>57</v>
      </c>
      <c r="B487" s="8" t="s">
        <v>22</v>
      </c>
      <c r="C487" s="8" t="s">
        <v>1352</v>
      </c>
      <c r="D487" s="8" t="n">
        <v>231465</v>
      </c>
      <c r="E487" s="8" t="s">
        <v>1353</v>
      </c>
      <c r="F487" s="8" t="s">
        <v>794</v>
      </c>
      <c r="G487" s="8" t="s">
        <v>961</v>
      </c>
      <c r="H487" s="8" t="s">
        <v>51</v>
      </c>
      <c r="I487" s="8" t="s">
        <v>58</v>
      </c>
      <c r="J487" s="4" t="n">
        <v>250000</v>
      </c>
      <c r="K487" s="4" t="n">
        <v>225000</v>
      </c>
      <c r="L487" s="5" t="n">
        <v>0.1</v>
      </c>
      <c r="M487" s="4" t="n">
        <v>1</v>
      </c>
      <c r="N487" s="4" t="n">
        <v>0</v>
      </c>
      <c r="O487" s="4" t="n">
        <v>0</v>
      </c>
      <c r="P487" s="4" t="n">
        <v>0</v>
      </c>
      <c r="Q487" s="4" t="n">
        <v>0</v>
      </c>
      <c r="R487" s="4" t="n">
        <f aca="false">M487+N487+O487+P487+Q487</f>
        <v>1</v>
      </c>
      <c r="S487" s="4" t="n">
        <v>1</v>
      </c>
      <c r="T487" s="4" t="n">
        <f aca="false">R487*K487</f>
        <v>225000</v>
      </c>
      <c r="U487" s="9" t="n">
        <f aca="false">IFERROR(M487/S487,0)</f>
        <v>1</v>
      </c>
      <c r="V487" s="5" t="n">
        <v>0.1344</v>
      </c>
    </row>
    <row r="488" customFormat="false" ht="15" hidden="false" customHeight="false" outlineLevel="0" collapsed="false">
      <c r="A488" s="8" t="s">
        <v>57</v>
      </c>
      <c r="B488" s="8" t="s">
        <v>22</v>
      </c>
      <c r="C488" s="8" t="s">
        <v>1098</v>
      </c>
      <c r="D488" s="8" t="n">
        <v>231518</v>
      </c>
      <c r="E488" s="8" t="s">
        <v>1362</v>
      </c>
      <c r="F488" s="8" t="s">
        <v>767</v>
      </c>
      <c r="G488" s="8" t="s">
        <v>961</v>
      </c>
      <c r="H488" s="8" t="s">
        <v>51</v>
      </c>
      <c r="I488" s="8" t="s">
        <v>58</v>
      </c>
      <c r="J488" s="4" t="n">
        <v>450000</v>
      </c>
      <c r="K488" s="4" t="n">
        <v>405000</v>
      </c>
      <c r="L488" s="5" t="n">
        <v>0.1</v>
      </c>
      <c r="M488" s="4" t="n">
        <v>1</v>
      </c>
      <c r="N488" s="4" t="n">
        <v>0</v>
      </c>
      <c r="O488" s="4" t="n">
        <v>0</v>
      </c>
      <c r="P488" s="4" t="n">
        <v>0</v>
      </c>
      <c r="Q488" s="4" t="n">
        <v>0</v>
      </c>
      <c r="R488" s="4" t="n">
        <f aca="false">M488+N488+O488+P488+Q488</f>
        <v>1</v>
      </c>
      <c r="S488" s="4" t="n">
        <v>1</v>
      </c>
      <c r="T488" s="4" t="n">
        <f aca="false">R488*K488</f>
        <v>405000</v>
      </c>
      <c r="U488" s="9" t="n">
        <f aca="false">IFERROR(M488/S488,0)</f>
        <v>1</v>
      </c>
      <c r="V488" s="5" t="n">
        <v>0.1204</v>
      </c>
    </row>
    <row r="489" customFormat="false" ht="15" hidden="false" customHeight="false" outlineLevel="0" collapsed="false">
      <c r="A489" s="8" t="s">
        <v>57</v>
      </c>
      <c r="B489" s="8" t="s">
        <v>22</v>
      </c>
      <c r="C489" s="8" t="s">
        <v>1122</v>
      </c>
      <c r="D489" s="8" t="n">
        <v>231196</v>
      </c>
      <c r="E489" s="8" t="s">
        <v>1363</v>
      </c>
      <c r="F489" s="8" t="s">
        <v>809</v>
      </c>
      <c r="G489" s="8" t="s">
        <v>961</v>
      </c>
      <c r="H489" s="8" t="s">
        <v>51</v>
      </c>
      <c r="I489" s="8" t="s">
        <v>58</v>
      </c>
      <c r="J489" s="4" t="n">
        <v>450000</v>
      </c>
      <c r="K489" s="4" t="n">
        <v>405000</v>
      </c>
      <c r="L489" s="5" t="n">
        <v>0.1</v>
      </c>
      <c r="M489" s="4" t="n">
        <v>1</v>
      </c>
      <c r="N489" s="4" t="n">
        <v>0</v>
      </c>
      <c r="O489" s="4" t="n">
        <v>0</v>
      </c>
      <c r="P489" s="4" t="n">
        <v>0</v>
      </c>
      <c r="Q489" s="4" t="n">
        <v>0</v>
      </c>
      <c r="R489" s="4" t="n">
        <f aca="false">M489+N489+O489+P489+Q489</f>
        <v>1</v>
      </c>
      <c r="S489" s="4" t="n">
        <v>1</v>
      </c>
      <c r="T489" s="4" t="n">
        <f aca="false">R489*K489</f>
        <v>405000</v>
      </c>
      <c r="U489" s="9" t="n">
        <f aca="false">IFERROR(M489/S489,0)</f>
        <v>1</v>
      </c>
      <c r="V489" s="5" t="n">
        <v>0.1605</v>
      </c>
    </row>
    <row r="490" customFormat="false" ht="15" hidden="false" customHeight="false" outlineLevel="0" collapsed="false">
      <c r="A490" s="8" t="s">
        <v>57</v>
      </c>
      <c r="B490" s="8" t="s">
        <v>22</v>
      </c>
      <c r="C490" s="8" t="s">
        <v>1098</v>
      </c>
      <c r="D490" s="8" t="n">
        <v>134476</v>
      </c>
      <c r="E490" s="8" t="s">
        <v>808</v>
      </c>
      <c r="F490" s="8" t="s">
        <v>809</v>
      </c>
      <c r="G490" s="8" t="s">
        <v>961</v>
      </c>
      <c r="H490" s="8" t="s">
        <v>51</v>
      </c>
      <c r="I490" s="8" t="s">
        <v>58</v>
      </c>
      <c r="J490" s="4" t="n">
        <v>450000</v>
      </c>
      <c r="K490" s="4" t="n">
        <v>405000</v>
      </c>
      <c r="L490" s="5" t="n">
        <v>0.1</v>
      </c>
      <c r="M490" s="4" t="n">
        <v>0</v>
      </c>
      <c r="N490" s="4" t="n">
        <v>0</v>
      </c>
      <c r="O490" s="4" t="n">
        <v>0</v>
      </c>
      <c r="P490" s="4" t="n">
        <v>0</v>
      </c>
      <c r="Q490" s="4" t="n">
        <v>0</v>
      </c>
      <c r="R490" s="4" t="n">
        <f aca="false">M490+N490+O490+P490+Q490</f>
        <v>0</v>
      </c>
      <c r="S490" s="4" t="n">
        <v>0</v>
      </c>
      <c r="T490" s="4" t="n">
        <f aca="false">R490*K490</f>
        <v>0</v>
      </c>
      <c r="U490" s="9" t="n">
        <f aca="false">IFERROR(M490/S490,0)</f>
        <v>0</v>
      </c>
      <c r="V490" s="5" t="n">
        <v>0.1595</v>
      </c>
    </row>
    <row r="491" customFormat="false" ht="15" hidden="false" customHeight="false" outlineLevel="0" collapsed="false">
      <c r="A491" s="8" t="s">
        <v>106</v>
      </c>
      <c r="B491" s="8" t="s">
        <v>30</v>
      </c>
      <c r="C491" s="8" t="s">
        <v>1364</v>
      </c>
      <c r="D491" s="8" t="n">
        <v>152243</v>
      </c>
      <c r="E491" s="8" t="s">
        <v>730</v>
      </c>
      <c r="F491" s="8" t="s">
        <v>1044</v>
      </c>
      <c r="G491" s="8" t="s">
        <v>961</v>
      </c>
      <c r="H491" s="8" t="s">
        <v>51</v>
      </c>
      <c r="I491" s="8" t="s">
        <v>107</v>
      </c>
      <c r="J491" s="4" t="n">
        <v>85000</v>
      </c>
      <c r="K491" s="4" t="n">
        <v>75000</v>
      </c>
      <c r="L491" s="5" t="n">
        <v>0.11765</v>
      </c>
      <c r="M491" s="4" t="n">
        <v>575</v>
      </c>
      <c r="N491" s="4" t="n">
        <v>0</v>
      </c>
      <c r="O491" s="4" t="n">
        <v>0</v>
      </c>
      <c r="P491" s="4" t="n">
        <v>0</v>
      </c>
      <c r="Q491" s="4" t="n">
        <v>0</v>
      </c>
      <c r="R491" s="4" t="n">
        <f aca="false">M491+N491+O491+P491+Q491</f>
        <v>575</v>
      </c>
      <c r="S491" s="4" t="n">
        <v>22</v>
      </c>
      <c r="T491" s="4" t="n">
        <f aca="false">R491*K491</f>
        <v>43125000</v>
      </c>
      <c r="U491" s="9" t="n">
        <f aca="false">IFERROR(M491/S491,0)</f>
        <v>26.1363636363636</v>
      </c>
      <c r="V491" s="5" t="n">
        <v>0.16</v>
      </c>
    </row>
    <row r="492" customFormat="false" ht="15" hidden="false" customHeight="false" outlineLevel="0" collapsed="false">
      <c r="A492" s="8" t="s">
        <v>106</v>
      </c>
      <c r="B492" s="8" t="s">
        <v>30</v>
      </c>
      <c r="C492" s="8" t="s">
        <v>1364</v>
      </c>
      <c r="D492" s="8" t="n">
        <v>152241</v>
      </c>
      <c r="E492" s="8" t="s">
        <v>728</v>
      </c>
      <c r="F492" s="8" t="s">
        <v>1044</v>
      </c>
      <c r="G492" s="8" t="s">
        <v>961</v>
      </c>
      <c r="H492" s="8" t="s">
        <v>51</v>
      </c>
      <c r="I492" s="8" t="s">
        <v>107</v>
      </c>
      <c r="J492" s="4" t="n">
        <v>85000</v>
      </c>
      <c r="K492" s="4" t="n">
        <v>75000</v>
      </c>
      <c r="L492" s="5" t="n">
        <v>0.11765</v>
      </c>
      <c r="M492" s="4" t="n">
        <v>482</v>
      </c>
      <c r="N492" s="4" t="n">
        <v>0</v>
      </c>
      <c r="O492" s="4" t="n">
        <v>0</v>
      </c>
      <c r="P492" s="4" t="n">
        <v>0</v>
      </c>
      <c r="Q492" s="4" t="n">
        <v>0</v>
      </c>
      <c r="R492" s="4" t="n">
        <f aca="false">M492+N492+O492+P492+Q492</f>
        <v>482</v>
      </c>
      <c r="S492" s="4" t="n">
        <v>23</v>
      </c>
      <c r="T492" s="4" t="n">
        <f aca="false">R492*K492</f>
        <v>36150000</v>
      </c>
      <c r="U492" s="9" t="n">
        <f aca="false">IFERROR(M492/S492,0)</f>
        <v>20.9565217391304</v>
      </c>
      <c r="V492" s="5" t="n">
        <v>0.16</v>
      </c>
    </row>
    <row r="493" customFormat="false" ht="15" hidden="false" customHeight="false" outlineLevel="0" collapsed="false">
      <c r="A493" s="8" t="s">
        <v>106</v>
      </c>
      <c r="B493" s="8" t="s">
        <v>30</v>
      </c>
      <c r="C493" s="8" t="s">
        <v>1364</v>
      </c>
      <c r="D493" s="8" t="n">
        <v>150125</v>
      </c>
      <c r="E493" s="8" t="s">
        <v>726</v>
      </c>
      <c r="F493" s="8" t="s">
        <v>818</v>
      </c>
      <c r="G493" s="8" t="s">
        <v>961</v>
      </c>
      <c r="H493" s="8" t="s">
        <v>51</v>
      </c>
      <c r="I493" s="8" t="s">
        <v>107</v>
      </c>
      <c r="J493" s="4" t="n">
        <v>85000</v>
      </c>
      <c r="K493" s="4" t="n">
        <v>75000</v>
      </c>
      <c r="L493" s="5" t="n">
        <v>0.11765</v>
      </c>
      <c r="M493" s="4" t="n">
        <v>405</v>
      </c>
      <c r="N493" s="4" t="n">
        <v>0</v>
      </c>
      <c r="O493" s="4" t="n">
        <v>0</v>
      </c>
      <c r="P493" s="4" t="n">
        <v>0</v>
      </c>
      <c r="Q493" s="4" t="n">
        <v>0</v>
      </c>
      <c r="R493" s="4" t="n">
        <f aca="false">M493+N493+O493+P493+Q493</f>
        <v>405</v>
      </c>
      <c r="S493" s="4" t="n">
        <v>16</v>
      </c>
      <c r="T493" s="4" t="n">
        <f aca="false">R493*K493</f>
        <v>30375000</v>
      </c>
      <c r="U493" s="9" t="n">
        <f aca="false">IFERROR(M493/S493,0)</f>
        <v>25.3125</v>
      </c>
      <c r="V493" s="5" t="n">
        <v>0.2</v>
      </c>
    </row>
    <row r="494" customFormat="false" ht="15" hidden="false" customHeight="false" outlineLevel="0" collapsed="false">
      <c r="A494" s="8" t="s">
        <v>106</v>
      </c>
      <c r="B494" s="8" t="s">
        <v>30</v>
      </c>
      <c r="C494" s="8" t="s">
        <v>1364</v>
      </c>
      <c r="D494" s="8" t="n">
        <v>152240</v>
      </c>
      <c r="E494" s="8" t="s">
        <v>727</v>
      </c>
      <c r="F494" s="8" t="s">
        <v>1044</v>
      </c>
      <c r="G494" s="8" t="s">
        <v>961</v>
      </c>
      <c r="H494" s="8" t="s">
        <v>51</v>
      </c>
      <c r="I494" s="8" t="s">
        <v>107</v>
      </c>
      <c r="J494" s="4" t="n">
        <v>85000</v>
      </c>
      <c r="K494" s="4" t="n">
        <v>75000</v>
      </c>
      <c r="L494" s="5" t="n">
        <v>0.11765</v>
      </c>
      <c r="M494" s="4" t="n">
        <v>384</v>
      </c>
      <c r="N494" s="4" t="n">
        <v>0</v>
      </c>
      <c r="O494" s="4" t="n">
        <v>0</v>
      </c>
      <c r="P494" s="4" t="n">
        <v>0</v>
      </c>
      <c r="Q494" s="4" t="n">
        <v>0</v>
      </c>
      <c r="R494" s="4" t="n">
        <f aca="false">M494+N494+O494+P494+Q494</f>
        <v>384</v>
      </c>
      <c r="S494" s="4" t="n">
        <v>21</v>
      </c>
      <c r="T494" s="4" t="n">
        <f aca="false">R494*K494</f>
        <v>28800000</v>
      </c>
      <c r="U494" s="9" t="n">
        <f aca="false">IFERROR(M494/S494,0)</f>
        <v>18.2857142857143</v>
      </c>
      <c r="V494" s="5" t="n">
        <v>0.16</v>
      </c>
    </row>
    <row r="495" customFormat="false" ht="15" hidden="false" customHeight="false" outlineLevel="0" collapsed="false">
      <c r="A495" s="8" t="s">
        <v>106</v>
      </c>
      <c r="B495" s="8" t="s">
        <v>30</v>
      </c>
      <c r="C495" s="8" t="s">
        <v>1364</v>
      </c>
      <c r="D495" s="8" t="n">
        <v>152244</v>
      </c>
      <c r="E495" s="8" t="s">
        <v>731</v>
      </c>
      <c r="F495" s="8" t="s">
        <v>1044</v>
      </c>
      <c r="G495" s="8" t="s">
        <v>961</v>
      </c>
      <c r="H495" s="8" t="s">
        <v>51</v>
      </c>
      <c r="I495" s="8" t="s">
        <v>107</v>
      </c>
      <c r="J495" s="4" t="n">
        <v>85000</v>
      </c>
      <c r="K495" s="4" t="n">
        <v>75000</v>
      </c>
      <c r="L495" s="5" t="n">
        <v>0.11765</v>
      </c>
      <c r="M495" s="4" t="n">
        <v>374</v>
      </c>
      <c r="N495" s="4" t="n">
        <v>0</v>
      </c>
      <c r="O495" s="4" t="n">
        <v>0</v>
      </c>
      <c r="P495" s="4" t="n">
        <v>0</v>
      </c>
      <c r="Q495" s="4" t="n">
        <v>0</v>
      </c>
      <c r="R495" s="4" t="n">
        <f aca="false">M495+N495+O495+P495+Q495</f>
        <v>374</v>
      </c>
      <c r="S495" s="4" t="n">
        <v>19</v>
      </c>
      <c r="T495" s="4" t="n">
        <f aca="false">R495*K495</f>
        <v>28050000</v>
      </c>
      <c r="U495" s="9" t="n">
        <f aca="false">IFERROR(M495/S495,0)</f>
        <v>19.6842105263158</v>
      </c>
      <c r="V495" s="5" t="n">
        <v>0.16</v>
      </c>
    </row>
    <row r="496" customFormat="false" ht="15" hidden="false" customHeight="false" outlineLevel="0" collapsed="false">
      <c r="A496" s="8" t="s">
        <v>106</v>
      </c>
      <c r="B496" s="8" t="s">
        <v>30</v>
      </c>
      <c r="C496" s="8" t="s">
        <v>1364</v>
      </c>
      <c r="D496" s="8" t="n">
        <v>152242</v>
      </c>
      <c r="E496" s="8" t="s">
        <v>729</v>
      </c>
      <c r="F496" s="8" t="s">
        <v>1044</v>
      </c>
      <c r="G496" s="8" t="s">
        <v>961</v>
      </c>
      <c r="H496" s="8" t="s">
        <v>51</v>
      </c>
      <c r="I496" s="8" t="s">
        <v>107</v>
      </c>
      <c r="J496" s="4" t="n">
        <v>85000</v>
      </c>
      <c r="K496" s="4" t="n">
        <v>75000</v>
      </c>
      <c r="L496" s="5" t="n">
        <v>0.11765</v>
      </c>
      <c r="M496" s="4" t="n">
        <v>354</v>
      </c>
      <c r="N496" s="4" t="n">
        <v>0</v>
      </c>
      <c r="O496" s="4" t="n">
        <v>0</v>
      </c>
      <c r="P496" s="4" t="n">
        <v>0</v>
      </c>
      <c r="Q496" s="4" t="n">
        <v>0</v>
      </c>
      <c r="R496" s="4" t="n">
        <f aca="false">M496+N496+O496+P496+Q496</f>
        <v>354</v>
      </c>
      <c r="S496" s="4" t="n">
        <v>19</v>
      </c>
      <c r="T496" s="4" t="n">
        <f aca="false">R496*K496</f>
        <v>26550000</v>
      </c>
      <c r="U496" s="9" t="n">
        <f aca="false">IFERROR(M496/S496,0)</f>
        <v>18.6315789473684</v>
      </c>
      <c r="V496" s="5" t="n">
        <v>0.16</v>
      </c>
    </row>
    <row r="497" customFormat="false" ht="15" hidden="false" customHeight="false" outlineLevel="0" collapsed="false">
      <c r="A497" s="8" t="s">
        <v>106</v>
      </c>
      <c r="B497" s="8" t="s">
        <v>30</v>
      </c>
      <c r="C497" s="8" t="s">
        <v>1364</v>
      </c>
      <c r="D497" s="8" t="n">
        <v>153301</v>
      </c>
      <c r="E497" s="8" t="s">
        <v>735</v>
      </c>
      <c r="F497" s="8" t="s">
        <v>1044</v>
      </c>
      <c r="G497" s="8" t="s">
        <v>961</v>
      </c>
      <c r="H497" s="8" t="s">
        <v>51</v>
      </c>
      <c r="I497" s="8" t="s">
        <v>107</v>
      </c>
      <c r="J497" s="4" t="n">
        <v>85000</v>
      </c>
      <c r="K497" s="4" t="n">
        <v>75000</v>
      </c>
      <c r="L497" s="5" t="n">
        <v>0.11765</v>
      </c>
      <c r="M497" s="4" t="n">
        <v>315</v>
      </c>
      <c r="N497" s="4" t="n">
        <v>0</v>
      </c>
      <c r="O497" s="4" t="n">
        <v>0</v>
      </c>
      <c r="P497" s="4" t="n">
        <v>0</v>
      </c>
      <c r="Q497" s="4" t="n">
        <v>0</v>
      </c>
      <c r="R497" s="4" t="n">
        <f aca="false">M497+N497+O497+P497+Q497</f>
        <v>315</v>
      </c>
      <c r="S497" s="4" t="n">
        <v>18</v>
      </c>
      <c r="T497" s="4" t="n">
        <f aca="false">R497*K497</f>
        <v>23625000</v>
      </c>
      <c r="U497" s="9" t="n">
        <f aca="false">IFERROR(M497/S497,0)</f>
        <v>17.5</v>
      </c>
      <c r="V497" s="5" t="n">
        <v>0.16</v>
      </c>
    </row>
    <row r="498" customFormat="false" ht="15" hidden="false" customHeight="false" outlineLevel="0" collapsed="false">
      <c r="A498" s="8" t="s">
        <v>106</v>
      </c>
      <c r="B498" s="8" t="s">
        <v>30</v>
      </c>
      <c r="C498" s="8" t="s">
        <v>1364</v>
      </c>
      <c r="D498" s="8" t="n">
        <v>153212</v>
      </c>
      <c r="E498" s="8" t="s">
        <v>734</v>
      </c>
      <c r="F498" s="8" t="s">
        <v>1044</v>
      </c>
      <c r="G498" s="8" t="s">
        <v>961</v>
      </c>
      <c r="H498" s="8" t="s">
        <v>51</v>
      </c>
      <c r="I498" s="8" t="s">
        <v>107</v>
      </c>
      <c r="J498" s="4" t="n">
        <v>85000</v>
      </c>
      <c r="K498" s="4" t="n">
        <v>75000</v>
      </c>
      <c r="L498" s="5" t="n">
        <v>0.11765</v>
      </c>
      <c r="M498" s="4" t="n">
        <v>286</v>
      </c>
      <c r="N498" s="4" t="n">
        <v>0</v>
      </c>
      <c r="O498" s="4" t="n">
        <v>0</v>
      </c>
      <c r="P498" s="4" t="n">
        <v>0</v>
      </c>
      <c r="Q498" s="4" t="n">
        <v>0</v>
      </c>
      <c r="R498" s="4" t="n">
        <f aca="false">M498+N498+O498+P498+Q498</f>
        <v>286</v>
      </c>
      <c r="S498" s="4" t="n">
        <v>18</v>
      </c>
      <c r="T498" s="4" t="n">
        <f aca="false">R498*K498</f>
        <v>21450000</v>
      </c>
      <c r="U498" s="9" t="n">
        <f aca="false">IFERROR(M498/S498,0)</f>
        <v>15.8888888888889</v>
      </c>
      <c r="V498" s="5" t="n">
        <v>0.16</v>
      </c>
    </row>
    <row r="499" customFormat="false" ht="15" hidden="false" customHeight="false" outlineLevel="0" collapsed="false">
      <c r="A499" s="8" t="s">
        <v>106</v>
      </c>
      <c r="B499" s="8" t="s">
        <v>30</v>
      </c>
      <c r="C499" s="8" t="s">
        <v>1364</v>
      </c>
      <c r="D499" s="8" t="n">
        <v>153059</v>
      </c>
      <c r="E499" s="8" t="s">
        <v>732</v>
      </c>
      <c r="F499" s="8" t="s">
        <v>818</v>
      </c>
      <c r="G499" s="8" t="s">
        <v>961</v>
      </c>
      <c r="H499" s="8" t="s">
        <v>51</v>
      </c>
      <c r="I499" s="8" t="s">
        <v>107</v>
      </c>
      <c r="J499" s="4" t="n">
        <v>85000</v>
      </c>
      <c r="K499" s="4" t="n">
        <v>75000</v>
      </c>
      <c r="L499" s="5" t="n">
        <v>0.11765</v>
      </c>
      <c r="M499" s="4" t="n">
        <v>234</v>
      </c>
      <c r="N499" s="4" t="n">
        <v>0</v>
      </c>
      <c r="O499" s="4" t="n">
        <v>0</v>
      </c>
      <c r="P499" s="4" t="n">
        <v>0</v>
      </c>
      <c r="Q499" s="4" t="n">
        <v>0</v>
      </c>
      <c r="R499" s="4" t="n">
        <f aca="false">M499+N499+O499+P499+Q499</f>
        <v>234</v>
      </c>
      <c r="S499" s="4" t="n">
        <v>14</v>
      </c>
      <c r="T499" s="4" t="n">
        <f aca="false">R499*K499</f>
        <v>17550000</v>
      </c>
      <c r="U499" s="9" t="n">
        <f aca="false">IFERROR(M499/S499,0)</f>
        <v>16.7142857142857</v>
      </c>
      <c r="V499" s="5" t="n">
        <v>0.16</v>
      </c>
    </row>
    <row r="500" customFormat="false" ht="15" hidden="false" customHeight="false" outlineLevel="0" collapsed="false">
      <c r="A500" s="8" t="s">
        <v>106</v>
      </c>
      <c r="B500" s="8" t="s">
        <v>30</v>
      </c>
      <c r="C500" s="8" t="s">
        <v>1364</v>
      </c>
      <c r="D500" s="8" t="n">
        <v>153211</v>
      </c>
      <c r="E500" s="8" t="s">
        <v>733</v>
      </c>
      <c r="F500" s="8" t="s">
        <v>767</v>
      </c>
      <c r="G500" s="8" t="s">
        <v>961</v>
      </c>
      <c r="H500" s="8" t="s">
        <v>51</v>
      </c>
      <c r="I500" s="8" t="s">
        <v>107</v>
      </c>
      <c r="J500" s="4" t="n">
        <v>85000</v>
      </c>
      <c r="K500" s="4" t="n">
        <v>75000</v>
      </c>
      <c r="L500" s="5" t="n">
        <v>0.11765</v>
      </c>
      <c r="M500" s="4" t="n">
        <v>128</v>
      </c>
      <c r="N500" s="4" t="n">
        <v>0</v>
      </c>
      <c r="O500" s="4" t="n">
        <v>0</v>
      </c>
      <c r="P500" s="4" t="n">
        <v>0</v>
      </c>
      <c r="Q500" s="4" t="n">
        <v>0</v>
      </c>
      <c r="R500" s="4" t="n">
        <f aca="false">M500+N500+O500+P500+Q500</f>
        <v>128</v>
      </c>
      <c r="S500" s="4" t="n">
        <v>7</v>
      </c>
      <c r="T500" s="4" t="n">
        <f aca="false">R500*K500</f>
        <v>9600000</v>
      </c>
      <c r="U500" s="9" t="n">
        <f aca="false">IFERROR(M500/S500,0)</f>
        <v>18.2857142857143</v>
      </c>
      <c r="V500" s="5" t="n">
        <v>0.16</v>
      </c>
    </row>
    <row r="501" customFormat="false" ht="15" hidden="false" customHeight="false" outlineLevel="0" collapsed="false">
      <c r="A501" s="8" t="s">
        <v>106</v>
      </c>
      <c r="B501" s="8" t="s">
        <v>30</v>
      </c>
      <c r="C501" s="8" t="s">
        <v>1364</v>
      </c>
      <c r="D501" s="8" t="n">
        <v>25425</v>
      </c>
      <c r="E501" s="8" t="s">
        <v>737</v>
      </c>
      <c r="F501" s="8" t="s">
        <v>818</v>
      </c>
      <c r="G501" s="8" t="s">
        <v>961</v>
      </c>
      <c r="H501" s="8" t="s">
        <v>51</v>
      </c>
      <c r="I501" s="8" t="s">
        <v>107</v>
      </c>
      <c r="J501" s="4" t="n">
        <v>85000</v>
      </c>
      <c r="K501" s="4" t="n">
        <v>75000</v>
      </c>
      <c r="L501" s="5" t="n">
        <v>0.11765</v>
      </c>
      <c r="M501" s="4" t="n">
        <v>90</v>
      </c>
      <c r="N501" s="4" t="n">
        <v>0</v>
      </c>
      <c r="O501" s="4" t="n">
        <v>0</v>
      </c>
      <c r="P501" s="4" t="n">
        <v>0</v>
      </c>
      <c r="Q501" s="4" t="n">
        <v>0</v>
      </c>
      <c r="R501" s="4" t="n">
        <f aca="false">M501+N501+O501+P501+Q501</f>
        <v>90</v>
      </c>
      <c r="S501" s="4" t="n">
        <v>9</v>
      </c>
      <c r="T501" s="4" t="n">
        <f aca="false">R501*K501</f>
        <v>6750000</v>
      </c>
      <c r="U501" s="9" t="n">
        <f aca="false">IFERROR(M501/S501,0)</f>
        <v>10</v>
      </c>
      <c r="V501" s="5" t="n">
        <v>0.16</v>
      </c>
    </row>
    <row r="502" customFormat="false" ht="15" hidden="false" customHeight="false" outlineLevel="0" collapsed="false">
      <c r="A502" s="8" t="s">
        <v>106</v>
      </c>
      <c r="B502" s="8" t="s">
        <v>30</v>
      </c>
      <c r="C502" s="8" t="s">
        <v>1364</v>
      </c>
      <c r="D502" s="8" t="n">
        <v>25424</v>
      </c>
      <c r="E502" s="8" t="s">
        <v>736</v>
      </c>
      <c r="F502" s="8" t="s">
        <v>818</v>
      </c>
      <c r="G502" s="8" t="s">
        <v>961</v>
      </c>
      <c r="H502" s="8" t="s">
        <v>51</v>
      </c>
      <c r="I502" s="8" t="s">
        <v>107</v>
      </c>
      <c r="J502" s="4" t="n">
        <v>85000</v>
      </c>
      <c r="K502" s="4" t="n">
        <v>75000</v>
      </c>
      <c r="L502" s="5" t="n">
        <v>0.11765</v>
      </c>
      <c r="M502" s="4" t="n">
        <v>82</v>
      </c>
      <c r="N502" s="4" t="n">
        <v>0</v>
      </c>
      <c r="O502" s="4" t="n">
        <v>0</v>
      </c>
      <c r="P502" s="4" t="n">
        <v>0</v>
      </c>
      <c r="Q502" s="4" t="n">
        <v>0</v>
      </c>
      <c r="R502" s="4" t="n">
        <f aca="false">M502+N502+O502+P502+Q502</f>
        <v>82</v>
      </c>
      <c r="S502" s="4" t="n">
        <v>7</v>
      </c>
      <c r="T502" s="4" t="n">
        <f aca="false">R502*K502</f>
        <v>6150000</v>
      </c>
      <c r="U502" s="9" t="n">
        <f aca="false">IFERROR(M502/S502,0)</f>
        <v>11.7142857142857</v>
      </c>
      <c r="V502" s="5" t="n">
        <v>0.16</v>
      </c>
    </row>
    <row r="503" customFormat="false" ht="15" hidden="false" customHeight="false" outlineLevel="0" collapsed="false">
      <c r="A503" s="8" t="s">
        <v>77</v>
      </c>
      <c r="B503" s="8" t="s">
        <v>20</v>
      </c>
      <c r="C503" s="8" t="s">
        <v>1365</v>
      </c>
      <c r="D503" s="8" t="n">
        <v>102373</v>
      </c>
      <c r="E503" s="8" t="s">
        <v>382</v>
      </c>
      <c r="F503" s="8" t="s">
        <v>809</v>
      </c>
      <c r="G503" s="8" t="s">
        <v>961</v>
      </c>
      <c r="H503" s="8" t="s">
        <v>51</v>
      </c>
      <c r="I503" s="8" t="s">
        <v>78</v>
      </c>
      <c r="J503" s="4" t="n">
        <v>219000</v>
      </c>
      <c r="K503" s="4" t="n">
        <v>200000</v>
      </c>
      <c r="L503" s="5" t="n">
        <v>0.0913</v>
      </c>
      <c r="M503" s="4" t="n">
        <v>143</v>
      </c>
      <c r="N503" s="4" t="n">
        <v>122</v>
      </c>
      <c r="O503" s="4" t="n">
        <v>3</v>
      </c>
      <c r="P503" s="4" t="n">
        <v>0</v>
      </c>
      <c r="Q503" s="4" t="n">
        <v>0</v>
      </c>
      <c r="R503" s="4" t="n">
        <f aca="false">M503+N503+O503+P503+Q503</f>
        <v>268</v>
      </c>
      <c r="S503" s="4" t="n">
        <v>22</v>
      </c>
      <c r="T503" s="4" t="n">
        <f aca="false">R503*K503</f>
        <v>53600000</v>
      </c>
      <c r="U503" s="9" t="n">
        <f aca="false">IFERROR(M503/S503,0)</f>
        <v>6.5</v>
      </c>
      <c r="V503" s="5" t="n">
        <v>0.15</v>
      </c>
    </row>
    <row r="504" customFormat="false" ht="15" hidden="false" customHeight="false" outlineLevel="0" collapsed="false">
      <c r="A504" s="8" t="s">
        <v>77</v>
      </c>
      <c r="B504" s="8" t="s">
        <v>20</v>
      </c>
      <c r="C504" s="8" t="s">
        <v>1365</v>
      </c>
      <c r="D504" s="8" t="n">
        <v>102372</v>
      </c>
      <c r="E504" s="8" t="s">
        <v>386</v>
      </c>
      <c r="F504" s="8" t="s">
        <v>809</v>
      </c>
      <c r="G504" s="8" t="s">
        <v>961</v>
      </c>
      <c r="H504" s="8" t="s">
        <v>51</v>
      </c>
      <c r="I504" s="8" t="s">
        <v>78</v>
      </c>
      <c r="J504" s="4" t="n">
        <v>219000</v>
      </c>
      <c r="K504" s="4" t="n">
        <v>200000</v>
      </c>
      <c r="L504" s="5" t="n">
        <v>0.0913</v>
      </c>
      <c r="M504" s="4" t="n">
        <v>131</v>
      </c>
      <c r="N504" s="4" t="n">
        <v>88</v>
      </c>
      <c r="O504" s="4" t="n">
        <v>4</v>
      </c>
      <c r="P504" s="4" t="n">
        <v>0</v>
      </c>
      <c r="Q504" s="4" t="n">
        <v>0</v>
      </c>
      <c r="R504" s="4" t="n">
        <f aca="false">M504+N504+O504+P504+Q504</f>
        <v>223</v>
      </c>
      <c r="S504" s="4" t="n">
        <v>22</v>
      </c>
      <c r="T504" s="4" t="n">
        <f aca="false">R504*K504</f>
        <v>44600000</v>
      </c>
      <c r="U504" s="9" t="n">
        <f aca="false">IFERROR(M504/S504,0)</f>
        <v>5.95454545454545</v>
      </c>
      <c r="V504" s="5" t="n">
        <v>0.15</v>
      </c>
    </row>
    <row r="505" customFormat="false" ht="15" hidden="false" customHeight="false" outlineLevel="0" collapsed="false">
      <c r="A505" s="8" t="s">
        <v>77</v>
      </c>
      <c r="B505" s="8" t="s">
        <v>20</v>
      </c>
      <c r="C505" s="8" t="s">
        <v>1365</v>
      </c>
      <c r="D505" s="8" t="n">
        <v>102371</v>
      </c>
      <c r="E505" s="8" t="s">
        <v>390</v>
      </c>
      <c r="F505" s="8" t="s">
        <v>809</v>
      </c>
      <c r="G505" s="8" t="s">
        <v>961</v>
      </c>
      <c r="H505" s="8" t="s">
        <v>51</v>
      </c>
      <c r="I505" s="8" t="s">
        <v>78</v>
      </c>
      <c r="J505" s="4" t="n">
        <v>219000</v>
      </c>
      <c r="K505" s="4" t="n">
        <v>200000</v>
      </c>
      <c r="L505" s="5" t="n">
        <v>0.0913</v>
      </c>
      <c r="M505" s="4" t="n">
        <v>149</v>
      </c>
      <c r="N505" s="4" t="n">
        <v>62</v>
      </c>
      <c r="O505" s="4" t="n">
        <v>5</v>
      </c>
      <c r="P505" s="4" t="n">
        <v>0</v>
      </c>
      <c r="Q505" s="4" t="n">
        <v>0</v>
      </c>
      <c r="R505" s="4" t="n">
        <f aca="false">M505+N505+O505+P505+Q505</f>
        <v>216</v>
      </c>
      <c r="S505" s="4" t="n">
        <v>22</v>
      </c>
      <c r="T505" s="4" t="n">
        <f aca="false">R505*K505</f>
        <v>43200000</v>
      </c>
      <c r="U505" s="9" t="n">
        <f aca="false">IFERROR(M505/S505,0)</f>
        <v>6.77272727272727</v>
      </c>
      <c r="V505" s="5" t="n">
        <v>0.15</v>
      </c>
    </row>
    <row r="506" customFormat="false" ht="15" hidden="false" customHeight="false" outlineLevel="0" collapsed="false">
      <c r="A506" s="8" t="s">
        <v>77</v>
      </c>
      <c r="B506" s="8" t="s">
        <v>20</v>
      </c>
      <c r="C506" s="8" t="s">
        <v>1365</v>
      </c>
      <c r="D506" s="8" t="n">
        <v>102374</v>
      </c>
      <c r="E506" s="8" t="s">
        <v>456</v>
      </c>
      <c r="F506" s="8" t="s">
        <v>809</v>
      </c>
      <c r="G506" s="8" t="s">
        <v>961</v>
      </c>
      <c r="H506" s="8" t="s">
        <v>51</v>
      </c>
      <c r="I506" s="8" t="s">
        <v>78</v>
      </c>
      <c r="J506" s="4" t="n">
        <v>219000</v>
      </c>
      <c r="K506" s="4" t="n">
        <v>200000</v>
      </c>
      <c r="L506" s="5" t="n">
        <v>0.0913</v>
      </c>
      <c r="M506" s="4" t="n">
        <v>147</v>
      </c>
      <c r="N506" s="4" t="n">
        <v>11</v>
      </c>
      <c r="O506" s="4" t="n">
        <v>4</v>
      </c>
      <c r="P506" s="4" t="n">
        <v>0</v>
      </c>
      <c r="Q506" s="4" t="n">
        <v>0</v>
      </c>
      <c r="R506" s="4" t="n">
        <f aca="false">M506+N506+O506+P506+Q506</f>
        <v>162</v>
      </c>
      <c r="S506" s="4" t="n">
        <v>23</v>
      </c>
      <c r="T506" s="4" t="n">
        <f aca="false">R506*K506</f>
        <v>32400000</v>
      </c>
      <c r="U506" s="9" t="n">
        <f aca="false">IFERROR(M506/S506,0)</f>
        <v>6.39130434782609</v>
      </c>
      <c r="V506" s="5" t="n">
        <v>0.15</v>
      </c>
    </row>
    <row r="507" customFormat="false" ht="15" hidden="false" customHeight="false" outlineLevel="0" collapsed="false">
      <c r="A507" s="8" t="s">
        <v>77</v>
      </c>
      <c r="B507" s="8" t="s">
        <v>20</v>
      </c>
      <c r="C507" s="8" t="s">
        <v>1365</v>
      </c>
      <c r="D507" s="8" t="n">
        <v>101720</v>
      </c>
      <c r="E507" s="8" t="s">
        <v>580</v>
      </c>
      <c r="F507" s="8" t="s">
        <v>809</v>
      </c>
      <c r="G507" s="8" t="s">
        <v>961</v>
      </c>
      <c r="H507" s="8" t="s">
        <v>51</v>
      </c>
      <c r="I507" s="8" t="s">
        <v>78</v>
      </c>
      <c r="J507" s="4" t="n">
        <v>259000</v>
      </c>
      <c r="K507" s="4" t="n">
        <v>240000</v>
      </c>
      <c r="L507" s="5" t="n">
        <v>0.0772</v>
      </c>
      <c r="M507" s="4" t="n">
        <v>141</v>
      </c>
      <c r="N507" s="4" t="n">
        <v>0</v>
      </c>
      <c r="O507" s="4" t="n">
        <v>5</v>
      </c>
      <c r="P507" s="4" t="n">
        <v>0</v>
      </c>
      <c r="Q507" s="4" t="n">
        <v>0</v>
      </c>
      <c r="R507" s="4" t="n">
        <f aca="false">M507+N507+O507+P507+Q507</f>
        <v>146</v>
      </c>
      <c r="S507" s="4" t="n">
        <v>22</v>
      </c>
      <c r="T507" s="4" t="n">
        <f aca="false">R507*K507</f>
        <v>35040000</v>
      </c>
      <c r="U507" s="9" t="n">
        <f aca="false">IFERROR(M507/S507,0)</f>
        <v>6.40909090909091</v>
      </c>
      <c r="V507" s="5" t="n">
        <v>0.1875</v>
      </c>
    </row>
    <row r="508" customFormat="false" ht="15" hidden="false" customHeight="false" outlineLevel="0" collapsed="false">
      <c r="A508" s="8" t="s">
        <v>77</v>
      </c>
      <c r="B508" s="8" t="s">
        <v>20</v>
      </c>
      <c r="C508" s="8" t="s">
        <v>1365</v>
      </c>
      <c r="D508" s="8" t="n">
        <v>102456</v>
      </c>
      <c r="E508" s="8" t="s">
        <v>575</v>
      </c>
      <c r="F508" s="8" t="s">
        <v>809</v>
      </c>
      <c r="G508" s="8" t="s">
        <v>961</v>
      </c>
      <c r="H508" s="8" t="s">
        <v>51</v>
      </c>
      <c r="I508" s="8" t="s">
        <v>78</v>
      </c>
      <c r="J508" s="4" t="n">
        <v>299000</v>
      </c>
      <c r="K508" s="4" t="n">
        <v>279000</v>
      </c>
      <c r="L508" s="5" t="n">
        <v>0.0669</v>
      </c>
      <c r="M508" s="4" t="n">
        <v>137</v>
      </c>
      <c r="N508" s="4" t="n">
        <v>0</v>
      </c>
      <c r="O508" s="4" t="n">
        <v>5</v>
      </c>
      <c r="P508" s="4" t="n">
        <v>0</v>
      </c>
      <c r="Q508" s="4" t="n">
        <v>0</v>
      </c>
      <c r="R508" s="4" t="n">
        <f aca="false">M508+N508+O508+P508+Q508</f>
        <v>142</v>
      </c>
      <c r="S508" s="4" t="n">
        <v>23</v>
      </c>
      <c r="T508" s="4" t="n">
        <f aca="false">R508*K508</f>
        <v>39618000</v>
      </c>
      <c r="U508" s="9" t="n">
        <f aca="false">IFERROR(M508/S508,0)</f>
        <v>5.95652173913044</v>
      </c>
      <c r="V508" s="5" t="n">
        <v>0.1935</v>
      </c>
    </row>
    <row r="509" customFormat="false" ht="15" hidden="false" customHeight="false" outlineLevel="0" collapsed="false">
      <c r="A509" s="8" t="s">
        <v>77</v>
      </c>
      <c r="B509" s="8" t="s">
        <v>20</v>
      </c>
      <c r="C509" s="8" t="s">
        <v>1365</v>
      </c>
      <c r="D509" s="8" t="n">
        <v>101750</v>
      </c>
      <c r="E509" s="8" t="s">
        <v>572</v>
      </c>
      <c r="F509" s="8" t="s">
        <v>809</v>
      </c>
      <c r="G509" s="8" t="s">
        <v>961</v>
      </c>
      <c r="H509" s="8" t="s">
        <v>51</v>
      </c>
      <c r="I509" s="8" t="s">
        <v>78</v>
      </c>
      <c r="J509" s="4" t="n">
        <v>155000</v>
      </c>
      <c r="K509" s="4" t="n">
        <v>136000</v>
      </c>
      <c r="L509" s="5" t="n">
        <v>0.129</v>
      </c>
      <c r="M509" s="4" t="n">
        <v>140</v>
      </c>
      <c r="N509" s="4" t="n">
        <v>0</v>
      </c>
      <c r="O509" s="4" t="n">
        <v>0</v>
      </c>
      <c r="P509" s="4" t="n">
        <v>0</v>
      </c>
      <c r="Q509" s="4" t="n">
        <v>0</v>
      </c>
      <c r="R509" s="4" t="n">
        <f aca="false">M509+N509+O509+P509+Q509</f>
        <v>140</v>
      </c>
      <c r="S509" s="4" t="n">
        <v>22</v>
      </c>
      <c r="T509" s="4" t="n">
        <f aca="false">R509*K509</f>
        <v>19040000</v>
      </c>
      <c r="U509" s="9" t="n">
        <f aca="false">IFERROR(M509/S509,0)</f>
        <v>6.36363636363636</v>
      </c>
      <c r="V509" s="5" t="n">
        <v>0.136</v>
      </c>
    </row>
    <row r="510" customFormat="false" ht="15" hidden="false" customHeight="false" outlineLevel="0" collapsed="false">
      <c r="A510" s="8" t="s">
        <v>77</v>
      </c>
      <c r="B510" s="8" t="s">
        <v>20</v>
      </c>
      <c r="C510" s="8" t="s">
        <v>1365</v>
      </c>
      <c r="D510" s="8" t="n">
        <v>101719</v>
      </c>
      <c r="E510" s="8" t="s">
        <v>579</v>
      </c>
      <c r="F510" s="8" t="s">
        <v>809</v>
      </c>
      <c r="G510" s="8" t="s">
        <v>961</v>
      </c>
      <c r="H510" s="8" t="s">
        <v>51</v>
      </c>
      <c r="I510" s="8" t="s">
        <v>78</v>
      </c>
      <c r="J510" s="4" t="n">
        <v>259000</v>
      </c>
      <c r="K510" s="4" t="n">
        <v>240000</v>
      </c>
      <c r="L510" s="5" t="n">
        <v>0.0772</v>
      </c>
      <c r="M510" s="4" t="n">
        <v>122</v>
      </c>
      <c r="N510" s="4" t="n">
        <v>0</v>
      </c>
      <c r="O510" s="4" t="n">
        <v>6</v>
      </c>
      <c r="P510" s="4" t="n">
        <v>0</v>
      </c>
      <c r="Q510" s="4" t="n">
        <v>0</v>
      </c>
      <c r="R510" s="4" t="n">
        <f aca="false">M510+N510+O510+P510+Q510</f>
        <v>128</v>
      </c>
      <c r="S510" s="4" t="n">
        <v>20</v>
      </c>
      <c r="T510" s="4" t="n">
        <f aca="false">R510*K510</f>
        <v>30720000</v>
      </c>
      <c r="U510" s="9" t="n">
        <f aca="false">IFERROR(M510/S510,0)</f>
        <v>6.1</v>
      </c>
      <c r="V510" s="5" t="n">
        <v>0.1875</v>
      </c>
    </row>
    <row r="511" customFormat="false" ht="15" hidden="false" customHeight="false" outlineLevel="0" collapsed="false">
      <c r="A511" s="8" t="s">
        <v>77</v>
      </c>
      <c r="B511" s="8" t="s">
        <v>20</v>
      </c>
      <c r="C511" s="8" t="s">
        <v>1365</v>
      </c>
      <c r="D511" s="8" t="n">
        <v>101873</v>
      </c>
      <c r="E511" s="8" t="s">
        <v>447</v>
      </c>
      <c r="F511" s="8" t="s">
        <v>809</v>
      </c>
      <c r="G511" s="8" t="s">
        <v>961</v>
      </c>
      <c r="H511" s="8" t="s">
        <v>51</v>
      </c>
      <c r="I511" s="8" t="s">
        <v>78</v>
      </c>
      <c r="J511" s="4" t="n">
        <v>299000</v>
      </c>
      <c r="K511" s="4" t="n">
        <v>279000</v>
      </c>
      <c r="L511" s="5" t="n">
        <v>0.0669</v>
      </c>
      <c r="M511" s="4" t="n">
        <v>99</v>
      </c>
      <c r="N511" s="4" t="n">
        <v>21</v>
      </c>
      <c r="O511" s="4" t="n">
        <v>1</v>
      </c>
      <c r="P511" s="4" t="n">
        <v>0</v>
      </c>
      <c r="Q511" s="4" t="n">
        <v>0</v>
      </c>
      <c r="R511" s="4" t="n">
        <f aca="false">M511+N511+O511+P511+Q511</f>
        <v>121</v>
      </c>
      <c r="S511" s="4" t="n">
        <v>23</v>
      </c>
      <c r="T511" s="4" t="n">
        <f aca="false">R511*K511</f>
        <v>33759000</v>
      </c>
      <c r="U511" s="9" t="n">
        <f aca="false">IFERROR(M511/S511,0)</f>
        <v>4.30434782608696</v>
      </c>
      <c r="V511" s="5" t="n">
        <v>0.1935</v>
      </c>
    </row>
    <row r="512" customFormat="false" ht="15" hidden="false" customHeight="false" outlineLevel="0" collapsed="false">
      <c r="A512" s="8" t="s">
        <v>77</v>
      </c>
      <c r="B512" s="8" t="s">
        <v>20</v>
      </c>
      <c r="C512" s="8" t="s">
        <v>1365</v>
      </c>
      <c r="D512" s="8" t="n">
        <v>101734</v>
      </c>
      <c r="E512" s="8" t="s">
        <v>578</v>
      </c>
      <c r="F512" s="8" t="s">
        <v>809</v>
      </c>
      <c r="G512" s="8" t="s">
        <v>961</v>
      </c>
      <c r="H512" s="8" t="s">
        <v>51</v>
      </c>
      <c r="I512" s="8" t="s">
        <v>78</v>
      </c>
      <c r="J512" s="4" t="n">
        <v>299000</v>
      </c>
      <c r="K512" s="4" t="n">
        <v>279000</v>
      </c>
      <c r="L512" s="5" t="n">
        <v>0.0669</v>
      </c>
      <c r="M512" s="4" t="n">
        <v>109</v>
      </c>
      <c r="N512" s="4" t="n">
        <v>0</v>
      </c>
      <c r="O512" s="4" t="n">
        <v>5</v>
      </c>
      <c r="P512" s="4" t="n">
        <v>0</v>
      </c>
      <c r="Q512" s="4" t="n">
        <v>0</v>
      </c>
      <c r="R512" s="4" t="n">
        <f aca="false">M512+N512+O512+P512+Q512</f>
        <v>114</v>
      </c>
      <c r="S512" s="4" t="n">
        <v>22</v>
      </c>
      <c r="T512" s="4" t="n">
        <f aca="false">R512*K512</f>
        <v>31806000</v>
      </c>
      <c r="U512" s="9" t="n">
        <f aca="false">IFERROR(M512/S512,0)</f>
        <v>4.95454545454545</v>
      </c>
      <c r="V512" s="5" t="n">
        <v>0.1935</v>
      </c>
    </row>
    <row r="513" customFormat="false" ht="15" hidden="false" customHeight="false" outlineLevel="0" collapsed="false">
      <c r="A513" s="8" t="s">
        <v>77</v>
      </c>
      <c r="B513" s="8" t="s">
        <v>20</v>
      </c>
      <c r="C513" s="8" t="s">
        <v>1365</v>
      </c>
      <c r="D513" s="8" t="n">
        <v>102454</v>
      </c>
      <c r="E513" s="8" t="s">
        <v>588</v>
      </c>
      <c r="F513" s="8" t="s">
        <v>809</v>
      </c>
      <c r="G513" s="8" t="s">
        <v>961</v>
      </c>
      <c r="H513" s="8" t="s">
        <v>51</v>
      </c>
      <c r="I513" s="8" t="s">
        <v>78</v>
      </c>
      <c r="J513" s="4" t="n">
        <v>268000</v>
      </c>
      <c r="K513" s="4" t="n">
        <v>249000</v>
      </c>
      <c r="L513" s="5" t="n">
        <v>0.0746</v>
      </c>
      <c r="M513" s="4" t="n">
        <v>105</v>
      </c>
      <c r="N513" s="4" t="n">
        <v>0</v>
      </c>
      <c r="O513" s="4" t="n">
        <v>6</v>
      </c>
      <c r="P513" s="4" t="n">
        <v>0</v>
      </c>
      <c r="Q513" s="4" t="n">
        <v>0</v>
      </c>
      <c r="R513" s="4" t="n">
        <f aca="false">M513+N513+O513+P513+Q513</f>
        <v>111</v>
      </c>
      <c r="S513" s="4" t="n">
        <v>22</v>
      </c>
      <c r="T513" s="4" t="n">
        <f aca="false">R513*K513</f>
        <v>27639000</v>
      </c>
      <c r="U513" s="9" t="n">
        <f aca="false">IFERROR(M513/S513,0)</f>
        <v>4.77272727272727</v>
      </c>
      <c r="V513" s="5" t="n">
        <v>0.2169</v>
      </c>
    </row>
    <row r="514" customFormat="false" ht="15" hidden="false" customHeight="false" outlineLevel="0" collapsed="false">
      <c r="A514" s="8" t="s">
        <v>77</v>
      </c>
      <c r="B514" s="8" t="s">
        <v>20</v>
      </c>
      <c r="C514" s="8" t="s">
        <v>1365</v>
      </c>
      <c r="D514" s="8" t="n">
        <v>101731</v>
      </c>
      <c r="E514" s="8" t="s">
        <v>577</v>
      </c>
      <c r="F514" s="8" t="s">
        <v>809</v>
      </c>
      <c r="G514" s="8" t="s">
        <v>961</v>
      </c>
      <c r="H514" s="8" t="s">
        <v>51</v>
      </c>
      <c r="I514" s="8" t="s">
        <v>78</v>
      </c>
      <c r="J514" s="4" t="n">
        <v>299000</v>
      </c>
      <c r="K514" s="4" t="n">
        <v>279000</v>
      </c>
      <c r="L514" s="5" t="n">
        <v>0.0669</v>
      </c>
      <c r="M514" s="4" t="n">
        <v>97</v>
      </c>
      <c r="N514" s="4" t="n">
        <v>0</v>
      </c>
      <c r="O514" s="4" t="n">
        <v>4</v>
      </c>
      <c r="P514" s="4" t="n">
        <v>0</v>
      </c>
      <c r="Q514" s="4" t="n">
        <v>0</v>
      </c>
      <c r="R514" s="4" t="n">
        <f aca="false">M514+N514+O514+P514+Q514</f>
        <v>101</v>
      </c>
      <c r="S514" s="4" t="n">
        <v>23</v>
      </c>
      <c r="T514" s="4" t="n">
        <f aca="false">R514*K514</f>
        <v>28179000</v>
      </c>
      <c r="U514" s="9" t="n">
        <f aca="false">IFERROR(M514/S514,0)</f>
        <v>4.21739130434783</v>
      </c>
      <c r="V514" s="5" t="n">
        <v>0.1935</v>
      </c>
    </row>
    <row r="515" customFormat="false" ht="15" hidden="false" customHeight="false" outlineLevel="0" collapsed="false">
      <c r="A515" s="8" t="s">
        <v>77</v>
      </c>
      <c r="B515" s="8" t="s">
        <v>20</v>
      </c>
      <c r="C515" s="8" t="s">
        <v>1365</v>
      </c>
      <c r="D515" s="8" t="n">
        <v>101733</v>
      </c>
      <c r="E515" s="8" t="s">
        <v>418</v>
      </c>
      <c r="F515" s="8" t="s">
        <v>809</v>
      </c>
      <c r="G515" s="8" t="s">
        <v>961</v>
      </c>
      <c r="H515" s="8" t="s">
        <v>51</v>
      </c>
      <c r="I515" s="8" t="s">
        <v>78</v>
      </c>
      <c r="J515" s="4" t="n">
        <v>299000</v>
      </c>
      <c r="K515" s="4" t="n">
        <v>279000</v>
      </c>
      <c r="L515" s="5" t="n">
        <v>0.0669</v>
      </c>
      <c r="M515" s="4" t="n">
        <v>92</v>
      </c>
      <c r="N515" s="4" t="n">
        <v>7</v>
      </c>
      <c r="O515" s="4" t="n">
        <v>2</v>
      </c>
      <c r="P515" s="4" t="n">
        <v>0</v>
      </c>
      <c r="Q515" s="4" t="n">
        <v>0</v>
      </c>
      <c r="R515" s="4" t="n">
        <f aca="false">M515+N515+O515+P515+Q515</f>
        <v>101</v>
      </c>
      <c r="S515" s="4" t="n">
        <v>22</v>
      </c>
      <c r="T515" s="4" t="n">
        <f aca="false">R515*K515</f>
        <v>28179000</v>
      </c>
      <c r="U515" s="9" t="n">
        <f aca="false">IFERROR(M515/S515,0)</f>
        <v>4.18181818181818</v>
      </c>
      <c r="V515" s="5" t="n">
        <v>0.1935</v>
      </c>
    </row>
    <row r="516" customFormat="false" ht="15" hidden="false" customHeight="false" outlineLevel="0" collapsed="false">
      <c r="A516" s="8" t="s">
        <v>77</v>
      </c>
      <c r="B516" s="8" t="s">
        <v>20</v>
      </c>
      <c r="C516" s="8" t="s">
        <v>1365</v>
      </c>
      <c r="D516" s="8" t="n">
        <v>101748</v>
      </c>
      <c r="E516" s="8" t="s">
        <v>571</v>
      </c>
      <c r="F516" s="8" t="s">
        <v>809</v>
      </c>
      <c r="G516" s="8" t="s">
        <v>961</v>
      </c>
      <c r="H516" s="8" t="s">
        <v>51</v>
      </c>
      <c r="I516" s="8" t="s">
        <v>78</v>
      </c>
      <c r="J516" s="4" t="n">
        <v>155000</v>
      </c>
      <c r="K516" s="4" t="n">
        <v>136000</v>
      </c>
      <c r="L516" s="5" t="n">
        <v>0.129</v>
      </c>
      <c r="M516" s="4" t="n">
        <v>88</v>
      </c>
      <c r="N516" s="4" t="n">
        <v>0</v>
      </c>
      <c r="O516" s="4" t="n">
        <v>10</v>
      </c>
      <c r="P516" s="4" t="n">
        <v>0</v>
      </c>
      <c r="Q516" s="4" t="n">
        <v>0</v>
      </c>
      <c r="R516" s="4" t="n">
        <f aca="false">M516+N516+O516+P516+Q516</f>
        <v>98</v>
      </c>
      <c r="S516" s="4" t="n">
        <v>19</v>
      </c>
      <c r="T516" s="4" t="n">
        <f aca="false">R516*K516</f>
        <v>13328000</v>
      </c>
      <c r="U516" s="9" t="n">
        <f aca="false">IFERROR(M516/S516,0)</f>
        <v>4.63157894736842</v>
      </c>
      <c r="V516" s="5" t="n">
        <v>0.136</v>
      </c>
    </row>
    <row r="517" customFormat="false" ht="15" hidden="false" customHeight="false" outlineLevel="0" collapsed="false">
      <c r="A517" s="8" t="s">
        <v>77</v>
      </c>
      <c r="B517" s="8" t="s">
        <v>20</v>
      </c>
      <c r="C517" s="8" t="s">
        <v>1365</v>
      </c>
      <c r="D517" s="8" t="n">
        <v>102453</v>
      </c>
      <c r="E517" s="8" t="s">
        <v>583</v>
      </c>
      <c r="F517" s="8" t="s">
        <v>809</v>
      </c>
      <c r="G517" s="8" t="s">
        <v>961</v>
      </c>
      <c r="H517" s="8" t="s">
        <v>51</v>
      </c>
      <c r="I517" s="8" t="s">
        <v>78</v>
      </c>
      <c r="J517" s="4" t="n">
        <v>299000</v>
      </c>
      <c r="K517" s="4" t="n">
        <v>279000</v>
      </c>
      <c r="L517" s="5" t="n">
        <v>0.0669</v>
      </c>
      <c r="M517" s="4" t="n">
        <v>89</v>
      </c>
      <c r="N517" s="4" t="n">
        <v>0</v>
      </c>
      <c r="O517" s="4" t="n">
        <v>5</v>
      </c>
      <c r="P517" s="4" t="n">
        <v>0</v>
      </c>
      <c r="Q517" s="4" t="n">
        <v>0</v>
      </c>
      <c r="R517" s="4" t="n">
        <f aca="false">M517+N517+O517+P517+Q517</f>
        <v>94</v>
      </c>
      <c r="S517" s="4" t="n">
        <v>22</v>
      </c>
      <c r="T517" s="4" t="n">
        <f aca="false">R517*K517</f>
        <v>26226000</v>
      </c>
      <c r="U517" s="9" t="n">
        <f aca="false">IFERROR(M517/S517,0)</f>
        <v>4.04545454545455</v>
      </c>
      <c r="V517" s="5" t="n">
        <v>0.1935</v>
      </c>
    </row>
    <row r="518" customFormat="false" ht="15" hidden="false" customHeight="false" outlineLevel="0" collapsed="false">
      <c r="A518" s="8" t="s">
        <v>77</v>
      </c>
      <c r="B518" s="8" t="s">
        <v>20</v>
      </c>
      <c r="C518" s="8" t="s">
        <v>1365</v>
      </c>
      <c r="D518" s="8" t="n">
        <v>101721</v>
      </c>
      <c r="E518" s="8" t="s">
        <v>581</v>
      </c>
      <c r="F518" s="8" t="s">
        <v>809</v>
      </c>
      <c r="G518" s="8" t="s">
        <v>961</v>
      </c>
      <c r="H518" s="8" t="s">
        <v>51</v>
      </c>
      <c r="I518" s="8" t="s">
        <v>78</v>
      </c>
      <c r="J518" s="4" t="n">
        <v>259000</v>
      </c>
      <c r="K518" s="4" t="n">
        <v>240000</v>
      </c>
      <c r="L518" s="5" t="n">
        <v>0.0772</v>
      </c>
      <c r="M518" s="4" t="n">
        <v>88</v>
      </c>
      <c r="N518" s="4" t="n">
        <v>0</v>
      </c>
      <c r="O518" s="4" t="n">
        <v>0</v>
      </c>
      <c r="P518" s="4" t="n">
        <v>0</v>
      </c>
      <c r="Q518" s="4" t="n">
        <v>0</v>
      </c>
      <c r="R518" s="4" t="n">
        <f aca="false">M518+N518+O518+P518+Q518</f>
        <v>88</v>
      </c>
      <c r="S518" s="4" t="n">
        <v>22</v>
      </c>
      <c r="T518" s="4" t="n">
        <f aca="false">R518*K518</f>
        <v>21120000</v>
      </c>
      <c r="U518" s="9" t="n">
        <f aca="false">IFERROR(M518/S518,0)</f>
        <v>4</v>
      </c>
      <c r="V518" s="5" t="n">
        <v>0.1875</v>
      </c>
    </row>
    <row r="519" customFormat="false" ht="15" hidden="false" customHeight="false" outlineLevel="0" collapsed="false">
      <c r="A519" s="8" t="s">
        <v>77</v>
      </c>
      <c r="B519" s="8" t="s">
        <v>20</v>
      </c>
      <c r="C519" s="8" t="s">
        <v>1365</v>
      </c>
      <c r="D519" s="8" t="n">
        <v>101722</v>
      </c>
      <c r="E519" s="8" t="s">
        <v>573</v>
      </c>
      <c r="F519" s="8" t="s">
        <v>809</v>
      </c>
      <c r="G519" s="8" t="s">
        <v>961</v>
      </c>
      <c r="H519" s="8" t="s">
        <v>51</v>
      </c>
      <c r="I519" s="8" t="s">
        <v>78</v>
      </c>
      <c r="J519" s="4" t="n">
        <v>299000</v>
      </c>
      <c r="K519" s="4" t="n">
        <v>279000</v>
      </c>
      <c r="L519" s="5" t="n">
        <v>0.0669</v>
      </c>
      <c r="M519" s="4" t="n">
        <v>81</v>
      </c>
      <c r="N519" s="4" t="n">
        <v>0</v>
      </c>
      <c r="O519" s="4" t="n">
        <v>0</v>
      </c>
      <c r="P519" s="4" t="n">
        <v>0</v>
      </c>
      <c r="Q519" s="4" t="n">
        <v>0</v>
      </c>
      <c r="R519" s="4" t="n">
        <f aca="false">M519+N519+O519+P519+Q519</f>
        <v>81</v>
      </c>
      <c r="S519" s="4" t="n">
        <v>22</v>
      </c>
      <c r="T519" s="4" t="n">
        <f aca="false">R519*K519</f>
        <v>22599000</v>
      </c>
      <c r="U519" s="9" t="n">
        <f aca="false">IFERROR(M519/S519,0)</f>
        <v>3.68181818181818</v>
      </c>
      <c r="V519" s="5" t="n">
        <v>0.1935</v>
      </c>
    </row>
    <row r="520" customFormat="false" ht="15" hidden="false" customHeight="false" outlineLevel="0" collapsed="false">
      <c r="A520" s="8" t="s">
        <v>77</v>
      </c>
      <c r="B520" s="8" t="s">
        <v>20</v>
      </c>
      <c r="C520" s="8" t="s">
        <v>1365</v>
      </c>
      <c r="D520" s="8" t="n">
        <v>102452</v>
      </c>
      <c r="E520" s="8" t="s">
        <v>587</v>
      </c>
      <c r="F520" s="8" t="s">
        <v>809</v>
      </c>
      <c r="G520" s="8" t="s">
        <v>961</v>
      </c>
      <c r="H520" s="8" t="s">
        <v>51</v>
      </c>
      <c r="I520" s="8" t="s">
        <v>78</v>
      </c>
      <c r="J520" s="4" t="n">
        <v>219000</v>
      </c>
      <c r="K520" s="4" t="n">
        <v>200000</v>
      </c>
      <c r="L520" s="5" t="n">
        <v>0.0913</v>
      </c>
      <c r="M520" s="4" t="n">
        <v>76</v>
      </c>
      <c r="N520" s="4" t="n">
        <v>0</v>
      </c>
      <c r="O520" s="4" t="n">
        <v>5</v>
      </c>
      <c r="P520" s="4" t="n">
        <v>0</v>
      </c>
      <c r="Q520" s="4" t="n">
        <v>0</v>
      </c>
      <c r="R520" s="4" t="n">
        <f aca="false">M520+N520+O520+P520+Q520</f>
        <v>81</v>
      </c>
      <c r="S520" s="4" t="n">
        <v>22</v>
      </c>
      <c r="T520" s="4" t="n">
        <f aca="false">R520*K520</f>
        <v>16200000</v>
      </c>
      <c r="U520" s="9" t="n">
        <f aca="false">IFERROR(M520/S520,0)</f>
        <v>3.45454545454545</v>
      </c>
      <c r="V520" s="5" t="n">
        <v>0.15</v>
      </c>
    </row>
    <row r="521" customFormat="false" ht="15" hidden="false" customHeight="false" outlineLevel="0" collapsed="false">
      <c r="A521" s="8" t="s">
        <v>77</v>
      </c>
      <c r="B521" s="8" t="s">
        <v>20</v>
      </c>
      <c r="C521" s="8" t="s">
        <v>1365</v>
      </c>
      <c r="D521" s="8" t="n">
        <v>101723</v>
      </c>
      <c r="E521" s="8" t="s">
        <v>574</v>
      </c>
      <c r="F521" s="8" t="s">
        <v>809</v>
      </c>
      <c r="G521" s="8" t="s">
        <v>961</v>
      </c>
      <c r="H521" s="8" t="s">
        <v>51</v>
      </c>
      <c r="I521" s="8" t="s">
        <v>78</v>
      </c>
      <c r="J521" s="4" t="n">
        <v>299000</v>
      </c>
      <c r="K521" s="4" t="n">
        <v>279000</v>
      </c>
      <c r="L521" s="5" t="n">
        <v>0.0669</v>
      </c>
      <c r="M521" s="4" t="n">
        <v>79</v>
      </c>
      <c r="N521" s="4" t="n">
        <v>0</v>
      </c>
      <c r="O521" s="4" t="n">
        <v>0</v>
      </c>
      <c r="P521" s="4" t="n">
        <v>0</v>
      </c>
      <c r="Q521" s="4" t="n">
        <v>0</v>
      </c>
      <c r="R521" s="4" t="n">
        <f aca="false">M521+N521+O521+P521+Q521</f>
        <v>79</v>
      </c>
      <c r="S521" s="4" t="n">
        <v>23</v>
      </c>
      <c r="T521" s="4" t="n">
        <f aca="false">R521*K521</f>
        <v>22041000</v>
      </c>
      <c r="U521" s="9" t="n">
        <f aca="false">IFERROR(M521/S521,0)</f>
        <v>3.43478260869565</v>
      </c>
      <c r="V521" s="5" t="n">
        <v>0.1935</v>
      </c>
    </row>
    <row r="522" customFormat="false" ht="15" hidden="false" customHeight="false" outlineLevel="0" collapsed="false">
      <c r="A522" s="8" t="s">
        <v>77</v>
      </c>
      <c r="B522" s="8" t="s">
        <v>20</v>
      </c>
      <c r="C522" s="8" t="s">
        <v>1365</v>
      </c>
      <c r="D522" s="8" t="n">
        <v>102498</v>
      </c>
      <c r="E522" s="8" t="s">
        <v>335</v>
      </c>
      <c r="F522" s="8" t="s">
        <v>829</v>
      </c>
      <c r="G522" s="8" t="s">
        <v>970</v>
      </c>
      <c r="H522" s="8" t="s">
        <v>51</v>
      </c>
      <c r="I522" s="8" t="s">
        <v>78</v>
      </c>
      <c r="J522" s="4" t="n">
        <v>419000</v>
      </c>
      <c r="K522" s="4" t="n">
        <v>400000</v>
      </c>
      <c r="L522" s="5" t="n">
        <v>0.0477</v>
      </c>
      <c r="M522" s="4" t="n">
        <v>64</v>
      </c>
      <c r="N522" s="4" t="n">
        <v>11</v>
      </c>
      <c r="O522" s="4" t="n">
        <v>0</v>
      </c>
      <c r="P522" s="4" t="n">
        <v>0</v>
      </c>
      <c r="Q522" s="4" t="n">
        <v>0</v>
      </c>
      <c r="R522" s="4" t="n">
        <f aca="false">M522+N522+O522+P522+Q522</f>
        <v>75</v>
      </c>
      <c r="S522" s="4" t="n">
        <v>20</v>
      </c>
      <c r="T522" s="4" t="n">
        <f aca="false">R522*K522</f>
        <v>30000000</v>
      </c>
      <c r="U522" s="9" t="n">
        <f aca="false">IFERROR(M522/S522,0)</f>
        <v>3.2</v>
      </c>
      <c r="V522" s="5" t="n">
        <v>1</v>
      </c>
    </row>
    <row r="523" customFormat="false" ht="15" hidden="false" customHeight="false" outlineLevel="0" collapsed="false">
      <c r="A523" s="8" t="s">
        <v>77</v>
      </c>
      <c r="B523" s="8" t="s">
        <v>20</v>
      </c>
      <c r="C523" s="8" t="s">
        <v>1365</v>
      </c>
      <c r="D523" s="8" t="n">
        <v>102493</v>
      </c>
      <c r="E523" s="8" t="s">
        <v>362</v>
      </c>
      <c r="F523" s="8" t="s">
        <v>829</v>
      </c>
      <c r="G523" s="8" t="s">
        <v>970</v>
      </c>
      <c r="H523" s="8" t="s">
        <v>51</v>
      </c>
      <c r="I523" s="8" t="s">
        <v>78</v>
      </c>
      <c r="J523" s="4" t="n">
        <v>459000</v>
      </c>
      <c r="K523" s="4" t="n">
        <v>439000</v>
      </c>
      <c r="L523" s="5" t="n">
        <v>0.0436</v>
      </c>
      <c r="M523" s="4" t="n">
        <v>68</v>
      </c>
      <c r="N523" s="4" t="n">
        <v>3</v>
      </c>
      <c r="O523" s="4" t="n">
        <v>4</v>
      </c>
      <c r="P523" s="4" t="n">
        <v>0</v>
      </c>
      <c r="Q523" s="4" t="n">
        <v>0</v>
      </c>
      <c r="R523" s="4" t="n">
        <f aca="false">M523+N523+O523+P523+Q523</f>
        <v>75</v>
      </c>
      <c r="S523" s="4" t="n">
        <v>21</v>
      </c>
      <c r="T523" s="4" t="n">
        <f aca="false">R523*K523</f>
        <v>32925000</v>
      </c>
      <c r="U523" s="9" t="n">
        <f aca="false">IFERROR(M523/S523,0)</f>
        <v>3.23809523809524</v>
      </c>
      <c r="V523" s="5" t="n">
        <v>1</v>
      </c>
    </row>
    <row r="524" customFormat="false" ht="15" hidden="false" customHeight="false" outlineLevel="0" collapsed="false">
      <c r="A524" s="8" t="s">
        <v>77</v>
      </c>
      <c r="B524" s="8" t="s">
        <v>20</v>
      </c>
      <c r="C524" s="8" t="s">
        <v>1365</v>
      </c>
      <c r="D524" s="8" t="n">
        <v>101749</v>
      </c>
      <c r="E524" s="8" t="s">
        <v>570</v>
      </c>
      <c r="F524" s="8" t="s">
        <v>809</v>
      </c>
      <c r="G524" s="8" t="s">
        <v>961</v>
      </c>
      <c r="H524" s="8" t="s">
        <v>51</v>
      </c>
      <c r="I524" s="8" t="s">
        <v>78</v>
      </c>
      <c r="J524" s="4" t="n">
        <v>155000</v>
      </c>
      <c r="K524" s="4" t="n">
        <v>136000</v>
      </c>
      <c r="L524" s="5" t="n">
        <v>0.129</v>
      </c>
      <c r="M524" s="4" t="n">
        <v>69</v>
      </c>
      <c r="N524" s="4" t="n">
        <v>0</v>
      </c>
      <c r="O524" s="4" t="n">
        <v>5</v>
      </c>
      <c r="P524" s="4" t="n">
        <v>0</v>
      </c>
      <c r="Q524" s="4" t="n">
        <v>0</v>
      </c>
      <c r="R524" s="4" t="n">
        <f aca="false">M524+N524+O524+P524+Q524</f>
        <v>74</v>
      </c>
      <c r="S524" s="4" t="n">
        <v>18</v>
      </c>
      <c r="T524" s="4" t="n">
        <f aca="false">R524*K524</f>
        <v>10064000</v>
      </c>
      <c r="U524" s="9" t="n">
        <f aca="false">IFERROR(M524/S524,0)</f>
        <v>3.83333333333333</v>
      </c>
      <c r="V524" s="5" t="n">
        <v>0.136</v>
      </c>
    </row>
    <row r="525" customFormat="false" ht="15" hidden="false" customHeight="false" outlineLevel="0" collapsed="false">
      <c r="A525" s="8" t="s">
        <v>77</v>
      </c>
      <c r="B525" s="8" t="s">
        <v>20</v>
      </c>
      <c r="C525" s="8" t="s">
        <v>1365</v>
      </c>
      <c r="D525" s="8" t="n">
        <v>102494</v>
      </c>
      <c r="E525" s="8" t="s">
        <v>582</v>
      </c>
      <c r="F525" s="8" t="s">
        <v>829</v>
      </c>
      <c r="G525" s="8" t="s">
        <v>970</v>
      </c>
      <c r="H525" s="8" t="s">
        <v>51</v>
      </c>
      <c r="I525" s="8" t="s">
        <v>78</v>
      </c>
      <c r="J525" s="4" t="n">
        <v>419000</v>
      </c>
      <c r="K525" s="4" t="n">
        <v>400000</v>
      </c>
      <c r="L525" s="5" t="n">
        <v>0.0477</v>
      </c>
      <c r="M525" s="4" t="n">
        <v>74</v>
      </c>
      <c r="N525" s="4" t="n">
        <v>0</v>
      </c>
      <c r="O525" s="4" t="n">
        <v>0</v>
      </c>
      <c r="P525" s="4" t="n">
        <v>0</v>
      </c>
      <c r="Q525" s="4" t="n">
        <v>0</v>
      </c>
      <c r="R525" s="4" t="n">
        <f aca="false">M525+N525+O525+P525+Q525</f>
        <v>74</v>
      </c>
      <c r="S525" s="4" t="n">
        <v>22</v>
      </c>
      <c r="T525" s="4" t="n">
        <f aca="false">R525*K525</f>
        <v>29600000</v>
      </c>
      <c r="U525" s="9" t="n">
        <f aca="false">IFERROR(M525/S525,0)</f>
        <v>3.36363636363636</v>
      </c>
      <c r="V525" s="5" t="n">
        <v>1</v>
      </c>
    </row>
    <row r="526" customFormat="false" ht="15" hidden="false" customHeight="false" outlineLevel="0" collapsed="false">
      <c r="A526" s="8" t="s">
        <v>77</v>
      </c>
      <c r="B526" s="8" t="s">
        <v>20</v>
      </c>
      <c r="C526" s="8" t="s">
        <v>1365</v>
      </c>
      <c r="D526" s="8" t="n">
        <v>102495</v>
      </c>
      <c r="E526" s="8" t="s">
        <v>355</v>
      </c>
      <c r="F526" s="8" t="s">
        <v>829</v>
      </c>
      <c r="G526" s="8" t="s">
        <v>970</v>
      </c>
      <c r="H526" s="8" t="s">
        <v>51</v>
      </c>
      <c r="I526" s="8" t="s">
        <v>78</v>
      </c>
      <c r="J526" s="4" t="n">
        <v>419000</v>
      </c>
      <c r="K526" s="4" t="n">
        <v>400000</v>
      </c>
      <c r="L526" s="5" t="n">
        <v>0.0477</v>
      </c>
      <c r="M526" s="4" t="n">
        <v>59</v>
      </c>
      <c r="N526" s="4" t="n">
        <v>9</v>
      </c>
      <c r="O526" s="4" t="n">
        <v>6</v>
      </c>
      <c r="P526" s="4" t="n">
        <v>0</v>
      </c>
      <c r="Q526" s="4" t="n">
        <v>0</v>
      </c>
      <c r="R526" s="4" t="n">
        <f aca="false">M526+N526+O526+P526+Q526</f>
        <v>74</v>
      </c>
      <c r="S526" s="4" t="n">
        <v>21</v>
      </c>
      <c r="T526" s="4" t="n">
        <f aca="false">R526*K526</f>
        <v>29600000</v>
      </c>
      <c r="U526" s="9" t="n">
        <f aca="false">IFERROR(M526/S526,0)</f>
        <v>2.80952380952381</v>
      </c>
      <c r="V526" s="5" t="n">
        <v>1</v>
      </c>
    </row>
    <row r="527" customFormat="false" ht="15" hidden="false" customHeight="false" outlineLevel="0" collapsed="false">
      <c r="A527" s="8" t="s">
        <v>77</v>
      </c>
      <c r="B527" s="8" t="s">
        <v>20</v>
      </c>
      <c r="C527" s="8" t="s">
        <v>1365</v>
      </c>
      <c r="D527" s="8" t="n">
        <v>102522</v>
      </c>
      <c r="E527" s="8" t="s">
        <v>584</v>
      </c>
      <c r="F527" s="8" t="s">
        <v>799</v>
      </c>
      <c r="G527" s="8" t="s">
        <v>961</v>
      </c>
      <c r="H527" s="8" t="s">
        <v>51</v>
      </c>
      <c r="I527" s="8" t="s">
        <v>78</v>
      </c>
      <c r="J527" s="4" t="n">
        <v>249000</v>
      </c>
      <c r="K527" s="4" t="n">
        <v>230000</v>
      </c>
      <c r="L527" s="5" t="n">
        <v>0.0803</v>
      </c>
      <c r="M527" s="4" t="n">
        <v>68</v>
      </c>
      <c r="N527" s="4" t="n">
        <v>0</v>
      </c>
      <c r="O527" s="4" t="n">
        <v>5</v>
      </c>
      <c r="P527" s="4" t="n">
        <v>0</v>
      </c>
      <c r="Q527" s="4" t="n">
        <v>0</v>
      </c>
      <c r="R527" s="4" t="n">
        <f aca="false">M527+N527+O527+P527+Q527</f>
        <v>73</v>
      </c>
      <c r="S527" s="4" t="n">
        <v>22</v>
      </c>
      <c r="T527" s="4" t="n">
        <f aca="false">R527*K527</f>
        <v>16790000</v>
      </c>
      <c r="U527" s="9" t="n">
        <f aca="false">IFERROR(M527/S527,0)</f>
        <v>3.09090909090909</v>
      </c>
      <c r="V527" s="5" t="n">
        <v>0.1867</v>
      </c>
    </row>
    <row r="528" customFormat="false" ht="15" hidden="false" customHeight="false" outlineLevel="0" collapsed="false">
      <c r="A528" s="8" t="s">
        <v>77</v>
      </c>
      <c r="B528" s="8" t="s">
        <v>20</v>
      </c>
      <c r="C528" s="8" t="s">
        <v>1365</v>
      </c>
      <c r="D528" s="8" t="n">
        <v>101752</v>
      </c>
      <c r="E528" s="8" t="s">
        <v>569</v>
      </c>
      <c r="F528" s="8" t="s">
        <v>809</v>
      </c>
      <c r="G528" s="8" t="s">
        <v>961</v>
      </c>
      <c r="H528" s="8" t="s">
        <v>51</v>
      </c>
      <c r="I528" s="8" t="s">
        <v>78</v>
      </c>
      <c r="J528" s="4" t="n">
        <v>155000</v>
      </c>
      <c r="K528" s="4" t="n">
        <v>136000</v>
      </c>
      <c r="L528" s="5" t="n">
        <v>0.129</v>
      </c>
      <c r="M528" s="4" t="n">
        <v>68</v>
      </c>
      <c r="N528" s="4" t="n">
        <v>0</v>
      </c>
      <c r="O528" s="4" t="n">
        <v>3</v>
      </c>
      <c r="P528" s="4" t="n">
        <v>0</v>
      </c>
      <c r="Q528" s="4" t="n">
        <v>0</v>
      </c>
      <c r="R528" s="4" t="n">
        <f aca="false">M528+N528+O528+P528+Q528</f>
        <v>71</v>
      </c>
      <c r="S528" s="4" t="n">
        <v>18</v>
      </c>
      <c r="T528" s="4" t="n">
        <f aca="false">R528*K528</f>
        <v>9656000</v>
      </c>
      <c r="U528" s="9" t="n">
        <f aca="false">IFERROR(M528/S528,0)</f>
        <v>3.77777777777778</v>
      </c>
      <c r="V528" s="5" t="n">
        <v>0.136</v>
      </c>
    </row>
    <row r="529" customFormat="false" ht="15" hidden="false" customHeight="false" outlineLevel="0" collapsed="false">
      <c r="A529" s="8" t="s">
        <v>77</v>
      </c>
      <c r="B529" s="8" t="s">
        <v>20</v>
      </c>
      <c r="C529" s="8" t="s">
        <v>1365</v>
      </c>
      <c r="D529" s="8" t="n">
        <v>102515</v>
      </c>
      <c r="E529" s="8" t="s">
        <v>586</v>
      </c>
      <c r="F529" s="8" t="s">
        <v>799</v>
      </c>
      <c r="G529" s="8" t="s">
        <v>961</v>
      </c>
      <c r="H529" s="8" t="s">
        <v>51</v>
      </c>
      <c r="I529" s="8" t="s">
        <v>78</v>
      </c>
      <c r="J529" s="4" t="n">
        <v>359000</v>
      </c>
      <c r="K529" s="4" t="n">
        <v>340000</v>
      </c>
      <c r="L529" s="5" t="n">
        <v>0.0557</v>
      </c>
      <c r="M529" s="4" t="n">
        <v>66</v>
      </c>
      <c r="N529" s="4" t="n">
        <v>0</v>
      </c>
      <c r="O529" s="4" t="n">
        <v>5</v>
      </c>
      <c r="P529" s="4" t="n">
        <v>0</v>
      </c>
      <c r="Q529" s="4" t="n">
        <v>0</v>
      </c>
      <c r="R529" s="4" t="n">
        <f aca="false">M529+N529+O529+P529+Q529</f>
        <v>71</v>
      </c>
      <c r="S529" s="4" t="n">
        <v>22</v>
      </c>
      <c r="T529" s="4" t="n">
        <f aca="false">R529*K529</f>
        <v>24140000</v>
      </c>
      <c r="U529" s="9" t="n">
        <f aca="false">IFERROR(M529/S529,0)</f>
        <v>3</v>
      </c>
      <c r="V529" s="5" t="n">
        <v>0.1618</v>
      </c>
    </row>
    <row r="530" customFormat="false" ht="15" hidden="false" customHeight="false" outlineLevel="0" collapsed="false">
      <c r="A530" s="8" t="s">
        <v>77</v>
      </c>
      <c r="B530" s="8" t="s">
        <v>20</v>
      </c>
      <c r="C530" s="8" t="s">
        <v>1365</v>
      </c>
      <c r="D530" s="8" t="n">
        <v>102514</v>
      </c>
      <c r="E530" s="8" t="s">
        <v>585</v>
      </c>
      <c r="F530" s="8" t="s">
        <v>799</v>
      </c>
      <c r="G530" s="8" t="s">
        <v>961</v>
      </c>
      <c r="H530" s="8" t="s">
        <v>51</v>
      </c>
      <c r="I530" s="8" t="s">
        <v>78</v>
      </c>
      <c r="J530" s="4" t="n">
        <v>359000</v>
      </c>
      <c r="K530" s="4" t="n">
        <v>340000</v>
      </c>
      <c r="L530" s="5" t="n">
        <v>0.0557</v>
      </c>
      <c r="M530" s="4" t="n">
        <v>63</v>
      </c>
      <c r="N530" s="4" t="n">
        <v>0</v>
      </c>
      <c r="O530" s="4" t="n">
        <v>5</v>
      </c>
      <c r="P530" s="4" t="n">
        <v>0</v>
      </c>
      <c r="Q530" s="4" t="n">
        <v>0</v>
      </c>
      <c r="R530" s="4" t="n">
        <f aca="false">M530+N530+O530+P530+Q530</f>
        <v>68</v>
      </c>
      <c r="S530" s="4" t="n">
        <v>21</v>
      </c>
      <c r="T530" s="4" t="n">
        <f aca="false">R530*K530</f>
        <v>23120000</v>
      </c>
      <c r="U530" s="9" t="n">
        <f aca="false">IFERROR(M530/S530,0)</f>
        <v>3</v>
      </c>
      <c r="V530" s="5" t="n">
        <v>0.1618</v>
      </c>
    </row>
    <row r="531" customFormat="false" ht="15" hidden="false" customHeight="false" outlineLevel="0" collapsed="false">
      <c r="A531" s="8" t="s">
        <v>77</v>
      </c>
      <c r="B531" s="8" t="s">
        <v>20</v>
      </c>
      <c r="C531" s="8" t="s">
        <v>1365</v>
      </c>
      <c r="D531" s="8" t="n">
        <v>102497</v>
      </c>
      <c r="E531" s="8" t="s">
        <v>566</v>
      </c>
      <c r="F531" s="8" t="s">
        <v>829</v>
      </c>
      <c r="G531" s="8" t="s">
        <v>970</v>
      </c>
      <c r="H531" s="8" t="s">
        <v>51</v>
      </c>
      <c r="I531" s="8" t="s">
        <v>78</v>
      </c>
      <c r="J531" s="4" t="n">
        <v>309000</v>
      </c>
      <c r="K531" s="4" t="n">
        <v>290000</v>
      </c>
      <c r="L531" s="5" t="n">
        <v>0.0647</v>
      </c>
      <c r="M531" s="4" t="n">
        <v>58</v>
      </c>
      <c r="N531" s="4" t="n">
        <v>0</v>
      </c>
      <c r="O531" s="4" t="n">
        <v>5</v>
      </c>
      <c r="P531" s="4" t="n">
        <v>0</v>
      </c>
      <c r="Q531" s="4" t="n">
        <v>0</v>
      </c>
      <c r="R531" s="4" t="n">
        <f aca="false">M531+N531+O531+P531+Q531</f>
        <v>63</v>
      </c>
      <c r="S531" s="4" t="n">
        <v>22</v>
      </c>
      <c r="T531" s="4" t="n">
        <f aca="false">R531*K531</f>
        <v>18270000</v>
      </c>
      <c r="U531" s="9" t="n">
        <f aca="false">IFERROR(M531/S531,0)</f>
        <v>2.63636363636364</v>
      </c>
      <c r="V531" s="5" t="n">
        <v>1</v>
      </c>
    </row>
    <row r="532" customFormat="false" ht="15" hidden="false" customHeight="false" outlineLevel="0" collapsed="false">
      <c r="A532" s="8" t="s">
        <v>77</v>
      </c>
      <c r="B532" s="8" t="s">
        <v>20</v>
      </c>
      <c r="C532" s="8" t="s">
        <v>1365</v>
      </c>
      <c r="D532" s="8" t="n">
        <v>102496</v>
      </c>
      <c r="E532" s="8" t="s">
        <v>567</v>
      </c>
      <c r="F532" s="8" t="s">
        <v>829</v>
      </c>
      <c r="G532" s="8" t="s">
        <v>970</v>
      </c>
      <c r="H532" s="8" t="s">
        <v>51</v>
      </c>
      <c r="I532" s="8" t="s">
        <v>78</v>
      </c>
      <c r="J532" s="4" t="n">
        <v>309000</v>
      </c>
      <c r="K532" s="4" t="n">
        <v>290000</v>
      </c>
      <c r="L532" s="5" t="n">
        <v>0.0647</v>
      </c>
      <c r="M532" s="4" t="n">
        <v>54</v>
      </c>
      <c r="N532" s="4" t="n">
        <v>0</v>
      </c>
      <c r="O532" s="4" t="n">
        <v>5</v>
      </c>
      <c r="P532" s="4" t="n">
        <v>0</v>
      </c>
      <c r="Q532" s="4" t="n">
        <v>0</v>
      </c>
      <c r="R532" s="4" t="n">
        <f aca="false">M532+N532+O532+P532+Q532</f>
        <v>59</v>
      </c>
      <c r="S532" s="4" t="n">
        <v>19</v>
      </c>
      <c r="T532" s="4" t="n">
        <f aca="false">R532*K532</f>
        <v>17110000</v>
      </c>
      <c r="U532" s="9" t="n">
        <f aca="false">IFERROR(M532/S532,0)</f>
        <v>2.84210526315789</v>
      </c>
      <c r="V532" s="5" t="n">
        <v>1</v>
      </c>
    </row>
    <row r="533" customFormat="false" ht="15" hidden="false" customHeight="false" outlineLevel="0" collapsed="false">
      <c r="A533" s="8" t="s">
        <v>77</v>
      </c>
      <c r="B533" s="8" t="s">
        <v>20</v>
      </c>
      <c r="C533" s="8" t="s">
        <v>1365</v>
      </c>
      <c r="D533" s="8" t="n">
        <v>101751</v>
      </c>
      <c r="E533" s="8" t="s">
        <v>568</v>
      </c>
      <c r="F533" s="8" t="s">
        <v>809</v>
      </c>
      <c r="G533" s="8" t="s">
        <v>961</v>
      </c>
      <c r="H533" s="8" t="s">
        <v>51</v>
      </c>
      <c r="I533" s="8" t="s">
        <v>78</v>
      </c>
      <c r="J533" s="4" t="n">
        <v>155000</v>
      </c>
      <c r="K533" s="4" t="n">
        <v>136000</v>
      </c>
      <c r="L533" s="5" t="n">
        <v>0.129</v>
      </c>
      <c r="M533" s="4" t="n">
        <v>54</v>
      </c>
      <c r="N533" s="4" t="n">
        <v>0</v>
      </c>
      <c r="O533" s="4" t="n">
        <v>5</v>
      </c>
      <c r="P533" s="4" t="n">
        <v>0</v>
      </c>
      <c r="Q533" s="4" t="n">
        <v>0</v>
      </c>
      <c r="R533" s="4" t="n">
        <f aca="false">M533+N533+O533+P533+Q533</f>
        <v>59</v>
      </c>
      <c r="S533" s="4" t="n">
        <v>19</v>
      </c>
      <c r="T533" s="4" t="n">
        <f aca="false">R533*K533</f>
        <v>8024000</v>
      </c>
      <c r="U533" s="9" t="n">
        <f aca="false">IFERROR(M533/S533,0)</f>
        <v>2.84210526315789</v>
      </c>
      <c r="V533" s="5" t="n">
        <v>0.136</v>
      </c>
    </row>
    <row r="534" customFormat="false" ht="15" hidden="false" customHeight="false" outlineLevel="0" collapsed="false">
      <c r="A534" s="8" t="s">
        <v>77</v>
      </c>
      <c r="B534" s="8" t="s">
        <v>20</v>
      </c>
      <c r="C534" s="8" t="s">
        <v>1365</v>
      </c>
      <c r="D534" s="8" t="n">
        <v>102492</v>
      </c>
      <c r="E534" s="8" t="s">
        <v>576</v>
      </c>
      <c r="F534" s="8" t="s">
        <v>829</v>
      </c>
      <c r="G534" s="8" t="s">
        <v>970</v>
      </c>
      <c r="H534" s="8" t="s">
        <v>51</v>
      </c>
      <c r="I534" s="8" t="s">
        <v>78</v>
      </c>
      <c r="J534" s="4" t="n">
        <v>279000</v>
      </c>
      <c r="K534" s="4" t="n">
        <v>259000</v>
      </c>
      <c r="L534" s="5" t="n">
        <v>0.0717</v>
      </c>
      <c r="M534" s="4" t="n">
        <v>58</v>
      </c>
      <c r="N534" s="4" t="n">
        <v>0</v>
      </c>
      <c r="O534" s="4" t="n">
        <v>0</v>
      </c>
      <c r="P534" s="4" t="n">
        <v>0</v>
      </c>
      <c r="Q534" s="4" t="n">
        <v>0</v>
      </c>
      <c r="R534" s="4" t="n">
        <f aca="false">M534+N534+O534+P534+Q534</f>
        <v>58</v>
      </c>
      <c r="S534" s="4" t="n">
        <v>14</v>
      </c>
      <c r="T534" s="4" t="n">
        <f aca="false">R534*K534</f>
        <v>15022000</v>
      </c>
      <c r="U534" s="9" t="n">
        <f aca="false">IFERROR(M534/S534,0)</f>
        <v>4.14285714285714</v>
      </c>
      <c r="V534" s="5" t="n">
        <v>1</v>
      </c>
    </row>
    <row r="535" customFormat="false" ht="15" hidden="false" customHeight="false" outlineLevel="0" collapsed="false">
      <c r="A535" s="8" t="s">
        <v>77</v>
      </c>
      <c r="B535" s="8" t="s">
        <v>20</v>
      </c>
      <c r="C535" s="8" t="s">
        <v>1365</v>
      </c>
      <c r="D535" s="8" t="n">
        <v>102491</v>
      </c>
      <c r="E535" s="8" t="s">
        <v>309</v>
      </c>
      <c r="F535" s="8" t="s">
        <v>829</v>
      </c>
      <c r="G535" s="8" t="s">
        <v>970</v>
      </c>
      <c r="H535" s="8" t="s">
        <v>51</v>
      </c>
      <c r="I535" s="8" t="s">
        <v>78</v>
      </c>
      <c r="J535" s="4" t="n">
        <v>429000</v>
      </c>
      <c r="K535" s="4" t="n">
        <v>410000</v>
      </c>
      <c r="L535" s="5" t="n">
        <v>0.0466</v>
      </c>
      <c r="M535" s="4" t="n">
        <v>48</v>
      </c>
      <c r="N535" s="4" t="n">
        <v>4</v>
      </c>
      <c r="O535" s="4" t="n">
        <v>5</v>
      </c>
      <c r="P535" s="4" t="n">
        <v>0</v>
      </c>
      <c r="Q535" s="4" t="n">
        <v>0</v>
      </c>
      <c r="R535" s="4" t="n">
        <f aca="false">M535+N535+O535+P535+Q535</f>
        <v>57</v>
      </c>
      <c r="S535" s="4" t="n">
        <v>18</v>
      </c>
      <c r="T535" s="4" t="n">
        <f aca="false">R535*K535</f>
        <v>23370000</v>
      </c>
      <c r="U535" s="9" t="n">
        <f aca="false">IFERROR(M535/S535,0)</f>
        <v>2.66666666666667</v>
      </c>
      <c r="V535" s="5" t="n">
        <v>1</v>
      </c>
    </row>
    <row r="536" customFormat="false" ht="15" hidden="false" customHeight="false" outlineLevel="0" collapsed="false">
      <c r="A536" s="8" t="s">
        <v>77</v>
      </c>
      <c r="B536" s="8" t="s">
        <v>20</v>
      </c>
      <c r="C536" s="8" t="s">
        <v>1365</v>
      </c>
      <c r="D536" s="8" t="n">
        <v>231176</v>
      </c>
      <c r="E536" s="8" t="s">
        <v>589</v>
      </c>
      <c r="F536" s="8" t="s">
        <v>809</v>
      </c>
      <c r="G536" s="8" t="s">
        <v>961</v>
      </c>
      <c r="H536" s="8" t="s">
        <v>51</v>
      </c>
      <c r="I536" s="8" t="s">
        <v>78</v>
      </c>
      <c r="J536" s="4" t="n">
        <v>169000</v>
      </c>
      <c r="K536" s="4" t="n">
        <v>150000</v>
      </c>
      <c r="L536" s="5" t="n">
        <v>0.1183</v>
      </c>
      <c r="M536" s="4" t="n">
        <v>56</v>
      </c>
      <c r="N536" s="4" t="n">
        <v>0</v>
      </c>
      <c r="O536" s="4" t="n">
        <v>0</v>
      </c>
      <c r="P536" s="4" t="n">
        <v>0</v>
      </c>
      <c r="Q536" s="4" t="n">
        <v>0</v>
      </c>
      <c r="R536" s="4" t="n">
        <f aca="false">M536+N536+O536+P536+Q536</f>
        <v>56</v>
      </c>
      <c r="S536" s="4" t="n">
        <v>21</v>
      </c>
      <c r="T536" s="4" t="n">
        <f aca="false">R536*K536</f>
        <v>8400000</v>
      </c>
      <c r="U536" s="9" t="n">
        <f aca="false">IFERROR(M536/S536,0)</f>
        <v>2.66666666666667</v>
      </c>
      <c r="V536" s="5" t="n">
        <v>0.1333</v>
      </c>
    </row>
    <row r="537" customFormat="false" ht="15" hidden="false" customHeight="false" outlineLevel="0" collapsed="false">
      <c r="A537" s="8" t="s">
        <v>77</v>
      </c>
      <c r="B537" s="8" t="s">
        <v>20</v>
      </c>
      <c r="C537" s="8" t="s">
        <v>1365</v>
      </c>
      <c r="D537" s="8" t="n">
        <v>231174</v>
      </c>
      <c r="E537" s="8" t="s">
        <v>1366</v>
      </c>
      <c r="F537" s="8" t="s">
        <v>809</v>
      </c>
      <c r="G537" s="8" t="s">
        <v>961</v>
      </c>
      <c r="H537" s="8" t="s">
        <v>51</v>
      </c>
      <c r="I537" s="8" t="s">
        <v>78</v>
      </c>
      <c r="J537" s="4" t="n">
        <v>235000</v>
      </c>
      <c r="K537" s="4" t="n">
        <v>216000</v>
      </c>
      <c r="L537" s="5" t="n">
        <v>0.0851</v>
      </c>
      <c r="M537" s="4" t="n">
        <v>49</v>
      </c>
      <c r="N537" s="4" t="n">
        <v>0</v>
      </c>
      <c r="O537" s="4" t="n">
        <v>0</v>
      </c>
      <c r="P537" s="4" t="n">
        <v>0</v>
      </c>
      <c r="Q537" s="4" t="n">
        <v>0</v>
      </c>
      <c r="R537" s="4" t="n">
        <f aca="false">M537+N537+O537+P537+Q537</f>
        <v>49</v>
      </c>
      <c r="S537" s="4" t="n">
        <v>22</v>
      </c>
      <c r="T537" s="4" t="n">
        <f aca="false">R537*K537</f>
        <v>10584000</v>
      </c>
      <c r="U537" s="9" t="n">
        <f aca="false">IFERROR(M537/S537,0)</f>
        <v>2.22727272727273</v>
      </c>
      <c r="V537" s="5" t="n">
        <v>0.1667</v>
      </c>
    </row>
    <row r="538" customFormat="false" ht="15" hidden="false" customHeight="false" outlineLevel="0" collapsed="false">
      <c r="A538" s="8" t="s">
        <v>77</v>
      </c>
      <c r="B538" s="8" t="s">
        <v>20</v>
      </c>
      <c r="C538" s="8" t="s">
        <v>1365</v>
      </c>
      <c r="D538" s="8" t="n">
        <v>231177</v>
      </c>
      <c r="E538" s="8" t="s">
        <v>1367</v>
      </c>
      <c r="F538" s="8" t="s">
        <v>809</v>
      </c>
      <c r="G538" s="8" t="s">
        <v>961</v>
      </c>
      <c r="H538" s="8" t="s">
        <v>51</v>
      </c>
      <c r="I538" s="8" t="s">
        <v>78</v>
      </c>
      <c r="J538" s="4" t="n">
        <v>169000</v>
      </c>
      <c r="K538" s="4" t="n">
        <v>150000</v>
      </c>
      <c r="L538" s="5" t="n">
        <v>0.1183</v>
      </c>
      <c r="M538" s="4" t="n">
        <v>29</v>
      </c>
      <c r="N538" s="4" t="n">
        <v>0</v>
      </c>
      <c r="O538" s="4" t="n">
        <v>0</v>
      </c>
      <c r="P538" s="4" t="n">
        <v>0</v>
      </c>
      <c r="Q538" s="4" t="n">
        <v>0</v>
      </c>
      <c r="R538" s="4" t="n">
        <f aca="false">M538+N538+O538+P538+Q538</f>
        <v>29</v>
      </c>
      <c r="S538" s="4" t="n">
        <v>14</v>
      </c>
      <c r="T538" s="4" t="n">
        <f aca="false">R538*K538</f>
        <v>4350000</v>
      </c>
      <c r="U538" s="9" t="n">
        <f aca="false">IFERROR(M538/S538,0)</f>
        <v>2.07142857142857</v>
      </c>
      <c r="V538" s="5" t="n">
        <v>0.1333</v>
      </c>
    </row>
    <row r="539" customFormat="false" ht="15" hidden="false" customHeight="false" outlineLevel="0" collapsed="false">
      <c r="A539" s="8" t="s">
        <v>77</v>
      </c>
      <c r="B539" s="8" t="s">
        <v>20</v>
      </c>
      <c r="C539" s="8" t="s">
        <v>1365</v>
      </c>
      <c r="D539" s="8" t="n">
        <v>101730</v>
      </c>
      <c r="E539" s="8" t="s">
        <v>1368</v>
      </c>
      <c r="F539" s="8" t="s">
        <v>770</v>
      </c>
      <c r="G539" s="8" t="s">
        <v>961</v>
      </c>
      <c r="H539" s="8" t="s">
        <v>51</v>
      </c>
      <c r="I539" s="8" t="s">
        <v>78</v>
      </c>
      <c r="J539" s="4" t="n">
        <v>299000</v>
      </c>
      <c r="K539" s="4" t="n">
        <v>279000</v>
      </c>
      <c r="L539" s="5" t="n">
        <v>0.0669</v>
      </c>
      <c r="M539" s="4" t="n">
        <v>26</v>
      </c>
      <c r="N539" s="4" t="n">
        <v>0</v>
      </c>
      <c r="O539" s="4" t="n">
        <v>0</v>
      </c>
      <c r="P539" s="4" t="n">
        <v>0</v>
      </c>
      <c r="Q539" s="4" t="n">
        <v>0</v>
      </c>
      <c r="R539" s="4" t="n">
        <f aca="false">M539+N539+O539+P539+Q539</f>
        <v>26</v>
      </c>
      <c r="S539" s="4" t="n">
        <v>12</v>
      </c>
      <c r="T539" s="4" t="n">
        <f aca="false">R539*K539</f>
        <v>7254000</v>
      </c>
      <c r="U539" s="9" t="n">
        <f aca="false">IFERROR(M539/S539,0)</f>
        <v>2.16666666666667</v>
      </c>
      <c r="V539" s="5" t="n">
        <v>0.1935</v>
      </c>
    </row>
    <row r="540" customFormat="false" ht="15" hidden="false" customHeight="false" outlineLevel="0" collapsed="false">
      <c r="A540" s="8" t="s">
        <v>77</v>
      </c>
      <c r="B540" s="8" t="s">
        <v>20</v>
      </c>
      <c r="C540" s="8" t="s">
        <v>1365</v>
      </c>
      <c r="D540" s="8" t="n">
        <v>101732</v>
      </c>
      <c r="E540" s="8" t="s">
        <v>1369</v>
      </c>
      <c r="F540" s="8" t="s">
        <v>770</v>
      </c>
      <c r="G540" s="8" t="s">
        <v>961</v>
      </c>
      <c r="H540" s="8" t="s">
        <v>51</v>
      </c>
      <c r="I540" s="8" t="s">
        <v>78</v>
      </c>
      <c r="J540" s="4" t="n">
        <v>219000</v>
      </c>
      <c r="K540" s="4" t="n">
        <v>200000</v>
      </c>
      <c r="L540" s="5" t="n">
        <v>0.0913</v>
      </c>
      <c r="M540" s="4" t="n">
        <v>19</v>
      </c>
      <c r="N540" s="4" t="n">
        <v>0</v>
      </c>
      <c r="O540" s="4" t="n">
        <v>0</v>
      </c>
      <c r="P540" s="4" t="n">
        <v>0</v>
      </c>
      <c r="Q540" s="4" t="n">
        <v>0</v>
      </c>
      <c r="R540" s="4" t="n">
        <f aca="false">M540+N540+O540+P540+Q540</f>
        <v>19</v>
      </c>
      <c r="S540" s="4" t="n">
        <v>4</v>
      </c>
      <c r="T540" s="4" t="n">
        <f aca="false">R540*K540</f>
        <v>3800000</v>
      </c>
      <c r="U540" s="9" t="n">
        <f aca="false">IFERROR(M540/S540,0)</f>
        <v>4.75</v>
      </c>
      <c r="V540" s="5" t="n">
        <v>0.15</v>
      </c>
    </row>
    <row r="541" customFormat="false" ht="15" hidden="false" customHeight="false" outlineLevel="0" collapsed="false">
      <c r="A541" s="8" t="s">
        <v>77</v>
      </c>
      <c r="B541" s="8" t="s">
        <v>20</v>
      </c>
      <c r="C541" s="8" t="s">
        <v>1365</v>
      </c>
      <c r="D541" s="8" t="n">
        <v>101765</v>
      </c>
      <c r="E541" s="8" t="s">
        <v>1370</v>
      </c>
      <c r="F541" s="8" t="s">
        <v>770</v>
      </c>
      <c r="G541" s="8" t="s">
        <v>961</v>
      </c>
      <c r="H541" s="8" t="s">
        <v>51</v>
      </c>
      <c r="I541" s="8" t="s">
        <v>78</v>
      </c>
      <c r="J541" s="4" t="n">
        <v>299000</v>
      </c>
      <c r="K541" s="4" t="n">
        <v>279000</v>
      </c>
      <c r="L541" s="5" t="n">
        <v>0.0669</v>
      </c>
      <c r="M541" s="4" t="n">
        <v>13</v>
      </c>
      <c r="N541" s="4" t="n">
        <v>0</v>
      </c>
      <c r="O541" s="4" t="n">
        <v>0</v>
      </c>
      <c r="P541" s="4" t="n">
        <v>0</v>
      </c>
      <c r="Q541" s="4" t="n">
        <v>0</v>
      </c>
      <c r="R541" s="4" t="n">
        <f aca="false">M541+N541+O541+P541+Q541</f>
        <v>13</v>
      </c>
      <c r="S541" s="4" t="n">
        <v>5</v>
      </c>
      <c r="T541" s="4" t="n">
        <f aca="false">R541*K541</f>
        <v>3627000</v>
      </c>
      <c r="U541" s="9" t="n">
        <f aca="false">IFERROR(M541/S541,0)</f>
        <v>2.6</v>
      </c>
      <c r="V541" s="5" t="n">
        <v>0.1935</v>
      </c>
    </row>
    <row r="542" customFormat="false" ht="15" hidden="false" customHeight="false" outlineLevel="0" collapsed="false">
      <c r="A542" s="8" t="s">
        <v>77</v>
      </c>
      <c r="B542" s="8" t="s">
        <v>20</v>
      </c>
      <c r="C542" s="8" t="s">
        <v>1365</v>
      </c>
      <c r="D542" s="8" t="n">
        <v>101846</v>
      </c>
      <c r="E542" s="8" t="s">
        <v>1371</v>
      </c>
      <c r="F542" s="8" t="s">
        <v>770</v>
      </c>
      <c r="G542" s="8" t="s">
        <v>961</v>
      </c>
      <c r="H542" s="8" t="s">
        <v>51</v>
      </c>
      <c r="I542" s="8" t="s">
        <v>78</v>
      </c>
      <c r="J542" s="4" t="n">
        <v>219000</v>
      </c>
      <c r="K542" s="4" t="n">
        <v>200000</v>
      </c>
      <c r="L542" s="5" t="n">
        <v>0.0913</v>
      </c>
      <c r="M542" s="4" t="n">
        <v>12</v>
      </c>
      <c r="N542" s="4" t="n">
        <v>0</v>
      </c>
      <c r="O542" s="4" t="n">
        <v>0</v>
      </c>
      <c r="P542" s="4" t="n">
        <v>0</v>
      </c>
      <c r="Q542" s="4" t="n">
        <v>0</v>
      </c>
      <c r="R542" s="4" t="n">
        <f aca="false">M542+N542+O542+P542+Q542</f>
        <v>12</v>
      </c>
      <c r="S542" s="4" t="n">
        <v>8</v>
      </c>
      <c r="T542" s="4" t="n">
        <f aca="false">R542*K542</f>
        <v>2400000</v>
      </c>
      <c r="U542" s="9" t="n">
        <f aca="false">IFERROR(M542/S542,0)</f>
        <v>1.5</v>
      </c>
      <c r="V542" s="5" t="n">
        <v>0.15</v>
      </c>
    </row>
    <row r="543" customFormat="false" ht="15" hidden="false" customHeight="false" outlineLevel="0" collapsed="false">
      <c r="A543" s="8" t="s">
        <v>77</v>
      </c>
      <c r="B543" s="8" t="s">
        <v>20</v>
      </c>
      <c r="C543" s="8" t="s">
        <v>1365</v>
      </c>
      <c r="D543" s="8" t="n">
        <v>101747</v>
      </c>
      <c r="E543" s="8" t="s">
        <v>1372</v>
      </c>
      <c r="F543" s="8" t="s">
        <v>770</v>
      </c>
      <c r="G543" s="8" t="s">
        <v>961</v>
      </c>
      <c r="H543" s="8" t="s">
        <v>51</v>
      </c>
      <c r="I543" s="8" t="s">
        <v>78</v>
      </c>
      <c r="J543" s="4" t="n">
        <v>268000</v>
      </c>
      <c r="K543" s="4" t="n">
        <v>249000</v>
      </c>
      <c r="L543" s="5" t="n">
        <v>0.0746</v>
      </c>
      <c r="M543" s="4" t="n">
        <v>3</v>
      </c>
      <c r="N543" s="4" t="n">
        <v>0</v>
      </c>
      <c r="O543" s="4" t="n">
        <v>0</v>
      </c>
      <c r="P543" s="4" t="n">
        <v>0</v>
      </c>
      <c r="Q543" s="4" t="n">
        <v>0</v>
      </c>
      <c r="R543" s="4" t="n">
        <f aca="false">M543+N543+O543+P543+Q543</f>
        <v>3</v>
      </c>
      <c r="S543" s="4" t="n">
        <v>1</v>
      </c>
      <c r="T543" s="4" t="n">
        <f aca="false">R543*K543</f>
        <v>747000</v>
      </c>
      <c r="U543" s="9" t="n">
        <f aca="false">IFERROR(M543/S543,0)</f>
        <v>3</v>
      </c>
      <c r="V543" s="5" t="n">
        <v>0.2169</v>
      </c>
    </row>
    <row r="544" customFormat="false" ht="15" hidden="false" customHeight="false" outlineLevel="0" collapsed="false">
      <c r="A544" s="8" t="s">
        <v>77</v>
      </c>
      <c r="B544" s="8" t="s">
        <v>20</v>
      </c>
      <c r="C544" s="8" t="s">
        <v>1365</v>
      </c>
      <c r="D544" s="8" t="n">
        <v>101845</v>
      </c>
      <c r="E544" s="8" t="s">
        <v>1373</v>
      </c>
      <c r="F544" s="8" t="s">
        <v>770</v>
      </c>
      <c r="G544" s="8" t="s">
        <v>961</v>
      </c>
      <c r="H544" s="8" t="s">
        <v>51</v>
      </c>
      <c r="I544" s="8" t="s">
        <v>78</v>
      </c>
      <c r="J544" s="4" t="n">
        <v>219000</v>
      </c>
      <c r="K544" s="4" t="n">
        <v>200000</v>
      </c>
      <c r="L544" s="5" t="n">
        <v>0.0913</v>
      </c>
      <c r="M544" s="4" t="n">
        <v>3</v>
      </c>
      <c r="N544" s="4" t="n">
        <v>0</v>
      </c>
      <c r="O544" s="4" t="n">
        <v>0</v>
      </c>
      <c r="P544" s="4" t="n">
        <v>0</v>
      </c>
      <c r="Q544" s="4" t="n">
        <v>0</v>
      </c>
      <c r="R544" s="4" t="n">
        <f aca="false">M544+N544+O544+P544+Q544</f>
        <v>3</v>
      </c>
      <c r="S544" s="4" t="n">
        <v>2</v>
      </c>
      <c r="T544" s="4" t="n">
        <f aca="false">R544*K544</f>
        <v>600000</v>
      </c>
      <c r="U544" s="9" t="n">
        <f aca="false">IFERROR(M544/S544,0)</f>
        <v>1.5</v>
      </c>
      <c r="V544" s="5" t="n">
        <v>0.15</v>
      </c>
    </row>
    <row r="545" customFormat="false" ht="15" hidden="false" customHeight="false" outlineLevel="0" collapsed="false">
      <c r="A545" s="8" t="s">
        <v>77</v>
      </c>
      <c r="B545" s="8" t="s">
        <v>20</v>
      </c>
      <c r="C545" s="8" t="s">
        <v>1365</v>
      </c>
      <c r="D545" s="8" t="n">
        <v>101847</v>
      </c>
      <c r="E545" s="8" t="s">
        <v>1374</v>
      </c>
      <c r="F545" s="8" t="s">
        <v>770</v>
      </c>
      <c r="G545" s="8" t="s">
        <v>961</v>
      </c>
      <c r="H545" s="8" t="s">
        <v>51</v>
      </c>
      <c r="I545" s="8" t="s">
        <v>78</v>
      </c>
      <c r="J545" s="4" t="n">
        <v>219000</v>
      </c>
      <c r="K545" s="4" t="n">
        <v>200000</v>
      </c>
      <c r="L545" s="5" t="n">
        <v>0.0913</v>
      </c>
      <c r="M545" s="4" t="n">
        <v>2</v>
      </c>
      <c r="N545" s="4" t="n">
        <v>0</v>
      </c>
      <c r="O545" s="4" t="n">
        <v>0</v>
      </c>
      <c r="P545" s="4" t="n">
        <v>0</v>
      </c>
      <c r="Q545" s="4" t="n">
        <v>0</v>
      </c>
      <c r="R545" s="4" t="n">
        <f aca="false">M545+N545+O545+P545+Q545</f>
        <v>2</v>
      </c>
      <c r="S545" s="4" t="n">
        <v>1</v>
      </c>
      <c r="T545" s="4" t="n">
        <f aca="false">R545*K545</f>
        <v>400000</v>
      </c>
      <c r="U545" s="9" t="n">
        <f aca="false">IFERROR(M545/S545,0)</f>
        <v>2</v>
      </c>
      <c r="V545" s="5" t="n">
        <v>0.15</v>
      </c>
    </row>
    <row r="546" customFormat="false" ht="15" hidden="false" customHeight="false" outlineLevel="0" collapsed="false">
      <c r="A546" s="8" t="s">
        <v>77</v>
      </c>
      <c r="B546" s="8" t="s">
        <v>20</v>
      </c>
      <c r="C546" s="8" t="s">
        <v>1365</v>
      </c>
      <c r="D546" s="8" t="n">
        <v>231172</v>
      </c>
      <c r="E546" s="8" t="s">
        <v>1375</v>
      </c>
      <c r="F546" s="8" t="s">
        <v>767</v>
      </c>
      <c r="G546" s="8" t="s">
        <v>961</v>
      </c>
      <c r="H546" s="8" t="s">
        <v>51</v>
      </c>
      <c r="I546" s="8" t="s">
        <v>78</v>
      </c>
      <c r="J546" s="4" t="n">
        <v>189000</v>
      </c>
      <c r="K546" s="4" t="n">
        <v>170000</v>
      </c>
      <c r="L546" s="5" t="n">
        <v>0.1058</v>
      </c>
      <c r="M546" s="4" t="n">
        <v>2</v>
      </c>
      <c r="N546" s="4" t="n">
        <v>0</v>
      </c>
      <c r="O546" s="4" t="n">
        <v>0</v>
      </c>
      <c r="P546" s="4" t="n">
        <v>0</v>
      </c>
      <c r="Q546" s="4" t="n">
        <v>0</v>
      </c>
      <c r="R546" s="4" t="n">
        <f aca="false">M546+N546+O546+P546+Q546</f>
        <v>2</v>
      </c>
      <c r="S546" s="4" t="n">
        <v>2</v>
      </c>
      <c r="T546" s="4" t="n">
        <f aca="false">R546*K546</f>
        <v>340000</v>
      </c>
      <c r="U546" s="9" t="n">
        <f aca="false">IFERROR(M546/S546,0)</f>
        <v>1</v>
      </c>
      <c r="V546" s="5" t="n">
        <v>0.1176</v>
      </c>
    </row>
    <row r="547" customFormat="false" ht="15" hidden="false" customHeight="false" outlineLevel="0" collapsed="false">
      <c r="A547" s="8" t="s">
        <v>77</v>
      </c>
      <c r="B547" s="8" t="s">
        <v>20</v>
      </c>
      <c r="C547" s="8" t="s">
        <v>1365</v>
      </c>
      <c r="D547" s="8" t="n">
        <v>101755</v>
      </c>
      <c r="E547" s="8" t="s">
        <v>1376</v>
      </c>
      <c r="F547" s="8" t="s">
        <v>767</v>
      </c>
      <c r="G547" s="8" t="s">
        <v>961</v>
      </c>
      <c r="H547" s="8" t="s">
        <v>51</v>
      </c>
      <c r="I547" s="8" t="s">
        <v>78</v>
      </c>
      <c r="J547" s="4" t="n">
        <v>199000</v>
      </c>
      <c r="K547" s="4" t="n">
        <v>180000</v>
      </c>
      <c r="L547" s="5" t="n">
        <v>0.1005</v>
      </c>
      <c r="M547" s="4" t="n">
        <v>1</v>
      </c>
      <c r="N547" s="4" t="n">
        <v>0</v>
      </c>
      <c r="O547" s="4" t="n">
        <v>0</v>
      </c>
      <c r="P547" s="4" t="n">
        <v>0</v>
      </c>
      <c r="Q547" s="4" t="n">
        <v>0</v>
      </c>
      <c r="R547" s="4" t="n">
        <f aca="false">M547+N547+O547+P547+Q547</f>
        <v>1</v>
      </c>
      <c r="S547" s="4" t="n">
        <v>1</v>
      </c>
      <c r="T547" s="4" t="n">
        <f aca="false">R547*K547</f>
        <v>180000</v>
      </c>
      <c r="U547" s="9" t="n">
        <f aca="false">IFERROR(M547/S547,0)</f>
        <v>1</v>
      </c>
      <c r="V547" s="5" t="n">
        <v>0.1944</v>
      </c>
    </row>
    <row r="548" customFormat="false" ht="15" hidden="false" customHeight="false" outlineLevel="0" collapsed="false">
      <c r="A548" s="8" t="s">
        <v>77</v>
      </c>
      <c r="B548" s="8" t="s">
        <v>20</v>
      </c>
      <c r="C548" s="8" t="s">
        <v>1365</v>
      </c>
      <c r="D548" s="8" t="n">
        <v>231173</v>
      </c>
      <c r="E548" s="8" t="s">
        <v>1377</v>
      </c>
      <c r="F548" s="8" t="s">
        <v>767</v>
      </c>
      <c r="G548" s="8" t="s">
        <v>961</v>
      </c>
      <c r="H548" s="8" t="s">
        <v>51</v>
      </c>
      <c r="I548" s="8" t="s">
        <v>78</v>
      </c>
      <c r="J548" s="4" t="n">
        <v>189000</v>
      </c>
      <c r="K548" s="4" t="n">
        <v>170000</v>
      </c>
      <c r="L548" s="5" t="n">
        <v>0.1058</v>
      </c>
      <c r="M548" s="4" t="n">
        <v>1</v>
      </c>
      <c r="N548" s="4" t="n">
        <v>0</v>
      </c>
      <c r="O548" s="4" t="n">
        <v>0</v>
      </c>
      <c r="P548" s="4" t="n">
        <v>0</v>
      </c>
      <c r="Q548" s="4" t="n">
        <v>0</v>
      </c>
      <c r="R548" s="4" t="n">
        <f aca="false">M548+N548+O548+P548+Q548</f>
        <v>1</v>
      </c>
      <c r="S548" s="4" t="n">
        <v>1</v>
      </c>
      <c r="T548" s="4" t="n">
        <f aca="false">R548*K548</f>
        <v>170000</v>
      </c>
      <c r="U548" s="9" t="n">
        <f aca="false">IFERROR(M548/S548,0)</f>
        <v>1</v>
      </c>
      <c r="V548" s="5" t="n">
        <v>0.1176</v>
      </c>
    </row>
    <row r="549" customFormat="false" ht="15" hidden="false" customHeight="false" outlineLevel="0" collapsed="false">
      <c r="A549" s="8" t="s">
        <v>77</v>
      </c>
      <c r="B549" s="8" t="s">
        <v>20</v>
      </c>
      <c r="C549" s="8" t="s">
        <v>1365</v>
      </c>
      <c r="D549" s="8" t="n">
        <v>102523</v>
      </c>
      <c r="E549" s="8" t="s">
        <v>798</v>
      </c>
      <c r="F549" s="8" t="s">
        <v>799</v>
      </c>
      <c r="G549" s="8" t="s">
        <v>961</v>
      </c>
      <c r="H549" s="8" t="s">
        <v>51</v>
      </c>
      <c r="I549" s="8" t="s">
        <v>78</v>
      </c>
      <c r="J549" s="4" t="n">
        <v>219000</v>
      </c>
      <c r="K549" s="4" t="n">
        <v>200000</v>
      </c>
      <c r="L549" s="5" t="n">
        <v>0.0913</v>
      </c>
      <c r="M549" s="4" t="n">
        <v>0</v>
      </c>
      <c r="N549" s="4" t="n">
        <v>0</v>
      </c>
      <c r="O549" s="4" t="n">
        <v>0</v>
      </c>
      <c r="P549" s="4" t="n">
        <v>0</v>
      </c>
      <c r="Q549" s="4" t="n">
        <v>0</v>
      </c>
      <c r="R549" s="4" t="n">
        <f aca="false">M549+N549+O549+P549+Q549</f>
        <v>0</v>
      </c>
      <c r="S549" s="4" t="n">
        <v>0</v>
      </c>
      <c r="T549" s="4" t="n">
        <f aca="false">R549*K549</f>
        <v>0</v>
      </c>
      <c r="U549" s="9" t="n">
        <f aca="false">IFERROR(M549/S549,0)</f>
        <v>0</v>
      </c>
      <c r="V549" s="5" t="n">
        <v>0.1775</v>
      </c>
    </row>
    <row r="550" customFormat="false" ht="15" hidden="false" customHeight="false" outlineLevel="0" collapsed="false">
      <c r="A550" s="8" t="s">
        <v>77</v>
      </c>
      <c r="B550" s="8" t="s">
        <v>20</v>
      </c>
      <c r="C550" s="8" t="s">
        <v>1365</v>
      </c>
      <c r="D550" s="8" t="n">
        <v>102524</v>
      </c>
      <c r="E550" s="8" t="s">
        <v>800</v>
      </c>
      <c r="F550" s="8" t="s">
        <v>799</v>
      </c>
      <c r="G550" s="8" t="s">
        <v>961</v>
      </c>
      <c r="H550" s="8" t="s">
        <v>51</v>
      </c>
      <c r="I550" s="8" t="s">
        <v>78</v>
      </c>
      <c r="J550" s="4" t="n">
        <v>219000</v>
      </c>
      <c r="K550" s="4" t="n">
        <v>200000</v>
      </c>
      <c r="L550" s="5" t="n">
        <v>0.0913</v>
      </c>
      <c r="M550" s="4" t="n">
        <v>0</v>
      </c>
      <c r="N550" s="4" t="n">
        <v>0</v>
      </c>
      <c r="O550" s="4" t="n">
        <v>0</v>
      </c>
      <c r="P550" s="4" t="n">
        <v>0</v>
      </c>
      <c r="Q550" s="4" t="n">
        <v>0</v>
      </c>
      <c r="R550" s="4" t="n">
        <f aca="false">M550+N550+O550+P550+Q550</f>
        <v>0</v>
      </c>
      <c r="S550" s="4" t="n">
        <v>0</v>
      </c>
      <c r="T550" s="4" t="n">
        <f aca="false">R550*K550</f>
        <v>0</v>
      </c>
      <c r="U550" s="9" t="n">
        <f aca="false">IFERROR(M550/S550,0)</f>
        <v>0</v>
      </c>
      <c r="V550" s="5" t="n">
        <v>0.1775</v>
      </c>
    </row>
    <row r="551" customFormat="false" ht="15" hidden="false" customHeight="false" outlineLevel="0" collapsed="false">
      <c r="A551" s="8" t="s">
        <v>77</v>
      </c>
      <c r="B551" s="8" t="s">
        <v>20</v>
      </c>
      <c r="C551" s="8" t="s">
        <v>1365</v>
      </c>
      <c r="D551" s="8" t="n">
        <v>231179</v>
      </c>
      <c r="E551" s="8" t="s">
        <v>801</v>
      </c>
      <c r="F551" s="8" t="s">
        <v>767</v>
      </c>
      <c r="G551" s="8" t="s">
        <v>961</v>
      </c>
      <c r="H551" s="8" t="s">
        <v>51</v>
      </c>
      <c r="I551" s="8" t="s">
        <v>78</v>
      </c>
      <c r="J551" s="4" t="n">
        <v>169000</v>
      </c>
      <c r="K551" s="4" t="n">
        <v>150000</v>
      </c>
      <c r="L551" s="5" t="n">
        <v>0.1183</v>
      </c>
      <c r="M551" s="4" t="n">
        <v>0</v>
      </c>
      <c r="N551" s="4" t="n">
        <v>0</v>
      </c>
      <c r="O551" s="4" t="n">
        <v>0</v>
      </c>
      <c r="P551" s="4" t="n">
        <v>0</v>
      </c>
      <c r="Q551" s="4" t="n">
        <v>0</v>
      </c>
      <c r="R551" s="4" t="n">
        <f aca="false">M551+N551+O551+P551+Q551</f>
        <v>0</v>
      </c>
      <c r="S551" s="4" t="n">
        <v>0</v>
      </c>
      <c r="T551" s="4" t="n">
        <f aca="false">R551*K551</f>
        <v>0</v>
      </c>
      <c r="U551" s="9" t="n">
        <f aca="false">IFERROR(M551/S551,0)</f>
        <v>0</v>
      </c>
      <c r="V551" s="5" t="n">
        <v>0.1333</v>
      </c>
    </row>
    <row r="552" customFormat="false" ht="15" hidden="false" customHeight="false" outlineLevel="0" collapsed="false">
      <c r="A552" s="8" t="s">
        <v>77</v>
      </c>
      <c r="B552" s="8" t="s">
        <v>20</v>
      </c>
      <c r="C552" s="8" t="s">
        <v>1365</v>
      </c>
      <c r="D552" s="8" t="n">
        <v>231181</v>
      </c>
      <c r="E552" s="8" t="s">
        <v>802</v>
      </c>
      <c r="F552" s="8" t="s">
        <v>767</v>
      </c>
      <c r="G552" s="8" t="s">
        <v>961</v>
      </c>
      <c r="H552" s="8" t="s">
        <v>51</v>
      </c>
      <c r="I552" s="8" t="s">
        <v>78</v>
      </c>
      <c r="J552" s="4" t="n">
        <v>349000</v>
      </c>
      <c r="K552" s="4" t="n">
        <v>330000</v>
      </c>
      <c r="L552" s="5" t="n">
        <v>0.0573</v>
      </c>
      <c r="M552" s="4" t="n">
        <v>0</v>
      </c>
      <c r="N552" s="4" t="n">
        <v>0</v>
      </c>
      <c r="O552" s="4" t="n">
        <v>0</v>
      </c>
      <c r="P552" s="4" t="n">
        <v>0</v>
      </c>
      <c r="Q552" s="4" t="n">
        <v>0</v>
      </c>
      <c r="R552" s="4" t="n">
        <f aca="false">M552+N552+O552+P552+Q552</f>
        <v>0</v>
      </c>
      <c r="S552" s="4" t="n">
        <v>0</v>
      </c>
      <c r="T552" s="4" t="n">
        <f aca="false">R552*K552</f>
        <v>0</v>
      </c>
      <c r="U552" s="9" t="n">
        <f aca="false">IFERROR(M552/S552,0)</f>
        <v>0</v>
      </c>
      <c r="V552" s="5" t="n">
        <v>0.1212</v>
      </c>
    </row>
    <row r="553" customFormat="false" ht="15" hidden="false" customHeight="false" outlineLevel="0" collapsed="false">
      <c r="A553" s="8" t="s">
        <v>160</v>
      </c>
      <c r="B553" s="8" t="s">
        <v>22</v>
      </c>
      <c r="C553" s="8" t="s">
        <v>1073</v>
      </c>
      <c r="D553" s="8" t="n">
        <v>130671</v>
      </c>
      <c r="E553" s="8" t="s">
        <v>365</v>
      </c>
      <c r="F553" s="8" t="s">
        <v>809</v>
      </c>
      <c r="G553" s="8" t="s">
        <v>961</v>
      </c>
      <c r="H553" s="8" t="s">
        <v>62</v>
      </c>
      <c r="I553" s="8" t="s">
        <v>161</v>
      </c>
      <c r="J553" s="4" t="n">
        <v>45000</v>
      </c>
      <c r="K553" s="4" t="n">
        <v>30000</v>
      </c>
      <c r="L553" s="5" t="n">
        <v>0.33333</v>
      </c>
      <c r="M553" s="4" t="n">
        <v>806</v>
      </c>
      <c r="N553" s="4" t="n">
        <v>2712</v>
      </c>
      <c r="O553" s="4" t="n">
        <v>33</v>
      </c>
      <c r="P553" s="4" t="n">
        <v>0</v>
      </c>
      <c r="Q553" s="4" t="n">
        <v>16</v>
      </c>
      <c r="R553" s="4" t="n">
        <f aca="false">M553+N553+O553+P553+Q553</f>
        <v>3567</v>
      </c>
      <c r="S553" s="4" t="n">
        <v>22</v>
      </c>
      <c r="T553" s="4" t="n">
        <f aca="false">R553*K553</f>
        <v>107010000</v>
      </c>
      <c r="U553" s="9" t="n">
        <f aca="false">IFERROR(M553/S553,0)</f>
        <v>36.6363636363636</v>
      </c>
      <c r="V553" s="5"/>
    </row>
    <row r="554" customFormat="false" ht="15" hidden="false" customHeight="false" outlineLevel="0" collapsed="false">
      <c r="A554" s="8" t="s">
        <v>181</v>
      </c>
      <c r="B554" s="8" t="s">
        <v>25</v>
      </c>
      <c r="C554" s="8" t="s">
        <v>1043</v>
      </c>
      <c r="D554" s="8" t="n">
        <v>30094</v>
      </c>
      <c r="E554" s="8" t="s">
        <v>438</v>
      </c>
      <c r="F554" s="8" t="s">
        <v>809</v>
      </c>
      <c r="G554" s="8" t="s">
        <v>961</v>
      </c>
      <c r="H554" s="8" t="s">
        <v>55</v>
      </c>
      <c r="I554" s="8" t="s">
        <v>182</v>
      </c>
      <c r="J554" s="4" t="n">
        <v>35000</v>
      </c>
      <c r="K554" s="4" t="n">
        <v>27000</v>
      </c>
      <c r="L554" s="5" t="n">
        <v>0.23881</v>
      </c>
      <c r="M554" s="4" t="n">
        <v>400</v>
      </c>
      <c r="N554" s="4" t="n">
        <v>89</v>
      </c>
      <c r="O554" s="4" t="n">
        <v>45</v>
      </c>
      <c r="P554" s="4" t="n">
        <v>0</v>
      </c>
      <c r="Q554" s="4" t="n">
        <v>0</v>
      </c>
      <c r="R554" s="4" t="n">
        <f aca="false">M554+N554+O554+P554+Q554</f>
        <v>534</v>
      </c>
      <c r="S554" s="4" t="n">
        <v>23</v>
      </c>
      <c r="T554" s="4" t="n">
        <f aca="false">R554*K554</f>
        <v>14418000</v>
      </c>
      <c r="U554" s="9" t="n">
        <f aca="false">IFERROR(M554/S554,0)</f>
        <v>17.3913043478261</v>
      </c>
      <c r="V554" s="5"/>
    </row>
    <row r="555" customFormat="false" ht="15" hidden="false" customHeight="false" outlineLevel="0" collapsed="false">
      <c r="A555" s="8" t="s">
        <v>181</v>
      </c>
      <c r="B555" s="8" t="s">
        <v>25</v>
      </c>
      <c r="C555" s="8" t="s">
        <v>1043</v>
      </c>
      <c r="D555" s="8" t="n">
        <v>30093</v>
      </c>
      <c r="E555" s="8" t="s">
        <v>439</v>
      </c>
      <c r="F555" s="8" t="s">
        <v>809</v>
      </c>
      <c r="G555" s="8" t="s">
        <v>961</v>
      </c>
      <c r="H555" s="8" t="s">
        <v>55</v>
      </c>
      <c r="I555" s="8" t="s">
        <v>182</v>
      </c>
      <c r="J555" s="4" t="n">
        <v>35000</v>
      </c>
      <c r="K555" s="4" t="n">
        <v>27000</v>
      </c>
      <c r="L555" s="5" t="n">
        <v>0.23881</v>
      </c>
      <c r="M555" s="4" t="n">
        <v>399</v>
      </c>
      <c r="N555" s="4" t="n">
        <v>78</v>
      </c>
      <c r="O555" s="4" t="n">
        <v>45</v>
      </c>
      <c r="P555" s="4" t="n">
        <v>0</v>
      </c>
      <c r="Q555" s="4" t="n">
        <v>0</v>
      </c>
      <c r="R555" s="4" t="n">
        <f aca="false">M555+N555+O555+P555+Q555</f>
        <v>522</v>
      </c>
      <c r="S555" s="4" t="n">
        <v>23</v>
      </c>
      <c r="T555" s="4" t="n">
        <f aca="false">R555*K555</f>
        <v>14094000</v>
      </c>
      <c r="U555" s="9" t="n">
        <f aca="false">IFERROR(M555/S555,0)</f>
        <v>17.3478260869565</v>
      </c>
      <c r="V555" s="5"/>
    </row>
    <row r="556" customFormat="false" ht="15" hidden="false" customHeight="false" outlineLevel="0" collapsed="false">
      <c r="A556" s="8" t="s">
        <v>181</v>
      </c>
      <c r="B556" s="8" t="s">
        <v>25</v>
      </c>
      <c r="C556" s="8" t="s">
        <v>1043</v>
      </c>
      <c r="D556" s="8" t="n">
        <v>30091</v>
      </c>
      <c r="E556" s="8" t="s">
        <v>441</v>
      </c>
      <c r="F556" s="8" t="s">
        <v>809</v>
      </c>
      <c r="G556" s="8" t="s">
        <v>961</v>
      </c>
      <c r="H556" s="8" t="s">
        <v>55</v>
      </c>
      <c r="I556" s="8" t="s">
        <v>182</v>
      </c>
      <c r="J556" s="4" t="n">
        <v>39000</v>
      </c>
      <c r="K556" s="4" t="n">
        <v>30000</v>
      </c>
      <c r="L556" s="5" t="n">
        <v>0.22535</v>
      </c>
      <c r="M556" s="4" t="n">
        <v>342</v>
      </c>
      <c r="N556" s="4" t="n">
        <v>65</v>
      </c>
      <c r="O556" s="4" t="n">
        <v>42</v>
      </c>
      <c r="P556" s="4" t="n">
        <v>0</v>
      </c>
      <c r="Q556" s="4" t="n">
        <v>0</v>
      </c>
      <c r="R556" s="4" t="n">
        <f aca="false">M556+N556+O556+P556+Q556</f>
        <v>449</v>
      </c>
      <c r="S556" s="4" t="n">
        <v>23</v>
      </c>
      <c r="T556" s="4" t="n">
        <f aca="false">R556*K556</f>
        <v>13470000</v>
      </c>
      <c r="U556" s="9" t="n">
        <f aca="false">IFERROR(M556/S556,0)</f>
        <v>14.8695652173913</v>
      </c>
      <c r="V556" s="5"/>
    </row>
    <row r="557" customFormat="false" ht="15" hidden="false" customHeight="false" outlineLevel="0" collapsed="false">
      <c r="A557" s="8" t="s">
        <v>181</v>
      </c>
      <c r="B557" s="8" t="s">
        <v>25</v>
      </c>
      <c r="C557" s="8" t="s">
        <v>1043</v>
      </c>
      <c r="D557" s="8" t="n">
        <v>30097</v>
      </c>
      <c r="E557" s="8" t="s">
        <v>448</v>
      </c>
      <c r="F557" s="8" t="s">
        <v>809</v>
      </c>
      <c r="G557" s="8" t="s">
        <v>961</v>
      </c>
      <c r="H557" s="8" t="s">
        <v>55</v>
      </c>
      <c r="I557" s="8" t="s">
        <v>182</v>
      </c>
      <c r="J557" s="4" t="n">
        <v>29000</v>
      </c>
      <c r="K557" s="4" t="n">
        <v>21000</v>
      </c>
      <c r="L557" s="5" t="n">
        <v>0.2623</v>
      </c>
      <c r="M557" s="4" t="n">
        <v>327</v>
      </c>
      <c r="N557" s="4" t="n">
        <v>19</v>
      </c>
      <c r="O557" s="4" t="n">
        <v>15</v>
      </c>
      <c r="P557" s="4" t="n">
        <v>0</v>
      </c>
      <c r="Q557" s="4" t="n">
        <v>0</v>
      </c>
      <c r="R557" s="4" t="n">
        <f aca="false">M557+N557+O557+P557+Q557</f>
        <v>361</v>
      </c>
      <c r="S557" s="4" t="n">
        <v>23</v>
      </c>
      <c r="T557" s="4" t="n">
        <f aca="false">R557*K557</f>
        <v>7581000</v>
      </c>
      <c r="U557" s="9" t="n">
        <f aca="false">IFERROR(M557/S557,0)</f>
        <v>14.2173913043478</v>
      </c>
      <c r="V557" s="5"/>
    </row>
    <row r="558" customFormat="false" ht="15" hidden="false" customHeight="false" outlineLevel="0" collapsed="false">
      <c r="A558" s="8" t="s">
        <v>181</v>
      </c>
      <c r="B558" s="8" t="s">
        <v>25</v>
      </c>
      <c r="C558" s="8" t="s">
        <v>1043</v>
      </c>
      <c r="D558" s="8" t="n">
        <v>30095</v>
      </c>
      <c r="E558" s="8" t="s">
        <v>538</v>
      </c>
      <c r="F558" s="8" t="s">
        <v>809</v>
      </c>
      <c r="G558" s="8" t="s">
        <v>961</v>
      </c>
      <c r="H558" s="8" t="s">
        <v>55</v>
      </c>
      <c r="I558" s="8" t="s">
        <v>182</v>
      </c>
      <c r="J558" s="4" t="n">
        <v>35000</v>
      </c>
      <c r="K558" s="4" t="n">
        <v>27000</v>
      </c>
      <c r="L558" s="5" t="n">
        <v>0.23881</v>
      </c>
      <c r="M558" s="4" t="n">
        <v>304</v>
      </c>
      <c r="N558" s="4" t="n">
        <v>0</v>
      </c>
      <c r="O558" s="4" t="n">
        <v>0</v>
      </c>
      <c r="P558" s="4" t="n">
        <v>0</v>
      </c>
      <c r="Q558" s="4" t="n">
        <v>0</v>
      </c>
      <c r="R558" s="4" t="n">
        <f aca="false">M558+N558+O558+P558+Q558</f>
        <v>304</v>
      </c>
      <c r="S558" s="4" t="n">
        <v>23</v>
      </c>
      <c r="T558" s="4" t="n">
        <f aca="false">R558*K558</f>
        <v>8208000</v>
      </c>
      <c r="U558" s="9" t="n">
        <f aca="false">IFERROR(M558/S558,0)</f>
        <v>13.2173913043478</v>
      </c>
      <c r="V558" s="5"/>
    </row>
    <row r="559" customFormat="false" ht="15" hidden="false" customHeight="false" outlineLevel="0" collapsed="false">
      <c r="A559" s="8" t="s">
        <v>181</v>
      </c>
      <c r="B559" s="8" t="s">
        <v>25</v>
      </c>
      <c r="C559" s="8" t="s">
        <v>1043</v>
      </c>
      <c r="D559" s="8" t="n">
        <v>30096</v>
      </c>
      <c r="E559" s="8" t="s">
        <v>539</v>
      </c>
      <c r="F559" s="8" t="s">
        <v>809</v>
      </c>
      <c r="G559" s="8" t="s">
        <v>961</v>
      </c>
      <c r="H559" s="8" t="s">
        <v>55</v>
      </c>
      <c r="I559" s="8" t="s">
        <v>182</v>
      </c>
      <c r="J559" s="4" t="n">
        <v>29000</v>
      </c>
      <c r="K559" s="4" t="n">
        <v>21000</v>
      </c>
      <c r="L559" s="5" t="n">
        <v>0.2623</v>
      </c>
      <c r="M559" s="4" t="n">
        <v>265</v>
      </c>
      <c r="N559" s="4" t="n">
        <v>0</v>
      </c>
      <c r="O559" s="4" t="n">
        <v>0</v>
      </c>
      <c r="P559" s="4" t="n">
        <v>0</v>
      </c>
      <c r="Q559" s="4" t="n">
        <v>0</v>
      </c>
      <c r="R559" s="4" t="n">
        <f aca="false">M559+N559+O559+P559+Q559</f>
        <v>265</v>
      </c>
      <c r="S559" s="4" t="n">
        <v>22</v>
      </c>
      <c r="T559" s="4" t="n">
        <f aca="false">R559*K559</f>
        <v>5565000</v>
      </c>
      <c r="U559" s="9" t="n">
        <f aca="false">IFERROR(M559/S559,0)</f>
        <v>12.0454545454545</v>
      </c>
      <c r="V559" s="5"/>
    </row>
    <row r="560" customFormat="false" ht="15" hidden="false" customHeight="false" outlineLevel="0" collapsed="false">
      <c r="A560" s="8" t="s">
        <v>181</v>
      </c>
      <c r="B560" s="8" t="s">
        <v>25</v>
      </c>
      <c r="C560" s="8" t="s">
        <v>1043</v>
      </c>
      <c r="D560" s="8" t="n">
        <v>30090</v>
      </c>
      <c r="E560" s="8" t="s">
        <v>537</v>
      </c>
      <c r="F560" s="8" t="s">
        <v>809</v>
      </c>
      <c r="G560" s="8" t="s">
        <v>961</v>
      </c>
      <c r="H560" s="8" t="s">
        <v>55</v>
      </c>
      <c r="I560" s="8" t="s">
        <v>182</v>
      </c>
      <c r="J560" s="4" t="n">
        <v>39000</v>
      </c>
      <c r="K560" s="4" t="n">
        <v>30000</v>
      </c>
      <c r="L560" s="5" t="n">
        <v>0.22535</v>
      </c>
      <c r="M560" s="4" t="n">
        <v>216</v>
      </c>
      <c r="N560" s="4" t="n">
        <v>0</v>
      </c>
      <c r="O560" s="4" t="n">
        <v>0</v>
      </c>
      <c r="P560" s="4" t="n">
        <v>0</v>
      </c>
      <c r="Q560" s="4" t="n">
        <v>0</v>
      </c>
      <c r="R560" s="4" t="n">
        <f aca="false">M560+N560+O560+P560+Q560</f>
        <v>216</v>
      </c>
      <c r="S560" s="4" t="n">
        <v>21</v>
      </c>
      <c r="T560" s="4" t="n">
        <f aca="false">R560*K560</f>
        <v>6480000</v>
      </c>
      <c r="U560" s="9" t="n">
        <f aca="false">IFERROR(M560/S560,0)</f>
        <v>10.2857142857143</v>
      </c>
      <c r="V560" s="5"/>
    </row>
    <row r="561" customFormat="false" ht="15" hidden="false" customHeight="false" outlineLevel="0" collapsed="false">
      <c r="A561" s="8" t="s">
        <v>116</v>
      </c>
      <c r="B561" s="8" t="s">
        <v>25</v>
      </c>
      <c r="C561" s="8" t="s">
        <v>1378</v>
      </c>
      <c r="D561" s="8" t="n">
        <v>30064</v>
      </c>
      <c r="E561" s="8" t="s">
        <v>378</v>
      </c>
      <c r="F561" s="8" t="s">
        <v>809</v>
      </c>
      <c r="G561" s="8" t="s">
        <v>961</v>
      </c>
      <c r="H561" s="8" t="s">
        <v>51</v>
      </c>
      <c r="I561" s="8" t="s">
        <v>117</v>
      </c>
      <c r="J561" s="4" t="n">
        <v>115000</v>
      </c>
      <c r="K561" s="4" t="n">
        <v>101000</v>
      </c>
      <c r="L561" s="5" t="n">
        <v>0.13043</v>
      </c>
      <c r="M561" s="4" t="n">
        <v>148</v>
      </c>
      <c r="N561" s="4" t="n">
        <v>139</v>
      </c>
      <c r="O561" s="4" t="n">
        <v>25</v>
      </c>
      <c r="P561" s="4" t="n">
        <v>0</v>
      </c>
      <c r="Q561" s="4" t="n">
        <v>0</v>
      </c>
      <c r="R561" s="4" t="n">
        <f aca="false">M561+N561+O561+P561+Q561</f>
        <v>312</v>
      </c>
      <c r="S561" s="4" t="n">
        <v>22</v>
      </c>
      <c r="T561" s="4" t="n">
        <f aca="false">R561*K561</f>
        <v>31512000</v>
      </c>
      <c r="U561" s="9" t="n">
        <f aca="false">IFERROR(M561/S561,0)</f>
        <v>6.72727272727273</v>
      </c>
      <c r="V561" s="5" t="n">
        <v>0.1485</v>
      </c>
    </row>
    <row r="562" customFormat="false" ht="15" hidden="false" customHeight="false" outlineLevel="0" collapsed="false">
      <c r="A562" s="8" t="s">
        <v>116</v>
      </c>
      <c r="B562" s="8" t="s">
        <v>25</v>
      </c>
      <c r="C562" s="8" t="s">
        <v>1378</v>
      </c>
      <c r="D562" s="8" t="n">
        <v>30059</v>
      </c>
      <c r="E562" s="8" t="s">
        <v>305</v>
      </c>
      <c r="F562" s="8" t="s">
        <v>809</v>
      </c>
      <c r="G562" s="8" t="s">
        <v>961</v>
      </c>
      <c r="H562" s="8" t="s">
        <v>51</v>
      </c>
      <c r="I562" s="8" t="s">
        <v>117</v>
      </c>
      <c r="J562" s="4" t="n">
        <v>64500</v>
      </c>
      <c r="K562" s="4" t="n">
        <v>50000</v>
      </c>
      <c r="L562" s="5" t="n">
        <v>0.23256</v>
      </c>
      <c r="M562" s="4" t="n">
        <v>229</v>
      </c>
      <c r="N562" s="4" t="n">
        <v>40</v>
      </c>
      <c r="O562" s="4" t="n">
        <v>30</v>
      </c>
      <c r="P562" s="4" t="n">
        <v>0</v>
      </c>
      <c r="Q562" s="4" t="n">
        <v>0</v>
      </c>
      <c r="R562" s="4" t="n">
        <f aca="false">M562+N562+O562+P562+Q562</f>
        <v>299</v>
      </c>
      <c r="S562" s="4" t="n">
        <v>18</v>
      </c>
      <c r="T562" s="4" t="n">
        <f aca="false">R562*K562</f>
        <v>14950000</v>
      </c>
      <c r="U562" s="9" t="n">
        <f aca="false">IFERROR(M562/S562,0)</f>
        <v>12.7222222222222</v>
      </c>
      <c r="V562" s="5" t="n">
        <v>0.328</v>
      </c>
    </row>
    <row r="563" customFormat="false" ht="15" hidden="false" customHeight="false" outlineLevel="0" collapsed="false">
      <c r="A563" s="8" t="s">
        <v>116</v>
      </c>
      <c r="B563" s="8" t="s">
        <v>25</v>
      </c>
      <c r="C563" s="8" t="s">
        <v>1378</v>
      </c>
      <c r="D563" s="8" t="n">
        <v>30060</v>
      </c>
      <c r="E563" s="8" t="s">
        <v>315</v>
      </c>
      <c r="F563" s="8" t="s">
        <v>809</v>
      </c>
      <c r="G563" s="8" t="s">
        <v>961</v>
      </c>
      <c r="H563" s="8" t="s">
        <v>51</v>
      </c>
      <c r="I563" s="8" t="s">
        <v>117</v>
      </c>
      <c r="J563" s="4" t="n">
        <v>79500</v>
      </c>
      <c r="K563" s="4" t="n">
        <v>65000</v>
      </c>
      <c r="L563" s="5" t="n">
        <v>0.18868</v>
      </c>
      <c r="M563" s="4" t="n">
        <v>149</v>
      </c>
      <c r="N563" s="4" t="n">
        <v>48</v>
      </c>
      <c r="O563" s="4" t="n">
        <v>36</v>
      </c>
      <c r="P563" s="4" t="n">
        <v>0</v>
      </c>
      <c r="Q563" s="4" t="n">
        <v>0</v>
      </c>
      <c r="R563" s="4" t="n">
        <f aca="false">M563+N563+O563+P563+Q563</f>
        <v>233</v>
      </c>
      <c r="S563" s="4" t="n">
        <v>19</v>
      </c>
      <c r="T563" s="4" t="n">
        <f aca="false">R563*K563</f>
        <v>15145000</v>
      </c>
      <c r="U563" s="9" t="n">
        <f aca="false">IFERROR(M563/S563,0)</f>
        <v>7.8421052631579</v>
      </c>
      <c r="V563" s="5" t="n">
        <v>0.0923</v>
      </c>
    </row>
    <row r="564" customFormat="false" ht="15" hidden="false" customHeight="false" outlineLevel="0" collapsed="false">
      <c r="A564" s="8" t="s">
        <v>116</v>
      </c>
      <c r="B564" s="8" t="s">
        <v>25</v>
      </c>
      <c r="C564" s="8" t="s">
        <v>1378</v>
      </c>
      <c r="D564" s="8" t="n">
        <v>30063</v>
      </c>
      <c r="E564" s="8" t="s">
        <v>325</v>
      </c>
      <c r="F564" s="8" t="s">
        <v>809</v>
      </c>
      <c r="G564" s="8" t="s">
        <v>961</v>
      </c>
      <c r="H564" s="8" t="s">
        <v>51</v>
      </c>
      <c r="I564" s="8" t="s">
        <v>117</v>
      </c>
      <c r="J564" s="4" t="n">
        <v>115000</v>
      </c>
      <c r="K564" s="4" t="n">
        <v>101000</v>
      </c>
      <c r="L564" s="5" t="n">
        <v>0.13043</v>
      </c>
      <c r="M564" s="4" t="n">
        <v>131</v>
      </c>
      <c r="N564" s="4" t="n">
        <v>72</v>
      </c>
      <c r="O564" s="4" t="n">
        <v>24</v>
      </c>
      <c r="P564" s="4" t="n">
        <v>0</v>
      </c>
      <c r="Q564" s="4" t="n">
        <v>0</v>
      </c>
      <c r="R564" s="4" t="n">
        <f aca="false">M564+N564+O564+P564+Q564</f>
        <v>227</v>
      </c>
      <c r="S564" s="4" t="n">
        <v>20</v>
      </c>
      <c r="T564" s="4" t="n">
        <f aca="false">R564*K564</f>
        <v>22927000</v>
      </c>
      <c r="U564" s="9" t="n">
        <f aca="false">IFERROR(M564/S564,0)</f>
        <v>6.55</v>
      </c>
      <c r="V564" s="5" t="n">
        <v>0.1485</v>
      </c>
    </row>
    <row r="565" customFormat="false" ht="15" hidden="false" customHeight="false" outlineLevel="0" collapsed="false">
      <c r="A565" s="8" t="s">
        <v>116</v>
      </c>
      <c r="B565" s="8" t="s">
        <v>25</v>
      </c>
      <c r="C565" s="8" t="s">
        <v>1378</v>
      </c>
      <c r="D565" s="8" t="n">
        <v>30069</v>
      </c>
      <c r="E565" s="8" t="s">
        <v>396</v>
      </c>
      <c r="F565" s="8" t="s">
        <v>809</v>
      </c>
      <c r="G565" s="8" t="s">
        <v>961</v>
      </c>
      <c r="H565" s="8" t="s">
        <v>51</v>
      </c>
      <c r="I565" s="8" t="s">
        <v>117</v>
      </c>
      <c r="J565" s="4" t="n">
        <v>135000</v>
      </c>
      <c r="K565" s="4" t="n">
        <v>121000</v>
      </c>
      <c r="L565" s="5" t="n">
        <v>0.11111</v>
      </c>
      <c r="M565" s="4" t="n">
        <v>143</v>
      </c>
      <c r="N565" s="4" t="n">
        <v>48</v>
      </c>
      <c r="O565" s="4" t="n">
        <v>24</v>
      </c>
      <c r="P565" s="4" t="n">
        <v>0</v>
      </c>
      <c r="Q565" s="4" t="n">
        <v>0</v>
      </c>
      <c r="R565" s="4" t="n">
        <f aca="false">M565+N565+O565+P565+Q565</f>
        <v>215</v>
      </c>
      <c r="S565" s="4" t="n">
        <v>22</v>
      </c>
      <c r="T565" s="4" t="n">
        <f aca="false">R565*K565</f>
        <v>26015000</v>
      </c>
      <c r="U565" s="9" t="n">
        <f aca="false">IFERROR(M565/S565,0)</f>
        <v>6.5</v>
      </c>
      <c r="V565" s="5" t="n">
        <v>0.1653</v>
      </c>
    </row>
    <row r="566" customFormat="false" ht="15" hidden="false" customHeight="false" outlineLevel="0" collapsed="false">
      <c r="A566" s="8" t="s">
        <v>116</v>
      </c>
      <c r="B566" s="8" t="s">
        <v>25</v>
      </c>
      <c r="C566" s="8" t="s">
        <v>1378</v>
      </c>
      <c r="D566" s="8" t="n">
        <v>30061</v>
      </c>
      <c r="E566" s="8" t="s">
        <v>343</v>
      </c>
      <c r="F566" s="8" t="s">
        <v>809</v>
      </c>
      <c r="G566" s="8" t="s">
        <v>961</v>
      </c>
      <c r="H566" s="8" t="s">
        <v>51</v>
      </c>
      <c r="I566" s="8" t="s">
        <v>117</v>
      </c>
      <c r="J566" s="4" t="n">
        <v>82500</v>
      </c>
      <c r="K566" s="4" t="n">
        <v>68000</v>
      </c>
      <c r="L566" s="5" t="n">
        <v>0.18182</v>
      </c>
      <c r="M566" s="4" t="n">
        <v>133</v>
      </c>
      <c r="N566" s="4" t="n">
        <v>48</v>
      </c>
      <c r="O566" s="4" t="n">
        <v>15</v>
      </c>
      <c r="P566" s="4" t="n">
        <v>0</v>
      </c>
      <c r="Q566" s="4" t="n">
        <v>0</v>
      </c>
      <c r="R566" s="4" t="n">
        <f aca="false">M566+N566+O566+P566+Q566</f>
        <v>196</v>
      </c>
      <c r="S566" s="4" t="n">
        <v>21</v>
      </c>
      <c r="T566" s="4" t="n">
        <f aca="false">R566*K566</f>
        <v>13328000</v>
      </c>
      <c r="U566" s="9" t="n">
        <f aca="false">IFERROR(M566/S566,0)</f>
        <v>6.33333333333333</v>
      </c>
      <c r="V566" s="5" t="n">
        <v>0.0882</v>
      </c>
    </row>
    <row r="567" customFormat="false" ht="15" hidden="false" customHeight="false" outlineLevel="0" collapsed="false">
      <c r="A567" s="8" t="s">
        <v>116</v>
      </c>
      <c r="B567" s="8" t="s">
        <v>25</v>
      </c>
      <c r="C567" s="8" t="s">
        <v>1378</v>
      </c>
      <c r="D567" s="8" t="n">
        <v>30072</v>
      </c>
      <c r="E567" s="8" t="s">
        <v>402</v>
      </c>
      <c r="F567" s="8" t="s">
        <v>809</v>
      </c>
      <c r="G567" s="8" t="s">
        <v>961</v>
      </c>
      <c r="H567" s="8" t="s">
        <v>51</v>
      </c>
      <c r="I567" s="8" t="s">
        <v>117</v>
      </c>
      <c r="J567" s="4" t="n">
        <v>135000</v>
      </c>
      <c r="K567" s="4" t="n">
        <v>121000</v>
      </c>
      <c r="L567" s="5" t="n">
        <v>0.11111</v>
      </c>
      <c r="M567" s="4" t="n">
        <v>142</v>
      </c>
      <c r="N567" s="4" t="n">
        <v>32</v>
      </c>
      <c r="O567" s="4" t="n">
        <v>21</v>
      </c>
      <c r="P567" s="4" t="n">
        <v>0</v>
      </c>
      <c r="Q567" s="4" t="n">
        <v>0</v>
      </c>
      <c r="R567" s="4" t="n">
        <f aca="false">M567+N567+O567+P567+Q567</f>
        <v>195</v>
      </c>
      <c r="S567" s="4" t="n">
        <v>22</v>
      </c>
      <c r="T567" s="4" t="n">
        <f aca="false">R567*K567</f>
        <v>23595000</v>
      </c>
      <c r="U567" s="9" t="n">
        <f aca="false">IFERROR(M567/S567,0)</f>
        <v>6.45454545454545</v>
      </c>
      <c r="V567" s="5" t="n">
        <v>0.1653</v>
      </c>
    </row>
    <row r="568" customFormat="false" ht="15" hidden="false" customHeight="false" outlineLevel="0" collapsed="false">
      <c r="A568" s="8" t="s">
        <v>116</v>
      </c>
      <c r="B568" s="8" t="s">
        <v>25</v>
      </c>
      <c r="C568" s="8" t="s">
        <v>1378</v>
      </c>
      <c r="D568" s="8" t="n">
        <v>30068</v>
      </c>
      <c r="E568" s="8" t="s">
        <v>327</v>
      </c>
      <c r="F568" s="8" t="s">
        <v>809</v>
      </c>
      <c r="G568" s="8" t="s">
        <v>961</v>
      </c>
      <c r="H568" s="8" t="s">
        <v>51</v>
      </c>
      <c r="I568" s="8" t="s">
        <v>117</v>
      </c>
      <c r="J568" s="4" t="n">
        <v>185000</v>
      </c>
      <c r="K568" s="4" t="n">
        <v>171000</v>
      </c>
      <c r="L568" s="5" t="n">
        <v>0.08108</v>
      </c>
      <c r="M568" s="4" t="n">
        <v>133</v>
      </c>
      <c r="N568" s="4" t="n">
        <v>40</v>
      </c>
      <c r="O568" s="4" t="n">
        <v>20</v>
      </c>
      <c r="P568" s="4" t="n">
        <v>0</v>
      </c>
      <c r="Q568" s="4" t="n">
        <v>0</v>
      </c>
      <c r="R568" s="4" t="n">
        <f aca="false">M568+N568+O568+P568+Q568</f>
        <v>193</v>
      </c>
      <c r="S568" s="4" t="n">
        <v>20</v>
      </c>
      <c r="T568" s="4" t="n">
        <f aca="false">R568*K568</f>
        <v>33003000</v>
      </c>
      <c r="U568" s="9" t="n">
        <f aca="false">IFERROR(M568/S568,0)</f>
        <v>6.65</v>
      </c>
      <c r="V568" s="5" t="n">
        <v>0.193</v>
      </c>
    </row>
    <row r="569" customFormat="false" ht="15" hidden="false" customHeight="false" outlineLevel="0" collapsed="false">
      <c r="A569" s="8" t="s">
        <v>116</v>
      </c>
      <c r="B569" s="8" t="s">
        <v>25</v>
      </c>
      <c r="C569" s="8" t="s">
        <v>1378</v>
      </c>
      <c r="D569" s="8" t="n">
        <v>30062</v>
      </c>
      <c r="E569" s="8" t="s">
        <v>329</v>
      </c>
      <c r="F569" s="8" t="s">
        <v>809</v>
      </c>
      <c r="G569" s="8" t="s">
        <v>961</v>
      </c>
      <c r="H569" s="8" t="s">
        <v>51</v>
      </c>
      <c r="I569" s="8" t="s">
        <v>117</v>
      </c>
      <c r="J569" s="4" t="n">
        <v>105000</v>
      </c>
      <c r="K569" s="4" t="n">
        <v>90000</v>
      </c>
      <c r="L569" s="5" t="n">
        <v>0.14286</v>
      </c>
      <c r="M569" s="4" t="n">
        <v>129</v>
      </c>
      <c r="N569" s="4" t="n">
        <v>40</v>
      </c>
      <c r="O569" s="4" t="n">
        <v>20</v>
      </c>
      <c r="P569" s="4" t="n">
        <v>0</v>
      </c>
      <c r="Q569" s="4" t="n">
        <v>0</v>
      </c>
      <c r="R569" s="4" t="n">
        <f aca="false">M569+N569+O569+P569+Q569</f>
        <v>189</v>
      </c>
      <c r="S569" s="4" t="n">
        <v>20</v>
      </c>
      <c r="T569" s="4" t="n">
        <f aca="false">R569*K569</f>
        <v>17010000</v>
      </c>
      <c r="U569" s="9" t="n">
        <f aca="false">IFERROR(M569/S569,0)</f>
        <v>6.45</v>
      </c>
      <c r="V569" s="5" t="n">
        <v>0.1333</v>
      </c>
    </row>
    <row r="570" customFormat="false" ht="15" hidden="false" customHeight="false" outlineLevel="0" collapsed="false">
      <c r="A570" s="8" t="s">
        <v>116</v>
      </c>
      <c r="B570" s="8" t="s">
        <v>25</v>
      </c>
      <c r="C570" s="8" t="s">
        <v>1378</v>
      </c>
      <c r="D570" s="8" t="n">
        <v>30070</v>
      </c>
      <c r="E570" s="8" t="s">
        <v>351</v>
      </c>
      <c r="F570" s="8" t="s">
        <v>809</v>
      </c>
      <c r="G570" s="8" t="s">
        <v>961</v>
      </c>
      <c r="H570" s="8" t="s">
        <v>51</v>
      </c>
      <c r="I570" s="8" t="s">
        <v>117</v>
      </c>
      <c r="J570" s="4" t="n">
        <v>135000</v>
      </c>
      <c r="K570" s="4" t="n">
        <v>121000</v>
      </c>
      <c r="L570" s="5" t="n">
        <v>0.11111</v>
      </c>
      <c r="M570" s="4" t="n">
        <v>137</v>
      </c>
      <c r="N570" s="4" t="n">
        <v>24</v>
      </c>
      <c r="O570" s="4" t="n">
        <v>24</v>
      </c>
      <c r="P570" s="4" t="n">
        <v>0</v>
      </c>
      <c r="Q570" s="4" t="n">
        <v>0</v>
      </c>
      <c r="R570" s="4" t="n">
        <f aca="false">M570+N570+O570+P570+Q570</f>
        <v>185</v>
      </c>
      <c r="S570" s="4" t="n">
        <v>21</v>
      </c>
      <c r="T570" s="4" t="n">
        <f aca="false">R570*K570</f>
        <v>22385000</v>
      </c>
      <c r="U570" s="9" t="n">
        <f aca="false">IFERROR(M570/S570,0)</f>
        <v>6.52380952380952</v>
      </c>
      <c r="V570" s="5" t="n">
        <v>0.1653</v>
      </c>
    </row>
    <row r="571" customFormat="false" ht="15" hidden="false" customHeight="false" outlineLevel="0" collapsed="false">
      <c r="A571" s="8" t="s">
        <v>116</v>
      </c>
      <c r="B571" s="8" t="s">
        <v>25</v>
      </c>
      <c r="C571" s="8" t="s">
        <v>1378</v>
      </c>
      <c r="D571" s="8" t="n">
        <v>30065</v>
      </c>
      <c r="E571" s="8" t="s">
        <v>403</v>
      </c>
      <c r="F571" s="8" t="s">
        <v>809</v>
      </c>
      <c r="G571" s="8" t="s">
        <v>961</v>
      </c>
      <c r="H571" s="8" t="s">
        <v>51</v>
      </c>
      <c r="I571" s="8" t="s">
        <v>117</v>
      </c>
      <c r="J571" s="4" t="n">
        <v>105000</v>
      </c>
      <c r="K571" s="4" t="n">
        <v>90000</v>
      </c>
      <c r="L571" s="5" t="n">
        <v>0.14286</v>
      </c>
      <c r="M571" s="4" t="n">
        <v>126</v>
      </c>
      <c r="N571" s="4" t="n">
        <v>32</v>
      </c>
      <c r="O571" s="4" t="n">
        <v>24</v>
      </c>
      <c r="P571" s="4" t="n">
        <v>0</v>
      </c>
      <c r="Q571" s="4" t="n">
        <v>0</v>
      </c>
      <c r="R571" s="4" t="n">
        <f aca="false">M571+N571+O571+P571+Q571</f>
        <v>182</v>
      </c>
      <c r="S571" s="4" t="n">
        <v>22</v>
      </c>
      <c r="T571" s="4" t="n">
        <f aca="false">R571*K571</f>
        <v>16380000</v>
      </c>
      <c r="U571" s="9" t="n">
        <f aca="false">IFERROR(M571/S571,0)</f>
        <v>5.72727272727273</v>
      </c>
      <c r="V571" s="5" t="n">
        <v>0.1333</v>
      </c>
    </row>
    <row r="572" customFormat="false" ht="15" hidden="false" customHeight="false" outlineLevel="0" collapsed="false">
      <c r="A572" s="8" t="s">
        <v>116</v>
      </c>
      <c r="B572" s="8" t="s">
        <v>25</v>
      </c>
      <c r="C572" s="8" t="s">
        <v>1378</v>
      </c>
      <c r="D572" s="8" t="n">
        <v>30071</v>
      </c>
      <c r="E572" s="8" t="s">
        <v>540</v>
      </c>
      <c r="F572" s="8" t="s">
        <v>809</v>
      </c>
      <c r="G572" s="8" t="s">
        <v>961</v>
      </c>
      <c r="H572" s="8" t="s">
        <v>51</v>
      </c>
      <c r="I572" s="8" t="s">
        <v>117</v>
      </c>
      <c r="J572" s="4" t="n">
        <v>135000</v>
      </c>
      <c r="K572" s="4" t="n">
        <v>121000</v>
      </c>
      <c r="L572" s="5" t="n">
        <v>0.11111</v>
      </c>
      <c r="M572" s="4" t="n">
        <v>131</v>
      </c>
      <c r="N572" s="4" t="n">
        <v>0</v>
      </c>
      <c r="O572" s="4" t="n">
        <v>20</v>
      </c>
      <c r="P572" s="4" t="n">
        <v>0</v>
      </c>
      <c r="Q572" s="4" t="n">
        <v>0</v>
      </c>
      <c r="R572" s="4" t="n">
        <f aca="false">M572+N572+O572+P572+Q572</f>
        <v>151</v>
      </c>
      <c r="S572" s="4" t="n">
        <v>20</v>
      </c>
      <c r="T572" s="4" t="n">
        <f aca="false">R572*K572</f>
        <v>18271000</v>
      </c>
      <c r="U572" s="9" t="n">
        <f aca="false">IFERROR(M572/S572,0)</f>
        <v>6.55</v>
      </c>
      <c r="V572" s="5" t="n">
        <v>0.1653</v>
      </c>
    </row>
    <row r="573" customFormat="false" ht="15" hidden="false" customHeight="false" outlineLevel="0" collapsed="false">
      <c r="A573" s="8" t="s">
        <v>116</v>
      </c>
      <c r="B573" s="8" t="s">
        <v>25</v>
      </c>
      <c r="C573" s="8" t="s">
        <v>1378</v>
      </c>
      <c r="D573" s="8" t="n">
        <v>30067</v>
      </c>
      <c r="E573" s="8" t="s">
        <v>1379</v>
      </c>
      <c r="F573" s="8" t="s">
        <v>794</v>
      </c>
      <c r="G573" s="8" t="s">
        <v>961</v>
      </c>
      <c r="H573" s="8" t="s">
        <v>51</v>
      </c>
      <c r="I573" s="8" t="s">
        <v>117</v>
      </c>
      <c r="J573" s="4" t="n">
        <v>90000</v>
      </c>
      <c r="K573" s="4" t="n">
        <v>75000</v>
      </c>
      <c r="L573" s="5" t="n">
        <v>0.16667</v>
      </c>
      <c r="M573" s="4" t="n">
        <v>38</v>
      </c>
      <c r="N573" s="4" t="n">
        <v>0</v>
      </c>
      <c r="O573" s="4" t="n">
        <v>0</v>
      </c>
      <c r="P573" s="4" t="n">
        <v>0</v>
      </c>
      <c r="Q573" s="4" t="n">
        <v>0</v>
      </c>
      <c r="R573" s="4" t="n">
        <f aca="false">M573+N573+O573+P573+Q573</f>
        <v>38</v>
      </c>
      <c r="S573" s="4" t="n">
        <v>10</v>
      </c>
      <c r="T573" s="4" t="n">
        <f aca="false">R573*K573</f>
        <v>2850000</v>
      </c>
      <c r="U573" s="9" t="n">
        <f aca="false">IFERROR(M573/S573,0)</f>
        <v>3.8</v>
      </c>
      <c r="V573" s="5" t="n">
        <v>0.1067</v>
      </c>
    </row>
    <row r="574" customFormat="false" ht="15" hidden="false" customHeight="false" outlineLevel="0" collapsed="false">
      <c r="A574" s="8" t="s">
        <v>116</v>
      </c>
      <c r="B574" s="8" t="s">
        <v>25</v>
      </c>
      <c r="C574" s="8" t="s">
        <v>1378</v>
      </c>
      <c r="D574" s="8" t="n">
        <v>30066</v>
      </c>
      <c r="E574" s="8" t="s">
        <v>1380</v>
      </c>
      <c r="F574" s="8" t="s">
        <v>794</v>
      </c>
      <c r="G574" s="8" t="s">
        <v>961</v>
      </c>
      <c r="H574" s="8" t="s">
        <v>51</v>
      </c>
      <c r="I574" s="8" t="s">
        <v>117</v>
      </c>
      <c r="J574" s="4" t="n">
        <v>90000</v>
      </c>
      <c r="K574" s="4" t="n">
        <v>75000</v>
      </c>
      <c r="L574" s="5" t="n">
        <v>0.16667</v>
      </c>
      <c r="M574" s="4" t="n">
        <v>11</v>
      </c>
      <c r="N574" s="4" t="n">
        <v>0</v>
      </c>
      <c r="O574" s="4" t="n">
        <v>0</v>
      </c>
      <c r="P574" s="4" t="n">
        <v>0</v>
      </c>
      <c r="Q574" s="4" t="n">
        <v>0</v>
      </c>
      <c r="R574" s="4" t="n">
        <f aca="false">M574+N574+O574+P574+Q574</f>
        <v>11</v>
      </c>
      <c r="S574" s="4" t="n">
        <v>7</v>
      </c>
      <c r="T574" s="4" t="n">
        <f aca="false">R574*K574</f>
        <v>825000</v>
      </c>
      <c r="U574" s="9" t="n">
        <f aca="false">IFERROR(M574/S574,0)</f>
        <v>1.57142857142857</v>
      </c>
      <c r="V574" s="5" t="n">
        <v>0.1067</v>
      </c>
    </row>
    <row r="575" customFormat="false" ht="15" hidden="false" customHeight="false" outlineLevel="0" collapsed="false">
      <c r="A575" s="8" t="s">
        <v>81</v>
      </c>
      <c r="B575" s="8" t="s">
        <v>24</v>
      </c>
      <c r="C575" s="8" t="s">
        <v>1381</v>
      </c>
      <c r="D575" s="8" t="n">
        <v>220075</v>
      </c>
      <c r="E575" s="8" t="s">
        <v>377</v>
      </c>
      <c r="F575" s="8" t="s">
        <v>1044</v>
      </c>
      <c r="G575" s="8" t="s">
        <v>961</v>
      </c>
      <c r="H575" s="8" t="s">
        <v>66</v>
      </c>
      <c r="I575" s="8" t="s">
        <v>82</v>
      </c>
      <c r="J575" s="4" t="n">
        <v>350000</v>
      </c>
      <c r="K575" s="4" t="n">
        <v>290000</v>
      </c>
      <c r="L575" s="5" t="n">
        <v>0.17143</v>
      </c>
      <c r="M575" s="4" t="n">
        <v>370</v>
      </c>
      <c r="N575" s="4" t="n">
        <v>146</v>
      </c>
      <c r="O575" s="4" t="n">
        <v>32</v>
      </c>
      <c r="P575" s="4" t="n">
        <v>0</v>
      </c>
      <c r="Q575" s="4" t="n">
        <v>262</v>
      </c>
      <c r="R575" s="4" t="n">
        <f aca="false">M575+N575+O575+P575+Q575</f>
        <v>810</v>
      </c>
      <c r="S575" s="4" t="n">
        <v>22</v>
      </c>
      <c r="T575" s="4" t="n">
        <f aca="false">R575*K575</f>
        <v>234900000</v>
      </c>
      <c r="U575" s="9" t="n">
        <f aca="false">IFERROR(M575/S575,0)</f>
        <v>16.8181818181818</v>
      </c>
      <c r="V575" s="5"/>
    </row>
    <row r="576" customFormat="false" ht="15" hidden="false" customHeight="false" outlineLevel="0" collapsed="false">
      <c r="A576" s="8" t="s">
        <v>81</v>
      </c>
      <c r="B576" s="8" t="s">
        <v>24</v>
      </c>
      <c r="C576" s="8" t="s">
        <v>1381</v>
      </c>
      <c r="D576" s="8" t="n">
        <v>220076</v>
      </c>
      <c r="E576" s="8" t="s">
        <v>389</v>
      </c>
      <c r="F576" s="8" t="s">
        <v>1044</v>
      </c>
      <c r="G576" s="8" t="s">
        <v>961</v>
      </c>
      <c r="H576" s="8" t="s">
        <v>66</v>
      </c>
      <c r="I576" s="8" t="s">
        <v>82</v>
      </c>
      <c r="J576" s="4" t="n">
        <v>350000</v>
      </c>
      <c r="K576" s="4" t="n">
        <v>290000</v>
      </c>
      <c r="L576" s="5" t="n">
        <v>0.17143</v>
      </c>
      <c r="M576" s="4" t="n">
        <v>269</v>
      </c>
      <c r="N576" s="4" t="n">
        <v>64</v>
      </c>
      <c r="O576" s="4" t="n">
        <v>20</v>
      </c>
      <c r="P576" s="4" t="n">
        <v>0</v>
      </c>
      <c r="Q576" s="4" t="n">
        <v>159</v>
      </c>
      <c r="R576" s="4" t="n">
        <f aca="false">M576+N576+O576+P576+Q576</f>
        <v>512</v>
      </c>
      <c r="S576" s="4" t="n">
        <v>22</v>
      </c>
      <c r="T576" s="4" t="n">
        <f aca="false">R576*K576</f>
        <v>148480000</v>
      </c>
      <c r="U576" s="9" t="n">
        <f aca="false">IFERROR(M576/S576,0)</f>
        <v>12.2272727272727</v>
      </c>
      <c r="V576" s="5"/>
    </row>
    <row r="577" customFormat="false" ht="15" hidden="false" customHeight="false" outlineLevel="0" collapsed="false">
      <c r="A577" s="8" t="s">
        <v>81</v>
      </c>
      <c r="B577" s="8" t="s">
        <v>24</v>
      </c>
      <c r="C577" s="8" t="s">
        <v>1381</v>
      </c>
      <c r="D577" s="8" t="n">
        <v>220077</v>
      </c>
      <c r="E577" s="8" t="s">
        <v>514</v>
      </c>
      <c r="F577" s="8" t="s">
        <v>1044</v>
      </c>
      <c r="G577" s="8" t="s">
        <v>961</v>
      </c>
      <c r="H577" s="8" t="s">
        <v>66</v>
      </c>
      <c r="I577" s="8" t="s">
        <v>82</v>
      </c>
      <c r="J577" s="4" t="n">
        <v>350000</v>
      </c>
      <c r="K577" s="4" t="n">
        <v>290000</v>
      </c>
      <c r="L577" s="5" t="n">
        <v>0.17143</v>
      </c>
      <c r="M577" s="4" t="n">
        <v>272</v>
      </c>
      <c r="N577" s="4" t="n">
        <v>0</v>
      </c>
      <c r="O577" s="4" t="n">
        <v>39</v>
      </c>
      <c r="P577" s="4" t="n">
        <v>0</v>
      </c>
      <c r="Q577" s="4" t="n">
        <v>74</v>
      </c>
      <c r="R577" s="4" t="n">
        <f aca="false">M577+N577+O577+P577+Q577</f>
        <v>385</v>
      </c>
      <c r="S577" s="4" t="n">
        <v>20</v>
      </c>
      <c r="T577" s="4" t="n">
        <f aca="false">R577*K577</f>
        <v>111650000</v>
      </c>
      <c r="U577" s="9" t="n">
        <f aca="false">IFERROR(M577/S577,0)</f>
        <v>13.6</v>
      </c>
      <c r="V577" s="5"/>
    </row>
    <row r="578" customFormat="false" ht="15" hidden="false" customHeight="false" outlineLevel="0" collapsed="false">
      <c r="A578" s="8" t="s">
        <v>81</v>
      </c>
      <c r="B578" s="8" t="s">
        <v>24</v>
      </c>
      <c r="C578" s="8" t="s">
        <v>1381</v>
      </c>
      <c r="D578" s="8" t="n">
        <v>220072</v>
      </c>
      <c r="E578" s="8" t="s">
        <v>399</v>
      </c>
      <c r="F578" s="8" t="s">
        <v>1044</v>
      </c>
      <c r="G578" s="8" t="s">
        <v>961</v>
      </c>
      <c r="H578" s="8" t="s">
        <v>66</v>
      </c>
      <c r="I578" s="8" t="s">
        <v>82</v>
      </c>
      <c r="J578" s="4" t="n">
        <v>350000</v>
      </c>
      <c r="K578" s="4" t="n">
        <v>290000</v>
      </c>
      <c r="L578" s="5" t="n">
        <v>0.17143</v>
      </c>
      <c r="M578" s="4" t="n">
        <v>215</v>
      </c>
      <c r="N578" s="4" t="n">
        <v>40</v>
      </c>
      <c r="O578" s="4" t="n">
        <v>18</v>
      </c>
      <c r="P578" s="4" t="n">
        <v>0</v>
      </c>
      <c r="Q578" s="4" t="n">
        <v>5</v>
      </c>
      <c r="R578" s="4" t="n">
        <f aca="false">M578+N578+O578+P578+Q578</f>
        <v>278</v>
      </c>
      <c r="S578" s="4" t="n">
        <v>22</v>
      </c>
      <c r="T578" s="4" t="n">
        <f aca="false">R578*K578</f>
        <v>80620000</v>
      </c>
      <c r="U578" s="9" t="n">
        <f aca="false">IFERROR(M578/S578,0)</f>
        <v>9.77272727272727</v>
      </c>
      <c r="V578" s="5"/>
    </row>
    <row r="579" customFormat="false" ht="15" hidden="false" customHeight="false" outlineLevel="0" collapsed="false">
      <c r="A579" s="8" t="s">
        <v>81</v>
      </c>
      <c r="B579" s="8" t="s">
        <v>24</v>
      </c>
      <c r="C579" s="8" t="s">
        <v>1381</v>
      </c>
      <c r="D579" s="8" t="n">
        <v>220074</v>
      </c>
      <c r="E579" s="8" t="s">
        <v>513</v>
      </c>
      <c r="F579" s="8" t="s">
        <v>1044</v>
      </c>
      <c r="G579" s="8" t="s">
        <v>961</v>
      </c>
      <c r="H579" s="8" t="s">
        <v>66</v>
      </c>
      <c r="I579" s="8" t="s">
        <v>82</v>
      </c>
      <c r="J579" s="4" t="n">
        <v>350000</v>
      </c>
      <c r="K579" s="4" t="n">
        <v>290000</v>
      </c>
      <c r="L579" s="5" t="n">
        <v>0.17143</v>
      </c>
      <c r="M579" s="4" t="n">
        <v>152</v>
      </c>
      <c r="N579" s="4" t="n">
        <v>0</v>
      </c>
      <c r="O579" s="4" t="n">
        <v>20</v>
      </c>
      <c r="P579" s="4" t="n">
        <v>0</v>
      </c>
      <c r="Q579" s="4" t="n">
        <v>31</v>
      </c>
      <c r="R579" s="4" t="n">
        <f aca="false">M579+N579+O579+P579+Q579</f>
        <v>203</v>
      </c>
      <c r="S579" s="4" t="n">
        <v>18</v>
      </c>
      <c r="T579" s="4" t="n">
        <f aca="false">R579*K579</f>
        <v>58870000</v>
      </c>
      <c r="U579" s="9" t="n">
        <f aca="false">IFERROR(M579/S579,0)</f>
        <v>8.44444444444445</v>
      </c>
      <c r="V579" s="5"/>
    </row>
    <row r="580" customFormat="false" ht="15" hidden="false" customHeight="false" outlineLevel="0" collapsed="false">
      <c r="A580" s="8" t="s">
        <v>81</v>
      </c>
      <c r="B580" s="8" t="s">
        <v>24</v>
      </c>
      <c r="C580" s="8" t="s">
        <v>1381</v>
      </c>
      <c r="D580" s="8" t="n">
        <v>220071</v>
      </c>
      <c r="E580" s="8" t="s">
        <v>511</v>
      </c>
      <c r="F580" s="8" t="s">
        <v>1044</v>
      </c>
      <c r="G580" s="8" t="s">
        <v>961</v>
      </c>
      <c r="H580" s="8" t="s">
        <v>66</v>
      </c>
      <c r="I580" s="8" t="s">
        <v>82</v>
      </c>
      <c r="J580" s="4" t="n">
        <v>350000</v>
      </c>
      <c r="K580" s="4" t="n">
        <v>290000</v>
      </c>
      <c r="L580" s="5" t="n">
        <v>0.17143</v>
      </c>
      <c r="M580" s="4" t="n">
        <v>113</v>
      </c>
      <c r="N580" s="4" t="n">
        <v>0</v>
      </c>
      <c r="O580" s="4" t="n">
        <v>10</v>
      </c>
      <c r="P580" s="4" t="n">
        <v>0</v>
      </c>
      <c r="Q580" s="4" t="n">
        <v>33</v>
      </c>
      <c r="R580" s="4" t="n">
        <f aca="false">M580+N580+O580+P580+Q580</f>
        <v>156</v>
      </c>
      <c r="S580" s="4" t="n">
        <v>18</v>
      </c>
      <c r="T580" s="4" t="n">
        <f aca="false">R580*K580</f>
        <v>45240000</v>
      </c>
      <c r="U580" s="9" t="n">
        <f aca="false">IFERROR(M580/S580,0)</f>
        <v>6.27777777777778</v>
      </c>
      <c r="V580" s="5"/>
    </row>
    <row r="581" customFormat="false" ht="15" hidden="false" customHeight="false" outlineLevel="0" collapsed="false">
      <c r="A581" s="8" t="s">
        <v>81</v>
      </c>
      <c r="B581" s="8" t="s">
        <v>24</v>
      </c>
      <c r="C581" s="8" t="s">
        <v>1381</v>
      </c>
      <c r="D581" s="8" t="n">
        <v>220078</v>
      </c>
      <c r="E581" s="8" t="s">
        <v>512</v>
      </c>
      <c r="F581" s="8" t="s">
        <v>1044</v>
      </c>
      <c r="G581" s="8" t="s">
        <v>961</v>
      </c>
      <c r="H581" s="8" t="s">
        <v>66</v>
      </c>
      <c r="I581" s="8" t="s">
        <v>82</v>
      </c>
      <c r="J581" s="4" t="n">
        <v>350000</v>
      </c>
      <c r="K581" s="4" t="n">
        <v>290000</v>
      </c>
      <c r="L581" s="5" t="n">
        <v>0.17143</v>
      </c>
      <c r="M581" s="4" t="n">
        <v>105</v>
      </c>
      <c r="N581" s="4" t="n">
        <v>0</v>
      </c>
      <c r="O581" s="4" t="n">
        <v>0</v>
      </c>
      <c r="P581" s="4" t="n">
        <v>0</v>
      </c>
      <c r="Q581" s="4" t="n">
        <v>2</v>
      </c>
      <c r="R581" s="4" t="n">
        <f aca="false">M581+N581+O581+P581+Q581</f>
        <v>107</v>
      </c>
      <c r="S581" s="4" t="n">
        <v>20</v>
      </c>
      <c r="T581" s="4" t="n">
        <f aca="false">R581*K581</f>
        <v>31030000</v>
      </c>
      <c r="U581" s="9" t="n">
        <f aca="false">IFERROR(M581/S581,0)</f>
        <v>5.25</v>
      </c>
      <c r="V581" s="5"/>
    </row>
    <row r="582" customFormat="false" ht="15" hidden="false" customHeight="false" outlineLevel="0" collapsed="false">
      <c r="A582" s="8" t="s">
        <v>81</v>
      </c>
      <c r="B582" s="8" t="s">
        <v>24</v>
      </c>
      <c r="C582" s="8" t="s">
        <v>1381</v>
      </c>
      <c r="D582" s="8" t="n">
        <v>220073</v>
      </c>
      <c r="E582" s="8" t="s">
        <v>512</v>
      </c>
      <c r="F582" s="8" t="s">
        <v>770</v>
      </c>
      <c r="G582" s="8" t="s">
        <v>961</v>
      </c>
      <c r="H582" s="8" t="s">
        <v>66</v>
      </c>
      <c r="I582" s="8" t="s">
        <v>82</v>
      </c>
      <c r="J582" s="4" t="n">
        <v>350000</v>
      </c>
      <c r="K582" s="4" t="n">
        <v>290000</v>
      </c>
      <c r="L582" s="5" t="n">
        <v>0.17143</v>
      </c>
      <c r="M582" s="4" t="n">
        <v>61</v>
      </c>
      <c r="N582" s="4" t="n">
        <v>0</v>
      </c>
      <c r="O582" s="4" t="n">
        <v>0</v>
      </c>
      <c r="P582" s="4" t="n">
        <v>0</v>
      </c>
      <c r="Q582" s="4" t="n">
        <v>0</v>
      </c>
      <c r="R582" s="4" t="n">
        <f aca="false">M582+N582+O582+P582+Q582</f>
        <v>61</v>
      </c>
      <c r="S582" s="4" t="n">
        <v>14</v>
      </c>
      <c r="T582" s="4" t="n">
        <f aca="false">R582*K582</f>
        <v>17690000</v>
      </c>
      <c r="U582" s="9" t="n">
        <f aca="false">IFERROR(M582/S582,0)</f>
        <v>4.35714285714286</v>
      </c>
      <c r="V582" s="5"/>
    </row>
    <row r="583" customFormat="false" ht="15" hidden="false" customHeight="false" outlineLevel="0" collapsed="false">
      <c r="A583" s="8" t="s">
        <v>81</v>
      </c>
      <c r="B583" s="8" t="s">
        <v>24</v>
      </c>
      <c r="C583" s="8" t="s">
        <v>1381</v>
      </c>
      <c r="D583" s="8" t="n">
        <v>220079</v>
      </c>
      <c r="E583" s="8" t="s">
        <v>399</v>
      </c>
      <c r="F583" s="8" t="s">
        <v>770</v>
      </c>
      <c r="G583" s="8" t="s">
        <v>961</v>
      </c>
      <c r="H583" s="8" t="s">
        <v>66</v>
      </c>
      <c r="I583" s="8" t="s">
        <v>82</v>
      </c>
      <c r="J583" s="4" t="n">
        <v>350000</v>
      </c>
      <c r="K583" s="4" t="n">
        <v>290000</v>
      </c>
      <c r="L583" s="5" t="n">
        <v>0.17143</v>
      </c>
      <c r="M583" s="4" t="n">
        <v>35</v>
      </c>
      <c r="N583" s="4" t="n">
        <v>13</v>
      </c>
      <c r="O583" s="4" t="n">
        <v>0</v>
      </c>
      <c r="P583" s="4" t="n">
        <v>0</v>
      </c>
      <c r="Q583" s="4" t="n">
        <v>0</v>
      </c>
      <c r="R583" s="4" t="n">
        <f aca="false">M583+N583+O583+P583+Q583</f>
        <v>48</v>
      </c>
      <c r="S583" s="4" t="n">
        <v>8</v>
      </c>
      <c r="T583" s="4" t="n">
        <f aca="false">R583*K583</f>
        <v>13920000</v>
      </c>
      <c r="U583" s="9" t="n">
        <f aca="false">IFERROR(M583/S583,0)</f>
        <v>4.375</v>
      </c>
      <c r="V583" s="5"/>
    </row>
    <row r="584" customFormat="false" ht="15" hidden="false" customHeight="false" outlineLevel="0" collapsed="false">
      <c r="A584" s="8" t="s">
        <v>53</v>
      </c>
      <c r="B584" s="8" t="s">
        <v>20</v>
      </c>
      <c r="C584" s="8" t="s">
        <v>1052</v>
      </c>
      <c r="D584" s="8" t="n">
        <v>102367</v>
      </c>
      <c r="E584" s="8" t="s">
        <v>427</v>
      </c>
      <c r="F584" s="8" t="s">
        <v>1044</v>
      </c>
      <c r="G584" s="8" t="s">
        <v>961</v>
      </c>
      <c r="H584" s="8" t="s">
        <v>55</v>
      </c>
      <c r="I584" s="8" t="s">
        <v>54</v>
      </c>
      <c r="J584" s="4" t="n">
        <v>6500000</v>
      </c>
      <c r="K584" s="4" t="n">
        <v>1109000</v>
      </c>
      <c r="L584" s="5" t="n">
        <v>0.82938</v>
      </c>
      <c r="M584" s="4" t="n">
        <v>221</v>
      </c>
      <c r="N584" s="4" t="n">
        <v>2324</v>
      </c>
      <c r="O584" s="4" t="n">
        <v>0</v>
      </c>
      <c r="P584" s="4" t="n">
        <v>1</v>
      </c>
      <c r="Q584" s="4" t="n">
        <v>0</v>
      </c>
      <c r="R584" s="4" t="n">
        <f aca="false">M584+N584+O584+P584+Q584</f>
        <v>2546</v>
      </c>
      <c r="S584" s="4" t="n">
        <v>23</v>
      </c>
      <c r="T584" s="4" t="n">
        <f aca="false">R584*K584</f>
        <v>2823514000</v>
      </c>
      <c r="U584" s="9" t="n">
        <f aca="false">IFERROR(M584/S584,0)</f>
        <v>9.60869565217391</v>
      </c>
      <c r="V584" s="5"/>
    </row>
    <row r="585" customFormat="false" ht="15" hidden="false" customHeight="false" outlineLevel="0" collapsed="false">
      <c r="A585" s="8" t="s">
        <v>102</v>
      </c>
      <c r="B585" s="8" t="s">
        <v>29</v>
      </c>
      <c r="C585" s="8" t="s">
        <v>1382</v>
      </c>
      <c r="D585" s="8" t="n">
        <v>153325</v>
      </c>
      <c r="E585" s="8" t="s">
        <v>667</v>
      </c>
      <c r="F585" s="8" t="s">
        <v>1044</v>
      </c>
      <c r="G585" s="8" t="s">
        <v>961</v>
      </c>
      <c r="H585" s="8" t="s">
        <v>66</v>
      </c>
      <c r="I585" s="8" t="s">
        <v>103</v>
      </c>
      <c r="J585" s="4" t="n">
        <v>165000</v>
      </c>
      <c r="K585" s="4" t="n">
        <v>118000</v>
      </c>
      <c r="L585" s="5" t="n">
        <v>0.28571</v>
      </c>
      <c r="M585" s="4" t="n">
        <v>2411</v>
      </c>
      <c r="N585" s="4" t="n">
        <v>0</v>
      </c>
      <c r="O585" s="4" t="n">
        <v>0</v>
      </c>
      <c r="P585" s="4" t="n">
        <v>0</v>
      </c>
      <c r="Q585" s="4" t="n">
        <v>0</v>
      </c>
      <c r="R585" s="4" t="n">
        <f aca="false">M585+N585+O585+P585+Q585</f>
        <v>2411</v>
      </c>
      <c r="S585" s="4" t="n">
        <v>23</v>
      </c>
      <c r="T585" s="4" t="n">
        <f aca="false">R585*K585</f>
        <v>284498000</v>
      </c>
      <c r="U585" s="9" t="n">
        <f aca="false">IFERROR(M585/S585,0)</f>
        <v>104.826086956522</v>
      </c>
      <c r="V585" s="5"/>
    </row>
    <row r="586" customFormat="false" ht="15" hidden="false" customHeight="false" outlineLevel="0" collapsed="false">
      <c r="A586" s="8" t="s">
        <v>102</v>
      </c>
      <c r="B586" s="8" t="s">
        <v>29</v>
      </c>
      <c r="C586" s="8" t="s">
        <v>1382</v>
      </c>
      <c r="D586" s="8" t="n">
        <v>153326</v>
      </c>
      <c r="E586" s="8" t="s">
        <v>1383</v>
      </c>
      <c r="F586" s="8" t="s">
        <v>767</v>
      </c>
      <c r="G586" s="8" t="s">
        <v>961</v>
      </c>
      <c r="H586" s="8" t="s">
        <v>66</v>
      </c>
      <c r="I586" s="8" t="s">
        <v>103</v>
      </c>
      <c r="J586" s="4" t="n">
        <v>165000</v>
      </c>
      <c r="K586" s="4" t="n">
        <v>118000</v>
      </c>
      <c r="L586" s="5" t="n">
        <v>0.28571</v>
      </c>
      <c r="M586" s="4" t="n">
        <v>46</v>
      </c>
      <c r="N586" s="4" t="n">
        <v>0</v>
      </c>
      <c r="O586" s="4" t="n">
        <v>0</v>
      </c>
      <c r="P586" s="4" t="n">
        <v>0</v>
      </c>
      <c r="Q586" s="4" t="n">
        <v>0</v>
      </c>
      <c r="R586" s="4" t="n">
        <f aca="false">M586+N586+O586+P586+Q586</f>
        <v>46</v>
      </c>
      <c r="S586" s="4" t="n">
        <v>8</v>
      </c>
      <c r="T586" s="4" t="n">
        <f aca="false">R586*K586</f>
        <v>5428000</v>
      </c>
      <c r="U586" s="9" t="n">
        <f aca="false">IFERROR(M586/S586,0)</f>
        <v>5.75</v>
      </c>
      <c r="V586" s="5"/>
    </row>
    <row r="587" customFormat="false" ht="15" hidden="false" customHeight="false" outlineLevel="0" collapsed="false">
      <c r="A587" s="8" t="s">
        <v>152</v>
      </c>
      <c r="B587" s="8" t="s">
        <v>26</v>
      </c>
      <c r="C587" s="8" t="s">
        <v>1384</v>
      </c>
      <c r="D587" s="8" t="n">
        <v>150953</v>
      </c>
      <c r="E587" s="8" t="s">
        <v>710</v>
      </c>
      <c r="F587" s="8" t="s">
        <v>1044</v>
      </c>
      <c r="G587" s="8" t="s">
        <v>961</v>
      </c>
      <c r="H587" s="8" t="s">
        <v>62</v>
      </c>
      <c r="I587" s="8" t="s">
        <v>153</v>
      </c>
      <c r="J587" s="4" t="n">
        <v>75000</v>
      </c>
      <c r="K587" s="4" t="n">
        <v>50000</v>
      </c>
      <c r="L587" s="5" t="n">
        <v>0.33333</v>
      </c>
      <c r="M587" s="4" t="n">
        <v>606</v>
      </c>
      <c r="N587" s="4" t="n">
        <v>0</v>
      </c>
      <c r="O587" s="4" t="n">
        <v>84</v>
      </c>
      <c r="P587" s="4" t="n">
        <v>0</v>
      </c>
      <c r="Q587" s="4" t="n">
        <v>3</v>
      </c>
      <c r="R587" s="4" t="n">
        <f aca="false">M587+N587+O587+P587+Q587</f>
        <v>693</v>
      </c>
      <c r="S587" s="4" t="n">
        <v>23</v>
      </c>
      <c r="T587" s="4" t="n">
        <f aca="false">R587*K587</f>
        <v>34650000</v>
      </c>
      <c r="U587" s="9" t="n">
        <f aca="false">IFERROR(M587/S587,0)</f>
        <v>26.3478260869565</v>
      </c>
      <c r="V587" s="5"/>
    </row>
    <row r="588" customFormat="false" ht="15" hidden="false" customHeight="false" outlineLevel="0" collapsed="false">
      <c r="A588" s="8" t="s">
        <v>152</v>
      </c>
      <c r="B588" s="8" t="s">
        <v>26</v>
      </c>
      <c r="C588" s="8" t="s">
        <v>1384</v>
      </c>
      <c r="D588" s="8" t="n">
        <v>153291</v>
      </c>
      <c r="E588" s="8" t="s">
        <v>709</v>
      </c>
      <c r="F588" s="8" t="s">
        <v>1044</v>
      </c>
      <c r="G588" s="8" t="s">
        <v>961</v>
      </c>
      <c r="H588" s="8" t="s">
        <v>62</v>
      </c>
      <c r="I588" s="8" t="s">
        <v>153</v>
      </c>
      <c r="J588" s="4" t="n">
        <v>75000</v>
      </c>
      <c r="K588" s="4" t="n">
        <v>50000</v>
      </c>
      <c r="L588" s="5" t="n">
        <v>0.33333</v>
      </c>
      <c r="M588" s="4" t="n">
        <v>484</v>
      </c>
      <c r="N588" s="4" t="n">
        <v>0</v>
      </c>
      <c r="O588" s="4" t="n">
        <v>100</v>
      </c>
      <c r="P588" s="4" t="n">
        <v>0</v>
      </c>
      <c r="Q588" s="4" t="n">
        <v>1</v>
      </c>
      <c r="R588" s="4" t="n">
        <f aca="false">M588+N588+O588+P588+Q588</f>
        <v>585</v>
      </c>
      <c r="S588" s="4" t="n">
        <v>24</v>
      </c>
      <c r="T588" s="4" t="n">
        <f aca="false">R588*K588</f>
        <v>29250000</v>
      </c>
      <c r="U588" s="9" t="n">
        <f aca="false">IFERROR(M588/S588,0)</f>
        <v>20.1666666666667</v>
      </c>
      <c r="V588" s="5"/>
    </row>
    <row r="589" customFormat="false" ht="15" hidden="false" customHeight="false" outlineLevel="0" collapsed="false">
      <c r="A589" s="8" t="s">
        <v>152</v>
      </c>
      <c r="B589" s="8" t="s">
        <v>26</v>
      </c>
      <c r="C589" s="8" t="s">
        <v>1384</v>
      </c>
      <c r="D589" s="8" t="n">
        <v>152124</v>
      </c>
      <c r="E589" s="8" t="s">
        <v>460</v>
      </c>
      <c r="F589" s="8" t="s">
        <v>1044</v>
      </c>
      <c r="G589" s="8" t="s">
        <v>961</v>
      </c>
      <c r="H589" s="8" t="s">
        <v>62</v>
      </c>
      <c r="I589" s="8" t="s">
        <v>153</v>
      </c>
      <c r="J589" s="4" t="n">
        <v>75000</v>
      </c>
      <c r="K589" s="4" t="n">
        <v>50000</v>
      </c>
      <c r="L589" s="5" t="n">
        <v>0.33333</v>
      </c>
      <c r="M589" s="4" t="n">
        <v>408</v>
      </c>
      <c r="N589" s="4" t="n">
        <v>6</v>
      </c>
      <c r="O589" s="4" t="n">
        <v>80</v>
      </c>
      <c r="P589" s="4" t="n">
        <v>0</v>
      </c>
      <c r="Q589" s="4" t="n">
        <v>5</v>
      </c>
      <c r="R589" s="4" t="n">
        <f aca="false">M589+N589+O589+P589+Q589</f>
        <v>499</v>
      </c>
      <c r="S589" s="4" t="n">
        <v>23</v>
      </c>
      <c r="T589" s="4" t="n">
        <f aca="false">R589*K589</f>
        <v>24950000</v>
      </c>
      <c r="U589" s="9" t="n">
        <f aca="false">IFERROR(M589/S589,0)</f>
        <v>17.7391304347826</v>
      </c>
      <c r="V589" s="5"/>
    </row>
    <row r="590" customFormat="false" ht="15" hidden="false" customHeight="false" outlineLevel="0" collapsed="false">
      <c r="A590" s="8" t="s">
        <v>152</v>
      </c>
      <c r="B590" s="8" t="s">
        <v>26</v>
      </c>
      <c r="C590" s="8" t="s">
        <v>1384</v>
      </c>
      <c r="D590" s="8" t="n">
        <v>154513</v>
      </c>
      <c r="E590" s="8" t="s">
        <v>420</v>
      </c>
      <c r="F590" s="8" t="s">
        <v>1044</v>
      </c>
      <c r="G590" s="8" t="s">
        <v>961</v>
      </c>
      <c r="H590" s="8" t="s">
        <v>62</v>
      </c>
      <c r="I590" s="8" t="s">
        <v>153</v>
      </c>
      <c r="J590" s="4" t="n">
        <v>75000</v>
      </c>
      <c r="K590" s="4" t="n">
        <v>50000</v>
      </c>
      <c r="L590" s="5" t="n">
        <v>0.33333</v>
      </c>
      <c r="M590" s="4" t="n">
        <v>328</v>
      </c>
      <c r="N590" s="4" t="n">
        <v>6</v>
      </c>
      <c r="O590" s="4" t="n">
        <v>89</v>
      </c>
      <c r="P590" s="4" t="n">
        <v>0</v>
      </c>
      <c r="Q590" s="4" t="n">
        <v>6</v>
      </c>
      <c r="R590" s="4" t="n">
        <f aca="false">M590+N590+O590+P590+Q590</f>
        <v>429</v>
      </c>
      <c r="S590" s="4" t="n">
        <v>22</v>
      </c>
      <c r="T590" s="4" t="n">
        <f aca="false">R590*K590</f>
        <v>21450000</v>
      </c>
      <c r="U590" s="9" t="n">
        <f aca="false">IFERROR(M590/S590,0)</f>
        <v>14.9090909090909</v>
      </c>
      <c r="V590" s="5"/>
    </row>
    <row r="591" customFormat="false" ht="15" hidden="false" customHeight="false" outlineLevel="0" collapsed="false">
      <c r="A591" s="8" t="s">
        <v>152</v>
      </c>
      <c r="B591" s="8" t="s">
        <v>26</v>
      </c>
      <c r="C591" s="8" t="s">
        <v>1384</v>
      </c>
      <c r="D591" s="8" t="n">
        <v>150552</v>
      </c>
      <c r="E591" s="8" t="s">
        <v>711</v>
      </c>
      <c r="F591" s="8" t="s">
        <v>809</v>
      </c>
      <c r="G591" s="8" t="s">
        <v>961</v>
      </c>
      <c r="H591" s="8" t="s">
        <v>62</v>
      </c>
      <c r="I591" s="8" t="s">
        <v>153</v>
      </c>
      <c r="J591" s="4" t="n">
        <v>35000</v>
      </c>
      <c r="K591" s="4" t="n">
        <v>23000</v>
      </c>
      <c r="L591" s="5" t="n">
        <v>0.33333</v>
      </c>
      <c r="M591" s="4" t="n">
        <v>126</v>
      </c>
      <c r="N591" s="4" t="n">
        <v>0</v>
      </c>
      <c r="O591" s="4" t="n">
        <v>13</v>
      </c>
      <c r="P591" s="4" t="n">
        <v>0</v>
      </c>
      <c r="Q591" s="4" t="n">
        <v>0</v>
      </c>
      <c r="R591" s="4" t="n">
        <f aca="false">M591+N591+O591+P591+Q591</f>
        <v>139</v>
      </c>
      <c r="S591" s="4" t="n">
        <v>22</v>
      </c>
      <c r="T591" s="4" t="n">
        <f aca="false">R591*K591</f>
        <v>3197000</v>
      </c>
      <c r="U591" s="9" t="n">
        <f aca="false">IFERROR(M591/S591,0)</f>
        <v>5.72727272727273</v>
      </c>
      <c r="V591" s="5"/>
    </row>
    <row r="592" customFormat="false" ht="15" hidden="false" customHeight="false" outlineLevel="0" collapsed="false">
      <c r="A592" s="8" t="s">
        <v>108</v>
      </c>
      <c r="B592" s="8" t="s">
        <v>20</v>
      </c>
      <c r="C592" s="8" t="s">
        <v>1046</v>
      </c>
      <c r="D592" s="8" t="n">
        <v>102542</v>
      </c>
      <c r="E592" s="8" t="s">
        <v>431</v>
      </c>
      <c r="F592" s="8" t="s">
        <v>829</v>
      </c>
      <c r="G592" s="8" t="s">
        <v>961</v>
      </c>
      <c r="H592" s="8" t="s">
        <v>62</v>
      </c>
      <c r="I592" s="8" t="s">
        <v>109</v>
      </c>
      <c r="J592" s="4" t="n">
        <v>165000</v>
      </c>
      <c r="K592" s="4" t="n">
        <v>119000</v>
      </c>
      <c r="L592" s="5" t="n">
        <v>0.27576</v>
      </c>
      <c r="M592" s="4" t="n">
        <v>241</v>
      </c>
      <c r="N592" s="4" t="n">
        <v>1115</v>
      </c>
      <c r="O592" s="4" t="n">
        <v>58</v>
      </c>
      <c r="P592" s="4" t="n">
        <v>0</v>
      </c>
      <c r="Q592" s="4" t="n">
        <v>0</v>
      </c>
      <c r="R592" s="4" t="n">
        <f aca="false">M592+N592+O592+P592+Q592</f>
        <v>1414</v>
      </c>
      <c r="S592" s="4" t="n">
        <v>23</v>
      </c>
      <c r="T592" s="4" t="n">
        <f aca="false">R592*K592</f>
        <v>168266000</v>
      </c>
      <c r="U592" s="9" t="n">
        <f aca="false">IFERROR(M592/S592,0)</f>
        <v>10.4782608695652</v>
      </c>
      <c r="V592" s="5"/>
    </row>
    <row r="593" customFormat="false" ht="15" hidden="false" customHeight="false" outlineLevel="0" collapsed="false">
      <c r="A593" s="8" t="s">
        <v>108</v>
      </c>
      <c r="B593" s="8" t="s">
        <v>20</v>
      </c>
      <c r="C593" s="8" t="s">
        <v>1046</v>
      </c>
      <c r="D593" s="8" t="n">
        <v>102541</v>
      </c>
      <c r="E593" s="8" t="s">
        <v>433</v>
      </c>
      <c r="F593" s="8" t="s">
        <v>829</v>
      </c>
      <c r="G593" s="8" t="s">
        <v>961</v>
      </c>
      <c r="H593" s="8" t="s">
        <v>62</v>
      </c>
      <c r="I593" s="8" t="s">
        <v>109</v>
      </c>
      <c r="J593" s="4" t="n">
        <v>165000</v>
      </c>
      <c r="K593" s="4" t="n">
        <v>119000</v>
      </c>
      <c r="L593" s="5" t="n">
        <v>0.27576</v>
      </c>
      <c r="M593" s="4" t="n">
        <v>237</v>
      </c>
      <c r="N593" s="4" t="n">
        <v>613</v>
      </c>
      <c r="O593" s="4" t="n">
        <v>58</v>
      </c>
      <c r="P593" s="4" t="n">
        <v>0</v>
      </c>
      <c r="Q593" s="4" t="n">
        <v>0</v>
      </c>
      <c r="R593" s="4" t="n">
        <f aca="false">M593+N593+O593+P593+Q593</f>
        <v>908</v>
      </c>
      <c r="S593" s="4" t="n">
        <v>23</v>
      </c>
      <c r="T593" s="4" t="n">
        <f aca="false">R593*K593</f>
        <v>108052000</v>
      </c>
      <c r="U593" s="9" t="n">
        <f aca="false">IFERROR(M593/S593,0)</f>
        <v>10.304347826087</v>
      </c>
      <c r="V593" s="5"/>
    </row>
    <row r="594" customFormat="false" ht="15" hidden="false" customHeight="false" outlineLevel="0" collapsed="false">
      <c r="A594" s="8" t="s">
        <v>122</v>
      </c>
      <c r="B594" s="8" t="s">
        <v>22</v>
      </c>
      <c r="C594" s="8" t="s">
        <v>1385</v>
      </c>
      <c r="D594" s="8" t="n">
        <v>134425</v>
      </c>
      <c r="E594" s="8" t="s">
        <v>429</v>
      </c>
      <c r="F594" s="8" t="s">
        <v>1044</v>
      </c>
      <c r="G594" s="8" t="s">
        <v>961</v>
      </c>
      <c r="H594" s="8" t="s">
        <v>55</v>
      </c>
      <c r="I594" s="8" t="s">
        <v>123</v>
      </c>
      <c r="J594" s="4" t="n">
        <v>160000</v>
      </c>
      <c r="K594" s="4" t="n">
        <v>102000</v>
      </c>
      <c r="L594" s="5" t="n">
        <v>0.36</v>
      </c>
      <c r="M594" s="4" t="n">
        <v>775</v>
      </c>
      <c r="N594" s="4" t="n">
        <v>1360</v>
      </c>
      <c r="O594" s="4" t="n">
        <v>91</v>
      </c>
      <c r="P594" s="4" t="n">
        <v>0</v>
      </c>
      <c r="Q594" s="4" t="n">
        <v>14</v>
      </c>
      <c r="R594" s="4" t="n">
        <f aca="false">M594+N594+O594+P594+Q594</f>
        <v>2240</v>
      </c>
      <c r="S594" s="4" t="n">
        <v>23</v>
      </c>
      <c r="T594" s="4" t="n">
        <f aca="false">R594*K594</f>
        <v>228480000</v>
      </c>
      <c r="U594" s="9" t="n">
        <f aca="false">IFERROR(M594/S594,0)</f>
        <v>33.6956521739131</v>
      </c>
      <c r="V594" s="5"/>
    </row>
    <row r="595" customFormat="false" ht="15" hidden="false" customHeight="false" outlineLevel="0" collapsed="false">
      <c r="A595" s="8" t="s">
        <v>185</v>
      </c>
      <c r="B595" s="8" t="s">
        <v>20</v>
      </c>
      <c r="C595" s="8" t="s">
        <v>1048</v>
      </c>
      <c r="D595" s="8" t="n">
        <v>102209</v>
      </c>
      <c r="E595" s="8" t="s">
        <v>595</v>
      </c>
      <c r="F595" s="8" t="s">
        <v>809</v>
      </c>
      <c r="G595" s="8" t="s">
        <v>961</v>
      </c>
      <c r="H595" s="8" t="s">
        <v>62</v>
      </c>
      <c r="I595" s="8" t="s">
        <v>186</v>
      </c>
      <c r="J595" s="4" t="n">
        <v>39000</v>
      </c>
      <c r="K595" s="4" t="n">
        <v>29000</v>
      </c>
      <c r="L595" s="5" t="n">
        <v>0.25</v>
      </c>
      <c r="M595" s="4" t="n">
        <v>497</v>
      </c>
      <c r="N595" s="4" t="n">
        <v>0</v>
      </c>
      <c r="O595" s="4" t="n">
        <v>0</v>
      </c>
      <c r="P595" s="4" t="n">
        <v>0</v>
      </c>
      <c r="Q595" s="4" t="n">
        <v>0</v>
      </c>
      <c r="R595" s="4" t="n">
        <f aca="false">M595+N595+O595+P595+Q595</f>
        <v>497</v>
      </c>
      <c r="S595" s="4" t="n">
        <v>16</v>
      </c>
      <c r="T595" s="4" t="n">
        <f aca="false">R595*K595</f>
        <v>14413000</v>
      </c>
      <c r="U595" s="9" t="n">
        <f aca="false">IFERROR(M595/S595,0)</f>
        <v>31.0625</v>
      </c>
      <c r="V595" s="5"/>
    </row>
    <row r="596" customFormat="false" ht="15" hidden="false" customHeight="false" outlineLevel="0" collapsed="false">
      <c r="A596" s="8" t="s">
        <v>185</v>
      </c>
      <c r="B596" s="8" t="s">
        <v>20</v>
      </c>
      <c r="C596" s="8" t="s">
        <v>1048</v>
      </c>
      <c r="D596" s="8" t="n">
        <v>102211</v>
      </c>
      <c r="E596" s="8" t="s">
        <v>593</v>
      </c>
      <c r="F596" s="8" t="s">
        <v>809</v>
      </c>
      <c r="G596" s="8" t="s">
        <v>961</v>
      </c>
      <c r="H596" s="8" t="s">
        <v>62</v>
      </c>
      <c r="I596" s="8" t="s">
        <v>186</v>
      </c>
      <c r="J596" s="4" t="n">
        <v>39000</v>
      </c>
      <c r="K596" s="4" t="n">
        <v>29000</v>
      </c>
      <c r="L596" s="5" t="n">
        <v>0.25</v>
      </c>
      <c r="M596" s="4" t="n">
        <v>383</v>
      </c>
      <c r="N596" s="4" t="n">
        <v>0</v>
      </c>
      <c r="O596" s="4" t="n">
        <v>44</v>
      </c>
      <c r="P596" s="4" t="n">
        <v>0</v>
      </c>
      <c r="Q596" s="4" t="n">
        <v>0</v>
      </c>
      <c r="R596" s="4" t="n">
        <f aca="false">M596+N596+O596+P596+Q596</f>
        <v>427</v>
      </c>
      <c r="S596" s="4" t="n">
        <v>14</v>
      </c>
      <c r="T596" s="4" t="n">
        <f aca="false">R596*K596</f>
        <v>12383000</v>
      </c>
      <c r="U596" s="9" t="n">
        <f aca="false">IFERROR(M596/S596,0)</f>
        <v>27.3571428571429</v>
      </c>
      <c r="V596" s="5"/>
    </row>
    <row r="597" customFormat="false" ht="15" hidden="false" customHeight="false" outlineLevel="0" collapsed="false">
      <c r="A597" s="8" t="s">
        <v>185</v>
      </c>
      <c r="B597" s="8" t="s">
        <v>20</v>
      </c>
      <c r="C597" s="8" t="s">
        <v>1048</v>
      </c>
      <c r="D597" s="8" t="n">
        <v>102210</v>
      </c>
      <c r="E597" s="8" t="s">
        <v>591</v>
      </c>
      <c r="F597" s="8" t="s">
        <v>809</v>
      </c>
      <c r="G597" s="8" t="s">
        <v>961</v>
      </c>
      <c r="H597" s="8" t="s">
        <v>62</v>
      </c>
      <c r="I597" s="8" t="s">
        <v>186</v>
      </c>
      <c r="J597" s="4" t="n">
        <v>39000</v>
      </c>
      <c r="K597" s="4" t="n">
        <v>29000</v>
      </c>
      <c r="L597" s="5" t="n">
        <v>0.25</v>
      </c>
      <c r="M597" s="4" t="n">
        <v>389</v>
      </c>
      <c r="N597" s="4" t="n">
        <v>0</v>
      </c>
      <c r="O597" s="4" t="n">
        <v>0</v>
      </c>
      <c r="P597" s="4" t="n">
        <v>0</v>
      </c>
      <c r="Q597" s="4" t="n">
        <v>5</v>
      </c>
      <c r="R597" s="4" t="n">
        <f aca="false">M597+N597+O597+P597+Q597</f>
        <v>394</v>
      </c>
      <c r="S597" s="4" t="n">
        <v>5</v>
      </c>
      <c r="T597" s="4" t="n">
        <f aca="false">R597*K597</f>
        <v>11426000</v>
      </c>
      <c r="U597" s="9" t="n">
        <f aca="false">IFERROR(M597/S597,0)</f>
        <v>77.8</v>
      </c>
      <c r="V597" s="5"/>
    </row>
    <row r="598" customFormat="false" ht="15" hidden="false" customHeight="false" outlineLevel="0" collapsed="false">
      <c r="A598" s="8" t="s">
        <v>185</v>
      </c>
      <c r="B598" s="8" t="s">
        <v>20</v>
      </c>
      <c r="C598" s="8" t="s">
        <v>1048</v>
      </c>
      <c r="D598" s="8" t="n">
        <v>102212</v>
      </c>
      <c r="E598" s="8" t="s">
        <v>590</v>
      </c>
      <c r="F598" s="8" t="s">
        <v>809</v>
      </c>
      <c r="G598" s="8" t="s">
        <v>961</v>
      </c>
      <c r="H598" s="8" t="s">
        <v>62</v>
      </c>
      <c r="I598" s="8" t="s">
        <v>186</v>
      </c>
      <c r="J598" s="4" t="n">
        <v>39000</v>
      </c>
      <c r="K598" s="4" t="n">
        <v>29000</v>
      </c>
      <c r="L598" s="5" t="n">
        <v>0.25</v>
      </c>
      <c r="M598" s="4" t="n">
        <v>326</v>
      </c>
      <c r="N598" s="4" t="n">
        <v>0</v>
      </c>
      <c r="O598" s="4" t="n">
        <v>0</v>
      </c>
      <c r="P598" s="4" t="n">
        <v>0</v>
      </c>
      <c r="Q598" s="4" t="n">
        <v>0</v>
      </c>
      <c r="R598" s="4" t="n">
        <f aca="false">M598+N598+O598+P598+Q598</f>
        <v>326</v>
      </c>
      <c r="S598" s="4" t="n">
        <v>9</v>
      </c>
      <c r="T598" s="4" t="n">
        <f aca="false">R598*K598</f>
        <v>9454000</v>
      </c>
      <c r="U598" s="9" t="n">
        <f aca="false">IFERROR(M598/S598,0)</f>
        <v>36.2222222222222</v>
      </c>
      <c r="V598" s="5"/>
    </row>
    <row r="599" customFormat="false" ht="15" hidden="false" customHeight="false" outlineLevel="0" collapsed="false">
      <c r="A599" s="8" t="s">
        <v>185</v>
      </c>
      <c r="B599" s="8" t="s">
        <v>20</v>
      </c>
      <c r="C599" s="8" t="s">
        <v>1048</v>
      </c>
      <c r="D599" s="8" t="n">
        <v>102207</v>
      </c>
      <c r="E599" s="8" t="s">
        <v>594</v>
      </c>
      <c r="F599" s="8" t="s">
        <v>809</v>
      </c>
      <c r="G599" s="8" t="s">
        <v>961</v>
      </c>
      <c r="H599" s="8" t="s">
        <v>62</v>
      </c>
      <c r="I599" s="8" t="s">
        <v>186</v>
      </c>
      <c r="J599" s="4" t="n">
        <v>39000</v>
      </c>
      <c r="K599" s="4" t="n">
        <v>29000</v>
      </c>
      <c r="L599" s="5" t="n">
        <v>0.25</v>
      </c>
      <c r="M599" s="4" t="n">
        <v>229</v>
      </c>
      <c r="N599" s="4" t="n">
        <v>0</v>
      </c>
      <c r="O599" s="4" t="n">
        <v>41</v>
      </c>
      <c r="P599" s="4" t="n">
        <v>0</v>
      </c>
      <c r="Q599" s="4" t="n">
        <v>4</v>
      </c>
      <c r="R599" s="4" t="n">
        <f aca="false">M599+N599+O599+P599+Q599</f>
        <v>274</v>
      </c>
      <c r="S599" s="4" t="n">
        <v>16</v>
      </c>
      <c r="T599" s="4" t="n">
        <f aca="false">R599*K599</f>
        <v>7946000</v>
      </c>
      <c r="U599" s="9" t="n">
        <f aca="false">IFERROR(M599/S599,0)</f>
        <v>14.3125</v>
      </c>
      <c r="V599" s="5"/>
    </row>
    <row r="600" customFormat="false" ht="15" hidden="false" customHeight="false" outlineLevel="0" collapsed="false">
      <c r="A600" s="8" t="s">
        <v>185</v>
      </c>
      <c r="B600" s="8" t="s">
        <v>20</v>
      </c>
      <c r="C600" s="8" t="s">
        <v>1048</v>
      </c>
      <c r="D600" s="8" t="n">
        <v>102208</v>
      </c>
      <c r="E600" s="8" t="s">
        <v>592</v>
      </c>
      <c r="F600" s="8" t="s">
        <v>809</v>
      </c>
      <c r="G600" s="8" t="s">
        <v>961</v>
      </c>
      <c r="H600" s="8" t="s">
        <v>62</v>
      </c>
      <c r="I600" s="8" t="s">
        <v>186</v>
      </c>
      <c r="J600" s="4" t="n">
        <v>39000</v>
      </c>
      <c r="K600" s="4" t="n">
        <v>29000</v>
      </c>
      <c r="L600" s="5" t="n">
        <v>0.25</v>
      </c>
      <c r="M600" s="4" t="n">
        <v>141</v>
      </c>
      <c r="N600" s="4" t="n">
        <v>0</v>
      </c>
      <c r="O600" s="4" t="n">
        <v>0</v>
      </c>
      <c r="P600" s="4" t="n">
        <v>0</v>
      </c>
      <c r="Q600" s="4" t="n">
        <v>0</v>
      </c>
      <c r="R600" s="4" t="n">
        <f aca="false">M600+N600+O600+P600+Q600</f>
        <v>141</v>
      </c>
      <c r="S600" s="4" t="n">
        <v>1</v>
      </c>
      <c r="T600" s="4" t="n">
        <f aca="false">R600*K600</f>
        <v>4089000</v>
      </c>
      <c r="U600" s="9" t="n">
        <f aca="false">IFERROR(M600/S600,0)</f>
        <v>141</v>
      </c>
      <c r="V600" s="5"/>
    </row>
    <row r="601" customFormat="false" ht="15" hidden="false" customHeight="false" outlineLevel="0" collapsed="false">
      <c r="A601" s="8" t="s">
        <v>92</v>
      </c>
      <c r="B601" s="8" t="s">
        <v>20</v>
      </c>
      <c r="C601" s="8" t="s">
        <v>1046</v>
      </c>
      <c r="D601" s="8" t="n">
        <v>101802</v>
      </c>
      <c r="E601" s="8" t="s">
        <v>323</v>
      </c>
      <c r="F601" s="8" t="s">
        <v>1044</v>
      </c>
      <c r="G601" s="8" t="s">
        <v>970</v>
      </c>
      <c r="H601" s="8" t="s">
        <v>62</v>
      </c>
      <c r="I601" s="8" t="s">
        <v>93</v>
      </c>
      <c r="J601" s="4" t="n">
        <v>245000</v>
      </c>
      <c r="K601" s="4" t="n">
        <v>245000</v>
      </c>
      <c r="L601" s="5"/>
      <c r="M601" s="4" t="n">
        <v>111</v>
      </c>
      <c r="N601" s="4" t="n">
        <v>89</v>
      </c>
      <c r="O601" s="4" t="n">
        <v>34</v>
      </c>
      <c r="P601" s="4" t="n">
        <v>0</v>
      </c>
      <c r="Q601" s="4" t="n">
        <v>4</v>
      </c>
      <c r="R601" s="4" t="n">
        <f aca="false">M601+N601+O601+P601+Q601</f>
        <v>238</v>
      </c>
      <c r="S601" s="4" t="n">
        <v>20</v>
      </c>
      <c r="T601" s="4" t="n">
        <f aca="false">R601*K601</f>
        <v>58310000</v>
      </c>
      <c r="U601" s="9" t="n">
        <f aca="false">IFERROR(M601/S601,0)</f>
        <v>5.55</v>
      </c>
      <c r="V601" s="5"/>
    </row>
    <row r="602" customFormat="false" ht="15" hidden="false" customHeight="false" outlineLevel="0" collapsed="false">
      <c r="A602" s="8" t="s">
        <v>92</v>
      </c>
      <c r="B602" s="8" t="s">
        <v>20</v>
      </c>
      <c r="C602" s="8" t="s">
        <v>1046</v>
      </c>
      <c r="D602" s="8" t="n">
        <v>101796</v>
      </c>
      <c r="E602" s="8" t="s">
        <v>349</v>
      </c>
      <c r="F602" s="8" t="s">
        <v>1044</v>
      </c>
      <c r="G602" s="8" t="s">
        <v>970</v>
      </c>
      <c r="H602" s="8" t="s">
        <v>62</v>
      </c>
      <c r="I602" s="8" t="s">
        <v>93</v>
      </c>
      <c r="J602" s="4" t="n">
        <v>245000</v>
      </c>
      <c r="K602" s="4" t="n">
        <v>245000</v>
      </c>
      <c r="L602" s="5"/>
      <c r="M602" s="4" t="n">
        <v>141</v>
      </c>
      <c r="N602" s="4" t="n">
        <v>27</v>
      </c>
      <c r="O602" s="4" t="n">
        <v>31</v>
      </c>
      <c r="P602" s="4" t="n">
        <v>0</v>
      </c>
      <c r="Q602" s="4" t="n">
        <v>12</v>
      </c>
      <c r="R602" s="4" t="n">
        <f aca="false">M602+N602+O602+P602+Q602</f>
        <v>211</v>
      </c>
      <c r="S602" s="4" t="n">
        <v>21</v>
      </c>
      <c r="T602" s="4" t="n">
        <f aca="false">R602*K602</f>
        <v>51695000</v>
      </c>
      <c r="U602" s="9" t="n">
        <f aca="false">IFERROR(M602/S602,0)</f>
        <v>6.71428571428571</v>
      </c>
      <c r="V602" s="5"/>
    </row>
    <row r="603" customFormat="false" ht="15" hidden="false" customHeight="false" outlineLevel="0" collapsed="false">
      <c r="A603" s="8" t="s">
        <v>92</v>
      </c>
      <c r="B603" s="8" t="s">
        <v>20</v>
      </c>
      <c r="C603" s="8" t="s">
        <v>1046</v>
      </c>
      <c r="D603" s="8" t="n">
        <v>101797</v>
      </c>
      <c r="E603" s="8" t="s">
        <v>597</v>
      </c>
      <c r="F603" s="8" t="s">
        <v>1044</v>
      </c>
      <c r="G603" s="8" t="s">
        <v>970</v>
      </c>
      <c r="H603" s="8" t="s">
        <v>62</v>
      </c>
      <c r="I603" s="8" t="s">
        <v>93</v>
      </c>
      <c r="J603" s="4" t="n">
        <v>245000</v>
      </c>
      <c r="K603" s="4" t="n">
        <v>245000</v>
      </c>
      <c r="L603" s="5"/>
      <c r="M603" s="4" t="n">
        <v>166</v>
      </c>
      <c r="N603" s="4" t="n">
        <v>0</v>
      </c>
      <c r="O603" s="4" t="n">
        <v>23</v>
      </c>
      <c r="P603" s="4" t="n">
        <v>0</v>
      </c>
      <c r="Q603" s="4" t="n">
        <v>8</v>
      </c>
      <c r="R603" s="4" t="n">
        <f aca="false">M603+N603+O603+P603+Q603</f>
        <v>197</v>
      </c>
      <c r="S603" s="4" t="n">
        <v>23</v>
      </c>
      <c r="T603" s="4" t="n">
        <f aca="false">R603*K603</f>
        <v>48265000</v>
      </c>
      <c r="U603" s="9" t="n">
        <f aca="false">IFERROR(M603/S603,0)</f>
        <v>7.21739130434783</v>
      </c>
      <c r="V603" s="5"/>
    </row>
    <row r="604" customFormat="false" ht="15" hidden="false" customHeight="false" outlineLevel="0" collapsed="false">
      <c r="A604" s="8" t="s">
        <v>92</v>
      </c>
      <c r="B604" s="8" t="s">
        <v>20</v>
      </c>
      <c r="C604" s="8" t="s">
        <v>1046</v>
      </c>
      <c r="D604" s="8" t="n">
        <v>101800</v>
      </c>
      <c r="E604" s="8" t="s">
        <v>393</v>
      </c>
      <c r="F604" s="8" t="s">
        <v>1044</v>
      </c>
      <c r="G604" s="8" t="s">
        <v>970</v>
      </c>
      <c r="H604" s="8" t="s">
        <v>62</v>
      </c>
      <c r="I604" s="8" t="s">
        <v>93</v>
      </c>
      <c r="J604" s="4" t="n">
        <v>245000</v>
      </c>
      <c r="K604" s="4" t="n">
        <v>245000</v>
      </c>
      <c r="L604" s="5"/>
      <c r="M604" s="4" t="n">
        <v>97</v>
      </c>
      <c r="N604" s="4" t="n">
        <v>52</v>
      </c>
      <c r="O604" s="4" t="n">
        <v>41</v>
      </c>
      <c r="P604" s="4" t="n">
        <v>0</v>
      </c>
      <c r="Q604" s="4" t="n">
        <v>5</v>
      </c>
      <c r="R604" s="4" t="n">
        <f aca="false">M604+N604+O604+P604+Q604</f>
        <v>195</v>
      </c>
      <c r="S604" s="4" t="n">
        <v>22</v>
      </c>
      <c r="T604" s="4" t="n">
        <f aca="false">R604*K604</f>
        <v>47775000</v>
      </c>
      <c r="U604" s="9" t="n">
        <f aca="false">IFERROR(M604/S604,0)</f>
        <v>4.40909090909091</v>
      </c>
      <c r="V604" s="5"/>
    </row>
    <row r="605" customFormat="false" ht="15" hidden="false" customHeight="false" outlineLevel="0" collapsed="false">
      <c r="A605" s="8" t="s">
        <v>92</v>
      </c>
      <c r="B605" s="8" t="s">
        <v>20</v>
      </c>
      <c r="C605" s="8" t="s">
        <v>1046</v>
      </c>
      <c r="D605" s="8" t="n">
        <v>102020</v>
      </c>
      <c r="E605" s="8" t="s">
        <v>401</v>
      </c>
      <c r="F605" s="8" t="s">
        <v>1044</v>
      </c>
      <c r="G605" s="8" t="s">
        <v>970</v>
      </c>
      <c r="H605" s="8" t="s">
        <v>62</v>
      </c>
      <c r="I605" s="8" t="s">
        <v>93</v>
      </c>
      <c r="J605" s="4" t="n">
        <v>245000</v>
      </c>
      <c r="K605" s="4" t="n">
        <v>245000</v>
      </c>
      <c r="L605" s="5"/>
      <c r="M605" s="4" t="n">
        <v>130</v>
      </c>
      <c r="N605" s="4" t="n">
        <v>40</v>
      </c>
      <c r="O605" s="4" t="n">
        <v>21</v>
      </c>
      <c r="P605" s="4" t="n">
        <v>0</v>
      </c>
      <c r="Q605" s="4" t="n">
        <v>4</v>
      </c>
      <c r="R605" s="4" t="n">
        <f aca="false">M605+N605+O605+P605+Q605</f>
        <v>195</v>
      </c>
      <c r="S605" s="4" t="n">
        <v>22</v>
      </c>
      <c r="T605" s="4" t="n">
        <f aca="false">R605*K605</f>
        <v>47775000</v>
      </c>
      <c r="U605" s="9" t="n">
        <f aca="false">IFERROR(M605/S605,0)</f>
        <v>5.90909090909091</v>
      </c>
      <c r="V605" s="5"/>
    </row>
    <row r="606" customFormat="false" ht="15" hidden="false" customHeight="false" outlineLevel="0" collapsed="false">
      <c r="A606" s="8" t="s">
        <v>92</v>
      </c>
      <c r="B606" s="8" t="s">
        <v>20</v>
      </c>
      <c r="C606" s="8" t="s">
        <v>1046</v>
      </c>
      <c r="D606" s="8" t="n">
        <v>101801</v>
      </c>
      <c r="E606" s="8" t="s">
        <v>596</v>
      </c>
      <c r="F606" s="8" t="s">
        <v>1044</v>
      </c>
      <c r="G606" s="8" t="s">
        <v>970</v>
      </c>
      <c r="H606" s="8" t="s">
        <v>62</v>
      </c>
      <c r="I606" s="8" t="s">
        <v>93</v>
      </c>
      <c r="J606" s="4" t="n">
        <v>245000</v>
      </c>
      <c r="K606" s="4" t="n">
        <v>245000</v>
      </c>
      <c r="L606" s="5"/>
      <c r="M606" s="4" t="n">
        <v>130</v>
      </c>
      <c r="N606" s="4" t="n">
        <v>12</v>
      </c>
      <c r="O606" s="4" t="n">
        <v>39</v>
      </c>
      <c r="P606" s="4" t="n">
        <v>0</v>
      </c>
      <c r="Q606" s="4" t="n">
        <v>6</v>
      </c>
      <c r="R606" s="4" t="n">
        <f aca="false">M606+N606+O606+P606+Q606</f>
        <v>187</v>
      </c>
      <c r="S606" s="4" t="n">
        <v>24</v>
      </c>
      <c r="T606" s="4" t="n">
        <f aca="false">R606*K606</f>
        <v>45815000</v>
      </c>
      <c r="U606" s="9" t="n">
        <f aca="false">IFERROR(M606/S606,0)</f>
        <v>5.41666666666667</v>
      </c>
      <c r="V606" s="5"/>
    </row>
    <row r="607" customFormat="false" ht="15" hidden="false" customHeight="false" outlineLevel="0" collapsed="false">
      <c r="A607" s="8" t="s">
        <v>92</v>
      </c>
      <c r="B607" s="8" t="s">
        <v>20</v>
      </c>
      <c r="C607" s="8" t="s">
        <v>1046</v>
      </c>
      <c r="D607" s="8" t="n">
        <v>102021</v>
      </c>
      <c r="E607" s="8" t="s">
        <v>347</v>
      </c>
      <c r="F607" s="8" t="s">
        <v>1044</v>
      </c>
      <c r="G607" s="8" t="s">
        <v>970</v>
      </c>
      <c r="H607" s="8" t="s">
        <v>62</v>
      </c>
      <c r="I607" s="8" t="s">
        <v>93</v>
      </c>
      <c r="J607" s="4" t="n">
        <v>245000</v>
      </c>
      <c r="K607" s="4" t="n">
        <v>245000</v>
      </c>
      <c r="L607" s="5"/>
      <c r="M607" s="4" t="n">
        <v>115</v>
      </c>
      <c r="N607" s="4" t="n">
        <v>30</v>
      </c>
      <c r="O607" s="4" t="n">
        <v>23</v>
      </c>
      <c r="P607" s="4" t="n">
        <v>0</v>
      </c>
      <c r="Q607" s="4" t="n">
        <v>16</v>
      </c>
      <c r="R607" s="4" t="n">
        <f aca="false">M607+N607+O607+P607+Q607</f>
        <v>184</v>
      </c>
      <c r="S607" s="4" t="n">
        <v>21</v>
      </c>
      <c r="T607" s="4" t="n">
        <f aca="false">R607*K607</f>
        <v>45080000</v>
      </c>
      <c r="U607" s="9" t="n">
        <f aca="false">IFERROR(M607/S607,0)</f>
        <v>5.47619047619048</v>
      </c>
      <c r="V607" s="5"/>
    </row>
    <row r="608" customFormat="false" ht="15" hidden="false" customHeight="false" outlineLevel="0" collapsed="false">
      <c r="A608" s="8" t="s">
        <v>92</v>
      </c>
      <c r="B608" s="8" t="s">
        <v>20</v>
      </c>
      <c r="C608" s="8" t="s">
        <v>1046</v>
      </c>
      <c r="D608" s="8" t="n">
        <v>101798</v>
      </c>
      <c r="E608" s="8" t="s">
        <v>345</v>
      </c>
      <c r="F608" s="8" t="s">
        <v>1044</v>
      </c>
      <c r="G608" s="8" t="s">
        <v>970</v>
      </c>
      <c r="H608" s="8" t="s">
        <v>62</v>
      </c>
      <c r="I608" s="8" t="s">
        <v>93</v>
      </c>
      <c r="J608" s="4" t="n">
        <v>245000</v>
      </c>
      <c r="K608" s="4" t="n">
        <v>245000</v>
      </c>
      <c r="L608" s="5"/>
      <c r="M608" s="4" t="n">
        <v>107</v>
      </c>
      <c r="N608" s="4" t="n">
        <v>42</v>
      </c>
      <c r="O608" s="4" t="n">
        <v>29</v>
      </c>
      <c r="P608" s="4" t="n">
        <v>0</v>
      </c>
      <c r="Q608" s="4" t="n">
        <v>5</v>
      </c>
      <c r="R608" s="4" t="n">
        <f aca="false">M608+N608+O608+P608+Q608</f>
        <v>183</v>
      </c>
      <c r="S608" s="4" t="n">
        <v>21</v>
      </c>
      <c r="T608" s="4" t="n">
        <f aca="false">R608*K608</f>
        <v>44835000</v>
      </c>
      <c r="U608" s="9" t="n">
        <f aca="false">IFERROR(M608/S608,0)</f>
        <v>5.0952380952381</v>
      </c>
      <c r="V608" s="5"/>
    </row>
    <row r="609" customFormat="false" ht="15" hidden="false" customHeight="false" outlineLevel="0" collapsed="false">
      <c r="A609" s="8" t="s">
        <v>92</v>
      </c>
      <c r="B609" s="8" t="s">
        <v>20</v>
      </c>
      <c r="C609" s="8" t="s">
        <v>1046</v>
      </c>
      <c r="D609" s="8" t="n">
        <v>101799</v>
      </c>
      <c r="E609" s="8" t="s">
        <v>455</v>
      </c>
      <c r="F609" s="8" t="s">
        <v>1044</v>
      </c>
      <c r="G609" s="8" t="s">
        <v>970</v>
      </c>
      <c r="H609" s="8" t="s">
        <v>62</v>
      </c>
      <c r="I609" s="8" t="s">
        <v>93</v>
      </c>
      <c r="J609" s="4" t="n">
        <v>245000</v>
      </c>
      <c r="K609" s="4" t="n">
        <v>245000</v>
      </c>
      <c r="L609" s="5"/>
      <c r="M609" s="4" t="n">
        <v>115</v>
      </c>
      <c r="N609" s="4" t="n">
        <v>12</v>
      </c>
      <c r="O609" s="4" t="n">
        <v>42</v>
      </c>
      <c r="P609" s="4" t="n">
        <v>0</v>
      </c>
      <c r="Q609" s="4" t="n">
        <v>9</v>
      </c>
      <c r="R609" s="4" t="n">
        <f aca="false">M609+N609+O609+P609+Q609</f>
        <v>178</v>
      </c>
      <c r="S609" s="4" t="n">
        <v>23</v>
      </c>
      <c r="T609" s="4" t="n">
        <f aca="false">R609*K609</f>
        <v>43610000</v>
      </c>
      <c r="U609" s="9" t="n">
        <f aca="false">IFERROR(M609/S609,0)</f>
        <v>5</v>
      </c>
      <c r="V609" s="5"/>
    </row>
    <row r="610" customFormat="false" ht="15" hidden="false" customHeight="false" outlineLevel="0" collapsed="false">
      <c r="A610" s="8" t="s">
        <v>92</v>
      </c>
      <c r="B610" s="8" t="s">
        <v>20</v>
      </c>
      <c r="C610" s="8" t="s">
        <v>1046</v>
      </c>
      <c r="D610" s="8" t="n">
        <v>101803</v>
      </c>
      <c r="E610" s="8" t="s">
        <v>339</v>
      </c>
      <c r="F610" s="8" t="s">
        <v>1044</v>
      </c>
      <c r="G610" s="8" t="s">
        <v>970</v>
      </c>
      <c r="H610" s="8" t="s">
        <v>62</v>
      </c>
      <c r="I610" s="8" t="s">
        <v>93</v>
      </c>
      <c r="J610" s="4" t="n">
        <v>245000</v>
      </c>
      <c r="K610" s="4" t="n">
        <v>245000</v>
      </c>
      <c r="L610" s="5"/>
      <c r="M610" s="4" t="n">
        <v>90</v>
      </c>
      <c r="N610" s="4" t="n">
        <v>74</v>
      </c>
      <c r="O610" s="4" t="n">
        <v>9</v>
      </c>
      <c r="P610" s="4" t="n">
        <v>0</v>
      </c>
      <c r="Q610" s="4" t="n">
        <v>2</v>
      </c>
      <c r="R610" s="4" t="n">
        <f aca="false">M610+N610+O610+P610+Q610</f>
        <v>175</v>
      </c>
      <c r="S610" s="4" t="n">
        <v>21</v>
      </c>
      <c r="T610" s="4" t="n">
        <f aca="false">R610*K610</f>
        <v>42875000</v>
      </c>
      <c r="U610" s="9" t="n">
        <f aca="false">IFERROR(M610/S610,0)</f>
        <v>4.28571428571429</v>
      </c>
      <c r="V610" s="5"/>
    </row>
    <row r="611" customFormat="false" ht="15" hidden="false" customHeight="false" outlineLevel="0" collapsed="false">
      <c r="A611" s="8" t="s">
        <v>92</v>
      </c>
      <c r="B611" s="8" t="s">
        <v>20</v>
      </c>
      <c r="C611" s="8" t="s">
        <v>1046</v>
      </c>
      <c r="D611" s="8" t="n">
        <v>101807</v>
      </c>
      <c r="E611" s="8" t="s">
        <v>1386</v>
      </c>
      <c r="F611" s="8" t="s">
        <v>767</v>
      </c>
      <c r="G611" s="8" t="s">
        <v>970</v>
      </c>
      <c r="H611" s="8" t="s">
        <v>62</v>
      </c>
      <c r="I611" s="8" t="s">
        <v>93</v>
      </c>
      <c r="J611" s="4" t="n">
        <v>250000</v>
      </c>
      <c r="K611" s="4" t="n">
        <v>250000</v>
      </c>
      <c r="L611" s="5"/>
      <c r="M611" s="4" t="n">
        <v>1</v>
      </c>
      <c r="N611" s="4" t="n">
        <v>0</v>
      </c>
      <c r="O611" s="4" t="n">
        <v>0</v>
      </c>
      <c r="P611" s="4" t="n">
        <v>0</v>
      </c>
      <c r="Q611" s="4" t="n">
        <v>0</v>
      </c>
      <c r="R611" s="4" t="n">
        <f aca="false">M611+N611+O611+P611+Q611</f>
        <v>1</v>
      </c>
      <c r="S611" s="4" t="n">
        <v>1</v>
      </c>
      <c r="T611" s="4" t="n">
        <f aca="false">R611*K611</f>
        <v>250000</v>
      </c>
      <c r="U611" s="9" t="n">
        <f aca="false">IFERROR(M611/S611,0)</f>
        <v>1</v>
      </c>
      <c r="V611" s="5"/>
    </row>
    <row r="612" customFormat="false" ht="15" hidden="false" customHeight="false" outlineLevel="0" collapsed="false">
      <c r="A612" s="8" t="s">
        <v>158</v>
      </c>
      <c r="B612" s="8" t="s">
        <v>25</v>
      </c>
      <c r="C612" s="8" t="s">
        <v>1378</v>
      </c>
      <c r="D612" s="8" t="n">
        <v>30115</v>
      </c>
      <c r="E612" s="8" t="s">
        <v>289</v>
      </c>
      <c r="F612" s="8" t="s">
        <v>809</v>
      </c>
      <c r="G612" s="8" t="s">
        <v>961</v>
      </c>
      <c r="H612" s="8" t="s">
        <v>55</v>
      </c>
      <c r="I612" s="8" t="s">
        <v>159</v>
      </c>
      <c r="J612" s="4" t="n">
        <v>50000</v>
      </c>
      <c r="K612" s="4" t="n">
        <v>25000</v>
      </c>
      <c r="L612" s="5" t="n">
        <v>0.5</v>
      </c>
      <c r="M612" s="4" t="n">
        <v>178</v>
      </c>
      <c r="N612" s="4" t="n">
        <v>83</v>
      </c>
      <c r="O612" s="4" t="n">
        <v>56</v>
      </c>
      <c r="P612" s="4" t="n">
        <v>0</v>
      </c>
      <c r="Q612" s="4" t="n">
        <v>0</v>
      </c>
      <c r="R612" s="4" t="n">
        <f aca="false">M612+N612+O612+P612+Q612</f>
        <v>317</v>
      </c>
      <c r="S612" s="4" t="n">
        <v>15</v>
      </c>
      <c r="T612" s="4" t="n">
        <f aca="false">R612*K612</f>
        <v>7925000</v>
      </c>
      <c r="U612" s="9" t="n">
        <f aca="false">IFERROR(M612/S612,0)</f>
        <v>11.8666666666667</v>
      </c>
      <c r="V612" s="5"/>
    </row>
    <row r="613" customFormat="false" ht="15" hidden="false" customHeight="false" outlineLevel="0" collapsed="false">
      <c r="A613" s="8" t="s">
        <v>158</v>
      </c>
      <c r="B613" s="8" t="s">
        <v>25</v>
      </c>
      <c r="C613" s="8" t="s">
        <v>1378</v>
      </c>
      <c r="D613" s="8" t="n">
        <v>30052</v>
      </c>
      <c r="E613" s="8" t="s">
        <v>301</v>
      </c>
      <c r="F613" s="8" t="s">
        <v>809</v>
      </c>
      <c r="G613" s="8" t="s">
        <v>961</v>
      </c>
      <c r="H613" s="8" t="s">
        <v>55</v>
      </c>
      <c r="I613" s="8" t="s">
        <v>159</v>
      </c>
      <c r="J613" s="4" t="n">
        <v>99000</v>
      </c>
      <c r="K613" s="4" t="n">
        <v>66000</v>
      </c>
      <c r="L613" s="5" t="n">
        <v>0.33557</v>
      </c>
      <c r="M613" s="4" t="n">
        <v>179</v>
      </c>
      <c r="N613" s="4" t="n">
        <v>95</v>
      </c>
      <c r="O613" s="4" t="n">
        <v>26</v>
      </c>
      <c r="P613" s="4" t="n">
        <v>0</v>
      </c>
      <c r="Q613" s="4" t="n">
        <v>0</v>
      </c>
      <c r="R613" s="4" t="n">
        <f aca="false">M613+N613+O613+P613+Q613</f>
        <v>300</v>
      </c>
      <c r="S613" s="4" t="n">
        <v>18</v>
      </c>
      <c r="T613" s="4" t="n">
        <f aca="false">R613*K613</f>
        <v>19800000</v>
      </c>
      <c r="U613" s="9" t="n">
        <f aca="false">IFERROR(M613/S613,0)</f>
        <v>9.94444444444445</v>
      </c>
      <c r="V613" s="5"/>
    </row>
    <row r="614" customFormat="false" ht="15" hidden="false" customHeight="false" outlineLevel="0" collapsed="false">
      <c r="A614" s="8" t="s">
        <v>158</v>
      </c>
      <c r="B614" s="8" t="s">
        <v>25</v>
      </c>
      <c r="C614" s="8" t="s">
        <v>1378</v>
      </c>
      <c r="D614" s="8" t="n">
        <v>30054</v>
      </c>
      <c r="E614" s="8" t="s">
        <v>541</v>
      </c>
      <c r="F614" s="8" t="s">
        <v>809</v>
      </c>
      <c r="G614" s="8" t="s">
        <v>961</v>
      </c>
      <c r="H614" s="8" t="s">
        <v>55</v>
      </c>
      <c r="I614" s="8" t="s">
        <v>159</v>
      </c>
      <c r="J614" s="4" t="n">
        <v>109000</v>
      </c>
      <c r="K614" s="4" t="n">
        <v>75000</v>
      </c>
      <c r="L614" s="5" t="n">
        <v>0.31447</v>
      </c>
      <c r="M614" s="4" t="n">
        <v>239</v>
      </c>
      <c r="N614" s="4" t="n">
        <v>0</v>
      </c>
      <c r="O614" s="4" t="n">
        <v>30</v>
      </c>
      <c r="P614" s="4" t="n">
        <v>0</v>
      </c>
      <c r="Q614" s="4" t="n">
        <v>0</v>
      </c>
      <c r="R614" s="4" t="n">
        <f aca="false">M614+N614+O614+P614+Q614</f>
        <v>269</v>
      </c>
      <c r="S614" s="4" t="n">
        <v>22</v>
      </c>
      <c r="T614" s="4" t="n">
        <f aca="false">R614*K614</f>
        <v>20175000</v>
      </c>
      <c r="U614" s="9" t="n">
        <f aca="false">IFERROR(M614/S614,0)</f>
        <v>10.8636363636364</v>
      </c>
      <c r="V614" s="5"/>
    </row>
    <row r="615" customFormat="false" ht="15" hidden="false" customHeight="false" outlineLevel="0" collapsed="false">
      <c r="A615" s="8" t="s">
        <v>158</v>
      </c>
      <c r="B615" s="8" t="s">
        <v>25</v>
      </c>
      <c r="C615" s="8" t="s">
        <v>1378</v>
      </c>
      <c r="D615" s="8" t="n">
        <v>30053</v>
      </c>
      <c r="E615" s="8" t="s">
        <v>303</v>
      </c>
      <c r="F615" s="8" t="s">
        <v>809</v>
      </c>
      <c r="G615" s="8" t="s">
        <v>961</v>
      </c>
      <c r="H615" s="8" t="s">
        <v>55</v>
      </c>
      <c r="I615" s="8" t="s">
        <v>159</v>
      </c>
      <c r="J615" s="4" t="n">
        <v>99000</v>
      </c>
      <c r="K615" s="4" t="n">
        <v>66000</v>
      </c>
      <c r="L615" s="5" t="n">
        <v>0.33557</v>
      </c>
      <c r="M615" s="4" t="n">
        <v>141</v>
      </c>
      <c r="N615" s="4" t="n">
        <v>60</v>
      </c>
      <c r="O615" s="4" t="n">
        <v>60</v>
      </c>
      <c r="P615" s="4" t="n">
        <v>0</v>
      </c>
      <c r="Q615" s="4" t="n">
        <v>0</v>
      </c>
      <c r="R615" s="4" t="n">
        <f aca="false">M615+N615+O615+P615+Q615</f>
        <v>261</v>
      </c>
      <c r="S615" s="4" t="n">
        <v>18</v>
      </c>
      <c r="T615" s="4" t="n">
        <f aca="false">R615*K615</f>
        <v>17226000</v>
      </c>
      <c r="U615" s="9" t="n">
        <f aca="false">IFERROR(M615/S615,0)</f>
        <v>7.83333333333333</v>
      </c>
      <c r="V615" s="5"/>
    </row>
    <row r="616" customFormat="false" ht="15" hidden="false" customHeight="false" outlineLevel="0" collapsed="false">
      <c r="A616" s="8" t="s">
        <v>158</v>
      </c>
      <c r="B616" s="8" t="s">
        <v>25</v>
      </c>
      <c r="C616" s="8" t="s">
        <v>1378</v>
      </c>
      <c r="D616" s="8" t="n">
        <v>30051</v>
      </c>
      <c r="E616" s="8" t="s">
        <v>331</v>
      </c>
      <c r="F616" s="8" t="s">
        <v>809</v>
      </c>
      <c r="G616" s="8" t="s">
        <v>961</v>
      </c>
      <c r="H616" s="8" t="s">
        <v>55</v>
      </c>
      <c r="I616" s="8" t="s">
        <v>159</v>
      </c>
      <c r="J616" s="4" t="n">
        <v>99000</v>
      </c>
      <c r="K616" s="4" t="n">
        <v>66000</v>
      </c>
      <c r="L616" s="5" t="n">
        <v>0.33557</v>
      </c>
      <c r="M616" s="4" t="n">
        <v>198</v>
      </c>
      <c r="N616" s="4" t="n">
        <v>30</v>
      </c>
      <c r="O616" s="4" t="n">
        <v>31</v>
      </c>
      <c r="P616" s="4" t="n">
        <v>0</v>
      </c>
      <c r="Q616" s="4" t="n">
        <v>0</v>
      </c>
      <c r="R616" s="4" t="n">
        <f aca="false">M616+N616+O616+P616+Q616</f>
        <v>259</v>
      </c>
      <c r="S616" s="4" t="n">
        <v>20</v>
      </c>
      <c r="T616" s="4" t="n">
        <f aca="false">R616*K616</f>
        <v>17094000</v>
      </c>
      <c r="U616" s="9" t="n">
        <f aca="false">IFERROR(M616/S616,0)</f>
        <v>9.9</v>
      </c>
      <c r="V616" s="5"/>
    </row>
    <row r="617" customFormat="false" ht="15" hidden="false" customHeight="false" outlineLevel="0" collapsed="false">
      <c r="A617" s="8" t="s">
        <v>158</v>
      </c>
      <c r="B617" s="8" t="s">
        <v>25</v>
      </c>
      <c r="C617" s="8" t="s">
        <v>1378</v>
      </c>
      <c r="D617" s="8" t="n">
        <v>30055</v>
      </c>
      <c r="E617" s="8" t="s">
        <v>395</v>
      </c>
      <c r="F617" s="8" t="s">
        <v>809</v>
      </c>
      <c r="G617" s="8" t="s">
        <v>961</v>
      </c>
      <c r="H617" s="8" t="s">
        <v>55</v>
      </c>
      <c r="I617" s="8" t="s">
        <v>159</v>
      </c>
      <c r="J617" s="4" t="n">
        <v>109000</v>
      </c>
      <c r="K617" s="4" t="n">
        <v>75000</v>
      </c>
      <c r="L617" s="5" t="n">
        <v>0.31447</v>
      </c>
      <c r="M617" s="4" t="n">
        <v>198</v>
      </c>
      <c r="N617" s="4" t="n">
        <v>50</v>
      </c>
      <c r="O617" s="4" t="n">
        <v>10</v>
      </c>
      <c r="P617" s="4" t="n">
        <v>0</v>
      </c>
      <c r="Q617" s="4" t="n">
        <v>0</v>
      </c>
      <c r="R617" s="4" t="n">
        <f aca="false">M617+N617+O617+P617+Q617</f>
        <v>258</v>
      </c>
      <c r="S617" s="4" t="n">
        <v>22</v>
      </c>
      <c r="T617" s="4" t="n">
        <f aca="false">R617*K617</f>
        <v>19350000</v>
      </c>
      <c r="U617" s="9" t="n">
        <f aca="false">IFERROR(M617/S617,0)</f>
        <v>9</v>
      </c>
      <c r="V617" s="5"/>
    </row>
    <row r="618" customFormat="false" ht="15" hidden="false" customHeight="false" outlineLevel="0" collapsed="false">
      <c r="A618" s="8" t="s">
        <v>158</v>
      </c>
      <c r="B618" s="8" t="s">
        <v>25</v>
      </c>
      <c r="C618" s="8" t="s">
        <v>1378</v>
      </c>
      <c r="D618" s="8" t="n">
        <v>30116</v>
      </c>
      <c r="E618" s="8" t="s">
        <v>278</v>
      </c>
      <c r="F618" s="8" t="s">
        <v>809</v>
      </c>
      <c r="G618" s="8" t="s">
        <v>961</v>
      </c>
      <c r="H618" s="8" t="s">
        <v>55</v>
      </c>
      <c r="I618" s="8" t="s">
        <v>159</v>
      </c>
      <c r="J618" s="4" t="n">
        <v>50000</v>
      </c>
      <c r="K618" s="4" t="n">
        <v>25000</v>
      </c>
      <c r="L618" s="5" t="n">
        <v>0.5</v>
      </c>
      <c r="M618" s="4" t="n">
        <v>146</v>
      </c>
      <c r="N618" s="4" t="n">
        <v>10</v>
      </c>
      <c r="O618" s="4" t="n">
        <v>100</v>
      </c>
      <c r="P618" s="4" t="n">
        <v>0</v>
      </c>
      <c r="Q618" s="4" t="n">
        <v>0</v>
      </c>
      <c r="R618" s="4" t="n">
        <f aca="false">M618+N618+O618+P618+Q618</f>
        <v>256</v>
      </c>
      <c r="S618" s="4" t="n">
        <v>11</v>
      </c>
      <c r="T618" s="4" t="n">
        <f aca="false">R618*K618</f>
        <v>6400000</v>
      </c>
      <c r="U618" s="9" t="n">
        <f aca="false">IFERROR(M618/S618,0)</f>
        <v>13.2727272727273</v>
      </c>
      <c r="V618" s="5"/>
    </row>
    <row r="619" customFormat="false" ht="15" hidden="false" customHeight="false" outlineLevel="0" collapsed="false">
      <c r="A619" s="8" t="s">
        <v>95</v>
      </c>
      <c r="B619" s="8" t="s">
        <v>20</v>
      </c>
      <c r="C619" s="8" t="s">
        <v>1365</v>
      </c>
      <c r="D619" s="8" t="n">
        <v>102268</v>
      </c>
      <c r="E619" s="8" t="s">
        <v>602</v>
      </c>
      <c r="F619" s="8" t="s">
        <v>809</v>
      </c>
      <c r="G619" s="8" t="s">
        <v>961</v>
      </c>
      <c r="H619" s="8" t="s">
        <v>51</v>
      </c>
      <c r="I619" s="8" t="s">
        <v>96</v>
      </c>
      <c r="J619" s="4" t="n">
        <v>240000</v>
      </c>
      <c r="K619" s="4" t="n">
        <v>210000</v>
      </c>
      <c r="L619" s="5" t="n">
        <v>0.125</v>
      </c>
      <c r="M619" s="4" t="n">
        <v>105</v>
      </c>
      <c r="N619" s="4" t="n">
        <v>0</v>
      </c>
      <c r="O619" s="4" t="n">
        <v>0</v>
      </c>
      <c r="P619" s="4" t="n">
        <v>0</v>
      </c>
      <c r="Q619" s="4" t="n">
        <v>0</v>
      </c>
      <c r="R619" s="4" t="n">
        <f aca="false">M619+N619+O619+P619+Q619</f>
        <v>105</v>
      </c>
      <c r="S619" s="4" t="n">
        <v>22</v>
      </c>
      <c r="T619" s="4" t="n">
        <f aca="false">R619*K619</f>
        <v>22050000</v>
      </c>
      <c r="U619" s="9" t="n">
        <f aca="false">IFERROR(M619/S619,0)</f>
        <v>4.77272727272727</v>
      </c>
      <c r="V619" s="5" t="n">
        <v>0.1905</v>
      </c>
    </row>
    <row r="620" customFormat="false" ht="15" hidden="false" customHeight="false" outlineLevel="0" collapsed="false">
      <c r="A620" s="8" t="s">
        <v>95</v>
      </c>
      <c r="B620" s="8" t="s">
        <v>20</v>
      </c>
      <c r="C620" s="8" t="s">
        <v>1365</v>
      </c>
      <c r="D620" s="8" t="n">
        <v>102265</v>
      </c>
      <c r="E620" s="8" t="s">
        <v>412</v>
      </c>
      <c r="F620" s="8" t="s">
        <v>809</v>
      </c>
      <c r="G620" s="8" t="s">
        <v>961</v>
      </c>
      <c r="H620" s="8" t="s">
        <v>51</v>
      </c>
      <c r="I620" s="8" t="s">
        <v>96</v>
      </c>
      <c r="J620" s="4" t="n">
        <v>280000</v>
      </c>
      <c r="K620" s="4" t="n">
        <v>251000</v>
      </c>
      <c r="L620" s="5" t="n">
        <v>0.10714</v>
      </c>
      <c r="M620" s="4" t="n">
        <v>84</v>
      </c>
      <c r="N620" s="4" t="n">
        <v>12</v>
      </c>
      <c r="O620" s="4" t="n">
        <v>8</v>
      </c>
      <c r="P620" s="4" t="n">
        <v>0</v>
      </c>
      <c r="Q620" s="4" t="n">
        <v>0</v>
      </c>
      <c r="R620" s="4" t="n">
        <f aca="false">M620+N620+O620+P620+Q620</f>
        <v>104</v>
      </c>
      <c r="S620" s="4" t="n">
        <v>22</v>
      </c>
      <c r="T620" s="4" t="n">
        <f aca="false">R620*K620</f>
        <v>26104000</v>
      </c>
      <c r="U620" s="9" t="n">
        <f aca="false">IFERROR(M620/S620,0)</f>
        <v>3.81818181818182</v>
      </c>
      <c r="V620" s="5" t="n">
        <v>0.2032</v>
      </c>
    </row>
    <row r="621" customFormat="false" ht="15" hidden="false" customHeight="false" outlineLevel="0" collapsed="false">
      <c r="A621" s="8" t="s">
        <v>95</v>
      </c>
      <c r="B621" s="8" t="s">
        <v>20</v>
      </c>
      <c r="C621" s="8" t="s">
        <v>1365</v>
      </c>
      <c r="D621" s="8" t="n">
        <v>230113</v>
      </c>
      <c r="E621" s="8" t="s">
        <v>608</v>
      </c>
      <c r="F621" s="8" t="s">
        <v>1044</v>
      </c>
      <c r="G621" s="8" t="s">
        <v>961</v>
      </c>
      <c r="H621" s="8" t="s">
        <v>51</v>
      </c>
      <c r="I621" s="8" t="s">
        <v>96</v>
      </c>
      <c r="J621" s="4" t="n">
        <v>260000</v>
      </c>
      <c r="K621" s="4" t="n">
        <v>231000</v>
      </c>
      <c r="L621" s="5" t="n">
        <v>0.11538</v>
      </c>
      <c r="M621" s="4" t="n">
        <v>85</v>
      </c>
      <c r="N621" s="4" t="n">
        <v>0</v>
      </c>
      <c r="O621" s="4" t="n">
        <v>14</v>
      </c>
      <c r="P621" s="4" t="n">
        <v>0</v>
      </c>
      <c r="Q621" s="4" t="n">
        <v>3</v>
      </c>
      <c r="R621" s="4" t="n">
        <f aca="false">M621+N621+O621+P621+Q621</f>
        <v>102</v>
      </c>
      <c r="S621" s="4" t="n">
        <v>21</v>
      </c>
      <c r="T621" s="4" t="n">
        <f aca="false">R621*K621</f>
        <v>23562000</v>
      </c>
      <c r="U621" s="9" t="n">
        <f aca="false">IFERROR(M621/S621,0)</f>
        <v>4.04761904761905</v>
      </c>
      <c r="V621" s="5" t="n">
        <v>0.1981</v>
      </c>
    </row>
    <row r="622" customFormat="false" ht="15" hidden="false" customHeight="false" outlineLevel="0" collapsed="false">
      <c r="A622" s="8" t="s">
        <v>95</v>
      </c>
      <c r="B622" s="8" t="s">
        <v>20</v>
      </c>
      <c r="C622" s="8" t="s">
        <v>1365</v>
      </c>
      <c r="D622" s="8" t="n">
        <v>230112</v>
      </c>
      <c r="E622" s="8" t="s">
        <v>426</v>
      </c>
      <c r="F622" s="8" t="s">
        <v>1044</v>
      </c>
      <c r="G622" s="8" t="s">
        <v>961</v>
      </c>
      <c r="H622" s="8" t="s">
        <v>51</v>
      </c>
      <c r="I622" s="8" t="s">
        <v>96</v>
      </c>
      <c r="J622" s="4" t="n">
        <v>260000</v>
      </c>
      <c r="K622" s="4" t="n">
        <v>231000</v>
      </c>
      <c r="L622" s="5" t="n">
        <v>0.11538</v>
      </c>
      <c r="M622" s="4" t="n">
        <v>77</v>
      </c>
      <c r="N622" s="4" t="n">
        <v>3</v>
      </c>
      <c r="O622" s="4" t="n">
        <v>13</v>
      </c>
      <c r="P622" s="4" t="n">
        <v>0</v>
      </c>
      <c r="Q622" s="4" t="n">
        <v>4</v>
      </c>
      <c r="R622" s="4" t="n">
        <f aca="false">M622+N622+O622+P622+Q622</f>
        <v>97</v>
      </c>
      <c r="S622" s="4" t="n">
        <v>22</v>
      </c>
      <c r="T622" s="4" t="n">
        <f aca="false">R622*K622</f>
        <v>22407000</v>
      </c>
      <c r="U622" s="9" t="n">
        <f aca="false">IFERROR(M622/S622,0)</f>
        <v>3.5</v>
      </c>
      <c r="V622" s="5" t="n">
        <v>0.1981</v>
      </c>
    </row>
    <row r="623" customFormat="false" ht="15" hidden="false" customHeight="false" outlineLevel="0" collapsed="false">
      <c r="A623" s="8" t="s">
        <v>95</v>
      </c>
      <c r="B623" s="8" t="s">
        <v>20</v>
      </c>
      <c r="C623" s="8" t="s">
        <v>1365</v>
      </c>
      <c r="D623" s="8" t="n">
        <v>230110</v>
      </c>
      <c r="E623" s="8" t="s">
        <v>607</v>
      </c>
      <c r="F623" s="8" t="s">
        <v>1044</v>
      </c>
      <c r="G623" s="8" t="s">
        <v>961</v>
      </c>
      <c r="H623" s="8" t="s">
        <v>51</v>
      </c>
      <c r="I623" s="8" t="s">
        <v>96</v>
      </c>
      <c r="J623" s="4" t="n">
        <v>260000</v>
      </c>
      <c r="K623" s="4" t="n">
        <v>231000</v>
      </c>
      <c r="L623" s="5" t="n">
        <v>0.11538</v>
      </c>
      <c r="M623" s="4" t="n">
        <v>82</v>
      </c>
      <c r="N623" s="4" t="n">
        <v>0</v>
      </c>
      <c r="O623" s="4" t="n">
        <v>8</v>
      </c>
      <c r="P623" s="4" t="n">
        <v>1</v>
      </c>
      <c r="Q623" s="4" t="n">
        <v>4</v>
      </c>
      <c r="R623" s="4" t="n">
        <f aca="false">M623+N623+O623+P623+Q623</f>
        <v>95</v>
      </c>
      <c r="S623" s="4" t="n">
        <v>22</v>
      </c>
      <c r="T623" s="4" t="n">
        <f aca="false">R623*K623</f>
        <v>21945000</v>
      </c>
      <c r="U623" s="9" t="n">
        <f aca="false">IFERROR(M623/S623,0)</f>
        <v>3.72727272727273</v>
      </c>
      <c r="V623" s="5" t="n">
        <v>0.1981</v>
      </c>
    </row>
    <row r="624" customFormat="false" ht="15" hidden="false" customHeight="false" outlineLevel="0" collapsed="false">
      <c r="A624" s="8" t="s">
        <v>95</v>
      </c>
      <c r="B624" s="8" t="s">
        <v>20</v>
      </c>
      <c r="C624" s="8" t="s">
        <v>1365</v>
      </c>
      <c r="D624" s="8" t="n">
        <v>102264</v>
      </c>
      <c r="E624" s="8" t="s">
        <v>458</v>
      </c>
      <c r="F624" s="8" t="s">
        <v>809</v>
      </c>
      <c r="G624" s="8" t="s">
        <v>961</v>
      </c>
      <c r="H624" s="8" t="s">
        <v>51</v>
      </c>
      <c r="I624" s="8" t="s">
        <v>96</v>
      </c>
      <c r="J624" s="4" t="n">
        <v>280000</v>
      </c>
      <c r="K624" s="4" t="n">
        <v>251000</v>
      </c>
      <c r="L624" s="5" t="n">
        <v>0.10714</v>
      </c>
      <c r="M624" s="4" t="n">
        <v>78</v>
      </c>
      <c r="N624" s="4" t="n">
        <v>8</v>
      </c>
      <c r="O624" s="4" t="n">
        <v>6</v>
      </c>
      <c r="P624" s="4" t="n">
        <v>0</v>
      </c>
      <c r="Q624" s="4" t="n">
        <v>0</v>
      </c>
      <c r="R624" s="4" t="n">
        <f aca="false">M624+N624+O624+P624+Q624</f>
        <v>92</v>
      </c>
      <c r="S624" s="4" t="n">
        <v>23</v>
      </c>
      <c r="T624" s="4" t="n">
        <f aca="false">R624*K624</f>
        <v>23092000</v>
      </c>
      <c r="U624" s="9" t="n">
        <f aca="false">IFERROR(M624/S624,0)</f>
        <v>3.39130434782609</v>
      </c>
      <c r="V624" s="5" t="n">
        <v>0.2032</v>
      </c>
    </row>
    <row r="625" customFormat="false" ht="15" hidden="false" customHeight="false" outlineLevel="0" collapsed="false">
      <c r="A625" s="8" t="s">
        <v>95</v>
      </c>
      <c r="B625" s="8" t="s">
        <v>20</v>
      </c>
      <c r="C625" s="8" t="s">
        <v>1365</v>
      </c>
      <c r="D625" s="8" t="n">
        <v>102254</v>
      </c>
      <c r="E625" s="8" t="s">
        <v>598</v>
      </c>
      <c r="F625" s="8" t="s">
        <v>809</v>
      </c>
      <c r="G625" s="8" t="s">
        <v>961</v>
      </c>
      <c r="H625" s="8" t="s">
        <v>51</v>
      </c>
      <c r="I625" s="8" t="s">
        <v>96</v>
      </c>
      <c r="J625" s="4" t="n">
        <v>315000</v>
      </c>
      <c r="K625" s="4" t="n">
        <v>285000</v>
      </c>
      <c r="L625" s="5" t="n">
        <v>0.09524</v>
      </c>
      <c r="M625" s="4" t="n">
        <v>79</v>
      </c>
      <c r="N625" s="4" t="n">
        <v>0</v>
      </c>
      <c r="O625" s="4" t="n">
        <v>11</v>
      </c>
      <c r="P625" s="4" t="n">
        <v>0</v>
      </c>
      <c r="Q625" s="4" t="n">
        <v>0</v>
      </c>
      <c r="R625" s="4" t="n">
        <f aca="false">M625+N625+O625+P625+Q625</f>
        <v>90</v>
      </c>
      <c r="S625" s="4" t="n">
        <v>23</v>
      </c>
      <c r="T625" s="4" t="n">
        <f aca="false">R625*K625</f>
        <v>25650000</v>
      </c>
      <c r="U625" s="9" t="n">
        <f aca="false">IFERROR(M625/S625,0)</f>
        <v>3.43478260869565</v>
      </c>
      <c r="V625" s="5" t="n">
        <v>0.2105</v>
      </c>
    </row>
    <row r="626" customFormat="false" ht="15" hidden="false" customHeight="false" outlineLevel="0" collapsed="false">
      <c r="A626" s="8" t="s">
        <v>95</v>
      </c>
      <c r="B626" s="8" t="s">
        <v>20</v>
      </c>
      <c r="C626" s="8" t="s">
        <v>1365</v>
      </c>
      <c r="D626" s="8" t="n">
        <v>102266</v>
      </c>
      <c r="E626" s="8" t="s">
        <v>462</v>
      </c>
      <c r="F626" s="8" t="s">
        <v>809</v>
      </c>
      <c r="G626" s="8" t="s">
        <v>961</v>
      </c>
      <c r="H626" s="8" t="s">
        <v>51</v>
      </c>
      <c r="I626" s="8" t="s">
        <v>96</v>
      </c>
      <c r="J626" s="4" t="n">
        <v>360000</v>
      </c>
      <c r="K626" s="4" t="n">
        <v>331000</v>
      </c>
      <c r="L626" s="5" t="n">
        <v>0.08333</v>
      </c>
      <c r="M626" s="4" t="n">
        <v>80</v>
      </c>
      <c r="N626" s="4" t="n">
        <v>4</v>
      </c>
      <c r="O626" s="4" t="n">
        <v>4</v>
      </c>
      <c r="P626" s="4" t="n">
        <v>0</v>
      </c>
      <c r="Q626" s="4" t="n">
        <v>0</v>
      </c>
      <c r="R626" s="4" t="n">
        <f aca="false">M626+N626+O626+P626+Q626</f>
        <v>88</v>
      </c>
      <c r="S626" s="4" t="n">
        <v>23</v>
      </c>
      <c r="T626" s="4" t="n">
        <f aca="false">R626*K626</f>
        <v>29128000</v>
      </c>
      <c r="U626" s="9" t="n">
        <f aca="false">IFERROR(M626/S626,0)</f>
        <v>3.47826086956522</v>
      </c>
      <c r="V626" s="5" t="n">
        <v>0.2145</v>
      </c>
    </row>
    <row r="627" customFormat="false" ht="15" hidden="false" customHeight="false" outlineLevel="0" collapsed="false">
      <c r="A627" s="8" t="s">
        <v>95</v>
      </c>
      <c r="B627" s="8" t="s">
        <v>20</v>
      </c>
      <c r="C627" s="8" t="s">
        <v>1365</v>
      </c>
      <c r="D627" s="8" t="n">
        <v>102258</v>
      </c>
      <c r="E627" s="8" t="s">
        <v>600</v>
      </c>
      <c r="F627" s="8" t="s">
        <v>809</v>
      </c>
      <c r="G627" s="8" t="s">
        <v>961</v>
      </c>
      <c r="H627" s="8" t="s">
        <v>51</v>
      </c>
      <c r="I627" s="8" t="s">
        <v>96</v>
      </c>
      <c r="J627" s="4" t="n">
        <v>320000</v>
      </c>
      <c r="K627" s="4" t="n">
        <v>290000</v>
      </c>
      <c r="L627" s="5" t="n">
        <v>0.09375</v>
      </c>
      <c r="M627" s="4" t="n">
        <v>76</v>
      </c>
      <c r="N627" s="4" t="n">
        <v>0</v>
      </c>
      <c r="O627" s="4" t="n">
        <v>10</v>
      </c>
      <c r="P627" s="4" t="n">
        <v>0</v>
      </c>
      <c r="Q627" s="4" t="n">
        <v>0</v>
      </c>
      <c r="R627" s="4" t="n">
        <f aca="false">M627+N627+O627+P627+Q627</f>
        <v>86</v>
      </c>
      <c r="S627" s="4" t="n">
        <v>22</v>
      </c>
      <c r="T627" s="4" t="n">
        <f aca="false">R627*K627</f>
        <v>24940000</v>
      </c>
      <c r="U627" s="9" t="n">
        <f aca="false">IFERROR(M627/S627,0)</f>
        <v>3.45454545454545</v>
      </c>
      <c r="V627" s="5" t="n">
        <v>0.2069</v>
      </c>
    </row>
    <row r="628" customFormat="false" ht="15" hidden="false" customHeight="false" outlineLevel="0" collapsed="false">
      <c r="A628" s="8" t="s">
        <v>95</v>
      </c>
      <c r="B628" s="8" t="s">
        <v>20</v>
      </c>
      <c r="C628" s="8" t="s">
        <v>1365</v>
      </c>
      <c r="D628" s="8" t="n">
        <v>102261</v>
      </c>
      <c r="E628" s="8" t="s">
        <v>317</v>
      </c>
      <c r="F628" s="8" t="s">
        <v>809</v>
      </c>
      <c r="G628" s="8" t="s">
        <v>961</v>
      </c>
      <c r="H628" s="8" t="s">
        <v>51</v>
      </c>
      <c r="I628" s="8" t="s">
        <v>96</v>
      </c>
      <c r="J628" s="4" t="n">
        <v>280000</v>
      </c>
      <c r="K628" s="4" t="n">
        <v>251000</v>
      </c>
      <c r="L628" s="5" t="n">
        <v>0.10714</v>
      </c>
      <c r="M628" s="4" t="n">
        <v>77</v>
      </c>
      <c r="N628" s="4" t="n">
        <v>4</v>
      </c>
      <c r="O628" s="4" t="n">
        <v>4</v>
      </c>
      <c r="P628" s="4" t="n">
        <v>0</v>
      </c>
      <c r="Q628" s="4" t="n">
        <v>0</v>
      </c>
      <c r="R628" s="4" t="n">
        <f aca="false">M628+N628+O628+P628+Q628</f>
        <v>85</v>
      </c>
      <c r="S628" s="4" t="n">
        <v>19</v>
      </c>
      <c r="T628" s="4" t="n">
        <f aca="false">R628*K628</f>
        <v>21335000</v>
      </c>
      <c r="U628" s="9" t="n">
        <f aca="false">IFERROR(M628/S628,0)</f>
        <v>4.05263157894737</v>
      </c>
      <c r="V628" s="5" t="n">
        <v>0.2032</v>
      </c>
    </row>
    <row r="629" customFormat="false" ht="15" hidden="false" customHeight="false" outlineLevel="0" collapsed="false">
      <c r="A629" s="8" t="s">
        <v>95</v>
      </c>
      <c r="B629" s="8" t="s">
        <v>20</v>
      </c>
      <c r="C629" s="8" t="s">
        <v>1365</v>
      </c>
      <c r="D629" s="8" t="n">
        <v>102259</v>
      </c>
      <c r="E629" s="8" t="s">
        <v>358</v>
      </c>
      <c r="F629" s="8" t="s">
        <v>809</v>
      </c>
      <c r="G629" s="8" t="s">
        <v>961</v>
      </c>
      <c r="H629" s="8" t="s">
        <v>51</v>
      </c>
      <c r="I629" s="8" t="s">
        <v>96</v>
      </c>
      <c r="J629" s="4" t="n">
        <v>320000</v>
      </c>
      <c r="K629" s="4" t="n">
        <v>290000</v>
      </c>
      <c r="L629" s="5" t="n">
        <v>0.09375</v>
      </c>
      <c r="M629" s="4" t="n">
        <v>76</v>
      </c>
      <c r="N629" s="4" t="n">
        <v>4</v>
      </c>
      <c r="O629" s="4" t="n">
        <v>3</v>
      </c>
      <c r="P629" s="4" t="n">
        <v>0</v>
      </c>
      <c r="Q629" s="4" t="n">
        <v>0</v>
      </c>
      <c r="R629" s="4" t="n">
        <f aca="false">M629+N629+O629+P629+Q629</f>
        <v>83</v>
      </c>
      <c r="S629" s="4" t="n">
        <v>21</v>
      </c>
      <c r="T629" s="4" t="n">
        <f aca="false">R629*K629</f>
        <v>24070000</v>
      </c>
      <c r="U629" s="9" t="n">
        <f aca="false">IFERROR(M629/S629,0)</f>
        <v>3.61904761904762</v>
      </c>
      <c r="V629" s="5" t="n">
        <v>0.2069</v>
      </c>
    </row>
    <row r="630" customFormat="false" ht="15" hidden="false" customHeight="false" outlineLevel="0" collapsed="false">
      <c r="A630" s="8" t="s">
        <v>95</v>
      </c>
      <c r="B630" s="8" t="s">
        <v>20</v>
      </c>
      <c r="C630" s="8" t="s">
        <v>1365</v>
      </c>
      <c r="D630" s="8" t="n">
        <v>102270</v>
      </c>
      <c r="E630" s="8" t="s">
        <v>459</v>
      </c>
      <c r="F630" s="8" t="s">
        <v>809</v>
      </c>
      <c r="G630" s="8" t="s">
        <v>961</v>
      </c>
      <c r="H630" s="8" t="s">
        <v>51</v>
      </c>
      <c r="I630" s="8" t="s">
        <v>96</v>
      </c>
      <c r="J630" s="4" t="n">
        <v>200000</v>
      </c>
      <c r="K630" s="4" t="n">
        <v>170000</v>
      </c>
      <c r="L630" s="5" t="n">
        <v>0.15</v>
      </c>
      <c r="M630" s="4" t="n">
        <v>72</v>
      </c>
      <c r="N630" s="4" t="n">
        <v>7</v>
      </c>
      <c r="O630" s="4" t="n">
        <v>3</v>
      </c>
      <c r="P630" s="4" t="n">
        <v>0</v>
      </c>
      <c r="Q630" s="4" t="n">
        <v>0</v>
      </c>
      <c r="R630" s="4" t="n">
        <f aca="false">M630+N630+O630+P630+Q630</f>
        <v>82</v>
      </c>
      <c r="S630" s="4" t="n">
        <v>23</v>
      </c>
      <c r="T630" s="4" t="n">
        <f aca="false">R630*K630</f>
        <v>13940000</v>
      </c>
      <c r="U630" s="9" t="n">
        <f aca="false">IFERROR(M630/S630,0)</f>
        <v>3.1304347826087</v>
      </c>
      <c r="V630" s="5" t="n">
        <v>0.1641</v>
      </c>
    </row>
    <row r="631" customFormat="false" ht="15" hidden="false" customHeight="false" outlineLevel="0" collapsed="false">
      <c r="A631" s="8" t="s">
        <v>95</v>
      </c>
      <c r="B631" s="8" t="s">
        <v>20</v>
      </c>
      <c r="C631" s="8" t="s">
        <v>1365</v>
      </c>
      <c r="D631" s="8" t="n">
        <v>102271</v>
      </c>
      <c r="E631" s="8" t="s">
        <v>417</v>
      </c>
      <c r="F631" s="8" t="s">
        <v>809</v>
      </c>
      <c r="G631" s="8" t="s">
        <v>961</v>
      </c>
      <c r="H631" s="8" t="s">
        <v>51</v>
      </c>
      <c r="I631" s="8" t="s">
        <v>96</v>
      </c>
      <c r="J631" s="4" t="n">
        <v>200000</v>
      </c>
      <c r="K631" s="4" t="n">
        <v>170000</v>
      </c>
      <c r="L631" s="5" t="n">
        <v>0.15</v>
      </c>
      <c r="M631" s="4" t="n">
        <v>72</v>
      </c>
      <c r="N631" s="4" t="n">
        <v>9</v>
      </c>
      <c r="O631" s="4" t="n">
        <v>0</v>
      </c>
      <c r="P631" s="4" t="n">
        <v>0</v>
      </c>
      <c r="Q631" s="4" t="n">
        <v>0</v>
      </c>
      <c r="R631" s="4" t="n">
        <f aca="false">M631+N631+O631+P631+Q631</f>
        <v>81</v>
      </c>
      <c r="S631" s="4" t="n">
        <v>22</v>
      </c>
      <c r="T631" s="4" t="n">
        <f aca="false">R631*K631</f>
        <v>13770000</v>
      </c>
      <c r="U631" s="9" t="n">
        <f aca="false">IFERROR(M631/S631,0)</f>
        <v>3.27272727272727</v>
      </c>
      <c r="V631" s="5" t="n">
        <v>0.1641</v>
      </c>
    </row>
    <row r="632" customFormat="false" ht="15" hidden="false" customHeight="false" outlineLevel="0" collapsed="false">
      <c r="A632" s="8" t="s">
        <v>95</v>
      </c>
      <c r="B632" s="8" t="s">
        <v>20</v>
      </c>
      <c r="C632" s="8" t="s">
        <v>1365</v>
      </c>
      <c r="D632" s="8" t="n">
        <v>102260</v>
      </c>
      <c r="E632" s="8" t="s">
        <v>337</v>
      </c>
      <c r="F632" s="8" t="s">
        <v>809</v>
      </c>
      <c r="G632" s="8" t="s">
        <v>961</v>
      </c>
      <c r="H632" s="8" t="s">
        <v>51</v>
      </c>
      <c r="I632" s="8" t="s">
        <v>96</v>
      </c>
      <c r="J632" s="4" t="n">
        <v>280000</v>
      </c>
      <c r="K632" s="4" t="n">
        <v>251000</v>
      </c>
      <c r="L632" s="5" t="n">
        <v>0.10714</v>
      </c>
      <c r="M632" s="4" t="n">
        <v>73</v>
      </c>
      <c r="N632" s="4" t="n">
        <v>4</v>
      </c>
      <c r="O632" s="4" t="n">
        <v>3</v>
      </c>
      <c r="P632" s="4" t="n">
        <v>0</v>
      </c>
      <c r="Q632" s="4" t="n">
        <v>0</v>
      </c>
      <c r="R632" s="4" t="n">
        <f aca="false">M632+N632+O632+P632+Q632</f>
        <v>80</v>
      </c>
      <c r="S632" s="4" t="n">
        <v>20</v>
      </c>
      <c r="T632" s="4" t="n">
        <f aca="false">R632*K632</f>
        <v>20080000</v>
      </c>
      <c r="U632" s="9" t="n">
        <f aca="false">IFERROR(M632/S632,0)</f>
        <v>3.65</v>
      </c>
      <c r="V632" s="5" t="n">
        <v>0.2032</v>
      </c>
    </row>
    <row r="633" customFormat="false" ht="15" hidden="false" customHeight="false" outlineLevel="0" collapsed="false">
      <c r="A633" s="8" t="s">
        <v>95</v>
      </c>
      <c r="B633" s="8" t="s">
        <v>20</v>
      </c>
      <c r="C633" s="8" t="s">
        <v>1365</v>
      </c>
      <c r="D633" s="8" t="n">
        <v>102255</v>
      </c>
      <c r="E633" s="8" t="s">
        <v>599</v>
      </c>
      <c r="F633" s="8" t="s">
        <v>809</v>
      </c>
      <c r="G633" s="8" t="s">
        <v>961</v>
      </c>
      <c r="H633" s="8" t="s">
        <v>51</v>
      </c>
      <c r="I633" s="8" t="s">
        <v>96</v>
      </c>
      <c r="J633" s="4" t="n">
        <v>315000</v>
      </c>
      <c r="K633" s="4" t="n">
        <v>285000</v>
      </c>
      <c r="L633" s="5" t="n">
        <v>0.09524</v>
      </c>
      <c r="M633" s="4" t="n">
        <v>69</v>
      </c>
      <c r="N633" s="4" t="n">
        <v>0</v>
      </c>
      <c r="O633" s="4" t="n">
        <v>11</v>
      </c>
      <c r="P633" s="4" t="n">
        <v>0</v>
      </c>
      <c r="Q633" s="4" t="n">
        <v>0</v>
      </c>
      <c r="R633" s="4" t="n">
        <f aca="false">M633+N633+O633+P633+Q633</f>
        <v>80</v>
      </c>
      <c r="S633" s="4" t="n">
        <v>22</v>
      </c>
      <c r="T633" s="4" t="n">
        <f aca="false">R633*K633</f>
        <v>22800000</v>
      </c>
      <c r="U633" s="9" t="n">
        <f aca="false">IFERROR(M633/S633,0)</f>
        <v>3.13636363636364</v>
      </c>
      <c r="V633" s="5" t="n">
        <v>0.2105</v>
      </c>
    </row>
    <row r="634" customFormat="false" ht="15" hidden="false" customHeight="false" outlineLevel="0" collapsed="false">
      <c r="A634" s="8" t="s">
        <v>95</v>
      </c>
      <c r="B634" s="8" t="s">
        <v>20</v>
      </c>
      <c r="C634" s="8" t="s">
        <v>1365</v>
      </c>
      <c r="D634" s="8" t="n">
        <v>102269</v>
      </c>
      <c r="E634" s="8" t="s">
        <v>601</v>
      </c>
      <c r="F634" s="8" t="s">
        <v>809</v>
      </c>
      <c r="G634" s="8" t="s">
        <v>961</v>
      </c>
      <c r="H634" s="8" t="s">
        <v>51</v>
      </c>
      <c r="I634" s="8" t="s">
        <v>96</v>
      </c>
      <c r="J634" s="4" t="n">
        <v>240000</v>
      </c>
      <c r="K634" s="4" t="n">
        <v>210000</v>
      </c>
      <c r="L634" s="5" t="n">
        <v>0.125</v>
      </c>
      <c r="M634" s="4" t="n">
        <v>73</v>
      </c>
      <c r="N634" s="4" t="n">
        <v>0</v>
      </c>
      <c r="O634" s="4" t="n">
        <v>3</v>
      </c>
      <c r="P634" s="4" t="n">
        <v>0</v>
      </c>
      <c r="Q634" s="4" t="n">
        <v>0</v>
      </c>
      <c r="R634" s="4" t="n">
        <f aca="false">M634+N634+O634+P634+Q634</f>
        <v>76</v>
      </c>
      <c r="S634" s="4" t="n">
        <v>18</v>
      </c>
      <c r="T634" s="4" t="n">
        <f aca="false">R634*K634</f>
        <v>15960000</v>
      </c>
      <c r="U634" s="9" t="n">
        <f aca="false">IFERROR(M634/S634,0)</f>
        <v>4.05555555555556</v>
      </c>
      <c r="V634" s="5" t="n">
        <v>0.1905</v>
      </c>
    </row>
    <row r="635" customFormat="false" ht="15" hidden="false" customHeight="false" outlineLevel="0" collapsed="false">
      <c r="A635" s="8" t="s">
        <v>95</v>
      </c>
      <c r="B635" s="8" t="s">
        <v>20</v>
      </c>
      <c r="C635" s="8" t="s">
        <v>1365</v>
      </c>
      <c r="D635" s="8" t="n">
        <v>102177</v>
      </c>
      <c r="E635" s="8" t="s">
        <v>424</v>
      </c>
      <c r="F635" s="8" t="s">
        <v>809</v>
      </c>
      <c r="G635" s="8" t="s">
        <v>961</v>
      </c>
      <c r="H635" s="8" t="s">
        <v>51</v>
      </c>
      <c r="I635" s="8" t="s">
        <v>96</v>
      </c>
      <c r="J635" s="4" t="n">
        <v>240000</v>
      </c>
      <c r="K635" s="4" t="n">
        <v>210000</v>
      </c>
      <c r="L635" s="5" t="n">
        <v>0.125</v>
      </c>
      <c r="M635" s="4" t="n">
        <v>66</v>
      </c>
      <c r="N635" s="4" t="n">
        <v>4</v>
      </c>
      <c r="O635" s="4" t="n">
        <v>4</v>
      </c>
      <c r="P635" s="4" t="n">
        <v>0</v>
      </c>
      <c r="Q635" s="4" t="n">
        <v>0</v>
      </c>
      <c r="R635" s="4" t="n">
        <f aca="false">M635+N635+O635+P635+Q635</f>
        <v>74</v>
      </c>
      <c r="S635" s="4" t="n">
        <v>22</v>
      </c>
      <c r="T635" s="4" t="n">
        <f aca="false">R635*K635</f>
        <v>15540000</v>
      </c>
      <c r="U635" s="9" t="n">
        <f aca="false">IFERROR(M635/S635,0)</f>
        <v>3</v>
      </c>
      <c r="V635" s="5" t="n">
        <v>0.2143</v>
      </c>
    </row>
    <row r="636" customFormat="false" ht="15" hidden="false" customHeight="false" outlineLevel="0" collapsed="false">
      <c r="A636" s="8" t="s">
        <v>95</v>
      </c>
      <c r="B636" s="8" t="s">
        <v>20</v>
      </c>
      <c r="C636" s="8" t="s">
        <v>1365</v>
      </c>
      <c r="D636" s="8" t="n">
        <v>102272</v>
      </c>
      <c r="E636" s="8" t="s">
        <v>603</v>
      </c>
      <c r="F636" s="8" t="s">
        <v>809</v>
      </c>
      <c r="G636" s="8" t="s">
        <v>961</v>
      </c>
      <c r="H636" s="8" t="s">
        <v>51</v>
      </c>
      <c r="I636" s="8" t="s">
        <v>96</v>
      </c>
      <c r="J636" s="4" t="n">
        <v>220000</v>
      </c>
      <c r="K636" s="4" t="n">
        <v>191000</v>
      </c>
      <c r="L636" s="5" t="n">
        <v>0.13636</v>
      </c>
      <c r="M636" s="4" t="n">
        <v>65</v>
      </c>
      <c r="N636" s="4" t="n">
        <v>0</v>
      </c>
      <c r="O636" s="4" t="n">
        <v>6</v>
      </c>
      <c r="P636" s="4" t="n">
        <v>0</v>
      </c>
      <c r="Q636" s="4" t="n">
        <v>0</v>
      </c>
      <c r="R636" s="4" t="n">
        <f aca="false">M636+N636+O636+P636+Q636</f>
        <v>71</v>
      </c>
      <c r="S636" s="4" t="n">
        <v>20</v>
      </c>
      <c r="T636" s="4" t="n">
        <f aca="false">R636*K636</f>
        <v>13561000</v>
      </c>
      <c r="U636" s="9" t="n">
        <f aca="false">IFERROR(M636/S636,0)</f>
        <v>3.25</v>
      </c>
      <c r="V636" s="5" t="n">
        <v>0.1623</v>
      </c>
    </row>
    <row r="637" customFormat="false" ht="15" hidden="false" customHeight="false" outlineLevel="0" collapsed="false">
      <c r="A637" s="8" t="s">
        <v>95</v>
      </c>
      <c r="B637" s="8" t="s">
        <v>20</v>
      </c>
      <c r="C637" s="8" t="s">
        <v>1365</v>
      </c>
      <c r="D637" s="8" t="n">
        <v>102267</v>
      </c>
      <c r="E637" s="8" t="s">
        <v>605</v>
      </c>
      <c r="F637" s="8" t="s">
        <v>809</v>
      </c>
      <c r="G637" s="8" t="s">
        <v>961</v>
      </c>
      <c r="H637" s="8" t="s">
        <v>51</v>
      </c>
      <c r="I637" s="8" t="s">
        <v>96</v>
      </c>
      <c r="J637" s="4" t="n">
        <v>330000</v>
      </c>
      <c r="K637" s="4" t="n">
        <v>300000</v>
      </c>
      <c r="L637" s="5" t="n">
        <v>0.09091</v>
      </c>
      <c r="M637" s="4" t="n">
        <v>70</v>
      </c>
      <c r="N637" s="4" t="n">
        <v>0</v>
      </c>
      <c r="O637" s="4" t="n">
        <v>0</v>
      </c>
      <c r="P637" s="4" t="n">
        <v>0</v>
      </c>
      <c r="Q637" s="4" t="n">
        <v>0</v>
      </c>
      <c r="R637" s="4" t="n">
        <f aca="false">M637+N637+O637+P637+Q637</f>
        <v>70</v>
      </c>
      <c r="S637" s="4" t="n">
        <v>20</v>
      </c>
      <c r="T637" s="4" t="n">
        <f aca="false">R637*K637</f>
        <v>21000000</v>
      </c>
      <c r="U637" s="9" t="n">
        <f aca="false">IFERROR(M637/S637,0)</f>
        <v>3.5</v>
      </c>
      <c r="V637" s="5" t="n">
        <v>0.2</v>
      </c>
    </row>
    <row r="638" customFormat="false" ht="15" hidden="false" customHeight="false" outlineLevel="0" collapsed="false">
      <c r="A638" s="8" t="s">
        <v>95</v>
      </c>
      <c r="B638" s="8" t="s">
        <v>20</v>
      </c>
      <c r="C638" s="8" t="s">
        <v>1365</v>
      </c>
      <c r="D638" s="8" t="n">
        <v>102273</v>
      </c>
      <c r="E638" s="8" t="s">
        <v>604</v>
      </c>
      <c r="F638" s="8" t="s">
        <v>809</v>
      </c>
      <c r="G638" s="8" t="s">
        <v>961</v>
      </c>
      <c r="H638" s="8" t="s">
        <v>51</v>
      </c>
      <c r="I638" s="8" t="s">
        <v>96</v>
      </c>
      <c r="J638" s="4" t="n">
        <v>220000</v>
      </c>
      <c r="K638" s="4" t="n">
        <v>191000</v>
      </c>
      <c r="L638" s="5" t="n">
        <v>0.13636</v>
      </c>
      <c r="M638" s="4" t="n">
        <v>63</v>
      </c>
      <c r="N638" s="4" t="n">
        <v>0</v>
      </c>
      <c r="O638" s="4" t="n">
        <v>5</v>
      </c>
      <c r="P638" s="4" t="n">
        <v>0</v>
      </c>
      <c r="Q638" s="4" t="n">
        <v>0</v>
      </c>
      <c r="R638" s="4" t="n">
        <f aca="false">M638+N638+O638+P638+Q638</f>
        <v>68</v>
      </c>
      <c r="S638" s="4" t="n">
        <v>20</v>
      </c>
      <c r="T638" s="4" t="n">
        <f aca="false">R638*K638</f>
        <v>12988000</v>
      </c>
      <c r="U638" s="9" t="n">
        <f aca="false">IFERROR(M638/S638,0)</f>
        <v>3.15</v>
      </c>
      <c r="V638" s="5" t="n">
        <v>0.1623</v>
      </c>
    </row>
    <row r="639" customFormat="false" ht="15" hidden="false" customHeight="false" outlineLevel="0" collapsed="false">
      <c r="A639" s="8" t="s">
        <v>95</v>
      </c>
      <c r="B639" s="8" t="s">
        <v>20</v>
      </c>
      <c r="C639" s="8" t="s">
        <v>1365</v>
      </c>
      <c r="D639" s="8" t="n">
        <v>102176</v>
      </c>
      <c r="E639" s="8" t="s">
        <v>606</v>
      </c>
      <c r="F639" s="8" t="s">
        <v>809</v>
      </c>
      <c r="G639" s="8" t="s">
        <v>961</v>
      </c>
      <c r="H639" s="8" t="s">
        <v>51</v>
      </c>
      <c r="I639" s="8" t="s">
        <v>96</v>
      </c>
      <c r="J639" s="4" t="n">
        <v>260000</v>
      </c>
      <c r="K639" s="4" t="n">
        <v>231000</v>
      </c>
      <c r="L639" s="5" t="n">
        <v>0.11538</v>
      </c>
      <c r="M639" s="4" t="n">
        <v>58</v>
      </c>
      <c r="N639" s="4" t="n">
        <v>0</v>
      </c>
      <c r="O639" s="4" t="n">
        <v>5</v>
      </c>
      <c r="P639" s="4" t="n">
        <v>0</v>
      </c>
      <c r="Q639" s="4" t="n">
        <v>0</v>
      </c>
      <c r="R639" s="4" t="n">
        <f aca="false">M639+N639+O639+P639+Q639</f>
        <v>63</v>
      </c>
      <c r="S639" s="4" t="n">
        <v>18</v>
      </c>
      <c r="T639" s="4" t="n">
        <f aca="false">R639*K639</f>
        <v>14553000</v>
      </c>
      <c r="U639" s="9" t="n">
        <f aca="false">IFERROR(M639/S639,0)</f>
        <v>3.22222222222222</v>
      </c>
      <c r="V639" s="5" t="n">
        <v>0.1727</v>
      </c>
    </row>
    <row r="640" customFormat="false" ht="15" hidden="false" customHeight="false" outlineLevel="0" collapsed="false">
      <c r="A640" s="8" t="s">
        <v>95</v>
      </c>
      <c r="B640" s="8" t="s">
        <v>20</v>
      </c>
      <c r="C640" s="8" t="s">
        <v>1365</v>
      </c>
      <c r="D640" s="8" t="n">
        <v>102275</v>
      </c>
      <c r="E640" s="8" t="s">
        <v>1387</v>
      </c>
      <c r="F640" s="8" t="s">
        <v>770</v>
      </c>
      <c r="G640" s="8" t="s">
        <v>961</v>
      </c>
      <c r="H640" s="8" t="s">
        <v>51</v>
      </c>
      <c r="I640" s="8" t="s">
        <v>96</v>
      </c>
      <c r="J640" s="4" t="n">
        <v>250000</v>
      </c>
      <c r="K640" s="4" t="n">
        <v>220000</v>
      </c>
      <c r="L640" s="5" t="n">
        <v>0.12</v>
      </c>
      <c r="M640" s="4" t="n">
        <v>47</v>
      </c>
      <c r="N640" s="4" t="n">
        <v>0</v>
      </c>
      <c r="O640" s="4" t="n">
        <v>0</v>
      </c>
      <c r="P640" s="4" t="n">
        <v>0</v>
      </c>
      <c r="Q640" s="4" t="n">
        <v>0</v>
      </c>
      <c r="R640" s="4" t="n">
        <f aca="false">M640+N640+O640+P640+Q640</f>
        <v>47</v>
      </c>
      <c r="S640" s="4" t="n">
        <v>17</v>
      </c>
      <c r="T640" s="4" t="n">
        <f aca="false">R640*K640</f>
        <v>10340000</v>
      </c>
      <c r="U640" s="9" t="n">
        <f aca="false">IFERROR(M640/S640,0)</f>
        <v>2.76470588235294</v>
      </c>
      <c r="V640" s="5" t="n">
        <v>0.1759</v>
      </c>
    </row>
    <row r="641" customFormat="false" ht="15" hidden="false" customHeight="false" outlineLevel="0" collapsed="false">
      <c r="A641" s="8" t="s">
        <v>95</v>
      </c>
      <c r="B641" s="8" t="s">
        <v>20</v>
      </c>
      <c r="C641" s="8" t="s">
        <v>1365</v>
      </c>
      <c r="D641" s="8" t="n">
        <v>102263</v>
      </c>
      <c r="E641" s="8" t="s">
        <v>1388</v>
      </c>
      <c r="F641" s="8" t="s">
        <v>794</v>
      </c>
      <c r="G641" s="8" t="s">
        <v>961</v>
      </c>
      <c r="H641" s="8" t="s">
        <v>51</v>
      </c>
      <c r="I641" s="8" t="s">
        <v>96</v>
      </c>
      <c r="J641" s="4" t="n">
        <v>360000</v>
      </c>
      <c r="K641" s="4" t="n">
        <v>331000</v>
      </c>
      <c r="L641" s="5" t="n">
        <v>0.08333</v>
      </c>
      <c r="M641" s="4" t="n">
        <v>38</v>
      </c>
      <c r="N641" s="4" t="n">
        <v>0</v>
      </c>
      <c r="O641" s="4" t="n">
        <v>0</v>
      </c>
      <c r="P641" s="4" t="n">
        <v>0</v>
      </c>
      <c r="Q641" s="4" t="n">
        <v>0</v>
      </c>
      <c r="R641" s="4" t="n">
        <f aca="false">M641+N641+O641+P641+Q641</f>
        <v>38</v>
      </c>
      <c r="S641" s="4" t="n">
        <v>15</v>
      </c>
      <c r="T641" s="4" t="n">
        <f aca="false">R641*K641</f>
        <v>12578000</v>
      </c>
      <c r="U641" s="9" t="n">
        <f aca="false">IFERROR(M641/S641,0)</f>
        <v>2.53333333333333</v>
      </c>
      <c r="V641" s="5" t="n">
        <v>0.2145</v>
      </c>
    </row>
    <row r="642" customFormat="false" ht="15" hidden="false" customHeight="false" outlineLevel="0" collapsed="false">
      <c r="A642" s="8" t="s">
        <v>95</v>
      </c>
      <c r="B642" s="8" t="s">
        <v>20</v>
      </c>
      <c r="C642" s="8" t="s">
        <v>1365</v>
      </c>
      <c r="D642" s="8" t="n">
        <v>102178</v>
      </c>
      <c r="E642" s="8" t="s">
        <v>1389</v>
      </c>
      <c r="F642" s="8" t="s">
        <v>767</v>
      </c>
      <c r="G642" s="8" t="s">
        <v>961</v>
      </c>
      <c r="H642" s="8" t="s">
        <v>51</v>
      </c>
      <c r="I642" s="8" t="s">
        <v>96</v>
      </c>
      <c r="J642" s="4" t="n">
        <v>240000</v>
      </c>
      <c r="K642" s="4" t="n">
        <v>210000</v>
      </c>
      <c r="L642" s="5" t="n">
        <v>0.125</v>
      </c>
      <c r="M642" s="4" t="n">
        <v>6</v>
      </c>
      <c r="N642" s="4" t="n">
        <v>1</v>
      </c>
      <c r="O642" s="4" t="n">
        <v>0</v>
      </c>
      <c r="P642" s="4" t="n">
        <v>0</v>
      </c>
      <c r="Q642" s="4" t="n">
        <v>0</v>
      </c>
      <c r="R642" s="4" t="n">
        <f aca="false">M642+N642+O642+P642+Q642</f>
        <v>7</v>
      </c>
      <c r="S642" s="4" t="n">
        <v>4</v>
      </c>
      <c r="T642" s="4" t="n">
        <f aca="false">R642*K642</f>
        <v>1470000</v>
      </c>
      <c r="U642" s="9" t="n">
        <f aca="false">IFERROR(M642/S642,0)</f>
        <v>1.5</v>
      </c>
      <c r="V642" s="5" t="n">
        <v>0.2143</v>
      </c>
    </row>
    <row r="643" customFormat="false" ht="15" hidden="false" customHeight="false" outlineLevel="0" collapsed="false">
      <c r="A643" s="8" t="s">
        <v>95</v>
      </c>
      <c r="B643" s="8" t="s">
        <v>20</v>
      </c>
      <c r="C643" s="8" t="s">
        <v>1365</v>
      </c>
      <c r="D643" s="8" t="n">
        <v>102274</v>
      </c>
      <c r="E643" s="8" t="s">
        <v>1390</v>
      </c>
      <c r="F643" s="8" t="s">
        <v>767</v>
      </c>
      <c r="G643" s="8" t="s">
        <v>961</v>
      </c>
      <c r="H643" s="8" t="s">
        <v>51</v>
      </c>
      <c r="I643" s="8" t="s">
        <v>96</v>
      </c>
      <c r="J643" s="4" t="n">
        <v>250000</v>
      </c>
      <c r="K643" s="4" t="n">
        <v>220000</v>
      </c>
      <c r="L643" s="5" t="n">
        <v>0.12</v>
      </c>
      <c r="M643" s="4" t="n">
        <v>3</v>
      </c>
      <c r="N643" s="4" t="n">
        <v>0</v>
      </c>
      <c r="O643" s="4" t="n">
        <v>0</v>
      </c>
      <c r="P643" s="4" t="n">
        <v>0</v>
      </c>
      <c r="Q643" s="4" t="n">
        <v>0</v>
      </c>
      <c r="R643" s="4" t="n">
        <f aca="false">M643+N643+O643+P643+Q643</f>
        <v>3</v>
      </c>
      <c r="S643" s="4" t="n">
        <v>1</v>
      </c>
      <c r="T643" s="4" t="n">
        <f aca="false">R643*K643</f>
        <v>660000</v>
      </c>
      <c r="U643" s="9" t="n">
        <f aca="false">IFERROR(M643/S643,0)</f>
        <v>3</v>
      </c>
      <c r="V643" s="5" t="n">
        <v>0.1759</v>
      </c>
    </row>
    <row r="644" customFormat="false" ht="15" hidden="false" customHeight="false" outlineLevel="0" collapsed="false">
      <c r="A644" s="8" t="s">
        <v>212</v>
      </c>
      <c r="B644" s="8" t="s">
        <v>20</v>
      </c>
      <c r="C644" s="8" t="s">
        <v>1048</v>
      </c>
      <c r="D644" s="8" t="n">
        <v>101865</v>
      </c>
      <c r="E644" s="8" t="s">
        <v>609</v>
      </c>
      <c r="F644" s="8" t="s">
        <v>1044</v>
      </c>
      <c r="G644" s="8" t="s">
        <v>961</v>
      </c>
      <c r="H644" s="8" t="s">
        <v>62</v>
      </c>
      <c r="I644" s="8" t="s">
        <v>213</v>
      </c>
      <c r="J644" s="4" t="n">
        <v>29000</v>
      </c>
      <c r="K644" s="4" t="n">
        <v>22000</v>
      </c>
      <c r="L644" s="5" t="n">
        <v>0.25</v>
      </c>
      <c r="M644" s="4" t="n">
        <v>653</v>
      </c>
      <c r="N644" s="4" t="n">
        <v>0</v>
      </c>
      <c r="O644" s="4" t="n">
        <v>95</v>
      </c>
      <c r="P644" s="4" t="n">
        <v>0</v>
      </c>
      <c r="Q644" s="4" t="n">
        <v>44</v>
      </c>
      <c r="R644" s="4" t="n">
        <f aca="false">M644+N644+O644+P644+Q644</f>
        <v>792</v>
      </c>
      <c r="S644" s="4" t="n">
        <v>24</v>
      </c>
      <c r="T644" s="4" t="n">
        <f aca="false">R644*K644</f>
        <v>17424000</v>
      </c>
      <c r="U644" s="9" t="n">
        <f aca="false">IFERROR(M644/S644,0)</f>
        <v>27.2083333333333</v>
      </c>
      <c r="V644" s="5"/>
    </row>
    <row r="645" customFormat="false" ht="15" hidden="false" customHeight="false" outlineLevel="0" collapsed="false">
      <c r="A645" s="8" t="s">
        <v>212</v>
      </c>
      <c r="B645" s="8" t="s">
        <v>20</v>
      </c>
      <c r="C645" s="8" t="s">
        <v>1048</v>
      </c>
      <c r="D645" s="8" t="n">
        <v>101867</v>
      </c>
      <c r="E645" s="8" t="s">
        <v>611</v>
      </c>
      <c r="F645" s="8" t="s">
        <v>1044</v>
      </c>
      <c r="G645" s="8" t="s">
        <v>961</v>
      </c>
      <c r="H645" s="8" t="s">
        <v>62</v>
      </c>
      <c r="I645" s="8" t="s">
        <v>213</v>
      </c>
      <c r="J645" s="4" t="n">
        <v>29000</v>
      </c>
      <c r="K645" s="4" t="n">
        <v>22000</v>
      </c>
      <c r="L645" s="5" t="n">
        <v>0.25</v>
      </c>
      <c r="M645" s="4" t="n">
        <v>407</v>
      </c>
      <c r="N645" s="4" t="n">
        <v>0</v>
      </c>
      <c r="O645" s="4" t="n">
        <v>100</v>
      </c>
      <c r="P645" s="4" t="n">
        <v>0</v>
      </c>
      <c r="Q645" s="4" t="n">
        <v>1</v>
      </c>
      <c r="R645" s="4" t="n">
        <f aca="false">M645+N645+O645+P645+Q645</f>
        <v>508</v>
      </c>
      <c r="S645" s="4" t="n">
        <v>24</v>
      </c>
      <c r="T645" s="4" t="n">
        <f aca="false">R645*K645</f>
        <v>11176000</v>
      </c>
      <c r="U645" s="9" t="n">
        <f aca="false">IFERROR(M645/S645,0)</f>
        <v>16.9583333333333</v>
      </c>
      <c r="V645" s="5"/>
    </row>
    <row r="646" customFormat="false" ht="15" hidden="false" customHeight="false" outlineLevel="0" collapsed="false">
      <c r="A646" s="8" t="s">
        <v>212</v>
      </c>
      <c r="B646" s="8" t="s">
        <v>20</v>
      </c>
      <c r="C646" s="8" t="s">
        <v>1048</v>
      </c>
      <c r="D646" s="8" t="n">
        <v>101866</v>
      </c>
      <c r="E646" s="8" t="s">
        <v>610</v>
      </c>
      <c r="F646" s="8" t="s">
        <v>1044</v>
      </c>
      <c r="G646" s="8" t="s">
        <v>961</v>
      </c>
      <c r="H646" s="8" t="s">
        <v>62</v>
      </c>
      <c r="I646" s="8" t="s">
        <v>213</v>
      </c>
      <c r="J646" s="4" t="n">
        <v>29000</v>
      </c>
      <c r="K646" s="4" t="n">
        <v>22000</v>
      </c>
      <c r="L646" s="5" t="n">
        <v>0.25</v>
      </c>
      <c r="M646" s="4" t="n">
        <v>282</v>
      </c>
      <c r="N646" s="4" t="n">
        <v>0</v>
      </c>
      <c r="O646" s="4" t="n">
        <v>100</v>
      </c>
      <c r="P646" s="4" t="n">
        <v>0</v>
      </c>
      <c r="Q646" s="4" t="n">
        <v>0</v>
      </c>
      <c r="R646" s="4" t="n">
        <f aca="false">M646+N646+O646+P646+Q646</f>
        <v>382</v>
      </c>
      <c r="S646" s="4" t="n">
        <v>16</v>
      </c>
      <c r="T646" s="4" t="n">
        <f aca="false">R646*K646</f>
        <v>8404000</v>
      </c>
      <c r="U646" s="9" t="n">
        <f aca="false">IFERROR(M646/S646,0)</f>
        <v>17.625</v>
      </c>
      <c r="V646" s="5"/>
    </row>
    <row r="647" customFormat="false" ht="15" hidden="false" customHeight="false" outlineLevel="0" collapsed="false">
      <c r="A647" s="8" t="s">
        <v>201</v>
      </c>
      <c r="B647" s="8" t="s">
        <v>28</v>
      </c>
      <c r="C647" s="8" t="s">
        <v>1391</v>
      </c>
      <c r="D647" s="8" t="n">
        <v>121489</v>
      </c>
      <c r="E647" s="8" t="s">
        <v>375</v>
      </c>
      <c r="F647" s="8" t="s">
        <v>1044</v>
      </c>
      <c r="G647" s="8" t="s">
        <v>961</v>
      </c>
      <c r="H647" s="8" t="s">
        <v>62</v>
      </c>
      <c r="I647" s="8" t="s">
        <v>202</v>
      </c>
      <c r="J647" s="4" t="n">
        <v>35000</v>
      </c>
      <c r="K647" s="4" t="n">
        <v>26000</v>
      </c>
      <c r="L647" s="5" t="n">
        <v>0.25</v>
      </c>
      <c r="M647" s="4" t="n">
        <v>1219</v>
      </c>
      <c r="N647" s="4" t="n">
        <v>306</v>
      </c>
      <c r="O647" s="4" t="n">
        <v>100</v>
      </c>
      <c r="P647" s="4" t="n">
        <v>0</v>
      </c>
      <c r="Q647" s="4" t="n">
        <v>39</v>
      </c>
      <c r="R647" s="4" t="n">
        <f aca="false">M647+N647+O647+P647+Q647</f>
        <v>1664</v>
      </c>
      <c r="S647" s="4" t="n">
        <v>22</v>
      </c>
      <c r="T647" s="4" t="n">
        <f aca="false">R647*K647</f>
        <v>43264000</v>
      </c>
      <c r="U647" s="9" t="n">
        <f aca="false">IFERROR(M647/S647,0)</f>
        <v>55.4090909090909</v>
      </c>
      <c r="V647" s="5"/>
    </row>
    <row r="648" customFormat="false" ht="15" hidden="false" customHeight="false" outlineLevel="0" collapsed="false">
      <c r="A648" s="8" t="s">
        <v>148</v>
      </c>
      <c r="B648" s="8" t="s">
        <v>25</v>
      </c>
      <c r="C648" s="8" t="s">
        <v>1378</v>
      </c>
      <c r="D648" s="8" t="n">
        <v>110388</v>
      </c>
      <c r="E648" s="8" t="s">
        <v>383</v>
      </c>
      <c r="F648" s="8" t="s">
        <v>1044</v>
      </c>
      <c r="G648" s="8" t="s">
        <v>961</v>
      </c>
      <c r="H648" s="8" t="s">
        <v>51</v>
      </c>
      <c r="I648" s="8" t="s">
        <v>149</v>
      </c>
      <c r="J648" s="4" t="n">
        <v>95000</v>
      </c>
      <c r="K648" s="4" t="n">
        <v>80000</v>
      </c>
      <c r="L648" s="5" t="n">
        <v>0.16842</v>
      </c>
      <c r="M648" s="4" t="n">
        <v>192</v>
      </c>
      <c r="N648" s="4" t="n">
        <v>120</v>
      </c>
      <c r="O648" s="4" t="n">
        <v>34</v>
      </c>
      <c r="P648" s="4" t="n">
        <v>0</v>
      </c>
      <c r="Q648" s="4" t="n">
        <v>3</v>
      </c>
      <c r="R648" s="4" t="n">
        <f aca="false">M648+N648+O648+P648+Q648</f>
        <v>349</v>
      </c>
      <c r="S648" s="4" t="n">
        <v>22</v>
      </c>
      <c r="T648" s="4" t="n">
        <f aca="false">R648*K648</f>
        <v>27920000</v>
      </c>
      <c r="U648" s="9" t="n">
        <f aca="false">IFERROR(M648/S648,0)</f>
        <v>8.72727272727273</v>
      </c>
      <c r="V648" s="5" t="n">
        <v>0.1375</v>
      </c>
    </row>
    <row r="649" customFormat="false" ht="15" hidden="false" customHeight="false" outlineLevel="0" collapsed="false">
      <c r="A649" s="8" t="s">
        <v>148</v>
      </c>
      <c r="B649" s="8" t="s">
        <v>25</v>
      </c>
      <c r="C649" s="8" t="s">
        <v>1378</v>
      </c>
      <c r="D649" s="8" t="n">
        <v>110385</v>
      </c>
      <c r="E649" s="8" t="s">
        <v>437</v>
      </c>
      <c r="F649" s="8" t="s">
        <v>1044</v>
      </c>
      <c r="G649" s="8" t="s">
        <v>961</v>
      </c>
      <c r="H649" s="8" t="s">
        <v>51</v>
      </c>
      <c r="I649" s="8" t="s">
        <v>149</v>
      </c>
      <c r="J649" s="4" t="n">
        <v>95000</v>
      </c>
      <c r="K649" s="4" t="n">
        <v>80000</v>
      </c>
      <c r="L649" s="5" t="n">
        <v>0.16842</v>
      </c>
      <c r="M649" s="4" t="n">
        <v>175</v>
      </c>
      <c r="N649" s="4" t="n">
        <v>120</v>
      </c>
      <c r="O649" s="4" t="n">
        <v>43</v>
      </c>
      <c r="P649" s="4" t="n">
        <v>0</v>
      </c>
      <c r="Q649" s="4" t="n">
        <v>4</v>
      </c>
      <c r="R649" s="4" t="n">
        <f aca="false">M649+N649+O649+P649+Q649</f>
        <v>342</v>
      </c>
      <c r="S649" s="4" t="n">
        <v>23</v>
      </c>
      <c r="T649" s="4" t="n">
        <f aca="false">R649*K649</f>
        <v>27360000</v>
      </c>
      <c r="U649" s="9" t="n">
        <f aca="false">IFERROR(M649/S649,0)</f>
        <v>7.60869565217391</v>
      </c>
      <c r="V649" s="5" t="n">
        <v>0.1375</v>
      </c>
    </row>
    <row r="650" customFormat="false" ht="15" hidden="false" customHeight="false" outlineLevel="0" collapsed="false">
      <c r="A650" s="8" t="s">
        <v>148</v>
      </c>
      <c r="B650" s="8" t="s">
        <v>25</v>
      </c>
      <c r="C650" s="8" t="s">
        <v>1378</v>
      </c>
      <c r="D650" s="8" t="n">
        <v>110384</v>
      </c>
      <c r="E650" s="8" t="s">
        <v>384</v>
      </c>
      <c r="F650" s="8" t="s">
        <v>1044</v>
      </c>
      <c r="G650" s="8" t="s">
        <v>961</v>
      </c>
      <c r="H650" s="8" t="s">
        <v>51</v>
      </c>
      <c r="I650" s="8" t="s">
        <v>149</v>
      </c>
      <c r="J650" s="4" t="n">
        <v>95000</v>
      </c>
      <c r="K650" s="4" t="n">
        <v>80000</v>
      </c>
      <c r="L650" s="5" t="n">
        <v>0.16842</v>
      </c>
      <c r="M650" s="4" t="n">
        <v>154</v>
      </c>
      <c r="N650" s="4" t="n">
        <v>120</v>
      </c>
      <c r="O650" s="4" t="n">
        <v>32</v>
      </c>
      <c r="P650" s="4" t="n">
        <v>0</v>
      </c>
      <c r="Q650" s="4" t="n">
        <v>23</v>
      </c>
      <c r="R650" s="4" t="n">
        <f aca="false">M650+N650+O650+P650+Q650</f>
        <v>329</v>
      </c>
      <c r="S650" s="4" t="n">
        <v>22</v>
      </c>
      <c r="T650" s="4" t="n">
        <f aca="false">R650*K650</f>
        <v>26320000</v>
      </c>
      <c r="U650" s="9" t="n">
        <f aca="false">IFERROR(M650/S650,0)</f>
        <v>7</v>
      </c>
      <c r="V650" s="5" t="n">
        <v>0.1375</v>
      </c>
    </row>
    <row r="651" customFormat="false" ht="15" hidden="false" customHeight="false" outlineLevel="0" collapsed="false">
      <c r="A651" s="8" t="s">
        <v>148</v>
      </c>
      <c r="B651" s="8" t="s">
        <v>25</v>
      </c>
      <c r="C651" s="8" t="s">
        <v>1378</v>
      </c>
      <c r="D651" s="8" t="n">
        <v>110386</v>
      </c>
      <c r="E651" s="8" t="s">
        <v>385</v>
      </c>
      <c r="F651" s="8" t="s">
        <v>1044</v>
      </c>
      <c r="G651" s="8" t="s">
        <v>961</v>
      </c>
      <c r="H651" s="8" t="s">
        <v>51</v>
      </c>
      <c r="I651" s="8" t="s">
        <v>149</v>
      </c>
      <c r="J651" s="4" t="n">
        <v>95000</v>
      </c>
      <c r="K651" s="4" t="n">
        <v>80000</v>
      </c>
      <c r="L651" s="5" t="n">
        <v>0.16842</v>
      </c>
      <c r="M651" s="4" t="n">
        <v>166</v>
      </c>
      <c r="N651" s="4" t="n">
        <v>120</v>
      </c>
      <c r="O651" s="4" t="n">
        <v>36</v>
      </c>
      <c r="P651" s="4" t="n">
        <v>0</v>
      </c>
      <c r="Q651" s="4" t="n">
        <v>5</v>
      </c>
      <c r="R651" s="4" t="n">
        <f aca="false">M651+N651+O651+P651+Q651</f>
        <v>327</v>
      </c>
      <c r="S651" s="4" t="n">
        <v>22</v>
      </c>
      <c r="T651" s="4" t="n">
        <f aca="false">R651*K651</f>
        <v>26160000</v>
      </c>
      <c r="U651" s="9" t="n">
        <f aca="false">IFERROR(M651/S651,0)</f>
        <v>7.54545454545455</v>
      </c>
      <c r="V651" s="5" t="n">
        <v>0.1375</v>
      </c>
    </row>
    <row r="652" customFormat="false" ht="15" hidden="false" customHeight="false" outlineLevel="0" collapsed="false">
      <c r="A652" s="8" t="s">
        <v>148</v>
      </c>
      <c r="B652" s="8" t="s">
        <v>25</v>
      </c>
      <c r="C652" s="8" t="s">
        <v>1378</v>
      </c>
      <c r="D652" s="8" t="n">
        <v>110389</v>
      </c>
      <c r="E652" s="8" t="s">
        <v>293</v>
      </c>
      <c r="F652" s="8" t="s">
        <v>1044</v>
      </c>
      <c r="G652" s="8" t="s">
        <v>961</v>
      </c>
      <c r="H652" s="8" t="s">
        <v>51</v>
      </c>
      <c r="I652" s="8" t="s">
        <v>149</v>
      </c>
      <c r="J652" s="4" t="n">
        <v>95000</v>
      </c>
      <c r="K652" s="4" t="n">
        <v>80000</v>
      </c>
      <c r="L652" s="5" t="n">
        <v>0.16842</v>
      </c>
      <c r="M652" s="4" t="n">
        <v>90</v>
      </c>
      <c r="N652" s="4" t="n">
        <v>120</v>
      </c>
      <c r="O652" s="4" t="n">
        <v>44</v>
      </c>
      <c r="P652" s="4" t="n">
        <v>0</v>
      </c>
      <c r="Q652" s="4" t="n">
        <v>47</v>
      </c>
      <c r="R652" s="4" t="n">
        <f aca="false">M652+N652+O652+P652+Q652</f>
        <v>301</v>
      </c>
      <c r="S652" s="4" t="n">
        <v>17</v>
      </c>
      <c r="T652" s="4" t="n">
        <f aca="false">R652*K652</f>
        <v>24080000</v>
      </c>
      <c r="U652" s="9" t="n">
        <f aca="false">IFERROR(M652/S652,0)</f>
        <v>5.29411764705882</v>
      </c>
      <c r="V652" s="5" t="n">
        <v>0.1375</v>
      </c>
    </row>
    <row r="653" customFormat="false" ht="15" hidden="false" customHeight="false" outlineLevel="0" collapsed="false">
      <c r="A653" s="8" t="s">
        <v>112</v>
      </c>
      <c r="B653" s="8" t="s">
        <v>26</v>
      </c>
      <c r="C653" s="8" t="s">
        <v>1384</v>
      </c>
      <c r="D653" s="8" t="n">
        <v>152079</v>
      </c>
      <c r="E653" s="8" t="s">
        <v>712</v>
      </c>
      <c r="F653" s="8" t="s">
        <v>767</v>
      </c>
      <c r="G653" s="8" t="s">
        <v>961</v>
      </c>
      <c r="H653" s="8" t="s">
        <v>51</v>
      </c>
      <c r="I653" s="8" t="s">
        <v>113</v>
      </c>
      <c r="J653" s="4" t="n">
        <v>205000</v>
      </c>
      <c r="K653" s="4" t="n">
        <v>168000</v>
      </c>
      <c r="L653" s="5" t="n">
        <v>0.18462</v>
      </c>
      <c r="M653" s="4" t="n">
        <v>584</v>
      </c>
      <c r="N653" s="4" t="n">
        <v>0</v>
      </c>
      <c r="O653" s="4" t="n">
        <v>156</v>
      </c>
      <c r="P653" s="4" t="n">
        <v>0</v>
      </c>
      <c r="Q653" s="4" t="n">
        <v>97</v>
      </c>
      <c r="R653" s="4" t="n">
        <f aca="false">M653+N653+O653+P653+Q653</f>
        <v>837</v>
      </c>
      <c r="S653" s="4" t="n">
        <v>23</v>
      </c>
      <c r="T653" s="4" t="n">
        <f aca="false">R653*K653</f>
        <v>140616000</v>
      </c>
      <c r="U653" s="9" t="n">
        <f aca="false">IFERROR(M653/S653,0)</f>
        <v>25.3913043478261</v>
      </c>
      <c r="V653" s="5" t="n">
        <v>0.067</v>
      </c>
    </row>
    <row r="654" customFormat="false" ht="15" hidden="false" customHeight="false" outlineLevel="0" collapsed="false">
      <c r="A654" s="8" t="s">
        <v>112</v>
      </c>
      <c r="B654" s="8" t="s">
        <v>26</v>
      </c>
      <c r="C654" s="8" t="s">
        <v>1384</v>
      </c>
      <c r="D654" s="8" t="n">
        <v>153939</v>
      </c>
      <c r="E654" s="8" t="s">
        <v>714</v>
      </c>
      <c r="F654" s="8" t="s">
        <v>1044</v>
      </c>
      <c r="G654" s="8" t="s">
        <v>961</v>
      </c>
      <c r="H654" s="8" t="s">
        <v>51</v>
      </c>
      <c r="I654" s="8" t="s">
        <v>113</v>
      </c>
      <c r="J654" s="4" t="n">
        <v>205000</v>
      </c>
      <c r="K654" s="4" t="n">
        <v>168000</v>
      </c>
      <c r="L654" s="5" t="n">
        <v>0.18462</v>
      </c>
      <c r="M654" s="4" t="n">
        <v>243</v>
      </c>
      <c r="N654" s="4" t="n">
        <v>0</v>
      </c>
      <c r="O654" s="4" t="n">
        <v>106</v>
      </c>
      <c r="P654" s="4" t="n">
        <v>0</v>
      </c>
      <c r="Q654" s="4" t="n">
        <v>248</v>
      </c>
      <c r="R654" s="4" t="n">
        <f aca="false">M654+N654+O654+P654+Q654</f>
        <v>597</v>
      </c>
      <c r="S654" s="4" t="n">
        <v>22</v>
      </c>
      <c r="T654" s="4" t="n">
        <f aca="false">R654*K654</f>
        <v>100296000</v>
      </c>
      <c r="U654" s="9" t="n">
        <f aca="false">IFERROR(M654/S654,0)</f>
        <v>11.0454545454545</v>
      </c>
      <c r="V654" s="5" t="n">
        <v>0.067</v>
      </c>
    </row>
    <row r="655" customFormat="false" ht="15" hidden="false" customHeight="false" outlineLevel="0" collapsed="false">
      <c r="A655" s="8" t="s">
        <v>112</v>
      </c>
      <c r="B655" s="8" t="s">
        <v>26</v>
      </c>
      <c r="C655" s="8" t="s">
        <v>1384</v>
      </c>
      <c r="D655" s="8" t="n">
        <v>153938</v>
      </c>
      <c r="E655" s="8" t="s">
        <v>713</v>
      </c>
      <c r="F655" s="8" t="s">
        <v>1044</v>
      </c>
      <c r="G655" s="8" t="s">
        <v>961</v>
      </c>
      <c r="H655" s="8" t="s">
        <v>51</v>
      </c>
      <c r="I655" s="8" t="s">
        <v>113</v>
      </c>
      <c r="J655" s="4" t="n">
        <v>205000</v>
      </c>
      <c r="K655" s="4" t="n">
        <v>168000</v>
      </c>
      <c r="L655" s="5" t="n">
        <v>0.18462</v>
      </c>
      <c r="M655" s="4" t="n">
        <v>124</v>
      </c>
      <c r="N655" s="4" t="n">
        <v>0</v>
      </c>
      <c r="O655" s="4" t="n">
        <v>0</v>
      </c>
      <c r="P655" s="4" t="n">
        <v>0</v>
      </c>
      <c r="Q655" s="4" t="n">
        <v>4</v>
      </c>
      <c r="R655" s="4" t="n">
        <f aca="false">M655+N655+O655+P655+Q655</f>
        <v>128</v>
      </c>
      <c r="S655" s="4" t="n">
        <v>17</v>
      </c>
      <c r="T655" s="4" t="n">
        <f aca="false">R655*K655</f>
        <v>21504000</v>
      </c>
      <c r="U655" s="9" t="n">
        <f aca="false">IFERROR(M655/S655,0)</f>
        <v>7.29411764705882</v>
      </c>
      <c r="V655" s="5" t="n">
        <v>0.067</v>
      </c>
    </row>
    <row r="656" customFormat="false" ht="15" hidden="false" customHeight="false" outlineLevel="0" collapsed="false">
      <c r="A656" s="8" t="s">
        <v>112</v>
      </c>
      <c r="B656" s="8" t="s">
        <v>26</v>
      </c>
      <c r="C656" s="8" t="s">
        <v>1384</v>
      </c>
      <c r="D656" s="8" t="n">
        <v>154037</v>
      </c>
      <c r="E656" s="8" t="s">
        <v>1392</v>
      </c>
      <c r="F656" s="8" t="s">
        <v>767</v>
      </c>
      <c r="G656" s="8" t="s">
        <v>961</v>
      </c>
      <c r="H656" s="8" t="s">
        <v>51</v>
      </c>
      <c r="I656" s="8" t="s">
        <v>113</v>
      </c>
      <c r="J656" s="4" t="n">
        <v>205000</v>
      </c>
      <c r="K656" s="4" t="n">
        <v>168000</v>
      </c>
      <c r="L656" s="5" t="n">
        <v>0.18462</v>
      </c>
      <c r="M656" s="4" t="n">
        <v>43</v>
      </c>
      <c r="N656" s="4" t="n">
        <v>0</v>
      </c>
      <c r="O656" s="4" t="n">
        <v>0</v>
      </c>
      <c r="P656" s="4" t="n">
        <v>0</v>
      </c>
      <c r="Q656" s="4" t="n">
        <v>0</v>
      </c>
      <c r="R656" s="4" t="n">
        <f aca="false">M656+N656+O656+P656+Q656</f>
        <v>43</v>
      </c>
      <c r="S656" s="4" t="n">
        <v>11</v>
      </c>
      <c r="T656" s="4" t="n">
        <f aca="false">R656*K656</f>
        <v>7224000</v>
      </c>
      <c r="U656" s="9" t="n">
        <f aca="false">IFERROR(M656/S656,0)</f>
        <v>3.90909090909091</v>
      </c>
      <c r="V656" s="5" t="n">
        <v>0.067</v>
      </c>
    </row>
    <row r="657" customFormat="false" ht="15" hidden="false" customHeight="false" outlineLevel="0" collapsed="false">
      <c r="A657" s="8" t="s">
        <v>226</v>
      </c>
      <c r="B657" s="8" t="s">
        <v>23</v>
      </c>
      <c r="C657" s="8" t="s">
        <v>1393</v>
      </c>
      <c r="D657" s="8" t="n">
        <v>142759</v>
      </c>
      <c r="E657" s="8" t="s">
        <v>707</v>
      </c>
      <c r="F657" s="8" t="s">
        <v>767</v>
      </c>
      <c r="G657" s="8" t="s">
        <v>970</v>
      </c>
      <c r="H657" s="8" t="s">
        <v>51</v>
      </c>
      <c r="I657" s="8" t="s">
        <v>227</v>
      </c>
      <c r="J657" s="4" t="n">
        <v>60000</v>
      </c>
      <c r="K657" s="4" t="n">
        <v>15000</v>
      </c>
      <c r="L657" s="5" t="n">
        <v>0.75</v>
      </c>
      <c r="M657" s="4" t="n">
        <v>764</v>
      </c>
      <c r="N657" s="4" t="n">
        <v>0</v>
      </c>
      <c r="O657" s="4" t="n">
        <v>0</v>
      </c>
      <c r="P657" s="4" t="n">
        <v>0</v>
      </c>
      <c r="Q657" s="4" t="n">
        <v>0</v>
      </c>
      <c r="R657" s="4" t="n">
        <f aca="false">M657+N657+O657+P657+Q657</f>
        <v>764</v>
      </c>
      <c r="S657" s="4" t="n">
        <v>19</v>
      </c>
      <c r="T657" s="4" t="n">
        <f aca="false">R657*K657</f>
        <v>11460000</v>
      </c>
      <c r="U657" s="9" t="n">
        <f aca="false">IFERROR(M657/S657,0)</f>
        <v>40.2105263157895</v>
      </c>
      <c r="V657" s="5" t="n">
        <v>-1.3333</v>
      </c>
    </row>
    <row r="658" customFormat="false" ht="15" hidden="false" customHeight="false" outlineLevel="0" collapsed="false">
      <c r="A658" s="8" t="s">
        <v>226</v>
      </c>
      <c r="B658" s="8" t="s">
        <v>23</v>
      </c>
      <c r="C658" s="8" t="s">
        <v>1393</v>
      </c>
      <c r="D658" s="8" t="n">
        <v>142756</v>
      </c>
      <c r="E658" s="8" t="s">
        <v>705</v>
      </c>
      <c r="F658" s="8" t="s">
        <v>767</v>
      </c>
      <c r="G658" s="8" t="s">
        <v>970</v>
      </c>
      <c r="H658" s="8" t="s">
        <v>51</v>
      </c>
      <c r="I658" s="8" t="s">
        <v>227</v>
      </c>
      <c r="J658" s="4" t="n">
        <v>70000</v>
      </c>
      <c r="K658" s="4" t="n">
        <v>16000</v>
      </c>
      <c r="L658" s="5" t="n">
        <v>0.78571</v>
      </c>
      <c r="M658" s="4" t="n">
        <v>374</v>
      </c>
      <c r="N658" s="4" t="n">
        <v>0</v>
      </c>
      <c r="O658" s="4" t="n">
        <v>0</v>
      </c>
      <c r="P658" s="4" t="n">
        <v>0</v>
      </c>
      <c r="Q658" s="4" t="n">
        <v>0</v>
      </c>
      <c r="R658" s="4" t="n">
        <f aca="false">M658+N658+O658+P658+Q658</f>
        <v>374</v>
      </c>
      <c r="S658" s="4" t="n">
        <v>10</v>
      </c>
      <c r="T658" s="4" t="n">
        <f aca="false">R658*K658</f>
        <v>5984000</v>
      </c>
      <c r="U658" s="9" t="n">
        <f aca="false">IFERROR(M658/S658,0)</f>
        <v>37.4</v>
      </c>
      <c r="V658" s="5" t="n">
        <v>-1.8125</v>
      </c>
    </row>
    <row r="659" customFormat="false" ht="15" hidden="false" customHeight="false" outlineLevel="0" collapsed="false">
      <c r="A659" s="8" t="s">
        <v>226</v>
      </c>
      <c r="B659" s="8" t="s">
        <v>23</v>
      </c>
      <c r="C659" s="8" t="s">
        <v>1393</v>
      </c>
      <c r="D659" s="8" t="n">
        <v>142760</v>
      </c>
      <c r="E659" s="8" t="s">
        <v>708</v>
      </c>
      <c r="F659" s="8" t="s">
        <v>767</v>
      </c>
      <c r="G659" s="8" t="s">
        <v>970</v>
      </c>
      <c r="H659" s="8" t="s">
        <v>51</v>
      </c>
      <c r="I659" s="8" t="s">
        <v>227</v>
      </c>
      <c r="J659" s="4" t="n">
        <v>60000</v>
      </c>
      <c r="K659" s="4" t="n">
        <v>15000</v>
      </c>
      <c r="L659" s="5" t="n">
        <v>0.75</v>
      </c>
      <c r="M659" s="4" t="n">
        <v>174</v>
      </c>
      <c r="N659" s="4" t="n">
        <v>0</v>
      </c>
      <c r="O659" s="4" t="n">
        <v>0</v>
      </c>
      <c r="P659" s="4" t="n">
        <v>0</v>
      </c>
      <c r="Q659" s="4" t="n">
        <v>0</v>
      </c>
      <c r="R659" s="4" t="n">
        <f aca="false">M659+N659+O659+P659+Q659</f>
        <v>174</v>
      </c>
      <c r="S659" s="4" t="n">
        <v>11</v>
      </c>
      <c r="T659" s="4" t="n">
        <f aca="false">R659*K659</f>
        <v>2610000</v>
      </c>
      <c r="U659" s="9" t="n">
        <f aca="false">IFERROR(M659/S659,0)</f>
        <v>15.8181818181818</v>
      </c>
      <c r="V659" s="5" t="n">
        <v>-1.3333</v>
      </c>
    </row>
    <row r="660" customFormat="false" ht="15" hidden="false" customHeight="false" outlineLevel="0" collapsed="false">
      <c r="A660" s="8" t="s">
        <v>226</v>
      </c>
      <c r="B660" s="8" t="s">
        <v>23</v>
      </c>
      <c r="C660" s="8" t="s">
        <v>1393</v>
      </c>
      <c r="D660" s="8" t="n">
        <v>142758</v>
      </c>
      <c r="E660" s="8" t="s">
        <v>706</v>
      </c>
      <c r="F660" s="8" t="s">
        <v>767</v>
      </c>
      <c r="G660" s="8" t="s">
        <v>970</v>
      </c>
      <c r="H660" s="8" t="s">
        <v>51</v>
      </c>
      <c r="I660" s="8" t="s">
        <v>227</v>
      </c>
      <c r="J660" s="4" t="n">
        <v>60000</v>
      </c>
      <c r="K660" s="4" t="n">
        <v>15000</v>
      </c>
      <c r="L660" s="5" t="n">
        <v>0.75</v>
      </c>
      <c r="M660" s="4" t="n">
        <v>146</v>
      </c>
      <c r="N660" s="4" t="n">
        <v>0</v>
      </c>
      <c r="O660" s="4" t="n">
        <v>0</v>
      </c>
      <c r="P660" s="4" t="n">
        <v>0</v>
      </c>
      <c r="Q660" s="4" t="n">
        <v>0</v>
      </c>
      <c r="R660" s="4" t="n">
        <f aca="false">M660+N660+O660+P660+Q660</f>
        <v>146</v>
      </c>
      <c r="S660" s="4" t="n">
        <v>13</v>
      </c>
      <c r="T660" s="4" t="n">
        <f aca="false">R660*K660</f>
        <v>2190000</v>
      </c>
      <c r="U660" s="9" t="n">
        <f aca="false">IFERROR(M660/S660,0)</f>
        <v>11.2307692307692</v>
      </c>
      <c r="V660" s="5" t="n">
        <v>-1.3333</v>
      </c>
    </row>
    <row r="661" customFormat="false" ht="15" hidden="false" customHeight="false" outlineLevel="0" collapsed="false">
      <c r="A661" s="8" t="s">
        <v>226</v>
      </c>
      <c r="B661" s="8" t="s">
        <v>23</v>
      </c>
      <c r="C661" s="8" t="s">
        <v>1393</v>
      </c>
      <c r="D661" s="8" t="n">
        <v>142755</v>
      </c>
      <c r="E661" s="8" t="s">
        <v>704</v>
      </c>
      <c r="F661" s="8" t="s">
        <v>767</v>
      </c>
      <c r="G661" s="8" t="s">
        <v>970</v>
      </c>
      <c r="H661" s="8" t="s">
        <v>51</v>
      </c>
      <c r="I661" s="8" t="s">
        <v>227</v>
      </c>
      <c r="J661" s="4" t="n">
        <v>70000</v>
      </c>
      <c r="K661" s="4" t="n">
        <v>16000</v>
      </c>
      <c r="L661" s="5" t="n">
        <v>0.78571</v>
      </c>
      <c r="M661" s="4" t="n">
        <v>69</v>
      </c>
      <c r="N661" s="4" t="n">
        <v>0</v>
      </c>
      <c r="O661" s="4" t="n">
        <v>0</v>
      </c>
      <c r="P661" s="4" t="n">
        <v>0</v>
      </c>
      <c r="Q661" s="4" t="n">
        <v>0</v>
      </c>
      <c r="R661" s="4" t="n">
        <f aca="false">M661+N661+O661+P661+Q661</f>
        <v>69</v>
      </c>
      <c r="S661" s="4" t="n">
        <v>7</v>
      </c>
      <c r="T661" s="4" t="n">
        <f aca="false">R661*K661</f>
        <v>1104000</v>
      </c>
      <c r="U661" s="9" t="n">
        <f aca="false">IFERROR(M661/S661,0)</f>
        <v>9.85714285714286</v>
      </c>
      <c r="V661" s="5" t="n">
        <v>-1.8125</v>
      </c>
    </row>
    <row r="662" customFormat="false" ht="15" hidden="false" customHeight="false" outlineLevel="0" collapsed="false">
      <c r="A662" s="8" t="s">
        <v>226</v>
      </c>
      <c r="B662" s="8" t="s">
        <v>23</v>
      </c>
      <c r="C662" s="8" t="s">
        <v>1393</v>
      </c>
      <c r="D662" s="8" t="n">
        <v>142757</v>
      </c>
      <c r="E662" s="8" t="s">
        <v>989</v>
      </c>
      <c r="F662" s="8" t="s">
        <v>767</v>
      </c>
      <c r="G662" s="8" t="s">
        <v>970</v>
      </c>
      <c r="H662" s="8" t="s">
        <v>51</v>
      </c>
      <c r="I662" s="8" t="s">
        <v>227</v>
      </c>
      <c r="J662" s="4" t="n">
        <v>70000</v>
      </c>
      <c r="K662" s="4" t="n">
        <v>16000</v>
      </c>
      <c r="L662" s="5" t="n">
        <v>0.78571</v>
      </c>
      <c r="M662" s="4" t="n">
        <v>45</v>
      </c>
      <c r="N662" s="4" t="n">
        <v>0</v>
      </c>
      <c r="O662" s="4" t="n">
        <v>0</v>
      </c>
      <c r="P662" s="4" t="n">
        <v>0</v>
      </c>
      <c r="Q662" s="4" t="n">
        <v>0</v>
      </c>
      <c r="R662" s="4" t="n">
        <f aca="false">M662+N662+O662+P662+Q662</f>
        <v>45</v>
      </c>
      <c r="S662" s="4" t="n">
        <v>5</v>
      </c>
      <c r="T662" s="4" t="n">
        <f aca="false">R662*K662</f>
        <v>720000</v>
      </c>
      <c r="U662" s="9" t="n">
        <f aca="false">IFERROR(M662/S662,0)</f>
        <v>9</v>
      </c>
      <c r="V662" s="5" t="n">
        <v>-1.8125</v>
      </c>
    </row>
    <row r="663" customFormat="false" ht="15" hidden="false" customHeight="false" outlineLevel="0" collapsed="false">
      <c r="A663" s="8" t="s">
        <v>100</v>
      </c>
      <c r="B663" s="8" t="s">
        <v>26</v>
      </c>
      <c r="C663" s="8" t="s">
        <v>1394</v>
      </c>
      <c r="D663" s="8" t="n">
        <v>150384</v>
      </c>
      <c r="E663" s="8" t="s">
        <v>715</v>
      </c>
      <c r="F663" s="8" t="s">
        <v>1044</v>
      </c>
      <c r="G663" s="8" t="s">
        <v>961</v>
      </c>
      <c r="H663" s="8" t="s">
        <v>51</v>
      </c>
      <c r="I663" s="8" t="s">
        <v>101</v>
      </c>
      <c r="J663" s="4" t="n">
        <v>225000</v>
      </c>
      <c r="K663" s="4" t="n">
        <v>210000</v>
      </c>
      <c r="L663" s="5" t="n">
        <v>0.07111</v>
      </c>
      <c r="M663" s="4" t="n">
        <v>787</v>
      </c>
      <c r="N663" s="4" t="n">
        <v>360</v>
      </c>
      <c r="O663" s="4" t="n">
        <v>289</v>
      </c>
      <c r="P663" s="4" t="n">
        <v>0</v>
      </c>
      <c r="Q663" s="4" t="n">
        <v>80</v>
      </c>
      <c r="R663" s="4" t="n">
        <f aca="false">M663+N663+O663+P663+Q663</f>
        <v>1516</v>
      </c>
      <c r="S663" s="4" t="n">
        <v>24</v>
      </c>
      <c r="T663" s="4" t="n">
        <f aca="false">R663*K663</f>
        <v>318360000</v>
      </c>
      <c r="U663" s="9" t="n">
        <f aca="false">IFERROR(M663/S663,0)</f>
        <v>32.7916666666667</v>
      </c>
      <c r="V663" s="5" t="n">
        <v>0.231</v>
      </c>
    </row>
    <row r="664" customFormat="false" ht="15" hidden="false" customHeight="false" outlineLevel="0" collapsed="false">
      <c r="A664" s="8" t="s">
        <v>209</v>
      </c>
      <c r="B664" s="8" t="s">
        <v>28</v>
      </c>
      <c r="C664" s="8" t="s">
        <v>1395</v>
      </c>
      <c r="D664" s="8" t="n">
        <v>174509</v>
      </c>
      <c r="E664" s="8" t="s">
        <v>368</v>
      </c>
      <c r="F664" s="8" t="s">
        <v>809</v>
      </c>
      <c r="G664" s="8" t="s">
        <v>961</v>
      </c>
      <c r="H664" s="8" t="s">
        <v>62</v>
      </c>
      <c r="I664" s="8" t="s">
        <v>210</v>
      </c>
      <c r="J664" s="4" t="n">
        <v>40000</v>
      </c>
      <c r="K664" s="4" t="n">
        <v>20000</v>
      </c>
      <c r="L664" s="5" t="n">
        <v>0.5</v>
      </c>
      <c r="M664" s="4" t="n">
        <v>267</v>
      </c>
      <c r="N664" s="4" t="n">
        <v>770</v>
      </c>
      <c r="O664" s="4" t="n">
        <v>75</v>
      </c>
      <c r="P664" s="4" t="n">
        <v>0</v>
      </c>
      <c r="Q664" s="4" t="n">
        <v>18</v>
      </c>
      <c r="R664" s="4" t="n">
        <f aca="false">M664+N664+O664+P664+Q664</f>
        <v>1130</v>
      </c>
      <c r="S664" s="4" t="n">
        <v>22</v>
      </c>
      <c r="T664" s="4" t="n">
        <f aca="false">R664*K664</f>
        <v>22600000</v>
      </c>
      <c r="U664" s="9" t="n">
        <f aca="false">IFERROR(M664/S664,0)</f>
        <v>12.1363636363636</v>
      </c>
      <c r="V664" s="5"/>
    </row>
    <row r="665" customFormat="false" ht="15" hidden="false" customHeight="false" outlineLevel="0" collapsed="false">
      <c r="A665" s="8" t="s">
        <v>209</v>
      </c>
      <c r="B665" s="8" t="s">
        <v>28</v>
      </c>
      <c r="C665" s="8" t="s">
        <v>1395</v>
      </c>
      <c r="D665" s="8" t="n">
        <v>120014</v>
      </c>
      <c r="E665" s="8" t="s">
        <v>738</v>
      </c>
      <c r="F665" s="8" t="s">
        <v>809</v>
      </c>
      <c r="G665" s="8" t="s">
        <v>961</v>
      </c>
      <c r="H665" s="8" t="s">
        <v>55</v>
      </c>
      <c r="I665" s="8" t="s">
        <v>210</v>
      </c>
      <c r="J665" s="4" t="n">
        <v>71000</v>
      </c>
      <c r="K665" s="4" t="n">
        <v>45000</v>
      </c>
      <c r="L665" s="5" t="n">
        <v>0.36036</v>
      </c>
      <c r="M665" s="4" t="n">
        <v>154</v>
      </c>
      <c r="N665" s="4" t="n">
        <v>0</v>
      </c>
      <c r="O665" s="4" t="n">
        <v>10</v>
      </c>
      <c r="P665" s="4" t="n">
        <v>0</v>
      </c>
      <c r="Q665" s="4" t="n">
        <v>0</v>
      </c>
      <c r="R665" s="4" t="n">
        <f aca="false">M665+N665+O665+P665+Q665</f>
        <v>164</v>
      </c>
      <c r="S665" s="4" t="n">
        <v>22</v>
      </c>
      <c r="T665" s="4" t="n">
        <f aca="false">R665*K665</f>
        <v>7380000</v>
      </c>
      <c r="U665" s="9" t="n">
        <f aca="false">IFERROR(M665/S665,0)</f>
        <v>7</v>
      </c>
      <c r="V665" s="5"/>
    </row>
    <row r="666" customFormat="false" ht="15" hidden="false" customHeight="false" outlineLevel="0" collapsed="false">
      <c r="A666" s="8" t="s">
        <v>209</v>
      </c>
      <c r="B666" s="8" t="s">
        <v>28</v>
      </c>
      <c r="C666" s="8" t="s">
        <v>1395</v>
      </c>
      <c r="D666" s="8" t="n">
        <v>120012</v>
      </c>
      <c r="E666" s="8" t="s">
        <v>739</v>
      </c>
      <c r="F666" s="8" t="s">
        <v>809</v>
      </c>
      <c r="G666" s="8" t="s">
        <v>961</v>
      </c>
      <c r="H666" s="8" t="s">
        <v>55</v>
      </c>
      <c r="I666" s="8" t="s">
        <v>210</v>
      </c>
      <c r="J666" s="4" t="n">
        <v>71000</v>
      </c>
      <c r="K666" s="4" t="n">
        <v>45000</v>
      </c>
      <c r="L666" s="5" t="n">
        <v>0.36036</v>
      </c>
      <c r="M666" s="4" t="n">
        <v>133</v>
      </c>
      <c r="N666" s="4" t="n">
        <v>0</v>
      </c>
      <c r="O666" s="4" t="n">
        <v>22</v>
      </c>
      <c r="P666" s="4" t="n">
        <v>0</v>
      </c>
      <c r="Q666" s="4" t="n">
        <v>0</v>
      </c>
      <c r="R666" s="4" t="n">
        <f aca="false">M666+N666+O666+P666+Q666</f>
        <v>155</v>
      </c>
      <c r="S666" s="4" t="n">
        <v>21</v>
      </c>
      <c r="T666" s="4" t="n">
        <f aca="false">R666*K666</f>
        <v>6975000</v>
      </c>
      <c r="U666" s="9" t="n">
        <f aca="false">IFERROR(M666/S666,0)</f>
        <v>6.33333333333333</v>
      </c>
      <c r="V666" s="5"/>
    </row>
    <row r="667" customFormat="false" ht="15" hidden="false" customHeight="false" outlineLevel="0" collapsed="false">
      <c r="A667" s="8" t="s">
        <v>209</v>
      </c>
      <c r="B667" s="8" t="s">
        <v>28</v>
      </c>
      <c r="C667" s="8" t="s">
        <v>1395</v>
      </c>
      <c r="D667" s="8" t="n">
        <v>120013</v>
      </c>
      <c r="E667" s="8" t="s">
        <v>1396</v>
      </c>
      <c r="F667" s="8" t="s">
        <v>809</v>
      </c>
      <c r="G667" s="8" t="s">
        <v>961</v>
      </c>
      <c r="H667" s="8" t="s">
        <v>55</v>
      </c>
      <c r="I667" s="8" t="s">
        <v>210</v>
      </c>
      <c r="J667" s="4" t="n">
        <v>71000</v>
      </c>
      <c r="K667" s="4" t="n">
        <v>45000</v>
      </c>
      <c r="L667" s="5" t="n">
        <v>0.36036</v>
      </c>
      <c r="M667" s="4" t="n">
        <v>19</v>
      </c>
      <c r="N667" s="4" t="n">
        <v>0</v>
      </c>
      <c r="O667" s="4" t="n">
        <v>0</v>
      </c>
      <c r="P667" s="4" t="n">
        <v>0</v>
      </c>
      <c r="Q667" s="4" t="n">
        <v>0</v>
      </c>
      <c r="R667" s="4" t="n">
        <f aca="false">M667+N667+O667+P667+Q667</f>
        <v>19</v>
      </c>
      <c r="S667" s="4" t="n">
        <v>6</v>
      </c>
      <c r="T667" s="4" t="n">
        <f aca="false">R667*K667</f>
        <v>855000</v>
      </c>
      <c r="U667" s="9" t="n">
        <f aca="false">IFERROR(M667/S667,0)</f>
        <v>3.16666666666667</v>
      </c>
      <c r="V667" s="5"/>
    </row>
    <row r="668" customFormat="false" ht="15" hidden="false" customHeight="false" outlineLevel="0" collapsed="false">
      <c r="A668" s="8" t="s">
        <v>203</v>
      </c>
      <c r="B668" s="8" t="s">
        <v>31</v>
      </c>
      <c r="C668" s="8" t="s">
        <v>1397</v>
      </c>
      <c r="D668" s="8" t="n">
        <v>151596</v>
      </c>
      <c r="E668" s="8" t="s">
        <v>755</v>
      </c>
      <c r="F668" s="8" t="s">
        <v>809</v>
      </c>
      <c r="G668" s="8" t="s">
        <v>961</v>
      </c>
      <c r="H668" s="8" t="s">
        <v>62</v>
      </c>
      <c r="I668" s="8" t="s">
        <v>204</v>
      </c>
      <c r="J668" s="4" t="n">
        <v>39000</v>
      </c>
      <c r="K668" s="4" t="n">
        <v>32000</v>
      </c>
      <c r="L668" s="5" t="n">
        <v>0.17949</v>
      </c>
      <c r="M668" s="4" t="n">
        <v>1179</v>
      </c>
      <c r="N668" s="4" t="n">
        <v>0</v>
      </c>
      <c r="O668" s="4" t="n">
        <v>162</v>
      </c>
      <c r="P668" s="4" t="n">
        <v>0</v>
      </c>
      <c r="Q668" s="4" t="n">
        <v>8</v>
      </c>
      <c r="R668" s="4" t="n">
        <f aca="false">M668+N668+O668+P668+Q668</f>
        <v>1349</v>
      </c>
      <c r="S668" s="4" t="n">
        <v>23</v>
      </c>
      <c r="T668" s="4" t="n">
        <f aca="false">R668*K668</f>
        <v>43168000</v>
      </c>
      <c r="U668" s="9" t="n">
        <f aca="false">IFERROR(M668/S668,0)</f>
        <v>51.2608695652174</v>
      </c>
      <c r="V668" s="5"/>
    </row>
    <row r="669" customFormat="false" ht="15" hidden="false" customHeight="false" outlineLevel="0" collapsed="false">
      <c r="A669" s="8" t="s">
        <v>156</v>
      </c>
      <c r="B669" s="8" t="s">
        <v>25</v>
      </c>
      <c r="C669" s="8" t="s">
        <v>1043</v>
      </c>
      <c r="D669" s="8" t="n">
        <v>110864</v>
      </c>
      <c r="E669" s="8" t="s">
        <v>341</v>
      </c>
      <c r="F669" s="8" t="s">
        <v>809</v>
      </c>
      <c r="G669" s="8" t="s">
        <v>961</v>
      </c>
      <c r="H669" s="8" t="s">
        <v>55</v>
      </c>
      <c r="I669" s="8" t="s">
        <v>157</v>
      </c>
      <c r="J669" s="4" t="n">
        <v>119000</v>
      </c>
      <c r="K669" s="4" t="n">
        <v>94000</v>
      </c>
      <c r="L669" s="5" t="n">
        <v>0.21192</v>
      </c>
      <c r="M669" s="4" t="n">
        <v>107</v>
      </c>
      <c r="N669" s="4" t="n">
        <v>69</v>
      </c>
      <c r="O669" s="4" t="n">
        <v>56</v>
      </c>
      <c r="P669" s="4" t="n">
        <v>0</v>
      </c>
      <c r="Q669" s="4" t="n">
        <v>118</v>
      </c>
      <c r="R669" s="4" t="n">
        <f aca="false">M669+N669+O669+P669+Q669</f>
        <v>350</v>
      </c>
      <c r="S669" s="4" t="n">
        <v>21</v>
      </c>
      <c r="T669" s="4" t="n">
        <f aca="false">R669*K669</f>
        <v>32900000</v>
      </c>
      <c r="U669" s="9" t="n">
        <f aca="false">IFERROR(M669/S669,0)</f>
        <v>5.0952380952381</v>
      </c>
      <c r="V669" s="5"/>
    </row>
    <row r="670" customFormat="false" ht="15" hidden="false" customHeight="false" outlineLevel="0" collapsed="false">
      <c r="A670" s="8" t="s">
        <v>156</v>
      </c>
      <c r="B670" s="8" t="s">
        <v>25</v>
      </c>
      <c r="C670" s="8" t="s">
        <v>1043</v>
      </c>
      <c r="D670" s="8" t="n">
        <v>110865</v>
      </c>
      <c r="E670" s="8" t="s">
        <v>405</v>
      </c>
      <c r="F670" s="8" t="s">
        <v>809</v>
      </c>
      <c r="G670" s="8" t="s">
        <v>961</v>
      </c>
      <c r="H670" s="8" t="s">
        <v>55</v>
      </c>
      <c r="I670" s="8" t="s">
        <v>157</v>
      </c>
      <c r="J670" s="4" t="n">
        <v>119000</v>
      </c>
      <c r="K670" s="4" t="n">
        <v>94000</v>
      </c>
      <c r="L670" s="5" t="n">
        <v>0.21192</v>
      </c>
      <c r="M670" s="4" t="n">
        <v>150</v>
      </c>
      <c r="N670" s="4" t="n">
        <v>24</v>
      </c>
      <c r="O670" s="4" t="n">
        <v>56</v>
      </c>
      <c r="P670" s="4" t="n">
        <v>0</v>
      </c>
      <c r="Q670" s="4" t="n">
        <v>20</v>
      </c>
      <c r="R670" s="4" t="n">
        <f aca="false">M670+N670+O670+P670+Q670</f>
        <v>250</v>
      </c>
      <c r="S670" s="4" t="n">
        <v>22</v>
      </c>
      <c r="T670" s="4" t="n">
        <f aca="false">R670*K670</f>
        <v>23500000</v>
      </c>
      <c r="U670" s="9" t="n">
        <f aca="false">IFERROR(M670/S670,0)</f>
        <v>6.81818181818182</v>
      </c>
      <c r="V670" s="5"/>
    </row>
    <row r="671" customFormat="false" ht="15" hidden="false" customHeight="false" outlineLevel="0" collapsed="false">
      <c r="A671" s="8" t="s">
        <v>156</v>
      </c>
      <c r="B671" s="8" t="s">
        <v>25</v>
      </c>
      <c r="C671" s="8" t="s">
        <v>1043</v>
      </c>
      <c r="D671" s="8" t="n">
        <v>110866</v>
      </c>
      <c r="E671" s="8" t="s">
        <v>397</v>
      </c>
      <c r="F671" s="8" t="s">
        <v>809</v>
      </c>
      <c r="G671" s="8" t="s">
        <v>961</v>
      </c>
      <c r="H671" s="8" t="s">
        <v>55</v>
      </c>
      <c r="I671" s="8" t="s">
        <v>157</v>
      </c>
      <c r="J671" s="4" t="n">
        <v>119000</v>
      </c>
      <c r="K671" s="4" t="n">
        <v>94000</v>
      </c>
      <c r="L671" s="5" t="n">
        <v>0.21192</v>
      </c>
      <c r="M671" s="4" t="n">
        <v>169</v>
      </c>
      <c r="N671" s="4" t="n">
        <v>48</v>
      </c>
      <c r="O671" s="4" t="n">
        <v>21</v>
      </c>
      <c r="P671" s="4" t="n">
        <v>0</v>
      </c>
      <c r="Q671" s="4" t="n">
        <v>0</v>
      </c>
      <c r="R671" s="4" t="n">
        <f aca="false">M671+N671+O671+P671+Q671</f>
        <v>238</v>
      </c>
      <c r="S671" s="4" t="n">
        <v>22</v>
      </c>
      <c r="T671" s="4" t="n">
        <f aca="false">R671*K671</f>
        <v>22372000</v>
      </c>
      <c r="U671" s="9" t="n">
        <f aca="false">IFERROR(M671/S671,0)</f>
        <v>7.68181818181818</v>
      </c>
      <c r="V671" s="5"/>
    </row>
    <row r="672" customFormat="false" ht="15" hidden="false" customHeight="false" outlineLevel="0" collapsed="false">
      <c r="A672" s="8" t="s">
        <v>156</v>
      </c>
      <c r="B672" s="8" t="s">
        <v>25</v>
      </c>
      <c r="C672" s="8" t="s">
        <v>1043</v>
      </c>
      <c r="D672" s="8" t="n">
        <v>110867</v>
      </c>
      <c r="E672" s="8" t="s">
        <v>406</v>
      </c>
      <c r="F672" s="8" t="s">
        <v>809</v>
      </c>
      <c r="G672" s="8" t="s">
        <v>961</v>
      </c>
      <c r="H672" s="8" t="s">
        <v>55</v>
      </c>
      <c r="I672" s="8" t="s">
        <v>157</v>
      </c>
      <c r="J672" s="4" t="n">
        <v>119000</v>
      </c>
      <c r="K672" s="4" t="n">
        <v>94000</v>
      </c>
      <c r="L672" s="5" t="n">
        <v>0.21192</v>
      </c>
      <c r="M672" s="4" t="n">
        <v>139</v>
      </c>
      <c r="N672" s="4" t="n">
        <v>20</v>
      </c>
      <c r="O672" s="4" t="n">
        <v>59</v>
      </c>
      <c r="P672" s="4" t="n">
        <v>0</v>
      </c>
      <c r="Q672" s="4" t="n">
        <v>0</v>
      </c>
      <c r="R672" s="4" t="n">
        <f aca="false">M672+N672+O672+P672+Q672</f>
        <v>218</v>
      </c>
      <c r="S672" s="4" t="n">
        <v>22</v>
      </c>
      <c r="T672" s="4" t="n">
        <f aca="false">R672*K672</f>
        <v>20492000</v>
      </c>
      <c r="U672" s="9" t="n">
        <f aca="false">IFERROR(M672/S672,0)</f>
        <v>6.31818181818182</v>
      </c>
      <c r="V672" s="5"/>
    </row>
    <row r="673" customFormat="false" ht="15" hidden="false" customHeight="false" outlineLevel="0" collapsed="false">
      <c r="A673" s="8" t="s">
        <v>156</v>
      </c>
      <c r="B673" s="8" t="s">
        <v>25</v>
      </c>
      <c r="C673" s="8" t="s">
        <v>1043</v>
      </c>
      <c r="D673" s="8" t="n">
        <v>30016</v>
      </c>
      <c r="E673" s="8" t="s">
        <v>543</v>
      </c>
      <c r="F673" s="8" t="s">
        <v>767</v>
      </c>
      <c r="G673" s="8" t="s">
        <v>961</v>
      </c>
      <c r="H673" s="8" t="s">
        <v>55</v>
      </c>
      <c r="I673" s="8" t="s">
        <v>157</v>
      </c>
      <c r="J673" s="4" t="n">
        <v>0</v>
      </c>
      <c r="K673" s="4" t="n">
        <v>0</v>
      </c>
      <c r="L673" s="5" t="n">
        <v>1</v>
      </c>
      <c r="M673" s="4" t="n">
        <v>160</v>
      </c>
      <c r="N673" s="4" t="n">
        <v>0</v>
      </c>
      <c r="O673" s="4" t="n">
        <v>0</v>
      </c>
      <c r="P673" s="4" t="n">
        <v>0</v>
      </c>
      <c r="Q673" s="4" t="n">
        <v>0</v>
      </c>
      <c r="R673" s="4" t="n">
        <f aca="false">M673+N673+O673+P673+Q673</f>
        <v>160</v>
      </c>
      <c r="S673" s="4" t="n">
        <v>10</v>
      </c>
      <c r="T673" s="4" t="n">
        <f aca="false">R673*K673</f>
        <v>0</v>
      </c>
      <c r="U673" s="9" t="n">
        <f aca="false">IFERROR(M673/S673,0)</f>
        <v>16</v>
      </c>
      <c r="V673" s="5"/>
    </row>
    <row r="674" customFormat="false" ht="15" hidden="false" customHeight="false" outlineLevel="0" collapsed="false">
      <c r="A674" s="8" t="s">
        <v>156</v>
      </c>
      <c r="B674" s="8" t="s">
        <v>25</v>
      </c>
      <c r="C674" s="8" t="s">
        <v>1043</v>
      </c>
      <c r="D674" s="8" t="n">
        <v>110863</v>
      </c>
      <c r="E674" s="8" t="s">
        <v>542</v>
      </c>
      <c r="F674" s="8" t="s">
        <v>809</v>
      </c>
      <c r="G674" s="8" t="s">
        <v>961</v>
      </c>
      <c r="H674" s="8" t="s">
        <v>55</v>
      </c>
      <c r="I674" s="8" t="s">
        <v>157</v>
      </c>
      <c r="J674" s="4" t="n">
        <v>119000</v>
      </c>
      <c r="K674" s="4" t="n">
        <v>94000</v>
      </c>
      <c r="L674" s="5" t="n">
        <v>0.21192</v>
      </c>
      <c r="M674" s="4" t="n">
        <v>59</v>
      </c>
      <c r="N674" s="4" t="n">
        <v>0</v>
      </c>
      <c r="O674" s="4" t="n">
        <v>0</v>
      </c>
      <c r="P674" s="4" t="n">
        <v>0</v>
      </c>
      <c r="Q674" s="4" t="n">
        <v>34</v>
      </c>
      <c r="R674" s="4" t="n">
        <f aca="false">M674+N674+O674+P674+Q674</f>
        <v>93</v>
      </c>
      <c r="S674" s="4" t="n">
        <v>14</v>
      </c>
      <c r="T674" s="4" t="n">
        <f aca="false">R674*K674</f>
        <v>8742000</v>
      </c>
      <c r="U674" s="9" t="n">
        <f aca="false">IFERROR(M674/S674,0)</f>
        <v>4.21428571428571</v>
      </c>
      <c r="V674" s="5"/>
    </row>
    <row r="675" customFormat="false" ht="15" hidden="false" customHeight="false" outlineLevel="0" collapsed="false">
      <c r="A675" s="8" t="s">
        <v>224</v>
      </c>
      <c r="B675" s="8" t="s">
        <v>20</v>
      </c>
      <c r="C675" s="8" t="s">
        <v>1048</v>
      </c>
      <c r="D675" s="8" t="n">
        <v>101998</v>
      </c>
      <c r="E675" s="8" t="s">
        <v>612</v>
      </c>
      <c r="F675" s="8" t="s">
        <v>809</v>
      </c>
      <c r="G675" s="8" t="s">
        <v>961</v>
      </c>
      <c r="H675" s="8" t="s">
        <v>55</v>
      </c>
      <c r="I675" s="8" t="s">
        <v>225</v>
      </c>
      <c r="J675" s="4" t="n">
        <v>33000</v>
      </c>
      <c r="K675" s="4" t="n">
        <v>22000</v>
      </c>
      <c r="L675" s="5" t="n">
        <v>0.33333</v>
      </c>
      <c r="M675" s="4" t="n">
        <v>1170</v>
      </c>
      <c r="N675" s="4" t="n">
        <v>0</v>
      </c>
      <c r="O675" s="4" t="n">
        <v>0</v>
      </c>
      <c r="P675" s="4" t="n">
        <v>0</v>
      </c>
      <c r="Q675" s="4" t="n">
        <v>4</v>
      </c>
      <c r="R675" s="4" t="n">
        <f aca="false">M675+N675+O675+P675+Q675</f>
        <v>1174</v>
      </c>
      <c r="S675" s="4" t="n">
        <v>22</v>
      </c>
      <c r="T675" s="4" t="n">
        <f aca="false">R675*K675</f>
        <v>25828000</v>
      </c>
      <c r="U675" s="9" t="n">
        <f aca="false">IFERROR(M675/S675,0)</f>
        <v>53.1818181818182</v>
      </c>
      <c r="V675" s="5"/>
    </row>
    <row r="676" customFormat="false" ht="15" hidden="false" customHeight="false" outlineLevel="0" collapsed="false">
      <c r="A676" s="8" t="s">
        <v>110</v>
      </c>
      <c r="B676" s="8" t="s">
        <v>20</v>
      </c>
      <c r="C676" s="8" t="s">
        <v>1046</v>
      </c>
      <c r="D676" s="8" t="n">
        <v>174527</v>
      </c>
      <c r="E676" s="8" t="s">
        <v>613</v>
      </c>
      <c r="F676" s="8" t="s">
        <v>1044</v>
      </c>
      <c r="G676" s="8" t="s">
        <v>961</v>
      </c>
      <c r="H676" s="8" t="s">
        <v>51</v>
      </c>
      <c r="I676" s="8" t="s">
        <v>111</v>
      </c>
      <c r="J676" s="4" t="n">
        <v>285000</v>
      </c>
      <c r="K676" s="4" t="n">
        <v>259000</v>
      </c>
      <c r="L676" s="5" t="n">
        <v>0.09123</v>
      </c>
      <c r="M676" s="4" t="n">
        <v>177</v>
      </c>
      <c r="N676" s="4" t="n">
        <v>0</v>
      </c>
      <c r="O676" s="4" t="n">
        <v>34</v>
      </c>
      <c r="P676" s="4" t="n">
        <v>0</v>
      </c>
      <c r="Q676" s="4" t="n">
        <v>7</v>
      </c>
      <c r="R676" s="4" t="n">
        <f aca="false">M676+N676+O676+P676+Q676</f>
        <v>218</v>
      </c>
      <c r="S676" s="4" t="n">
        <v>22</v>
      </c>
      <c r="T676" s="4" t="n">
        <f aca="false">R676*K676</f>
        <v>56462000</v>
      </c>
      <c r="U676" s="9" t="n">
        <f aca="false">IFERROR(M676/S676,0)</f>
        <v>8.04545454545455</v>
      </c>
      <c r="V676" s="5" t="n">
        <v>0.2697</v>
      </c>
    </row>
    <row r="677" customFormat="false" ht="15" hidden="false" customHeight="false" outlineLevel="0" collapsed="false">
      <c r="A677" s="8" t="s">
        <v>110</v>
      </c>
      <c r="B677" s="8" t="s">
        <v>20</v>
      </c>
      <c r="C677" s="8" t="s">
        <v>1046</v>
      </c>
      <c r="D677" s="8" t="n">
        <v>174526</v>
      </c>
      <c r="E677" s="8" t="s">
        <v>616</v>
      </c>
      <c r="F677" s="8" t="s">
        <v>1044</v>
      </c>
      <c r="G677" s="8" t="s">
        <v>961</v>
      </c>
      <c r="H677" s="8" t="s">
        <v>51</v>
      </c>
      <c r="I677" s="8" t="s">
        <v>111</v>
      </c>
      <c r="J677" s="4" t="n">
        <v>285000</v>
      </c>
      <c r="K677" s="4" t="n">
        <v>259000</v>
      </c>
      <c r="L677" s="5" t="n">
        <v>0.09123</v>
      </c>
      <c r="M677" s="4" t="n">
        <v>154</v>
      </c>
      <c r="N677" s="4" t="n">
        <v>0</v>
      </c>
      <c r="O677" s="4" t="n">
        <v>35</v>
      </c>
      <c r="P677" s="4" t="n">
        <v>0</v>
      </c>
      <c r="Q677" s="4" t="n">
        <v>4</v>
      </c>
      <c r="R677" s="4" t="n">
        <f aca="false">M677+N677+O677+P677+Q677</f>
        <v>193</v>
      </c>
      <c r="S677" s="4" t="n">
        <v>23</v>
      </c>
      <c r="T677" s="4" t="n">
        <f aca="false">R677*K677</f>
        <v>49987000</v>
      </c>
      <c r="U677" s="9" t="n">
        <f aca="false">IFERROR(M677/S677,0)</f>
        <v>6.69565217391304</v>
      </c>
      <c r="V677" s="5" t="n">
        <v>0.2697</v>
      </c>
    </row>
    <row r="678" customFormat="false" ht="15" hidden="false" customHeight="false" outlineLevel="0" collapsed="false">
      <c r="A678" s="8" t="s">
        <v>110</v>
      </c>
      <c r="B678" s="8" t="s">
        <v>20</v>
      </c>
      <c r="C678" s="8" t="s">
        <v>1046</v>
      </c>
      <c r="D678" s="8" t="n">
        <v>174530</v>
      </c>
      <c r="E678" s="8" t="s">
        <v>446</v>
      </c>
      <c r="F678" s="8" t="s">
        <v>1044</v>
      </c>
      <c r="G678" s="8" t="s">
        <v>961</v>
      </c>
      <c r="H678" s="8" t="s">
        <v>51</v>
      </c>
      <c r="I678" s="8" t="s">
        <v>111</v>
      </c>
      <c r="J678" s="4" t="n">
        <v>285000</v>
      </c>
      <c r="K678" s="4" t="n">
        <v>259000</v>
      </c>
      <c r="L678" s="5" t="n">
        <v>0.09123</v>
      </c>
      <c r="M678" s="4" t="n">
        <v>149</v>
      </c>
      <c r="N678" s="4" t="n">
        <v>22</v>
      </c>
      <c r="O678" s="4" t="n">
        <v>13</v>
      </c>
      <c r="P678" s="4" t="n">
        <v>0</v>
      </c>
      <c r="Q678" s="4" t="n">
        <v>3</v>
      </c>
      <c r="R678" s="4" t="n">
        <f aca="false">M678+N678+O678+P678+Q678</f>
        <v>187</v>
      </c>
      <c r="S678" s="4" t="n">
        <v>23</v>
      </c>
      <c r="T678" s="4" t="n">
        <f aca="false">R678*K678</f>
        <v>48433000</v>
      </c>
      <c r="U678" s="9" t="n">
        <f aca="false">IFERROR(M678/S678,0)</f>
        <v>6.47826086956522</v>
      </c>
      <c r="V678" s="5" t="n">
        <v>0.2697</v>
      </c>
    </row>
    <row r="679" customFormat="false" ht="15" hidden="false" customHeight="false" outlineLevel="0" collapsed="false">
      <c r="A679" s="8" t="s">
        <v>110</v>
      </c>
      <c r="B679" s="8" t="s">
        <v>20</v>
      </c>
      <c r="C679" s="8" t="s">
        <v>1046</v>
      </c>
      <c r="D679" s="8" t="n">
        <v>174528</v>
      </c>
      <c r="E679" s="8" t="s">
        <v>617</v>
      </c>
      <c r="F679" s="8" t="s">
        <v>1044</v>
      </c>
      <c r="G679" s="8" t="s">
        <v>961</v>
      </c>
      <c r="H679" s="8" t="s">
        <v>51</v>
      </c>
      <c r="I679" s="8" t="s">
        <v>111</v>
      </c>
      <c r="J679" s="4" t="n">
        <v>285000</v>
      </c>
      <c r="K679" s="4" t="n">
        <v>259000</v>
      </c>
      <c r="L679" s="5" t="n">
        <v>0.09123</v>
      </c>
      <c r="M679" s="4" t="n">
        <v>142</v>
      </c>
      <c r="N679" s="4" t="n">
        <v>0</v>
      </c>
      <c r="O679" s="4" t="n">
        <v>24</v>
      </c>
      <c r="P679" s="4" t="n">
        <v>0</v>
      </c>
      <c r="Q679" s="4" t="n">
        <v>4</v>
      </c>
      <c r="R679" s="4" t="n">
        <f aca="false">M679+N679+O679+P679+Q679</f>
        <v>170</v>
      </c>
      <c r="S679" s="4" t="n">
        <v>23</v>
      </c>
      <c r="T679" s="4" t="n">
        <f aca="false">R679*K679</f>
        <v>44030000</v>
      </c>
      <c r="U679" s="9" t="n">
        <f aca="false">IFERROR(M679/S679,0)</f>
        <v>6.17391304347826</v>
      </c>
      <c r="V679" s="5" t="n">
        <v>0.2697</v>
      </c>
    </row>
    <row r="680" customFormat="false" ht="15" hidden="false" customHeight="false" outlineLevel="0" collapsed="false">
      <c r="A680" s="8" t="s">
        <v>110</v>
      </c>
      <c r="B680" s="8" t="s">
        <v>20</v>
      </c>
      <c r="C680" s="8" t="s">
        <v>1046</v>
      </c>
      <c r="D680" s="8" t="n">
        <v>102162</v>
      </c>
      <c r="E680" s="8" t="s">
        <v>614</v>
      </c>
      <c r="F680" s="8" t="s">
        <v>1044</v>
      </c>
      <c r="G680" s="8" t="s">
        <v>961</v>
      </c>
      <c r="H680" s="8" t="s">
        <v>51</v>
      </c>
      <c r="I680" s="8" t="s">
        <v>111</v>
      </c>
      <c r="J680" s="4" t="n">
        <v>285000</v>
      </c>
      <c r="K680" s="4" t="n">
        <v>259000</v>
      </c>
      <c r="L680" s="5" t="n">
        <v>0.09123</v>
      </c>
      <c r="M680" s="4" t="n">
        <v>133</v>
      </c>
      <c r="N680" s="4" t="n">
        <v>0</v>
      </c>
      <c r="O680" s="4" t="n">
        <v>0</v>
      </c>
      <c r="P680" s="4" t="n">
        <v>0</v>
      </c>
      <c r="Q680" s="4" t="n">
        <v>10</v>
      </c>
      <c r="R680" s="4" t="n">
        <f aca="false">M680+N680+O680+P680+Q680</f>
        <v>143</v>
      </c>
      <c r="S680" s="4" t="n">
        <v>21</v>
      </c>
      <c r="T680" s="4" t="n">
        <f aca="false">R680*K680</f>
        <v>37037000</v>
      </c>
      <c r="U680" s="9" t="n">
        <f aca="false">IFERROR(M680/S680,0)</f>
        <v>6.33333333333333</v>
      </c>
      <c r="V680" s="5" t="n">
        <v>0.2697</v>
      </c>
    </row>
    <row r="681" customFormat="false" ht="15" hidden="false" customHeight="false" outlineLevel="0" collapsed="false">
      <c r="A681" s="8" t="s">
        <v>110</v>
      </c>
      <c r="B681" s="8" t="s">
        <v>20</v>
      </c>
      <c r="C681" s="8" t="s">
        <v>1046</v>
      </c>
      <c r="D681" s="8" t="n">
        <v>174525</v>
      </c>
      <c r="E681" s="8" t="s">
        <v>615</v>
      </c>
      <c r="F681" s="8" t="s">
        <v>1044</v>
      </c>
      <c r="G681" s="8" t="s">
        <v>961</v>
      </c>
      <c r="H681" s="8" t="s">
        <v>51</v>
      </c>
      <c r="I681" s="8" t="s">
        <v>111</v>
      </c>
      <c r="J681" s="4" t="n">
        <v>285000</v>
      </c>
      <c r="K681" s="4" t="n">
        <v>259000</v>
      </c>
      <c r="L681" s="5" t="n">
        <v>0.09123</v>
      </c>
      <c r="M681" s="4" t="n">
        <v>137</v>
      </c>
      <c r="N681" s="4" t="n">
        <v>0</v>
      </c>
      <c r="O681" s="4" t="n">
        <v>0</v>
      </c>
      <c r="P681" s="4" t="n">
        <v>0</v>
      </c>
      <c r="Q681" s="4" t="n">
        <v>4</v>
      </c>
      <c r="R681" s="4" t="n">
        <f aca="false">M681+N681+O681+P681+Q681</f>
        <v>141</v>
      </c>
      <c r="S681" s="4" t="n">
        <v>23</v>
      </c>
      <c r="T681" s="4" t="n">
        <f aca="false">R681*K681</f>
        <v>36519000</v>
      </c>
      <c r="U681" s="9" t="n">
        <f aca="false">IFERROR(M681/S681,0)</f>
        <v>5.95652173913044</v>
      </c>
      <c r="V681" s="5" t="n">
        <v>0.2697</v>
      </c>
    </row>
    <row r="682" customFormat="false" ht="15" hidden="false" customHeight="false" outlineLevel="0" collapsed="false">
      <c r="A682" s="8" t="s">
        <v>187</v>
      </c>
      <c r="B682" s="8" t="s">
        <v>28</v>
      </c>
      <c r="C682" s="8" t="s">
        <v>1398</v>
      </c>
      <c r="D682" s="8" t="n">
        <v>121539</v>
      </c>
      <c r="E682" s="8" t="s">
        <v>379</v>
      </c>
      <c r="F682" s="8" t="s">
        <v>1044</v>
      </c>
      <c r="G682" s="8" t="s">
        <v>961</v>
      </c>
      <c r="H682" s="8" t="s">
        <v>62</v>
      </c>
      <c r="I682" s="8" t="s">
        <v>188</v>
      </c>
      <c r="J682" s="4" t="n">
        <v>79000</v>
      </c>
      <c r="K682" s="4" t="n">
        <v>59000</v>
      </c>
      <c r="L682" s="5" t="n">
        <v>0.25</v>
      </c>
      <c r="M682" s="4" t="n">
        <v>613</v>
      </c>
      <c r="N682" s="4" t="n">
        <v>138</v>
      </c>
      <c r="O682" s="4" t="n">
        <v>123</v>
      </c>
      <c r="P682" s="4" t="n">
        <v>0</v>
      </c>
      <c r="Q682" s="4" t="n">
        <v>14</v>
      </c>
      <c r="R682" s="4" t="n">
        <f aca="false">M682+N682+O682+P682+Q682</f>
        <v>888</v>
      </c>
      <c r="S682" s="4" t="n">
        <v>22</v>
      </c>
      <c r="T682" s="4" t="n">
        <f aca="false">R682*K682</f>
        <v>52392000</v>
      </c>
      <c r="U682" s="9" t="n">
        <f aca="false">IFERROR(M682/S682,0)</f>
        <v>27.8636363636364</v>
      </c>
      <c r="V682" s="5"/>
    </row>
    <row r="683" customFormat="false" ht="15" hidden="false" customHeight="false" outlineLevel="0" collapsed="false">
      <c r="A683" s="8" t="s">
        <v>187</v>
      </c>
      <c r="B683" s="8" t="s">
        <v>28</v>
      </c>
      <c r="C683" s="8" t="s">
        <v>1398</v>
      </c>
      <c r="D683" s="8" t="n">
        <v>121540</v>
      </c>
      <c r="E683" s="8" t="s">
        <v>740</v>
      </c>
      <c r="F683" s="8" t="s">
        <v>1044</v>
      </c>
      <c r="G683" s="8" t="s">
        <v>961</v>
      </c>
      <c r="H683" s="8" t="s">
        <v>62</v>
      </c>
      <c r="I683" s="8" t="s">
        <v>188</v>
      </c>
      <c r="J683" s="4" t="n">
        <v>79000</v>
      </c>
      <c r="K683" s="4" t="n">
        <v>59000</v>
      </c>
      <c r="L683" s="5" t="n">
        <v>0.25</v>
      </c>
      <c r="M683" s="4" t="n">
        <v>79</v>
      </c>
      <c r="N683" s="4" t="n">
        <v>0</v>
      </c>
      <c r="O683" s="4" t="n">
        <v>5</v>
      </c>
      <c r="P683" s="4" t="n">
        <v>0</v>
      </c>
      <c r="Q683" s="4" t="n">
        <v>0</v>
      </c>
      <c r="R683" s="4" t="n">
        <f aca="false">M683+N683+O683+P683+Q683</f>
        <v>84</v>
      </c>
      <c r="S683" s="4" t="n">
        <v>12</v>
      </c>
      <c r="T683" s="4" t="n">
        <f aca="false">R683*K683</f>
        <v>4956000</v>
      </c>
      <c r="U683" s="9" t="n">
        <f aca="false">IFERROR(M683/S683,0)</f>
        <v>6.58333333333333</v>
      </c>
      <c r="V683" s="5"/>
    </row>
    <row r="684" customFormat="false" ht="15" hidden="false" customHeight="false" outlineLevel="0" collapsed="false">
      <c r="A684" s="8" t="s">
        <v>177</v>
      </c>
      <c r="B684" s="8" t="s">
        <v>20</v>
      </c>
      <c r="C684" s="8" t="s">
        <v>1052</v>
      </c>
      <c r="D684" s="8" t="n">
        <v>101828</v>
      </c>
      <c r="E684" s="8" t="s">
        <v>464</v>
      </c>
      <c r="F684" s="8" t="s">
        <v>1044</v>
      </c>
      <c r="G684" s="8" t="s">
        <v>961</v>
      </c>
      <c r="H684" s="8" t="s">
        <v>55</v>
      </c>
      <c r="I684" s="8" t="s">
        <v>178</v>
      </c>
      <c r="J684" s="4" t="n">
        <v>139000</v>
      </c>
      <c r="K684" s="4" t="n">
        <v>84000</v>
      </c>
      <c r="L684" s="5" t="n">
        <v>0.39301</v>
      </c>
      <c r="M684" s="4" t="n">
        <v>256</v>
      </c>
      <c r="N684" s="4" t="n">
        <v>3</v>
      </c>
      <c r="O684" s="4" t="n">
        <v>81</v>
      </c>
      <c r="P684" s="4" t="n">
        <v>0</v>
      </c>
      <c r="Q684" s="4" t="n">
        <v>50</v>
      </c>
      <c r="R684" s="4" t="n">
        <f aca="false">M684+N684+O684+P684+Q684</f>
        <v>390</v>
      </c>
      <c r="S684" s="4" t="n">
        <v>23</v>
      </c>
      <c r="T684" s="4" t="n">
        <f aca="false">R684*K684</f>
        <v>32760000</v>
      </c>
      <c r="U684" s="9" t="n">
        <f aca="false">IFERROR(M684/S684,0)</f>
        <v>11.1304347826087</v>
      </c>
      <c r="V684" s="5"/>
    </row>
    <row r="685" customFormat="false" ht="15" hidden="false" customHeight="false" outlineLevel="0" collapsed="false">
      <c r="A685" s="8" t="s">
        <v>177</v>
      </c>
      <c r="B685" s="8" t="s">
        <v>20</v>
      </c>
      <c r="C685" s="8" t="s">
        <v>1052</v>
      </c>
      <c r="D685" s="8" t="n">
        <v>101762</v>
      </c>
      <c r="E685" s="8" t="s">
        <v>618</v>
      </c>
      <c r="F685" s="8" t="s">
        <v>1044</v>
      </c>
      <c r="G685" s="8" t="s">
        <v>961</v>
      </c>
      <c r="H685" s="8" t="s">
        <v>55</v>
      </c>
      <c r="I685" s="8" t="s">
        <v>178</v>
      </c>
      <c r="J685" s="4" t="n">
        <v>139000</v>
      </c>
      <c r="K685" s="4" t="n">
        <v>84000</v>
      </c>
      <c r="L685" s="5" t="n">
        <v>0.39301</v>
      </c>
      <c r="M685" s="4" t="n">
        <v>274</v>
      </c>
      <c r="N685" s="4" t="n">
        <v>3</v>
      </c>
      <c r="O685" s="4" t="n">
        <v>66</v>
      </c>
      <c r="P685" s="4" t="n">
        <v>0</v>
      </c>
      <c r="Q685" s="4" t="n">
        <v>7</v>
      </c>
      <c r="R685" s="4" t="n">
        <f aca="false">M685+N685+O685+P685+Q685</f>
        <v>350</v>
      </c>
      <c r="S685" s="4" t="n">
        <v>24</v>
      </c>
      <c r="T685" s="4" t="n">
        <f aca="false">R685*K685</f>
        <v>29400000</v>
      </c>
      <c r="U685" s="9" t="n">
        <f aca="false">IFERROR(M685/S685,0)</f>
        <v>11.4166666666667</v>
      </c>
      <c r="V685" s="5"/>
    </row>
    <row r="686" customFormat="false" ht="15" hidden="false" customHeight="false" outlineLevel="0" collapsed="false">
      <c r="A686" s="8" t="s">
        <v>177</v>
      </c>
      <c r="B686" s="8" t="s">
        <v>20</v>
      </c>
      <c r="C686" s="8" t="s">
        <v>1052</v>
      </c>
      <c r="D686" s="8" t="n">
        <v>230792</v>
      </c>
      <c r="E686" s="8" t="s">
        <v>353</v>
      </c>
      <c r="F686" s="8" t="s">
        <v>809</v>
      </c>
      <c r="G686" s="8" t="s">
        <v>961</v>
      </c>
      <c r="H686" s="8" t="s">
        <v>55</v>
      </c>
      <c r="I686" s="8" t="s">
        <v>178</v>
      </c>
      <c r="J686" s="4" t="n">
        <v>90000</v>
      </c>
      <c r="K686" s="4" t="n">
        <v>55000</v>
      </c>
      <c r="L686" s="5" t="n">
        <v>0.39301</v>
      </c>
      <c r="M686" s="4" t="n">
        <v>146</v>
      </c>
      <c r="N686" s="4" t="n">
        <v>21</v>
      </c>
      <c r="O686" s="4" t="n">
        <v>60</v>
      </c>
      <c r="P686" s="4" t="n">
        <v>0</v>
      </c>
      <c r="Q686" s="4" t="n">
        <v>0</v>
      </c>
      <c r="R686" s="4" t="n">
        <f aca="false">M686+N686+O686+P686+Q686</f>
        <v>227</v>
      </c>
      <c r="S686" s="4" t="n">
        <v>21</v>
      </c>
      <c r="T686" s="4" t="n">
        <f aca="false">R686*K686</f>
        <v>12485000</v>
      </c>
      <c r="U686" s="9" t="n">
        <f aca="false">IFERROR(M686/S686,0)</f>
        <v>6.95238095238095</v>
      </c>
      <c r="V686" s="5"/>
    </row>
    <row r="687" customFormat="false" ht="15" hidden="false" customHeight="false" outlineLevel="0" collapsed="false">
      <c r="A687" s="8" t="s">
        <v>145</v>
      </c>
      <c r="B687" s="8" t="s">
        <v>20</v>
      </c>
      <c r="C687" s="8" t="s">
        <v>1045</v>
      </c>
      <c r="D687" s="8" t="n">
        <v>101968</v>
      </c>
      <c r="E687" s="8" t="s">
        <v>371</v>
      </c>
      <c r="F687" s="8" t="s">
        <v>1044</v>
      </c>
      <c r="G687" s="8" t="s">
        <v>961</v>
      </c>
      <c r="H687" s="8" t="s">
        <v>51</v>
      </c>
      <c r="I687" s="8" t="s">
        <v>146</v>
      </c>
      <c r="J687" s="4" t="n">
        <v>175000</v>
      </c>
      <c r="K687" s="4" t="n">
        <v>150000</v>
      </c>
      <c r="L687" s="5" t="n">
        <v>0.14857</v>
      </c>
      <c r="M687" s="4" t="n">
        <v>148</v>
      </c>
      <c r="N687" s="4" t="n">
        <v>345</v>
      </c>
      <c r="O687" s="4" t="n">
        <v>24</v>
      </c>
      <c r="P687" s="4" t="n">
        <v>1</v>
      </c>
      <c r="Q687" s="4" t="n">
        <v>372</v>
      </c>
      <c r="R687" s="4" t="n">
        <f aca="false">M687+N687+O687+P687+Q687</f>
        <v>890</v>
      </c>
      <c r="S687" s="4" t="n">
        <v>22</v>
      </c>
      <c r="T687" s="4" t="n">
        <f aca="false">R687*K687</f>
        <v>133500000</v>
      </c>
      <c r="U687" s="9" t="n">
        <f aca="false">IFERROR(M687/S687,0)</f>
        <v>6.72727272727273</v>
      </c>
      <c r="V687" s="5" t="n">
        <v>0.1667</v>
      </c>
    </row>
    <row r="688" customFormat="false" ht="15" hidden="false" customHeight="false" outlineLevel="0" collapsed="false">
      <c r="A688" s="8" t="s">
        <v>189</v>
      </c>
      <c r="B688" s="8" t="s">
        <v>22</v>
      </c>
      <c r="C688" s="8" t="s">
        <v>1399</v>
      </c>
      <c r="D688" s="8" t="n">
        <v>135149</v>
      </c>
      <c r="E688" s="8" t="s">
        <v>299</v>
      </c>
      <c r="F688" s="8" t="s">
        <v>1044</v>
      </c>
      <c r="G688" s="8" t="s">
        <v>961</v>
      </c>
      <c r="H688" s="8" t="s">
        <v>62</v>
      </c>
      <c r="I688" s="8" t="s">
        <v>190</v>
      </c>
      <c r="J688" s="4" t="n">
        <v>98000</v>
      </c>
      <c r="K688" s="4" t="n">
        <v>65000</v>
      </c>
      <c r="L688" s="5" t="n">
        <v>0.33333</v>
      </c>
      <c r="M688" s="4" t="n">
        <v>305</v>
      </c>
      <c r="N688" s="4" t="n">
        <v>3</v>
      </c>
      <c r="O688" s="4" t="n">
        <v>44</v>
      </c>
      <c r="P688" s="4" t="n">
        <v>0</v>
      </c>
      <c r="Q688" s="4" t="n">
        <v>0</v>
      </c>
      <c r="R688" s="4" t="n">
        <f aca="false">M688+N688+O688+P688+Q688</f>
        <v>352</v>
      </c>
      <c r="S688" s="4" t="n">
        <v>17</v>
      </c>
      <c r="T688" s="4" t="n">
        <f aca="false">R688*K688</f>
        <v>22880000</v>
      </c>
      <c r="U688" s="9" t="n">
        <f aca="false">IFERROR(M688/S688,0)</f>
        <v>17.9411764705882</v>
      </c>
      <c r="V688" s="5"/>
    </row>
    <row r="689" customFormat="false" ht="15" hidden="false" customHeight="false" outlineLevel="0" collapsed="false">
      <c r="A689" s="8" t="s">
        <v>189</v>
      </c>
      <c r="B689" s="8" t="s">
        <v>22</v>
      </c>
      <c r="C689" s="8" t="s">
        <v>1399</v>
      </c>
      <c r="D689" s="8" t="n">
        <v>135148</v>
      </c>
      <c r="E689" s="8" t="s">
        <v>297</v>
      </c>
      <c r="F689" s="8" t="s">
        <v>1044</v>
      </c>
      <c r="G689" s="8" t="s">
        <v>961</v>
      </c>
      <c r="H689" s="8" t="s">
        <v>62</v>
      </c>
      <c r="I689" s="8" t="s">
        <v>190</v>
      </c>
      <c r="J689" s="4" t="n">
        <v>98000</v>
      </c>
      <c r="K689" s="4" t="n">
        <v>65000</v>
      </c>
      <c r="L689" s="5" t="n">
        <v>0.33333</v>
      </c>
      <c r="M689" s="4" t="n">
        <v>265</v>
      </c>
      <c r="N689" s="4" t="n">
        <v>3</v>
      </c>
      <c r="O689" s="4" t="n">
        <v>36</v>
      </c>
      <c r="P689" s="4" t="n">
        <v>0</v>
      </c>
      <c r="Q689" s="4" t="n">
        <v>0</v>
      </c>
      <c r="R689" s="4" t="n">
        <f aca="false">M689+N689+O689+P689+Q689</f>
        <v>304</v>
      </c>
      <c r="S689" s="4" t="n">
        <v>17</v>
      </c>
      <c r="T689" s="4" t="n">
        <f aca="false">R689*K689</f>
        <v>19760000</v>
      </c>
      <c r="U689" s="9" t="n">
        <f aca="false">IFERROR(M689/S689,0)</f>
        <v>15.5882352941176</v>
      </c>
      <c r="V689" s="5"/>
    </row>
    <row r="690" customFormat="false" ht="15" hidden="false" customHeight="false" outlineLevel="0" collapsed="false">
      <c r="A690" s="8" t="s">
        <v>189</v>
      </c>
      <c r="B690" s="8" t="s">
        <v>22</v>
      </c>
      <c r="C690" s="8" t="s">
        <v>1399</v>
      </c>
      <c r="D690" s="8" t="n">
        <v>135150</v>
      </c>
      <c r="E690" s="8" t="s">
        <v>671</v>
      </c>
      <c r="F690" s="8" t="s">
        <v>1044</v>
      </c>
      <c r="G690" s="8" t="s">
        <v>961</v>
      </c>
      <c r="H690" s="8" t="s">
        <v>62</v>
      </c>
      <c r="I690" s="8" t="s">
        <v>190</v>
      </c>
      <c r="J690" s="4" t="n">
        <v>98000</v>
      </c>
      <c r="K690" s="4" t="n">
        <v>65000</v>
      </c>
      <c r="L690" s="5" t="n">
        <v>0.33333</v>
      </c>
      <c r="M690" s="4" t="n">
        <v>100</v>
      </c>
      <c r="N690" s="4" t="n">
        <v>0</v>
      </c>
      <c r="O690" s="4" t="n">
        <v>47</v>
      </c>
      <c r="P690" s="4" t="n">
        <v>0</v>
      </c>
      <c r="Q690" s="4" t="n">
        <v>0</v>
      </c>
      <c r="R690" s="4" t="n">
        <f aca="false">M690+N690+O690+P690+Q690</f>
        <v>147</v>
      </c>
      <c r="S690" s="4" t="n">
        <v>16</v>
      </c>
      <c r="T690" s="4" t="n">
        <f aca="false">R690*K690</f>
        <v>9555000</v>
      </c>
      <c r="U690" s="9" t="n">
        <f aca="false">IFERROR(M690/S690,0)</f>
        <v>6.25</v>
      </c>
      <c r="V690" s="5"/>
    </row>
    <row r="691" customFormat="false" ht="15" hidden="false" customHeight="false" outlineLevel="0" collapsed="false">
      <c r="A691" s="8" t="s">
        <v>189</v>
      </c>
      <c r="B691" s="8" t="s">
        <v>22</v>
      </c>
      <c r="C691" s="8" t="s">
        <v>1399</v>
      </c>
      <c r="D691" s="8" t="n">
        <v>135151</v>
      </c>
      <c r="E691" s="8" t="s">
        <v>672</v>
      </c>
      <c r="F691" s="8" t="s">
        <v>1044</v>
      </c>
      <c r="G691" s="8" t="s">
        <v>961</v>
      </c>
      <c r="H691" s="8" t="s">
        <v>62</v>
      </c>
      <c r="I691" s="8" t="s">
        <v>190</v>
      </c>
      <c r="J691" s="4" t="n">
        <v>98000</v>
      </c>
      <c r="K691" s="4" t="n">
        <v>65000</v>
      </c>
      <c r="L691" s="5" t="n">
        <v>0.33333</v>
      </c>
      <c r="M691" s="4" t="n">
        <v>34</v>
      </c>
      <c r="N691" s="4" t="n">
        <v>0</v>
      </c>
      <c r="O691" s="4" t="n">
        <v>28</v>
      </c>
      <c r="P691" s="4" t="n">
        <v>0</v>
      </c>
      <c r="Q691" s="4" t="n">
        <v>0</v>
      </c>
      <c r="R691" s="4" t="n">
        <f aca="false">M691+N691+O691+P691+Q691</f>
        <v>62</v>
      </c>
      <c r="S691" s="4" t="n">
        <v>10</v>
      </c>
      <c r="T691" s="4" t="n">
        <f aca="false">R691*K691</f>
        <v>4030000</v>
      </c>
      <c r="U691" s="9" t="n">
        <f aca="false">IFERROR(M691/S691,0)</f>
        <v>3.4</v>
      </c>
      <c r="V691" s="5"/>
    </row>
    <row r="692" customFormat="false" ht="15" hidden="false" customHeight="false" outlineLevel="0" collapsed="false">
      <c r="A692" s="8" t="s">
        <v>231</v>
      </c>
      <c r="B692" s="8" t="s">
        <v>31</v>
      </c>
      <c r="C692" s="8" t="s">
        <v>1397</v>
      </c>
      <c r="D692" s="8" t="n">
        <v>152192</v>
      </c>
      <c r="E692" s="8" t="s">
        <v>756</v>
      </c>
      <c r="F692" s="8" t="s">
        <v>809</v>
      </c>
      <c r="G692" s="8" t="s">
        <v>961</v>
      </c>
      <c r="H692" s="8" t="s">
        <v>62</v>
      </c>
      <c r="I692" s="8" t="s">
        <v>232</v>
      </c>
      <c r="J692" s="4" t="n">
        <v>29000</v>
      </c>
      <c r="K692" s="4" t="n">
        <v>19000</v>
      </c>
      <c r="L692" s="5" t="n">
        <v>0.33333</v>
      </c>
      <c r="M692" s="4" t="n">
        <v>664</v>
      </c>
      <c r="N692" s="4" t="n">
        <v>0</v>
      </c>
      <c r="O692" s="4" t="n">
        <v>190</v>
      </c>
      <c r="P692" s="4" t="n">
        <v>0</v>
      </c>
      <c r="Q692" s="4" t="n">
        <v>0</v>
      </c>
      <c r="R692" s="4" t="n">
        <f aca="false">M692+N692+O692+P692+Q692</f>
        <v>854</v>
      </c>
      <c r="S692" s="4" t="n">
        <v>23</v>
      </c>
      <c r="T692" s="4" t="n">
        <f aca="false">R692*K692</f>
        <v>16226000</v>
      </c>
      <c r="U692" s="9" t="n">
        <f aca="false">IFERROR(M692/S692,0)</f>
        <v>28.8695652173913</v>
      </c>
      <c r="V692" s="5"/>
    </row>
    <row r="693" customFormat="false" ht="15" hidden="false" customHeight="false" outlineLevel="0" collapsed="false">
      <c r="A693" s="8" t="s">
        <v>195</v>
      </c>
      <c r="B693" s="8" t="s">
        <v>28</v>
      </c>
      <c r="C693" s="8" t="s">
        <v>1398</v>
      </c>
      <c r="D693" s="8" t="n">
        <v>120652</v>
      </c>
      <c r="E693" s="8" t="s">
        <v>743</v>
      </c>
      <c r="F693" s="8" t="s">
        <v>809</v>
      </c>
      <c r="G693" s="8" t="s">
        <v>961</v>
      </c>
      <c r="H693" s="8" t="s">
        <v>51</v>
      </c>
      <c r="I693" s="8" t="s">
        <v>196</v>
      </c>
      <c r="J693" s="4" t="n">
        <v>69000</v>
      </c>
      <c r="K693" s="4" t="n">
        <v>59000</v>
      </c>
      <c r="L693" s="5" t="n">
        <v>0.14493</v>
      </c>
      <c r="M693" s="4" t="n">
        <v>210</v>
      </c>
      <c r="N693" s="4" t="n">
        <v>0</v>
      </c>
      <c r="O693" s="4" t="n">
        <v>24</v>
      </c>
      <c r="P693" s="4" t="n">
        <v>0</v>
      </c>
      <c r="Q693" s="4" t="n">
        <v>0</v>
      </c>
      <c r="R693" s="4" t="n">
        <f aca="false">M693+N693+O693+P693+Q693</f>
        <v>234</v>
      </c>
      <c r="S693" s="4" t="n">
        <v>22</v>
      </c>
      <c r="T693" s="4" t="n">
        <f aca="false">R693*K693</f>
        <v>13806000</v>
      </c>
      <c r="U693" s="9" t="n">
        <f aca="false">IFERROR(M693/S693,0)</f>
        <v>9.54545454545455</v>
      </c>
      <c r="V693" s="5" t="n">
        <v>0.1525</v>
      </c>
    </row>
    <row r="694" customFormat="false" ht="15" hidden="false" customHeight="false" outlineLevel="0" collapsed="false">
      <c r="A694" s="8" t="s">
        <v>195</v>
      </c>
      <c r="B694" s="8" t="s">
        <v>28</v>
      </c>
      <c r="C694" s="8" t="s">
        <v>1398</v>
      </c>
      <c r="D694" s="8" t="n">
        <v>120651</v>
      </c>
      <c r="E694" s="8" t="s">
        <v>742</v>
      </c>
      <c r="F694" s="8" t="s">
        <v>809</v>
      </c>
      <c r="G694" s="8" t="s">
        <v>961</v>
      </c>
      <c r="H694" s="8" t="s">
        <v>51</v>
      </c>
      <c r="I694" s="8" t="s">
        <v>196</v>
      </c>
      <c r="J694" s="4" t="n">
        <v>69000</v>
      </c>
      <c r="K694" s="4" t="n">
        <v>59000</v>
      </c>
      <c r="L694" s="5" t="n">
        <v>0.14493</v>
      </c>
      <c r="M694" s="4" t="n">
        <v>199</v>
      </c>
      <c r="N694" s="4" t="n">
        <v>0</v>
      </c>
      <c r="O694" s="4" t="n">
        <v>24</v>
      </c>
      <c r="P694" s="4" t="n">
        <v>0</v>
      </c>
      <c r="Q694" s="4" t="n">
        <v>0</v>
      </c>
      <c r="R694" s="4" t="n">
        <f aca="false">M694+N694+O694+P694+Q694</f>
        <v>223</v>
      </c>
      <c r="S694" s="4" t="n">
        <v>22</v>
      </c>
      <c r="T694" s="4" t="n">
        <f aca="false">R694*K694</f>
        <v>13157000</v>
      </c>
      <c r="U694" s="9" t="n">
        <f aca="false">IFERROR(M694/S694,0)</f>
        <v>9.04545454545455</v>
      </c>
      <c r="V694" s="5" t="n">
        <v>0.1525</v>
      </c>
    </row>
    <row r="695" customFormat="false" ht="15" hidden="false" customHeight="false" outlineLevel="0" collapsed="false">
      <c r="A695" s="8" t="s">
        <v>195</v>
      </c>
      <c r="B695" s="8" t="s">
        <v>28</v>
      </c>
      <c r="C695" s="8" t="s">
        <v>1398</v>
      </c>
      <c r="D695" s="8" t="n">
        <v>121223</v>
      </c>
      <c r="E695" s="8" t="s">
        <v>744</v>
      </c>
      <c r="F695" s="8" t="s">
        <v>809</v>
      </c>
      <c r="G695" s="8" t="s">
        <v>961</v>
      </c>
      <c r="H695" s="8" t="s">
        <v>51</v>
      </c>
      <c r="I695" s="8" t="s">
        <v>196</v>
      </c>
      <c r="J695" s="4" t="n">
        <v>69000</v>
      </c>
      <c r="K695" s="4" t="n">
        <v>59000</v>
      </c>
      <c r="L695" s="5" t="n">
        <v>0.14493</v>
      </c>
      <c r="M695" s="4" t="n">
        <v>198</v>
      </c>
      <c r="N695" s="4" t="n">
        <v>0</v>
      </c>
      <c r="O695" s="4" t="n">
        <v>22</v>
      </c>
      <c r="P695" s="4" t="n">
        <v>0</v>
      </c>
      <c r="Q695" s="4" t="n">
        <v>0</v>
      </c>
      <c r="R695" s="4" t="n">
        <f aca="false">M695+N695+O695+P695+Q695</f>
        <v>220</v>
      </c>
      <c r="S695" s="4" t="n">
        <v>22</v>
      </c>
      <c r="T695" s="4" t="n">
        <f aca="false">R695*K695</f>
        <v>12980000</v>
      </c>
      <c r="U695" s="9" t="n">
        <f aca="false">IFERROR(M695/S695,0)</f>
        <v>9</v>
      </c>
      <c r="V695" s="5" t="n">
        <v>0.1525</v>
      </c>
    </row>
    <row r="696" customFormat="false" ht="15" hidden="false" customHeight="false" outlineLevel="0" collapsed="false">
      <c r="A696" s="8" t="s">
        <v>195</v>
      </c>
      <c r="B696" s="8" t="s">
        <v>28</v>
      </c>
      <c r="C696" s="8" t="s">
        <v>1398</v>
      </c>
      <c r="D696" s="8" t="n">
        <v>121601</v>
      </c>
      <c r="E696" s="8" t="s">
        <v>741</v>
      </c>
      <c r="F696" s="8" t="s">
        <v>809</v>
      </c>
      <c r="G696" s="8" t="s">
        <v>961</v>
      </c>
      <c r="H696" s="8" t="s">
        <v>51</v>
      </c>
      <c r="I696" s="8" t="s">
        <v>196</v>
      </c>
      <c r="J696" s="4" t="n">
        <v>69000</v>
      </c>
      <c r="K696" s="4" t="n">
        <v>59000</v>
      </c>
      <c r="L696" s="5" t="n">
        <v>0.14493</v>
      </c>
      <c r="M696" s="4" t="n">
        <v>103</v>
      </c>
      <c r="N696" s="4" t="n">
        <v>0</v>
      </c>
      <c r="O696" s="4" t="n">
        <v>0</v>
      </c>
      <c r="P696" s="4" t="n">
        <v>0</v>
      </c>
      <c r="Q696" s="4" t="n">
        <v>0</v>
      </c>
      <c r="R696" s="4" t="n">
        <f aca="false">M696+N696+O696+P696+Q696</f>
        <v>103</v>
      </c>
      <c r="S696" s="4" t="n">
        <v>22</v>
      </c>
      <c r="T696" s="4" t="n">
        <f aca="false">R696*K696</f>
        <v>6077000</v>
      </c>
      <c r="U696" s="9" t="n">
        <f aca="false">IFERROR(M696/S696,0)</f>
        <v>4.68181818181818</v>
      </c>
      <c r="V696" s="5" t="n">
        <v>0.1525</v>
      </c>
    </row>
    <row r="697" customFormat="false" ht="15" hidden="false" customHeight="false" outlineLevel="0" collapsed="false">
      <c r="A697" s="8" t="s">
        <v>195</v>
      </c>
      <c r="B697" s="8" t="s">
        <v>28</v>
      </c>
      <c r="C697" s="8" t="s">
        <v>1398</v>
      </c>
      <c r="D697" s="8" t="n">
        <v>121226</v>
      </c>
      <c r="E697" s="8" t="s">
        <v>745</v>
      </c>
      <c r="F697" s="8" t="s">
        <v>809</v>
      </c>
      <c r="G697" s="8" t="s">
        <v>961</v>
      </c>
      <c r="H697" s="8" t="s">
        <v>51</v>
      </c>
      <c r="I697" s="8" t="s">
        <v>196</v>
      </c>
      <c r="J697" s="4" t="n">
        <v>69000</v>
      </c>
      <c r="K697" s="4" t="n">
        <v>59000</v>
      </c>
      <c r="L697" s="5" t="n">
        <v>0.14493</v>
      </c>
      <c r="M697" s="4" t="n">
        <v>61</v>
      </c>
      <c r="N697" s="4" t="n">
        <v>0</v>
      </c>
      <c r="O697" s="4" t="n">
        <v>0</v>
      </c>
      <c r="P697" s="4" t="n">
        <v>0</v>
      </c>
      <c r="Q697" s="4" t="n">
        <v>0</v>
      </c>
      <c r="R697" s="4" t="n">
        <f aca="false">M697+N697+O697+P697+Q697</f>
        <v>61</v>
      </c>
      <c r="S697" s="4" t="n">
        <v>22</v>
      </c>
      <c r="T697" s="4" t="n">
        <f aca="false">R697*K697</f>
        <v>3599000</v>
      </c>
      <c r="U697" s="9" t="n">
        <f aca="false">IFERROR(M697/S697,0)</f>
        <v>2.77272727272727</v>
      </c>
      <c r="V697" s="5" t="n">
        <v>0.1525</v>
      </c>
    </row>
    <row r="698" customFormat="false" ht="15" hidden="false" customHeight="false" outlineLevel="0" collapsed="false">
      <c r="A698" s="8" t="s">
        <v>195</v>
      </c>
      <c r="B698" s="8" t="s">
        <v>28</v>
      </c>
      <c r="C698" s="8" t="s">
        <v>1398</v>
      </c>
      <c r="D698" s="8" t="n">
        <v>120655</v>
      </c>
      <c r="E698" s="8" t="s">
        <v>1400</v>
      </c>
      <c r="F698" s="8" t="s">
        <v>809</v>
      </c>
      <c r="G698" s="8" t="s">
        <v>961</v>
      </c>
      <c r="H698" s="8" t="s">
        <v>51</v>
      </c>
      <c r="I698" s="8" t="s">
        <v>196</v>
      </c>
      <c r="J698" s="4" t="n">
        <v>69000</v>
      </c>
      <c r="K698" s="4" t="n">
        <v>59000</v>
      </c>
      <c r="L698" s="5" t="n">
        <v>0.14493</v>
      </c>
      <c r="M698" s="4" t="n">
        <v>4</v>
      </c>
      <c r="N698" s="4" t="n">
        <v>0</v>
      </c>
      <c r="O698" s="4" t="n">
        <v>0</v>
      </c>
      <c r="P698" s="4" t="n">
        <v>0</v>
      </c>
      <c r="Q698" s="4" t="n">
        <v>0</v>
      </c>
      <c r="R698" s="4" t="n">
        <f aca="false">M698+N698+O698+P698+Q698</f>
        <v>4</v>
      </c>
      <c r="S698" s="4" t="n">
        <v>1</v>
      </c>
      <c r="T698" s="4" t="n">
        <f aca="false">R698*K698</f>
        <v>236000</v>
      </c>
      <c r="U698" s="9" t="n">
        <f aca="false">IFERROR(M698/S698,0)</f>
        <v>4</v>
      </c>
      <c r="V698" s="5" t="n">
        <v>0.0678</v>
      </c>
    </row>
    <row r="699" customFormat="false" ht="15" hidden="false" customHeight="false" outlineLevel="0" collapsed="false">
      <c r="A699" s="8" t="s">
        <v>60</v>
      </c>
      <c r="B699" s="8" t="s">
        <v>21</v>
      </c>
      <c r="C699" s="8" t="s">
        <v>1401</v>
      </c>
      <c r="D699" s="8" t="n">
        <v>110743</v>
      </c>
      <c r="E699" s="8" t="s">
        <v>643</v>
      </c>
      <c r="F699" s="8" t="s">
        <v>809</v>
      </c>
      <c r="G699" s="8" t="s">
        <v>961</v>
      </c>
      <c r="H699" s="8" t="s">
        <v>62</v>
      </c>
      <c r="I699" s="8" t="s">
        <v>61</v>
      </c>
      <c r="J699" s="4" t="n">
        <v>4500000</v>
      </c>
      <c r="K699" s="4" t="n">
        <v>1999000</v>
      </c>
      <c r="L699" s="5" t="n">
        <v>0.5557</v>
      </c>
      <c r="M699" s="4" t="n">
        <v>242</v>
      </c>
      <c r="N699" s="4" t="n">
        <v>560</v>
      </c>
      <c r="O699" s="4" t="n">
        <v>24</v>
      </c>
      <c r="P699" s="4" t="n">
        <v>0</v>
      </c>
      <c r="Q699" s="4" t="n">
        <v>16</v>
      </c>
      <c r="R699" s="4" t="n">
        <f aca="false">M699+N699+O699+P699+Q699</f>
        <v>842</v>
      </c>
      <c r="S699" s="4" t="n">
        <v>24</v>
      </c>
      <c r="T699" s="4" t="n">
        <f aca="false">R699*K699</f>
        <v>1683158000</v>
      </c>
      <c r="U699" s="9" t="n">
        <f aca="false">IFERROR(M699/S699,0)</f>
        <v>10.0833333333333</v>
      </c>
      <c r="V699" s="5"/>
    </row>
    <row r="700" customFormat="false" ht="15" hidden="false" customHeight="false" outlineLevel="0" collapsed="false">
      <c r="A700" s="8" t="s">
        <v>165</v>
      </c>
      <c r="B700" s="8" t="s">
        <v>28</v>
      </c>
      <c r="C700" s="8" t="s">
        <v>1395</v>
      </c>
      <c r="D700" s="8" t="n">
        <v>121618</v>
      </c>
      <c r="E700" s="8" t="s">
        <v>746</v>
      </c>
      <c r="F700" s="8" t="s">
        <v>809</v>
      </c>
      <c r="G700" s="8" t="s">
        <v>961</v>
      </c>
      <c r="H700" s="8" t="s">
        <v>55</v>
      </c>
      <c r="I700" s="8" t="s">
        <v>166</v>
      </c>
      <c r="J700" s="4" t="n">
        <v>29000</v>
      </c>
      <c r="K700" s="4" t="n">
        <v>14000</v>
      </c>
      <c r="L700" s="5" t="n">
        <v>0.5</v>
      </c>
      <c r="M700" s="4" t="n">
        <v>245</v>
      </c>
      <c r="N700" s="4" t="n">
        <v>0</v>
      </c>
      <c r="O700" s="4" t="n">
        <v>0</v>
      </c>
      <c r="P700" s="4" t="n">
        <v>0</v>
      </c>
      <c r="Q700" s="4" t="n">
        <v>1</v>
      </c>
      <c r="R700" s="4" t="n">
        <f aca="false">M700+N700+O700+P700+Q700</f>
        <v>246</v>
      </c>
      <c r="S700" s="4" t="n">
        <v>22</v>
      </c>
      <c r="T700" s="4" t="n">
        <f aca="false">R700*K700</f>
        <v>3444000</v>
      </c>
      <c r="U700" s="9" t="n">
        <f aca="false">IFERROR(M700/S700,0)</f>
        <v>11.1363636363636</v>
      </c>
      <c r="V700" s="5"/>
    </row>
    <row r="701" customFormat="false" ht="15" hidden="false" customHeight="false" outlineLevel="0" collapsed="false">
      <c r="A701" s="8" t="s">
        <v>165</v>
      </c>
      <c r="B701" s="8" t="s">
        <v>28</v>
      </c>
      <c r="C701" s="8" t="s">
        <v>1395</v>
      </c>
      <c r="D701" s="8" t="n">
        <v>121621</v>
      </c>
      <c r="E701" s="8" t="s">
        <v>748</v>
      </c>
      <c r="F701" s="8" t="s">
        <v>809</v>
      </c>
      <c r="G701" s="8" t="s">
        <v>961</v>
      </c>
      <c r="H701" s="8" t="s">
        <v>55</v>
      </c>
      <c r="I701" s="8" t="s">
        <v>166</v>
      </c>
      <c r="J701" s="4" t="n">
        <v>209000</v>
      </c>
      <c r="K701" s="4" t="n">
        <v>184000</v>
      </c>
      <c r="L701" s="5" t="n">
        <v>0.12185</v>
      </c>
      <c r="M701" s="4" t="n">
        <v>81</v>
      </c>
      <c r="N701" s="4" t="n">
        <v>0</v>
      </c>
      <c r="O701" s="4" t="n">
        <v>0</v>
      </c>
      <c r="P701" s="4" t="n">
        <v>0</v>
      </c>
      <c r="Q701" s="4" t="n">
        <v>1</v>
      </c>
      <c r="R701" s="4" t="n">
        <f aca="false">M701+N701+O701+P701+Q701</f>
        <v>82</v>
      </c>
      <c r="S701" s="4" t="n">
        <v>19</v>
      </c>
      <c r="T701" s="4" t="n">
        <f aca="false">R701*K701</f>
        <v>15088000</v>
      </c>
      <c r="U701" s="9" t="n">
        <f aca="false">IFERROR(M701/S701,0)</f>
        <v>4.26315789473684</v>
      </c>
      <c r="V701" s="5"/>
    </row>
    <row r="702" customFormat="false" ht="15" hidden="false" customHeight="false" outlineLevel="0" collapsed="false">
      <c r="A702" s="8" t="s">
        <v>165</v>
      </c>
      <c r="B702" s="8" t="s">
        <v>28</v>
      </c>
      <c r="C702" s="8" t="s">
        <v>1395</v>
      </c>
      <c r="D702" s="8" t="n">
        <v>121626</v>
      </c>
      <c r="E702" s="8" t="s">
        <v>750</v>
      </c>
      <c r="F702" s="8" t="s">
        <v>809</v>
      </c>
      <c r="G702" s="8" t="s">
        <v>961</v>
      </c>
      <c r="H702" s="8" t="s">
        <v>55</v>
      </c>
      <c r="I702" s="8" t="s">
        <v>166</v>
      </c>
      <c r="J702" s="4" t="n">
        <v>149000</v>
      </c>
      <c r="K702" s="4" t="n">
        <v>125000</v>
      </c>
      <c r="L702" s="5" t="n">
        <v>0.16292</v>
      </c>
      <c r="M702" s="4" t="n">
        <v>77</v>
      </c>
      <c r="N702" s="4" t="n">
        <v>0</v>
      </c>
      <c r="O702" s="4" t="n">
        <v>0</v>
      </c>
      <c r="P702" s="4" t="n">
        <v>0</v>
      </c>
      <c r="Q702" s="4" t="n">
        <v>0</v>
      </c>
      <c r="R702" s="4" t="n">
        <f aca="false">M702+N702+O702+P702+Q702</f>
        <v>77</v>
      </c>
      <c r="S702" s="4" t="n">
        <v>22</v>
      </c>
      <c r="T702" s="4" t="n">
        <f aca="false">R702*K702</f>
        <v>9625000</v>
      </c>
      <c r="U702" s="9" t="n">
        <f aca="false">IFERROR(M702/S702,0)</f>
        <v>3.5</v>
      </c>
      <c r="V702" s="5"/>
    </row>
    <row r="703" customFormat="false" ht="15" hidden="false" customHeight="false" outlineLevel="0" collapsed="false">
      <c r="A703" s="8" t="s">
        <v>165</v>
      </c>
      <c r="B703" s="8" t="s">
        <v>28</v>
      </c>
      <c r="C703" s="8" t="s">
        <v>1395</v>
      </c>
      <c r="D703" s="8" t="n">
        <v>121625</v>
      </c>
      <c r="E703" s="8" t="s">
        <v>751</v>
      </c>
      <c r="F703" s="8" t="s">
        <v>809</v>
      </c>
      <c r="G703" s="8" t="s">
        <v>961</v>
      </c>
      <c r="H703" s="8" t="s">
        <v>55</v>
      </c>
      <c r="I703" s="8" t="s">
        <v>166</v>
      </c>
      <c r="J703" s="4" t="n">
        <v>209000</v>
      </c>
      <c r="K703" s="4" t="n">
        <v>184000</v>
      </c>
      <c r="L703" s="5" t="n">
        <v>0.12185</v>
      </c>
      <c r="M703" s="4" t="n">
        <v>77</v>
      </c>
      <c r="N703" s="4" t="n">
        <v>0</v>
      </c>
      <c r="O703" s="4" t="n">
        <v>0</v>
      </c>
      <c r="P703" s="4" t="n">
        <v>0</v>
      </c>
      <c r="Q703" s="4" t="n">
        <v>0</v>
      </c>
      <c r="R703" s="4" t="n">
        <f aca="false">M703+N703+O703+P703+Q703</f>
        <v>77</v>
      </c>
      <c r="S703" s="4" t="n">
        <v>22</v>
      </c>
      <c r="T703" s="4" t="n">
        <f aca="false">R703*K703</f>
        <v>14168000</v>
      </c>
      <c r="U703" s="9" t="n">
        <f aca="false">IFERROR(M703/S703,0)</f>
        <v>3.5</v>
      </c>
      <c r="V703" s="5"/>
    </row>
    <row r="704" customFormat="false" ht="15" hidden="false" customHeight="false" outlineLevel="0" collapsed="false">
      <c r="A704" s="8" t="s">
        <v>165</v>
      </c>
      <c r="B704" s="8" t="s">
        <v>28</v>
      </c>
      <c r="C704" s="8" t="s">
        <v>1395</v>
      </c>
      <c r="D704" s="8" t="n">
        <v>121620</v>
      </c>
      <c r="E704" s="8" t="s">
        <v>753</v>
      </c>
      <c r="F704" s="8" t="s">
        <v>809</v>
      </c>
      <c r="G704" s="8" t="s">
        <v>961</v>
      </c>
      <c r="H704" s="8" t="s">
        <v>55</v>
      </c>
      <c r="I704" s="8" t="s">
        <v>166</v>
      </c>
      <c r="J704" s="4" t="n">
        <v>149000</v>
      </c>
      <c r="K704" s="4" t="n">
        <v>125000</v>
      </c>
      <c r="L704" s="5" t="n">
        <v>0.16292</v>
      </c>
      <c r="M704" s="4" t="n">
        <v>77</v>
      </c>
      <c r="N704" s="4" t="n">
        <v>0</v>
      </c>
      <c r="O704" s="4" t="n">
        <v>0</v>
      </c>
      <c r="P704" s="4" t="n">
        <v>0</v>
      </c>
      <c r="Q704" s="4" t="n">
        <v>0</v>
      </c>
      <c r="R704" s="4" t="n">
        <f aca="false">M704+N704+O704+P704+Q704</f>
        <v>77</v>
      </c>
      <c r="S704" s="4" t="n">
        <v>22</v>
      </c>
      <c r="T704" s="4" t="n">
        <f aca="false">R704*K704</f>
        <v>9625000</v>
      </c>
      <c r="U704" s="9" t="n">
        <f aca="false">IFERROR(M704/S704,0)</f>
        <v>3.5</v>
      </c>
      <c r="V704" s="5"/>
    </row>
    <row r="705" customFormat="false" ht="15" hidden="false" customHeight="false" outlineLevel="0" collapsed="false">
      <c r="A705" s="8" t="s">
        <v>165</v>
      </c>
      <c r="B705" s="8" t="s">
        <v>28</v>
      </c>
      <c r="C705" s="8" t="s">
        <v>1395</v>
      </c>
      <c r="D705" s="8" t="n">
        <v>121623</v>
      </c>
      <c r="E705" s="8" t="s">
        <v>752</v>
      </c>
      <c r="F705" s="8" t="s">
        <v>809</v>
      </c>
      <c r="G705" s="8" t="s">
        <v>961</v>
      </c>
      <c r="H705" s="8" t="s">
        <v>55</v>
      </c>
      <c r="I705" s="8" t="s">
        <v>166</v>
      </c>
      <c r="J705" s="4" t="n">
        <v>209000</v>
      </c>
      <c r="K705" s="4" t="n">
        <v>184000</v>
      </c>
      <c r="L705" s="5" t="n">
        <v>0.12185</v>
      </c>
      <c r="M705" s="4" t="n">
        <v>73</v>
      </c>
      <c r="N705" s="4" t="n">
        <v>0</v>
      </c>
      <c r="O705" s="4" t="n">
        <v>0</v>
      </c>
      <c r="P705" s="4" t="n">
        <v>0</v>
      </c>
      <c r="Q705" s="4" t="n">
        <v>3</v>
      </c>
      <c r="R705" s="4" t="n">
        <f aca="false">M705+N705+O705+P705+Q705</f>
        <v>76</v>
      </c>
      <c r="S705" s="4" t="n">
        <v>21</v>
      </c>
      <c r="T705" s="4" t="n">
        <f aca="false">R705*K705</f>
        <v>13984000</v>
      </c>
      <c r="U705" s="9" t="n">
        <f aca="false">IFERROR(M705/S705,0)</f>
        <v>3.47619047619048</v>
      </c>
      <c r="V705" s="5"/>
    </row>
    <row r="706" customFormat="false" ht="15" hidden="false" customHeight="false" outlineLevel="0" collapsed="false">
      <c r="A706" s="8" t="s">
        <v>165</v>
      </c>
      <c r="B706" s="8" t="s">
        <v>28</v>
      </c>
      <c r="C706" s="8" t="s">
        <v>1395</v>
      </c>
      <c r="D706" s="8" t="n">
        <v>121619</v>
      </c>
      <c r="E706" s="8" t="s">
        <v>747</v>
      </c>
      <c r="F706" s="8" t="s">
        <v>809</v>
      </c>
      <c r="G706" s="8" t="s">
        <v>961</v>
      </c>
      <c r="H706" s="8" t="s">
        <v>55</v>
      </c>
      <c r="I706" s="8" t="s">
        <v>166</v>
      </c>
      <c r="J706" s="4" t="n">
        <v>209000</v>
      </c>
      <c r="K706" s="4" t="n">
        <v>184000</v>
      </c>
      <c r="L706" s="5" t="n">
        <v>0.12185</v>
      </c>
      <c r="M706" s="4" t="n">
        <v>75</v>
      </c>
      <c r="N706" s="4" t="n">
        <v>0</v>
      </c>
      <c r="O706" s="4" t="n">
        <v>0</v>
      </c>
      <c r="P706" s="4" t="n">
        <v>0</v>
      </c>
      <c r="Q706" s="4" t="n">
        <v>0</v>
      </c>
      <c r="R706" s="4" t="n">
        <f aca="false">M706+N706+O706+P706+Q706</f>
        <v>75</v>
      </c>
      <c r="S706" s="4" t="n">
        <v>21</v>
      </c>
      <c r="T706" s="4" t="n">
        <f aca="false">R706*K706</f>
        <v>13800000</v>
      </c>
      <c r="U706" s="9" t="n">
        <f aca="false">IFERROR(M706/S706,0)</f>
        <v>3.57142857142857</v>
      </c>
      <c r="V706" s="5"/>
    </row>
    <row r="707" customFormat="false" ht="15" hidden="false" customHeight="false" outlineLevel="0" collapsed="false">
      <c r="A707" s="8" t="s">
        <v>165</v>
      </c>
      <c r="B707" s="8" t="s">
        <v>28</v>
      </c>
      <c r="C707" s="8" t="s">
        <v>1395</v>
      </c>
      <c r="D707" s="8" t="n">
        <v>121622</v>
      </c>
      <c r="E707" s="8" t="s">
        <v>749</v>
      </c>
      <c r="F707" s="8" t="s">
        <v>809</v>
      </c>
      <c r="G707" s="8" t="s">
        <v>961</v>
      </c>
      <c r="H707" s="8" t="s">
        <v>55</v>
      </c>
      <c r="I707" s="8" t="s">
        <v>166</v>
      </c>
      <c r="J707" s="4" t="n">
        <v>149000</v>
      </c>
      <c r="K707" s="4" t="n">
        <v>125000</v>
      </c>
      <c r="L707" s="5" t="n">
        <v>0.16292</v>
      </c>
      <c r="M707" s="4" t="n">
        <v>74</v>
      </c>
      <c r="N707" s="4" t="n">
        <v>0</v>
      </c>
      <c r="O707" s="4" t="n">
        <v>0</v>
      </c>
      <c r="P707" s="4" t="n">
        <v>0</v>
      </c>
      <c r="Q707" s="4" t="n">
        <v>0</v>
      </c>
      <c r="R707" s="4" t="n">
        <f aca="false">M707+N707+O707+P707+Q707</f>
        <v>74</v>
      </c>
      <c r="S707" s="4" t="n">
        <v>22</v>
      </c>
      <c r="T707" s="4" t="n">
        <f aca="false">R707*K707</f>
        <v>9250000</v>
      </c>
      <c r="U707" s="9" t="n">
        <f aca="false">IFERROR(M707/S707,0)</f>
        <v>3.36363636363636</v>
      </c>
      <c r="V707" s="5"/>
    </row>
    <row r="708" customFormat="false" ht="15" hidden="false" customHeight="false" outlineLevel="0" collapsed="false">
      <c r="A708" s="8" t="s">
        <v>228</v>
      </c>
      <c r="B708" s="8" t="s">
        <v>22</v>
      </c>
      <c r="C708" s="8" t="s">
        <v>1073</v>
      </c>
      <c r="D708" s="8" t="n">
        <v>131099</v>
      </c>
      <c r="E708" s="8" t="s">
        <v>321</v>
      </c>
      <c r="F708" s="8" t="s">
        <v>809</v>
      </c>
      <c r="G708" s="8" t="s">
        <v>961</v>
      </c>
      <c r="H708" s="8" t="s">
        <v>62</v>
      </c>
      <c r="I708" s="8" t="s">
        <v>229</v>
      </c>
      <c r="J708" s="4" t="n">
        <v>45000</v>
      </c>
      <c r="K708" s="4" t="n">
        <v>30000</v>
      </c>
      <c r="L708" s="5" t="n">
        <v>0.33333</v>
      </c>
      <c r="M708" s="4" t="n">
        <v>324</v>
      </c>
      <c r="N708" s="4" t="n">
        <v>432</v>
      </c>
      <c r="O708" s="4" t="n">
        <v>5</v>
      </c>
      <c r="P708" s="4" t="n">
        <v>0</v>
      </c>
      <c r="Q708" s="4" t="n">
        <v>0</v>
      </c>
      <c r="R708" s="4" t="n">
        <f aca="false">M708+N708+O708+P708+Q708</f>
        <v>761</v>
      </c>
      <c r="S708" s="4" t="n">
        <v>20</v>
      </c>
      <c r="T708" s="4" t="n">
        <f aca="false">R708*K708</f>
        <v>22830000</v>
      </c>
      <c r="U708" s="9" t="n">
        <f aca="false">IFERROR(M708/S708,0)</f>
        <v>16.2</v>
      </c>
      <c r="V708" s="5"/>
    </row>
    <row r="709" customFormat="false" ht="15" hidden="false" customHeight="false" outlineLevel="0" collapsed="false">
      <c r="A709" s="8" t="s">
        <v>191</v>
      </c>
      <c r="B709" s="8" t="s">
        <v>31</v>
      </c>
      <c r="C709" s="8" t="s">
        <v>1402</v>
      </c>
      <c r="D709" s="8" t="n">
        <v>150366</v>
      </c>
      <c r="E709" s="8" t="s">
        <v>757</v>
      </c>
      <c r="F709" s="8" t="s">
        <v>809</v>
      </c>
      <c r="G709" s="8" t="s">
        <v>961</v>
      </c>
      <c r="H709" s="8" t="s">
        <v>51</v>
      </c>
      <c r="I709" s="8" t="s">
        <v>192</v>
      </c>
      <c r="J709" s="4" t="n">
        <v>90000</v>
      </c>
      <c r="K709" s="4" t="n">
        <v>70000</v>
      </c>
      <c r="L709" s="5" t="n">
        <v>0.23333</v>
      </c>
      <c r="M709" s="4" t="n">
        <v>457</v>
      </c>
      <c r="N709" s="4" t="n">
        <v>0</v>
      </c>
      <c r="O709" s="4" t="n">
        <v>130</v>
      </c>
      <c r="P709" s="4" t="n">
        <v>1</v>
      </c>
      <c r="Q709" s="4" t="n">
        <v>14</v>
      </c>
      <c r="R709" s="4" t="n">
        <f aca="false">M709+N709+O709+P709+Q709</f>
        <v>602</v>
      </c>
      <c r="S709" s="4" t="n">
        <v>22</v>
      </c>
      <c r="T709" s="4" t="n">
        <f aca="false">R709*K709</f>
        <v>42140000</v>
      </c>
      <c r="U709" s="9" t="n">
        <f aca="false">IFERROR(M709/S709,0)</f>
        <v>20.7727272727273</v>
      </c>
      <c r="V709" s="5" t="n">
        <v>0.3429</v>
      </c>
    </row>
    <row r="710" customFormat="false" ht="15" hidden="false" customHeight="false" outlineLevel="0" collapsed="false">
      <c r="A710" s="8" t="s">
        <v>191</v>
      </c>
      <c r="B710" s="8" t="s">
        <v>31</v>
      </c>
      <c r="C710" s="8" t="s">
        <v>1402</v>
      </c>
      <c r="D710" s="8" t="n">
        <v>152413</v>
      </c>
      <c r="E710" s="8" t="s">
        <v>758</v>
      </c>
      <c r="F710" s="8" t="s">
        <v>809</v>
      </c>
      <c r="G710" s="8" t="s">
        <v>961</v>
      </c>
      <c r="H710" s="8" t="s">
        <v>51</v>
      </c>
      <c r="I710" s="8" t="s">
        <v>192</v>
      </c>
      <c r="J710" s="4" t="n">
        <v>88000</v>
      </c>
      <c r="K710" s="4" t="n">
        <v>69000</v>
      </c>
      <c r="L710" s="5" t="n">
        <v>0.21591</v>
      </c>
      <c r="M710" s="4" t="n">
        <v>144</v>
      </c>
      <c r="N710" s="4" t="n">
        <v>0</v>
      </c>
      <c r="O710" s="4" t="n">
        <v>0</v>
      </c>
      <c r="P710" s="4" t="n">
        <v>0</v>
      </c>
      <c r="Q710" s="4" t="n">
        <v>3</v>
      </c>
      <c r="R710" s="4" t="n">
        <f aca="false">M710+N710+O710+P710+Q710</f>
        <v>147</v>
      </c>
      <c r="S710" s="4" t="n">
        <v>20</v>
      </c>
      <c r="T710" s="4" t="n">
        <f aca="false">R710*K710</f>
        <v>10143000</v>
      </c>
      <c r="U710" s="9" t="n">
        <f aca="false">IFERROR(M710/S710,0)</f>
        <v>7.2</v>
      </c>
      <c r="V710" s="5" t="n">
        <v>0.1304</v>
      </c>
    </row>
    <row r="711" customFormat="false" ht="15" hidden="false" customHeight="false" outlineLevel="0" collapsed="false">
      <c r="A711" s="8" t="s">
        <v>163</v>
      </c>
      <c r="B711" s="8" t="s">
        <v>26</v>
      </c>
      <c r="C711" s="8" t="s">
        <v>1394</v>
      </c>
      <c r="D711" s="8" t="n">
        <v>155610</v>
      </c>
      <c r="E711" s="8" t="s">
        <v>716</v>
      </c>
      <c r="F711" s="8" t="s">
        <v>829</v>
      </c>
      <c r="G711" s="8" t="s">
        <v>961</v>
      </c>
      <c r="H711" s="8" t="s">
        <v>66</v>
      </c>
      <c r="I711" s="8" t="s">
        <v>164</v>
      </c>
      <c r="J711" s="4" t="n">
        <v>185000</v>
      </c>
      <c r="K711" s="4" t="n">
        <v>149000</v>
      </c>
      <c r="L711" s="5" t="n">
        <v>0.19459</v>
      </c>
      <c r="M711" s="4" t="n">
        <v>339</v>
      </c>
      <c r="N711" s="4" t="n">
        <v>0</v>
      </c>
      <c r="O711" s="4" t="n">
        <v>300</v>
      </c>
      <c r="P711" s="4" t="n">
        <v>0</v>
      </c>
      <c r="Q711" s="4" t="n">
        <v>73</v>
      </c>
      <c r="R711" s="4" t="n">
        <f aca="false">M711+N711+O711+P711+Q711</f>
        <v>712</v>
      </c>
      <c r="S711" s="4" t="n">
        <v>22</v>
      </c>
      <c r="T711" s="4" t="n">
        <f aca="false">R711*K711</f>
        <v>106088000</v>
      </c>
      <c r="U711" s="9" t="n">
        <f aca="false">IFERROR(M711/S711,0)</f>
        <v>15.4090909090909</v>
      </c>
      <c r="V711" s="5"/>
    </row>
    <row r="712" customFormat="false" ht="15" hidden="false" customHeight="false" outlineLevel="0" collapsed="false">
      <c r="A712" s="8" t="s">
        <v>131</v>
      </c>
      <c r="B712" s="8" t="s">
        <v>26</v>
      </c>
      <c r="C712" s="8" t="s">
        <v>1394</v>
      </c>
      <c r="D712" s="8" t="n">
        <v>150386</v>
      </c>
      <c r="E712" s="8" t="s">
        <v>717</v>
      </c>
      <c r="F712" s="8" t="s">
        <v>1044</v>
      </c>
      <c r="G712" s="8" t="s">
        <v>961</v>
      </c>
      <c r="H712" s="8" t="s">
        <v>51</v>
      </c>
      <c r="I712" s="8" t="s">
        <v>132</v>
      </c>
      <c r="J712" s="4" t="n">
        <v>330000</v>
      </c>
      <c r="K712" s="4" t="n">
        <v>299000</v>
      </c>
      <c r="L712" s="5" t="n">
        <v>0.09394</v>
      </c>
      <c r="M712" s="4" t="n">
        <v>419</v>
      </c>
      <c r="N712" s="4" t="n">
        <v>0</v>
      </c>
      <c r="O712" s="4" t="n">
        <v>168</v>
      </c>
      <c r="P712" s="4" t="n">
        <v>0</v>
      </c>
      <c r="Q712" s="4" t="n">
        <v>86</v>
      </c>
      <c r="R712" s="4" t="n">
        <f aca="false">M712+N712+O712+P712+Q712</f>
        <v>673</v>
      </c>
      <c r="S712" s="4" t="n">
        <v>24</v>
      </c>
      <c r="T712" s="4" t="n">
        <f aca="false">R712*K712</f>
        <v>201227000</v>
      </c>
      <c r="U712" s="9" t="n">
        <f aca="false">IFERROR(M712/S712,0)</f>
        <v>17.4583333333333</v>
      </c>
      <c r="V712" s="5" t="n">
        <v>0.2851</v>
      </c>
    </row>
    <row r="713" customFormat="false" ht="15" hidden="false" customHeight="false" outlineLevel="0" collapsed="false">
      <c r="A713" s="8" t="s">
        <v>218</v>
      </c>
      <c r="B713" s="8" t="s">
        <v>26</v>
      </c>
      <c r="C713" s="8" t="s">
        <v>1394</v>
      </c>
      <c r="D713" s="8" t="n">
        <v>153126</v>
      </c>
      <c r="E713" s="8" t="s">
        <v>719</v>
      </c>
      <c r="F713" s="8" t="s">
        <v>809</v>
      </c>
      <c r="G713" s="8" t="s">
        <v>961</v>
      </c>
      <c r="H713" s="8" t="s">
        <v>51</v>
      </c>
      <c r="I713" s="8" t="s">
        <v>219</v>
      </c>
      <c r="J713" s="4" t="n">
        <v>70000</v>
      </c>
      <c r="K713" s="4" t="n">
        <v>49000</v>
      </c>
      <c r="L713" s="5" t="n">
        <v>0.3</v>
      </c>
      <c r="M713" s="4" t="n">
        <v>432</v>
      </c>
      <c r="N713" s="4" t="n">
        <v>0</v>
      </c>
      <c r="O713" s="4" t="n">
        <v>12</v>
      </c>
      <c r="P713" s="4" t="n">
        <v>0</v>
      </c>
      <c r="Q713" s="4" t="n">
        <v>0</v>
      </c>
      <c r="R713" s="4" t="n">
        <f aca="false">M713+N713+O713+P713+Q713</f>
        <v>444</v>
      </c>
      <c r="S713" s="4" t="n">
        <v>24</v>
      </c>
      <c r="T713" s="4" t="n">
        <f aca="false">R713*K713</f>
        <v>21756000</v>
      </c>
      <c r="U713" s="9" t="n">
        <f aca="false">IFERROR(M713/S713,0)</f>
        <v>18</v>
      </c>
      <c r="V713" s="5" t="n">
        <v>0.1184</v>
      </c>
    </row>
    <row r="714" customFormat="false" ht="15" hidden="false" customHeight="false" outlineLevel="0" collapsed="false">
      <c r="A714" s="8" t="s">
        <v>218</v>
      </c>
      <c r="B714" s="8" t="s">
        <v>26</v>
      </c>
      <c r="C714" s="8" t="s">
        <v>1394</v>
      </c>
      <c r="D714" s="8" t="n">
        <v>152368</v>
      </c>
      <c r="E714" s="8" t="s">
        <v>718</v>
      </c>
      <c r="F714" s="8" t="s">
        <v>809</v>
      </c>
      <c r="G714" s="8" t="s">
        <v>961</v>
      </c>
      <c r="H714" s="8" t="s">
        <v>51</v>
      </c>
      <c r="I714" s="8" t="s">
        <v>219</v>
      </c>
      <c r="J714" s="4" t="n">
        <v>60000</v>
      </c>
      <c r="K714" s="4" t="n">
        <v>50000</v>
      </c>
      <c r="L714" s="5" t="n">
        <v>0.18333</v>
      </c>
      <c r="M714" s="4" t="n">
        <v>184</v>
      </c>
      <c r="N714" s="4" t="n">
        <v>0</v>
      </c>
      <c r="O714" s="4" t="n">
        <v>43</v>
      </c>
      <c r="P714" s="4" t="n">
        <v>0</v>
      </c>
      <c r="Q714" s="4" t="n">
        <v>0</v>
      </c>
      <c r="R714" s="4" t="n">
        <f aca="false">M714+N714+O714+P714+Q714</f>
        <v>227</v>
      </c>
      <c r="S714" s="4" t="n">
        <v>21</v>
      </c>
      <c r="T714" s="4" t="n">
        <f aca="false">R714*K714</f>
        <v>11350000</v>
      </c>
      <c r="U714" s="9" t="n">
        <f aca="false">IFERROR(M714/S714,0)</f>
        <v>8.76190476190476</v>
      </c>
      <c r="V714" s="5" t="n">
        <v>0.2</v>
      </c>
    </row>
    <row r="715" customFormat="false" ht="15" hidden="false" customHeight="false" outlineLevel="0" collapsed="false">
      <c r="A715" s="8" t="s">
        <v>205</v>
      </c>
      <c r="B715" s="8" t="s">
        <v>20</v>
      </c>
      <c r="C715" s="8" t="s">
        <v>1052</v>
      </c>
      <c r="D715" s="8" t="n">
        <v>100348</v>
      </c>
      <c r="E715" s="8" t="s">
        <v>619</v>
      </c>
      <c r="F715" s="8" t="s">
        <v>1044</v>
      </c>
      <c r="G715" s="8" t="s">
        <v>961</v>
      </c>
      <c r="H715" s="8" t="s">
        <v>62</v>
      </c>
      <c r="I715" s="8" t="s">
        <v>206</v>
      </c>
      <c r="J715" s="4" t="n">
        <v>95000</v>
      </c>
      <c r="K715" s="4" t="n">
        <v>63000</v>
      </c>
      <c r="L715" s="5" t="n">
        <v>0.33333</v>
      </c>
      <c r="M715" s="4" t="n">
        <v>478</v>
      </c>
      <c r="N715" s="4" t="n">
        <v>0</v>
      </c>
      <c r="O715" s="4" t="n">
        <v>121</v>
      </c>
      <c r="P715" s="4" t="n">
        <v>0</v>
      </c>
      <c r="Q715" s="4" t="n">
        <v>72</v>
      </c>
      <c r="R715" s="4" t="n">
        <f aca="false">M715+N715+O715+P715+Q715</f>
        <v>671</v>
      </c>
      <c r="S715" s="4" t="n">
        <v>21</v>
      </c>
      <c r="T715" s="4" t="n">
        <f aca="false">R715*K715</f>
        <v>42273000</v>
      </c>
      <c r="U715" s="9" t="n">
        <f aca="false">IFERROR(M715/S715,0)</f>
        <v>22.7619047619048</v>
      </c>
      <c r="V715" s="5"/>
    </row>
    <row r="716" customFormat="false" ht="15" hidden="false" customHeight="false" outlineLevel="0" collapsed="false">
      <c r="A716" s="8" t="s">
        <v>90</v>
      </c>
      <c r="B716" s="8" t="s">
        <v>21</v>
      </c>
      <c r="C716" s="8" t="s">
        <v>1403</v>
      </c>
      <c r="D716" s="8" t="n">
        <v>110953</v>
      </c>
      <c r="E716" s="8" t="s">
        <v>391</v>
      </c>
      <c r="F716" s="8" t="s">
        <v>1044</v>
      </c>
      <c r="G716" s="8" t="s">
        <v>961</v>
      </c>
      <c r="H716" s="8" t="s">
        <v>51</v>
      </c>
      <c r="I716" s="8" t="s">
        <v>91</v>
      </c>
      <c r="J716" s="4" t="n">
        <v>858000</v>
      </c>
      <c r="K716" s="4" t="n">
        <v>808000</v>
      </c>
      <c r="L716" s="5" t="n">
        <v>0.05828</v>
      </c>
      <c r="M716" s="4" t="n">
        <v>73</v>
      </c>
      <c r="N716" s="4" t="n">
        <v>59</v>
      </c>
      <c r="O716" s="4" t="n">
        <v>11</v>
      </c>
      <c r="P716" s="4" t="n">
        <v>1</v>
      </c>
      <c r="Q716" s="4" t="n">
        <v>1</v>
      </c>
      <c r="R716" s="4" t="n">
        <f aca="false">M716+N716+O716+P716+Q716</f>
        <v>145</v>
      </c>
      <c r="S716" s="4" t="n">
        <v>22</v>
      </c>
      <c r="T716" s="4" t="n">
        <f aca="false">R716*K716</f>
        <v>117160000</v>
      </c>
      <c r="U716" s="9" t="n">
        <f aca="false">IFERROR(M716/S716,0)</f>
        <v>3.31818181818182</v>
      </c>
      <c r="V716" s="5" t="n">
        <v>0.244</v>
      </c>
    </row>
    <row r="717" customFormat="false" ht="15" hidden="false" customHeight="false" outlineLevel="0" collapsed="false">
      <c r="A717" s="8" t="s">
        <v>90</v>
      </c>
      <c r="B717" s="8" t="s">
        <v>21</v>
      </c>
      <c r="C717" s="8" t="s">
        <v>1403</v>
      </c>
      <c r="D717" s="8" t="n">
        <v>110950</v>
      </c>
      <c r="E717" s="8" t="s">
        <v>644</v>
      </c>
      <c r="F717" s="8" t="s">
        <v>809</v>
      </c>
      <c r="G717" s="8" t="s">
        <v>961</v>
      </c>
      <c r="H717" s="8" t="s">
        <v>51</v>
      </c>
      <c r="I717" s="8" t="s">
        <v>91</v>
      </c>
      <c r="J717" s="4" t="n">
        <v>445000</v>
      </c>
      <c r="K717" s="4" t="n">
        <v>395000</v>
      </c>
      <c r="L717" s="5" t="n">
        <v>0.11236</v>
      </c>
      <c r="M717" s="4" t="n">
        <v>91</v>
      </c>
      <c r="N717" s="4" t="n">
        <v>0</v>
      </c>
      <c r="O717" s="4" t="n">
        <v>10</v>
      </c>
      <c r="P717" s="4" t="n">
        <v>0</v>
      </c>
      <c r="Q717" s="4" t="n">
        <v>8</v>
      </c>
      <c r="R717" s="4" t="n">
        <f aca="false">M717+N717+O717+P717+Q717</f>
        <v>109</v>
      </c>
      <c r="S717" s="4" t="n">
        <v>23</v>
      </c>
      <c r="T717" s="4" t="n">
        <f aca="false">R717*K717</f>
        <v>43055000</v>
      </c>
      <c r="U717" s="9" t="n">
        <f aca="false">IFERROR(M717/S717,0)</f>
        <v>3.95652173913043</v>
      </c>
      <c r="V717" s="5" t="n">
        <v>0.1909</v>
      </c>
    </row>
    <row r="718" customFormat="false" ht="15" hidden="false" customHeight="false" outlineLevel="0" collapsed="false">
      <c r="A718" s="8" t="s">
        <v>90</v>
      </c>
      <c r="B718" s="8" t="s">
        <v>21</v>
      </c>
      <c r="C718" s="8" t="s">
        <v>1401</v>
      </c>
      <c r="D718" s="8" t="n">
        <v>110957</v>
      </c>
      <c r="E718" s="8" t="s">
        <v>645</v>
      </c>
      <c r="F718" s="8" t="s">
        <v>809</v>
      </c>
      <c r="G718" s="8" t="s">
        <v>961</v>
      </c>
      <c r="H718" s="8" t="s">
        <v>51</v>
      </c>
      <c r="I718" s="8" t="s">
        <v>91</v>
      </c>
      <c r="J718" s="4" t="n">
        <v>1265000</v>
      </c>
      <c r="K718" s="4" t="n">
        <v>1215000</v>
      </c>
      <c r="L718" s="5" t="n">
        <v>0.03953</v>
      </c>
      <c r="M718" s="4" t="n">
        <v>88</v>
      </c>
      <c r="N718" s="4" t="n">
        <v>0</v>
      </c>
      <c r="O718" s="4" t="n">
        <v>12</v>
      </c>
      <c r="P718" s="4" t="n">
        <v>1</v>
      </c>
      <c r="Q718" s="4" t="n">
        <v>0</v>
      </c>
      <c r="R718" s="4" t="n">
        <f aca="false">M718+N718+O718+P718+Q718</f>
        <v>101</v>
      </c>
      <c r="S718" s="4" t="n">
        <v>24</v>
      </c>
      <c r="T718" s="4" t="n">
        <f aca="false">R718*K718</f>
        <v>122715000</v>
      </c>
      <c r="U718" s="9" t="n">
        <f aca="false">IFERROR(M718/S718,0)</f>
        <v>3.66666666666667</v>
      </c>
      <c r="V718" s="5" t="n">
        <v>0.2156</v>
      </c>
    </row>
    <row r="719" customFormat="false" ht="15" hidden="false" customHeight="false" outlineLevel="0" collapsed="false">
      <c r="A719" s="8" t="s">
        <v>90</v>
      </c>
      <c r="B719" s="8" t="s">
        <v>21</v>
      </c>
      <c r="C719" s="8" t="s">
        <v>1404</v>
      </c>
      <c r="D719" s="8" t="n">
        <v>110955</v>
      </c>
      <c r="E719" s="8" t="s">
        <v>646</v>
      </c>
      <c r="F719" s="8" t="s">
        <v>809</v>
      </c>
      <c r="G719" s="8" t="s">
        <v>961</v>
      </c>
      <c r="H719" s="8" t="s">
        <v>51</v>
      </c>
      <c r="I719" s="8" t="s">
        <v>91</v>
      </c>
      <c r="J719" s="4" t="n">
        <v>1035000</v>
      </c>
      <c r="K719" s="4" t="n">
        <v>985000</v>
      </c>
      <c r="L719" s="5" t="n">
        <v>0.04831</v>
      </c>
      <c r="M719" s="4" t="n">
        <v>92</v>
      </c>
      <c r="N719" s="4" t="n">
        <v>0</v>
      </c>
      <c r="O719" s="4" t="n">
        <v>0</v>
      </c>
      <c r="P719" s="4" t="n">
        <v>1</v>
      </c>
      <c r="Q719" s="4" t="n">
        <v>4</v>
      </c>
      <c r="R719" s="4" t="n">
        <f aca="false">M719+N719+O719+P719+Q719</f>
        <v>97</v>
      </c>
      <c r="S719" s="4" t="n">
        <v>21</v>
      </c>
      <c r="T719" s="4" t="n">
        <f aca="false">R719*K719</f>
        <v>95545000</v>
      </c>
      <c r="U719" s="9" t="n">
        <f aca="false">IFERROR(M719/S719,0)</f>
        <v>4.38095238095238</v>
      </c>
      <c r="V719" s="5" t="n">
        <v>0.2132</v>
      </c>
    </row>
    <row r="720" customFormat="false" ht="15" hidden="false" customHeight="false" outlineLevel="0" collapsed="false">
      <c r="A720" s="8" t="s">
        <v>90</v>
      </c>
      <c r="B720" s="8" t="s">
        <v>21</v>
      </c>
      <c r="C720" s="8" t="s">
        <v>1404</v>
      </c>
      <c r="D720" s="8" t="n">
        <v>110954</v>
      </c>
      <c r="E720" s="8" t="s">
        <v>363</v>
      </c>
      <c r="F720" s="8" t="s">
        <v>809</v>
      </c>
      <c r="G720" s="8" t="s">
        <v>961</v>
      </c>
      <c r="H720" s="8" t="s">
        <v>51</v>
      </c>
      <c r="I720" s="8" t="s">
        <v>91</v>
      </c>
      <c r="J720" s="4" t="n">
        <v>595000</v>
      </c>
      <c r="K720" s="4" t="n">
        <v>546000</v>
      </c>
      <c r="L720" s="5" t="n">
        <v>0.08403</v>
      </c>
      <c r="M720" s="4" t="n">
        <v>85</v>
      </c>
      <c r="N720" s="4" t="n">
        <v>2</v>
      </c>
      <c r="O720" s="4" t="n">
        <v>0</v>
      </c>
      <c r="P720" s="4" t="n">
        <v>0</v>
      </c>
      <c r="Q720" s="4" t="n">
        <v>2</v>
      </c>
      <c r="R720" s="4" t="n">
        <f aca="false">M720+N720+O720+P720+Q720</f>
        <v>89</v>
      </c>
      <c r="S720" s="4" t="n">
        <v>21</v>
      </c>
      <c r="T720" s="4" t="n">
        <f aca="false">R720*K720</f>
        <v>48594000</v>
      </c>
      <c r="U720" s="9" t="n">
        <f aca="false">IFERROR(M720/S720,0)</f>
        <v>4.04761904761905</v>
      </c>
      <c r="V720" s="5" t="n">
        <v>0.1841</v>
      </c>
    </row>
    <row r="721" customFormat="false" ht="15" hidden="false" customHeight="false" outlineLevel="0" collapsed="false">
      <c r="A721" s="8" t="s">
        <v>90</v>
      </c>
      <c r="B721" s="8" t="s">
        <v>21</v>
      </c>
      <c r="C721" s="8" t="s">
        <v>1404</v>
      </c>
      <c r="D721" s="8" t="n">
        <v>110951</v>
      </c>
      <c r="E721" s="8" t="s">
        <v>356</v>
      </c>
      <c r="F721" s="8" t="s">
        <v>809</v>
      </c>
      <c r="G721" s="8" t="s">
        <v>961</v>
      </c>
      <c r="H721" s="8" t="s">
        <v>51</v>
      </c>
      <c r="I721" s="8" t="s">
        <v>91</v>
      </c>
      <c r="J721" s="4" t="n">
        <v>722000</v>
      </c>
      <c r="K721" s="4" t="n">
        <v>673000</v>
      </c>
      <c r="L721" s="5" t="n">
        <v>0.06925</v>
      </c>
      <c r="M721" s="4" t="n">
        <v>76</v>
      </c>
      <c r="N721" s="4" t="n">
        <v>6</v>
      </c>
      <c r="O721" s="4" t="n">
        <v>5</v>
      </c>
      <c r="P721" s="4" t="n">
        <v>0</v>
      </c>
      <c r="Q721" s="4" t="n">
        <v>0</v>
      </c>
      <c r="R721" s="4" t="n">
        <f aca="false">M721+N721+O721+P721+Q721</f>
        <v>87</v>
      </c>
      <c r="S721" s="4" t="n">
        <v>21</v>
      </c>
      <c r="T721" s="4" t="n">
        <f aca="false">R721*K721</f>
        <v>58551000</v>
      </c>
      <c r="U721" s="9" t="n">
        <f aca="false">IFERROR(M721/S721,0)</f>
        <v>3.61904761904762</v>
      </c>
      <c r="V721" s="5" t="n">
        <v>0.1969</v>
      </c>
    </row>
    <row r="722" customFormat="false" ht="15" hidden="false" customHeight="false" outlineLevel="0" collapsed="false">
      <c r="A722" s="8" t="s">
        <v>90</v>
      </c>
      <c r="B722" s="8" t="s">
        <v>21</v>
      </c>
      <c r="C722" s="8" t="s">
        <v>1405</v>
      </c>
      <c r="D722" s="8" t="n">
        <v>110952</v>
      </c>
      <c r="E722" s="8" t="s">
        <v>1406</v>
      </c>
      <c r="F722" s="8" t="s">
        <v>767</v>
      </c>
      <c r="G722" s="8" t="s">
        <v>961</v>
      </c>
      <c r="H722" s="8" t="s">
        <v>51</v>
      </c>
      <c r="I722" s="8" t="s">
        <v>91</v>
      </c>
      <c r="J722" s="4" t="n">
        <v>825000</v>
      </c>
      <c r="K722" s="4" t="n">
        <v>775000</v>
      </c>
      <c r="L722" s="5" t="n">
        <v>0.06061</v>
      </c>
      <c r="M722" s="4" t="n">
        <v>1</v>
      </c>
      <c r="N722" s="4" t="n">
        <v>0</v>
      </c>
      <c r="O722" s="4" t="n">
        <v>0</v>
      </c>
      <c r="P722" s="4" t="n">
        <v>0</v>
      </c>
      <c r="Q722" s="4" t="n">
        <v>0</v>
      </c>
      <c r="R722" s="4" t="n">
        <f aca="false">M722+N722+O722+P722+Q722</f>
        <v>1</v>
      </c>
      <c r="S722" s="4" t="n">
        <v>1</v>
      </c>
      <c r="T722" s="4" t="n">
        <f aca="false">R722*K722</f>
        <v>775000</v>
      </c>
      <c r="U722" s="9" t="n">
        <f aca="false">IFERROR(M722/S722,0)</f>
        <v>1</v>
      </c>
      <c r="V722" s="5" t="n">
        <v>0.2606</v>
      </c>
    </row>
    <row r="723" customFormat="false" ht="15" hidden="false" customHeight="false" outlineLevel="0" collapsed="false">
      <c r="A723" s="8" t="s">
        <v>79</v>
      </c>
      <c r="B723" s="8" t="s">
        <v>21</v>
      </c>
      <c r="C723" s="8" t="s">
        <v>1404</v>
      </c>
      <c r="D723" s="8" t="n">
        <v>110540</v>
      </c>
      <c r="E723" s="8" t="s">
        <v>650</v>
      </c>
      <c r="F723" s="8" t="s">
        <v>809</v>
      </c>
      <c r="G723" s="8" t="s">
        <v>961</v>
      </c>
      <c r="H723" s="8" t="s">
        <v>51</v>
      </c>
      <c r="I723" s="8" t="s">
        <v>80</v>
      </c>
      <c r="J723" s="4" t="n">
        <v>765000</v>
      </c>
      <c r="K723" s="4" t="n">
        <v>715000</v>
      </c>
      <c r="L723" s="5" t="n">
        <v>0.06536</v>
      </c>
      <c r="M723" s="4" t="n">
        <v>162</v>
      </c>
      <c r="N723" s="4" t="n">
        <v>0</v>
      </c>
      <c r="O723" s="4" t="n">
        <v>23</v>
      </c>
      <c r="P723" s="4" t="n">
        <v>0</v>
      </c>
      <c r="Q723" s="4" t="n">
        <v>29</v>
      </c>
      <c r="R723" s="4" t="n">
        <f aca="false">M723+N723+O723+P723+Q723</f>
        <v>214</v>
      </c>
      <c r="S723" s="4" t="n">
        <v>21</v>
      </c>
      <c r="T723" s="4" t="n">
        <f aca="false">R723*K723</f>
        <v>153010000</v>
      </c>
      <c r="U723" s="9" t="n">
        <f aca="false">IFERROR(M723/S723,0)</f>
        <v>7.71428571428571</v>
      </c>
      <c r="V723" s="5" t="n">
        <v>0.1846</v>
      </c>
    </row>
    <row r="724" customFormat="false" ht="15" hidden="false" customHeight="false" outlineLevel="0" collapsed="false">
      <c r="A724" s="8" t="s">
        <v>79</v>
      </c>
      <c r="B724" s="8" t="s">
        <v>21</v>
      </c>
      <c r="C724" s="8" t="s">
        <v>1404</v>
      </c>
      <c r="D724" s="8" t="n">
        <v>110511</v>
      </c>
      <c r="E724" s="8" t="s">
        <v>651</v>
      </c>
      <c r="F724" s="8" t="s">
        <v>809</v>
      </c>
      <c r="G724" s="8" t="s">
        <v>961</v>
      </c>
      <c r="H724" s="8" t="s">
        <v>51</v>
      </c>
      <c r="I724" s="8" t="s">
        <v>80</v>
      </c>
      <c r="J724" s="4" t="n">
        <v>995000</v>
      </c>
      <c r="K724" s="4" t="n">
        <v>946000</v>
      </c>
      <c r="L724" s="5" t="n">
        <v>0.05025</v>
      </c>
      <c r="M724" s="4" t="n">
        <v>145</v>
      </c>
      <c r="N724" s="4" t="n">
        <v>0</v>
      </c>
      <c r="O724" s="4" t="n">
        <v>7</v>
      </c>
      <c r="P724" s="4" t="n">
        <v>0</v>
      </c>
      <c r="Q724" s="4" t="n">
        <v>0</v>
      </c>
      <c r="R724" s="4" t="n">
        <f aca="false">M724+N724+O724+P724+Q724</f>
        <v>152</v>
      </c>
      <c r="S724" s="4" t="n">
        <v>20</v>
      </c>
      <c r="T724" s="4" t="n">
        <f aca="false">R724*K724</f>
        <v>143792000</v>
      </c>
      <c r="U724" s="9" t="n">
        <f aca="false">IFERROR(M724/S724,0)</f>
        <v>7.25</v>
      </c>
      <c r="V724" s="5" t="n">
        <v>0.3023</v>
      </c>
    </row>
    <row r="725" customFormat="false" ht="15" hidden="false" customHeight="false" outlineLevel="0" collapsed="false">
      <c r="A725" s="8" t="s">
        <v>79</v>
      </c>
      <c r="B725" s="8" t="s">
        <v>21</v>
      </c>
      <c r="C725" s="8" t="s">
        <v>1404</v>
      </c>
      <c r="D725" s="8" t="n">
        <v>110470</v>
      </c>
      <c r="E725" s="8" t="s">
        <v>648</v>
      </c>
      <c r="F725" s="8" t="s">
        <v>809</v>
      </c>
      <c r="G725" s="8" t="s">
        <v>961</v>
      </c>
      <c r="H725" s="8" t="s">
        <v>51</v>
      </c>
      <c r="I725" s="8" t="s">
        <v>80</v>
      </c>
      <c r="J725" s="4" t="n">
        <v>1380000</v>
      </c>
      <c r="K725" s="4" t="n">
        <v>1331000</v>
      </c>
      <c r="L725" s="5" t="n">
        <v>0.03623</v>
      </c>
      <c r="M725" s="4" t="n">
        <v>96</v>
      </c>
      <c r="N725" s="4" t="n">
        <v>0</v>
      </c>
      <c r="O725" s="4" t="n">
        <v>10</v>
      </c>
      <c r="P725" s="4" t="n">
        <v>0</v>
      </c>
      <c r="Q725" s="4" t="n">
        <v>2</v>
      </c>
      <c r="R725" s="4" t="n">
        <f aca="false">M725+N725+O725+P725+Q725</f>
        <v>108</v>
      </c>
      <c r="S725" s="4" t="n">
        <v>21</v>
      </c>
      <c r="T725" s="4" t="n">
        <f aca="false">R725*K725</f>
        <v>143748000</v>
      </c>
      <c r="U725" s="9" t="n">
        <f aca="false">IFERROR(M725/S725,0)</f>
        <v>4.57142857142857</v>
      </c>
      <c r="V725" s="5" t="n">
        <v>0.1886</v>
      </c>
    </row>
    <row r="726" customFormat="false" ht="15" hidden="false" customHeight="false" outlineLevel="0" collapsed="false">
      <c r="A726" s="8" t="s">
        <v>79</v>
      </c>
      <c r="B726" s="8" t="s">
        <v>21</v>
      </c>
      <c r="C726" s="8" t="s">
        <v>1404</v>
      </c>
      <c r="D726" s="8" t="n">
        <v>178169</v>
      </c>
      <c r="E726" s="8" t="s">
        <v>647</v>
      </c>
      <c r="F726" s="8" t="s">
        <v>809</v>
      </c>
      <c r="G726" s="8" t="s">
        <v>961</v>
      </c>
      <c r="H726" s="8" t="s">
        <v>51</v>
      </c>
      <c r="I726" s="8" t="s">
        <v>80</v>
      </c>
      <c r="J726" s="4" t="n">
        <v>2596000</v>
      </c>
      <c r="K726" s="4" t="n">
        <v>2547000</v>
      </c>
      <c r="L726" s="5" t="n">
        <v>0.01926</v>
      </c>
      <c r="M726" s="4" t="n">
        <v>72</v>
      </c>
      <c r="N726" s="4" t="n">
        <v>0</v>
      </c>
      <c r="O726" s="4" t="n">
        <v>7</v>
      </c>
      <c r="P726" s="4" t="n">
        <v>0</v>
      </c>
      <c r="Q726" s="4" t="n">
        <v>0</v>
      </c>
      <c r="R726" s="4" t="n">
        <f aca="false">M726+N726+O726+P726+Q726</f>
        <v>79</v>
      </c>
      <c r="S726" s="4" t="n">
        <v>22</v>
      </c>
      <c r="T726" s="4" t="n">
        <f aca="false">R726*K726</f>
        <v>201213000</v>
      </c>
      <c r="U726" s="9" t="n">
        <f aca="false">IFERROR(M726/S726,0)</f>
        <v>3.27272727272727</v>
      </c>
      <c r="V726" s="5" t="n">
        <v>0.2619</v>
      </c>
    </row>
    <row r="727" customFormat="false" ht="15" hidden="false" customHeight="false" outlineLevel="0" collapsed="false">
      <c r="A727" s="8" t="s">
        <v>79</v>
      </c>
      <c r="B727" s="8" t="s">
        <v>21</v>
      </c>
      <c r="C727" s="8" t="s">
        <v>1404</v>
      </c>
      <c r="D727" s="8" t="n">
        <v>110546</v>
      </c>
      <c r="E727" s="8" t="s">
        <v>649</v>
      </c>
      <c r="F727" s="8" t="s">
        <v>809</v>
      </c>
      <c r="G727" s="8" t="s">
        <v>961</v>
      </c>
      <c r="H727" s="8" t="s">
        <v>51</v>
      </c>
      <c r="I727" s="8" t="s">
        <v>80</v>
      </c>
      <c r="J727" s="4" t="n">
        <v>1829000</v>
      </c>
      <c r="K727" s="4" t="n">
        <v>1779000</v>
      </c>
      <c r="L727" s="5" t="n">
        <v>0.02734</v>
      </c>
      <c r="M727" s="4" t="n">
        <v>68</v>
      </c>
      <c r="N727" s="4" t="n">
        <v>0</v>
      </c>
      <c r="O727" s="4" t="n">
        <v>2</v>
      </c>
      <c r="P727" s="4" t="n">
        <v>0</v>
      </c>
      <c r="Q727" s="4" t="n">
        <v>0</v>
      </c>
      <c r="R727" s="4" t="n">
        <f aca="false">M727+N727+O727+P727+Q727</f>
        <v>70</v>
      </c>
      <c r="S727" s="4" t="n">
        <v>21</v>
      </c>
      <c r="T727" s="4" t="n">
        <f aca="false">R727*K727</f>
        <v>124530000</v>
      </c>
      <c r="U727" s="9" t="n">
        <f aca="false">IFERROR(M727/S727,0)</f>
        <v>3.23809523809524</v>
      </c>
      <c r="V727" s="5" t="n">
        <v>0.2693</v>
      </c>
    </row>
    <row r="728" customFormat="false" ht="15" hidden="false" customHeight="false" outlineLevel="0" collapsed="false">
      <c r="A728" s="8" t="s">
        <v>104</v>
      </c>
      <c r="B728" s="8" t="s">
        <v>21</v>
      </c>
      <c r="C728" s="8" t="s">
        <v>1401</v>
      </c>
      <c r="D728" s="8" t="n">
        <v>111045</v>
      </c>
      <c r="E728" s="8" t="s">
        <v>654</v>
      </c>
      <c r="F728" s="8" t="s">
        <v>1044</v>
      </c>
      <c r="G728" s="8" t="s">
        <v>961</v>
      </c>
      <c r="H728" s="8" t="s">
        <v>66</v>
      </c>
      <c r="I728" s="8" t="s">
        <v>105</v>
      </c>
      <c r="J728" s="4" t="n">
        <v>584000</v>
      </c>
      <c r="K728" s="4" t="n">
        <v>467000</v>
      </c>
      <c r="L728" s="5" t="n">
        <v>0.2</v>
      </c>
      <c r="M728" s="4" t="n">
        <v>202</v>
      </c>
      <c r="N728" s="4" t="n">
        <v>0</v>
      </c>
      <c r="O728" s="4" t="n">
        <v>12</v>
      </c>
      <c r="P728" s="4" t="n">
        <v>0</v>
      </c>
      <c r="Q728" s="4" t="n">
        <v>11</v>
      </c>
      <c r="R728" s="4" t="n">
        <f aca="false">M728+N728+O728+P728+Q728</f>
        <v>225</v>
      </c>
      <c r="S728" s="4" t="n">
        <v>23</v>
      </c>
      <c r="T728" s="4" t="n">
        <f aca="false">R728*K728</f>
        <v>105075000</v>
      </c>
      <c r="U728" s="9" t="n">
        <f aca="false">IFERROR(M728/S728,0)</f>
        <v>8.78260869565217</v>
      </c>
      <c r="V728" s="5"/>
    </row>
    <row r="729" customFormat="false" ht="15" hidden="false" customHeight="false" outlineLevel="0" collapsed="false">
      <c r="A729" s="8" t="s">
        <v>104</v>
      </c>
      <c r="B729" s="8" t="s">
        <v>21</v>
      </c>
      <c r="C729" s="8" t="s">
        <v>1401</v>
      </c>
      <c r="D729" s="8" t="n">
        <v>111043</v>
      </c>
      <c r="E729" s="8" t="s">
        <v>652</v>
      </c>
      <c r="F729" s="8" t="s">
        <v>1044</v>
      </c>
      <c r="G729" s="8" t="s">
        <v>961</v>
      </c>
      <c r="H729" s="8" t="s">
        <v>66</v>
      </c>
      <c r="I729" s="8" t="s">
        <v>105</v>
      </c>
      <c r="J729" s="4" t="n">
        <v>584000</v>
      </c>
      <c r="K729" s="4" t="n">
        <v>467000</v>
      </c>
      <c r="L729" s="5" t="n">
        <v>0.2</v>
      </c>
      <c r="M729" s="4" t="n">
        <v>191</v>
      </c>
      <c r="N729" s="4" t="n">
        <v>0</v>
      </c>
      <c r="O729" s="4" t="n">
        <v>12</v>
      </c>
      <c r="P729" s="4" t="n">
        <v>0</v>
      </c>
      <c r="Q729" s="4" t="n">
        <v>8</v>
      </c>
      <c r="R729" s="4" t="n">
        <f aca="false">M729+N729+O729+P729+Q729</f>
        <v>211</v>
      </c>
      <c r="S729" s="4" t="n">
        <v>22</v>
      </c>
      <c r="T729" s="4" t="n">
        <f aca="false">R729*K729</f>
        <v>98537000</v>
      </c>
      <c r="U729" s="9" t="n">
        <f aca="false">IFERROR(M729/S729,0)</f>
        <v>8.68181818181818</v>
      </c>
      <c r="V729" s="5"/>
    </row>
    <row r="730" customFormat="false" ht="15" hidden="false" customHeight="false" outlineLevel="0" collapsed="false">
      <c r="A730" s="8" t="s">
        <v>104</v>
      </c>
      <c r="B730" s="8" t="s">
        <v>21</v>
      </c>
      <c r="C730" s="8" t="s">
        <v>1401</v>
      </c>
      <c r="D730" s="8" t="n">
        <v>111044</v>
      </c>
      <c r="E730" s="8" t="s">
        <v>653</v>
      </c>
      <c r="F730" s="8" t="s">
        <v>770</v>
      </c>
      <c r="G730" s="8" t="s">
        <v>961</v>
      </c>
      <c r="H730" s="8" t="s">
        <v>66</v>
      </c>
      <c r="I730" s="8" t="s">
        <v>105</v>
      </c>
      <c r="J730" s="4" t="n">
        <v>616000</v>
      </c>
      <c r="K730" s="4" t="n">
        <v>493000</v>
      </c>
      <c r="L730" s="5" t="n">
        <v>0.2</v>
      </c>
      <c r="M730" s="4" t="n">
        <v>173</v>
      </c>
      <c r="N730" s="4" t="n">
        <v>0</v>
      </c>
      <c r="O730" s="4" t="n">
        <v>0</v>
      </c>
      <c r="P730" s="4" t="n">
        <v>0</v>
      </c>
      <c r="Q730" s="4" t="n">
        <v>1</v>
      </c>
      <c r="R730" s="4" t="n">
        <f aca="false">M730+N730+O730+P730+Q730</f>
        <v>174</v>
      </c>
      <c r="S730" s="4" t="n">
        <v>23</v>
      </c>
      <c r="T730" s="4" t="n">
        <f aca="false">R730*K730</f>
        <v>85782000</v>
      </c>
      <c r="U730" s="9" t="n">
        <f aca="false">IFERROR(M730/S730,0)</f>
        <v>7.52173913043478</v>
      </c>
      <c r="V730" s="5"/>
    </row>
    <row r="731" customFormat="false" ht="15" hidden="false" customHeight="false" outlineLevel="0" collapsed="false">
      <c r="A731" s="8" t="s">
        <v>214</v>
      </c>
      <c r="B731" s="8" t="s">
        <v>26</v>
      </c>
      <c r="C731" s="8" t="s">
        <v>1384</v>
      </c>
      <c r="D731" s="8" t="n">
        <v>153771</v>
      </c>
      <c r="E731" s="8" t="s">
        <v>721</v>
      </c>
      <c r="F731" s="8" t="s">
        <v>809</v>
      </c>
      <c r="G731" s="8" t="s">
        <v>961</v>
      </c>
      <c r="H731" s="8" t="s">
        <v>51</v>
      </c>
      <c r="I731" s="8" t="s">
        <v>215</v>
      </c>
      <c r="J731" s="4" t="n">
        <v>75000</v>
      </c>
      <c r="K731" s="4" t="n">
        <v>60000</v>
      </c>
      <c r="L731" s="5" t="n">
        <v>0.21333</v>
      </c>
      <c r="M731" s="4" t="n">
        <v>199</v>
      </c>
      <c r="N731" s="4" t="n">
        <v>0</v>
      </c>
      <c r="O731" s="4" t="n">
        <v>10</v>
      </c>
      <c r="P731" s="4" t="n">
        <v>0</v>
      </c>
      <c r="Q731" s="4" t="n">
        <v>0</v>
      </c>
      <c r="R731" s="4" t="n">
        <f aca="false">M731+N731+O731+P731+Q731</f>
        <v>209</v>
      </c>
      <c r="S731" s="4" t="n">
        <v>18</v>
      </c>
      <c r="T731" s="4" t="n">
        <f aca="false">R731*K731</f>
        <v>12540000</v>
      </c>
      <c r="U731" s="9" t="n">
        <f aca="false">IFERROR(M731/S731,0)</f>
        <v>11.0555555555556</v>
      </c>
      <c r="V731" s="5" t="n">
        <v>0.1667</v>
      </c>
    </row>
    <row r="732" customFormat="false" ht="15" hidden="false" customHeight="false" outlineLevel="0" collapsed="false">
      <c r="A732" s="8" t="s">
        <v>214</v>
      </c>
      <c r="B732" s="8" t="s">
        <v>26</v>
      </c>
      <c r="C732" s="8" t="s">
        <v>1384</v>
      </c>
      <c r="D732" s="8" t="n">
        <v>153772</v>
      </c>
      <c r="E732" s="8" t="s">
        <v>722</v>
      </c>
      <c r="F732" s="8" t="s">
        <v>809</v>
      </c>
      <c r="G732" s="8" t="s">
        <v>961</v>
      </c>
      <c r="H732" s="8" t="s">
        <v>51</v>
      </c>
      <c r="I732" s="8" t="s">
        <v>215</v>
      </c>
      <c r="J732" s="4" t="n">
        <v>75000</v>
      </c>
      <c r="K732" s="4" t="n">
        <v>60000</v>
      </c>
      <c r="L732" s="5" t="n">
        <v>0.21333</v>
      </c>
      <c r="M732" s="4" t="n">
        <v>194</v>
      </c>
      <c r="N732" s="4" t="n">
        <v>0</v>
      </c>
      <c r="O732" s="4" t="n">
        <v>0</v>
      </c>
      <c r="P732" s="4" t="n">
        <v>0</v>
      </c>
      <c r="Q732" s="4" t="n">
        <v>0</v>
      </c>
      <c r="R732" s="4" t="n">
        <f aca="false">M732+N732+O732+P732+Q732</f>
        <v>194</v>
      </c>
      <c r="S732" s="4" t="n">
        <v>20</v>
      </c>
      <c r="T732" s="4" t="n">
        <f aca="false">R732*K732</f>
        <v>11640000</v>
      </c>
      <c r="U732" s="9" t="n">
        <f aca="false">IFERROR(M732/S732,0)</f>
        <v>9.7</v>
      </c>
      <c r="V732" s="5" t="n">
        <v>0.1667</v>
      </c>
    </row>
    <row r="733" customFormat="false" ht="15" hidden="false" customHeight="false" outlineLevel="0" collapsed="false">
      <c r="A733" s="8" t="s">
        <v>214</v>
      </c>
      <c r="B733" s="8" t="s">
        <v>26</v>
      </c>
      <c r="C733" s="8" t="s">
        <v>1384</v>
      </c>
      <c r="D733" s="8" t="n">
        <v>153770</v>
      </c>
      <c r="E733" s="8" t="s">
        <v>720</v>
      </c>
      <c r="F733" s="8" t="s">
        <v>809</v>
      </c>
      <c r="G733" s="8" t="s">
        <v>961</v>
      </c>
      <c r="H733" s="8" t="s">
        <v>51</v>
      </c>
      <c r="I733" s="8" t="s">
        <v>215</v>
      </c>
      <c r="J733" s="4" t="n">
        <v>75000</v>
      </c>
      <c r="K733" s="4" t="n">
        <v>60000</v>
      </c>
      <c r="L733" s="5" t="n">
        <v>0.21333</v>
      </c>
      <c r="M733" s="4" t="n">
        <v>157</v>
      </c>
      <c r="N733" s="4" t="n">
        <v>0</v>
      </c>
      <c r="O733" s="4" t="n">
        <v>0</v>
      </c>
      <c r="P733" s="4" t="n">
        <v>0</v>
      </c>
      <c r="Q733" s="4" t="n">
        <v>0</v>
      </c>
      <c r="R733" s="4" t="n">
        <f aca="false">M733+N733+O733+P733+Q733</f>
        <v>157</v>
      </c>
      <c r="S733" s="4" t="n">
        <v>18</v>
      </c>
      <c r="T733" s="4" t="n">
        <f aca="false">R733*K733</f>
        <v>9420000</v>
      </c>
      <c r="U733" s="9" t="n">
        <f aca="false">IFERROR(M733/S733,0)</f>
        <v>8.72222222222222</v>
      </c>
      <c r="V733" s="5" t="n">
        <v>0.1667</v>
      </c>
    </row>
    <row r="734" customFormat="false" ht="15" hidden="false" customHeight="false" outlineLevel="0" collapsed="false">
      <c r="A734" s="8" t="s">
        <v>214</v>
      </c>
      <c r="B734" s="8" t="s">
        <v>26</v>
      </c>
      <c r="C734" s="8" t="s">
        <v>1384</v>
      </c>
      <c r="D734" s="8" t="n">
        <v>153710</v>
      </c>
      <c r="E734" s="8" t="s">
        <v>1407</v>
      </c>
      <c r="F734" s="8" t="s">
        <v>809</v>
      </c>
      <c r="G734" s="8" t="s">
        <v>961</v>
      </c>
      <c r="H734" s="8" t="s">
        <v>51</v>
      </c>
      <c r="I734" s="8" t="s">
        <v>215</v>
      </c>
      <c r="J734" s="4" t="n">
        <v>75000</v>
      </c>
      <c r="K734" s="4" t="n">
        <v>60000</v>
      </c>
      <c r="L734" s="5" t="n">
        <v>0.21333</v>
      </c>
      <c r="M734" s="4" t="n">
        <v>47</v>
      </c>
      <c r="N734" s="4" t="n">
        <v>0</v>
      </c>
      <c r="O734" s="4" t="n">
        <v>0</v>
      </c>
      <c r="P734" s="4" t="n">
        <v>0</v>
      </c>
      <c r="Q734" s="4" t="n">
        <v>0</v>
      </c>
      <c r="R734" s="4" t="n">
        <f aca="false">M734+N734+O734+P734+Q734</f>
        <v>47</v>
      </c>
      <c r="S734" s="4" t="n">
        <v>11</v>
      </c>
      <c r="T734" s="4" t="n">
        <f aca="false">R734*K734</f>
        <v>2820000</v>
      </c>
      <c r="U734" s="9" t="n">
        <f aca="false">IFERROR(M734/S734,0)</f>
        <v>4.27272727272727</v>
      </c>
      <c r="V734" s="5" t="n">
        <v>0.1667</v>
      </c>
    </row>
    <row r="735" customFormat="false" ht="15" hidden="false" customHeight="false" outlineLevel="0" collapsed="false">
      <c r="A735" s="8" t="s">
        <v>129</v>
      </c>
      <c r="B735" s="8" t="s">
        <v>20</v>
      </c>
      <c r="C735" s="8" t="s">
        <v>1048</v>
      </c>
      <c r="D735" s="8" t="n">
        <v>102033</v>
      </c>
      <c r="E735" s="8" t="s">
        <v>398</v>
      </c>
      <c r="F735" s="8" t="s">
        <v>1044</v>
      </c>
      <c r="G735" s="8" t="s">
        <v>961</v>
      </c>
      <c r="H735" s="8" t="s">
        <v>62</v>
      </c>
      <c r="I735" s="18" t="s">
        <v>130</v>
      </c>
      <c r="J735" s="4" t="n">
        <v>365000</v>
      </c>
      <c r="K735" s="4" t="n">
        <v>288000</v>
      </c>
      <c r="L735" s="5" t="n">
        <v>0.21221</v>
      </c>
      <c r="M735" s="4" t="n">
        <v>102</v>
      </c>
      <c r="N735" s="4" t="n">
        <v>46</v>
      </c>
      <c r="O735" s="4" t="n">
        <v>15</v>
      </c>
      <c r="P735" s="4" t="n">
        <v>0</v>
      </c>
      <c r="Q735" s="4" t="n">
        <v>9</v>
      </c>
      <c r="R735" s="4" t="n">
        <f aca="false">M735+N735+O735+P735+Q735</f>
        <v>172</v>
      </c>
      <c r="S735" s="4" t="n">
        <v>22</v>
      </c>
      <c r="T735" s="4" t="n">
        <f aca="false">R735*K735</f>
        <v>49536000</v>
      </c>
      <c r="U735" s="9" t="n">
        <f aca="false">IFERROR(M735/S735,0)</f>
        <v>4.63636363636364</v>
      </c>
      <c r="V735" s="5"/>
    </row>
    <row r="736" customFormat="false" ht="15" hidden="false" customHeight="false" outlineLevel="0" collapsed="false">
      <c r="A736" s="8" t="s">
        <v>129</v>
      </c>
      <c r="B736" s="8" t="s">
        <v>20</v>
      </c>
      <c r="C736" s="8" t="s">
        <v>1048</v>
      </c>
      <c r="D736" s="8" t="n">
        <v>102385</v>
      </c>
      <c r="E736" s="8" t="s">
        <v>620</v>
      </c>
      <c r="F736" s="8" t="s">
        <v>829</v>
      </c>
      <c r="G736" s="8" t="s">
        <v>961</v>
      </c>
      <c r="H736" s="8" t="s">
        <v>62</v>
      </c>
      <c r="I736" s="18" t="s">
        <v>130</v>
      </c>
      <c r="J736" s="4" t="n">
        <v>465000</v>
      </c>
      <c r="K736" s="4" t="n">
        <v>366000</v>
      </c>
      <c r="L736" s="5" t="n">
        <v>0.21221</v>
      </c>
      <c r="M736" s="4" t="n">
        <v>143</v>
      </c>
      <c r="N736" s="4" t="n">
        <v>0</v>
      </c>
      <c r="O736" s="4" t="n">
        <v>6</v>
      </c>
      <c r="P736" s="4" t="n">
        <v>0</v>
      </c>
      <c r="Q736" s="4" t="n">
        <v>0</v>
      </c>
      <c r="R736" s="4" t="n">
        <f aca="false">M736+N736+O736+P736+Q736</f>
        <v>149</v>
      </c>
      <c r="S736" s="4" t="n">
        <v>23</v>
      </c>
      <c r="T736" s="4" t="n">
        <f aca="false">R736*K736</f>
        <v>54534000</v>
      </c>
      <c r="U736" s="9" t="n">
        <f aca="false">IFERROR(M736/S736,0)</f>
        <v>6.21739130434783</v>
      </c>
      <c r="V736" s="5"/>
    </row>
    <row r="737" customFormat="false" ht="15" hidden="false" customHeight="false" outlineLevel="0" collapsed="false">
      <c r="A737" s="8" t="s">
        <v>129</v>
      </c>
      <c r="B737" s="8" t="s">
        <v>20</v>
      </c>
      <c r="C737" s="8" t="s">
        <v>1048</v>
      </c>
      <c r="D737" s="8" t="n">
        <v>102194</v>
      </c>
      <c r="E737" s="8" t="s">
        <v>451</v>
      </c>
      <c r="F737" s="8" t="s">
        <v>1044</v>
      </c>
      <c r="G737" s="8" t="s">
        <v>961</v>
      </c>
      <c r="H737" s="8" t="s">
        <v>62</v>
      </c>
      <c r="I737" s="18" t="s">
        <v>130</v>
      </c>
      <c r="J737" s="4" t="n">
        <v>445000</v>
      </c>
      <c r="K737" s="4" t="n">
        <v>351000</v>
      </c>
      <c r="L737" s="5" t="n">
        <v>0.21221</v>
      </c>
      <c r="M737" s="4" t="n">
        <v>101</v>
      </c>
      <c r="N737" s="4" t="n">
        <v>14</v>
      </c>
      <c r="O737" s="4" t="n">
        <v>23</v>
      </c>
      <c r="P737" s="4" t="n">
        <v>0</v>
      </c>
      <c r="Q737" s="4" t="n">
        <v>6</v>
      </c>
      <c r="R737" s="4" t="n">
        <f aca="false">M737+N737+O737+P737+Q737</f>
        <v>144</v>
      </c>
      <c r="S737" s="4" t="n">
        <v>23</v>
      </c>
      <c r="T737" s="4" t="n">
        <f aca="false">R737*K737</f>
        <v>50544000</v>
      </c>
      <c r="U737" s="9" t="n">
        <f aca="false">IFERROR(M737/S737,0)</f>
        <v>4.39130434782609</v>
      </c>
      <c r="V737" s="5"/>
    </row>
    <row r="738" customFormat="false" ht="15" hidden="false" customHeight="false" outlineLevel="0" collapsed="false">
      <c r="A738" s="8" t="s">
        <v>129</v>
      </c>
      <c r="B738" s="8" t="s">
        <v>20</v>
      </c>
      <c r="C738" s="8" t="s">
        <v>1048</v>
      </c>
      <c r="D738" s="8" t="n">
        <v>102195</v>
      </c>
      <c r="E738" s="8" t="s">
        <v>461</v>
      </c>
      <c r="F738" s="8" t="s">
        <v>1044</v>
      </c>
      <c r="G738" s="8" t="s">
        <v>961</v>
      </c>
      <c r="H738" s="8" t="s">
        <v>62</v>
      </c>
      <c r="I738" s="18" t="s">
        <v>130</v>
      </c>
      <c r="J738" s="4" t="n">
        <v>445000</v>
      </c>
      <c r="K738" s="4" t="n">
        <v>351000</v>
      </c>
      <c r="L738" s="5" t="n">
        <v>0.21221</v>
      </c>
      <c r="M738" s="4" t="n">
        <v>111</v>
      </c>
      <c r="N738" s="4" t="n">
        <v>4</v>
      </c>
      <c r="O738" s="4" t="n">
        <v>17</v>
      </c>
      <c r="P738" s="4" t="n">
        <v>0</v>
      </c>
      <c r="Q738" s="4" t="n">
        <v>3</v>
      </c>
      <c r="R738" s="4" t="n">
        <f aca="false">M738+N738+O738+P738+Q738</f>
        <v>135</v>
      </c>
      <c r="S738" s="4" t="n">
        <v>23</v>
      </c>
      <c r="T738" s="4" t="n">
        <f aca="false">R738*K738</f>
        <v>47385000</v>
      </c>
      <c r="U738" s="9" t="n">
        <f aca="false">IFERROR(M738/S738,0)</f>
        <v>4.82608695652174</v>
      </c>
      <c r="V738" s="5"/>
    </row>
    <row r="739" customFormat="false" ht="15" hidden="false" customHeight="false" outlineLevel="0" collapsed="false">
      <c r="A739" s="8" t="s">
        <v>135</v>
      </c>
      <c r="B739" s="8" t="s">
        <v>26</v>
      </c>
      <c r="C739" s="8" t="s">
        <v>1394</v>
      </c>
      <c r="D739" s="8" t="n">
        <v>152108</v>
      </c>
      <c r="E739" s="8" t="s">
        <v>723</v>
      </c>
      <c r="F739" s="8" t="s">
        <v>1044</v>
      </c>
      <c r="G739" s="8" t="s">
        <v>961</v>
      </c>
      <c r="H739" s="8" t="s">
        <v>51</v>
      </c>
      <c r="I739" s="8" t="s">
        <v>136</v>
      </c>
      <c r="J739" s="4" t="n">
        <v>330000</v>
      </c>
      <c r="K739" s="4" t="n">
        <v>299000</v>
      </c>
      <c r="L739" s="5" t="n">
        <v>0.09394</v>
      </c>
      <c r="M739" s="4" t="n">
        <v>482</v>
      </c>
      <c r="N739" s="4" t="n">
        <v>0</v>
      </c>
      <c r="O739" s="4" t="n">
        <v>21</v>
      </c>
      <c r="P739" s="4" t="n">
        <v>0</v>
      </c>
      <c r="Q739" s="4" t="n">
        <v>72</v>
      </c>
      <c r="R739" s="4" t="n">
        <f aca="false">M739+N739+O739+P739+Q739</f>
        <v>575</v>
      </c>
      <c r="S739" s="4" t="n">
        <v>24</v>
      </c>
      <c r="T739" s="4" t="n">
        <f aca="false">R739*K739</f>
        <v>171925000</v>
      </c>
      <c r="U739" s="9" t="n">
        <f aca="false">IFERROR(M739/S739,0)</f>
        <v>20.0833333333333</v>
      </c>
      <c r="V739" s="5" t="n">
        <v>0.1898</v>
      </c>
    </row>
    <row r="740" customFormat="false" ht="15" hidden="false" customHeight="false" outlineLevel="0" collapsed="false">
      <c r="A740" s="8" t="s">
        <v>71</v>
      </c>
      <c r="B740" s="8" t="s">
        <v>21</v>
      </c>
      <c r="C740" s="8" t="s">
        <v>1401</v>
      </c>
      <c r="D740" s="8" t="n">
        <v>110498</v>
      </c>
      <c r="E740" s="8" t="s">
        <v>656</v>
      </c>
      <c r="F740" s="8" t="s">
        <v>1044</v>
      </c>
      <c r="G740" s="8" t="s">
        <v>961</v>
      </c>
      <c r="H740" s="8" t="s">
        <v>51</v>
      </c>
      <c r="I740" s="8" t="s">
        <v>72</v>
      </c>
      <c r="J740" s="4" t="n">
        <v>2500000</v>
      </c>
      <c r="K740" s="4" t="n">
        <v>2300000</v>
      </c>
      <c r="L740" s="5" t="n">
        <v>0.08</v>
      </c>
      <c r="M740" s="4" t="n">
        <v>128</v>
      </c>
      <c r="N740" s="4" t="n">
        <v>0</v>
      </c>
      <c r="O740" s="4" t="n">
        <v>0</v>
      </c>
      <c r="P740" s="4" t="n">
        <v>0</v>
      </c>
      <c r="Q740" s="4" t="n">
        <v>0</v>
      </c>
      <c r="R740" s="4" t="n">
        <f aca="false">M740+N740+O740+P740+Q740</f>
        <v>128</v>
      </c>
      <c r="S740" s="4" t="n">
        <v>21</v>
      </c>
      <c r="T740" s="4" t="n">
        <f aca="false">R740*K740</f>
        <v>294400000</v>
      </c>
      <c r="U740" s="9" t="n">
        <f aca="false">IFERROR(M740/S740,0)</f>
        <v>6.0952380952381</v>
      </c>
      <c r="V740" s="5" t="n">
        <v>0.1848</v>
      </c>
    </row>
    <row r="741" customFormat="false" ht="15" hidden="false" customHeight="false" outlineLevel="0" collapsed="false">
      <c r="A741" s="8" t="s">
        <v>71</v>
      </c>
      <c r="B741" s="8" t="s">
        <v>21</v>
      </c>
      <c r="C741" s="8" t="s">
        <v>1401</v>
      </c>
      <c r="D741" s="8" t="n">
        <v>110547</v>
      </c>
      <c r="E741" s="8" t="s">
        <v>657</v>
      </c>
      <c r="F741" s="8" t="s">
        <v>1044</v>
      </c>
      <c r="G741" s="8" t="s">
        <v>961</v>
      </c>
      <c r="H741" s="8" t="s">
        <v>51</v>
      </c>
      <c r="I741" s="8" t="s">
        <v>72</v>
      </c>
      <c r="J741" s="4" t="n">
        <v>690000</v>
      </c>
      <c r="K741" s="4" t="n">
        <v>490000</v>
      </c>
      <c r="L741" s="5" t="n">
        <v>0.28986</v>
      </c>
      <c r="M741" s="4" t="n">
        <v>128</v>
      </c>
      <c r="N741" s="4" t="n">
        <v>0</v>
      </c>
      <c r="O741" s="4" t="n">
        <v>0</v>
      </c>
      <c r="P741" s="4" t="n">
        <v>0</v>
      </c>
      <c r="Q741" s="4" t="n">
        <v>0</v>
      </c>
      <c r="R741" s="4" t="n">
        <f aca="false">M741+N741+O741+P741+Q741</f>
        <v>128</v>
      </c>
      <c r="S741" s="4" t="n">
        <v>22</v>
      </c>
      <c r="T741" s="4" t="n">
        <f aca="false">R741*K741</f>
        <v>62720000</v>
      </c>
      <c r="U741" s="9" t="n">
        <f aca="false">IFERROR(M741/S741,0)</f>
        <v>5.81818181818182</v>
      </c>
      <c r="V741" s="5" t="n">
        <v>0.0449</v>
      </c>
    </row>
    <row r="742" customFormat="false" ht="15" hidden="false" customHeight="false" outlineLevel="0" collapsed="false">
      <c r="A742" s="8" t="s">
        <v>71</v>
      </c>
      <c r="B742" s="8" t="s">
        <v>21</v>
      </c>
      <c r="C742" s="8" t="s">
        <v>1401</v>
      </c>
      <c r="D742" s="8" t="n">
        <v>110497</v>
      </c>
      <c r="E742" s="8" t="s">
        <v>659</v>
      </c>
      <c r="F742" s="8" t="s">
        <v>1044</v>
      </c>
      <c r="G742" s="8" t="s">
        <v>961</v>
      </c>
      <c r="H742" s="8" t="s">
        <v>51</v>
      </c>
      <c r="I742" s="8" t="s">
        <v>72</v>
      </c>
      <c r="J742" s="4" t="n">
        <v>3100000</v>
      </c>
      <c r="K742" s="4" t="n">
        <v>2900000</v>
      </c>
      <c r="L742" s="5" t="n">
        <v>0.06452</v>
      </c>
      <c r="M742" s="4" t="n">
        <v>117</v>
      </c>
      <c r="N742" s="4" t="n">
        <v>0</v>
      </c>
      <c r="O742" s="4" t="n">
        <v>2</v>
      </c>
      <c r="P742" s="4" t="n">
        <v>0</v>
      </c>
      <c r="Q742" s="4" t="n">
        <v>0</v>
      </c>
      <c r="R742" s="4" t="n">
        <f aca="false">M742+N742+O742+P742+Q742</f>
        <v>119</v>
      </c>
      <c r="S742" s="4" t="n">
        <v>22</v>
      </c>
      <c r="T742" s="4" t="n">
        <f aca="false">R742*K742</f>
        <v>345100000</v>
      </c>
      <c r="U742" s="9" t="n">
        <f aca="false">IFERROR(M742/S742,0)</f>
        <v>5.31818181818182</v>
      </c>
      <c r="V742" s="5" t="n">
        <v>0.1983</v>
      </c>
    </row>
    <row r="743" customFormat="false" ht="15" hidden="false" customHeight="false" outlineLevel="0" collapsed="false">
      <c r="A743" s="8" t="s">
        <v>71</v>
      </c>
      <c r="B743" s="8" t="s">
        <v>21</v>
      </c>
      <c r="C743" s="8" t="s">
        <v>1401</v>
      </c>
      <c r="D743" s="8" t="n">
        <v>110496</v>
      </c>
      <c r="E743" s="8" t="s">
        <v>658</v>
      </c>
      <c r="F743" s="8" t="s">
        <v>1044</v>
      </c>
      <c r="G743" s="8" t="s">
        <v>961</v>
      </c>
      <c r="H743" s="8" t="s">
        <v>51</v>
      </c>
      <c r="I743" s="8" t="s">
        <v>72</v>
      </c>
      <c r="J743" s="4" t="n">
        <v>2400000</v>
      </c>
      <c r="K743" s="4" t="n">
        <v>2201000</v>
      </c>
      <c r="L743" s="5" t="n">
        <v>0.08333</v>
      </c>
      <c r="M743" s="4" t="n">
        <v>110</v>
      </c>
      <c r="N743" s="4" t="n">
        <v>0</v>
      </c>
      <c r="O743" s="4" t="n">
        <v>3</v>
      </c>
      <c r="P743" s="4" t="n">
        <v>0</v>
      </c>
      <c r="Q743" s="4" t="n">
        <v>0</v>
      </c>
      <c r="R743" s="4" t="n">
        <f aca="false">M743+N743+O743+P743+Q743</f>
        <v>113</v>
      </c>
      <c r="S743" s="4" t="n">
        <v>22</v>
      </c>
      <c r="T743" s="4" t="n">
        <f aca="false">R743*K743</f>
        <v>248713000</v>
      </c>
      <c r="U743" s="9" t="n">
        <f aca="false">IFERROR(M743/S743,0)</f>
        <v>5</v>
      </c>
      <c r="V743" s="5" t="n">
        <v>0.1822</v>
      </c>
    </row>
    <row r="744" customFormat="false" ht="15" hidden="false" customHeight="false" outlineLevel="0" collapsed="false">
      <c r="A744" s="8" t="s">
        <v>71</v>
      </c>
      <c r="B744" s="8" t="s">
        <v>21</v>
      </c>
      <c r="C744" s="8" t="s">
        <v>1401</v>
      </c>
      <c r="D744" s="8" t="n">
        <v>110495</v>
      </c>
      <c r="E744" s="8" t="s">
        <v>655</v>
      </c>
      <c r="F744" s="8" t="s">
        <v>1044</v>
      </c>
      <c r="G744" s="8" t="s">
        <v>961</v>
      </c>
      <c r="H744" s="8" t="s">
        <v>51</v>
      </c>
      <c r="I744" s="8" t="s">
        <v>72</v>
      </c>
      <c r="J744" s="4" t="n">
        <v>2000000</v>
      </c>
      <c r="K744" s="4" t="n">
        <v>1800000</v>
      </c>
      <c r="L744" s="5" t="n">
        <v>0.1</v>
      </c>
      <c r="M744" s="4" t="n">
        <v>75</v>
      </c>
      <c r="N744" s="4" t="n">
        <v>0</v>
      </c>
      <c r="O744" s="4" t="n">
        <v>1</v>
      </c>
      <c r="P744" s="4" t="n">
        <v>0</v>
      </c>
      <c r="Q744" s="4" t="n">
        <v>0</v>
      </c>
      <c r="R744" s="4" t="n">
        <f aca="false">M744+N744+O744+P744+Q744</f>
        <v>76</v>
      </c>
      <c r="S744" s="4" t="n">
        <v>21</v>
      </c>
      <c r="T744" s="4" t="n">
        <f aca="false">R744*K744</f>
        <v>136800000</v>
      </c>
      <c r="U744" s="9" t="n">
        <f aca="false">IFERROR(M744/S744,0)</f>
        <v>3.57142857142857</v>
      </c>
      <c r="V744" s="5" t="n">
        <v>0.1667</v>
      </c>
    </row>
    <row r="745" customFormat="false" ht="15" hidden="false" customHeight="false" outlineLevel="0" collapsed="false">
      <c r="A745" s="8" t="s">
        <v>85</v>
      </c>
      <c r="B745" s="8" t="s">
        <v>21</v>
      </c>
      <c r="C745" s="8" t="s">
        <v>1401</v>
      </c>
      <c r="D745" s="8" t="n">
        <v>110964</v>
      </c>
      <c r="E745" s="8" t="s">
        <v>662</v>
      </c>
      <c r="F745" s="8" t="s">
        <v>829</v>
      </c>
      <c r="G745" s="8" t="s">
        <v>961</v>
      </c>
      <c r="H745" s="8" t="s">
        <v>51</v>
      </c>
      <c r="I745" s="8" t="s">
        <v>86</v>
      </c>
      <c r="J745" s="4" t="n">
        <v>1350000</v>
      </c>
      <c r="K745" s="4" t="n">
        <v>810000</v>
      </c>
      <c r="L745" s="5" t="n">
        <v>0.4</v>
      </c>
      <c r="M745" s="4" t="n">
        <v>191</v>
      </c>
      <c r="N745" s="4" t="n">
        <v>0</v>
      </c>
      <c r="O745" s="4" t="n">
        <v>19</v>
      </c>
      <c r="P745" s="4" t="n">
        <v>0</v>
      </c>
      <c r="Q745" s="4" t="n">
        <v>0</v>
      </c>
      <c r="R745" s="4" t="n">
        <f aca="false">M745+N745+O745+P745+Q745</f>
        <v>210</v>
      </c>
      <c r="S745" s="4" t="n">
        <v>21</v>
      </c>
      <c r="T745" s="4" t="n">
        <f aca="false">R745*K745</f>
        <v>170100000</v>
      </c>
      <c r="U745" s="9" t="n">
        <f aca="false">IFERROR(M745/S745,0)</f>
        <v>9.0952380952381</v>
      </c>
      <c r="V745" s="5" t="n">
        <v>0.3037</v>
      </c>
    </row>
    <row r="746" customFormat="false" ht="15" hidden="false" customHeight="false" outlineLevel="0" collapsed="false">
      <c r="A746" s="8" t="s">
        <v>85</v>
      </c>
      <c r="B746" s="8" t="s">
        <v>21</v>
      </c>
      <c r="C746" s="8" t="s">
        <v>1401</v>
      </c>
      <c r="D746" s="8" t="n">
        <v>110962</v>
      </c>
      <c r="E746" s="8" t="s">
        <v>661</v>
      </c>
      <c r="F746" s="8" t="s">
        <v>809</v>
      </c>
      <c r="G746" s="8" t="s">
        <v>961</v>
      </c>
      <c r="H746" s="8" t="s">
        <v>51</v>
      </c>
      <c r="I746" s="8" t="s">
        <v>86</v>
      </c>
      <c r="J746" s="4" t="n">
        <v>1950000</v>
      </c>
      <c r="K746" s="4" t="n">
        <v>1170000</v>
      </c>
      <c r="L746" s="5" t="n">
        <v>0.4</v>
      </c>
      <c r="M746" s="4" t="n">
        <v>171</v>
      </c>
      <c r="N746" s="4" t="n">
        <v>0</v>
      </c>
      <c r="O746" s="4" t="n">
        <v>25</v>
      </c>
      <c r="P746" s="4" t="n">
        <v>1</v>
      </c>
      <c r="Q746" s="4" t="n">
        <v>0</v>
      </c>
      <c r="R746" s="4" t="n">
        <f aca="false">M746+N746+O746+P746+Q746</f>
        <v>197</v>
      </c>
      <c r="S746" s="4" t="n">
        <v>22</v>
      </c>
      <c r="T746" s="4" t="n">
        <f aca="false">R746*K746</f>
        <v>230490000</v>
      </c>
      <c r="U746" s="9" t="n">
        <f aca="false">IFERROR(M746/S746,0)</f>
        <v>7.77272727272727</v>
      </c>
      <c r="V746" s="5" t="n">
        <v>0.1278</v>
      </c>
    </row>
    <row r="747" customFormat="false" ht="15" hidden="false" customHeight="false" outlineLevel="0" collapsed="false">
      <c r="A747" s="8" t="s">
        <v>85</v>
      </c>
      <c r="B747" s="8" t="s">
        <v>21</v>
      </c>
      <c r="C747" s="8" t="s">
        <v>1401</v>
      </c>
      <c r="D747" s="8" t="n">
        <v>110963</v>
      </c>
      <c r="E747" s="8" t="s">
        <v>660</v>
      </c>
      <c r="F747" s="8" t="s">
        <v>809</v>
      </c>
      <c r="G747" s="8" t="s">
        <v>961</v>
      </c>
      <c r="H747" s="8" t="s">
        <v>51</v>
      </c>
      <c r="I747" s="8" t="s">
        <v>86</v>
      </c>
      <c r="J747" s="4" t="n">
        <v>2150000</v>
      </c>
      <c r="K747" s="4" t="n">
        <v>1290000</v>
      </c>
      <c r="L747" s="5" t="n">
        <v>0.4</v>
      </c>
      <c r="M747" s="4" t="n">
        <v>135</v>
      </c>
      <c r="N747" s="4" t="n">
        <v>0</v>
      </c>
      <c r="O747" s="4" t="n">
        <v>9</v>
      </c>
      <c r="P747" s="4" t="n">
        <v>0</v>
      </c>
      <c r="Q747" s="4" t="n">
        <v>3</v>
      </c>
      <c r="R747" s="4" t="n">
        <f aca="false">M747+N747+O747+P747+Q747</f>
        <v>147</v>
      </c>
      <c r="S747" s="4" t="n">
        <v>22</v>
      </c>
      <c r="T747" s="4" t="n">
        <f aca="false">R747*K747</f>
        <v>189630000</v>
      </c>
      <c r="U747" s="9" t="n">
        <f aca="false">IFERROR(M747/S747,0)</f>
        <v>6.13636363636364</v>
      </c>
      <c r="V747" s="5" t="n">
        <v>0.2345</v>
      </c>
    </row>
    <row r="748" customFormat="false" ht="15" hidden="false" customHeight="false" outlineLevel="0" collapsed="false">
      <c r="A748" s="8" t="s">
        <v>175</v>
      </c>
      <c r="B748" s="8" t="s">
        <v>20</v>
      </c>
      <c r="C748" s="8" t="s">
        <v>1052</v>
      </c>
      <c r="D748" s="8" t="n">
        <v>100058</v>
      </c>
      <c r="E748" s="8" t="s">
        <v>622</v>
      </c>
      <c r="F748" s="8" t="s">
        <v>1044</v>
      </c>
      <c r="G748" s="8" t="s">
        <v>961</v>
      </c>
      <c r="H748" s="8" t="s">
        <v>55</v>
      </c>
      <c r="I748" s="8" t="s">
        <v>176</v>
      </c>
      <c r="J748" s="4" t="n">
        <v>89000</v>
      </c>
      <c r="K748" s="4" t="n">
        <v>66000</v>
      </c>
      <c r="L748" s="5" t="n">
        <v>0.26331</v>
      </c>
      <c r="M748" s="4" t="n">
        <v>173</v>
      </c>
      <c r="N748" s="4" t="n">
        <v>0</v>
      </c>
      <c r="O748" s="4" t="n">
        <v>45</v>
      </c>
      <c r="P748" s="4" t="n">
        <v>0</v>
      </c>
      <c r="Q748" s="4" t="n">
        <v>5</v>
      </c>
      <c r="R748" s="4" t="n">
        <f aca="false">M748+N748+O748+P748+Q748</f>
        <v>223</v>
      </c>
      <c r="S748" s="4" t="n">
        <v>23</v>
      </c>
      <c r="T748" s="4" t="n">
        <f aca="false">R748*K748</f>
        <v>14718000</v>
      </c>
      <c r="U748" s="9" t="n">
        <f aca="false">IFERROR(M748/S748,0)</f>
        <v>7.52173913043478</v>
      </c>
      <c r="V748" s="5"/>
    </row>
    <row r="749" customFormat="false" ht="15" hidden="false" customHeight="false" outlineLevel="0" collapsed="false">
      <c r="A749" s="8" t="s">
        <v>175</v>
      </c>
      <c r="B749" s="8" t="s">
        <v>20</v>
      </c>
      <c r="C749" s="8" t="s">
        <v>1052</v>
      </c>
      <c r="D749" s="8" t="n">
        <v>100060</v>
      </c>
      <c r="E749" s="8" t="s">
        <v>621</v>
      </c>
      <c r="F749" s="8" t="s">
        <v>1044</v>
      </c>
      <c r="G749" s="8" t="s">
        <v>961</v>
      </c>
      <c r="H749" s="8" t="s">
        <v>55</v>
      </c>
      <c r="I749" s="8" t="s">
        <v>176</v>
      </c>
      <c r="J749" s="4" t="n">
        <v>249000</v>
      </c>
      <c r="K749" s="4" t="n">
        <v>183000</v>
      </c>
      <c r="L749" s="5" t="n">
        <v>0.26331</v>
      </c>
      <c r="M749" s="4" t="n">
        <v>172</v>
      </c>
      <c r="N749" s="4" t="n">
        <v>0</v>
      </c>
      <c r="O749" s="4" t="n">
        <v>44</v>
      </c>
      <c r="P749" s="4" t="n">
        <v>0</v>
      </c>
      <c r="Q749" s="4" t="n">
        <v>6</v>
      </c>
      <c r="R749" s="4" t="n">
        <f aca="false">M749+N749+O749+P749+Q749</f>
        <v>222</v>
      </c>
      <c r="S749" s="4" t="n">
        <v>24</v>
      </c>
      <c r="T749" s="4" t="n">
        <f aca="false">R749*K749</f>
        <v>40626000</v>
      </c>
      <c r="U749" s="9" t="n">
        <f aca="false">IFERROR(M749/S749,0)</f>
        <v>7.16666666666667</v>
      </c>
      <c r="V749" s="5"/>
    </row>
    <row r="750" customFormat="false" ht="15" hidden="false" customHeight="false" outlineLevel="0" collapsed="false">
      <c r="A750" s="8" t="s">
        <v>175</v>
      </c>
      <c r="B750" s="8" t="s">
        <v>20</v>
      </c>
      <c r="C750" s="8" t="s">
        <v>1052</v>
      </c>
      <c r="D750" s="8" t="n">
        <v>100059</v>
      </c>
      <c r="E750" s="8" t="s">
        <v>623</v>
      </c>
      <c r="F750" s="8" t="s">
        <v>1044</v>
      </c>
      <c r="G750" s="8" t="s">
        <v>961</v>
      </c>
      <c r="H750" s="8" t="s">
        <v>55</v>
      </c>
      <c r="I750" s="8" t="s">
        <v>176</v>
      </c>
      <c r="J750" s="4" t="n">
        <v>249000</v>
      </c>
      <c r="K750" s="4" t="n">
        <v>183000</v>
      </c>
      <c r="L750" s="5" t="n">
        <v>0.26331</v>
      </c>
      <c r="M750" s="4" t="n">
        <v>104</v>
      </c>
      <c r="N750" s="4" t="n">
        <v>0</v>
      </c>
      <c r="O750" s="4" t="n">
        <v>0</v>
      </c>
      <c r="P750" s="4" t="n">
        <v>0</v>
      </c>
      <c r="Q750" s="4" t="n">
        <v>3</v>
      </c>
      <c r="R750" s="4" t="n">
        <f aca="false">M750+N750+O750+P750+Q750</f>
        <v>107</v>
      </c>
      <c r="S750" s="4" t="n">
        <v>24</v>
      </c>
      <c r="T750" s="4" t="n">
        <f aca="false">R750*K750</f>
        <v>19581000</v>
      </c>
      <c r="U750" s="9" t="n">
        <f aca="false">IFERROR(M750/S750,0)</f>
        <v>4.33333333333333</v>
      </c>
      <c r="V750" s="5"/>
    </row>
    <row r="751" customFormat="false" ht="15" hidden="false" customHeight="false" outlineLevel="0" collapsed="false">
      <c r="A751" s="8" t="s">
        <v>127</v>
      </c>
      <c r="B751" s="8" t="s">
        <v>20</v>
      </c>
      <c r="C751" s="8" t="s">
        <v>1048</v>
      </c>
      <c r="D751" s="8" t="n">
        <v>100281</v>
      </c>
      <c r="E751" s="8" t="s">
        <v>443</v>
      </c>
      <c r="F751" s="8" t="s">
        <v>1044</v>
      </c>
      <c r="G751" s="8" t="s">
        <v>961</v>
      </c>
      <c r="H751" s="8" t="s">
        <v>51</v>
      </c>
      <c r="I751" s="8" t="s">
        <v>128</v>
      </c>
      <c r="J751" s="4" t="n">
        <v>489000</v>
      </c>
      <c r="K751" s="4" t="n">
        <v>399000</v>
      </c>
      <c r="L751" s="5" t="n">
        <v>0.18405</v>
      </c>
      <c r="M751" s="4" t="n">
        <v>162</v>
      </c>
      <c r="N751" s="4" t="n">
        <v>25</v>
      </c>
      <c r="O751" s="4" t="n">
        <v>19</v>
      </c>
      <c r="P751" s="4" t="n">
        <v>0</v>
      </c>
      <c r="Q751" s="4" t="n">
        <v>56</v>
      </c>
      <c r="R751" s="4" t="n">
        <f aca="false">M751+N751+O751+P751+Q751</f>
        <v>262</v>
      </c>
      <c r="S751" s="4" t="n">
        <v>23</v>
      </c>
      <c r="T751" s="4" t="n">
        <f aca="false">R751*K751</f>
        <v>104538000</v>
      </c>
      <c r="U751" s="9" t="n">
        <f aca="false">IFERROR(M751/S751,0)</f>
        <v>7.04347826086957</v>
      </c>
      <c r="V751" s="5" t="n">
        <v>0.1228</v>
      </c>
    </row>
    <row r="752" customFormat="false" ht="15" hidden="false" customHeight="false" outlineLevel="0" collapsed="false">
      <c r="A752" s="8" t="s">
        <v>127</v>
      </c>
      <c r="B752" s="8" t="s">
        <v>20</v>
      </c>
      <c r="C752" s="8" t="s">
        <v>1048</v>
      </c>
      <c r="D752" s="8" t="n">
        <v>231555</v>
      </c>
      <c r="E752" s="8" t="s">
        <v>625</v>
      </c>
      <c r="F752" s="8" t="s">
        <v>1044</v>
      </c>
      <c r="G752" s="8" t="s">
        <v>961</v>
      </c>
      <c r="H752" s="8" t="s">
        <v>51</v>
      </c>
      <c r="I752" s="8" t="s">
        <v>128</v>
      </c>
      <c r="J752" s="4" t="n">
        <v>520000</v>
      </c>
      <c r="K752" s="4" t="n">
        <v>400000</v>
      </c>
      <c r="L752" s="5" t="n">
        <v>0.23269</v>
      </c>
      <c r="M752" s="4" t="n">
        <v>135</v>
      </c>
      <c r="N752" s="4" t="n">
        <v>0</v>
      </c>
      <c r="O752" s="4" t="n">
        <v>12</v>
      </c>
      <c r="P752" s="4" t="n">
        <v>0</v>
      </c>
      <c r="Q752" s="4" t="n">
        <v>5</v>
      </c>
      <c r="R752" s="4" t="n">
        <f aca="false">M752+N752+O752+P752+Q752</f>
        <v>152</v>
      </c>
      <c r="S752" s="4" t="n">
        <v>22</v>
      </c>
      <c r="T752" s="4" t="n">
        <f aca="false">R752*K752</f>
        <v>60800000</v>
      </c>
      <c r="U752" s="9" t="n">
        <f aca="false">IFERROR(M752/S752,0)</f>
        <v>6.13636363636364</v>
      </c>
      <c r="V752" s="5" t="n">
        <v>0.0875</v>
      </c>
    </row>
    <row r="753" customFormat="false" ht="15" hidden="false" customHeight="false" outlineLevel="0" collapsed="false">
      <c r="A753" s="8" t="s">
        <v>127</v>
      </c>
      <c r="B753" s="8" t="s">
        <v>20</v>
      </c>
      <c r="C753" s="8" t="s">
        <v>1048</v>
      </c>
      <c r="D753" s="8" t="n">
        <v>230559</v>
      </c>
      <c r="E753" s="8" t="s">
        <v>624</v>
      </c>
      <c r="F753" s="8" t="s">
        <v>809</v>
      </c>
      <c r="G753" s="8" t="s">
        <v>961</v>
      </c>
      <c r="H753" s="8" t="s">
        <v>51</v>
      </c>
      <c r="I753" s="8" t="s">
        <v>128</v>
      </c>
      <c r="J753" s="4" t="n">
        <v>450000</v>
      </c>
      <c r="K753" s="4" t="n">
        <v>400000</v>
      </c>
      <c r="L753" s="5" t="n">
        <v>0.11333</v>
      </c>
      <c r="M753" s="4" t="n">
        <v>109</v>
      </c>
      <c r="N753" s="4" t="n">
        <v>0</v>
      </c>
      <c r="O753" s="4" t="n">
        <v>3</v>
      </c>
      <c r="P753" s="4" t="n">
        <v>0</v>
      </c>
      <c r="Q753" s="4" t="n">
        <v>8</v>
      </c>
      <c r="R753" s="4" t="n">
        <f aca="false">M753+N753+O753+P753+Q753</f>
        <v>120</v>
      </c>
      <c r="S753" s="4" t="n">
        <v>23</v>
      </c>
      <c r="T753" s="4" t="n">
        <f aca="false">R753*K753</f>
        <v>48000000</v>
      </c>
      <c r="U753" s="9" t="n">
        <f aca="false">IFERROR(M753/S753,0)</f>
        <v>4.73913043478261</v>
      </c>
      <c r="V753" s="5" t="n">
        <v>0.225</v>
      </c>
    </row>
    <row r="754" customFormat="false" ht="15" hidden="false" customHeight="false" outlineLevel="0" collapsed="false">
      <c r="A754" s="8" t="s">
        <v>137</v>
      </c>
      <c r="B754" s="8" t="s">
        <v>22</v>
      </c>
      <c r="C754" s="8" t="s">
        <v>1073</v>
      </c>
      <c r="D754" s="8" t="n">
        <v>135105</v>
      </c>
      <c r="E754" s="8" t="s">
        <v>673</v>
      </c>
      <c r="F754" s="8" t="s">
        <v>829</v>
      </c>
      <c r="G754" s="8" t="s">
        <v>961</v>
      </c>
      <c r="H754" s="8" t="s">
        <v>51</v>
      </c>
      <c r="I754" s="8" t="s">
        <v>138</v>
      </c>
      <c r="J754" s="4" t="n">
        <v>203000</v>
      </c>
      <c r="K754" s="4" t="n">
        <v>183000</v>
      </c>
      <c r="L754" s="5" t="n">
        <v>0.1</v>
      </c>
      <c r="M754" s="4" t="n">
        <v>75</v>
      </c>
      <c r="N754" s="4" t="n">
        <v>0</v>
      </c>
      <c r="O754" s="4" t="n">
        <v>11</v>
      </c>
      <c r="P754" s="4" t="n">
        <v>0</v>
      </c>
      <c r="Q754" s="4" t="n">
        <v>0</v>
      </c>
      <c r="R754" s="4" t="n">
        <f aca="false">M754+N754+O754+P754+Q754</f>
        <v>86</v>
      </c>
      <c r="S754" s="4" t="n">
        <v>23</v>
      </c>
      <c r="T754" s="4" t="n">
        <f aca="false">R754*K754</f>
        <v>15738000</v>
      </c>
      <c r="U754" s="9" t="n">
        <f aca="false">IFERROR(M754/S754,0)</f>
        <v>3.26086956521739</v>
      </c>
      <c r="V754" s="5" t="n">
        <v>0.1093</v>
      </c>
    </row>
    <row r="755" customFormat="false" ht="15" hidden="false" customHeight="false" outlineLevel="0" collapsed="false">
      <c r="A755" s="8" t="s">
        <v>137</v>
      </c>
      <c r="B755" s="8" t="s">
        <v>22</v>
      </c>
      <c r="C755" s="8" t="s">
        <v>1073</v>
      </c>
      <c r="D755" s="8" t="n">
        <v>135107</v>
      </c>
      <c r="E755" s="8" t="s">
        <v>675</v>
      </c>
      <c r="F755" s="8" t="s">
        <v>829</v>
      </c>
      <c r="G755" s="8" t="s">
        <v>961</v>
      </c>
      <c r="H755" s="8" t="s">
        <v>51</v>
      </c>
      <c r="I755" s="8" t="s">
        <v>138</v>
      </c>
      <c r="J755" s="4" t="n">
        <v>643000</v>
      </c>
      <c r="K755" s="4" t="n">
        <v>579000</v>
      </c>
      <c r="L755" s="5" t="n">
        <v>0.1</v>
      </c>
      <c r="M755" s="4" t="n">
        <v>71</v>
      </c>
      <c r="N755" s="4" t="n">
        <v>0</v>
      </c>
      <c r="O755" s="4" t="n">
        <v>15</v>
      </c>
      <c r="P755" s="4" t="n">
        <v>0</v>
      </c>
      <c r="Q755" s="4" t="n">
        <v>0</v>
      </c>
      <c r="R755" s="4" t="n">
        <f aca="false">M755+N755+O755+P755+Q755</f>
        <v>86</v>
      </c>
      <c r="S755" s="4" t="n">
        <v>23</v>
      </c>
      <c r="T755" s="4" t="n">
        <f aca="false">R755*K755</f>
        <v>49794000</v>
      </c>
      <c r="U755" s="9" t="n">
        <f aca="false">IFERROR(M755/S755,0)</f>
        <v>3.08695652173913</v>
      </c>
      <c r="V755" s="5" t="n">
        <v>0.1105</v>
      </c>
    </row>
    <row r="756" customFormat="false" ht="15" hidden="false" customHeight="false" outlineLevel="0" collapsed="false">
      <c r="A756" s="8" t="s">
        <v>137</v>
      </c>
      <c r="B756" s="8" t="s">
        <v>22</v>
      </c>
      <c r="C756" s="8" t="s">
        <v>1073</v>
      </c>
      <c r="D756" s="8" t="n">
        <v>135106</v>
      </c>
      <c r="E756" s="8" t="s">
        <v>674</v>
      </c>
      <c r="F756" s="8" t="s">
        <v>829</v>
      </c>
      <c r="G756" s="8" t="s">
        <v>961</v>
      </c>
      <c r="H756" s="8" t="s">
        <v>51</v>
      </c>
      <c r="I756" s="8" t="s">
        <v>138</v>
      </c>
      <c r="J756" s="4" t="n">
        <v>218000</v>
      </c>
      <c r="K756" s="4" t="n">
        <v>197000</v>
      </c>
      <c r="L756" s="5" t="n">
        <v>0.1</v>
      </c>
      <c r="M756" s="4" t="n">
        <v>62</v>
      </c>
      <c r="N756" s="4" t="n">
        <v>0</v>
      </c>
      <c r="O756" s="4" t="n">
        <v>12</v>
      </c>
      <c r="P756" s="4" t="n">
        <v>0</v>
      </c>
      <c r="Q756" s="4" t="n">
        <v>0</v>
      </c>
      <c r="R756" s="4" t="n">
        <f aca="false">M756+N756+O756+P756+Q756</f>
        <v>74</v>
      </c>
      <c r="S756" s="4" t="n">
        <v>21</v>
      </c>
      <c r="T756" s="4" t="n">
        <f aca="false">R756*K756</f>
        <v>14578000</v>
      </c>
      <c r="U756" s="9" t="n">
        <f aca="false">IFERROR(M756/S756,0)</f>
        <v>2.95238095238095</v>
      </c>
      <c r="V756" s="5" t="n">
        <v>0.1117</v>
      </c>
    </row>
    <row r="757" customFormat="false" ht="15" hidden="false" customHeight="false" outlineLevel="0" collapsed="false">
      <c r="A757" s="8" t="s">
        <v>137</v>
      </c>
      <c r="B757" s="8" t="s">
        <v>22</v>
      </c>
      <c r="C757" s="8" t="s">
        <v>1073</v>
      </c>
      <c r="D757" s="8" t="n">
        <v>135110</v>
      </c>
      <c r="E757" s="8" t="s">
        <v>676</v>
      </c>
      <c r="F757" s="8" t="s">
        <v>829</v>
      </c>
      <c r="G757" s="8" t="s">
        <v>961</v>
      </c>
      <c r="H757" s="8" t="s">
        <v>51</v>
      </c>
      <c r="I757" s="8" t="s">
        <v>138</v>
      </c>
      <c r="J757" s="4" t="n">
        <v>449000</v>
      </c>
      <c r="K757" s="4" t="n">
        <v>405000</v>
      </c>
      <c r="L757" s="5" t="n">
        <v>0.1</v>
      </c>
      <c r="M757" s="4" t="n">
        <v>54</v>
      </c>
      <c r="N757" s="4" t="n">
        <v>0</v>
      </c>
      <c r="O757" s="4" t="n">
        <v>15</v>
      </c>
      <c r="P757" s="4" t="n">
        <v>0</v>
      </c>
      <c r="Q757" s="4" t="n">
        <v>0</v>
      </c>
      <c r="R757" s="4" t="n">
        <f aca="false">M757+N757+O757+P757+Q757</f>
        <v>69</v>
      </c>
      <c r="S757" s="4" t="n">
        <v>18</v>
      </c>
      <c r="T757" s="4" t="n">
        <f aca="false">R757*K757</f>
        <v>27945000</v>
      </c>
      <c r="U757" s="9" t="n">
        <f aca="false">IFERROR(M757/S757,0)</f>
        <v>3</v>
      </c>
      <c r="V757" s="5" t="n">
        <v>0.1136</v>
      </c>
    </row>
    <row r="758" customFormat="false" ht="15" hidden="false" customHeight="false" outlineLevel="0" collapsed="false">
      <c r="A758" s="8" t="s">
        <v>137</v>
      </c>
      <c r="B758" s="8" t="s">
        <v>22</v>
      </c>
      <c r="C758" s="8" t="s">
        <v>1073</v>
      </c>
      <c r="D758" s="8" t="n">
        <v>135111</v>
      </c>
      <c r="E758" s="8" t="s">
        <v>677</v>
      </c>
      <c r="F758" s="8" t="s">
        <v>829</v>
      </c>
      <c r="G758" s="8" t="s">
        <v>961</v>
      </c>
      <c r="H758" s="8" t="s">
        <v>51</v>
      </c>
      <c r="I758" s="8" t="s">
        <v>138</v>
      </c>
      <c r="J758" s="4" t="n">
        <v>514000</v>
      </c>
      <c r="K758" s="4" t="n">
        <v>463000</v>
      </c>
      <c r="L758" s="5" t="n">
        <v>0.1</v>
      </c>
      <c r="M758" s="4" t="n">
        <v>49</v>
      </c>
      <c r="N758" s="4" t="n">
        <v>0</v>
      </c>
      <c r="O758" s="4" t="n">
        <v>15</v>
      </c>
      <c r="P758" s="4" t="n">
        <v>0</v>
      </c>
      <c r="Q758" s="4" t="n">
        <v>0</v>
      </c>
      <c r="R758" s="4" t="n">
        <f aca="false">M758+N758+O758+P758+Q758</f>
        <v>64</v>
      </c>
      <c r="S758" s="4" t="n">
        <v>21</v>
      </c>
      <c r="T758" s="4" t="n">
        <f aca="false">R758*K758</f>
        <v>29632000</v>
      </c>
      <c r="U758" s="9" t="n">
        <f aca="false">IFERROR(M758/S758,0)</f>
        <v>2.33333333333333</v>
      </c>
      <c r="V758" s="5" t="n">
        <v>0.1123</v>
      </c>
    </row>
    <row r="759" customFormat="false" ht="15" hidden="false" customHeight="false" outlineLevel="0" collapsed="false">
      <c r="A759" s="8" t="s">
        <v>137</v>
      </c>
      <c r="B759" s="8" t="s">
        <v>22</v>
      </c>
      <c r="C759" s="8" t="s">
        <v>1073</v>
      </c>
      <c r="D759" s="8" t="n">
        <v>135113</v>
      </c>
      <c r="E759" s="8" t="s">
        <v>1408</v>
      </c>
      <c r="F759" s="8" t="s">
        <v>829</v>
      </c>
      <c r="G759" s="8" t="s">
        <v>961</v>
      </c>
      <c r="H759" s="8" t="s">
        <v>51</v>
      </c>
      <c r="I759" s="8" t="s">
        <v>138</v>
      </c>
      <c r="J759" s="4" t="n">
        <v>169000</v>
      </c>
      <c r="K759" s="4" t="n">
        <v>153000</v>
      </c>
      <c r="L759" s="5" t="n">
        <v>0.1</v>
      </c>
      <c r="M759" s="4" t="n">
        <v>48</v>
      </c>
      <c r="N759" s="4" t="n">
        <v>0</v>
      </c>
      <c r="O759" s="4" t="n">
        <v>0</v>
      </c>
      <c r="P759" s="4" t="n">
        <v>0</v>
      </c>
      <c r="Q759" s="4" t="n">
        <v>0</v>
      </c>
      <c r="R759" s="4" t="n">
        <f aca="false">M759+N759+O759+P759+Q759</f>
        <v>48</v>
      </c>
      <c r="S759" s="4" t="n">
        <v>15</v>
      </c>
      <c r="T759" s="4" t="n">
        <f aca="false">R759*K759</f>
        <v>7344000</v>
      </c>
      <c r="U759" s="9" t="n">
        <f aca="false">IFERROR(M759/S759,0)</f>
        <v>3.2</v>
      </c>
      <c r="V759" s="5" t="n">
        <v>0.1176</v>
      </c>
    </row>
    <row r="760" customFormat="false" ht="15" hidden="false" customHeight="false" outlineLevel="0" collapsed="false">
      <c r="A760" s="8" t="s">
        <v>137</v>
      </c>
      <c r="B760" s="8" t="s">
        <v>22</v>
      </c>
      <c r="C760" s="8" t="s">
        <v>1073</v>
      </c>
      <c r="D760" s="8" t="n">
        <v>135108</v>
      </c>
      <c r="E760" s="8" t="s">
        <v>1409</v>
      </c>
      <c r="F760" s="8" t="s">
        <v>829</v>
      </c>
      <c r="G760" s="8" t="s">
        <v>961</v>
      </c>
      <c r="H760" s="8" t="s">
        <v>51</v>
      </c>
      <c r="I760" s="8" t="s">
        <v>138</v>
      </c>
      <c r="J760" s="4" t="n">
        <v>155000</v>
      </c>
      <c r="K760" s="4" t="n">
        <v>140000</v>
      </c>
      <c r="L760" s="5" t="n">
        <v>0.1</v>
      </c>
      <c r="M760" s="4" t="n">
        <v>31</v>
      </c>
      <c r="N760" s="4" t="n">
        <v>0</v>
      </c>
      <c r="O760" s="4" t="n">
        <v>13</v>
      </c>
      <c r="P760" s="4" t="n">
        <v>0</v>
      </c>
      <c r="Q760" s="4" t="n">
        <v>0</v>
      </c>
      <c r="R760" s="4" t="n">
        <f aca="false">M760+N760+O760+P760+Q760</f>
        <v>44</v>
      </c>
      <c r="S760" s="4" t="n">
        <v>12</v>
      </c>
      <c r="T760" s="4" t="n">
        <f aca="false">R760*K760</f>
        <v>6160000</v>
      </c>
      <c r="U760" s="9" t="n">
        <f aca="false">IFERROR(M760/S760,0)</f>
        <v>2.58333333333333</v>
      </c>
      <c r="V760" s="5" t="n">
        <v>0.1143</v>
      </c>
    </row>
    <row r="761" customFormat="false" ht="15" hidden="false" customHeight="false" outlineLevel="0" collapsed="false">
      <c r="A761" s="8" t="s">
        <v>137</v>
      </c>
      <c r="B761" s="8" t="s">
        <v>22</v>
      </c>
      <c r="C761" s="8" t="s">
        <v>1073</v>
      </c>
      <c r="D761" s="8" t="n">
        <v>135112</v>
      </c>
      <c r="E761" s="8" t="s">
        <v>1410</v>
      </c>
      <c r="F761" s="8" t="s">
        <v>829</v>
      </c>
      <c r="G761" s="8" t="s">
        <v>961</v>
      </c>
      <c r="H761" s="8" t="s">
        <v>51</v>
      </c>
      <c r="I761" s="8" t="s">
        <v>138</v>
      </c>
      <c r="J761" s="4" t="n">
        <v>223000</v>
      </c>
      <c r="K761" s="4" t="n">
        <v>201000</v>
      </c>
      <c r="L761" s="5" t="n">
        <v>0.1</v>
      </c>
      <c r="M761" s="4" t="n">
        <v>9</v>
      </c>
      <c r="N761" s="4" t="n">
        <v>0</v>
      </c>
      <c r="O761" s="4" t="n">
        <v>8</v>
      </c>
      <c r="P761" s="4" t="n">
        <v>0</v>
      </c>
      <c r="Q761" s="4" t="n">
        <v>0</v>
      </c>
      <c r="R761" s="4" t="n">
        <f aca="false">M761+N761+O761+P761+Q761</f>
        <v>17</v>
      </c>
      <c r="S761" s="4" t="n">
        <v>2</v>
      </c>
      <c r="T761" s="4" t="n">
        <f aca="false">R761*K761</f>
        <v>3417000</v>
      </c>
      <c r="U761" s="9" t="n">
        <f aca="false">IFERROR(M761/S761,0)</f>
        <v>4.5</v>
      </c>
      <c r="V761" s="5" t="n">
        <v>0.1095</v>
      </c>
    </row>
    <row r="762" customFormat="false" ht="15" hidden="false" customHeight="false" outlineLevel="0" collapsed="false">
      <c r="A762" s="8" t="s">
        <v>137</v>
      </c>
      <c r="B762" s="8" t="s">
        <v>22</v>
      </c>
      <c r="C762" s="8" t="s">
        <v>1073</v>
      </c>
      <c r="D762" s="8" t="n">
        <v>135109</v>
      </c>
      <c r="E762" s="8" t="s">
        <v>1411</v>
      </c>
      <c r="F762" s="8" t="s">
        <v>829</v>
      </c>
      <c r="G762" s="8" t="s">
        <v>961</v>
      </c>
      <c r="H762" s="8" t="s">
        <v>51</v>
      </c>
      <c r="I762" s="8" t="s">
        <v>138</v>
      </c>
      <c r="J762" s="4" t="n">
        <v>212000</v>
      </c>
      <c r="K762" s="4" t="n">
        <v>191000</v>
      </c>
      <c r="L762" s="5" t="n">
        <v>0.1</v>
      </c>
      <c r="M762" s="4" t="n">
        <v>6</v>
      </c>
      <c r="N762" s="4" t="n">
        <v>0</v>
      </c>
      <c r="O762" s="4" t="n">
        <v>7</v>
      </c>
      <c r="P762" s="4" t="n">
        <v>0</v>
      </c>
      <c r="Q762" s="4" t="n">
        <v>0</v>
      </c>
      <c r="R762" s="4" t="n">
        <f aca="false">M762+N762+O762+P762+Q762</f>
        <v>13</v>
      </c>
      <c r="S762" s="4" t="n">
        <v>1</v>
      </c>
      <c r="T762" s="4" t="n">
        <f aca="false">R762*K762</f>
        <v>2483000</v>
      </c>
      <c r="U762" s="9" t="n">
        <f aca="false">IFERROR(M762/S762,0)</f>
        <v>6</v>
      </c>
      <c r="V762" s="5" t="n">
        <v>0.1099</v>
      </c>
    </row>
    <row r="763" customFormat="false" ht="15" hidden="false" customHeight="false" outlineLevel="0" collapsed="false">
      <c r="A763" s="8" t="s">
        <v>133</v>
      </c>
      <c r="B763" s="8" t="s">
        <v>22</v>
      </c>
      <c r="C763" s="8" t="s">
        <v>1073</v>
      </c>
      <c r="D763" s="8" t="n">
        <v>133516</v>
      </c>
      <c r="E763" s="8" t="s">
        <v>678</v>
      </c>
      <c r="F763" s="8" t="s">
        <v>1044</v>
      </c>
      <c r="G763" s="8" t="s">
        <v>961</v>
      </c>
      <c r="H763" s="8" t="s">
        <v>51</v>
      </c>
      <c r="I763" s="8" t="s">
        <v>134</v>
      </c>
      <c r="J763" s="4" t="n">
        <v>495000</v>
      </c>
      <c r="K763" s="4" t="n">
        <v>396000</v>
      </c>
      <c r="L763" s="5" t="n">
        <v>0.20202</v>
      </c>
      <c r="M763" s="4" t="n">
        <v>350</v>
      </c>
      <c r="N763" s="4" t="n">
        <v>0</v>
      </c>
      <c r="O763" s="4" t="n">
        <v>82</v>
      </c>
      <c r="P763" s="4" t="n">
        <v>0</v>
      </c>
      <c r="Q763" s="4" t="n">
        <v>11</v>
      </c>
      <c r="R763" s="4" t="n">
        <f aca="false">M763+N763+O763+P763+Q763</f>
        <v>443</v>
      </c>
      <c r="S763" s="4" t="n">
        <v>23</v>
      </c>
      <c r="T763" s="4" t="n">
        <f aca="false">R763*K763</f>
        <v>175428000</v>
      </c>
      <c r="U763" s="9" t="n">
        <f aca="false">IFERROR(M763/S763,0)</f>
        <v>15.2173913043478</v>
      </c>
      <c r="V763" s="5" t="n">
        <v>0.2556</v>
      </c>
    </row>
    <row r="764" customFormat="false" ht="15" hidden="false" customHeight="false" outlineLevel="0" collapsed="false">
      <c r="A764" s="8" t="s">
        <v>87</v>
      </c>
      <c r="B764" s="8" t="s">
        <v>23</v>
      </c>
      <c r="C764" s="8" t="s">
        <v>1412</v>
      </c>
      <c r="D764" s="8" t="n">
        <v>143055</v>
      </c>
      <c r="E764" s="8" t="s">
        <v>1413</v>
      </c>
      <c r="F764" s="8" t="s">
        <v>829</v>
      </c>
      <c r="G764" s="8" t="s">
        <v>970</v>
      </c>
      <c r="H764" s="8" t="s">
        <v>51</v>
      </c>
      <c r="I764" s="8" t="s">
        <v>88</v>
      </c>
      <c r="J764" s="4" t="n">
        <v>1090000</v>
      </c>
      <c r="K764" s="4" t="n">
        <v>840000</v>
      </c>
      <c r="L764" s="5" t="n">
        <v>0.22936</v>
      </c>
      <c r="M764" s="4" t="n">
        <v>6</v>
      </c>
      <c r="N764" s="4" t="n">
        <v>0</v>
      </c>
      <c r="O764" s="4" t="n">
        <v>0</v>
      </c>
      <c r="P764" s="4" t="n">
        <v>0</v>
      </c>
      <c r="Q764" s="4" t="n">
        <v>0</v>
      </c>
      <c r="R764" s="4" t="n">
        <f aca="false">M764+N764+O764+P764+Q764</f>
        <v>6</v>
      </c>
      <c r="S764" s="4" t="n">
        <v>2</v>
      </c>
      <c r="T764" s="4" t="n">
        <f aca="false">R764*K764</f>
        <v>5040000</v>
      </c>
      <c r="U764" s="9" t="n">
        <f aca="false">IFERROR(M764/S764,0)</f>
        <v>3</v>
      </c>
      <c r="V764" s="5" t="n">
        <v>1</v>
      </c>
    </row>
    <row r="765" customFormat="false" ht="15" hidden="false" customHeight="false" outlineLevel="0" collapsed="false">
      <c r="A765" s="8" t="s">
        <v>87</v>
      </c>
      <c r="B765" s="8" t="s">
        <v>23</v>
      </c>
      <c r="C765" s="8" t="s">
        <v>1412</v>
      </c>
      <c r="D765" s="8" t="n">
        <v>143151</v>
      </c>
      <c r="E765" s="8" t="s">
        <v>1414</v>
      </c>
      <c r="F765" s="8" t="s">
        <v>829</v>
      </c>
      <c r="G765" s="8" t="s">
        <v>970</v>
      </c>
      <c r="H765" s="8" t="s">
        <v>51</v>
      </c>
      <c r="I765" s="8" t="s">
        <v>88</v>
      </c>
      <c r="J765" s="4" t="n">
        <v>1295000</v>
      </c>
      <c r="K765" s="4" t="n">
        <v>1046000</v>
      </c>
      <c r="L765" s="5" t="n">
        <v>0.19305</v>
      </c>
      <c r="M765" s="4" t="n">
        <v>6</v>
      </c>
      <c r="N765" s="4" t="n">
        <v>0</v>
      </c>
      <c r="O765" s="4" t="n">
        <v>0</v>
      </c>
      <c r="P765" s="4" t="n">
        <v>0</v>
      </c>
      <c r="Q765" s="4" t="n">
        <v>0</v>
      </c>
      <c r="R765" s="4" t="n">
        <f aca="false">M765+N765+O765+P765+Q765</f>
        <v>6</v>
      </c>
      <c r="S765" s="4" t="n">
        <v>2</v>
      </c>
      <c r="T765" s="4" t="n">
        <f aca="false">R765*K765</f>
        <v>6276000</v>
      </c>
      <c r="U765" s="9" t="n">
        <f aca="false">IFERROR(M765/S765,0)</f>
        <v>3</v>
      </c>
      <c r="V765" s="5" t="n">
        <v>1</v>
      </c>
    </row>
    <row r="766" customFormat="false" ht="15" hidden="false" customHeight="false" outlineLevel="0" collapsed="false">
      <c r="A766" s="8" t="s">
        <v>87</v>
      </c>
      <c r="B766" s="8" t="s">
        <v>23</v>
      </c>
      <c r="C766" s="8" t="s">
        <v>1412</v>
      </c>
      <c r="D766" s="8" t="n">
        <v>143155</v>
      </c>
      <c r="E766" s="8" t="s">
        <v>1415</v>
      </c>
      <c r="F766" s="8" t="s">
        <v>829</v>
      </c>
      <c r="G766" s="8" t="s">
        <v>970</v>
      </c>
      <c r="H766" s="8" t="s">
        <v>51</v>
      </c>
      <c r="I766" s="8" t="s">
        <v>88</v>
      </c>
      <c r="J766" s="4" t="n">
        <v>1295000</v>
      </c>
      <c r="K766" s="4" t="n">
        <v>1046000</v>
      </c>
      <c r="L766" s="5" t="n">
        <v>0.19305</v>
      </c>
      <c r="M766" s="4" t="n">
        <v>6</v>
      </c>
      <c r="N766" s="4" t="n">
        <v>0</v>
      </c>
      <c r="O766" s="4" t="n">
        <v>0</v>
      </c>
      <c r="P766" s="4" t="n">
        <v>0</v>
      </c>
      <c r="Q766" s="4" t="n">
        <v>0</v>
      </c>
      <c r="R766" s="4" t="n">
        <f aca="false">M766+N766+O766+P766+Q766</f>
        <v>6</v>
      </c>
      <c r="S766" s="4" t="n">
        <v>2</v>
      </c>
      <c r="T766" s="4" t="n">
        <f aca="false">R766*K766</f>
        <v>6276000</v>
      </c>
      <c r="U766" s="9" t="n">
        <f aca="false">IFERROR(M766/S766,0)</f>
        <v>3</v>
      </c>
      <c r="V766" s="5" t="n">
        <v>1</v>
      </c>
    </row>
    <row r="767" customFormat="false" ht="15" hidden="false" customHeight="false" outlineLevel="0" collapsed="false">
      <c r="A767" s="8" t="s">
        <v>87</v>
      </c>
      <c r="B767" s="8" t="s">
        <v>23</v>
      </c>
      <c r="C767" s="8" t="s">
        <v>1412</v>
      </c>
      <c r="D767" s="8" t="n">
        <v>143053</v>
      </c>
      <c r="E767" s="8" t="s">
        <v>1416</v>
      </c>
      <c r="F767" s="8" t="s">
        <v>829</v>
      </c>
      <c r="G767" s="8" t="s">
        <v>970</v>
      </c>
      <c r="H767" s="8" t="s">
        <v>51</v>
      </c>
      <c r="I767" s="8" t="s">
        <v>88</v>
      </c>
      <c r="J767" s="4" t="n">
        <v>1090000</v>
      </c>
      <c r="K767" s="4" t="n">
        <v>840000</v>
      </c>
      <c r="L767" s="5" t="n">
        <v>0.22936</v>
      </c>
      <c r="M767" s="4" t="n">
        <v>5</v>
      </c>
      <c r="N767" s="4" t="n">
        <v>0</v>
      </c>
      <c r="O767" s="4" t="n">
        <v>0</v>
      </c>
      <c r="P767" s="4" t="n">
        <v>0</v>
      </c>
      <c r="Q767" s="4" t="n">
        <v>0</v>
      </c>
      <c r="R767" s="4" t="n">
        <f aca="false">M767+N767+O767+P767+Q767</f>
        <v>5</v>
      </c>
      <c r="S767" s="4" t="n">
        <v>2</v>
      </c>
      <c r="T767" s="4" t="n">
        <f aca="false">R767*K767</f>
        <v>4200000</v>
      </c>
      <c r="U767" s="9" t="n">
        <f aca="false">IFERROR(M767/S767,0)</f>
        <v>2.5</v>
      </c>
      <c r="V767" s="5" t="n">
        <v>1</v>
      </c>
    </row>
    <row r="768" customFormat="false" ht="15" hidden="false" customHeight="false" outlineLevel="0" collapsed="false">
      <c r="A768" s="8" t="s">
        <v>87</v>
      </c>
      <c r="B768" s="8" t="s">
        <v>23</v>
      </c>
      <c r="C768" s="8" t="s">
        <v>1412</v>
      </c>
      <c r="D768" s="8" t="n">
        <v>143071</v>
      </c>
      <c r="E768" s="8" t="s">
        <v>1417</v>
      </c>
      <c r="F768" s="8" t="s">
        <v>829</v>
      </c>
      <c r="G768" s="8" t="s">
        <v>970</v>
      </c>
      <c r="H768" s="8" t="s">
        <v>51</v>
      </c>
      <c r="I768" s="8" t="s">
        <v>88</v>
      </c>
      <c r="J768" s="4" t="n">
        <v>1090000</v>
      </c>
      <c r="K768" s="4" t="n">
        <v>840000</v>
      </c>
      <c r="L768" s="5" t="n">
        <v>0.22936</v>
      </c>
      <c r="M768" s="4" t="n">
        <v>5</v>
      </c>
      <c r="N768" s="4" t="n">
        <v>0</v>
      </c>
      <c r="O768" s="4" t="n">
        <v>0</v>
      </c>
      <c r="P768" s="4" t="n">
        <v>0</v>
      </c>
      <c r="Q768" s="4" t="n">
        <v>0</v>
      </c>
      <c r="R768" s="4" t="n">
        <f aca="false">M768+N768+O768+P768+Q768</f>
        <v>5</v>
      </c>
      <c r="S768" s="4" t="n">
        <v>2</v>
      </c>
      <c r="T768" s="4" t="n">
        <f aca="false">R768*K768</f>
        <v>4200000</v>
      </c>
      <c r="U768" s="9" t="n">
        <f aca="false">IFERROR(M768/S768,0)</f>
        <v>2.5</v>
      </c>
      <c r="V768" s="5" t="n">
        <v>1</v>
      </c>
    </row>
    <row r="769" customFormat="false" ht="15" hidden="false" customHeight="false" outlineLevel="0" collapsed="false">
      <c r="A769" s="8" t="s">
        <v>87</v>
      </c>
      <c r="B769" s="8" t="s">
        <v>23</v>
      </c>
      <c r="C769" s="8" t="s">
        <v>1412</v>
      </c>
      <c r="D769" s="8" t="n">
        <v>143073</v>
      </c>
      <c r="E769" s="8" t="s">
        <v>1418</v>
      </c>
      <c r="F769" s="8" t="s">
        <v>829</v>
      </c>
      <c r="G769" s="8" t="s">
        <v>970</v>
      </c>
      <c r="H769" s="8" t="s">
        <v>51</v>
      </c>
      <c r="I769" s="8" t="s">
        <v>88</v>
      </c>
      <c r="J769" s="4" t="n">
        <v>1090000</v>
      </c>
      <c r="K769" s="4" t="n">
        <v>840000</v>
      </c>
      <c r="L769" s="5" t="n">
        <v>0.22936</v>
      </c>
      <c r="M769" s="4" t="n">
        <v>5</v>
      </c>
      <c r="N769" s="4" t="n">
        <v>0</v>
      </c>
      <c r="O769" s="4" t="n">
        <v>0</v>
      </c>
      <c r="P769" s="4" t="n">
        <v>0</v>
      </c>
      <c r="Q769" s="4" t="n">
        <v>0</v>
      </c>
      <c r="R769" s="4" t="n">
        <f aca="false">M769+N769+O769+P769+Q769</f>
        <v>5</v>
      </c>
      <c r="S769" s="4" t="n">
        <v>2</v>
      </c>
      <c r="T769" s="4" t="n">
        <f aca="false">R769*K769</f>
        <v>4200000</v>
      </c>
      <c r="U769" s="9" t="n">
        <f aca="false">IFERROR(M769/S769,0)</f>
        <v>2.5</v>
      </c>
      <c r="V769" s="5" t="n">
        <v>1</v>
      </c>
    </row>
    <row r="770" customFormat="false" ht="15" hidden="false" customHeight="false" outlineLevel="0" collapsed="false">
      <c r="A770" s="8" t="s">
        <v>87</v>
      </c>
      <c r="B770" s="8" t="s">
        <v>23</v>
      </c>
      <c r="C770" s="8" t="s">
        <v>1412</v>
      </c>
      <c r="D770" s="8" t="n">
        <v>143160</v>
      </c>
      <c r="E770" s="8" t="s">
        <v>1419</v>
      </c>
      <c r="F770" s="8" t="s">
        <v>829</v>
      </c>
      <c r="G770" s="8" t="s">
        <v>970</v>
      </c>
      <c r="H770" s="8" t="s">
        <v>51</v>
      </c>
      <c r="I770" s="8" t="s">
        <v>88</v>
      </c>
      <c r="J770" s="4" t="n">
        <v>1295000</v>
      </c>
      <c r="K770" s="4" t="n">
        <v>1046000</v>
      </c>
      <c r="L770" s="5" t="n">
        <v>0.19305</v>
      </c>
      <c r="M770" s="4" t="n">
        <v>5</v>
      </c>
      <c r="N770" s="4" t="n">
        <v>0</v>
      </c>
      <c r="O770" s="4" t="n">
        <v>0</v>
      </c>
      <c r="P770" s="4" t="n">
        <v>0</v>
      </c>
      <c r="Q770" s="4" t="n">
        <v>0</v>
      </c>
      <c r="R770" s="4" t="n">
        <f aca="false">M770+N770+O770+P770+Q770</f>
        <v>5</v>
      </c>
      <c r="S770" s="4" t="n">
        <v>2</v>
      </c>
      <c r="T770" s="4" t="n">
        <f aca="false">R770*K770</f>
        <v>5230000</v>
      </c>
      <c r="U770" s="9" t="n">
        <f aca="false">IFERROR(M770/S770,0)</f>
        <v>2.5</v>
      </c>
      <c r="V770" s="5" t="n">
        <v>1</v>
      </c>
    </row>
    <row r="771" customFormat="false" ht="15" hidden="false" customHeight="false" outlineLevel="0" collapsed="false">
      <c r="A771" s="8" t="s">
        <v>87</v>
      </c>
      <c r="B771" s="8" t="s">
        <v>23</v>
      </c>
      <c r="C771" s="8" t="s">
        <v>1412</v>
      </c>
      <c r="D771" s="8" t="n">
        <v>143212</v>
      </c>
      <c r="E771" s="8" t="s">
        <v>1420</v>
      </c>
      <c r="F771" s="8" t="s">
        <v>829</v>
      </c>
      <c r="G771" s="8" t="s">
        <v>970</v>
      </c>
      <c r="H771" s="8" t="s">
        <v>51</v>
      </c>
      <c r="I771" s="8" t="s">
        <v>88</v>
      </c>
      <c r="J771" s="4" t="n">
        <v>1790000</v>
      </c>
      <c r="K771" s="4" t="n">
        <v>1541000</v>
      </c>
      <c r="L771" s="5" t="n">
        <v>0.13966</v>
      </c>
      <c r="M771" s="4" t="n">
        <v>5</v>
      </c>
      <c r="N771" s="4" t="n">
        <v>0</v>
      </c>
      <c r="O771" s="4" t="n">
        <v>0</v>
      </c>
      <c r="P771" s="4" t="n">
        <v>0</v>
      </c>
      <c r="Q771" s="4" t="n">
        <v>0</v>
      </c>
      <c r="R771" s="4" t="n">
        <f aca="false">M771+N771+O771+P771+Q771</f>
        <v>5</v>
      </c>
      <c r="S771" s="4" t="n">
        <v>2</v>
      </c>
      <c r="T771" s="4" t="n">
        <f aca="false">R771*K771</f>
        <v>7705000</v>
      </c>
      <c r="U771" s="9" t="n">
        <f aca="false">IFERROR(M771/S771,0)</f>
        <v>2.5</v>
      </c>
      <c r="V771" s="5" t="n">
        <v>1</v>
      </c>
    </row>
    <row r="772" customFormat="false" ht="15" hidden="false" customHeight="false" outlineLevel="0" collapsed="false">
      <c r="A772" s="8" t="s">
        <v>87</v>
      </c>
      <c r="B772" s="8" t="s">
        <v>23</v>
      </c>
      <c r="C772" s="8" t="s">
        <v>1412</v>
      </c>
      <c r="D772" s="8" t="n">
        <v>143035</v>
      </c>
      <c r="E772" s="8" t="s">
        <v>1421</v>
      </c>
      <c r="F772" s="8" t="s">
        <v>829</v>
      </c>
      <c r="G772" s="8" t="s">
        <v>970</v>
      </c>
      <c r="H772" s="8" t="s">
        <v>51</v>
      </c>
      <c r="I772" s="8" t="s">
        <v>88</v>
      </c>
      <c r="J772" s="4" t="n">
        <v>1090000</v>
      </c>
      <c r="K772" s="4" t="n">
        <v>840000</v>
      </c>
      <c r="L772" s="5" t="n">
        <v>0.22936</v>
      </c>
      <c r="M772" s="4" t="n">
        <v>4</v>
      </c>
      <c r="N772" s="4" t="n">
        <v>0</v>
      </c>
      <c r="O772" s="4" t="n">
        <v>0</v>
      </c>
      <c r="P772" s="4" t="n">
        <v>0</v>
      </c>
      <c r="Q772" s="4" t="n">
        <v>0</v>
      </c>
      <c r="R772" s="4" t="n">
        <f aca="false">M772+N772+O772+P772+Q772</f>
        <v>4</v>
      </c>
      <c r="S772" s="4" t="n">
        <v>2</v>
      </c>
      <c r="T772" s="4" t="n">
        <f aca="false">R772*K772</f>
        <v>3360000</v>
      </c>
      <c r="U772" s="9" t="n">
        <f aca="false">IFERROR(M772/S772,0)</f>
        <v>2</v>
      </c>
      <c r="V772" s="5" t="n">
        <v>1</v>
      </c>
    </row>
    <row r="773" customFormat="false" ht="15" hidden="false" customHeight="false" outlineLevel="0" collapsed="false">
      <c r="A773" s="8" t="s">
        <v>87</v>
      </c>
      <c r="B773" s="8" t="s">
        <v>23</v>
      </c>
      <c r="C773" s="8" t="s">
        <v>1412</v>
      </c>
      <c r="D773" s="8" t="n">
        <v>143082</v>
      </c>
      <c r="E773" s="8" t="s">
        <v>1422</v>
      </c>
      <c r="F773" s="8" t="s">
        <v>829</v>
      </c>
      <c r="G773" s="8" t="s">
        <v>970</v>
      </c>
      <c r="H773" s="8" t="s">
        <v>51</v>
      </c>
      <c r="I773" s="8" t="s">
        <v>88</v>
      </c>
      <c r="J773" s="4" t="n">
        <v>1790000</v>
      </c>
      <c r="K773" s="4" t="n">
        <v>1541000</v>
      </c>
      <c r="L773" s="5" t="n">
        <v>0.13966</v>
      </c>
      <c r="M773" s="4" t="n">
        <v>4</v>
      </c>
      <c r="N773" s="4" t="n">
        <v>0</v>
      </c>
      <c r="O773" s="4" t="n">
        <v>0</v>
      </c>
      <c r="P773" s="4" t="n">
        <v>0</v>
      </c>
      <c r="Q773" s="4" t="n">
        <v>0</v>
      </c>
      <c r="R773" s="4" t="n">
        <f aca="false">M773+N773+O773+P773+Q773</f>
        <v>4</v>
      </c>
      <c r="S773" s="4" t="n">
        <v>2</v>
      </c>
      <c r="T773" s="4" t="n">
        <f aca="false">R773*K773</f>
        <v>6164000</v>
      </c>
      <c r="U773" s="9" t="n">
        <f aca="false">IFERROR(M773/S773,0)</f>
        <v>2</v>
      </c>
      <c r="V773" s="5" t="n">
        <v>1</v>
      </c>
    </row>
    <row r="774" customFormat="false" ht="15" hidden="false" customHeight="false" outlineLevel="0" collapsed="false">
      <c r="A774" s="8" t="s">
        <v>87</v>
      </c>
      <c r="B774" s="8" t="s">
        <v>23</v>
      </c>
      <c r="C774" s="8" t="s">
        <v>1412</v>
      </c>
      <c r="D774" s="8" t="n">
        <v>143088</v>
      </c>
      <c r="E774" s="8" t="s">
        <v>1423</v>
      </c>
      <c r="F774" s="8" t="s">
        <v>829</v>
      </c>
      <c r="G774" s="8" t="s">
        <v>970</v>
      </c>
      <c r="H774" s="8" t="s">
        <v>51</v>
      </c>
      <c r="I774" s="8" t="s">
        <v>88</v>
      </c>
      <c r="J774" s="4" t="n">
        <v>1790000</v>
      </c>
      <c r="K774" s="4" t="n">
        <v>1541000</v>
      </c>
      <c r="L774" s="5" t="n">
        <v>0.13966</v>
      </c>
      <c r="M774" s="4" t="n">
        <v>4</v>
      </c>
      <c r="N774" s="4" t="n">
        <v>0</v>
      </c>
      <c r="O774" s="4" t="n">
        <v>0</v>
      </c>
      <c r="P774" s="4" t="n">
        <v>0</v>
      </c>
      <c r="Q774" s="4" t="n">
        <v>0</v>
      </c>
      <c r="R774" s="4" t="n">
        <f aca="false">M774+N774+O774+P774+Q774</f>
        <v>4</v>
      </c>
      <c r="S774" s="4" t="n">
        <v>2</v>
      </c>
      <c r="T774" s="4" t="n">
        <f aca="false">R774*K774</f>
        <v>6164000</v>
      </c>
      <c r="U774" s="9" t="n">
        <f aca="false">IFERROR(M774/S774,0)</f>
        <v>2</v>
      </c>
      <c r="V774" s="5" t="n">
        <v>1</v>
      </c>
    </row>
    <row r="775" customFormat="false" ht="15" hidden="false" customHeight="false" outlineLevel="0" collapsed="false">
      <c r="A775" s="8" t="s">
        <v>87</v>
      </c>
      <c r="B775" s="8" t="s">
        <v>23</v>
      </c>
      <c r="C775" s="8" t="s">
        <v>1412</v>
      </c>
      <c r="D775" s="8" t="n">
        <v>143101</v>
      </c>
      <c r="E775" s="8" t="s">
        <v>1424</v>
      </c>
      <c r="F775" s="8" t="s">
        <v>829</v>
      </c>
      <c r="G775" s="8" t="s">
        <v>970</v>
      </c>
      <c r="H775" s="8" t="s">
        <v>51</v>
      </c>
      <c r="I775" s="8" t="s">
        <v>88</v>
      </c>
      <c r="J775" s="4" t="n">
        <v>1790000</v>
      </c>
      <c r="K775" s="4" t="n">
        <v>1541000</v>
      </c>
      <c r="L775" s="5" t="n">
        <v>0.13966</v>
      </c>
      <c r="M775" s="4" t="n">
        <v>4</v>
      </c>
      <c r="N775" s="4" t="n">
        <v>0</v>
      </c>
      <c r="O775" s="4" t="n">
        <v>0</v>
      </c>
      <c r="P775" s="4" t="n">
        <v>0</v>
      </c>
      <c r="Q775" s="4" t="n">
        <v>0</v>
      </c>
      <c r="R775" s="4" t="n">
        <f aca="false">M775+N775+O775+P775+Q775</f>
        <v>4</v>
      </c>
      <c r="S775" s="4" t="n">
        <v>2</v>
      </c>
      <c r="T775" s="4" t="n">
        <f aca="false">R775*K775</f>
        <v>6164000</v>
      </c>
      <c r="U775" s="9" t="n">
        <f aca="false">IFERROR(M775/S775,0)</f>
        <v>2</v>
      </c>
      <c r="V775" s="5" t="n">
        <v>1</v>
      </c>
    </row>
    <row r="776" customFormat="false" ht="15" hidden="false" customHeight="false" outlineLevel="0" collapsed="false">
      <c r="A776" s="8" t="s">
        <v>87</v>
      </c>
      <c r="B776" s="8" t="s">
        <v>23</v>
      </c>
      <c r="C776" s="8" t="s">
        <v>1412</v>
      </c>
      <c r="D776" s="8" t="n">
        <v>143140</v>
      </c>
      <c r="E776" s="8" t="s">
        <v>1425</v>
      </c>
      <c r="F776" s="8" t="s">
        <v>829</v>
      </c>
      <c r="G776" s="8" t="s">
        <v>970</v>
      </c>
      <c r="H776" s="8" t="s">
        <v>51</v>
      </c>
      <c r="I776" s="8" t="s">
        <v>88</v>
      </c>
      <c r="J776" s="4" t="n">
        <v>1295000</v>
      </c>
      <c r="K776" s="4" t="n">
        <v>1046000</v>
      </c>
      <c r="L776" s="5" t="n">
        <v>0.19305</v>
      </c>
      <c r="M776" s="4" t="n">
        <v>4</v>
      </c>
      <c r="N776" s="4" t="n">
        <v>0</v>
      </c>
      <c r="O776" s="4" t="n">
        <v>0</v>
      </c>
      <c r="P776" s="4" t="n">
        <v>0</v>
      </c>
      <c r="Q776" s="4" t="n">
        <v>0</v>
      </c>
      <c r="R776" s="4" t="n">
        <f aca="false">M776+N776+O776+P776+Q776</f>
        <v>4</v>
      </c>
      <c r="S776" s="4" t="n">
        <v>1</v>
      </c>
      <c r="T776" s="4" t="n">
        <f aca="false">R776*K776</f>
        <v>4184000</v>
      </c>
      <c r="U776" s="9" t="n">
        <f aca="false">IFERROR(M776/S776,0)</f>
        <v>4</v>
      </c>
      <c r="V776" s="5" t="n">
        <v>1</v>
      </c>
    </row>
    <row r="777" customFormat="false" ht="15" hidden="false" customHeight="false" outlineLevel="0" collapsed="false">
      <c r="A777" s="8" t="s">
        <v>87</v>
      </c>
      <c r="B777" s="8" t="s">
        <v>23</v>
      </c>
      <c r="C777" s="8" t="s">
        <v>1412</v>
      </c>
      <c r="D777" s="8" t="n">
        <v>143143</v>
      </c>
      <c r="E777" s="8" t="s">
        <v>1426</v>
      </c>
      <c r="F777" s="8" t="s">
        <v>829</v>
      </c>
      <c r="G777" s="8" t="s">
        <v>970</v>
      </c>
      <c r="H777" s="8" t="s">
        <v>51</v>
      </c>
      <c r="I777" s="8" t="s">
        <v>88</v>
      </c>
      <c r="J777" s="4" t="n">
        <v>1295000</v>
      </c>
      <c r="K777" s="4" t="n">
        <v>1046000</v>
      </c>
      <c r="L777" s="5" t="n">
        <v>0.19305</v>
      </c>
      <c r="M777" s="4" t="n">
        <v>4</v>
      </c>
      <c r="N777" s="4" t="n">
        <v>0</v>
      </c>
      <c r="O777" s="4" t="n">
        <v>0</v>
      </c>
      <c r="P777" s="4" t="n">
        <v>0</v>
      </c>
      <c r="Q777" s="4" t="n">
        <v>0</v>
      </c>
      <c r="R777" s="4" t="n">
        <f aca="false">M777+N777+O777+P777+Q777</f>
        <v>4</v>
      </c>
      <c r="S777" s="4" t="n">
        <v>1</v>
      </c>
      <c r="T777" s="4" t="n">
        <f aca="false">R777*K777</f>
        <v>4184000</v>
      </c>
      <c r="U777" s="9" t="n">
        <f aca="false">IFERROR(M777/S777,0)</f>
        <v>4</v>
      </c>
      <c r="V777" s="5" t="n">
        <v>1</v>
      </c>
    </row>
    <row r="778" customFormat="false" ht="15" hidden="false" customHeight="false" outlineLevel="0" collapsed="false">
      <c r="A778" s="8" t="s">
        <v>87</v>
      </c>
      <c r="B778" s="8" t="s">
        <v>23</v>
      </c>
      <c r="C778" s="8" t="s">
        <v>1412</v>
      </c>
      <c r="D778" s="8" t="n">
        <v>143145</v>
      </c>
      <c r="E778" s="8" t="s">
        <v>1427</v>
      </c>
      <c r="F778" s="8" t="s">
        <v>829</v>
      </c>
      <c r="G778" s="8" t="s">
        <v>970</v>
      </c>
      <c r="H778" s="8" t="s">
        <v>51</v>
      </c>
      <c r="I778" s="8" t="s">
        <v>88</v>
      </c>
      <c r="J778" s="4" t="n">
        <v>1295000</v>
      </c>
      <c r="K778" s="4" t="n">
        <v>1046000</v>
      </c>
      <c r="L778" s="5" t="n">
        <v>0.19305</v>
      </c>
      <c r="M778" s="4" t="n">
        <v>4</v>
      </c>
      <c r="N778" s="4" t="n">
        <v>0</v>
      </c>
      <c r="O778" s="4" t="n">
        <v>0</v>
      </c>
      <c r="P778" s="4" t="n">
        <v>0</v>
      </c>
      <c r="Q778" s="4" t="n">
        <v>0</v>
      </c>
      <c r="R778" s="4" t="n">
        <f aca="false">M778+N778+O778+P778+Q778</f>
        <v>4</v>
      </c>
      <c r="S778" s="4" t="n">
        <v>1</v>
      </c>
      <c r="T778" s="4" t="n">
        <f aca="false">R778*K778</f>
        <v>4184000</v>
      </c>
      <c r="U778" s="9" t="n">
        <f aca="false">IFERROR(M778/S778,0)</f>
        <v>4</v>
      </c>
      <c r="V778" s="5" t="n">
        <v>1</v>
      </c>
    </row>
    <row r="779" customFormat="false" ht="15" hidden="false" customHeight="false" outlineLevel="0" collapsed="false">
      <c r="A779" s="8" t="s">
        <v>87</v>
      </c>
      <c r="B779" s="8" t="s">
        <v>23</v>
      </c>
      <c r="C779" s="8" t="s">
        <v>1412</v>
      </c>
      <c r="D779" s="8" t="n">
        <v>143152</v>
      </c>
      <c r="E779" s="8" t="s">
        <v>1428</v>
      </c>
      <c r="F779" s="8" t="s">
        <v>829</v>
      </c>
      <c r="G779" s="8" t="s">
        <v>970</v>
      </c>
      <c r="H779" s="8" t="s">
        <v>51</v>
      </c>
      <c r="I779" s="8" t="s">
        <v>88</v>
      </c>
      <c r="J779" s="4" t="n">
        <v>1295000</v>
      </c>
      <c r="K779" s="4" t="n">
        <v>1046000</v>
      </c>
      <c r="L779" s="5" t="n">
        <v>0.19305</v>
      </c>
      <c r="M779" s="4" t="n">
        <v>4</v>
      </c>
      <c r="N779" s="4" t="n">
        <v>0</v>
      </c>
      <c r="O779" s="4" t="n">
        <v>0</v>
      </c>
      <c r="P779" s="4" t="n">
        <v>0</v>
      </c>
      <c r="Q779" s="4" t="n">
        <v>0</v>
      </c>
      <c r="R779" s="4" t="n">
        <f aca="false">M779+N779+O779+P779+Q779</f>
        <v>4</v>
      </c>
      <c r="S779" s="4" t="n">
        <v>1</v>
      </c>
      <c r="T779" s="4" t="n">
        <f aca="false">R779*K779</f>
        <v>4184000</v>
      </c>
      <c r="U779" s="9" t="n">
        <f aca="false">IFERROR(M779/S779,0)</f>
        <v>4</v>
      </c>
      <c r="V779" s="5" t="n">
        <v>1</v>
      </c>
    </row>
    <row r="780" customFormat="false" ht="15" hidden="false" customHeight="false" outlineLevel="0" collapsed="false">
      <c r="A780" s="8" t="s">
        <v>87</v>
      </c>
      <c r="B780" s="8" t="s">
        <v>23</v>
      </c>
      <c r="C780" s="8" t="s">
        <v>1412</v>
      </c>
      <c r="D780" s="8" t="n">
        <v>143159</v>
      </c>
      <c r="E780" s="8" t="s">
        <v>1429</v>
      </c>
      <c r="F780" s="8" t="s">
        <v>829</v>
      </c>
      <c r="G780" s="8" t="s">
        <v>970</v>
      </c>
      <c r="H780" s="8" t="s">
        <v>51</v>
      </c>
      <c r="I780" s="8" t="s">
        <v>88</v>
      </c>
      <c r="J780" s="4" t="n">
        <v>1295000</v>
      </c>
      <c r="K780" s="4" t="n">
        <v>1046000</v>
      </c>
      <c r="L780" s="5" t="n">
        <v>0.19305</v>
      </c>
      <c r="M780" s="4" t="n">
        <v>4</v>
      </c>
      <c r="N780" s="4" t="n">
        <v>0</v>
      </c>
      <c r="O780" s="4" t="n">
        <v>0</v>
      </c>
      <c r="P780" s="4" t="n">
        <v>0</v>
      </c>
      <c r="Q780" s="4" t="n">
        <v>0</v>
      </c>
      <c r="R780" s="4" t="n">
        <f aca="false">M780+N780+O780+P780+Q780</f>
        <v>4</v>
      </c>
      <c r="S780" s="4" t="n">
        <v>2</v>
      </c>
      <c r="T780" s="4" t="n">
        <f aca="false">R780*K780</f>
        <v>4184000</v>
      </c>
      <c r="U780" s="9" t="n">
        <f aca="false">IFERROR(M780/S780,0)</f>
        <v>2</v>
      </c>
      <c r="V780" s="5" t="n">
        <v>1</v>
      </c>
    </row>
    <row r="781" customFormat="false" ht="15" hidden="false" customHeight="false" outlineLevel="0" collapsed="false">
      <c r="A781" s="8" t="s">
        <v>87</v>
      </c>
      <c r="B781" s="8" t="s">
        <v>23</v>
      </c>
      <c r="C781" s="8" t="s">
        <v>1412</v>
      </c>
      <c r="D781" s="8" t="n">
        <v>143161</v>
      </c>
      <c r="E781" s="8" t="s">
        <v>1430</v>
      </c>
      <c r="F781" s="8" t="s">
        <v>829</v>
      </c>
      <c r="G781" s="8" t="s">
        <v>970</v>
      </c>
      <c r="H781" s="8" t="s">
        <v>51</v>
      </c>
      <c r="I781" s="8" t="s">
        <v>88</v>
      </c>
      <c r="J781" s="4" t="n">
        <v>1295000</v>
      </c>
      <c r="K781" s="4" t="n">
        <v>1046000</v>
      </c>
      <c r="L781" s="5" t="n">
        <v>0.19305</v>
      </c>
      <c r="M781" s="4" t="n">
        <v>4</v>
      </c>
      <c r="N781" s="4" t="n">
        <v>0</v>
      </c>
      <c r="O781" s="4" t="n">
        <v>0</v>
      </c>
      <c r="P781" s="4" t="n">
        <v>0</v>
      </c>
      <c r="Q781" s="4" t="n">
        <v>0</v>
      </c>
      <c r="R781" s="4" t="n">
        <f aca="false">M781+N781+O781+P781+Q781</f>
        <v>4</v>
      </c>
      <c r="S781" s="4" t="n">
        <v>1</v>
      </c>
      <c r="T781" s="4" t="n">
        <f aca="false">R781*K781</f>
        <v>4184000</v>
      </c>
      <c r="U781" s="9" t="n">
        <f aca="false">IFERROR(M781/S781,0)</f>
        <v>4</v>
      </c>
      <c r="V781" s="5" t="n">
        <v>1</v>
      </c>
    </row>
    <row r="782" customFormat="false" ht="15" hidden="false" customHeight="false" outlineLevel="0" collapsed="false">
      <c r="A782" s="8" t="s">
        <v>87</v>
      </c>
      <c r="B782" s="8" t="s">
        <v>23</v>
      </c>
      <c r="C782" s="8" t="s">
        <v>1412</v>
      </c>
      <c r="D782" s="8" t="n">
        <v>143162</v>
      </c>
      <c r="E782" s="8" t="s">
        <v>1431</v>
      </c>
      <c r="F782" s="8" t="s">
        <v>829</v>
      </c>
      <c r="G782" s="8" t="s">
        <v>970</v>
      </c>
      <c r="H782" s="8" t="s">
        <v>51</v>
      </c>
      <c r="I782" s="8" t="s">
        <v>88</v>
      </c>
      <c r="J782" s="4" t="n">
        <v>1295000</v>
      </c>
      <c r="K782" s="4" t="n">
        <v>1046000</v>
      </c>
      <c r="L782" s="5" t="n">
        <v>0.19305</v>
      </c>
      <c r="M782" s="4" t="n">
        <v>4</v>
      </c>
      <c r="N782" s="4" t="n">
        <v>0</v>
      </c>
      <c r="O782" s="4" t="n">
        <v>0</v>
      </c>
      <c r="P782" s="4" t="n">
        <v>0</v>
      </c>
      <c r="Q782" s="4" t="n">
        <v>0</v>
      </c>
      <c r="R782" s="4" t="n">
        <f aca="false">M782+N782+O782+P782+Q782</f>
        <v>4</v>
      </c>
      <c r="S782" s="4" t="n">
        <v>2</v>
      </c>
      <c r="T782" s="4" t="n">
        <f aca="false">R782*K782</f>
        <v>4184000</v>
      </c>
      <c r="U782" s="9" t="n">
        <f aca="false">IFERROR(M782/S782,0)</f>
        <v>2</v>
      </c>
      <c r="V782" s="5" t="n">
        <v>1</v>
      </c>
    </row>
    <row r="783" customFormat="false" ht="15" hidden="false" customHeight="false" outlineLevel="0" collapsed="false">
      <c r="A783" s="8" t="s">
        <v>87</v>
      </c>
      <c r="B783" s="8" t="s">
        <v>23</v>
      </c>
      <c r="C783" s="8" t="s">
        <v>1412</v>
      </c>
      <c r="D783" s="8" t="n">
        <v>143215</v>
      </c>
      <c r="E783" s="8" t="s">
        <v>1432</v>
      </c>
      <c r="F783" s="8" t="s">
        <v>829</v>
      </c>
      <c r="G783" s="8" t="s">
        <v>970</v>
      </c>
      <c r="H783" s="8" t="s">
        <v>51</v>
      </c>
      <c r="I783" s="8" t="s">
        <v>88</v>
      </c>
      <c r="J783" s="4" t="n">
        <v>1790000</v>
      </c>
      <c r="K783" s="4" t="n">
        <v>1541000</v>
      </c>
      <c r="L783" s="5" t="n">
        <v>0.13966</v>
      </c>
      <c r="M783" s="4" t="n">
        <v>4</v>
      </c>
      <c r="N783" s="4" t="n">
        <v>0</v>
      </c>
      <c r="O783" s="4" t="n">
        <v>0</v>
      </c>
      <c r="P783" s="4" t="n">
        <v>0</v>
      </c>
      <c r="Q783" s="4" t="n">
        <v>0</v>
      </c>
      <c r="R783" s="4" t="n">
        <f aca="false">M783+N783+O783+P783+Q783</f>
        <v>4</v>
      </c>
      <c r="S783" s="4" t="n">
        <v>2</v>
      </c>
      <c r="T783" s="4" t="n">
        <f aca="false">R783*K783</f>
        <v>6164000</v>
      </c>
      <c r="U783" s="9" t="n">
        <f aca="false">IFERROR(M783/S783,0)</f>
        <v>2</v>
      </c>
      <c r="V783" s="5" t="n">
        <v>1</v>
      </c>
    </row>
    <row r="784" customFormat="false" ht="15" hidden="false" customHeight="false" outlineLevel="0" collapsed="false">
      <c r="A784" s="8" t="s">
        <v>87</v>
      </c>
      <c r="B784" s="8" t="s">
        <v>23</v>
      </c>
      <c r="C784" s="8" t="s">
        <v>1412</v>
      </c>
      <c r="D784" s="8" t="n">
        <v>143254</v>
      </c>
      <c r="E784" s="8" t="s">
        <v>1433</v>
      </c>
      <c r="F784" s="8" t="s">
        <v>829</v>
      </c>
      <c r="G784" s="8" t="s">
        <v>970</v>
      </c>
      <c r="H784" s="8" t="s">
        <v>51</v>
      </c>
      <c r="I784" s="8" t="s">
        <v>88</v>
      </c>
      <c r="J784" s="4" t="n">
        <v>1295000</v>
      </c>
      <c r="K784" s="4" t="n">
        <v>1046000</v>
      </c>
      <c r="L784" s="5" t="n">
        <v>0.19305</v>
      </c>
      <c r="M784" s="4" t="n">
        <v>4</v>
      </c>
      <c r="N784" s="4" t="n">
        <v>0</v>
      </c>
      <c r="O784" s="4" t="n">
        <v>0</v>
      </c>
      <c r="P784" s="4" t="n">
        <v>0</v>
      </c>
      <c r="Q784" s="4" t="n">
        <v>0</v>
      </c>
      <c r="R784" s="4" t="n">
        <f aca="false">M784+N784+O784+P784+Q784</f>
        <v>4</v>
      </c>
      <c r="S784" s="4" t="n">
        <v>2</v>
      </c>
      <c r="T784" s="4" t="n">
        <f aca="false">R784*K784</f>
        <v>4184000</v>
      </c>
      <c r="U784" s="9" t="n">
        <f aca="false">IFERROR(M784/S784,0)</f>
        <v>2</v>
      </c>
      <c r="V784" s="5" t="n">
        <v>1</v>
      </c>
    </row>
    <row r="785" customFormat="false" ht="15" hidden="false" customHeight="false" outlineLevel="0" collapsed="false">
      <c r="A785" s="8" t="s">
        <v>87</v>
      </c>
      <c r="B785" s="8" t="s">
        <v>23</v>
      </c>
      <c r="C785" s="8" t="s">
        <v>1412</v>
      </c>
      <c r="D785" s="8" t="n">
        <v>143042</v>
      </c>
      <c r="E785" s="8" t="s">
        <v>1434</v>
      </c>
      <c r="F785" s="8" t="s">
        <v>829</v>
      </c>
      <c r="G785" s="8" t="s">
        <v>970</v>
      </c>
      <c r="H785" s="8" t="s">
        <v>51</v>
      </c>
      <c r="I785" s="8" t="s">
        <v>88</v>
      </c>
      <c r="J785" s="4" t="n">
        <v>1090000</v>
      </c>
      <c r="K785" s="4" t="n">
        <v>840000</v>
      </c>
      <c r="L785" s="5" t="n">
        <v>0.22936</v>
      </c>
      <c r="M785" s="4" t="n">
        <v>3</v>
      </c>
      <c r="N785" s="4" t="n">
        <v>0</v>
      </c>
      <c r="O785" s="4" t="n">
        <v>0</v>
      </c>
      <c r="P785" s="4" t="n">
        <v>0</v>
      </c>
      <c r="Q785" s="4" t="n">
        <v>0</v>
      </c>
      <c r="R785" s="4" t="n">
        <f aca="false">M785+N785+O785+P785+Q785</f>
        <v>3</v>
      </c>
      <c r="S785" s="4" t="n">
        <v>2</v>
      </c>
      <c r="T785" s="4" t="n">
        <f aca="false">R785*K785</f>
        <v>2520000</v>
      </c>
      <c r="U785" s="9" t="n">
        <f aca="false">IFERROR(M785/S785,0)</f>
        <v>1.5</v>
      </c>
      <c r="V785" s="5" t="n">
        <v>1</v>
      </c>
    </row>
    <row r="786" customFormat="false" ht="15" hidden="false" customHeight="false" outlineLevel="0" collapsed="false">
      <c r="A786" s="8" t="s">
        <v>87</v>
      </c>
      <c r="B786" s="8" t="s">
        <v>23</v>
      </c>
      <c r="C786" s="8" t="s">
        <v>1412</v>
      </c>
      <c r="D786" s="8" t="n">
        <v>143043</v>
      </c>
      <c r="E786" s="8" t="s">
        <v>1435</v>
      </c>
      <c r="F786" s="8" t="s">
        <v>829</v>
      </c>
      <c r="G786" s="8" t="s">
        <v>970</v>
      </c>
      <c r="H786" s="8" t="s">
        <v>51</v>
      </c>
      <c r="I786" s="8" t="s">
        <v>88</v>
      </c>
      <c r="J786" s="4" t="n">
        <v>1090000</v>
      </c>
      <c r="K786" s="4" t="n">
        <v>840000</v>
      </c>
      <c r="L786" s="5" t="n">
        <v>0.22936</v>
      </c>
      <c r="M786" s="4" t="n">
        <v>3</v>
      </c>
      <c r="N786" s="4" t="n">
        <v>0</v>
      </c>
      <c r="O786" s="4" t="n">
        <v>0</v>
      </c>
      <c r="P786" s="4" t="n">
        <v>0</v>
      </c>
      <c r="Q786" s="4" t="n">
        <v>0</v>
      </c>
      <c r="R786" s="4" t="n">
        <f aca="false">M786+N786+O786+P786+Q786</f>
        <v>3</v>
      </c>
      <c r="S786" s="4" t="n">
        <v>2</v>
      </c>
      <c r="T786" s="4" t="n">
        <f aca="false">R786*K786</f>
        <v>2520000</v>
      </c>
      <c r="U786" s="9" t="n">
        <f aca="false">IFERROR(M786/S786,0)</f>
        <v>1.5</v>
      </c>
      <c r="V786" s="5" t="n">
        <v>1</v>
      </c>
    </row>
    <row r="787" customFormat="false" ht="15" hidden="false" customHeight="false" outlineLevel="0" collapsed="false">
      <c r="A787" s="8" t="s">
        <v>87</v>
      </c>
      <c r="B787" s="8" t="s">
        <v>23</v>
      </c>
      <c r="C787" s="8" t="s">
        <v>1412</v>
      </c>
      <c r="D787" s="8" t="n">
        <v>143047</v>
      </c>
      <c r="E787" s="8" t="s">
        <v>1436</v>
      </c>
      <c r="F787" s="8" t="s">
        <v>829</v>
      </c>
      <c r="G787" s="8" t="s">
        <v>970</v>
      </c>
      <c r="H787" s="8" t="s">
        <v>51</v>
      </c>
      <c r="I787" s="8" t="s">
        <v>88</v>
      </c>
      <c r="J787" s="4" t="n">
        <v>1090000</v>
      </c>
      <c r="K787" s="4" t="n">
        <v>840000</v>
      </c>
      <c r="L787" s="5" t="n">
        <v>0.22936</v>
      </c>
      <c r="M787" s="4" t="n">
        <v>3</v>
      </c>
      <c r="N787" s="4" t="n">
        <v>0</v>
      </c>
      <c r="O787" s="4" t="n">
        <v>0</v>
      </c>
      <c r="P787" s="4" t="n">
        <v>0</v>
      </c>
      <c r="Q787" s="4" t="n">
        <v>0</v>
      </c>
      <c r="R787" s="4" t="n">
        <f aca="false">M787+N787+O787+P787+Q787</f>
        <v>3</v>
      </c>
      <c r="S787" s="4" t="n">
        <v>2</v>
      </c>
      <c r="T787" s="4" t="n">
        <f aca="false">R787*K787</f>
        <v>2520000</v>
      </c>
      <c r="U787" s="9" t="n">
        <f aca="false">IFERROR(M787/S787,0)</f>
        <v>1.5</v>
      </c>
      <c r="V787" s="5" t="n">
        <v>1</v>
      </c>
    </row>
    <row r="788" customFormat="false" ht="15" hidden="false" customHeight="false" outlineLevel="0" collapsed="false">
      <c r="A788" s="8" t="s">
        <v>87</v>
      </c>
      <c r="B788" s="8" t="s">
        <v>23</v>
      </c>
      <c r="C788" s="8" t="s">
        <v>1412</v>
      </c>
      <c r="D788" s="8" t="n">
        <v>143050</v>
      </c>
      <c r="E788" s="8" t="s">
        <v>1437</v>
      </c>
      <c r="F788" s="8" t="s">
        <v>829</v>
      </c>
      <c r="G788" s="8" t="s">
        <v>970</v>
      </c>
      <c r="H788" s="8" t="s">
        <v>51</v>
      </c>
      <c r="I788" s="8" t="s">
        <v>88</v>
      </c>
      <c r="J788" s="4" t="n">
        <v>1090000</v>
      </c>
      <c r="K788" s="4" t="n">
        <v>840000</v>
      </c>
      <c r="L788" s="5" t="n">
        <v>0.22936</v>
      </c>
      <c r="M788" s="4" t="n">
        <v>3</v>
      </c>
      <c r="N788" s="4" t="n">
        <v>0</v>
      </c>
      <c r="O788" s="4" t="n">
        <v>0</v>
      </c>
      <c r="P788" s="4" t="n">
        <v>0</v>
      </c>
      <c r="Q788" s="4" t="n">
        <v>0</v>
      </c>
      <c r="R788" s="4" t="n">
        <f aca="false">M788+N788+O788+P788+Q788</f>
        <v>3</v>
      </c>
      <c r="S788" s="4" t="n">
        <v>2</v>
      </c>
      <c r="T788" s="4" t="n">
        <f aca="false">R788*K788</f>
        <v>2520000</v>
      </c>
      <c r="U788" s="9" t="n">
        <f aca="false">IFERROR(M788/S788,0)</f>
        <v>1.5</v>
      </c>
      <c r="V788" s="5" t="n">
        <v>1</v>
      </c>
    </row>
    <row r="789" customFormat="false" ht="15" hidden="false" customHeight="false" outlineLevel="0" collapsed="false">
      <c r="A789" s="8" t="s">
        <v>87</v>
      </c>
      <c r="B789" s="8" t="s">
        <v>23</v>
      </c>
      <c r="C789" s="8" t="s">
        <v>1412</v>
      </c>
      <c r="D789" s="8" t="n">
        <v>143051</v>
      </c>
      <c r="E789" s="8" t="s">
        <v>1438</v>
      </c>
      <c r="F789" s="8" t="s">
        <v>829</v>
      </c>
      <c r="G789" s="8" t="s">
        <v>970</v>
      </c>
      <c r="H789" s="8" t="s">
        <v>51</v>
      </c>
      <c r="I789" s="8" t="s">
        <v>88</v>
      </c>
      <c r="J789" s="4" t="n">
        <v>1090000</v>
      </c>
      <c r="K789" s="4" t="n">
        <v>840000</v>
      </c>
      <c r="L789" s="5" t="n">
        <v>0.22936</v>
      </c>
      <c r="M789" s="4" t="n">
        <v>3</v>
      </c>
      <c r="N789" s="4" t="n">
        <v>0</v>
      </c>
      <c r="O789" s="4" t="n">
        <v>0</v>
      </c>
      <c r="P789" s="4" t="n">
        <v>0</v>
      </c>
      <c r="Q789" s="4" t="n">
        <v>0</v>
      </c>
      <c r="R789" s="4" t="n">
        <f aca="false">M789+N789+O789+P789+Q789</f>
        <v>3</v>
      </c>
      <c r="S789" s="4" t="n">
        <v>2</v>
      </c>
      <c r="T789" s="4" t="n">
        <f aca="false">R789*K789</f>
        <v>2520000</v>
      </c>
      <c r="U789" s="9" t="n">
        <f aca="false">IFERROR(M789/S789,0)</f>
        <v>1.5</v>
      </c>
      <c r="V789" s="5" t="n">
        <v>1</v>
      </c>
    </row>
    <row r="790" customFormat="false" ht="15" hidden="false" customHeight="false" outlineLevel="0" collapsed="false">
      <c r="A790" s="8" t="s">
        <v>87</v>
      </c>
      <c r="B790" s="8" t="s">
        <v>23</v>
      </c>
      <c r="C790" s="8" t="s">
        <v>1412</v>
      </c>
      <c r="D790" s="8" t="n">
        <v>143056</v>
      </c>
      <c r="E790" s="8" t="s">
        <v>1439</v>
      </c>
      <c r="F790" s="8" t="s">
        <v>829</v>
      </c>
      <c r="G790" s="8" t="s">
        <v>970</v>
      </c>
      <c r="H790" s="8" t="s">
        <v>51</v>
      </c>
      <c r="I790" s="8" t="s">
        <v>88</v>
      </c>
      <c r="J790" s="4" t="n">
        <v>1090000</v>
      </c>
      <c r="K790" s="4" t="n">
        <v>840000</v>
      </c>
      <c r="L790" s="5" t="n">
        <v>0.22936</v>
      </c>
      <c r="M790" s="4" t="n">
        <v>3</v>
      </c>
      <c r="N790" s="4" t="n">
        <v>0</v>
      </c>
      <c r="O790" s="4" t="n">
        <v>0</v>
      </c>
      <c r="P790" s="4" t="n">
        <v>0</v>
      </c>
      <c r="Q790" s="4" t="n">
        <v>0</v>
      </c>
      <c r="R790" s="4" t="n">
        <f aca="false">M790+N790+O790+P790+Q790</f>
        <v>3</v>
      </c>
      <c r="S790" s="4" t="n">
        <v>2</v>
      </c>
      <c r="T790" s="4" t="n">
        <f aca="false">R790*K790</f>
        <v>2520000</v>
      </c>
      <c r="U790" s="9" t="n">
        <f aca="false">IFERROR(M790/S790,0)</f>
        <v>1.5</v>
      </c>
      <c r="V790" s="5" t="n">
        <v>1</v>
      </c>
    </row>
    <row r="791" customFormat="false" ht="15" hidden="false" customHeight="false" outlineLevel="0" collapsed="false">
      <c r="A791" s="8" t="s">
        <v>87</v>
      </c>
      <c r="B791" s="8" t="s">
        <v>23</v>
      </c>
      <c r="C791" s="8" t="s">
        <v>1412</v>
      </c>
      <c r="D791" s="8" t="n">
        <v>143065</v>
      </c>
      <c r="E791" s="8" t="s">
        <v>1440</v>
      </c>
      <c r="F791" s="8" t="s">
        <v>829</v>
      </c>
      <c r="G791" s="8" t="s">
        <v>970</v>
      </c>
      <c r="H791" s="8" t="s">
        <v>51</v>
      </c>
      <c r="I791" s="8" t="s">
        <v>88</v>
      </c>
      <c r="J791" s="4" t="n">
        <v>1090000</v>
      </c>
      <c r="K791" s="4" t="n">
        <v>840000</v>
      </c>
      <c r="L791" s="5" t="n">
        <v>0.22936</v>
      </c>
      <c r="M791" s="4" t="n">
        <v>3</v>
      </c>
      <c r="N791" s="4" t="n">
        <v>0</v>
      </c>
      <c r="O791" s="4" t="n">
        <v>0</v>
      </c>
      <c r="P791" s="4" t="n">
        <v>0</v>
      </c>
      <c r="Q791" s="4" t="n">
        <v>0</v>
      </c>
      <c r="R791" s="4" t="n">
        <f aca="false">M791+N791+O791+P791+Q791</f>
        <v>3</v>
      </c>
      <c r="S791" s="4" t="n">
        <v>2</v>
      </c>
      <c r="T791" s="4" t="n">
        <f aca="false">R791*K791</f>
        <v>2520000</v>
      </c>
      <c r="U791" s="9" t="n">
        <f aca="false">IFERROR(M791/S791,0)</f>
        <v>1.5</v>
      </c>
      <c r="V791" s="5" t="n">
        <v>1</v>
      </c>
    </row>
    <row r="792" customFormat="false" ht="15" hidden="false" customHeight="false" outlineLevel="0" collapsed="false">
      <c r="A792" s="8" t="s">
        <v>87</v>
      </c>
      <c r="B792" s="8" t="s">
        <v>23</v>
      </c>
      <c r="C792" s="8" t="s">
        <v>1412</v>
      </c>
      <c r="D792" s="8" t="n">
        <v>143068</v>
      </c>
      <c r="E792" s="8" t="s">
        <v>1441</v>
      </c>
      <c r="F792" s="8" t="s">
        <v>829</v>
      </c>
      <c r="G792" s="8" t="s">
        <v>970</v>
      </c>
      <c r="H792" s="8" t="s">
        <v>51</v>
      </c>
      <c r="I792" s="8" t="s">
        <v>88</v>
      </c>
      <c r="J792" s="4" t="n">
        <v>1090000</v>
      </c>
      <c r="K792" s="4" t="n">
        <v>840000</v>
      </c>
      <c r="L792" s="5" t="n">
        <v>0.22936</v>
      </c>
      <c r="M792" s="4" t="n">
        <v>3</v>
      </c>
      <c r="N792" s="4" t="n">
        <v>0</v>
      </c>
      <c r="O792" s="4" t="n">
        <v>0</v>
      </c>
      <c r="P792" s="4" t="n">
        <v>0</v>
      </c>
      <c r="Q792" s="4" t="n">
        <v>0</v>
      </c>
      <c r="R792" s="4" t="n">
        <f aca="false">M792+N792+O792+P792+Q792</f>
        <v>3</v>
      </c>
      <c r="S792" s="4" t="n">
        <v>1</v>
      </c>
      <c r="T792" s="4" t="n">
        <f aca="false">R792*K792</f>
        <v>2520000</v>
      </c>
      <c r="U792" s="9" t="n">
        <f aca="false">IFERROR(M792/S792,0)</f>
        <v>3</v>
      </c>
      <c r="V792" s="5" t="n">
        <v>1</v>
      </c>
    </row>
    <row r="793" customFormat="false" ht="15" hidden="false" customHeight="false" outlineLevel="0" collapsed="false">
      <c r="A793" s="8" t="s">
        <v>87</v>
      </c>
      <c r="B793" s="8" t="s">
        <v>23</v>
      </c>
      <c r="C793" s="8" t="s">
        <v>1412</v>
      </c>
      <c r="D793" s="8" t="n">
        <v>143070</v>
      </c>
      <c r="E793" s="8" t="s">
        <v>1442</v>
      </c>
      <c r="F793" s="8" t="s">
        <v>829</v>
      </c>
      <c r="G793" s="8" t="s">
        <v>970</v>
      </c>
      <c r="H793" s="8" t="s">
        <v>51</v>
      </c>
      <c r="I793" s="8" t="s">
        <v>88</v>
      </c>
      <c r="J793" s="4" t="n">
        <v>1090000</v>
      </c>
      <c r="K793" s="4" t="n">
        <v>840000</v>
      </c>
      <c r="L793" s="5" t="n">
        <v>0.22936</v>
      </c>
      <c r="M793" s="4" t="n">
        <v>3</v>
      </c>
      <c r="N793" s="4" t="n">
        <v>0</v>
      </c>
      <c r="O793" s="4" t="n">
        <v>0</v>
      </c>
      <c r="P793" s="4" t="n">
        <v>0</v>
      </c>
      <c r="Q793" s="4" t="n">
        <v>0</v>
      </c>
      <c r="R793" s="4" t="n">
        <f aca="false">M793+N793+O793+P793+Q793</f>
        <v>3</v>
      </c>
      <c r="S793" s="4" t="n">
        <v>2</v>
      </c>
      <c r="T793" s="4" t="n">
        <f aca="false">R793*K793</f>
        <v>2520000</v>
      </c>
      <c r="U793" s="9" t="n">
        <f aca="false">IFERROR(M793/S793,0)</f>
        <v>1.5</v>
      </c>
      <c r="V793" s="5" t="n">
        <v>1</v>
      </c>
    </row>
    <row r="794" customFormat="false" ht="15" hidden="false" customHeight="false" outlineLevel="0" collapsed="false">
      <c r="A794" s="8" t="s">
        <v>87</v>
      </c>
      <c r="B794" s="8" t="s">
        <v>23</v>
      </c>
      <c r="C794" s="8" t="s">
        <v>1412</v>
      </c>
      <c r="D794" s="8" t="n">
        <v>143076</v>
      </c>
      <c r="E794" s="8" t="s">
        <v>1443</v>
      </c>
      <c r="F794" s="8" t="s">
        <v>829</v>
      </c>
      <c r="G794" s="8" t="s">
        <v>970</v>
      </c>
      <c r="H794" s="8" t="s">
        <v>51</v>
      </c>
      <c r="I794" s="8" t="s">
        <v>88</v>
      </c>
      <c r="J794" s="4" t="n">
        <v>1090000</v>
      </c>
      <c r="K794" s="4" t="n">
        <v>840000</v>
      </c>
      <c r="L794" s="5" t="n">
        <v>0.22936</v>
      </c>
      <c r="M794" s="4" t="n">
        <v>3</v>
      </c>
      <c r="N794" s="4" t="n">
        <v>0</v>
      </c>
      <c r="O794" s="4" t="n">
        <v>0</v>
      </c>
      <c r="P794" s="4" t="n">
        <v>0</v>
      </c>
      <c r="Q794" s="4" t="n">
        <v>0</v>
      </c>
      <c r="R794" s="4" t="n">
        <f aca="false">M794+N794+O794+P794+Q794</f>
        <v>3</v>
      </c>
      <c r="S794" s="4" t="n">
        <v>1</v>
      </c>
      <c r="T794" s="4" t="n">
        <f aca="false">R794*K794</f>
        <v>2520000</v>
      </c>
      <c r="U794" s="9" t="n">
        <f aca="false">IFERROR(M794/S794,0)</f>
        <v>3</v>
      </c>
      <c r="V794" s="5" t="n">
        <v>1</v>
      </c>
    </row>
    <row r="795" customFormat="false" ht="15" hidden="false" customHeight="false" outlineLevel="0" collapsed="false">
      <c r="A795" s="8" t="s">
        <v>87</v>
      </c>
      <c r="B795" s="8" t="s">
        <v>23</v>
      </c>
      <c r="C795" s="8" t="s">
        <v>1412</v>
      </c>
      <c r="D795" s="8" t="n">
        <v>143081</v>
      </c>
      <c r="E795" s="8" t="s">
        <v>1444</v>
      </c>
      <c r="F795" s="8" t="s">
        <v>829</v>
      </c>
      <c r="G795" s="8" t="s">
        <v>970</v>
      </c>
      <c r="H795" s="8" t="s">
        <v>51</v>
      </c>
      <c r="I795" s="8" t="s">
        <v>88</v>
      </c>
      <c r="J795" s="4" t="n">
        <v>1790000</v>
      </c>
      <c r="K795" s="4" t="n">
        <v>1541000</v>
      </c>
      <c r="L795" s="5" t="n">
        <v>0.13966</v>
      </c>
      <c r="M795" s="4" t="n">
        <v>3</v>
      </c>
      <c r="N795" s="4" t="n">
        <v>0</v>
      </c>
      <c r="O795" s="4" t="n">
        <v>0</v>
      </c>
      <c r="P795" s="4" t="n">
        <v>0</v>
      </c>
      <c r="Q795" s="4" t="n">
        <v>0</v>
      </c>
      <c r="R795" s="4" t="n">
        <f aca="false">M795+N795+O795+P795+Q795</f>
        <v>3</v>
      </c>
      <c r="S795" s="4" t="n">
        <v>2</v>
      </c>
      <c r="T795" s="4" t="n">
        <f aca="false">R795*K795</f>
        <v>4623000</v>
      </c>
      <c r="U795" s="9" t="n">
        <f aca="false">IFERROR(M795/S795,0)</f>
        <v>1.5</v>
      </c>
      <c r="V795" s="5" t="n">
        <v>1</v>
      </c>
    </row>
    <row r="796" customFormat="false" ht="15" hidden="false" customHeight="false" outlineLevel="0" collapsed="false">
      <c r="A796" s="8" t="s">
        <v>87</v>
      </c>
      <c r="B796" s="8" t="s">
        <v>23</v>
      </c>
      <c r="C796" s="8" t="s">
        <v>1412</v>
      </c>
      <c r="D796" s="8" t="n">
        <v>143090</v>
      </c>
      <c r="E796" s="8" t="s">
        <v>1445</v>
      </c>
      <c r="F796" s="8" t="s">
        <v>829</v>
      </c>
      <c r="G796" s="8" t="s">
        <v>970</v>
      </c>
      <c r="H796" s="8" t="s">
        <v>51</v>
      </c>
      <c r="I796" s="8" t="s">
        <v>88</v>
      </c>
      <c r="J796" s="4" t="n">
        <v>1790000</v>
      </c>
      <c r="K796" s="4" t="n">
        <v>1541000</v>
      </c>
      <c r="L796" s="5" t="n">
        <v>0.13966</v>
      </c>
      <c r="M796" s="4" t="n">
        <v>3</v>
      </c>
      <c r="N796" s="4" t="n">
        <v>0</v>
      </c>
      <c r="O796" s="4" t="n">
        <v>0</v>
      </c>
      <c r="P796" s="4" t="n">
        <v>0</v>
      </c>
      <c r="Q796" s="4" t="n">
        <v>0</v>
      </c>
      <c r="R796" s="4" t="n">
        <f aca="false">M796+N796+O796+P796+Q796</f>
        <v>3</v>
      </c>
      <c r="S796" s="4" t="n">
        <v>2</v>
      </c>
      <c r="T796" s="4" t="n">
        <f aca="false">R796*K796</f>
        <v>4623000</v>
      </c>
      <c r="U796" s="9" t="n">
        <f aca="false">IFERROR(M796/S796,0)</f>
        <v>1.5</v>
      </c>
      <c r="V796" s="5" t="n">
        <v>1</v>
      </c>
    </row>
    <row r="797" customFormat="false" ht="15" hidden="false" customHeight="false" outlineLevel="0" collapsed="false">
      <c r="A797" s="8" t="s">
        <v>87</v>
      </c>
      <c r="B797" s="8" t="s">
        <v>23</v>
      </c>
      <c r="C797" s="8" t="s">
        <v>1412</v>
      </c>
      <c r="D797" s="8" t="n">
        <v>143098</v>
      </c>
      <c r="E797" s="8" t="s">
        <v>1446</v>
      </c>
      <c r="F797" s="8" t="s">
        <v>829</v>
      </c>
      <c r="G797" s="8" t="s">
        <v>970</v>
      </c>
      <c r="H797" s="8" t="s">
        <v>51</v>
      </c>
      <c r="I797" s="8" t="s">
        <v>88</v>
      </c>
      <c r="J797" s="4" t="n">
        <v>1790000</v>
      </c>
      <c r="K797" s="4" t="n">
        <v>1541000</v>
      </c>
      <c r="L797" s="5" t="n">
        <v>0.13966</v>
      </c>
      <c r="M797" s="4" t="n">
        <v>3</v>
      </c>
      <c r="N797" s="4" t="n">
        <v>0</v>
      </c>
      <c r="O797" s="4" t="n">
        <v>0</v>
      </c>
      <c r="P797" s="4" t="n">
        <v>0</v>
      </c>
      <c r="Q797" s="4" t="n">
        <v>0</v>
      </c>
      <c r="R797" s="4" t="n">
        <f aca="false">M797+N797+O797+P797+Q797</f>
        <v>3</v>
      </c>
      <c r="S797" s="4" t="n">
        <v>1</v>
      </c>
      <c r="T797" s="4" t="n">
        <f aca="false">R797*K797</f>
        <v>4623000</v>
      </c>
      <c r="U797" s="9" t="n">
        <f aca="false">IFERROR(M797/S797,0)</f>
        <v>3</v>
      </c>
      <c r="V797" s="5" t="n">
        <v>1</v>
      </c>
    </row>
    <row r="798" customFormat="false" ht="15" hidden="false" customHeight="false" outlineLevel="0" collapsed="false">
      <c r="A798" s="8" t="s">
        <v>87</v>
      </c>
      <c r="B798" s="8" t="s">
        <v>23</v>
      </c>
      <c r="C798" s="8" t="s">
        <v>1412</v>
      </c>
      <c r="D798" s="8" t="n">
        <v>143116</v>
      </c>
      <c r="E798" s="8" t="s">
        <v>1447</v>
      </c>
      <c r="F798" s="8" t="s">
        <v>829</v>
      </c>
      <c r="G798" s="8" t="s">
        <v>970</v>
      </c>
      <c r="H798" s="8" t="s">
        <v>51</v>
      </c>
      <c r="I798" s="8" t="s">
        <v>88</v>
      </c>
      <c r="J798" s="4" t="n">
        <v>1295000</v>
      </c>
      <c r="K798" s="4" t="n">
        <v>1046000</v>
      </c>
      <c r="L798" s="5" t="n">
        <v>0.19305</v>
      </c>
      <c r="M798" s="4" t="n">
        <v>3</v>
      </c>
      <c r="N798" s="4" t="n">
        <v>0</v>
      </c>
      <c r="O798" s="4" t="n">
        <v>0</v>
      </c>
      <c r="P798" s="4" t="n">
        <v>0</v>
      </c>
      <c r="Q798" s="4" t="n">
        <v>0</v>
      </c>
      <c r="R798" s="4" t="n">
        <f aca="false">M798+N798+O798+P798+Q798</f>
        <v>3</v>
      </c>
      <c r="S798" s="4" t="n">
        <v>2</v>
      </c>
      <c r="T798" s="4" t="n">
        <f aca="false">R798*K798</f>
        <v>3138000</v>
      </c>
      <c r="U798" s="9" t="n">
        <f aca="false">IFERROR(M798/S798,0)</f>
        <v>1.5</v>
      </c>
      <c r="V798" s="5" t="n">
        <v>1</v>
      </c>
    </row>
    <row r="799" customFormat="false" ht="15" hidden="false" customHeight="false" outlineLevel="0" collapsed="false">
      <c r="A799" s="8" t="s">
        <v>87</v>
      </c>
      <c r="B799" s="8" t="s">
        <v>23</v>
      </c>
      <c r="C799" s="8" t="s">
        <v>1412</v>
      </c>
      <c r="D799" s="8" t="n">
        <v>143123</v>
      </c>
      <c r="E799" s="8" t="s">
        <v>1448</v>
      </c>
      <c r="F799" s="8" t="s">
        <v>829</v>
      </c>
      <c r="G799" s="8" t="s">
        <v>970</v>
      </c>
      <c r="H799" s="8" t="s">
        <v>51</v>
      </c>
      <c r="I799" s="8" t="s">
        <v>88</v>
      </c>
      <c r="J799" s="4" t="n">
        <v>1295000</v>
      </c>
      <c r="K799" s="4" t="n">
        <v>1046000</v>
      </c>
      <c r="L799" s="5" t="n">
        <v>0.19305</v>
      </c>
      <c r="M799" s="4" t="n">
        <v>3</v>
      </c>
      <c r="N799" s="4" t="n">
        <v>0</v>
      </c>
      <c r="O799" s="4" t="n">
        <v>0</v>
      </c>
      <c r="P799" s="4" t="n">
        <v>0</v>
      </c>
      <c r="Q799" s="4" t="n">
        <v>0</v>
      </c>
      <c r="R799" s="4" t="n">
        <f aca="false">M799+N799+O799+P799+Q799</f>
        <v>3</v>
      </c>
      <c r="S799" s="4" t="n">
        <v>2</v>
      </c>
      <c r="T799" s="4" t="n">
        <f aca="false">R799*K799</f>
        <v>3138000</v>
      </c>
      <c r="U799" s="9" t="n">
        <f aca="false">IFERROR(M799/S799,0)</f>
        <v>1.5</v>
      </c>
      <c r="V799" s="5" t="n">
        <v>1</v>
      </c>
    </row>
    <row r="800" customFormat="false" ht="15" hidden="false" customHeight="false" outlineLevel="0" collapsed="false">
      <c r="A800" s="8" t="s">
        <v>87</v>
      </c>
      <c r="B800" s="8" t="s">
        <v>23</v>
      </c>
      <c r="C800" s="8" t="s">
        <v>1412</v>
      </c>
      <c r="D800" s="8" t="n">
        <v>143124</v>
      </c>
      <c r="E800" s="8" t="s">
        <v>1449</v>
      </c>
      <c r="F800" s="8" t="s">
        <v>829</v>
      </c>
      <c r="G800" s="8" t="s">
        <v>970</v>
      </c>
      <c r="H800" s="8" t="s">
        <v>51</v>
      </c>
      <c r="I800" s="8" t="s">
        <v>88</v>
      </c>
      <c r="J800" s="4" t="n">
        <v>1295000</v>
      </c>
      <c r="K800" s="4" t="n">
        <v>1046000</v>
      </c>
      <c r="L800" s="5" t="n">
        <v>0.19305</v>
      </c>
      <c r="M800" s="4" t="n">
        <v>3</v>
      </c>
      <c r="N800" s="4" t="n">
        <v>0</v>
      </c>
      <c r="O800" s="4" t="n">
        <v>0</v>
      </c>
      <c r="P800" s="4" t="n">
        <v>0</v>
      </c>
      <c r="Q800" s="4" t="n">
        <v>0</v>
      </c>
      <c r="R800" s="4" t="n">
        <f aca="false">M800+N800+O800+P800+Q800</f>
        <v>3</v>
      </c>
      <c r="S800" s="4" t="n">
        <v>2</v>
      </c>
      <c r="T800" s="4" t="n">
        <f aca="false">R800*K800</f>
        <v>3138000</v>
      </c>
      <c r="U800" s="9" t="n">
        <f aca="false">IFERROR(M800/S800,0)</f>
        <v>1.5</v>
      </c>
      <c r="V800" s="5" t="n">
        <v>1</v>
      </c>
    </row>
    <row r="801" customFormat="false" ht="15" hidden="false" customHeight="false" outlineLevel="0" collapsed="false">
      <c r="A801" s="8" t="s">
        <v>87</v>
      </c>
      <c r="B801" s="8" t="s">
        <v>23</v>
      </c>
      <c r="C801" s="8" t="s">
        <v>1412</v>
      </c>
      <c r="D801" s="8" t="n">
        <v>143131</v>
      </c>
      <c r="E801" s="8" t="s">
        <v>1450</v>
      </c>
      <c r="F801" s="8" t="s">
        <v>829</v>
      </c>
      <c r="G801" s="8" t="s">
        <v>970</v>
      </c>
      <c r="H801" s="8" t="s">
        <v>51</v>
      </c>
      <c r="I801" s="8" t="s">
        <v>88</v>
      </c>
      <c r="J801" s="4" t="n">
        <v>1295000</v>
      </c>
      <c r="K801" s="4" t="n">
        <v>1046000</v>
      </c>
      <c r="L801" s="5" t="n">
        <v>0.19305</v>
      </c>
      <c r="M801" s="4" t="n">
        <v>3</v>
      </c>
      <c r="N801" s="4" t="n">
        <v>0</v>
      </c>
      <c r="O801" s="4" t="n">
        <v>0</v>
      </c>
      <c r="P801" s="4" t="n">
        <v>0</v>
      </c>
      <c r="Q801" s="4" t="n">
        <v>0</v>
      </c>
      <c r="R801" s="4" t="n">
        <f aca="false">M801+N801+O801+P801+Q801</f>
        <v>3</v>
      </c>
      <c r="S801" s="4" t="n">
        <v>2</v>
      </c>
      <c r="T801" s="4" t="n">
        <f aca="false">R801*K801</f>
        <v>3138000</v>
      </c>
      <c r="U801" s="9" t="n">
        <f aca="false">IFERROR(M801/S801,0)</f>
        <v>1.5</v>
      </c>
      <c r="V801" s="5" t="n">
        <v>1</v>
      </c>
    </row>
    <row r="802" customFormat="false" ht="15" hidden="false" customHeight="false" outlineLevel="0" collapsed="false">
      <c r="A802" s="8" t="s">
        <v>87</v>
      </c>
      <c r="B802" s="8" t="s">
        <v>23</v>
      </c>
      <c r="C802" s="8" t="s">
        <v>1412</v>
      </c>
      <c r="D802" s="8" t="n">
        <v>143137</v>
      </c>
      <c r="E802" s="8" t="s">
        <v>1451</v>
      </c>
      <c r="F802" s="8" t="s">
        <v>829</v>
      </c>
      <c r="G802" s="8" t="s">
        <v>970</v>
      </c>
      <c r="H802" s="8" t="s">
        <v>51</v>
      </c>
      <c r="I802" s="8" t="s">
        <v>88</v>
      </c>
      <c r="J802" s="4" t="n">
        <v>1295000</v>
      </c>
      <c r="K802" s="4" t="n">
        <v>1046000</v>
      </c>
      <c r="L802" s="5" t="n">
        <v>0.19305</v>
      </c>
      <c r="M802" s="4" t="n">
        <v>3</v>
      </c>
      <c r="N802" s="4" t="n">
        <v>0</v>
      </c>
      <c r="O802" s="4" t="n">
        <v>0</v>
      </c>
      <c r="P802" s="4" t="n">
        <v>0</v>
      </c>
      <c r="Q802" s="4" t="n">
        <v>0</v>
      </c>
      <c r="R802" s="4" t="n">
        <f aca="false">M802+N802+O802+P802+Q802</f>
        <v>3</v>
      </c>
      <c r="S802" s="4" t="n">
        <v>1</v>
      </c>
      <c r="T802" s="4" t="n">
        <f aca="false">R802*K802</f>
        <v>3138000</v>
      </c>
      <c r="U802" s="9" t="n">
        <f aca="false">IFERROR(M802/S802,0)</f>
        <v>3</v>
      </c>
      <c r="V802" s="5" t="n">
        <v>1</v>
      </c>
    </row>
    <row r="803" customFormat="false" ht="15" hidden="false" customHeight="false" outlineLevel="0" collapsed="false">
      <c r="A803" s="8" t="s">
        <v>87</v>
      </c>
      <c r="B803" s="8" t="s">
        <v>23</v>
      </c>
      <c r="C803" s="8" t="s">
        <v>1412</v>
      </c>
      <c r="D803" s="8" t="n">
        <v>143141</v>
      </c>
      <c r="E803" s="8" t="s">
        <v>1452</v>
      </c>
      <c r="F803" s="8" t="s">
        <v>829</v>
      </c>
      <c r="G803" s="8" t="s">
        <v>970</v>
      </c>
      <c r="H803" s="8" t="s">
        <v>51</v>
      </c>
      <c r="I803" s="8" t="s">
        <v>88</v>
      </c>
      <c r="J803" s="4" t="n">
        <v>1295000</v>
      </c>
      <c r="K803" s="4" t="n">
        <v>1046000</v>
      </c>
      <c r="L803" s="5" t="n">
        <v>0.19305</v>
      </c>
      <c r="M803" s="4" t="n">
        <v>3</v>
      </c>
      <c r="N803" s="4" t="n">
        <v>0</v>
      </c>
      <c r="O803" s="4" t="n">
        <v>0</v>
      </c>
      <c r="P803" s="4" t="n">
        <v>0</v>
      </c>
      <c r="Q803" s="4" t="n">
        <v>0</v>
      </c>
      <c r="R803" s="4" t="n">
        <f aca="false">M803+N803+O803+P803+Q803</f>
        <v>3</v>
      </c>
      <c r="S803" s="4" t="n">
        <v>1</v>
      </c>
      <c r="T803" s="4" t="n">
        <f aca="false">R803*K803</f>
        <v>3138000</v>
      </c>
      <c r="U803" s="9" t="n">
        <f aca="false">IFERROR(M803/S803,0)</f>
        <v>3</v>
      </c>
      <c r="V803" s="5" t="n">
        <v>1</v>
      </c>
    </row>
    <row r="804" customFormat="false" ht="15" hidden="false" customHeight="false" outlineLevel="0" collapsed="false">
      <c r="A804" s="8" t="s">
        <v>87</v>
      </c>
      <c r="B804" s="8" t="s">
        <v>23</v>
      </c>
      <c r="C804" s="8" t="s">
        <v>1412</v>
      </c>
      <c r="D804" s="8" t="n">
        <v>143149</v>
      </c>
      <c r="E804" s="8" t="s">
        <v>1453</v>
      </c>
      <c r="F804" s="8" t="s">
        <v>829</v>
      </c>
      <c r="G804" s="8" t="s">
        <v>970</v>
      </c>
      <c r="H804" s="8" t="s">
        <v>51</v>
      </c>
      <c r="I804" s="8" t="s">
        <v>88</v>
      </c>
      <c r="J804" s="4" t="n">
        <v>1295000</v>
      </c>
      <c r="K804" s="4" t="n">
        <v>1046000</v>
      </c>
      <c r="L804" s="5" t="n">
        <v>0.19305</v>
      </c>
      <c r="M804" s="4" t="n">
        <v>3</v>
      </c>
      <c r="N804" s="4" t="n">
        <v>0</v>
      </c>
      <c r="O804" s="4" t="n">
        <v>0</v>
      </c>
      <c r="P804" s="4" t="n">
        <v>0</v>
      </c>
      <c r="Q804" s="4" t="n">
        <v>0</v>
      </c>
      <c r="R804" s="4" t="n">
        <f aca="false">M804+N804+O804+P804+Q804</f>
        <v>3</v>
      </c>
      <c r="S804" s="4" t="n">
        <v>2</v>
      </c>
      <c r="T804" s="4" t="n">
        <f aca="false">R804*K804</f>
        <v>3138000</v>
      </c>
      <c r="U804" s="9" t="n">
        <f aca="false">IFERROR(M804/S804,0)</f>
        <v>1.5</v>
      </c>
      <c r="V804" s="5" t="n">
        <v>1</v>
      </c>
    </row>
    <row r="805" customFormat="false" ht="15" hidden="false" customHeight="false" outlineLevel="0" collapsed="false">
      <c r="A805" s="8" t="s">
        <v>87</v>
      </c>
      <c r="B805" s="8" t="s">
        <v>23</v>
      </c>
      <c r="C805" s="8" t="s">
        <v>1412</v>
      </c>
      <c r="D805" s="8" t="n">
        <v>143153</v>
      </c>
      <c r="E805" s="8" t="s">
        <v>1454</v>
      </c>
      <c r="F805" s="8" t="s">
        <v>829</v>
      </c>
      <c r="G805" s="8" t="s">
        <v>970</v>
      </c>
      <c r="H805" s="8" t="s">
        <v>51</v>
      </c>
      <c r="I805" s="8" t="s">
        <v>88</v>
      </c>
      <c r="J805" s="4" t="n">
        <v>1295000</v>
      </c>
      <c r="K805" s="4" t="n">
        <v>1046000</v>
      </c>
      <c r="L805" s="5" t="n">
        <v>0.19305</v>
      </c>
      <c r="M805" s="4" t="n">
        <v>3</v>
      </c>
      <c r="N805" s="4" t="n">
        <v>0</v>
      </c>
      <c r="O805" s="4" t="n">
        <v>0</v>
      </c>
      <c r="P805" s="4" t="n">
        <v>0</v>
      </c>
      <c r="Q805" s="4" t="n">
        <v>0</v>
      </c>
      <c r="R805" s="4" t="n">
        <f aca="false">M805+N805+O805+P805+Q805</f>
        <v>3</v>
      </c>
      <c r="S805" s="4" t="n">
        <v>1</v>
      </c>
      <c r="T805" s="4" t="n">
        <f aca="false">R805*K805</f>
        <v>3138000</v>
      </c>
      <c r="U805" s="9" t="n">
        <f aca="false">IFERROR(M805/S805,0)</f>
        <v>3</v>
      </c>
      <c r="V805" s="5" t="n">
        <v>1</v>
      </c>
    </row>
    <row r="806" customFormat="false" ht="15" hidden="false" customHeight="false" outlineLevel="0" collapsed="false">
      <c r="A806" s="8" t="s">
        <v>87</v>
      </c>
      <c r="B806" s="8" t="s">
        <v>23</v>
      </c>
      <c r="C806" s="8" t="s">
        <v>1412</v>
      </c>
      <c r="D806" s="8" t="n">
        <v>143157</v>
      </c>
      <c r="E806" s="8" t="s">
        <v>1455</v>
      </c>
      <c r="F806" s="8" t="s">
        <v>829</v>
      </c>
      <c r="G806" s="8" t="s">
        <v>970</v>
      </c>
      <c r="H806" s="8" t="s">
        <v>51</v>
      </c>
      <c r="I806" s="8" t="s">
        <v>88</v>
      </c>
      <c r="J806" s="4" t="n">
        <v>1295000</v>
      </c>
      <c r="K806" s="4" t="n">
        <v>1046000</v>
      </c>
      <c r="L806" s="5" t="n">
        <v>0.19305</v>
      </c>
      <c r="M806" s="4" t="n">
        <v>3</v>
      </c>
      <c r="N806" s="4" t="n">
        <v>0</v>
      </c>
      <c r="O806" s="4" t="n">
        <v>0</v>
      </c>
      <c r="P806" s="4" t="n">
        <v>0</v>
      </c>
      <c r="Q806" s="4" t="n">
        <v>0</v>
      </c>
      <c r="R806" s="4" t="n">
        <f aca="false">M806+N806+O806+P806+Q806</f>
        <v>3</v>
      </c>
      <c r="S806" s="4" t="n">
        <v>2</v>
      </c>
      <c r="T806" s="4" t="n">
        <f aca="false">R806*K806</f>
        <v>3138000</v>
      </c>
      <c r="U806" s="9" t="n">
        <f aca="false">IFERROR(M806/S806,0)</f>
        <v>1.5</v>
      </c>
      <c r="V806" s="5" t="n">
        <v>1</v>
      </c>
    </row>
    <row r="807" customFormat="false" ht="15" hidden="false" customHeight="false" outlineLevel="0" collapsed="false">
      <c r="A807" s="8" t="s">
        <v>87</v>
      </c>
      <c r="B807" s="8" t="s">
        <v>23</v>
      </c>
      <c r="C807" s="8" t="s">
        <v>1412</v>
      </c>
      <c r="D807" s="8" t="n">
        <v>143158</v>
      </c>
      <c r="E807" s="8" t="s">
        <v>1456</v>
      </c>
      <c r="F807" s="8" t="s">
        <v>829</v>
      </c>
      <c r="G807" s="8" t="s">
        <v>970</v>
      </c>
      <c r="H807" s="8" t="s">
        <v>51</v>
      </c>
      <c r="I807" s="8" t="s">
        <v>88</v>
      </c>
      <c r="J807" s="4" t="n">
        <v>1295000</v>
      </c>
      <c r="K807" s="4" t="n">
        <v>1046000</v>
      </c>
      <c r="L807" s="5" t="n">
        <v>0.19305</v>
      </c>
      <c r="M807" s="4" t="n">
        <v>3</v>
      </c>
      <c r="N807" s="4" t="n">
        <v>0</v>
      </c>
      <c r="O807" s="4" t="n">
        <v>0</v>
      </c>
      <c r="P807" s="4" t="n">
        <v>0</v>
      </c>
      <c r="Q807" s="4" t="n">
        <v>0</v>
      </c>
      <c r="R807" s="4" t="n">
        <f aca="false">M807+N807+O807+P807+Q807</f>
        <v>3</v>
      </c>
      <c r="S807" s="4" t="n">
        <v>2</v>
      </c>
      <c r="T807" s="4" t="n">
        <f aca="false">R807*K807</f>
        <v>3138000</v>
      </c>
      <c r="U807" s="9" t="n">
        <f aca="false">IFERROR(M807/S807,0)</f>
        <v>1.5</v>
      </c>
      <c r="V807" s="5" t="n">
        <v>1</v>
      </c>
    </row>
    <row r="808" customFormat="false" ht="15" hidden="false" customHeight="false" outlineLevel="0" collapsed="false">
      <c r="A808" s="8" t="s">
        <v>87</v>
      </c>
      <c r="B808" s="8" t="s">
        <v>23</v>
      </c>
      <c r="C808" s="8" t="s">
        <v>1412</v>
      </c>
      <c r="D808" s="8" t="n">
        <v>143211</v>
      </c>
      <c r="E808" s="8" t="s">
        <v>1457</v>
      </c>
      <c r="F808" s="8" t="s">
        <v>829</v>
      </c>
      <c r="G808" s="8" t="s">
        <v>970</v>
      </c>
      <c r="H808" s="8" t="s">
        <v>51</v>
      </c>
      <c r="I808" s="8" t="s">
        <v>88</v>
      </c>
      <c r="J808" s="4" t="n">
        <v>1790000</v>
      </c>
      <c r="K808" s="4" t="n">
        <v>1541000</v>
      </c>
      <c r="L808" s="5" t="n">
        <v>0.13966</v>
      </c>
      <c r="M808" s="4" t="n">
        <v>3</v>
      </c>
      <c r="N808" s="4" t="n">
        <v>0</v>
      </c>
      <c r="O808" s="4" t="n">
        <v>0</v>
      </c>
      <c r="P808" s="4" t="n">
        <v>0</v>
      </c>
      <c r="Q808" s="4" t="n">
        <v>0</v>
      </c>
      <c r="R808" s="4" t="n">
        <f aca="false">M808+N808+O808+P808+Q808</f>
        <v>3</v>
      </c>
      <c r="S808" s="4" t="n">
        <v>2</v>
      </c>
      <c r="T808" s="4" t="n">
        <f aca="false">R808*K808</f>
        <v>4623000</v>
      </c>
      <c r="U808" s="9" t="n">
        <f aca="false">IFERROR(M808/S808,0)</f>
        <v>1.5</v>
      </c>
      <c r="V808" s="5" t="n">
        <v>1</v>
      </c>
    </row>
    <row r="809" customFormat="false" ht="15" hidden="false" customHeight="false" outlineLevel="0" collapsed="false">
      <c r="A809" s="8" t="s">
        <v>87</v>
      </c>
      <c r="B809" s="8" t="s">
        <v>23</v>
      </c>
      <c r="C809" s="8" t="s">
        <v>1412</v>
      </c>
      <c r="D809" s="8" t="n">
        <v>143213</v>
      </c>
      <c r="E809" s="8" t="s">
        <v>1458</v>
      </c>
      <c r="F809" s="8" t="s">
        <v>829</v>
      </c>
      <c r="G809" s="8" t="s">
        <v>970</v>
      </c>
      <c r="H809" s="8" t="s">
        <v>51</v>
      </c>
      <c r="I809" s="8" t="s">
        <v>88</v>
      </c>
      <c r="J809" s="4" t="n">
        <v>1790000</v>
      </c>
      <c r="K809" s="4" t="n">
        <v>1541000</v>
      </c>
      <c r="L809" s="5" t="n">
        <v>0.13966</v>
      </c>
      <c r="M809" s="4" t="n">
        <v>3</v>
      </c>
      <c r="N809" s="4" t="n">
        <v>0</v>
      </c>
      <c r="O809" s="4" t="n">
        <v>0</v>
      </c>
      <c r="P809" s="4" t="n">
        <v>0</v>
      </c>
      <c r="Q809" s="4" t="n">
        <v>0</v>
      </c>
      <c r="R809" s="4" t="n">
        <f aca="false">M809+N809+O809+P809+Q809</f>
        <v>3</v>
      </c>
      <c r="S809" s="4" t="n">
        <v>2</v>
      </c>
      <c r="T809" s="4" t="n">
        <f aca="false">R809*K809</f>
        <v>4623000</v>
      </c>
      <c r="U809" s="9" t="n">
        <f aca="false">IFERROR(M809/S809,0)</f>
        <v>1.5</v>
      </c>
      <c r="V809" s="5" t="n">
        <v>1</v>
      </c>
    </row>
    <row r="810" customFormat="false" ht="15" hidden="false" customHeight="false" outlineLevel="0" collapsed="false">
      <c r="A810" s="8" t="s">
        <v>87</v>
      </c>
      <c r="B810" s="8" t="s">
        <v>23</v>
      </c>
      <c r="C810" s="8" t="s">
        <v>1412</v>
      </c>
      <c r="D810" s="8" t="n">
        <v>143214</v>
      </c>
      <c r="E810" s="8" t="s">
        <v>1459</v>
      </c>
      <c r="F810" s="8" t="s">
        <v>829</v>
      </c>
      <c r="G810" s="8" t="s">
        <v>970</v>
      </c>
      <c r="H810" s="8" t="s">
        <v>51</v>
      </c>
      <c r="I810" s="8" t="s">
        <v>88</v>
      </c>
      <c r="J810" s="4" t="n">
        <v>1790000</v>
      </c>
      <c r="K810" s="4" t="n">
        <v>1541000</v>
      </c>
      <c r="L810" s="5" t="n">
        <v>0.13966</v>
      </c>
      <c r="M810" s="4" t="n">
        <v>3</v>
      </c>
      <c r="N810" s="4" t="n">
        <v>0</v>
      </c>
      <c r="O810" s="4" t="n">
        <v>0</v>
      </c>
      <c r="P810" s="4" t="n">
        <v>0</v>
      </c>
      <c r="Q810" s="4" t="n">
        <v>0</v>
      </c>
      <c r="R810" s="4" t="n">
        <f aca="false">M810+N810+O810+P810+Q810</f>
        <v>3</v>
      </c>
      <c r="S810" s="4" t="n">
        <v>2</v>
      </c>
      <c r="T810" s="4" t="n">
        <f aca="false">R810*K810</f>
        <v>4623000</v>
      </c>
      <c r="U810" s="9" t="n">
        <f aca="false">IFERROR(M810/S810,0)</f>
        <v>1.5</v>
      </c>
      <c r="V810" s="5" t="n">
        <v>1</v>
      </c>
    </row>
    <row r="811" customFormat="false" ht="15" hidden="false" customHeight="false" outlineLevel="0" collapsed="false">
      <c r="A811" s="8" t="s">
        <v>87</v>
      </c>
      <c r="B811" s="8" t="s">
        <v>23</v>
      </c>
      <c r="C811" s="8" t="s">
        <v>1412</v>
      </c>
      <c r="D811" s="8" t="n">
        <v>143216</v>
      </c>
      <c r="E811" s="8" t="s">
        <v>1460</v>
      </c>
      <c r="F811" s="8" t="s">
        <v>829</v>
      </c>
      <c r="G811" s="8" t="s">
        <v>970</v>
      </c>
      <c r="H811" s="8" t="s">
        <v>51</v>
      </c>
      <c r="I811" s="8" t="s">
        <v>88</v>
      </c>
      <c r="J811" s="4" t="n">
        <v>1790000</v>
      </c>
      <c r="K811" s="4" t="n">
        <v>1541000</v>
      </c>
      <c r="L811" s="5" t="n">
        <v>0.13966</v>
      </c>
      <c r="M811" s="4" t="n">
        <v>3</v>
      </c>
      <c r="N811" s="4" t="n">
        <v>0</v>
      </c>
      <c r="O811" s="4" t="n">
        <v>0</v>
      </c>
      <c r="P811" s="4" t="n">
        <v>0</v>
      </c>
      <c r="Q811" s="4" t="n">
        <v>0</v>
      </c>
      <c r="R811" s="4" t="n">
        <f aca="false">M811+N811+O811+P811+Q811</f>
        <v>3</v>
      </c>
      <c r="S811" s="4" t="n">
        <v>2</v>
      </c>
      <c r="T811" s="4" t="n">
        <f aca="false">R811*K811</f>
        <v>4623000</v>
      </c>
      <c r="U811" s="9" t="n">
        <f aca="false">IFERROR(M811/S811,0)</f>
        <v>1.5</v>
      </c>
      <c r="V811" s="5" t="n">
        <v>1</v>
      </c>
    </row>
    <row r="812" customFormat="false" ht="15" hidden="false" customHeight="false" outlineLevel="0" collapsed="false">
      <c r="A812" s="8" t="s">
        <v>87</v>
      </c>
      <c r="B812" s="8" t="s">
        <v>23</v>
      </c>
      <c r="C812" s="8" t="s">
        <v>1412</v>
      </c>
      <c r="D812" s="8" t="n">
        <v>143218</v>
      </c>
      <c r="E812" s="8" t="s">
        <v>1461</v>
      </c>
      <c r="F812" s="8" t="s">
        <v>829</v>
      </c>
      <c r="G812" s="8" t="s">
        <v>970</v>
      </c>
      <c r="H812" s="8" t="s">
        <v>51</v>
      </c>
      <c r="I812" s="8" t="s">
        <v>88</v>
      </c>
      <c r="J812" s="4" t="n">
        <v>1790000</v>
      </c>
      <c r="K812" s="4" t="n">
        <v>1541000</v>
      </c>
      <c r="L812" s="5" t="n">
        <v>0.13966</v>
      </c>
      <c r="M812" s="4" t="n">
        <v>3</v>
      </c>
      <c r="N812" s="4" t="n">
        <v>0</v>
      </c>
      <c r="O812" s="4" t="n">
        <v>0</v>
      </c>
      <c r="P812" s="4" t="n">
        <v>0</v>
      </c>
      <c r="Q812" s="4" t="n">
        <v>0</v>
      </c>
      <c r="R812" s="4" t="n">
        <f aca="false">M812+N812+O812+P812+Q812</f>
        <v>3</v>
      </c>
      <c r="S812" s="4" t="n">
        <v>1</v>
      </c>
      <c r="T812" s="4" t="n">
        <f aca="false">R812*K812</f>
        <v>4623000</v>
      </c>
      <c r="U812" s="9" t="n">
        <f aca="false">IFERROR(M812/S812,0)</f>
        <v>3</v>
      </c>
      <c r="V812" s="5" t="n">
        <v>1</v>
      </c>
    </row>
    <row r="813" customFormat="false" ht="15" hidden="false" customHeight="false" outlineLevel="0" collapsed="false">
      <c r="A813" s="8" t="s">
        <v>87</v>
      </c>
      <c r="B813" s="8" t="s">
        <v>23</v>
      </c>
      <c r="C813" s="8" t="s">
        <v>1412</v>
      </c>
      <c r="D813" s="8" t="n">
        <v>143221</v>
      </c>
      <c r="E813" s="8" t="s">
        <v>1462</v>
      </c>
      <c r="F813" s="8" t="s">
        <v>829</v>
      </c>
      <c r="G813" s="8" t="s">
        <v>970</v>
      </c>
      <c r="H813" s="8" t="s">
        <v>51</v>
      </c>
      <c r="I813" s="8" t="s">
        <v>88</v>
      </c>
      <c r="J813" s="4" t="n">
        <v>1790000</v>
      </c>
      <c r="K813" s="4" t="n">
        <v>1541000</v>
      </c>
      <c r="L813" s="5" t="n">
        <v>0.13966</v>
      </c>
      <c r="M813" s="4" t="n">
        <v>3</v>
      </c>
      <c r="N813" s="4" t="n">
        <v>0</v>
      </c>
      <c r="O813" s="4" t="n">
        <v>0</v>
      </c>
      <c r="P813" s="4" t="n">
        <v>0</v>
      </c>
      <c r="Q813" s="4" t="n">
        <v>0</v>
      </c>
      <c r="R813" s="4" t="n">
        <f aca="false">M813+N813+O813+P813+Q813</f>
        <v>3</v>
      </c>
      <c r="S813" s="4" t="n">
        <v>1</v>
      </c>
      <c r="T813" s="4" t="n">
        <f aca="false">R813*K813</f>
        <v>4623000</v>
      </c>
      <c r="U813" s="9" t="n">
        <f aca="false">IFERROR(M813/S813,0)</f>
        <v>3</v>
      </c>
      <c r="V813" s="5" t="n">
        <v>1</v>
      </c>
    </row>
    <row r="814" customFormat="false" ht="15" hidden="false" customHeight="false" outlineLevel="0" collapsed="false">
      <c r="A814" s="8" t="s">
        <v>87</v>
      </c>
      <c r="B814" s="8" t="s">
        <v>23</v>
      </c>
      <c r="C814" s="8" t="s">
        <v>1412</v>
      </c>
      <c r="D814" s="8" t="n">
        <v>143224</v>
      </c>
      <c r="E814" s="8" t="s">
        <v>1463</v>
      </c>
      <c r="F814" s="8" t="s">
        <v>829</v>
      </c>
      <c r="G814" s="8" t="s">
        <v>970</v>
      </c>
      <c r="H814" s="8" t="s">
        <v>51</v>
      </c>
      <c r="I814" s="8" t="s">
        <v>88</v>
      </c>
      <c r="J814" s="4" t="n">
        <v>1295000</v>
      </c>
      <c r="K814" s="4" t="n">
        <v>1046000</v>
      </c>
      <c r="L814" s="5" t="n">
        <v>0.19305</v>
      </c>
      <c r="M814" s="4" t="n">
        <v>3</v>
      </c>
      <c r="N814" s="4" t="n">
        <v>0</v>
      </c>
      <c r="O814" s="4" t="n">
        <v>0</v>
      </c>
      <c r="P814" s="4" t="n">
        <v>0</v>
      </c>
      <c r="Q814" s="4" t="n">
        <v>0</v>
      </c>
      <c r="R814" s="4" t="n">
        <f aca="false">M814+N814+O814+P814+Q814</f>
        <v>3</v>
      </c>
      <c r="S814" s="4" t="n">
        <v>1</v>
      </c>
      <c r="T814" s="4" t="n">
        <f aca="false">R814*K814</f>
        <v>3138000</v>
      </c>
      <c r="U814" s="9" t="n">
        <f aca="false">IFERROR(M814/S814,0)</f>
        <v>3</v>
      </c>
      <c r="V814" s="5" t="n">
        <v>1</v>
      </c>
    </row>
    <row r="815" customFormat="false" ht="15" hidden="false" customHeight="false" outlineLevel="0" collapsed="false">
      <c r="A815" s="8" t="s">
        <v>87</v>
      </c>
      <c r="B815" s="8" t="s">
        <v>23</v>
      </c>
      <c r="C815" s="8" t="s">
        <v>1412</v>
      </c>
      <c r="D815" s="8" t="n">
        <v>143233</v>
      </c>
      <c r="E815" s="8" t="s">
        <v>1464</v>
      </c>
      <c r="F815" s="8" t="s">
        <v>829</v>
      </c>
      <c r="G815" s="8" t="s">
        <v>970</v>
      </c>
      <c r="H815" s="8" t="s">
        <v>51</v>
      </c>
      <c r="I815" s="8" t="s">
        <v>88</v>
      </c>
      <c r="J815" s="4" t="n">
        <v>1295000</v>
      </c>
      <c r="K815" s="4" t="n">
        <v>1046000</v>
      </c>
      <c r="L815" s="5" t="n">
        <v>0.19305</v>
      </c>
      <c r="M815" s="4" t="n">
        <v>3</v>
      </c>
      <c r="N815" s="4" t="n">
        <v>0</v>
      </c>
      <c r="O815" s="4" t="n">
        <v>0</v>
      </c>
      <c r="P815" s="4" t="n">
        <v>0</v>
      </c>
      <c r="Q815" s="4" t="n">
        <v>0</v>
      </c>
      <c r="R815" s="4" t="n">
        <f aca="false">M815+N815+O815+P815+Q815</f>
        <v>3</v>
      </c>
      <c r="S815" s="4" t="n">
        <v>1</v>
      </c>
      <c r="T815" s="4" t="n">
        <f aca="false">R815*K815</f>
        <v>3138000</v>
      </c>
      <c r="U815" s="9" t="n">
        <f aca="false">IFERROR(M815/S815,0)</f>
        <v>3</v>
      </c>
      <c r="V815" s="5" t="n">
        <v>1</v>
      </c>
    </row>
    <row r="816" customFormat="false" ht="15" hidden="false" customHeight="false" outlineLevel="0" collapsed="false">
      <c r="A816" s="8" t="s">
        <v>87</v>
      </c>
      <c r="B816" s="8" t="s">
        <v>23</v>
      </c>
      <c r="C816" s="8" t="s">
        <v>1412</v>
      </c>
      <c r="D816" s="8" t="n">
        <v>143239</v>
      </c>
      <c r="E816" s="8" t="s">
        <v>1465</v>
      </c>
      <c r="F816" s="8" t="s">
        <v>829</v>
      </c>
      <c r="G816" s="8" t="s">
        <v>970</v>
      </c>
      <c r="H816" s="8" t="s">
        <v>51</v>
      </c>
      <c r="I816" s="8" t="s">
        <v>88</v>
      </c>
      <c r="J816" s="4" t="n">
        <v>1295000</v>
      </c>
      <c r="K816" s="4" t="n">
        <v>1046000</v>
      </c>
      <c r="L816" s="5" t="n">
        <v>0.19305</v>
      </c>
      <c r="M816" s="4" t="n">
        <v>3</v>
      </c>
      <c r="N816" s="4" t="n">
        <v>0</v>
      </c>
      <c r="O816" s="4" t="n">
        <v>0</v>
      </c>
      <c r="P816" s="4" t="n">
        <v>0</v>
      </c>
      <c r="Q816" s="4" t="n">
        <v>0</v>
      </c>
      <c r="R816" s="4" t="n">
        <f aca="false">M816+N816+O816+P816+Q816</f>
        <v>3</v>
      </c>
      <c r="S816" s="4" t="n">
        <v>1</v>
      </c>
      <c r="T816" s="4" t="n">
        <f aca="false">R816*K816</f>
        <v>3138000</v>
      </c>
      <c r="U816" s="9" t="n">
        <f aca="false">IFERROR(M816/S816,0)</f>
        <v>3</v>
      </c>
      <c r="V816" s="5" t="n">
        <v>1</v>
      </c>
    </row>
    <row r="817" customFormat="false" ht="15" hidden="false" customHeight="false" outlineLevel="0" collapsed="false">
      <c r="A817" s="8" t="s">
        <v>87</v>
      </c>
      <c r="B817" s="8" t="s">
        <v>23</v>
      </c>
      <c r="C817" s="8" t="s">
        <v>1412</v>
      </c>
      <c r="D817" s="8" t="n">
        <v>143242</v>
      </c>
      <c r="E817" s="8" t="s">
        <v>1466</v>
      </c>
      <c r="F817" s="8" t="s">
        <v>829</v>
      </c>
      <c r="G817" s="8" t="s">
        <v>970</v>
      </c>
      <c r="H817" s="8" t="s">
        <v>51</v>
      </c>
      <c r="I817" s="8" t="s">
        <v>88</v>
      </c>
      <c r="J817" s="4" t="n">
        <v>1295000</v>
      </c>
      <c r="K817" s="4" t="n">
        <v>1046000</v>
      </c>
      <c r="L817" s="5" t="n">
        <v>0.19305</v>
      </c>
      <c r="M817" s="4" t="n">
        <v>3</v>
      </c>
      <c r="N817" s="4" t="n">
        <v>0</v>
      </c>
      <c r="O817" s="4" t="n">
        <v>0</v>
      </c>
      <c r="P817" s="4" t="n">
        <v>0</v>
      </c>
      <c r="Q817" s="4" t="n">
        <v>0</v>
      </c>
      <c r="R817" s="4" t="n">
        <f aca="false">M817+N817+O817+P817+Q817</f>
        <v>3</v>
      </c>
      <c r="S817" s="4" t="n">
        <v>1</v>
      </c>
      <c r="T817" s="4" t="n">
        <f aca="false">R817*K817</f>
        <v>3138000</v>
      </c>
      <c r="U817" s="9" t="n">
        <f aca="false">IFERROR(M817/S817,0)</f>
        <v>3</v>
      </c>
      <c r="V817" s="5" t="n">
        <v>1</v>
      </c>
    </row>
    <row r="818" customFormat="false" ht="15" hidden="false" customHeight="false" outlineLevel="0" collapsed="false">
      <c r="A818" s="8" t="s">
        <v>87</v>
      </c>
      <c r="B818" s="8" t="s">
        <v>23</v>
      </c>
      <c r="C818" s="8" t="s">
        <v>1412</v>
      </c>
      <c r="D818" s="8" t="n">
        <v>143255</v>
      </c>
      <c r="E818" s="8" t="s">
        <v>1467</v>
      </c>
      <c r="F818" s="8" t="s">
        <v>829</v>
      </c>
      <c r="G818" s="8" t="s">
        <v>970</v>
      </c>
      <c r="H818" s="8" t="s">
        <v>51</v>
      </c>
      <c r="I818" s="8" t="s">
        <v>88</v>
      </c>
      <c r="J818" s="4" t="n">
        <v>1295000</v>
      </c>
      <c r="K818" s="4" t="n">
        <v>1046000</v>
      </c>
      <c r="L818" s="5" t="n">
        <v>0.19305</v>
      </c>
      <c r="M818" s="4" t="n">
        <v>3</v>
      </c>
      <c r="N818" s="4" t="n">
        <v>0</v>
      </c>
      <c r="O818" s="4" t="n">
        <v>0</v>
      </c>
      <c r="P818" s="4" t="n">
        <v>0</v>
      </c>
      <c r="Q818" s="4" t="n">
        <v>0</v>
      </c>
      <c r="R818" s="4" t="n">
        <f aca="false">M818+N818+O818+P818+Q818</f>
        <v>3</v>
      </c>
      <c r="S818" s="4" t="n">
        <v>2</v>
      </c>
      <c r="T818" s="4" t="n">
        <f aca="false">R818*K818</f>
        <v>3138000</v>
      </c>
      <c r="U818" s="9" t="n">
        <f aca="false">IFERROR(M818/S818,0)</f>
        <v>1.5</v>
      </c>
      <c r="V818" s="5" t="n">
        <v>1</v>
      </c>
    </row>
    <row r="819" customFormat="false" ht="15" hidden="false" customHeight="false" outlineLevel="0" collapsed="false">
      <c r="A819" s="8" t="s">
        <v>87</v>
      </c>
      <c r="B819" s="8" t="s">
        <v>23</v>
      </c>
      <c r="C819" s="8" t="s">
        <v>1412</v>
      </c>
      <c r="D819" s="8" t="n">
        <v>143275</v>
      </c>
      <c r="E819" s="8" t="s">
        <v>1468</v>
      </c>
      <c r="F819" s="8" t="s">
        <v>829</v>
      </c>
      <c r="G819" s="8" t="s">
        <v>970</v>
      </c>
      <c r="H819" s="8" t="s">
        <v>51</v>
      </c>
      <c r="I819" s="8" t="s">
        <v>88</v>
      </c>
      <c r="J819" s="4" t="n">
        <v>1790000</v>
      </c>
      <c r="K819" s="4" t="n">
        <v>1541000</v>
      </c>
      <c r="L819" s="5" t="n">
        <v>0.13966</v>
      </c>
      <c r="M819" s="4" t="n">
        <v>3</v>
      </c>
      <c r="N819" s="4" t="n">
        <v>0</v>
      </c>
      <c r="O819" s="4" t="n">
        <v>0</v>
      </c>
      <c r="P819" s="4" t="n">
        <v>0</v>
      </c>
      <c r="Q819" s="4" t="n">
        <v>0</v>
      </c>
      <c r="R819" s="4" t="n">
        <f aca="false">M819+N819+O819+P819+Q819</f>
        <v>3</v>
      </c>
      <c r="S819" s="4" t="n">
        <v>1</v>
      </c>
      <c r="T819" s="4" t="n">
        <f aca="false">R819*K819</f>
        <v>4623000</v>
      </c>
      <c r="U819" s="9" t="n">
        <f aca="false">IFERROR(M819/S819,0)</f>
        <v>3</v>
      </c>
      <c r="V819" s="5" t="n">
        <v>1</v>
      </c>
    </row>
    <row r="820" customFormat="false" ht="15" hidden="false" customHeight="false" outlineLevel="0" collapsed="false">
      <c r="A820" s="8" t="s">
        <v>87</v>
      </c>
      <c r="B820" s="8" t="s">
        <v>23</v>
      </c>
      <c r="C820" s="8" t="s">
        <v>1412</v>
      </c>
      <c r="D820" s="8" t="n">
        <v>143282</v>
      </c>
      <c r="E820" s="8" t="s">
        <v>1469</v>
      </c>
      <c r="F820" s="8" t="s">
        <v>829</v>
      </c>
      <c r="G820" s="8" t="s">
        <v>970</v>
      </c>
      <c r="H820" s="8" t="s">
        <v>51</v>
      </c>
      <c r="I820" s="8" t="s">
        <v>88</v>
      </c>
      <c r="J820" s="4" t="n">
        <v>1790000</v>
      </c>
      <c r="K820" s="4" t="n">
        <v>1541000</v>
      </c>
      <c r="L820" s="5" t="n">
        <v>0.13966</v>
      </c>
      <c r="M820" s="4" t="n">
        <v>3</v>
      </c>
      <c r="N820" s="4" t="n">
        <v>0</v>
      </c>
      <c r="O820" s="4" t="n">
        <v>0</v>
      </c>
      <c r="P820" s="4" t="n">
        <v>0</v>
      </c>
      <c r="Q820" s="4" t="n">
        <v>0</v>
      </c>
      <c r="R820" s="4" t="n">
        <f aca="false">M820+N820+O820+P820+Q820</f>
        <v>3</v>
      </c>
      <c r="S820" s="4" t="n">
        <v>2</v>
      </c>
      <c r="T820" s="4" t="n">
        <f aca="false">R820*K820</f>
        <v>4623000</v>
      </c>
      <c r="U820" s="9" t="n">
        <f aca="false">IFERROR(M820/S820,0)</f>
        <v>1.5</v>
      </c>
      <c r="V820" s="5" t="n">
        <v>1</v>
      </c>
    </row>
    <row r="821" customFormat="false" ht="15" hidden="false" customHeight="false" outlineLevel="0" collapsed="false">
      <c r="A821" s="8" t="s">
        <v>87</v>
      </c>
      <c r="B821" s="8" t="s">
        <v>23</v>
      </c>
      <c r="C821" s="8" t="s">
        <v>1412</v>
      </c>
      <c r="D821" s="8" t="n">
        <v>143285</v>
      </c>
      <c r="E821" s="8" t="s">
        <v>1470</v>
      </c>
      <c r="F821" s="8" t="s">
        <v>829</v>
      </c>
      <c r="G821" s="8" t="s">
        <v>970</v>
      </c>
      <c r="H821" s="8" t="s">
        <v>51</v>
      </c>
      <c r="I821" s="8" t="s">
        <v>88</v>
      </c>
      <c r="J821" s="4" t="n">
        <v>1790000</v>
      </c>
      <c r="K821" s="4" t="n">
        <v>1541000</v>
      </c>
      <c r="L821" s="5" t="n">
        <v>0.13966</v>
      </c>
      <c r="M821" s="4" t="n">
        <v>3</v>
      </c>
      <c r="N821" s="4" t="n">
        <v>0</v>
      </c>
      <c r="O821" s="4" t="n">
        <v>0</v>
      </c>
      <c r="P821" s="4" t="n">
        <v>0</v>
      </c>
      <c r="Q821" s="4" t="n">
        <v>0</v>
      </c>
      <c r="R821" s="4" t="n">
        <f aca="false">M821+N821+O821+P821+Q821</f>
        <v>3</v>
      </c>
      <c r="S821" s="4" t="n">
        <v>1</v>
      </c>
      <c r="T821" s="4" t="n">
        <f aca="false">R821*K821</f>
        <v>4623000</v>
      </c>
      <c r="U821" s="9" t="n">
        <f aca="false">IFERROR(M821/S821,0)</f>
        <v>3</v>
      </c>
      <c r="V821" s="5" t="n">
        <v>1</v>
      </c>
    </row>
    <row r="822" customFormat="false" ht="15" hidden="false" customHeight="false" outlineLevel="0" collapsed="false">
      <c r="A822" s="8" t="s">
        <v>87</v>
      </c>
      <c r="B822" s="8" t="s">
        <v>23</v>
      </c>
      <c r="C822" s="8" t="s">
        <v>1412</v>
      </c>
      <c r="D822" s="8" t="n">
        <v>143027</v>
      </c>
      <c r="E822" s="8" t="s">
        <v>1471</v>
      </c>
      <c r="F822" s="8" t="s">
        <v>829</v>
      </c>
      <c r="G822" s="8" t="s">
        <v>970</v>
      </c>
      <c r="H822" s="8" t="s">
        <v>51</v>
      </c>
      <c r="I822" s="8" t="s">
        <v>88</v>
      </c>
      <c r="J822" s="4" t="n">
        <v>1090000</v>
      </c>
      <c r="K822" s="4" t="n">
        <v>840000</v>
      </c>
      <c r="L822" s="5" t="n">
        <v>0.22936</v>
      </c>
      <c r="M822" s="4" t="n">
        <v>2</v>
      </c>
      <c r="N822" s="4" t="n">
        <v>0</v>
      </c>
      <c r="O822" s="4" t="n">
        <v>0</v>
      </c>
      <c r="P822" s="4" t="n">
        <v>0</v>
      </c>
      <c r="Q822" s="4" t="n">
        <v>0</v>
      </c>
      <c r="R822" s="4" t="n">
        <f aca="false">M822+N822+O822+P822+Q822</f>
        <v>2</v>
      </c>
      <c r="S822" s="4" t="n">
        <v>2</v>
      </c>
      <c r="T822" s="4" t="n">
        <f aca="false">R822*K822</f>
        <v>1680000</v>
      </c>
      <c r="U822" s="9" t="n">
        <f aca="false">IFERROR(M822/S822,0)</f>
        <v>1</v>
      </c>
      <c r="V822" s="5" t="n">
        <v>1</v>
      </c>
    </row>
    <row r="823" customFormat="false" ht="15" hidden="false" customHeight="false" outlineLevel="0" collapsed="false">
      <c r="A823" s="8" t="s">
        <v>87</v>
      </c>
      <c r="B823" s="8" t="s">
        <v>23</v>
      </c>
      <c r="C823" s="8" t="s">
        <v>1412</v>
      </c>
      <c r="D823" s="8" t="n">
        <v>143030</v>
      </c>
      <c r="E823" s="8" t="s">
        <v>1472</v>
      </c>
      <c r="F823" s="8" t="s">
        <v>829</v>
      </c>
      <c r="G823" s="8" t="s">
        <v>970</v>
      </c>
      <c r="H823" s="8" t="s">
        <v>51</v>
      </c>
      <c r="I823" s="8" t="s">
        <v>88</v>
      </c>
      <c r="J823" s="4" t="n">
        <v>1090000</v>
      </c>
      <c r="K823" s="4" t="n">
        <v>840000</v>
      </c>
      <c r="L823" s="5" t="n">
        <v>0.22936</v>
      </c>
      <c r="M823" s="4" t="n">
        <v>2</v>
      </c>
      <c r="N823" s="4" t="n">
        <v>0</v>
      </c>
      <c r="O823" s="4" t="n">
        <v>0</v>
      </c>
      <c r="P823" s="4" t="n">
        <v>0</v>
      </c>
      <c r="Q823" s="4" t="n">
        <v>0</v>
      </c>
      <c r="R823" s="4" t="n">
        <f aca="false">M823+N823+O823+P823+Q823</f>
        <v>2</v>
      </c>
      <c r="S823" s="4" t="n">
        <v>2</v>
      </c>
      <c r="T823" s="4" t="n">
        <f aca="false">R823*K823</f>
        <v>1680000</v>
      </c>
      <c r="U823" s="9" t="n">
        <f aca="false">IFERROR(M823/S823,0)</f>
        <v>1</v>
      </c>
      <c r="V823" s="5" t="n">
        <v>1</v>
      </c>
    </row>
    <row r="824" customFormat="false" ht="15" hidden="false" customHeight="false" outlineLevel="0" collapsed="false">
      <c r="A824" s="8" t="s">
        <v>87</v>
      </c>
      <c r="B824" s="8" t="s">
        <v>23</v>
      </c>
      <c r="C824" s="8" t="s">
        <v>1412</v>
      </c>
      <c r="D824" s="8" t="n">
        <v>143041</v>
      </c>
      <c r="E824" s="8" t="s">
        <v>1473</v>
      </c>
      <c r="F824" s="8" t="s">
        <v>829</v>
      </c>
      <c r="G824" s="8" t="s">
        <v>970</v>
      </c>
      <c r="H824" s="8" t="s">
        <v>51</v>
      </c>
      <c r="I824" s="8" t="s">
        <v>88</v>
      </c>
      <c r="J824" s="4" t="n">
        <v>1090000</v>
      </c>
      <c r="K824" s="4" t="n">
        <v>840000</v>
      </c>
      <c r="L824" s="5" t="n">
        <v>0.22936</v>
      </c>
      <c r="M824" s="4" t="n">
        <v>2</v>
      </c>
      <c r="N824" s="4" t="n">
        <v>0</v>
      </c>
      <c r="O824" s="4" t="n">
        <v>0</v>
      </c>
      <c r="P824" s="4" t="n">
        <v>0</v>
      </c>
      <c r="Q824" s="4" t="n">
        <v>0</v>
      </c>
      <c r="R824" s="4" t="n">
        <f aca="false">M824+N824+O824+P824+Q824</f>
        <v>2</v>
      </c>
      <c r="S824" s="4" t="n">
        <v>2</v>
      </c>
      <c r="T824" s="4" t="n">
        <f aca="false">R824*K824</f>
        <v>1680000</v>
      </c>
      <c r="U824" s="9" t="n">
        <f aca="false">IFERROR(M824/S824,0)</f>
        <v>1</v>
      </c>
      <c r="V824" s="5" t="n">
        <v>1</v>
      </c>
    </row>
    <row r="825" customFormat="false" ht="15" hidden="false" customHeight="false" outlineLevel="0" collapsed="false">
      <c r="A825" s="8" t="s">
        <v>87</v>
      </c>
      <c r="B825" s="8" t="s">
        <v>23</v>
      </c>
      <c r="C825" s="8" t="s">
        <v>1412</v>
      </c>
      <c r="D825" s="8" t="n">
        <v>143044</v>
      </c>
      <c r="E825" s="8" t="s">
        <v>1474</v>
      </c>
      <c r="F825" s="8" t="s">
        <v>829</v>
      </c>
      <c r="G825" s="8" t="s">
        <v>970</v>
      </c>
      <c r="H825" s="8" t="s">
        <v>51</v>
      </c>
      <c r="I825" s="8" t="s">
        <v>88</v>
      </c>
      <c r="J825" s="4" t="n">
        <v>1090000</v>
      </c>
      <c r="K825" s="4" t="n">
        <v>840000</v>
      </c>
      <c r="L825" s="5" t="n">
        <v>0.22936</v>
      </c>
      <c r="M825" s="4" t="n">
        <v>2</v>
      </c>
      <c r="N825" s="4" t="n">
        <v>0</v>
      </c>
      <c r="O825" s="4" t="n">
        <v>0</v>
      </c>
      <c r="P825" s="4" t="n">
        <v>0</v>
      </c>
      <c r="Q825" s="4" t="n">
        <v>0</v>
      </c>
      <c r="R825" s="4" t="n">
        <f aca="false">M825+N825+O825+P825+Q825</f>
        <v>2</v>
      </c>
      <c r="S825" s="4" t="n">
        <v>2</v>
      </c>
      <c r="T825" s="4" t="n">
        <f aca="false">R825*K825</f>
        <v>1680000</v>
      </c>
      <c r="U825" s="9" t="n">
        <f aca="false">IFERROR(M825/S825,0)</f>
        <v>1</v>
      </c>
      <c r="V825" s="5" t="n">
        <v>1</v>
      </c>
    </row>
    <row r="826" customFormat="false" ht="15" hidden="false" customHeight="false" outlineLevel="0" collapsed="false">
      <c r="A826" s="8" t="s">
        <v>87</v>
      </c>
      <c r="B826" s="8" t="s">
        <v>23</v>
      </c>
      <c r="C826" s="8" t="s">
        <v>1412</v>
      </c>
      <c r="D826" s="8" t="n">
        <v>143046</v>
      </c>
      <c r="E826" s="8" t="s">
        <v>1475</v>
      </c>
      <c r="F826" s="8" t="s">
        <v>829</v>
      </c>
      <c r="G826" s="8" t="s">
        <v>970</v>
      </c>
      <c r="H826" s="8" t="s">
        <v>51</v>
      </c>
      <c r="I826" s="8" t="s">
        <v>88</v>
      </c>
      <c r="J826" s="4" t="n">
        <v>1090000</v>
      </c>
      <c r="K826" s="4" t="n">
        <v>840000</v>
      </c>
      <c r="L826" s="5" t="n">
        <v>0.22936</v>
      </c>
      <c r="M826" s="4" t="n">
        <v>2</v>
      </c>
      <c r="N826" s="4" t="n">
        <v>0</v>
      </c>
      <c r="O826" s="4" t="n">
        <v>0</v>
      </c>
      <c r="P826" s="4" t="n">
        <v>0</v>
      </c>
      <c r="Q826" s="4" t="n">
        <v>0</v>
      </c>
      <c r="R826" s="4" t="n">
        <f aca="false">M826+N826+O826+P826+Q826</f>
        <v>2</v>
      </c>
      <c r="S826" s="4" t="n">
        <v>2</v>
      </c>
      <c r="T826" s="4" t="n">
        <f aca="false">R826*K826</f>
        <v>1680000</v>
      </c>
      <c r="U826" s="9" t="n">
        <f aca="false">IFERROR(M826/S826,0)</f>
        <v>1</v>
      </c>
      <c r="V826" s="5" t="n">
        <v>1</v>
      </c>
    </row>
    <row r="827" customFormat="false" ht="15" hidden="false" customHeight="false" outlineLevel="0" collapsed="false">
      <c r="A827" s="8" t="s">
        <v>87</v>
      </c>
      <c r="B827" s="8" t="s">
        <v>23</v>
      </c>
      <c r="C827" s="8" t="s">
        <v>1412</v>
      </c>
      <c r="D827" s="8" t="n">
        <v>143048</v>
      </c>
      <c r="E827" s="8" t="s">
        <v>1476</v>
      </c>
      <c r="F827" s="8" t="s">
        <v>829</v>
      </c>
      <c r="G827" s="8" t="s">
        <v>970</v>
      </c>
      <c r="H827" s="8" t="s">
        <v>51</v>
      </c>
      <c r="I827" s="8" t="s">
        <v>88</v>
      </c>
      <c r="J827" s="4" t="n">
        <v>1090000</v>
      </c>
      <c r="K827" s="4" t="n">
        <v>840000</v>
      </c>
      <c r="L827" s="5" t="n">
        <v>0.22936</v>
      </c>
      <c r="M827" s="4" t="n">
        <v>2</v>
      </c>
      <c r="N827" s="4" t="n">
        <v>0</v>
      </c>
      <c r="O827" s="4" t="n">
        <v>0</v>
      </c>
      <c r="P827" s="4" t="n">
        <v>0</v>
      </c>
      <c r="Q827" s="4" t="n">
        <v>0</v>
      </c>
      <c r="R827" s="4" t="n">
        <f aca="false">M827+N827+O827+P827+Q827</f>
        <v>2</v>
      </c>
      <c r="S827" s="4" t="n">
        <v>1</v>
      </c>
      <c r="T827" s="4" t="n">
        <f aca="false">R827*K827</f>
        <v>1680000</v>
      </c>
      <c r="U827" s="9" t="n">
        <f aca="false">IFERROR(M827/S827,0)</f>
        <v>2</v>
      </c>
      <c r="V827" s="5" t="n">
        <v>1</v>
      </c>
    </row>
    <row r="828" customFormat="false" ht="15" hidden="false" customHeight="false" outlineLevel="0" collapsed="false">
      <c r="A828" s="8" t="s">
        <v>87</v>
      </c>
      <c r="B828" s="8" t="s">
        <v>23</v>
      </c>
      <c r="C828" s="8" t="s">
        <v>1412</v>
      </c>
      <c r="D828" s="8" t="n">
        <v>143054</v>
      </c>
      <c r="E828" s="8" t="s">
        <v>1477</v>
      </c>
      <c r="F828" s="8" t="s">
        <v>829</v>
      </c>
      <c r="G828" s="8" t="s">
        <v>970</v>
      </c>
      <c r="H828" s="8" t="s">
        <v>51</v>
      </c>
      <c r="I828" s="8" t="s">
        <v>88</v>
      </c>
      <c r="J828" s="4" t="n">
        <v>1090000</v>
      </c>
      <c r="K828" s="4" t="n">
        <v>840000</v>
      </c>
      <c r="L828" s="5" t="n">
        <v>0.22936</v>
      </c>
      <c r="M828" s="4" t="n">
        <v>2</v>
      </c>
      <c r="N828" s="4" t="n">
        <v>0</v>
      </c>
      <c r="O828" s="4" t="n">
        <v>0</v>
      </c>
      <c r="P828" s="4" t="n">
        <v>0</v>
      </c>
      <c r="Q828" s="4" t="n">
        <v>0</v>
      </c>
      <c r="R828" s="4" t="n">
        <f aca="false">M828+N828+O828+P828+Q828</f>
        <v>2</v>
      </c>
      <c r="S828" s="4" t="n">
        <v>1</v>
      </c>
      <c r="T828" s="4" t="n">
        <f aca="false">R828*K828</f>
        <v>1680000</v>
      </c>
      <c r="U828" s="9" t="n">
        <f aca="false">IFERROR(M828/S828,0)</f>
        <v>2</v>
      </c>
      <c r="V828" s="5" t="n">
        <v>1</v>
      </c>
    </row>
    <row r="829" customFormat="false" ht="15" hidden="false" customHeight="false" outlineLevel="0" collapsed="false">
      <c r="A829" s="8" t="s">
        <v>87</v>
      </c>
      <c r="B829" s="8" t="s">
        <v>23</v>
      </c>
      <c r="C829" s="8" t="s">
        <v>1412</v>
      </c>
      <c r="D829" s="8" t="n">
        <v>143057</v>
      </c>
      <c r="E829" s="8" t="s">
        <v>1478</v>
      </c>
      <c r="F829" s="8" t="s">
        <v>829</v>
      </c>
      <c r="G829" s="8" t="s">
        <v>970</v>
      </c>
      <c r="H829" s="8" t="s">
        <v>51</v>
      </c>
      <c r="I829" s="8" t="s">
        <v>88</v>
      </c>
      <c r="J829" s="4" t="n">
        <v>1090000</v>
      </c>
      <c r="K829" s="4" t="n">
        <v>840000</v>
      </c>
      <c r="L829" s="5" t="n">
        <v>0.22936</v>
      </c>
      <c r="M829" s="4" t="n">
        <v>2</v>
      </c>
      <c r="N829" s="4" t="n">
        <v>0</v>
      </c>
      <c r="O829" s="4" t="n">
        <v>0</v>
      </c>
      <c r="P829" s="4" t="n">
        <v>0</v>
      </c>
      <c r="Q829" s="4" t="n">
        <v>0</v>
      </c>
      <c r="R829" s="4" t="n">
        <f aca="false">M829+N829+O829+P829+Q829</f>
        <v>2</v>
      </c>
      <c r="S829" s="4" t="n">
        <v>1</v>
      </c>
      <c r="T829" s="4" t="n">
        <f aca="false">R829*K829</f>
        <v>1680000</v>
      </c>
      <c r="U829" s="9" t="n">
        <f aca="false">IFERROR(M829/S829,0)</f>
        <v>2</v>
      </c>
      <c r="V829" s="5" t="n">
        <v>1</v>
      </c>
    </row>
    <row r="830" customFormat="false" ht="15" hidden="false" customHeight="false" outlineLevel="0" collapsed="false">
      <c r="A830" s="8" t="s">
        <v>87</v>
      </c>
      <c r="B830" s="8" t="s">
        <v>23</v>
      </c>
      <c r="C830" s="8" t="s">
        <v>1412</v>
      </c>
      <c r="D830" s="8" t="n">
        <v>143067</v>
      </c>
      <c r="E830" s="8" t="s">
        <v>1479</v>
      </c>
      <c r="F830" s="8" t="s">
        <v>829</v>
      </c>
      <c r="G830" s="8" t="s">
        <v>970</v>
      </c>
      <c r="H830" s="8" t="s">
        <v>51</v>
      </c>
      <c r="I830" s="8" t="s">
        <v>88</v>
      </c>
      <c r="J830" s="4" t="n">
        <v>1090000</v>
      </c>
      <c r="K830" s="4" t="n">
        <v>840000</v>
      </c>
      <c r="L830" s="5" t="n">
        <v>0.22936</v>
      </c>
      <c r="M830" s="4" t="n">
        <v>2</v>
      </c>
      <c r="N830" s="4" t="n">
        <v>0</v>
      </c>
      <c r="O830" s="4" t="n">
        <v>0</v>
      </c>
      <c r="P830" s="4" t="n">
        <v>0</v>
      </c>
      <c r="Q830" s="4" t="n">
        <v>0</v>
      </c>
      <c r="R830" s="4" t="n">
        <f aca="false">M830+N830+O830+P830+Q830</f>
        <v>2</v>
      </c>
      <c r="S830" s="4" t="n">
        <v>2</v>
      </c>
      <c r="T830" s="4" t="n">
        <f aca="false">R830*K830</f>
        <v>1680000</v>
      </c>
      <c r="U830" s="9" t="n">
        <f aca="false">IFERROR(M830/S830,0)</f>
        <v>1</v>
      </c>
      <c r="V830" s="5" t="n">
        <v>1</v>
      </c>
    </row>
    <row r="831" customFormat="false" ht="15" hidden="false" customHeight="false" outlineLevel="0" collapsed="false">
      <c r="A831" s="8" t="s">
        <v>87</v>
      </c>
      <c r="B831" s="8" t="s">
        <v>23</v>
      </c>
      <c r="C831" s="8" t="s">
        <v>1412</v>
      </c>
      <c r="D831" s="8" t="n">
        <v>143069</v>
      </c>
      <c r="E831" s="8" t="s">
        <v>1480</v>
      </c>
      <c r="F831" s="8" t="s">
        <v>829</v>
      </c>
      <c r="G831" s="8" t="s">
        <v>970</v>
      </c>
      <c r="H831" s="8" t="s">
        <v>51</v>
      </c>
      <c r="I831" s="8" t="s">
        <v>88</v>
      </c>
      <c r="J831" s="4" t="n">
        <v>1090000</v>
      </c>
      <c r="K831" s="4" t="n">
        <v>840000</v>
      </c>
      <c r="L831" s="5" t="n">
        <v>0.22936</v>
      </c>
      <c r="M831" s="4" t="n">
        <v>2</v>
      </c>
      <c r="N831" s="4" t="n">
        <v>0</v>
      </c>
      <c r="O831" s="4" t="n">
        <v>0</v>
      </c>
      <c r="P831" s="4" t="n">
        <v>0</v>
      </c>
      <c r="Q831" s="4" t="n">
        <v>0</v>
      </c>
      <c r="R831" s="4" t="n">
        <f aca="false">M831+N831+O831+P831+Q831</f>
        <v>2</v>
      </c>
      <c r="S831" s="4" t="n">
        <v>2</v>
      </c>
      <c r="T831" s="4" t="n">
        <f aca="false">R831*K831</f>
        <v>1680000</v>
      </c>
      <c r="U831" s="9" t="n">
        <f aca="false">IFERROR(M831/S831,0)</f>
        <v>1</v>
      </c>
      <c r="V831" s="5" t="n">
        <v>1</v>
      </c>
    </row>
    <row r="832" customFormat="false" ht="15" hidden="false" customHeight="false" outlineLevel="0" collapsed="false">
      <c r="A832" s="8" t="s">
        <v>87</v>
      </c>
      <c r="B832" s="8" t="s">
        <v>23</v>
      </c>
      <c r="C832" s="8" t="s">
        <v>1412</v>
      </c>
      <c r="D832" s="8" t="n">
        <v>143079</v>
      </c>
      <c r="E832" s="8" t="s">
        <v>1481</v>
      </c>
      <c r="F832" s="8" t="s">
        <v>829</v>
      </c>
      <c r="G832" s="8" t="s">
        <v>970</v>
      </c>
      <c r="H832" s="8" t="s">
        <v>51</v>
      </c>
      <c r="I832" s="8" t="s">
        <v>88</v>
      </c>
      <c r="J832" s="4" t="n">
        <v>1790000</v>
      </c>
      <c r="K832" s="4" t="n">
        <v>1541000</v>
      </c>
      <c r="L832" s="5" t="n">
        <v>0.13966</v>
      </c>
      <c r="M832" s="4" t="n">
        <v>2</v>
      </c>
      <c r="N832" s="4" t="n">
        <v>0</v>
      </c>
      <c r="O832" s="4" t="n">
        <v>0</v>
      </c>
      <c r="P832" s="4" t="n">
        <v>0</v>
      </c>
      <c r="Q832" s="4" t="n">
        <v>0</v>
      </c>
      <c r="R832" s="4" t="n">
        <f aca="false">M832+N832+O832+P832+Q832</f>
        <v>2</v>
      </c>
      <c r="S832" s="4" t="n">
        <v>1</v>
      </c>
      <c r="T832" s="4" t="n">
        <f aca="false">R832*K832</f>
        <v>3082000</v>
      </c>
      <c r="U832" s="9" t="n">
        <f aca="false">IFERROR(M832/S832,0)</f>
        <v>2</v>
      </c>
      <c r="V832" s="5" t="n">
        <v>1</v>
      </c>
    </row>
    <row r="833" customFormat="false" ht="15" hidden="false" customHeight="false" outlineLevel="0" collapsed="false">
      <c r="A833" s="8" t="s">
        <v>87</v>
      </c>
      <c r="B833" s="8" t="s">
        <v>23</v>
      </c>
      <c r="C833" s="8" t="s">
        <v>1412</v>
      </c>
      <c r="D833" s="8" t="n">
        <v>143080</v>
      </c>
      <c r="E833" s="8" t="s">
        <v>1482</v>
      </c>
      <c r="F833" s="8" t="s">
        <v>829</v>
      </c>
      <c r="G833" s="8" t="s">
        <v>970</v>
      </c>
      <c r="H833" s="8" t="s">
        <v>51</v>
      </c>
      <c r="I833" s="8" t="s">
        <v>88</v>
      </c>
      <c r="J833" s="4" t="n">
        <v>1790000</v>
      </c>
      <c r="K833" s="4" t="n">
        <v>1541000</v>
      </c>
      <c r="L833" s="5" t="n">
        <v>0.13966</v>
      </c>
      <c r="M833" s="4" t="n">
        <v>2</v>
      </c>
      <c r="N833" s="4" t="n">
        <v>0</v>
      </c>
      <c r="O833" s="4" t="n">
        <v>0</v>
      </c>
      <c r="P833" s="4" t="n">
        <v>0</v>
      </c>
      <c r="Q833" s="4" t="n">
        <v>0</v>
      </c>
      <c r="R833" s="4" t="n">
        <f aca="false">M833+N833+O833+P833+Q833</f>
        <v>2</v>
      </c>
      <c r="S833" s="4" t="n">
        <v>2</v>
      </c>
      <c r="T833" s="4" t="n">
        <f aca="false">R833*K833</f>
        <v>3082000</v>
      </c>
      <c r="U833" s="9" t="n">
        <f aca="false">IFERROR(M833/S833,0)</f>
        <v>1</v>
      </c>
      <c r="V833" s="5" t="n">
        <v>1</v>
      </c>
    </row>
    <row r="834" customFormat="false" ht="15" hidden="false" customHeight="false" outlineLevel="0" collapsed="false">
      <c r="A834" s="8" t="s">
        <v>87</v>
      </c>
      <c r="B834" s="8" t="s">
        <v>23</v>
      </c>
      <c r="C834" s="8" t="s">
        <v>1412</v>
      </c>
      <c r="D834" s="8" t="n">
        <v>143083</v>
      </c>
      <c r="E834" s="8" t="s">
        <v>1483</v>
      </c>
      <c r="F834" s="8" t="s">
        <v>829</v>
      </c>
      <c r="G834" s="8" t="s">
        <v>970</v>
      </c>
      <c r="H834" s="8" t="s">
        <v>51</v>
      </c>
      <c r="I834" s="8" t="s">
        <v>88</v>
      </c>
      <c r="J834" s="4" t="n">
        <v>1790000</v>
      </c>
      <c r="K834" s="4" t="n">
        <v>1541000</v>
      </c>
      <c r="L834" s="5" t="n">
        <v>0.13966</v>
      </c>
      <c r="M834" s="4" t="n">
        <v>2</v>
      </c>
      <c r="N834" s="4" t="n">
        <v>0</v>
      </c>
      <c r="O834" s="4" t="n">
        <v>0</v>
      </c>
      <c r="P834" s="4" t="n">
        <v>0</v>
      </c>
      <c r="Q834" s="4" t="n">
        <v>0</v>
      </c>
      <c r="R834" s="4" t="n">
        <f aca="false">M834+N834+O834+P834+Q834</f>
        <v>2</v>
      </c>
      <c r="S834" s="4" t="n">
        <v>1</v>
      </c>
      <c r="T834" s="4" t="n">
        <f aca="false">R834*K834</f>
        <v>3082000</v>
      </c>
      <c r="U834" s="9" t="n">
        <f aca="false">IFERROR(M834/S834,0)</f>
        <v>2</v>
      </c>
      <c r="V834" s="5" t="n">
        <v>1</v>
      </c>
    </row>
    <row r="835" customFormat="false" ht="15" hidden="false" customHeight="false" outlineLevel="0" collapsed="false">
      <c r="A835" s="8" t="s">
        <v>87</v>
      </c>
      <c r="B835" s="8" t="s">
        <v>23</v>
      </c>
      <c r="C835" s="8" t="s">
        <v>1412</v>
      </c>
      <c r="D835" s="8" t="n">
        <v>143084</v>
      </c>
      <c r="E835" s="8" t="s">
        <v>1484</v>
      </c>
      <c r="F835" s="8" t="s">
        <v>829</v>
      </c>
      <c r="G835" s="8" t="s">
        <v>970</v>
      </c>
      <c r="H835" s="8" t="s">
        <v>51</v>
      </c>
      <c r="I835" s="8" t="s">
        <v>88</v>
      </c>
      <c r="J835" s="4" t="n">
        <v>1790000</v>
      </c>
      <c r="K835" s="4" t="n">
        <v>1541000</v>
      </c>
      <c r="L835" s="5" t="n">
        <v>0.13966</v>
      </c>
      <c r="M835" s="4" t="n">
        <v>2</v>
      </c>
      <c r="N835" s="4" t="n">
        <v>0</v>
      </c>
      <c r="O835" s="4" t="n">
        <v>0</v>
      </c>
      <c r="P835" s="4" t="n">
        <v>0</v>
      </c>
      <c r="Q835" s="4" t="n">
        <v>0</v>
      </c>
      <c r="R835" s="4" t="n">
        <f aca="false">M835+N835+O835+P835+Q835</f>
        <v>2</v>
      </c>
      <c r="S835" s="4" t="n">
        <v>1</v>
      </c>
      <c r="T835" s="4" t="n">
        <f aca="false">R835*K835</f>
        <v>3082000</v>
      </c>
      <c r="U835" s="9" t="n">
        <f aca="false">IFERROR(M835/S835,0)</f>
        <v>2</v>
      </c>
      <c r="V835" s="5" t="n">
        <v>1</v>
      </c>
    </row>
    <row r="836" customFormat="false" ht="15" hidden="false" customHeight="false" outlineLevel="0" collapsed="false">
      <c r="A836" s="8" t="s">
        <v>87</v>
      </c>
      <c r="B836" s="8" t="s">
        <v>23</v>
      </c>
      <c r="C836" s="8" t="s">
        <v>1412</v>
      </c>
      <c r="D836" s="8" t="n">
        <v>143086</v>
      </c>
      <c r="E836" s="8" t="s">
        <v>1485</v>
      </c>
      <c r="F836" s="8" t="s">
        <v>829</v>
      </c>
      <c r="G836" s="8" t="s">
        <v>970</v>
      </c>
      <c r="H836" s="8" t="s">
        <v>51</v>
      </c>
      <c r="I836" s="8" t="s">
        <v>88</v>
      </c>
      <c r="J836" s="4" t="n">
        <v>1790000</v>
      </c>
      <c r="K836" s="4" t="n">
        <v>1541000</v>
      </c>
      <c r="L836" s="5" t="n">
        <v>0.13966</v>
      </c>
      <c r="M836" s="4" t="n">
        <v>2</v>
      </c>
      <c r="N836" s="4" t="n">
        <v>0</v>
      </c>
      <c r="O836" s="4" t="n">
        <v>0</v>
      </c>
      <c r="P836" s="4" t="n">
        <v>0</v>
      </c>
      <c r="Q836" s="4" t="n">
        <v>0</v>
      </c>
      <c r="R836" s="4" t="n">
        <f aca="false">M836+N836+O836+P836+Q836</f>
        <v>2</v>
      </c>
      <c r="S836" s="4" t="n">
        <v>2</v>
      </c>
      <c r="T836" s="4" t="n">
        <f aca="false">R836*K836</f>
        <v>3082000</v>
      </c>
      <c r="U836" s="9" t="n">
        <f aca="false">IFERROR(M836/S836,0)</f>
        <v>1</v>
      </c>
      <c r="V836" s="5" t="n">
        <v>1</v>
      </c>
    </row>
    <row r="837" customFormat="false" ht="15" hidden="false" customHeight="false" outlineLevel="0" collapsed="false">
      <c r="A837" s="8" t="s">
        <v>87</v>
      </c>
      <c r="B837" s="8" t="s">
        <v>23</v>
      </c>
      <c r="C837" s="8" t="s">
        <v>1412</v>
      </c>
      <c r="D837" s="8" t="n">
        <v>143092</v>
      </c>
      <c r="E837" s="8" t="s">
        <v>1486</v>
      </c>
      <c r="F837" s="8" t="s">
        <v>829</v>
      </c>
      <c r="G837" s="8" t="s">
        <v>970</v>
      </c>
      <c r="H837" s="8" t="s">
        <v>51</v>
      </c>
      <c r="I837" s="8" t="s">
        <v>88</v>
      </c>
      <c r="J837" s="4" t="n">
        <v>1790000</v>
      </c>
      <c r="K837" s="4" t="n">
        <v>1541000</v>
      </c>
      <c r="L837" s="5" t="n">
        <v>0.13966</v>
      </c>
      <c r="M837" s="4" t="n">
        <v>2</v>
      </c>
      <c r="N837" s="4" t="n">
        <v>0</v>
      </c>
      <c r="O837" s="4" t="n">
        <v>0</v>
      </c>
      <c r="P837" s="4" t="n">
        <v>0</v>
      </c>
      <c r="Q837" s="4" t="n">
        <v>0</v>
      </c>
      <c r="R837" s="4" t="n">
        <f aca="false">M837+N837+O837+P837+Q837</f>
        <v>2</v>
      </c>
      <c r="S837" s="4" t="n">
        <v>1</v>
      </c>
      <c r="T837" s="4" t="n">
        <f aca="false">R837*K837</f>
        <v>3082000</v>
      </c>
      <c r="U837" s="9" t="n">
        <f aca="false">IFERROR(M837/S837,0)</f>
        <v>2</v>
      </c>
      <c r="V837" s="5" t="n">
        <v>1</v>
      </c>
    </row>
    <row r="838" customFormat="false" ht="15" hidden="false" customHeight="false" outlineLevel="0" collapsed="false">
      <c r="A838" s="8" t="s">
        <v>87</v>
      </c>
      <c r="B838" s="8" t="s">
        <v>23</v>
      </c>
      <c r="C838" s="8" t="s">
        <v>1412</v>
      </c>
      <c r="D838" s="8" t="n">
        <v>143095</v>
      </c>
      <c r="E838" s="8" t="s">
        <v>1487</v>
      </c>
      <c r="F838" s="8" t="s">
        <v>829</v>
      </c>
      <c r="G838" s="8" t="s">
        <v>970</v>
      </c>
      <c r="H838" s="8" t="s">
        <v>51</v>
      </c>
      <c r="I838" s="8" t="s">
        <v>88</v>
      </c>
      <c r="J838" s="4" t="n">
        <v>1790000</v>
      </c>
      <c r="K838" s="4" t="n">
        <v>1541000</v>
      </c>
      <c r="L838" s="5" t="n">
        <v>0.13966</v>
      </c>
      <c r="M838" s="4" t="n">
        <v>2</v>
      </c>
      <c r="N838" s="4" t="n">
        <v>0</v>
      </c>
      <c r="O838" s="4" t="n">
        <v>0</v>
      </c>
      <c r="P838" s="4" t="n">
        <v>0</v>
      </c>
      <c r="Q838" s="4" t="n">
        <v>0</v>
      </c>
      <c r="R838" s="4" t="n">
        <f aca="false">M838+N838+O838+P838+Q838</f>
        <v>2</v>
      </c>
      <c r="S838" s="4" t="n">
        <v>1</v>
      </c>
      <c r="T838" s="4" t="n">
        <f aca="false">R838*K838</f>
        <v>3082000</v>
      </c>
      <c r="U838" s="9" t="n">
        <f aca="false">IFERROR(M838/S838,0)</f>
        <v>2</v>
      </c>
      <c r="V838" s="5" t="n">
        <v>1</v>
      </c>
    </row>
    <row r="839" customFormat="false" ht="15" hidden="false" customHeight="false" outlineLevel="0" collapsed="false">
      <c r="A839" s="8" t="s">
        <v>87</v>
      </c>
      <c r="B839" s="8" t="s">
        <v>23</v>
      </c>
      <c r="C839" s="8" t="s">
        <v>1412</v>
      </c>
      <c r="D839" s="8" t="n">
        <v>143112</v>
      </c>
      <c r="E839" s="8" t="s">
        <v>1488</v>
      </c>
      <c r="F839" s="8" t="s">
        <v>829</v>
      </c>
      <c r="G839" s="8" t="s">
        <v>970</v>
      </c>
      <c r="H839" s="8" t="s">
        <v>51</v>
      </c>
      <c r="I839" s="8" t="s">
        <v>88</v>
      </c>
      <c r="J839" s="4" t="n">
        <v>1790000</v>
      </c>
      <c r="K839" s="4" t="n">
        <v>1541000</v>
      </c>
      <c r="L839" s="5" t="n">
        <v>0.13966</v>
      </c>
      <c r="M839" s="4" t="n">
        <v>2</v>
      </c>
      <c r="N839" s="4" t="n">
        <v>0</v>
      </c>
      <c r="O839" s="4" t="n">
        <v>0</v>
      </c>
      <c r="P839" s="4" t="n">
        <v>0</v>
      </c>
      <c r="Q839" s="4" t="n">
        <v>0</v>
      </c>
      <c r="R839" s="4" t="n">
        <f aca="false">M839+N839+O839+P839+Q839</f>
        <v>2</v>
      </c>
      <c r="S839" s="4" t="n">
        <v>1</v>
      </c>
      <c r="T839" s="4" t="n">
        <f aca="false">R839*K839</f>
        <v>3082000</v>
      </c>
      <c r="U839" s="9" t="n">
        <f aca="false">IFERROR(M839/S839,0)</f>
        <v>2</v>
      </c>
      <c r="V839" s="5" t="n">
        <v>1</v>
      </c>
    </row>
    <row r="840" customFormat="false" ht="15" hidden="false" customHeight="false" outlineLevel="0" collapsed="false">
      <c r="A840" s="8" t="s">
        <v>87</v>
      </c>
      <c r="B840" s="8" t="s">
        <v>23</v>
      </c>
      <c r="C840" s="8" t="s">
        <v>1412</v>
      </c>
      <c r="D840" s="8" t="n">
        <v>143114</v>
      </c>
      <c r="E840" s="8" t="s">
        <v>1489</v>
      </c>
      <c r="F840" s="8" t="s">
        <v>829</v>
      </c>
      <c r="G840" s="8" t="s">
        <v>970</v>
      </c>
      <c r="H840" s="8" t="s">
        <v>51</v>
      </c>
      <c r="I840" s="8" t="s">
        <v>88</v>
      </c>
      <c r="J840" s="4" t="n">
        <v>1295000</v>
      </c>
      <c r="K840" s="4" t="n">
        <v>1046000</v>
      </c>
      <c r="L840" s="5" t="n">
        <v>0.19305</v>
      </c>
      <c r="M840" s="4" t="n">
        <v>2</v>
      </c>
      <c r="N840" s="4" t="n">
        <v>0</v>
      </c>
      <c r="O840" s="4" t="n">
        <v>0</v>
      </c>
      <c r="P840" s="4" t="n">
        <v>0</v>
      </c>
      <c r="Q840" s="4" t="n">
        <v>0</v>
      </c>
      <c r="R840" s="4" t="n">
        <f aca="false">M840+N840+O840+P840+Q840</f>
        <v>2</v>
      </c>
      <c r="S840" s="4" t="n">
        <v>2</v>
      </c>
      <c r="T840" s="4" t="n">
        <f aca="false">R840*K840</f>
        <v>2092000</v>
      </c>
      <c r="U840" s="9" t="n">
        <f aca="false">IFERROR(M840/S840,0)</f>
        <v>1</v>
      </c>
      <c r="V840" s="5" t="n">
        <v>1</v>
      </c>
    </row>
    <row r="841" customFormat="false" ht="15" hidden="false" customHeight="false" outlineLevel="0" collapsed="false">
      <c r="A841" s="8" t="s">
        <v>87</v>
      </c>
      <c r="B841" s="8" t="s">
        <v>23</v>
      </c>
      <c r="C841" s="8" t="s">
        <v>1412</v>
      </c>
      <c r="D841" s="8" t="n">
        <v>143115</v>
      </c>
      <c r="E841" s="8" t="s">
        <v>1490</v>
      </c>
      <c r="F841" s="8" t="s">
        <v>829</v>
      </c>
      <c r="G841" s="8" t="s">
        <v>970</v>
      </c>
      <c r="H841" s="8" t="s">
        <v>51</v>
      </c>
      <c r="I841" s="8" t="s">
        <v>88</v>
      </c>
      <c r="J841" s="4" t="n">
        <v>1295000</v>
      </c>
      <c r="K841" s="4" t="n">
        <v>1046000</v>
      </c>
      <c r="L841" s="5" t="n">
        <v>0.19305</v>
      </c>
      <c r="M841" s="4" t="n">
        <v>2</v>
      </c>
      <c r="N841" s="4" t="n">
        <v>0</v>
      </c>
      <c r="O841" s="4" t="n">
        <v>0</v>
      </c>
      <c r="P841" s="4" t="n">
        <v>0</v>
      </c>
      <c r="Q841" s="4" t="n">
        <v>0</v>
      </c>
      <c r="R841" s="4" t="n">
        <f aca="false">M841+N841+O841+P841+Q841</f>
        <v>2</v>
      </c>
      <c r="S841" s="4" t="n">
        <v>1</v>
      </c>
      <c r="T841" s="4" t="n">
        <f aca="false">R841*K841</f>
        <v>2092000</v>
      </c>
      <c r="U841" s="9" t="n">
        <f aca="false">IFERROR(M841/S841,0)</f>
        <v>2</v>
      </c>
      <c r="V841" s="5" t="n">
        <v>1</v>
      </c>
    </row>
    <row r="842" customFormat="false" ht="15" hidden="false" customHeight="false" outlineLevel="0" collapsed="false">
      <c r="A842" s="8" t="s">
        <v>87</v>
      </c>
      <c r="B842" s="8" t="s">
        <v>23</v>
      </c>
      <c r="C842" s="8" t="s">
        <v>1412</v>
      </c>
      <c r="D842" s="8" t="n">
        <v>143119</v>
      </c>
      <c r="E842" s="8" t="s">
        <v>1491</v>
      </c>
      <c r="F842" s="8" t="s">
        <v>829</v>
      </c>
      <c r="G842" s="8" t="s">
        <v>970</v>
      </c>
      <c r="H842" s="8" t="s">
        <v>51</v>
      </c>
      <c r="I842" s="8" t="s">
        <v>88</v>
      </c>
      <c r="J842" s="4" t="n">
        <v>1295000</v>
      </c>
      <c r="K842" s="4" t="n">
        <v>1046000</v>
      </c>
      <c r="L842" s="5" t="n">
        <v>0.19305</v>
      </c>
      <c r="M842" s="4" t="n">
        <v>2</v>
      </c>
      <c r="N842" s="4" t="n">
        <v>0</v>
      </c>
      <c r="O842" s="4" t="n">
        <v>0</v>
      </c>
      <c r="P842" s="4" t="n">
        <v>0</v>
      </c>
      <c r="Q842" s="4" t="n">
        <v>0</v>
      </c>
      <c r="R842" s="4" t="n">
        <f aca="false">M842+N842+O842+P842+Q842</f>
        <v>2</v>
      </c>
      <c r="S842" s="4" t="n">
        <v>1</v>
      </c>
      <c r="T842" s="4" t="n">
        <f aca="false">R842*K842</f>
        <v>2092000</v>
      </c>
      <c r="U842" s="9" t="n">
        <f aca="false">IFERROR(M842/S842,0)</f>
        <v>2</v>
      </c>
      <c r="V842" s="5" t="n">
        <v>1</v>
      </c>
    </row>
    <row r="843" customFormat="false" ht="15" hidden="false" customHeight="false" outlineLevel="0" collapsed="false">
      <c r="A843" s="8" t="s">
        <v>87</v>
      </c>
      <c r="B843" s="8" t="s">
        <v>23</v>
      </c>
      <c r="C843" s="8" t="s">
        <v>1412</v>
      </c>
      <c r="D843" s="8" t="n">
        <v>143122</v>
      </c>
      <c r="E843" s="8" t="s">
        <v>1492</v>
      </c>
      <c r="F843" s="8" t="s">
        <v>829</v>
      </c>
      <c r="G843" s="8" t="s">
        <v>970</v>
      </c>
      <c r="H843" s="8" t="s">
        <v>51</v>
      </c>
      <c r="I843" s="8" t="s">
        <v>88</v>
      </c>
      <c r="J843" s="4" t="n">
        <v>1295000</v>
      </c>
      <c r="K843" s="4" t="n">
        <v>1046000</v>
      </c>
      <c r="L843" s="5" t="n">
        <v>0.19305</v>
      </c>
      <c r="M843" s="4" t="n">
        <v>2</v>
      </c>
      <c r="N843" s="4" t="n">
        <v>0</v>
      </c>
      <c r="O843" s="4" t="n">
        <v>0</v>
      </c>
      <c r="P843" s="4" t="n">
        <v>0</v>
      </c>
      <c r="Q843" s="4" t="n">
        <v>0</v>
      </c>
      <c r="R843" s="4" t="n">
        <f aca="false">M843+N843+O843+P843+Q843</f>
        <v>2</v>
      </c>
      <c r="S843" s="4" t="n">
        <v>2</v>
      </c>
      <c r="T843" s="4" t="n">
        <f aca="false">R843*K843</f>
        <v>2092000</v>
      </c>
      <c r="U843" s="9" t="n">
        <f aca="false">IFERROR(M843/S843,0)</f>
        <v>1</v>
      </c>
      <c r="V843" s="5" t="n">
        <v>1</v>
      </c>
    </row>
    <row r="844" customFormat="false" ht="15" hidden="false" customHeight="false" outlineLevel="0" collapsed="false">
      <c r="A844" s="8" t="s">
        <v>87</v>
      </c>
      <c r="B844" s="8" t="s">
        <v>23</v>
      </c>
      <c r="C844" s="8" t="s">
        <v>1412</v>
      </c>
      <c r="D844" s="8" t="n">
        <v>143127</v>
      </c>
      <c r="E844" s="8" t="s">
        <v>1493</v>
      </c>
      <c r="F844" s="8" t="s">
        <v>829</v>
      </c>
      <c r="G844" s="8" t="s">
        <v>970</v>
      </c>
      <c r="H844" s="8" t="s">
        <v>51</v>
      </c>
      <c r="I844" s="8" t="s">
        <v>88</v>
      </c>
      <c r="J844" s="4" t="n">
        <v>1295000</v>
      </c>
      <c r="K844" s="4" t="n">
        <v>1046000</v>
      </c>
      <c r="L844" s="5" t="n">
        <v>0.19305</v>
      </c>
      <c r="M844" s="4" t="n">
        <v>2</v>
      </c>
      <c r="N844" s="4" t="n">
        <v>0</v>
      </c>
      <c r="O844" s="4" t="n">
        <v>0</v>
      </c>
      <c r="P844" s="4" t="n">
        <v>0</v>
      </c>
      <c r="Q844" s="4" t="n">
        <v>0</v>
      </c>
      <c r="R844" s="4" t="n">
        <f aca="false">M844+N844+O844+P844+Q844</f>
        <v>2</v>
      </c>
      <c r="S844" s="4" t="n">
        <v>2</v>
      </c>
      <c r="T844" s="4" t="n">
        <f aca="false">R844*K844</f>
        <v>2092000</v>
      </c>
      <c r="U844" s="9" t="n">
        <f aca="false">IFERROR(M844/S844,0)</f>
        <v>1</v>
      </c>
      <c r="V844" s="5" t="n">
        <v>1</v>
      </c>
    </row>
    <row r="845" customFormat="false" ht="15" hidden="false" customHeight="false" outlineLevel="0" collapsed="false">
      <c r="A845" s="8" t="s">
        <v>87</v>
      </c>
      <c r="B845" s="8" t="s">
        <v>23</v>
      </c>
      <c r="C845" s="8" t="s">
        <v>1412</v>
      </c>
      <c r="D845" s="8" t="n">
        <v>143129</v>
      </c>
      <c r="E845" s="8" t="s">
        <v>1494</v>
      </c>
      <c r="F845" s="8" t="s">
        <v>829</v>
      </c>
      <c r="G845" s="8" t="s">
        <v>970</v>
      </c>
      <c r="H845" s="8" t="s">
        <v>51</v>
      </c>
      <c r="I845" s="8" t="s">
        <v>88</v>
      </c>
      <c r="J845" s="4" t="n">
        <v>1295000</v>
      </c>
      <c r="K845" s="4" t="n">
        <v>1046000</v>
      </c>
      <c r="L845" s="5" t="n">
        <v>0.19305</v>
      </c>
      <c r="M845" s="4" t="n">
        <v>2</v>
      </c>
      <c r="N845" s="4" t="n">
        <v>0</v>
      </c>
      <c r="O845" s="4" t="n">
        <v>0</v>
      </c>
      <c r="P845" s="4" t="n">
        <v>0</v>
      </c>
      <c r="Q845" s="4" t="n">
        <v>0</v>
      </c>
      <c r="R845" s="4" t="n">
        <f aca="false">M845+N845+O845+P845+Q845</f>
        <v>2</v>
      </c>
      <c r="S845" s="4" t="n">
        <v>2</v>
      </c>
      <c r="T845" s="4" t="n">
        <f aca="false">R845*K845</f>
        <v>2092000</v>
      </c>
      <c r="U845" s="9" t="n">
        <f aca="false">IFERROR(M845/S845,0)</f>
        <v>1</v>
      </c>
      <c r="V845" s="5" t="n">
        <v>1</v>
      </c>
    </row>
    <row r="846" customFormat="false" ht="15" hidden="false" customHeight="false" outlineLevel="0" collapsed="false">
      <c r="A846" s="8" t="s">
        <v>87</v>
      </c>
      <c r="B846" s="8" t="s">
        <v>23</v>
      </c>
      <c r="C846" s="8" t="s">
        <v>1412</v>
      </c>
      <c r="D846" s="8" t="n">
        <v>143132</v>
      </c>
      <c r="E846" s="8" t="s">
        <v>1495</v>
      </c>
      <c r="F846" s="8" t="s">
        <v>829</v>
      </c>
      <c r="G846" s="8" t="s">
        <v>970</v>
      </c>
      <c r="H846" s="8" t="s">
        <v>51</v>
      </c>
      <c r="I846" s="8" t="s">
        <v>88</v>
      </c>
      <c r="J846" s="4" t="n">
        <v>1295000</v>
      </c>
      <c r="K846" s="4" t="n">
        <v>1046000</v>
      </c>
      <c r="L846" s="5" t="n">
        <v>0.19305</v>
      </c>
      <c r="M846" s="4" t="n">
        <v>2</v>
      </c>
      <c r="N846" s="4" t="n">
        <v>0</v>
      </c>
      <c r="O846" s="4" t="n">
        <v>0</v>
      </c>
      <c r="P846" s="4" t="n">
        <v>0</v>
      </c>
      <c r="Q846" s="4" t="n">
        <v>0</v>
      </c>
      <c r="R846" s="4" t="n">
        <f aca="false">M846+N846+O846+P846+Q846</f>
        <v>2</v>
      </c>
      <c r="S846" s="4" t="n">
        <v>1</v>
      </c>
      <c r="T846" s="4" t="n">
        <f aca="false">R846*K846</f>
        <v>2092000</v>
      </c>
      <c r="U846" s="9" t="n">
        <f aca="false">IFERROR(M846/S846,0)</f>
        <v>2</v>
      </c>
      <c r="V846" s="5" t="n">
        <v>1</v>
      </c>
    </row>
    <row r="847" customFormat="false" ht="15" hidden="false" customHeight="false" outlineLevel="0" collapsed="false">
      <c r="A847" s="8" t="s">
        <v>87</v>
      </c>
      <c r="B847" s="8" t="s">
        <v>23</v>
      </c>
      <c r="C847" s="8" t="s">
        <v>1412</v>
      </c>
      <c r="D847" s="8" t="n">
        <v>143135</v>
      </c>
      <c r="E847" s="8" t="s">
        <v>1496</v>
      </c>
      <c r="F847" s="8" t="s">
        <v>829</v>
      </c>
      <c r="G847" s="8" t="s">
        <v>970</v>
      </c>
      <c r="H847" s="8" t="s">
        <v>51</v>
      </c>
      <c r="I847" s="8" t="s">
        <v>88</v>
      </c>
      <c r="J847" s="4" t="n">
        <v>1295000</v>
      </c>
      <c r="K847" s="4" t="n">
        <v>1046000</v>
      </c>
      <c r="L847" s="5" t="n">
        <v>0.19305</v>
      </c>
      <c r="M847" s="4" t="n">
        <v>1</v>
      </c>
      <c r="N847" s="4" t="n">
        <v>0</v>
      </c>
      <c r="O847" s="4" t="n">
        <v>0</v>
      </c>
      <c r="P847" s="4" t="n">
        <v>0</v>
      </c>
      <c r="Q847" s="4" t="n">
        <v>1</v>
      </c>
      <c r="R847" s="4" t="n">
        <f aca="false">M847+N847+O847+P847+Q847</f>
        <v>2</v>
      </c>
      <c r="S847" s="4" t="n">
        <v>1</v>
      </c>
      <c r="T847" s="4" t="n">
        <f aca="false">R847*K847</f>
        <v>2092000</v>
      </c>
      <c r="U847" s="9" t="n">
        <f aca="false">IFERROR(M847/S847,0)</f>
        <v>1</v>
      </c>
      <c r="V847" s="5" t="n">
        <v>1</v>
      </c>
    </row>
    <row r="848" customFormat="false" ht="15" hidden="false" customHeight="false" outlineLevel="0" collapsed="false">
      <c r="A848" s="8" t="s">
        <v>87</v>
      </c>
      <c r="B848" s="8" t="s">
        <v>23</v>
      </c>
      <c r="C848" s="8" t="s">
        <v>1412</v>
      </c>
      <c r="D848" s="8" t="n">
        <v>143138</v>
      </c>
      <c r="E848" s="8" t="s">
        <v>1497</v>
      </c>
      <c r="F848" s="8" t="s">
        <v>829</v>
      </c>
      <c r="G848" s="8" t="s">
        <v>970</v>
      </c>
      <c r="H848" s="8" t="s">
        <v>51</v>
      </c>
      <c r="I848" s="8" t="s">
        <v>88</v>
      </c>
      <c r="J848" s="4" t="n">
        <v>1295000</v>
      </c>
      <c r="K848" s="4" t="n">
        <v>1046000</v>
      </c>
      <c r="L848" s="5" t="n">
        <v>0.19305</v>
      </c>
      <c r="M848" s="4" t="n">
        <v>2</v>
      </c>
      <c r="N848" s="4" t="n">
        <v>0</v>
      </c>
      <c r="O848" s="4" t="n">
        <v>0</v>
      </c>
      <c r="P848" s="4" t="n">
        <v>0</v>
      </c>
      <c r="Q848" s="4" t="n">
        <v>0</v>
      </c>
      <c r="R848" s="4" t="n">
        <f aca="false">M848+N848+O848+P848+Q848</f>
        <v>2</v>
      </c>
      <c r="S848" s="4" t="n">
        <v>1</v>
      </c>
      <c r="T848" s="4" t="n">
        <f aca="false">R848*K848</f>
        <v>2092000</v>
      </c>
      <c r="U848" s="9" t="n">
        <f aca="false">IFERROR(M848/S848,0)</f>
        <v>2</v>
      </c>
      <c r="V848" s="5" t="n">
        <v>1</v>
      </c>
    </row>
    <row r="849" customFormat="false" ht="15" hidden="false" customHeight="false" outlineLevel="0" collapsed="false">
      <c r="A849" s="8" t="s">
        <v>87</v>
      </c>
      <c r="B849" s="8" t="s">
        <v>23</v>
      </c>
      <c r="C849" s="8" t="s">
        <v>1412</v>
      </c>
      <c r="D849" s="8" t="n">
        <v>143150</v>
      </c>
      <c r="E849" s="8" t="s">
        <v>1498</v>
      </c>
      <c r="F849" s="8" t="s">
        <v>829</v>
      </c>
      <c r="G849" s="8" t="s">
        <v>970</v>
      </c>
      <c r="H849" s="8" t="s">
        <v>51</v>
      </c>
      <c r="I849" s="8" t="s">
        <v>88</v>
      </c>
      <c r="J849" s="4" t="n">
        <v>1295000</v>
      </c>
      <c r="K849" s="4" t="n">
        <v>1046000</v>
      </c>
      <c r="L849" s="5" t="n">
        <v>0.19305</v>
      </c>
      <c r="M849" s="4" t="n">
        <v>2</v>
      </c>
      <c r="N849" s="4" t="n">
        <v>0</v>
      </c>
      <c r="O849" s="4" t="n">
        <v>0</v>
      </c>
      <c r="P849" s="4" t="n">
        <v>0</v>
      </c>
      <c r="Q849" s="4" t="n">
        <v>0</v>
      </c>
      <c r="R849" s="4" t="n">
        <f aca="false">M849+N849+O849+P849+Q849</f>
        <v>2</v>
      </c>
      <c r="S849" s="4" t="n">
        <v>2</v>
      </c>
      <c r="T849" s="4" t="n">
        <f aca="false">R849*K849</f>
        <v>2092000</v>
      </c>
      <c r="U849" s="9" t="n">
        <f aca="false">IFERROR(M849/S849,0)</f>
        <v>1</v>
      </c>
      <c r="V849" s="5" t="n">
        <v>1</v>
      </c>
    </row>
    <row r="850" customFormat="false" ht="15" hidden="false" customHeight="false" outlineLevel="0" collapsed="false">
      <c r="A850" s="8" t="s">
        <v>87</v>
      </c>
      <c r="B850" s="8" t="s">
        <v>23</v>
      </c>
      <c r="C850" s="8" t="s">
        <v>1412</v>
      </c>
      <c r="D850" s="8" t="n">
        <v>143202</v>
      </c>
      <c r="E850" s="8" t="s">
        <v>1499</v>
      </c>
      <c r="F850" s="8" t="s">
        <v>829</v>
      </c>
      <c r="G850" s="8" t="s">
        <v>970</v>
      </c>
      <c r="H850" s="8" t="s">
        <v>51</v>
      </c>
      <c r="I850" s="8" t="s">
        <v>88</v>
      </c>
      <c r="J850" s="4" t="n">
        <v>1090000</v>
      </c>
      <c r="K850" s="4" t="n">
        <v>840000</v>
      </c>
      <c r="L850" s="5" t="n">
        <v>0.22936</v>
      </c>
      <c r="M850" s="4" t="n">
        <v>2</v>
      </c>
      <c r="N850" s="4" t="n">
        <v>0</v>
      </c>
      <c r="O850" s="4" t="n">
        <v>0</v>
      </c>
      <c r="P850" s="4" t="n">
        <v>0</v>
      </c>
      <c r="Q850" s="4" t="n">
        <v>0</v>
      </c>
      <c r="R850" s="4" t="n">
        <f aca="false">M850+N850+O850+P850+Q850</f>
        <v>2</v>
      </c>
      <c r="S850" s="4" t="n">
        <v>1</v>
      </c>
      <c r="T850" s="4" t="n">
        <f aca="false">R850*K850</f>
        <v>1680000</v>
      </c>
      <c r="U850" s="9" t="n">
        <f aca="false">IFERROR(M850/S850,0)</f>
        <v>2</v>
      </c>
      <c r="V850" s="5" t="n">
        <v>1</v>
      </c>
    </row>
    <row r="851" customFormat="false" ht="15" hidden="false" customHeight="false" outlineLevel="0" collapsed="false">
      <c r="A851" s="8" t="s">
        <v>87</v>
      </c>
      <c r="B851" s="8" t="s">
        <v>23</v>
      </c>
      <c r="C851" s="8" t="s">
        <v>1412</v>
      </c>
      <c r="D851" s="8" t="n">
        <v>143203</v>
      </c>
      <c r="E851" s="8" t="s">
        <v>1500</v>
      </c>
      <c r="F851" s="8" t="s">
        <v>829</v>
      </c>
      <c r="G851" s="8" t="s">
        <v>970</v>
      </c>
      <c r="H851" s="8" t="s">
        <v>51</v>
      </c>
      <c r="I851" s="8" t="s">
        <v>88</v>
      </c>
      <c r="J851" s="4" t="n">
        <v>1090000</v>
      </c>
      <c r="K851" s="4" t="n">
        <v>840000</v>
      </c>
      <c r="L851" s="5" t="n">
        <v>0.22936</v>
      </c>
      <c r="M851" s="4" t="n">
        <v>2</v>
      </c>
      <c r="N851" s="4" t="n">
        <v>0</v>
      </c>
      <c r="O851" s="4" t="n">
        <v>0</v>
      </c>
      <c r="P851" s="4" t="n">
        <v>0</v>
      </c>
      <c r="Q851" s="4" t="n">
        <v>0</v>
      </c>
      <c r="R851" s="4" t="n">
        <f aca="false">M851+N851+O851+P851+Q851</f>
        <v>2</v>
      </c>
      <c r="S851" s="4" t="n">
        <v>1</v>
      </c>
      <c r="T851" s="4" t="n">
        <f aca="false">R851*K851</f>
        <v>1680000</v>
      </c>
      <c r="U851" s="9" t="n">
        <f aca="false">IFERROR(M851/S851,0)</f>
        <v>2</v>
      </c>
      <c r="V851" s="5" t="n">
        <v>1</v>
      </c>
    </row>
    <row r="852" customFormat="false" ht="15" hidden="false" customHeight="false" outlineLevel="0" collapsed="false">
      <c r="A852" s="8" t="s">
        <v>87</v>
      </c>
      <c r="B852" s="8" t="s">
        <v>23</v>
      </c>
      <c r="C852" s="8" t="s">
        <v>1412</v>
      </c>
      <c r="D852" s="8" t="n">
        <v>143204</v>
      </c>
      <c r="E852" s="8" t="s">
        <v>1501</v>
      </c>
      <c r="F852" s="8" t="s">
        <v>829</v>
      </c>
      <c r="G852" s="8" t="s">
        <v>970</v>
      </c>
      <c r="H852" s="8" t="s">
        <v>51</v>
      </c>
      <c r="I852" s="8" t="s">
        <v>88</v>
      </c>
      <c r="J852" s="4" t="n">
        <v>1090000</v>
      </c>
      <c r="K852" s="4" t="n">
        <v>840000</v>
      </c>
      <c r="L852" s="5" t="n">
        <v>0.22936</v>
      </c>
      <c r="M852" s="4" t="n">
        <v>2</v>
      </c>
      <c r="N852" s="4" t="n">
        <v>0</v>
      </c>
      <c r="O852" s="4" t="n">
        <v>0</v>
      </c>
      <c r="P852" s="4" t="n">
        <v>0</v>
      </c>
      <c r="Q852" s="4" t="n">
        <v>0</v>
      </c>
      <c r="R852" s="4" t="n">
        <f aca="false">M852+N852+O852+P852+Q852</f>
        <v>2</v>
      </c>
      <c r="S852" s="4" t="n">
        <v>1</v>
      </c>
      <c r="T852" s="4" t="n">
        <f aca="false">R852*K852</f>
        <v>1680000</v>
      </c>
      <c r="U852" s="9" t="n">
        <f aca="false">IFERROR(M852/S852,0)</f>
        <v>2</v>
      </c>
      <c r="V852" s="5" t="n">
        <v>1</v>
      </c>
    </row>
    <row r="853" customFormat="false" ht="15" hidden="false" customHeight="false" outlineLevel="0" collapsed="false">
      <c r="A853" s="8" t="s">
        <v>87</v>
      </c>
      <c r="B853" s="8" t="s">
        <v>23</v>
      </c>
      <c r="C853" s="8" t="s">
        <v>1412</v>
      </c>
      <c r="D853" s="8" t="n">
        <v>143217</v>
      </c>
      <c r="E853" s="8" t="s">
        <v>1502</v>
      </c>
      <c r="F853" s="8" t="s">
        <v>829</v>
      </c>
      <c r="G853" s="8" t="s">
        <v>970</v>
      </c>
      <c r="H853" s="8" t="s">
        <v>51</v>
      </c>
      <c r="I853" s="8" t="s">
        <v>88</v>
      </c>
      <c r="J853" s="4" t="n">
        <v>1790000</v>
      </c>
      <c r="K853" s="4" t="n">
        <v>1541000</v>
      </c>
      <c r="L853" s="5" t="n">
        <v>0.13966</v>
      </c>
      <c r="M853" s="4" t="n">
        <v>2</v>
      </c>
      <c r="N853" s="4" t="n">
        <v>0</v>
      </c>
      <c r="O853" s="4" t="n">
        <v>0</v>
      </c>
      <c r="P853" s="4" t="n">
        <v>0</v>
      </c>
      <c r="Q853" s="4" t="n">
        <v>0</v>
      </c>
      <c r="R853" s="4" t="n">
        <f aca="false">M853+N853+O853+P853+Q853</f>
        <v>2</v>
      </c>
      <c r="S853" s="4" t="n">
        <v>1</v>
      </c>
      <c r="T853" s="4" t="n">
        <f aca="false">R853*K853</f>
        <v>3082000</v>
      </c>
      <c r="U853" s="9" t="n">
        <f aca="false">IFERROR(M853/S853,0)</f>
        <v>2</v>
      </c>
      <c r="V853" s="5" t="n">
        <v>1</v>
      </c>
    </row>
    <row r="854" customFormat="false" ht="15" hidden="false" customHeight="false" outlineLevel="0" collapsed="false">
      <c r="A854" s="8" t="s">
        <v>87</v>
      </c>
      <c r="B854" s="8" t="s">
        <v>23</v>
      </c>
      <c r="C854" s="8" t="s">
        <v>1412</v>
      </c>
      <c r="D854" s="8" t="n">
        <v>143219</v>
      </c>
      <c r="E854" s="8" t="s">
        <v>1503</v>
      </c>
      <c r="F854" s="8" t="s">
        <v>829</v>
      </c>
      <c r="G854" s="8" t="s">
        <v>970</v>
      </c>
      <c r="H854" s="8" t="s">
        <v>51</v>
      </c>
      <c r="I854" s="8" t="s">
        <v>88</v>
      </c>
      <c r="J854" s="4" t="n">
        <v>1790000</v>
      </c>
      <c r="K854" s="4" t="n">
        <v>1541000</v>
      </c>
      <c r="L854" s="5" t="n">
        <v>0.13966</v>
      </c>
      <c r="M854" s="4" t="n">
        <v>2</v>
      </c>
      <c r="N854" s="4" t="n">
        <v>0</v>
      </c>
      <c r="O854" s="4" t="n">
        <v>0</v>
      </c>
      <c r="P854" s="4" t="n">
        <v>0</v>
      </c>
      <c r="Q854" s="4" t="n">
        <v>0</v>
      </c>
      <c r="R854" s="4" t="n">
        <f aca="false">M854+N854+O854+P854+Q854</f>
        <v>2</v>
      </c>
      <c r="S854" s="4" t="n">
        <v>1</v>
      </c>
      <c r="T854" s="4" t="n">
        <f aca="false">R854*K854</f>
        <v>3082000</v>
      </c>
      <c r="U854" s="9" t="n">
        <f aca="false">IFERROR(M854/S854,0)</f>
        <v>2</v>
      </c>
      <c r="V854" s="5" t="n">
        <v>1</v>
      </c>
    </row>
    <row r="855" customFormat="false" ht="15" hidden="false" customHeight="false" outlineLevel="0" collapsed="false">
      <c r="A855" s="8" t="s">
        <v>87</v>
      </c>
      <c r="B855" s="8" t="s">
        <v>23</v>
      </c>
      <c r="C855" s="8" t="s">
        <v>1412</v>
      </c>
      <c r="D855" s="8" t="n">
        <v>143220</v>
      </c>
      <c r="E855" s="8" t="s">
        <v>1504</v>
      </c>
      <c r="F855" s="8" t="s">
        <v>829</v>
      </c>
      <c r="G855" s="8" t="s">
        <v>970</v>
      </c>
      <c r="H855" s="8" t="s">
        <v>51</v>
      </c>
      <c r="I855" s="8" t="s">
        <v>88</v>
      </c>
      <c r="J855" s="4" t="n">
        <v>1790000</v>
      </c>
      <c r="K855" s="4" t="n">
        <v>1541000</v>
      </c>
      <c r="L855" s="5" t="n">
        <v>0.13966</v>
      </c>
      <c r="M855" s="4" t="n">
        <v>2</v>
      </c>
      <c r="N855" s="4" t="n">
        <v>0</v>
      </c>
      <c r="O855" s="4" t="n">
        <v>0</v>
      </c>
      <c r="P855" s="4" t="n">
        <v>0</v>
      </c>
      <c r="Q855" s="4" t="n">
        <v>0</v>
      </c>
      <c r="R855" s="4" t="n">
        <f aca="false">M855+N855+O855+P855+Q855</f>
        <v>2</v>
      </c>
      <c r="S855" s="4" t="n">
        <v>1</v>
      </c>
      <c r="T855" s="4" t="n">
        <f aca="false">R855*K855</f>
        <v>3082000</v>
      </c>
      <c r="U855" s="9" t="n">
        <f aca="false">IFERROR(M855/S855,0)</f>
        <v>2</v>
      </c>
      <c r="V855" s="5" t="n">
        <v>1</v>
      </c>
    </row>
    <row r="856" customFormat="false" ht="15" hidden="false" customHeight="false" outlineLevel="0" collapsed="false">
      <c r="A856" s="8" t="s">
        <v>87</v>
      </c>
      <c r="B856" s="8" t="s">
        <v>23</v>
      </c>
      <c r="C856" s="8" t="s">
        <v>1412</v>
      </c>
      <c r="D856" s="8" t="n">
        <v>143223</v>
      </c>
      <c r="E856" s="8" t="s">
        <v>1505</v>
      </c>
      <c r="F856" s="8" t="s">
        <v>829</v>
      </c>
      <c r="G856" s="8" t="s">
        <v>970</v>
      </c>
      <c r="H856" s="8" t="s">
        <v>51</v>
      </c>
      <c r="I856" s="8" t="s">
        <v>88</v>
      </c>
      <c r="J856" s="4" t="n">
        <v>1295000</v>
      </c>
      <c r="K856" s="4" t="n">
        <v>1046000</v>
      </c>
      <c r="L856" s="5" t="n">
        <v>0.19305</v>
      </c>
      <c r="M856" s="4" t="n">
        <v>2</v>
      </c>
      <c r="N856" s="4" t="n">
        <v>0</v>
      </c>
      <c r="O856" s="4" t="n">
        <v>0</v>
      </c>
      <c r="P856" s="4" t="n">
        <v>0</v>
      </c>
      <c r="Q856" s="4" t="n">
        <v>0</v>
      </c>
      <c r="R856" s="4" t="n">
        <f aca="false">M856+N856+O856+P856+Q856</f>
        <v>2</v>
      </c>
      <c r="S856" s="4" t="n">
        <v>1</v>
      </c>
      <c r="T856" s="4" t="n">
        <f aca="false">R856*K856</f>
        <v>2092000</v>
      </c>
      <c r="U856" s="9" t="n">
        <f aca="false">IFERROR(M856/S856,0)</f>
        <v>2</v>
      </c>
      <c r="V856" s="5" t="n">
        <v>1</v>
      </c>
    </row>
    <row r="857" customFormat="false" ht="15" hidden="false" customHeight="false" outlineLevel="0" collapsed="false">
      <c r="A857" s="8" t="s">
        <v>87</v>
      </c>
      <c r="B857" s="8" t="s">
        <v>23</v>
      </c>
      <c r="C857" s="8" t="s">
        <v>1412</v>
      </c>
      <c r="D857" s="8" t="n">
        <v>143225</v>
      </c>
      <c r="E857" s="8" t="s">
        <v>1506</v>
      </c>
      <c r="F857" s="8" t="s">
        <v>829</v>
      </c>
      <c r="G857" s="8" t="s">
        <v>970</v>
      </c>
      <c r="H857" s="8" t="s">
        <v>51</v>
      </c>
      <c r="I857" s="8" t="s">
        <v>88</v>
      </c>
      <c r="J857" s="4" t="n">
        <v>1295000</v>
      </c>
      <c r="K857" s="4" t="n">
        <v>1046000</v>
      </c>
      <c r="L857" s="5" t="n">
        <v>0.19305</v>
      </c>
      <c r="M857" s="4" t="n">
        <v>2</v>
      </c>
      <c r="N857" s="4" t="n">
        <v>0</v>
      </c>
      <c r="O857" s="4" t="n">
        <v>0</v>
      </c>
      <c r="P857" s="4" t="n">
        <v>0</v>
      </c>
      <c r="Q857" s="4" t="n">
        <v>0</v>
      </c>
      <c r="R857" s="4" t="n">
        <f aca="false">M857+N857+O857+P857+Q857</f>
        <v>2</v>
      </c>
      <c r="S857" s="4" t="n">
        <v>1</v>
      </c>
      <c r="T857" s="4" t="n">
        <f aca="false">R857*K857</f>
        <v>2092000</v>
      </c>
      <c r="U857" s="9" t="n">
        <f aca="false">IFERROR(M857/S857,0)</f>
        <v>2</v>
      </c>
      <c r="V857" s="5" t="n">
        <v>1</v>
      </c>
    </row>
    <row r="858" customFormat="false" ht="15" hidden="false" customHeight="false" outlineLevel="0" collapsed="false">
      <c r="A858" s="8" t="s">
        <v>87</v>
      </c>
      <c r="B858" s="8" t="s">
        <v>23</v>
      </c>
      <c r="C858" s="8" t="s">
        <v>1412</v>
      </c>
      <c r="D858" s="8" t="n">
        <v>143227</v>
      </c>
      <c r="E858" s="8" t="s">
        <v>1507</v>
      </c>
      <c r="F858" s="8" t="s">
        <v>829</v>
      </c>
      <c r="G858" s="8" t="s">
        <v>970</v>
      </c>
      <c r="H858" s="8" t="s">
        <v>51</v>
      </c>
      <c r="I858" s="8" t="s">
        <v>88</v>
      </c>
      <c r="J858" s="4" t="n">
        <v>1295000</v>
      </c>
      <c r="K858" s="4" t="n">
        <v>1046000</v>
      </c>
      <c r="L858" s="5" t="n">
        <v>0.19305</v>
      </c>
      <c r="M858" s="4" t="n">
        <v>2</v>
      </c>
      <c r="N858" s="4" t="n">
        <v>0</v>
      </c>
      <c r="O858" s="4" t="n">
        <v>0</v>
      </c>
      <c r="P858" s="4" t="n">
        <v>0</v>
      </c>
      <c r="Q858" s="4" t="n">
        <v>0</v>
      </c>
      <c r="R858" s="4" t="n">
        <f aca="false">M858+N858+O858+P858+Q858</f>
        <v>2</v>
      </c>
      <c r="S858" s="4" t="n">
        <v>1</v>
      </c>
      <c r="T858" s="4" t="n">
        <f aca="false">R858*K858</f>
        <v>2092000</v>
      </c>
      <c r="U858" s="9" t="n">
        <f aca="false">IFERROR(M858/S858,0)</f>
        <v>2</v>
      </c>
      <c r="V858" s="5" t="n">
        <v>1</v>
      </c>
    </row>
    <row r="859" customFormat="false" ht="15" hidden="false" customHeight="false" outlineLevel="0" collapsed="false">
      <c r="A859" s="8" t="s">
        <v>87</v>
      </c>
      <c r="B859" s="8" t="s">
        <v>23</v>
      </c>
      <c r="C859" s="8" t="s">
        <v>1412</v>
      </c>
      <c r="D859" s="8" t="n">
        <v>143228</v>
      </c>
      <c r="E859" s="8" t="s">
        <v>1508</v>
      </c>
      <c r="F859" s="8" t="s">
        <v>829</v>
      </c>
      <c r="G859" s="8" t="s">
        <v>970</v>
      </c>
      <c r="H859" s="8" t="s">
        <v>51</v>
      </c>
      <c r="I859" s="8" t="s">
        <v>88</v>
      </c>
      <c r="J859" s="4" t="n">
        <v>1295000</v>
      </c>
      <c r="K859" s="4" t="n">
        <v>1046000</v>
      </c>
      <c r="L859" s="5" t="n">
        <v>0.19305</v>
      </c>
      <c r="M859" s="4" t="n">
        <v>2</v>
      </c>
      <c r="N859" s="4" t="n">
        <v>0</v>
      </c>
      <c r="O859" s="4" t="n">
        <v>0</v>
      </c>
      <c r="P859" s="4" t="n">
        <v>0</v>
      </c>
      <c r="Q859" s="4" t="n">
        <v>0</v>
      </c>
      <c r="R859" s="4" t="n">
        <f aca="false">M859+N859+O859+P859+Q859</f>
        <v>2</v>
      </c>
      <c r="S859" s="4" t="n">
        <v>1</v>
      </c>
      <c r="T859" s="4" t="n">
        <f aca="false">R859*K859</f>
        <v>2092000</v>
      </c>
      <c r="U859" s="9" t="n">
        <f aca="false">IFERROR(M859/S859,0)</f>
        <v>2</v>
      </c>
      <c r="V859" s="5" t="n">
        <v>1</v>
      </c>
    </row>
    <row r="860" customFormat="false" ht="15" hidden="false" customHeight="false" outlineLevel="0" collapsed="false">
      <c r="A860" s="8" t="s">
        <v>87</v>
      </c>
      <c r="B860" s="8" t="s">
        <v>23</v>
      </c>
      <c r="C860" s="8" t="s">
        <v>1412</v>
      </c>
      <c r="D860" s="8" t="n">
        <v>143231</v>
      </c>
      <c r="E860" s="8" t="s">
        <v>1509</v>
      </c>
      <c r="F860" s="8" t="s">
        <v>829</v>
      </c>
      <c r="G860" s="8" t="s">
        <v>970</v>
      </c>
      <c r="H860" s="8" t="s">
        <v>51</v>
      </c>
      <c r="I860" s="8" t="s">
        <v>88</v>
      </c>
      <c r="J860" s="4" t="n">
        <v>1295000</v>
      </c>
      <c r="K860" s="4" t="n">
        <v>1046000</v>
      </c>
      <c r="L860" s="5" t="n">
        <v>0.19305</v>
      </c>
      <c r="M860" s="4" t="n">
        <v>2</v>
      </c>
      <c r="N860" s="4" t="n">
        <v>0</v>
      </c>
      <c r="O860" s="4" t="n">
        <v>0</v>
      </c>
      <c r="P860" s="4" t="n">
        <v>0</v>
      </c>
      <c r="Q860" s="4" t="n">
        <v>0</v>
      </c>
      <c r="R860" s="4" t="n">
        <f aca="false">M860+N860+O860+P860+Q860</f>
        <v>2</v>
      </c>
      <c r="S860" s="4" t="n">
        <v>1</v>
      </c>
      <c r="T860" s="4" t="n">
        <f aca="false">R860*K860</f>
        <v>2092000</v>
      </c>
      <c r="U860" s="9" t="n">
        <f aca="false">IFERROR(M860/S860,0)</f>
        <v>2</v>
      </c>
      <c r="V860" s="5" t="n">
        <v>1</v>
      </c>
    </row>
    <row r="861" customFormat="false" ht="15" hidden="false" customHeight="false" outlineLevel="0" collapsed="false">
      <c r="A861" s="8" t="s">
        <v>87</v>
      </c>
      <c r="B861" s="8" t="s">
        <v>23</v>
      </c>
      <c r="C861" s="8" t="s">
        <v>1412</v>
      </c>
      <c r="D861" s="8" t="n">
        <v>143232</v>
      </c>
      <c r="E861" s="8" t="s">
        <v>1510</v>
      </c>
      <c r="F861" s="8" t="s">
        <v>829</v>
      </c>
      <c r="G861" s="8" t="s">
        <v>970</v>
      </c>
      <c r="H861" s="8" t="s">
        <v>51</v>
      </c>
      <c r="I861" s="8" t="s">
        <v>88</v>
      </c>
      <c r="J861" s="4" t="n">
        <v>1295000</v>
      </c>
      <c r="K861" s="4" t="n">
        <v>1046000</v>
      </c>
      <c r="L861" s="5" t="n">
        <v>0.19305</v>
      </c>
      <c r="M861" s="4" t="n">
        <v>2</v>
      </c>
      <c r="N861" s="4" t="n">
        <v>0</v>
      </c>
      <c r="O861" s="4" t="n">
        <v>0</v>
      </c>
      <c r="P861" s="4" t="n">
        <v>0</v>
      </c>
      <c r="Q861" s="4" t="n">
        <v>0</v>
      </c>
      <c r="R861" s="4" t="n">
        <f aca="false">M861+N861+O861+P861+Q861</f>
        <v>2</v>
      </c>
      <c r="S861" s="4" t="n">
        <v>1</v>
      </c>
      <c r="T861" s="4" t="n">
        <f aca="false">R861*K861</f>
        <v>2092000</v>
      </c>
      <c r="U861" s="9" t="n">
        <f aca="false">IFERROR(M861/S861,0)</f>
        <v>2</v>
      </c>
      <c r="V861" s="5" t="n">
        <v>1</v>
      </c>
    </row>
    <row r="862" customFormat="false" ht="15" hidden="false" customHeight="false" outlineLevel="0" collapsed="false">
      <c r="A862" s="8" t="s">
        <v>87</v>
      </c>
      <c r="B862" s="8" t="s">
        <v>23</v>
      </c>
      <c r="C862" s="8" t="s">
        <v>1412</v>
      </c>
      <c r="D862" s="8" t="n">
        <v>143234</v>
      </c>
      <c r="E862" s="8" t="s">
        <v>1511</v>
      </c>
      <c r="F862" s="8" t="s">
        <v>829</v>
      </c>
      <c r="G862" s="8" t="s">
        <v>970</v>
      </c>
      <c r="H862" s="8" t="s">
        <v>51</v>
      </c>
      <c r="I862" s="8" t="s">
        <v>88</v>
      </c>
      <c r="J862" s="4" t="n">
        <v>1295000</v>
      </c>
      <c r="K862" s="4" t="n">
        <v>1046000</v>
      </c>
      <c r="L862" s="5" t="n">
        <v>0.19305</v>
      </c>
      <c r="M862" s="4" t="n">
        <v>2</v>
      </c>
      <c r="N862" s="4" t="n">
        <v>0</v>
      </c>
      <c r="O862" s="4" t="n">
        <v>0</v>
      </c>
      <c r="P862" s="4" t="n">
        <v>0</v>
      </c>
      <c r="Q862" s="4" t="n">
        <v>0</v>
      </c>
      <c r="R862" s="4" t="n">
        <f aca="false">M862+N862+O862+P862+Q862</f>
        <v>2</v>
      </c>
      <c r="S862" s="4" t="n">
        <v>1</v>
      </c>
      <c r="T862" s="4" t="n">
        <f aca="false">R862*K862</f>
        <v>2092000</v>
      </c>
      <c r="U862" s="9" t="n">
        <f aca="false">IFERROR(M862/S862,0)</f>
        <v>2</v>
      </c>
      <c r="V862" s="5" t="n">
        <v>1</v>
      </c>
    </row>
    <row r="863" customFormat="false" ht="15" hidden="false" customHeight="false" outlineLevel="0" collapsed="false">
      <c r="A863" s="8" t="s">
        <v>87</v>
      </c>
      <c r="B863" s="8" t="s">
        <v>23</v>
      </c>
      <c r="C863" s="8" t="s">
        <v>1412</v>
      </c>
      <c r="D863" s="8" t="n">
        <v>143236</v>
      </c>
      <c r="E863" s="8" t="s">
        <v>1512</v>
      </c>
      <c r="F863" s="8" t="s">
        <v>829</v>
      </c>
      <c r="G863" s="8" t="s">
        <v>970</v>
      </c>
      <c r="H863" s="8" t="s">
        <v>51</v>
      </c>
      <c r="I863" s="8" t="s">
        <v>88</v>
      </c>
      <c r="J863" s="4" t="n">
        <v>1295000</v>
      </c>
      <c r="K863" s="4" t="n">
        <v>1046000</v>
      </c>
      <c r="L863" s="5" t="n">
        <v>0.19305</v>
      </c>
      <c r="M863" s="4" t="n">
        <v>2</v>
      </c>
      <c r="N863" s="4" t="n">
        <v>0</v>
      </c>
      <c r="O863" s="4" t="n">
        <v>0</v>
      </c>
      <c r="P863" s="4" t="n">
        <v>0</v>
      </c>
      <c r="Q863" s="4" t="n">
        <v>0</v>
      </c>
      <c r="R863" s="4" t="n">
        <f aca="false">M863+N863+O863+P863+Q863</f>
        <v>2</v>
      </c>
      <c r="S863" s="4" t="n">
        <v>1</v>
      </c>
      <c r="T863" s="4" t="n">
        <f aca="false">R863*K863</f>
        <v>2092000</v>
      </c>
      <c r="U863" s="9" t="n">
        <f aca="false">IFERROR(M863/S863,0)</f>
        <v>2</v>
      </c>
      <c r="V863" s="5" t="n">
        <v>1</v>
      </c>
    </row>
    <row r="864" customFormat="false" ht="15" hidden="false" customHeight="false" outlineLevel="0" collapsed="false">
      <c r="A864" s="8" t="s">
        <v>87</v>
      </c>
      <c r="B864" s="8" t="s">
        <v>23</v>
      </c>
      <c r="C864" s="8" t="s">
        <v>1412</v>
      </c>
      <c r="D864" s="8" t="n">
        <v>143240</v>
      </c>
      <c r="E864" s="8" t="s">
        <v>1513</v>
      </c>
      <c r="F864" s="8" t="s">
        <v>829</v>
      </c>
      <c r="G864" s="8" t="s">
        <v>970</v>
      </c>
      <c r="H864" s="8" t="s">
        <v>51</v>
      </c>
      <c r="I864" s="8" t="s">
        <v>88</v>
      </c>
      <c r="J864" s="4" t="n">
        <v>1295000</v>
      </c>
      <c r="K864" s="4" t="n">
        <v>1046000</v>
      </c>
      <c r="L864" s="5" t="n">
        <v>0.19305</v>
      </c>
      <c r="M864" s="4" t="n">
        <v>2</v>
      </c>
      <c r="N864" s="4" t="n">
        <v>0</v>
      </c>
      <c r="O864" s="4" t="n">
        <v>0</v>
      </c>
      <c r="P864" s="4" t="n">
        <v>0</v>
      </c>
      <c r="Q864" s="4" t="n">
        <v>0</v>
      </c>
      <c r="R864" s="4" t="n">
        <f aca="false">M864+N864+O864+P864+Q864</f>
        <v>2</v>
      </c>
      <c r="S864" s="4" t="n">
        <v>1</v>
      </c>
      <c r="T864" s="4" t="n">
        <f aca="false">R864*K864</f>
        <v>2092000</v>
      </c>
      <c r="U864" s="9" t="n">
        <f aca="false">IFERROR(M864/S864,0)</f>
        <v>2</v>
      </c>
      <c r="V864" s="5" t="n">
        <v>1</v>
      </c>
    </row>
    <row r="865" customFormat="false" ht="15" hidden="false" customHeight="false" outlineLevel="0" collapsed="false">
      <c r="A865" s="8" t="s">
        <v>87</v>
      </c>
      <c r="B865" s="8" t="s">
        <v>23</v>
      </c>
      <c r="C865" s="8" t="s">
        <v>1412</v>
      </c>
      <c r="D865" s="8" t="n">
        <v>143241</v>
      </c>
      <c r="E865" s="8" t="s">
        <v>1514</v>
      </c>
      <c r="F865" s="8" t="s">
        <v>829</v>
      </c>
      <c r="G865" s="8" t="s">
        <v>970</v>
      </c>
      <c r="H865" s="8" t="s">
        <v>51</v>
      </c>
      <c r="I865" s="8" t="s">
        <v>88</v>
      </c>
      <c r="J865" s="4" t="n">
        <v>1295000</v>
      </c>
      <c r="K865" s="4" t="n">
        <v>1046000</v>
      </c>
      <c r="L865" s="5" t="n">
        <v>0.19305</v>
      </c>
      <c r="M865" s="4" t="n">
        <v>2</v>
      </c>
      <c r="N865" s="4" t="n">
        <v>0</v>
      </c>
      <c r="O865" s="4" t="n">
        <v>0</v>
      </c>
      <c r="P865" s="4" t="n">
        <v>0</v>
      </c>
      <c r="Q865" s="4" t="n">
        <v>0</v>
      </c>
      <c r="R865" s="4" t="n">
        <f aca="false">M865+N865+O865+P865+Q865</f>
        <v>2</v>
      </c>
      <c r="S865" s="4" t="n">
        <v>1</v>
      </c>
      <c r="T865" s="4" t="n">
        <f aca="false">R865*K865</f>
        <v>2092000</v>
      </c>
      <c r="U865" s="9" t="n">
        <f aca="false">IFERROR(M865/S865,0)</f>
        <v>2</v>
      </c>
      <c r="V865" s="5" t="n">
        <v>1</v>
      </c>
    </row>
    <row r="866" customFormat="false" ht="15" hidden="false" customHeight="false" outlineLevel="0" collapsed="false">
      <c r="A866" s="8" t="s">
        <v>87</v>
      </c>
      <c r="B866" s="8" t="s">
        <v>23</v>
      </c>
      <c r="C866" s="8" t="s">
        <v>1412</v>
      </c>
      <c r="D866" s="8" t="n">
        <v>143245</v>
      </c>
      <c r="E866" s="8" t="s">
        <v>1515</v>
      </c>
      <c r="F866" s="8" t="s">
        <v>829</v>
      </c>
      <c r="G866" s="8" t="s">
        <v>970</v>
      </c>
      <c r="H866" s="8" t="s">
        <v>51</v>
      </c>
      <c r="I866" s="8" t="s">
        <v>88</v>
      </c>
      <c r="J866" s="4" t="n">
        <v>1295000</v>
      </c>
      <c r="K866" s="4" t="n">
        <v>1046000</v>
      </c>
      <c r="L866" s="5" t="n">
        <v>0.19305</v>
      </c>
      <c r="M866" s="4" t="n">
        <v>2</v>
      </c>
      <c r="N866" s="4" t="n">
        <v>0</v>
      </c>
      <c r="O866" s="4" t="n">
        <v>0</v>
      </c>
      <c r="P866" s="4" t="n">
        <v>0</v>
      </c>
      <c r="Q866" s="4" t="n">
        <v>0</v>
      </c>
      <c r="R866" s="4" t="n">
        <f aca="false">M866+N866+O866+P866+Q866</f>
        <v>2</v>
      </c>
      <c r="S866" s="4" t="n">
        <v>1</v>
      </c>
      <c r="T866" s="4" t="n">
        <f aca="false">R866*K866</f>
        <v>2092000</v>
      </c>
      <c r="U866" s="9" t="n">
        <f aca="false">IFERROR(M866/S866,0)</f>
        <v>2</v>
      </c>
      <c r="V866" s="5" t="n">
        <v>1</v>
      </c>
    </row>
    <row r="867" customFormat="false" ht="15" hidden="false" customHeight="false" outlineLevel="0" collapsed="false">
      <c r="A867" s="8" t="s">
        <v>87</v>
      </c>
      <c r="B867" s="8" t="s">
        <v>23</v>
      </c>
      <c r="C867" s="8" t="s">
        <v>1412</v>
      </c>
      <c r="D867" s="8" t="n">
        <v>143246</v>
      </c>
      <c r="E867" s="8" t="s">
        <v>1516</v>
      </c>
      <c r="F867" s="8" t="s">
        <v>829</v>
      </c>
      <c r="G867" s="8" t="s">
        <v>970</v>
      </c>
      <c r="H867" s="8" t="s">
        <v>51</v>
      </c>
      <c r="I867" s="8" t="s">
        <v>88</v>
      </c>
      <c r="J867" s="4" t="n">
        <v>1295000</v>
      </c>
      <c r="K867" s="4" t="n">
        <v>1046000</v>
      </c>
      <c r="L867" s="5" t="n">
        <v>0.19305</v>
      </c>
      <c r="M867" s="4" t="n">
        <v>2</v>
      </c>
      <c r="N867" s="4" t="n">
        <v>0</v>
      </c>
      <c r="O867" s="4" t="n">
        <v>0</v>
      </c>
      <c r="P867" s="4" t="n">
        <v>0</v>
      </c>
      <c r="Q867" s="4" t="n">
        <v>0</v>
      </c>
      <c r="R867" s="4" t="n">
        <f aca="false">M867+N867+O867+P867+Q867</f>
        <v>2</v>
      </c>
      <c r="S867" s="4" t="n">
        <v>1</v>
      </c>
      <c r="T867" s="4" t="n">
        <f aca="false">R867*K867</f>
        <v>2092000</v>
      </c>
      <c r="U867" s="9" t="n">
        <f aca="false">IFERROR(M867/S867,0)</f>
        <v>2</v>
      </c>
      <c r="V867" s="5" t="n">
        <v>1</v>
      </c>
    </row>
    <row r="868" customFormat="false" ht="15" hidden="false" customHeight="false" outlineLevel="0" collapsed="false">
      <c r="A868" s="8" t="s">
        <v>87</v>
      </c>
      <c r="B868" s="8" t="s">
        <v>23</v>
      </c>
      <c r="C868" s="8" t="s">
        <v>1412</v>
      </c>
      <c r="D868" s="8" t="n">
        <v>143248</v>
      </c>
      <c r="E868" s="8" t="s">
        <v>1517</v>
      </c>
      <c r="F868" s="8" t="s">
        <v>829</v>
      </c>
      <c r="G868" s="8" t="s">
        <v>970</v>
      </c>
      <c r="H868" s="8" t="s">
        <v>51</v>
      </c>
      <c r="I868" s="8" t="s">
        <v>88</v>
      </c>
      <c r="J868" s="4" t="n">
        <v>1295000</v>
      </c>
      <c r="K868" s="4" t="n">
        <v>1046000</v>
      </c>
      <c r="L868" s="5" t="n">
        <v>0.19305</v>
      </c>
      <c r="M868" s="4" t="n">
        <v>2</v>
      </c>
      <c r="N868" s="4" t="n">
        <v>0</v>
      </c>
      <c r="O868" s="4" t="n">
        <v>0</v>
      </c>
      <c r="P868" s="4" t="n">
        <v>0</v>
      </c>
      <c r="Q868" s="4" t="n">
        <v>0</v>
      </c>
      <c r="R868" s="4" t="n">
        <f aca="false">M868+N868+O868+P868+Q868</f>
        <v>2</v>
      </c>
      <c r="S868" s="4" t="n">
        <v>1</v>
      </c>
      <c r="T868" s="4" t="n">
        <f aca="false">R868*K868</f>
        <v>2092000</v>
      </c>
      <c r="U868" s="9" t="n">
        <f aca="false">IFERROR(M868/S868,0)</f>
        <v>2</v>
      </c>
      <c r="V868" s="5" t="n">
        <v>1</v>
      </c>
    </row>
    <row r="869" customFormat="false" ht="15" hidden="false" customHeight="false" outlineLevel="0" collapsed="false">
      <c r="A869" s="8" t="s">
        <v>87</v>
      </c>
      <c r="B869" s="8" t="s">
        <v>23</v>
      </c>
      <c r="C869" s="8" t="s">
        <v>1412</v>
      </c>
      <c r="D869" s="8" t="n">
        <v>143249</v>
      </c>
      <c r="E869" s="8" t="s">
        <v>1518</v>
      </c>
      <c r="F869" s="8" t="s">
        <v>829</v>
      </c>
      <c r="G869" s="8" t="s">
        <v>970</v>
      </c>
      <c r="H869" s="8" t="s">
        <v>51</v>
      </c>
      <c r="I869" s="8" t="s">
        <v>88</v>
      </c>
      <c r="J869" s="4" t="n">
        <v>1295000</v>
      </c>
      <c r="K869" s="4" t="n">
        <v>1046000</v>
      </c>
      <c r="L869" s="5" t="n">
        <v>0.19305</v>
      </c>
      <c r="M869" s="4" t="n">
        <v>2</v>
      </c>
      <c r="N869" s="4" t="n">
        <v>0</v>
      </c>
      <c r="O869" s="4" t="n">
        <v>0</v>
      </c>
      <c r="P869" s="4" t="n">
        <v>0</v>
      </c>
      <c r="Q869" s="4" t="n">
        <v>0</v>
      </c>
      <c r="R869" s="4" t="n">
        <f aca="false">M869+N869+O869+P869+Q869</f>
        <v>2</v>
      </c>
      <c r="S869" s="4" t="n">
        <v>1</v>
      </c>
      <c r="T869" s="4" t="n">
        <f aca="false">R869*K869</f>
        <v>2092000</v>
      </c>
      <c r="U869" s="9" t="n">
        <f aca="false">IFERROR(M869/S869,0)</f>
        <v>2</v>
      </c>
      <c r="V869" s="5" t="n">
        <v>1</v>
      </c>
    </row>
    <row r="870" customFormat="false" ht="15" hidden="false" customHeight="false" outlineLevel="0" collapsed="false">
      <c r="A870" s="8" t="s">
        <v>87</v>
      </c>
      <c r="B870" s="8" t="s">
        <v>23</v>
      </c>
      <c r="C870" s="8" t="s">
        <v>1412</v>
      </c>
      <c r="D870" s="8" t="n">
        <v>143250</v>
      </c>
      <c r="E870" s="8" t="s">
        <v>1519</v>
      </c>
      <c r="F870" s="8" t="s">
        <v>829</v>
      </c>
      <c r="G870" s="8" t="s">
        <v>970</v>
      </c>
      <c r="H870" s="8" t="s">
        <v>51</v>
      </c>
      <c r="I870" s="8" t="s">
        <v>88</v>
      </c>
      <c r="J870" s="4" t="n">
        <v>1295000</v>
      </c>
      <c r="K870" s="4" t="n">
        <v>1046000</v>
      </c>
      <c r="L870" s="5" t="n">
        <v>0.19305</v>
      </c>
      <c r="M870" s="4" t="n">
        <v>2</v>
      </c>
      <c r="N870" s="4" t="n">
        <v>0</v>
      </c>
      <c r="O870" s="4" t="n">
        <v>0</v>
      </c>
      <c r="P870" s="4" t="n">
        <v>0</v>
      </c>
      <c r="Q870" s="4" t="n">
        <v>0</v>
      </c>
      <c r="R870" s="4" t="n">
        <f aca="false">M870+N870+O870+P870+Q870</f>
        <v>2</v>
      </c>
      <c r="S870" s="4" t="n">
        <v>1</v>
      </c>
      <c r="T870" s="4" t="n">
        <f aca="false">R870*K870</f>
        <v>2092000</v>
      </c>
      <c r="U870" s="9" t="n">
        <f aca="false">IFERROR(M870/S870,0)</f>
        <v>2</v>
      </c>
      <c r="V870" s="5" t="n">
        <v>1</v>
      </c>
    </row>
    <row r="871" customFormat="false" ht="15" hidden="false" customHeight="false" outlineLevel="0" collapsed="false">
      <c r="A871" s="8" t="s">
        <v>87</v>
      </c>
      <c r="B871" s="8" t="s">
        <v>23</v>
      </c>
      <c r="C871" s="8" t="s">
        <v>1412</v>
      </c>
      <c r="D871" s="8" t="n">
        <v>143251</v>
      </c>
      <c r="E871" s="8" t="s">
        <v>1520</v>
      </c>
      <c r="F871" s="8" t="s">
        <v>829</v>
      </c>
      <c r="G871" s="8" t="s">
        <v>970</v>
      </c>
      <c r="H871" s="8" t="s">
        <v>51</v>
      </c>
      <c r="I871" s="8" t="s">
        <v>88</v>
      </c>
      <c r="J871" s="4" t="n">
        <v>1295000</v>
      </c>
      <c r="K871" s="4" t="n">
        <v>1046000</v>
      </c>
      <c r="L871" s="5" t="n">
        <v>0.19305</v>
      </c>
      <c r="M871" s="4" t="n">
        <v>2</v>
      </c>
      <c r="N871" s="4" t="n">
        <v>0</v>
      </c>
      <c r="O871" s="4" t="n">
        <v>0</v>
      </c>
      <c r="P871" s="4" t="n">
        <v>0</v>
      </c>
      <c r="Q871" s="4" t="n">
        <v>0</v>
      </c>
      <c r="R871" s="4" t="n">
        <f aca="false">M871+N871+O871+P871+Q871</f>
        <v>2</v>
      </c>
      <c r="S871" s="4" t="n">
        <v>1</v>
      </c>
      <c r="T871" s="4" t="n">
        <f aca="false">R871*K871</f>
        <v>2092000</v>
      </c>
      <c r="U871" s="9" t="n">
        <f aca="false">IFERROR(M871/S871,0)</f>
        <v>2</v>
      </c>
      <c r="V871" s="5" t="n">
        <v>1</v>
      </c>
    </row>
    <row r="872" customFormat="false" ht="15" hidden="false" customHeight="false" outlineLevel="0" collapsed="false">
      <c r="A872" s="8" t="s">
        <v>87</v>
      </c>
      <c r="B872" s="8" t="s">
        <v>23</v>
      </c>
      <c r="C872" s="8" t="s">
        <v>1412</v>
      </c>
      <c r="D872" s="8" t="n">
        <v>143252</v>
      </c>
      <c r="E872" s="8" t="s">
        <v>1521</v>
      </c>
      <c r="F872" s="8" t="s">
        <v>829</v>
      </c>
      <c r="G872" s="8" t="s">
        <v>970</v>
      </c>
      <c r="H872" s="8" t="s">
        <v>51</v>
      </c>
      <c r="I872" s="8" t="s">
        <v>88</v>
      </c>
      <c r="J872" s="4" t="n">
        <v>1295000</v>
      </c>
      <c r="K872" s="4" t="n">
        <v>1046000</v>
      </c>
      <c r="L872" s="5" t="n">
        <v>0.19305</v>
      </c>
      <c r="M872" s="4" t="n">
        <v>2</v>
      </c>
      <c r="N872" s="4" t="n">
        <v>0</v>
      </c>
      <c r="O872" s="4" t="n">
        <v>0</v>
      </c>
      <c r="P872" s="4" t="n">
        <v>0</v>
      </c>
      <c r="Q872" s="4" t="n">
        <v>0</v>
      </c>
      <c r="R872" s="4" t="n">
        <f aca="false">M872+N872+O872+P872+Q872</f>
        <v>2</v>
      </c>
      <c r="S872" s="4" t="n">
        <v>1</v>
      </c>
      <c r="T872" s="4" t="n">
        <f aca="false">R872*K872</f>
        <v>2092000</v>
      </c>
      <c r="U872" s="9" t="n">
        <f aca="false">IFERROR(M872/S872,0)</f>
        <v>2</v>
      </c>
      <c r="V872" s="5" t="n">
        <v>1</v>
      </c>
    </row>
    <row r="873" customFormat="false" ht="15" hidden="false" customHeight="false" outlineLevel="0" collapsed="false">
      <c r="A873" s="8" t="s">
        <v>87</v>
      </c>
      <c r="B873" s="8" t="s">
        <v>23</v>
      </c>
      <c r="C873" s="8" t="s">
        <v>1412</v>
      </c>
      <c r="D873" s="8" t="n">
        <v>143253</v>
      </c>
      <c r="E873" s="8" t="s">
        <v>1522</v>
      </c>
      <c r="F873" s="8" t="s">
        <v>829</v>
      </c>
      <c r="G873" s="8" t="s">
        <v>970</v>
      </c>
      <c r="H873" s="8" t="s">
        <v>51</v>
      </c>
      <c r="I873" s="8" t="s">
        <v>88</v>
      </c>
      <c r="J873" s="4" t="n">
        <v>1295000</v>
      </c>
      <c r="K873" s="4" t="n">
        <v>1046000</v>
      </c>
      <c r="L873" s="5" t="n">
        <v>0.19305</v>
      </c>
      <c r="M873" s="4" t="n">
        <v>2</v>
      </c>
      <c r="N873" s="4" t="n">
        <v>0</v>
      </c>
      <c r="O873" s="4" t="n">
        <v>0</v>
      </c>
      <c r="P873" s="4" t="n">
        <v>0</v>
      </c>
      <c r="Q873" s="4" t="n">
        <v>0</v>
      </c>
      <c r="R873" s="4" t="n">
        <f aca="false">M873+N873+O873+P873+Q873</f>
        <v>2</v>
      </c>
      <c r="S873" s="4" t="n">
        <v>2</v>
      </c>
      <c r="T873" s="4" t="n">
        <f aca="false">R873*K873</f>
        <v>2092000</v>
      </c>
      <c r="U873" s="9" t="n">
        <f aca="false">IFERROR(M873/S873,0)</f>
        <v>1</v>
      </c>
      <c r="V873" s="5" t="n">
        <v>1</v>
      </c>
    </row>
    <row r="874" customFormat="false" ht="15" hidden="false" customHeight="false" outlineLevel="0" collapsed="false">
      <c r="A874" s="8" t="s">
        <v>87</v>
      </c>
      <c r="B874" s="8" t="s">
        <v>23</v>
      </c>
      <c r="C874" s="8" t="s">
        <v>1412</v>
      </c>
      <c r="D874" s="8" t="n">
        <v>143265</v>
      </c>
      <c r="E874" s="8" t="s">
        <v>1523</v>
      </c>
      <c r="F874" s="8" t="s">
        <v>829</v>
      </c>
      <c r="G874" s="8" t="s">
        <v>970</v>
      </c>
      <c r="H874" s="8" t="s">
        <v>51</v>
      </c>
      <c r="I874" s="8" t="s">
        <v>88</v>
      </c>
      <c r="J874" s="4" t="n">
        <v>1090000</v>
      </c>
      <c r="K874" s="4" t="n">
        <v>840000</v>
      </c>
      <c r="L874" s="5" t="n">
        <v>0.22936</v>
      </c>
      <c r="M874" s="4" t="n">
        <v>2</v>
      </c>
      <c r="N874" s="4" t="n">
        <v>0</v>
      </c>
      <c r="O874" s="4" t="n">
        <v>0</v>
      </c>
      <c r="P874" s="4" t="n">
        <v>0</v>
      </c>
      <c r="Q874" s="4" t="n">
        <v>0</v>
      </c>
      <c r="R874" s="4" t="n">
        <f aca="false">M874+N874+O874+P874+Q874</f>
        <v>2</v>
      </c>
      <c r="S874" s="4" t="n">
        <v>1</v>
      </c>
      <c r="T874" s="4" t="n">
        <f aca="false">R874*K874</f>
        <v>1680000</v>
      </c>
      <c r="U874" s="9" t="n">
        <f aca="false">IFERROR(M874/S874,0)</f>
        <v>2</v>
      </c>
      <c r="V874" s="5" t="n">
        <v>1</v>
      </c>
    </row>
    <row r="875" customFormat="false" ht="15" hidden="false" customHeight="false" outlineLevel="0" collapsed="false">
      <c r="A875" s="8" t="s">
        <v>87</v>
      </c>
      <c r="B875" s="8" t="s">
        <v>23</v>
      </c>
      <c r="C875" s="8" t="s">
        <v>1412</v>
      </c>
      <c r="D875" s="8" t="n">
        <v>143274</v>
      </c>
      <c r="E875" s="8" t="s">
        <v>1524</v>
      </c>
      <c r="F875" s="8" t="s">
        <v>829</v>
      </c>
      <c r="G875" s="8" t="s">
        <v>970</v>
      </c>
      <c r="H875" s="8" t="s">
        <v>51</v>
      </c>
      <c r="I875" s="8" t="s">
        <v>88</v>
      </c>
      <c r="J875" s="4" t="n">
        <v>1790000</v>
      </c>
      <c r="K875" s="4" t="n">
        <v>1541000</v>
      </c>
      <c r="L875" s="5" t="n">
        <v>0.13966</v>
      </c>
      <c r="M875" s="4" t="n">
        <v>2</v>
      </c>
      <c r="N875" s="4" t="n">
        <v>0</v>
      </c>
      <c r="O875" s="4" t="n">
        <v>0</v>
      </c>
      <c r="P875" s="4" t="n">
        <v>0</v>
      </c>
      <c r="Q875" s="4" t="n">
        <v>0</v>
      </c>
      <c r="R875" s="4" t="n">
        <f aca="false">M875+N875+O875+P875+Q875</f>
        <v>2</v>
      </c>
      <c r="S875" s="4" t="n">
        <v>1</v>
      </c>
      <c r="T875" s="4" t="n">
        <f aca="false">R875*K875</f>
        <v>3082000</v>
      </c>
      <c r="U875" s="9" t="n">
        <f aca="false">IFERROR(M875/S875,0)</f>
        <v>2</v>
      </c>
      <c r="V875" s="5" t="n">
        <v>1</v>
      </c>
    </row>
    <row r="876" customFormat="false" ht="15" hidden="false" customHeight="false" outlineLevel="0" collapsed="false">
      <c r="A876" s="8" t="s">
        <v>87</v>
      </c>
      <c r="B876" s="8" t="s">
        <v>23</v>
      </c>
      <c r="C876" s="8" t="s">
        <v>1412</v>
      </c>
      <c r="D876" s="8" t="n">
        <v>143276</v>
      </c>
      <c r="E876" s="8" t="s">
        <v>1525</v>
      </c>
      <c r="F876" s="8" t="s">
        <v>829</v>
      </c>
      <c r="G876" s="8" t="s">
        <v>970</v>
      </c>
      <c r="H876" s="8" t="s">
        <v>51</v>
      </c>
      <c r="I876" s="8" t="s">
        <v>88</v>
      </c>
      <c r="J876" s="4" t="n">
        <v>1790000</v>
      </c>
      <c r="K876" s="4" t="n">
        <v>1541000</v>
      </c>
      <c r="L876" s="5" t="n">
        <v>0.13966</v>
      </c>
      <c r="M876" s="4" t="n">
        <v>2</v>
      </c>
      <c r="N876" s="4" t="n">
        <v>0</v>
      </c>
      <c r="O876" s="4" t="n">
        <v>0</v>
      </c>
      <c r="P876" s="4" t="n">
        <v>0</v>
      </c>
      <c r="Q876" s="4" t="n">
        <v>0</v>
      </c>
      <c r="R876" s="4" t="n">
        <f aca="false">M876+N876+O876+P876+Q876</f>
        <v>2</v>
      </c>
      <c r="S876" s="4" t="n">
        <v>1</v>
      </c>
      <c r="T876" s="4" t="n">
        <f aca="false">R876*K876</f>
        <v>3082000</v>
      </c>
      <c r="U876" s="9" t="n">
        <f aca="false">IFERROR(M876/S876,0)</f>
        <v>2</v>
      </c>
      <c r="V876" s="5" t="n">
        <v>1</v>
      </c>
    </row>
    <row r="877" customFormat="false" ht="15" hidden="false" customHeight="false" outlineLevel="0" collapsed="false">
      <c r="A877" s="8" t="s">
        <v>87</v>
      </c>
      <c r="B877" s="8" t="s">
        <v>23</v>
      </c>
      <c r="C877" s="8" t="s">
        <v>1412</v>
      </c>
      <c r="D877" s="8" t="n">
        <v>143281</v>
      </c>
      <c r="E877" s="8" t="s">
        <v>1526</v>
      </c>
      <c r="F877" s="8" t="s">
        <v>829</v>
      </c>
      <c r="G877" s="8" t="s">
        <v>970</v>
      </c>
      <c r="H877" s="8" t="s">
        <v>51</v>
      </c>
      <c r="I877" s="8" t="s">
        <v>88</v>
      </c>
      <c r="J877" s="4" t="n">
        <v>1790000</v>
      </c>
      <c r="K877" s="4" t="n">
        <v>1541000</v>
      </c>
      <c r="L877" s="5" t="n">
        <v>0.13966</v>
      </c>
      <c r="M877" s="4" t="n">
        <v>2</v>
      </c>
      <c r="N877" s="4" t="n">
        <v>0</v>
      </c>
      <c r="O877" s="4" t="n">
        <v>0</v>
      </c>
      <c r="P877" s="4" t="n">
        <v>0</v>
      </c>
      <c r="Q877" s="4" t="n">
        <v>0</v>
      </c>
      <c r="R877" s="4" t="n">
        <f aca="false">M877+N877+O877+P877+Q877</f>
        <v>2</v>
      </c>
      <c r="S877" s="4" t="n">
        <v>1</v>
      </c>
      <c r="T877" s="4" t="n">
        <f aca="false">R877*K877</f>
        <v>3082000</v>
      </c>
      <c r="U877" s="9" t="n">
        <f aca="false">IFERROR(M877/S877,0)</f>
        <v>2</v>
      </c>
      <c r="V877" s="5" t="n">
        <v>1</v>
      </c>
    </row>
    <row r="878" customFormat="false" ht="15" hidden="false" customHeight="false" outlineLevel="0" collapsed="false">
      <c r="A878" s="8" t="s">
        <v>87</v>
      </c>
      <c r="B878" s="8" t="s">
        <v>23</v>
      </c>
      <c r="C878" s="8" t="s">
        <v>1412</v>
      </c>
      <c r="D878" s="8" t="n">
        <v>143284</v>
      </c>
      <c r="E878" s="8" t="s">
        <v>1527</v>
      </c>
      <c r="F878" s="8" t="s">
        <v>829</v>
      </c>
      <c r="G878" s="8" t="s">
        <v>970</v>
      </c>
      <c r="H878" s="8" t="s">
        <v>51</v>
      </c>
      <c r="I878" s="8" t="s">
        <v>88</v>
      </c>
      <c r="J878" s="4" t="n">
        <v>1790000</v>
      </c>
      <c r="K878" s="4" t="n">
        <v>1541000</v>
      </c>
      <c r="L878" s="5" t="n">
        <v>0.13966</v>
      </c>
      <c r="M878" s="4" t="n">
        <v>2</v>
      </c>
      <c r="N878" s="4" t="n">
        <v>0</v>
      </c>
      <c r="O878" s="4" t="n">
        <v>0</v>
      </c>
      <c r="P878" s="4" t="n">
        <v>0</v>
      </c>
      <c r="Q878" s="4" t="n">
        <v>0</v>
      </c>
      <c r="R878" s="4" t="n">
        <f aca="false">M878+N878+O878+P878+Q878</f>
        <v>2</v>
      </c>
      <c r="S878" s="4" t="n">
        <v>1</v>
      </c>
      <c r="T878" s="4" t="n">
        <f aca="false">R878*K878</f>
        <v>3082000</v>
      </c>
      <c r="U878" s="9" t="n">
        <f aca="false">IFERROR(M878/S878,0)</f>
        <v>2</v>
      </c>
      <c r="V878" s="5" t="n">
        <v>1</v>
      </c>
    </row>
    <row r="879" customFormat="false" ht="15" hidden="false" customHeight="false" outlineLevel="0" collapsed="false">
      <c r="A879" s="8" t="s">
        <v>87</v>
      </c>
      <c r="B879" s="8" t="s">
        <v>23</v>
      </c>
      <c r="C879" s="8" t="s">
        <v>1412</v>
      </c>
      <c r="D879" s="8" t="n">
        <v>143286</v>
      </c>
      <c r="E879" s="8" t="s">
        <v>1528</v>
      </c>
      <c r="F879" s="8" t="s">
        <v>829</v>
      </c>
      <c r="G879" s="8" t="s">
        <v>970</v>
      </c>
      <c r="H879" s="8" t="s">
        <v>51</v>
      </c>
      <c r="I879" s="8" t="s">
        <v>88</v>
      </c>
      <c r="J879" s="4" t="n">
        <v>1790000</v>
      </c>
      <c r="K879" s="4" t="n">
        <v>1541000</v>
      </c>
      <c r="L879" s="5" t="n">
        <v>0.13966</v>
      </c>
      <c r="M879" s="4" t="n">
        <v>2</v>
      </c>
      <c r="N879" s="4" t="n">
        <v>0</v>
      </c>
      <c r="O879" s="4" t="n">
        <v>0</v>
      </c>
      <c r="P879" s="4" t="n">
        <v>0</v>
      </c>
      <c r="Q879" s="4" t="n">
        <v>0</v>
      </c>
      <c r="R879" s="4" t="n">
        <f aca="false">M879+N879+O879+P879+Q879</f>
        <v>2</v>
      </c>
      <c r="S879" s="4" t="n">
        <v>1</v>
      </c>
      <c r="T879" s="4" t="n">
        <f aca="false">R879*K879</f>
        <v>3082000</v>
      </c>
      <c r="U879" s="9" t="n">
        <f aca="false">IFERROR(M879/S879,0)</f>
        <v>2</v>
      </c>
      <c r="V879" s="5" t="n">
        <v>1</v>
      </c>
    </row>
    <row r="880" customFormat="false" ht="15" hidden="false" customHeight="false" outlineLevel="0" collapsed="false">
      <c r="A880" s="8" t="s">
        <v>87</v>
      </c>
      <c r="B880" s="8" t="s">
        <v>23</v>
      </c>
      <c r="C880" s="8" t="s">
        <v>1412</v>
      </c>
      <c r="D880" s="8" t="n">
        <v>143289</v>
      </c>
      <c r="E880" s="8" t="s">
        <v>1529</v>
      </c>
      <c r="F880" s="8" t="s">
        <v>829</v>
      </c>
      <c r="G880" s="8" t="s">
        <v>970</v>
      </c>
      <c r="H880" s="8" t="s">
        <v>51</v>
      </c>
      <c r="I880" s="8" t="s">
        <v>88</v>
      </c>
      <c r="J880" s="4" t="n">
        <v>1090000</v>
      </c>
      <c r="K880" s="4" t="n">
        <v>840000</v>
      </c>
      <c r="L880" s="5" t="n">
        <v>0.22936</v>
      </c>
      <c r="M880" s="4" t="n">
        <v>2</v>
      </c>
      <c r="N880" s="4" t="n">
        <v>0</v>
      </c>
      <c r="O880" s="4" t="n">
        <v>0</v>
      </c>
      <c r="P880" s="4" t="n">
        <v>0</v>
      </c>
      <c r="Q880" s="4" t="n">
        <v>0</v>
      </c>
      <c r="R880" s="4" t="n">
        <f aca="false">M880+N880+O880+P880+Q880</f>
        <v>2</v>
      </c>
      <c r="S880" s="4" t="n">
        <v>1</v>
      </c>
      <c r="T880" s="4" t="n">
        <f aca="false">R880*K880</f>
        <v>1680000</v>
      </c>
      <c r="U880" s="9" t="n">
        <f aca="false">IFERROR(M880/S880,0)</f>
        <v>2</v>
      </c>
      <c r="V880" s="5" t="n">
        <v>1</v>
      </c>
    </row>
    <row r="881" customFormat="false" ht="15" hidden="false" customHeight="false" outlineLevel="0" collapsed="false">
      <c r="A881" s="8" t="s">
        <v>87</v>
      </c>
      <c r="B881" s="8" t="s">
        <v>23</v>
      </c>
      <c r="C881" s="8" t="s">
        <v>1412</v>
      </c>
      <c r="D881" s="8" t="n">
        <v>143293</v>
      </c>
      <c r="E881" s="8" t="s">
        <v>1530</v>
      </c>
      <c r="F881" s="8" t="s">
        <v>829</v>
      </c>
      <c r="G881" s="8" t="s">
        <v>970</v>
      </c>
      <c r="H881" s="8" t="s">
        <v>51</v>
      </c>
      <c r="I881" s="8" t="s">
        <v>88</v>
      </c>
      <c r="J881" s="4" t="n">
        <v>1295000</v>
      </c>
      <c r="K881" s="4" t="n">
        <v>1046000</v>
      </c>
      <c r="L881" s="5" t="n">
        <v>0.19305</v>
      </c>
      <c r="M881" s="4" t="n">
        <v>2</v>
      </c>
      <c r="N881" s="4" t="n">
        <v>0</v>
      </c>
      <c r="O881" s="4" t="n">
        <v>0</v>
      </c>
      <c r="P881" s="4" t="n">
        <v>0</v>
      </c>
      <c r="Q881" s="4" t="n">
        <v>0</v>
      </c>
      <c r="R881" s="4" t="n">
        <f aca="false">M881+N881+O881+P881+Q881</f>
        <v>2</v>
      </c>
      <c r="S881" s="4" t="n">
        <v>1</v>
      </c>
      <c r="T881" s="4" t="n">
        <f aca="false">R881*K881</f>
        <v>2092000</v>
      </c>
      <c r="U881" s="9" t="n">
        <f aca="false">IFERROR(M881/S881,0)</f>
        <v>2</v>
      </c>
      <c r="V881" s="5" t="n">
        <v>1</v>
      </c>
    </row>
    <row r="882" customFormat="false" ht="15" hidden="false" customHeight="false" outlineLevel="0" collapsed="false">
      <c r="A882" s="8" t="s">
        <v>87</v>
      </c>
      <c r="B882" s="8" t="s">
        <v>23</v>
      </c>
      <c r="C882" s="8" t="s">
        <v>1412</v>
      </c>
      <c r="D882" s="8" t="n">
        <v>143297</v>
      </c>
      <c r="E882" s="8" t="s">
        <v>1531</v>
      </c>
      <c r="F882" s="8" t="s">
        <v>829</v>
      </c>
      <c r="G882" s="8" t="s">
        <v>970</v>
      </c>
      <c r="H882" s="8" t="s">
        <v>51</v>
      </c>
      <c r="I882" s="8" t="s">
        <v>88</v>
      </c>
      <c r="J882" s="4" t="n">
        <v>1295000</v>
      </c>
      <c r="K882" s="4" t="n">
        <v>1046000</v>
      </c>
      <c r="L882" s="5" t="n">
        <v>0.19305</v>
      </c>
      <c r="M882" s="4" t="n">
        <v>2</v>
      </c>
      <c r="N882" s="4" t="n">
        <v>0</v>
      </c>
      <c r="O882" s="4" t="n">
        <v>0</v>
      </c>
      <c r="P882" s="4" t="n">
        <v>0</v>
      </c>
      <c r="Q882" s="4" t="n">
        <v>0</v>
      </c>
      <c r="R882" s="4" t="n">
        <f aca="false">M882+N882+O882+P882+Q882</f>
        <v>2</v>
      </c>
      <c r="S882" s="4" t="n">
        <v>1</v>
      </c>
      <c r="T882" s="4" t="n">
        <f aca="false">R882*K882</f>
        <v>2092000</v>
      </c>
      <c r="U882" s="9" t="n">
        <f aca="false">IFERROR(M882/S882,0)</f>
        <v>2</v>
      </c>
      <c r="V882" s="5" t="n">
        <v>1</v>
      </c>
    </row>
    <row r="883" customFormat="false" ht="15" hidden="false" customHeight="false" outlineLevel="0" collapsed="false">
      <c r="A883" s="8" t="s">
        <v>87</v>
      </c>
      <c r="B883" s="8" t="s">
        <v>23</v>
      </c>
      <c r="C883" s="8" t="s">
        <v>1412</v>
      </c>
      <c r="D883" s="8" t="n">
        <v>143300</v>
      </c>
      <c r="E883" s="8" t="s">
        <v>1532</v>
      </c>
      <c r="F883" s="8" t="s">
        <v>829</v>
      </c>
      <c r="G883" s="8" t="s">
        <v>970</v>
      </c>
      <c r="H883" s="8" t="s">
        <v>51</v>
      </c>
      <c r="I883" s="8" t="s">
        <v>88</v>
      </c>
      <c r="J883" s="4" t="n">
        <v>1295000</v>
      </c>
      <c r="K883" s="4" t="n">
        <v>1046000</v>
      </c>
      <c r="L883" s="5" t="n">
        <v>0.19305</v>
      </c>
      <c r="M883" s="4" t="n">
        <v>2</v>
      </c>
      <c r="N883" s="4" t="n">
        <v>0</v>
      </c>
      <c r="O883" s="4" t="n">
        <v>0</v>
      </c>
      <c r="P883" s="4" t="n">
        <v>0</v>
      </c>
      <c r="Q883" s="4" t="n">
        <v>0</v>
      </c>
      <c r="R883" s="4" t="n">
        <f aca="false">M883+N883+O883+P883+Q883</f>
        <v>2</v>
      </c>
      <c r="S883" s="4" t="n">
        <v>1</v>
      </c>
      <c r="T883" s="4" t="n">
        <f aca="false">R883*K883</f>
        <v>2092000</v>
      </c>
      <c r="U883" s="9" t="n">
        <f aca="false">IFERROR(M883/S883,0)</f>
        <v>2</v>
      </c>
      <c r="V883" s="5" t="n">
        <v>1</v>
      </c>
    </row>
    <row r="884" customFormat="false" ht="15" hidden="false" customHeight="false" outlineLevel="0" collapsed="false">
      <c r="A884" s="8" t="s">
        <v>87</v>
      </c>
      <c r="B884" s="8" t="s">
        <v>23</v>
      </c>
      <c r="C884" s="8" t="s">
        <v>1412</v>
      </c>
      <c r="D884" s="8" t="n">
        <v>143303</v>
      </c>
      <c r="E884" s="8" t="s">
        <v>1533</v>
      </c>
      <c r="F884" s="8" t="s">
        <v>829</v>
      </c>
      <c r="G884" s="8" t="s">
        <v>970</v>
      </c>
      <c r="H884" s="8" t="s">
        <v>51</v>
      </c>
      <c r="I884" s="8" t="s">
        <v>88</v>
      </c>
      <c r="J884" s="4" t="n">
        <v>1295000</v>
      </c>
      <c r="K884" s="4" t="n">
        <v>1046000</v>
      </c>
      <c r="L884" s="5" t="n">
        <v>0.19305</v>
      </c>
      <c r="M884" s="4" t="n">
        <v>2</v>
      </c>
      <c r="N884" s="4" t="n">
        <v>0</v>
      </c>
      <c r="O884" s="4" t="n">
        <v>0</v>
      </c>
      <c r="P884" s="4" t="n">
        <v>0</v>
      </c>
      <c r="Q884" s="4" t="n">
        <v>0</v>
      </c>
      <c r="R884" s="4" t="n">
        <f aca="false">M884+N884+O884+P884+Q884</f>
        <v>2</v>
      </c>
      <c r="S884" s="4" t="n">
        <v>1</v>
      </c>
      <c r="T884" s="4" t="n">
        <f aca="false">R884*K884</f>
        <v>2092000</v>
      </c>
      <c r="U884" s="9" t="n">
        <f aca="false">IFERROR(M884/S884,0)</f>
        <v>2</v>
      </c>
      <c r="V884" s="5" t="n">
        <v>1</v>
      </c>
    </row>
    <row r="885" customFormat="false" ht="15" hidden="false" customHeight="false" outlineLevel="0" collapsed="false">
      <c r="A885" s="8" t="s">
        <v>87</v>
      </c>
      <c r="B885" s="8" t="s">
        <v>23</v>
      </c>
      <c r="C885" s="8" t="s">
        <v>1412</v>
      </c>
      <c r="D885" s="8" t="n">
        <v>143306</v>
      </c>
      <c r="E885" s="8" t="s">
        <v>1534</v>
      </c>
      <c r="F885" s="8" t="s">
        <v>829</v>
      </c>
      <c r="G885" s="8" t="s">
        <v>970</v>
      </c>
      <c r="H885" s="8" t="s">
        <v>51</v>
      </c>
      <c r="I885" s="8" t="s">
        <v>88</v>
      </c>
      <c r="J885" s="4" t="n">
        <v>1295000</v>
      </c>
      <c r="K885" s="4" t="n">
        <v>1046000</v>
      </c>
      <c r="L885" s="5" t="n">
        <v>0.19305</v>
      </c>
      <c r="M885" s="4" t="n">
        <v>2</v>
      </c>
      <c r="N885" s="4" t="n">
        <v>0</v>
      </c>
      <c r="O885" s="4" t="n">
        <v>0</v>
      </c>
      <c r="P885" s="4" t="n">
        <v>0</v>
      </c>
      <c r="Q885" s="4" t="n">
        <v>0</v>
      </c>
      <c r="R885" s="4" t="n">
        <f aca="false">M885+N885+O885+P885+Q885</f>
        <v>2</v>
      </c>
      <c r="S885" s="4" t="n">
        <v>1</v>
      </c>
      <c r="T885" s="4" t="n">
        <f aca="false">R885*K885</f>
        <v>2092000</v>
      </c>
      <c r="U885" s="9" t="n">
        <f aca="false">IFERROR(M885/S885,0)</f>
        <v>2</v>
      </c>
      <c r="V885" s="5" t="n">
        <v>1</v>
      </c>
    </row>
    <row r="886" customFormat="false" ht="15" hidden="false" customHeight="false" outlineLevel="0" collapsed="false">
      <c r="A886" s="8" t="s">
        <v>87</v>
      </c>
      <c r="B886" s="8" t="s">
        <v>23</v>
      </c>
      <c r="C886" s="8" t="s">
        <v>1412</v>
      </c>
      <c r="D886" s="8" t="n">
        <v>143310</v>
      </c>
      <c r="E886" s="8" t="s">
        <v>1535</v>
      </c>
      <c r="F886" s="8" t="s">
        <v>829</v>
      </c>
      <c r="G886" s="8" t="s">
        <v>970</v>
      </c>
      <c r="H886" s="8" t="s">
        <v>51</v>
      </c>
      <c r="I886" s="8" t="s">
        <v>88</v>
      </c>
      <c r="J886" s="4" t="n">
        <v>1295000</v>
      </c>
      <c r="K886" s="4" t="n">
        <v>1046000</v>
      </c>
      <c r="L886" s="5" t="n">
        <v>0.19305</v>
      </c>
      <c r="M886" s="4" t="n">
        <v>2</v>
      </c>
      <c r="N886" s="4" t="n">
        <v>0</v>
      </c>
      <c r="O886" s="4" t="n">
        <v>0</v>
      </c>
      <c r="P886" s="4" t="n">
        <v>0</v>
      </c>
      <c r="Q886" s="4" t="n">
        <v>0</v>
      </c>
      <c r="R886" s="4" t="n">
        <f aca="false">M886+N886+O886+P886+Q886</f>
        <v>2</v>
      </c>
      <c r="S886" s="4" t="n">
        <v>1</v>
      </c>
      <c r="T886" s="4" t="n">
        <f aca="false">R886*K886</f>
        <v>2092000</v>
      </c>
      <c r="U886" s="9" t="n">
        <f aca="false">IFERROR(M886/S886,0)</f>
        <v>2</v>
      </c>
      <c r="V886" s="5" t="n">
        <v>1</v>
      </c>
    </row>
    <row r="887" customFormat="false" ht="15" hidden="false" customHeight="false" outlineLevel="0" collapsed="false">
      <c r="A887" s="8" t="s">
        <v>87</v>
      </c>
      <c r="B887" s="8" t="s">
        <v>23</v>
      </c>
      <c r="C887" s="8" t="s">
        <v>1412</v>
      </c>
      <c r="D887" s="8" t="n">
        <v>143315</v>
      </c>
      <c r="E887" s="8" t="s">
        <v>1536</v>
      </c>
      <c r="F887" s="8" t="s">
        <v>829</v>
      </c>
      <c r="G887" s="8" t="s">
        <v>970</v>
      </c>
      <c r="H887" s="8" t="s">
        <v>51</v>
      </c>
      <c r="I887" s="8" t="s">
        <v>88</v>
      </c>
      <c r="J887" s="4" t="n">
        <v>1790000</v>
      </c>
      <c r="K887" s="4" t="n">
        <v>1541000</v>
      </c>
      <c r="L887" s="5" t="n">
        <v>0.13966</v>
      </c>
      <c r="M887" s="4" t="n">
        <v>2</v>
      </c>
      <c r="N887" s="4" t="n">
        <v>0</v>
      </c>
      <c r="O887" s="4" t="n">
        <v>0</v>
      </c>
      <c r="P887" s="4" t="n">
        <v>0</v>
      </c>
      <c r="Q887" s="4" t="n">
        <v>0</v>
      </c>
      <c r="R887" s="4" t="n">
        <f aca="false">M887+N887+O887+P887+Q887</f>
        <v>2</v>
      </c>
      <c r="S887" s="4" t="n">
        <v>1</v>
      </c>
      <c r="T887" s="4" t="n">
        <f aca="false">R887*K887</f>
        <v>3082000</v>
      </c>
      <c r="U887" s="9" t="n">
        <f aca="false">IFERROR(M887/S887,0)</f>
        <v>2</v>
      </c>
      <c r="V887" s="5" t="n">
        <v>1</v>
      </c>
    </row>
    <row r="888" customFormat="false" ht="15" hidden="false" customHeight="false" outlineLevel="0" collapsed="false">
      <c r="A888" s="8" t="s">
        <v>87</v>
      </c>
      <c r="B888" s="8" t="s">
        <v>23</v>
      </c>
      <c r="C888" s="8" t="s">
        <v>1412</v>
      </c>
      <c r="D888" s="8" t="n">
        <v>143317</v>
      </c>
      <c r="E888" s="8" t="s">
        <v>1537</v>
      </c>
      <c r="F888" s="8" t="s">
        <v>829</v>
      </c>
      <c r="G888" s="8" t="s">
        <v>970</v>
      </c>
      <c r="H888" s="8" t="s">
        <v>51</v>
      </c>
      <c r="I888" s="8" t="s">
        <v>88</v>
      </c>
      <c r="J888" s="4" t="n">
        <v>1790000</v>
      </c>
      <c r="K888" s="4" t="n">
        <v>1541000</v>
      </c>
      <c r="L888" s="5" t="n">
        <v>0.13966</v>
      </c>
      <c r="M888" s="4" t="n">
        <v>2</v>
      </c>
      <c r="N888" s="4" t="n">
        <v>0</v>
      </c>
      <c r="O888" s="4" t="n">
        <v>0</v>
      </c>
      <c r="P888" s="4" t="n">
        <v>0</v>
      </c>
      <c r="Q888" s="4" t="n">
        <v>0</v>
      </c>
      <c r="R888" s="4" t="n">
        <f aca="false">M888+N888+O888+P888+Q888</f>
        <v>2</v>
      </c>
      <c r="S888" s="4" t="n">
        <v>1</v>
      </c>
      <c r="T888" s="4" t="n">
        <f aca="false">R888*K888</f>
        <v>3082000</v>
      </c>
      <c r="U888" s="9" t="n">
        <f aca="false">IFERROR(M888/S888,0)</f>
        <v>2</v>
      </c>
      <c r="V888" s="5" t="n">
        <v>1</v>
      </c>
    </row>
    <row r="889" customFormat="false" ht="15" hidden="false" customHeight="false" outlineLevel="0" collapsed="false">
      <c r="A889" s="8" t="s">
        <v>87</v>
      </c>
      <c r="B889" s="8" t="s">
        <v>23</v>
      </c>
      <c r="C889" s="8" t="s">
        <v>1412</v>
      </c>
      <c r="D889" s="8" t="n">
        <v>143318</v>
      </c>
      <c r="E889" s="8" t="s">
        <v>1538</v>
      </c>
      <c r="F889" s="8" t="s">
        <v>829</v>
      </c>
      <c r="G889" s="8" t="s">
        <v>970</v>
      </c>
      <c r="H889" s="8" t="s">
        <v>51</v>
      </c>
      <c r="I889" s="8" t="s">
        <v>88</v>
      </c>
      <c r="J889" s="4" t="n">
        <v>1790000</v>
      </c>
      <c r="K889" s="4" t="n">
        <v>1541000</v>
      </c>
      <c r="L889" s="5" t="n">
        <v>0.13966</v>
      </c>
      <c r="M889" s="4" t="n">
        <v>2</v>
      </c>
      <c r="N889" s="4" t="n">
        <v>0</v>
      </c>
      <c r="O889" s="4" t="n">
        <v>0</v>
      </c>
      <c r="P889" s="4" t="n">
        <v>0</v>
      </c>
      <c r="Q889" s="4" t="n">
        <v>0</v>
      </c>
      <c r="R889" s="4" t="n">
        <f aca="false">M889+N889+O889+P889+Q889</f>
        <v>2</v>
      </c>
      <c r="S889" s="4" t="n">
        <v>1</v>
      </c>
      <c r="T889" s="4" t="n">
        <f aca="false">R889*K889</f>
        <v>3082000</v>
      </c>
      <c r="U889" s="9" t="n">
        <f aca="false">IFERROR(M889/S889,0)</f>
        <v>2</v>
      </c>
      <c r="V889" s="5" t="n">
        <v>1</v>
      </c>
    </row>
    <row r="890" customFormat="false" ht="15" hidden="false" customHeight="false" outlineLevel="0" collapsed="false">
      <c r="A890" s="8" t="s">
        <v>87</v>
      </c>
      <c r="B890" s="8" t="s">
        <v>23</v>
      </c>
      <c r="C890" s="8" t="s">
        <v>1412</v>
      </c>
      <c r="D890" s="8" t="n">
        <v>143320</v>
      </c>
      <c r="E890" s="8" t="s">
        <v>1539</v>
      </c>
      <c r="F890" s="8" t="s">
        <v>829</v>
      </c>
      <c r="G890" s="8" t="s">
        <v>970</v>
      </c>
      <c r="H890" s="8" t="s">
        <v>51</v>
      </c>
      <c r="I890" s="8" t="s">
        <v>88</v>
      </c>
      <c r="J890" s="4" t="n">
        <v>1790000</v>
      </c>
      <c r="K890" s="4" t="n">
        <v>1541000</v>
      </c>
      <c r="L890" s="5" t="n">
        <v>0.13966</v>
      </c>
      <c r="M890" s="4" t="n">
        <v>2</v>
      </c>
      <c r="N890" s="4" t="n">
        <v>0</v>
      </c>
      <c r="O890" s="4" t="n">
        <v>0</v>
      </c>
      <c r="P890" s="4" t="n">
        <v>0</v>
      </c>
      <c r="Q890" s="4" t="n">
        <v>0</v>
      </c>
      <c r="R890" s="4" t="n">
        <f aca="false">M890+N890+O890+P890+Q890</f>
        <v>2</v>
      </c>
      <c r="S890" s="4" t="n">
        <v>1</v>
      </c>
      <c r="T890" s="4" t="n">
        <f aca="false">R890*K890</f>
        <v>3082000</v>
      </c>
      <c r="U890" s="9" t="n">
        <f aca="false">IFERROR(M890/S890,0)</f>
        <v>2</v>
      </c>
      <c r="V890" s="5" t="n">
        <v>1</v>
      </c>
    </row>
    <row r="891" customFormat="false" ht="15" hidden="false" customHeight="false" outlineLevel="0" collapsed="false">
      <c r="A891" s="8" t="s">
        <v>87</v>
      </c>
      <c r="B891" s="8" t="s">
        <v>23</v>
      </c>
      <c r="C891" s="8" t="s">
        <v>1412</v>
      </c>
      <c r="D891" s="8" t="n">
        <v>143321</v>
      </c>
      <c r="E891" s="8" t="s">
        <v>1540</v>
      </c>
      <c r="F891" s="8" t="s">
        <v>829</v>
      </c>
      <c r="G891" s="8" t="s">
        <v>970</v>
      </c>
      <c r="H891" s="8" t="s">
        <v>51</v>
      </c>
      <c r="I891" s="8" t="s">
        <v>88</v>
      </c>
      <c r="J891" s="4" t="n">
        <v>1790000</v>
      </c>
      <c r="K891" s="4" t="n">
        <v>1541000</v>
      </c>
      <c r="L891" s="5" t="n">
        <v>0.13966</v>
      </c>
      <c r="M891" s="4" t="n">
        <v>2</v>
      </c>
      <c r="N891" s="4" t="n">
        <v>0</v>
      </c>
      <c r="O891" s="4" t="n">
        <v>0</v>
      </c>
      <c r="P891" s="4" t="n">
        <v>0</v>
      </c>
      <c r="Q891" s="4" t="n">
        <v>0</v>
      </c>
      <c r="R891" s="4" t="n">
        <f aca="false">M891+N891+O891+P891+Q891</f>
        <v>2</v>
      </c>
      <c r="S891" s="4" t="n">
        <v>1</v>
      </c>
      <c r="T891" s="4" t="n">
        <f aca="false">R891*K891</f>
        <v>3082000</v>
      </c>
      <c r="U891" s="9" t="n">
        <f aca="false">IFERROR(M891/S891,0)</f>
        <v>2</v>
      </c>
      <c r="V891" s="5" t="n">
        <v>1</v>
      </c>
    </row>
    <row r="892" customFormat="false" ht="15" hidden="false" customHeight="false" outlineLevel="0" collapsed="false">
      <c r="A892" s="8" t="s">
        <v>87</v>
      </c>
      <c r="B892" s="8" t="s">
        <v>23</v>
      </c>
      <c r="C892" s="8" t="s">
        <v>1412</v>
      </c>
      <c r="D892" s="8" t="n">
        <v>142589</v>
      </c>
      <c r="E892" s="8" t="s">
        <v>1541</v>
      </c>
      <c r="F892" s="8" t="s">
        <v>767</v>
      </c>
      <c r="G892" s="8" t="s">
        <v>961</v>
      </c>
      <c r="H892" s="8" t="s">
        <v>51</v>
      </c>
      <c r="I892" s="8" t="s">
        <v>88</v>
      </c>
      <c r="J892" s="4" t="n">
        <v>1390000</v>
      </c>
      <c r="K892" s="4" t="n">
        <v>1140000</v>
      </c>
      <c r="L892" s="5" t="n">
        <v>0.17986</v>
      </c>
      <c r="M892" s="4" t="n">
        <v>1</v>
      </c>
      <c r="N892" s="4" t="n">
        <v>0</v>
      </c>
      <c r="O892" s="4" t="n">
        <v>0</v>
      </c>
      <c r="P892" s="4" t="n">
        <v>0</v>
      </c>
      <c r="Q892" s="4" t="n">
        <v>0</v>
      </c>
      <c r="R892" s="4" t="n">
        <f aca="false">M892+N892+O892+P892+Q892</f>
        <v>1</v>
      </c>
      <c r="S892" s="4" t="n">
        <v>1</v>
      </c>
      <c r="T892" s="4" t="n">
        <f aca="false">R892*K892</f>
        <v>1140000</v>
      </c>
      <c r="U892" s="9" t="n">
        <f aca="false">IFERROR(M892/S892,0)</f>
        <v>1</v>
      </c>
      <c r="V892" s="5" t="n">
        <v>0.0789</v>
      </c>
    </row>
    <row r="893" customFormat="false" ht="15" hidden="false" customHeight="false" outlineLevel="0" collapsed="false">
      <c r="A893" s="8" t="s">
        <v>87</v>
      </c>
      <c r="B893" s="8" t="s">
        <v>23</v>
      </c>
      <c r="C893" s="8" t="s">
        <v>1412</v>
      </c>
      <c r="D893" s="8" t="n">
        <v>142595</v>
      </c>
      <c r="E893" s="8" t="s">
        <v>1542</v>
      </c>
      <c r="F893" s="8" t="s">
        <v>767</v>
      </c>
      <c r="G893" s="8" t="s">
        <v>961</v>
      </c>
      <c r="H893" s="8" t="s">
        <v>51</v>
      </c>
      <c r="I893" s="8" t="s">
        <v>88</v>
      </c>
      <c r="J893" s="4" t="n">
        <v>1390000</v>
      </c>
      <c r="K893" s="4" t="n">
        <v>1140000</v>
      </c>
      <c r="L893" s="5" t="n">
        <v>0.17986</v>
      </c>
      <c r="M893" s="4" t="n">
        <v>1</v>
      </c>
      <c r="N893" s="4" t="n">
        <v>0</v>
      </c>
      <c r="O893" s="4" t="n">
        <v>0</v>
      </c>
      <c r="P893" s="4" t="n">
        <v>0</v>
      </c>
      <c r="Q893" s="4" t="n">
        <v>0</v>
      </c>
      <c r="R893" s="4" t="n">
        <f aca="false">M893+N893+O893+P893+Q893</f>
        <v>1</v>
      </c>
      <c r="S893" s="4" t="n">
        <v>1</v>
      </c>
      <c r="T893" s="4" t="n">
        <f aca="false">R893*K893</f>
        <v>1140000</v>
      </c>
      <c r="U893" s="9" t="n">
        <f aca="false">IFERROR(M893/S893,0)</f>
        <v>1</v>
      </c>
      <c r="V893" s="5" t="n">
        <v>0.0789</v>
      </c>
    </row>
    <row r="894" customFormat="false" ht="15" hidden="false" customHeight="false" outlineLevel="0" collapsed="false">
      <c r="A894" s="8" t="s">
        <v>87</v>
      </c>
      <c r="B894" s="8" t="s">
        <v>23</v>
      </c>
      <c r="C894" s="8" t="s">
        <v>1412</v>
      </c>
      <c r="D894" s="8" t="n">
        <v>142606</v>
      </c>
      <c r="E894" s="8" t="s">
        <v>1543</v>
      </c>
      <c r="F894" s="8" t="s">
        <v>767</v>
      </c>
      <c r="G894" s="8" t="s">
        <v>961</v>
      </c>
      <c r="H894" s="8" t="s">
        <v>51</v>
      </c>
      <c r="I894" s="8" t="s">
        <v>88</v>
      </c>
      <c r="J894" s="4" t="n">
        <v>1490000</v>
      </c>
      <c r="K894" s="4" t="n">
        <v>1240000</v>
      </c>
      <c r="L894" s="5" t="n">
        <v>0.16779</v>
      </c>
      <c r="M894" s="4" t="n">
        <v>1</v>
      </c>
      <c r="N894" s="4" t="n">
        <v>0</v>
      </c>
      <c r="O894" s="4" t="n">
        <v>0</v>
      </c>
      <c r="P894" s="4" t="n">
        <v>0</v>
      </c>
      <c r="Q894" s="4" t="n">
        <v>0</v>
      </c>
      <c r="R894" s="4" t="n">
        <f aca="false">M894+N894+O894+P894+Q894</f>
        <v>1</v>
      </c>
      <c r="S894" s="4" t="n">
        <v>1</v>
      </c>
      <c r="T894" s="4" t="n">
        <f aca="false">R894*K894</f>
        <v>1240000</v>
      </c>
      <c r="U894" s="9" t="n">
        <f aca="false">IFERROR(M894/S894,0)</f>
        <v>1</v>
      </c>
      <c r="V894" s="5" t="n">
        <v>0.0605</v>
      </c>
    </row>
    <row r="895" customFormat="false" ht="15" hidden="false" customHeight="false" outlineLevel="0" collapsed="false">
      <c r="A895" s="8" t="s">
        <v>87</v>
      </c>
      <c r="B895" s="8" t="s">
        <v>23</v>
      </c>
      <c r="C895" s="8" t="s">
        <v>1412</v>
      </c>
      <c r="D895" s="8" t="n">
        <v>143031</v>
      </c>
      <c r="E895" s="8" t="s">
        <v>1544</v>
      </c>
      <c r="F895" s="8" t="s">
        <v>829</v>
      </c>
      <c r="G895" s="8" t="s">
        <v>970</v>
      </c>
      <c r="H895" s="8" t="s">
        <v>51</v>
      </c>
      <c r="I895" s="8" t="s">
        <v>88</v>
      </c>
      <c r="J895" s="4" t="n">
        <v>1090000</v>
      </c>
      <c r="K895" s="4" t="n">
        <v>840000</v>
      </c>
      <c r="L895" s="5" t="n">
        <v>0.22936</v>
      </c>
      <c r="M895" s="4" t="n">
        <v>1</v>
      </c>
      <c r="N895" s="4" t="n">
        <v>0</v>
      </c>
      <c r="O895" s="4" t="n">
        <v>0</v>
      </c>
      <c r="P895" s="4" t="n">
        <v>0</v>
      </c>
      <c r="Q895" s="4" t="n">
        <v>0</v>
      </c>
      <c r="R895" s="4" t="n">
        <f aca="false">M895+N895+O895+P895+Q895</f>
        <v>1</v>
      </c>
      <c r="S895" s="4" t="n">
        <v>1</v>
      </c>
      <c r="T895" s="4" t="n">
        <f aca="false">R895*K895</f>
        <v>840000</v>
      </c>
      <c r="U895" s="9" t="n">
        <f aca="false">IFERROR(M895/S895,0)</f>
        <v>1</v>
      </c>
      <c r="V895" s="5" t="n">
        <v>1</v>
      </c>
    </row>
    <row r="896" customFormat="false" ht="15" hidden="false" customHeight="false" outlineLevel="0" collapsed="false">
      <c r="A896" s="8" t="s">
        <v>87</v>
      </c>
      <c r="B896" s="8" t="s">
        <v>23</v>
      </c>
      <c r="C896" s="8" t="s">
        <v>1412</v>
      </c>
      <c r="D896" s="8" t="n">
        <v>143033</v>
      </c>
      <c r="E896" s="8" t="s">
        <v>1545</v>
      </c>
      <c r="F896" s="8" t="s">
        <v>829</v>
      </c>
      <c r="G896" s="8" t="s">
        <v>970</v>
      </c>
      <c r="H896" s="8" t="s">
        <v>51</v>
      </c>
      <c r="I896" s="8" t="s">
        <v>88</v>
      </c>
      <c r="J896" s="4" t="n">
        <v>1090000</v>
      </c>
      <c r="K896" s="4" t="n">
        <v>840000</v>
      </c>
      <c r="L896" s="5" t="n">
        <v>0.22936</v>
      </c>
      <c r="M896" s="4" t="n">
        <v>1</v>
      </c>
      <c r="N896" s="4" t="n">
        <v>0</v>
      </c>
      <c r="O896" s="4" t="n">
        <v>0</v>
      </c>
      <c r="P896" s="4" t="n">
        <v>0</v>
      </c>
      <c r="Q896" s="4" t="n">
        <v>0</v>
      </c>
      <c r="R896" s="4" t="n">
        <f aca="false">M896+N896+O896+P896+Q896</f>
        <v>1</v>
      </c>
      <c r="S896" s="4" t="n">
        <v>1</v>
      </c>
      <c r="T896" s="4" t="n">
        <f aca="false">R896*K896</f>
        <v>840000</v>
      </c>
      <c r="U896" s="9" t="n">
        <f aca="false">IFERROR(M896/S896,0)</f>
        <v>1</v>
      </c>
      <c r="V896" s="5" t="n">
        <v>1</v>
      </c>
    </row>
    <row r="897" customFormat="false" ht="15" hidden="false" customHeight="false" outlineLevel="0" collapsed="false">
      <c r="A897" s="8" t="s">
        <v>87</v>
      </c>
      <c r="B897" s="8" t="s">
        <v>23</v>
      </c>
      <c r="C897" s="8" t="s">
        <v>1412</v>
      </c>
      <c r="D897" s="8" t="n">
        <v>143036</v>
      </c>
      <c r="E897" s="8" t="s">
        <v>1546</v>
      </c>
      <c r="F897" s="8" t="s">
        <v>829</v>
      </c>
      <c r="G897" s="8" t="s">
        <v>970</v>
      </c>
      <c r="H897" s="8" t="s">
        <v>51</v>
      </c>
      <c r="I897" s="8" t="s">
        <v>88</v>
      </c>
      <c r="J897" s="4" t="n">
        <v>1090000</v>
      </c>
      <c r="K897" s="4" t="n">
        <v>840000</v>
      </c>
      <c r="L897" s="5" t="n">
        <v>0.22936</v>
      </c>
      <c r="M897" s="4" t="n">
        <v>1</v>
      </c>
      <c r="N897" s="4" t="n">
        <v>0</v>
      </c>
      <c r="O897" s="4" t="n">
        <v>0</v>
      </c>
      <c r="P897" s="4" t="n">
        <v>0</v>
      </c>
      <c r="Q897" s="4" t="n">
        <v>0</v>
      </c>
      <c r="R897" s="4" t="n">
        <f aca="false">M897+N897+O897+P897+Q897</f>
        <v>1</v>
      </c>
      <c r="S897" s="4" t="n">
        <v>1</v>
      </c>
      <c r="T897" s="4" t="n">
        <f aca="false">R897*K897</f>
        <v>840000</v>
      </c>
      <c r="U897" s="9" t="n">
        <f aca="false">IFERROR(M897/S897,0)</f>
        <v>1</v>
      </c>
      <c r="V897" s="5" t="n">
        <v>1</v>
      </c>
    </row>
    <row r="898" customFormat="false" ht="15" hidden="false" customHeight="false" outlineLevel="0" collapsed="false">
      <c r="A898" s="8" t="s">
        <v>87</v>
      </c>
      <c r="B898" s="8" t="s">
        <v>23</v>
      </c>
      <c r="C898" s="8" t="s">
        <v>1412</v>
      </c>
      <c r="D898" s="8" t="n">
        <v>143039</v>
      </c>
      <c r="E898" s="8" t="s">
        <v>1547</v>
      </c>
      <c r="F898" s="8" t="s">
        <v>829</v>
      </c>
      <c r="G898" s="8" t="s">
        <v>970</v>
      </c>
      <c r="H898" s="8" t="s">
        <v>51</v>
      </c>
      <c r="I898" s="8" t="s">
        <v>88</v>
      </c>
      <c r="J898" s="4" t="n">
        <v>1090000</v>
      </c>
      <c r="K898" s="4" t="n">
        <v>840000</v>
      </c>
      <c r="L898" s="5" t="n">
        <v>0.22936</v>
      </c>
      <c r="M898" s="4" t="n">
        <v>1</v>
      </c>
      <c r="N898" s="4" t="n">
        <v>0</v>
      </c>
      <c r="O898" s="4" t="n">
        <v>0</v>
      </c>
      <c r="P898" s="4" t="n">
        <v>0</v>
      </c>
      <c r="Q898" s="4" t="n">
        <v>0</v>
      </c>
      <c r="R898" s="4" t="n">
        <f aca="false">M898+N898+O898+P898+Q898</f>
        <v>1</v>
      </c>
      <c r="S898" s="4" t="n">
        <v>1</v>
      </c>
      <c r="T898" s="4" t="n">
        <f aca="false">R898*K898</f>
        <v>840000</v>
      </c>
      <c r="U898" s="9" t="n">
        <f aca="false">IFERROR(M898/S898,0)</f>
        <v>1</v>
      </c>
      <c r="V898" s="5" t="n">
        <v>1</v>
      </c>
    </row>
    <row r="899" customFormat="false" ht="15" hidden="false" customHeight="false" outlineLevel="0" collapsed="false">
      <c r="A899" s="8" t="s">
        <v>87</v>
      </c>
      <c r="B899" s="8" t="s">
        <v>23</v>
      </c>
      <c r="C899" s="8" t="s">
        <v>1412</v>
      </c>
      <c r="D899" s="8" t="n">
        <v>143040</v>
      </c>
      <c r="E899" s="8" t="s">
        <v>1548</v>
      </c>
      <c r="F899" s="8" t="s">
        <v>829</v>
      </c>
      <c r="G899" s="8" t="s">
        <v>970</v>
      </c>
      <c r="H899" s="8" t="s">
        <v>51</v>
      </c>
      <c r="I899" s="8" t="s">
        <v>88</v>
      </c>
      <c r="J899" s="4" t="n">
        <v>1090000</v>
      </c>
      <c r="K899" s="4" t="n">
        <v>840000</v>
      </c>
      <c r="L899" s="5" t="n">
        <v>0.22936</v>
      </c>
      <c r="M899" s="4" t="n">
        <v>1</v>
      </c>
      <c r="N899" s="4" t="n">
        <v>0</v>
      </c>
      <c r="O899" s="4" t="n">
        <v>0</v>
      </c>
      <c r="P899" s="4" t="n">
        <v>0</v>
      </c>
      <c r="Q899" s="4" t="n">
        <v>0</v>
      </c>
      <c r="R899" s="4" t="n">
        <f aca="false">M899+N899+O899+P899+Q899</f>
        <v>1</v>
      </c>
      <c r="S899" s="4" t="n">
        <v>1</v>
      </c>
      <c r="T899" s="4" t="n">
        <f aca="false">R899*K899</f>
        <v>840000</v>
      </c>
      <c r="U899" s="9" t="n">
        <f aca="false">IFERROR(M899/S899,0)</f>
        <v>1</v>
      </c>
      <c r="V899" s="5" t="n">
        <v>1</v>
      </c>
    </row>
    <row r="900" customFormat="false" ht="15" hidden="false" customHeight="false" outlineLevel="0" collapsed="false">
      <c r="A900" s="8" t="s">
        <v>87</v>
      </c>
      <c r="B900" s="8" t="s">
        <v>23</v>
      </c>
      <c r="C900" s="8" t="s">
        <v>1412</v>
      </c>
      <c r="D900" s="8" t="n">
        <v>143045</v>
      </c>
      <c r="E900" s="8" t="s">
        <v>1549</v>
      </c>
      <c r="F900" s="8" t="s">
        <v>829</v>
      </c>
      <c r="G900" s="8" t="s">
        <v>970</v>
      </c>
      <c r="H900" s="8" t="s">
        <v>51</v>
      </c>
      <c r="I900" s="8" t="s">
        <v>88</v>
      </c>
      <c r="J900" s="4" t="n">
        <v>1090000</v>
      </c>
      <c r="K900" s="4" t="n">
        <v>840000</v>
      </c>
      <c r="L900" s="5" t="n">
        <v>0.22936</v>
      </c>
      <c r="M900" s="4" t="n">
        <v>1</v>
      </c>
      <c r="N900" s="4" t="n">
        <v>0</v>
      </c>
      <c r="O900" s="4" t="n">
        <v>0</v>
      </c>
      <c r="P900" s="4" t="n">
        <v>0</v>
      </c>
      <c r="Q900" s="4" t="n">
        <v>0</v>
      </c>
      <c r="R900" s="4" t="n">
        <f aca="false">M900+N900+O900+P900+Q900</f>
        <v>1</v>
      </c>
      <c r="S900" s="4" t="n">
        <v>1</v>
      </c>
      <c r="T900" s="4" t="n">
        <f aca="false">R900*K900</f>
        <v>840000</v>
      </c>
      <c r="U900" s="9" t="n">
        <f aca="false">IFERROR(M900/S900,0)</f>
        <v>1</v>
      </c>
      <c r="V900" s="5" t="n">
        <v>1</v>
      </c>
    </row>
    <row r="901" customFormat="false" ht="15" hidden="false" customHeight="false" outlineLevel="0" collapsed="false">
      <c r="A901" s="8" t="s">
        <v>87</v>
      </c>
      <c r="B901" s="8" t="s">
        <v>23</v>
      </c>
      <c r="C901" s="8" t="s">
        <v>1412</v>
      </c>
      <c r="D901" s="8" t="n">
        <v>143049</v>
      </c>
      <c r="E901" s="8" t="s">
        <v>1550</v>
      </c>
      <c r="F901" s="8" t="s">
        <v>829</v>
      </c>
      <c r="G901" s="8" t="s">
        <v>970</v>
      </c>
      <c r="H901" s="8" t="s">
        <v>51</v>
      </c>
      <c r="I901" s="8" t="s">
        <v>88</v>
      </c>
      <c r="J901" s="4" t="n">
        <v>1090000</v>
      </c>
      <c r="K901" s="4" t="n">
        <v>840000</v>
      </c>
      <c r="L901" s="5" t="n">
        <v>0.22936</v>
      </c>
      <c r="M901" s="4" t="n">
        <v>1</v>
      </c>
      <c r="N901" s="4" t="n">
        <v>0</v>
      </c>
      <c r="O901" s="4" t="n">
        <v>0</v>
      </c>
      <c r="P901" s="4" t="n">
        <v>0</v>
      </c>
      <c r="Q901" s="4" t="n">
        <v>0</v>
      </c>
      <c r="R901" s="4" t="n">
        <f aca="false">M901+N901+O901+P901+Q901</f>
        <v>1</v>
      </c>
      <c r="S901" s="4" t="n">
        <v>1</v>
      </c>
      <c r="T901" s="4" t="n">
        <f aca="false">R901*K901</f>
        <v>840000</v>
      </c>
      <c r="U901" s="9" t="n">
        <f aca="false">IFERROR(M901/S901,0)</f>
        <v>1</v>
      </c>
      <c r="V901" s="5" t="n">
        <v>1</v>
      </c>
    </row>
    <row r="902" customFormat="false" ht="15" hidden="false" customHeight="false" outlineLevel="0" collapsed="false">
      <c r="A902" s="8" t="s">
        <v>87</v>
      </c>
      <c r="B902" s="8" t="s">
        <v>23</v>
      </c>
      <c r="C902" s="8" t="s">
        <v>1412</v>
      </c>
      <c r="D902" s="8" t="n">
        <v>143052</v>
      </c>
      <c r="E902" s="8" t="s">
        <v>1551</v>
      </c>
      <c r="F902" s="8" t="s">
        <v>829</v>
      </c>
      <c r="G902" s="8" t="s">
        <v>970</v>
      </c>
      <c r="H902" s="8" t="s">
        <v>51</v>
      </c>
      <c r="I902" s="8" t="s">
        <v>88</v>
      </c>
      <c r="J902" s="4" t="n">
        <v>1090000</v>
      </c>
      <c r="K902" s="4" t="n">
        <v>840000</v>
      </c>
      <c r="L902" s="5" t="n">
        <v>0.22936</v>
      </c>
      <c r="M902" s="4" t="n">
        <v>1</v>
      </c>
      <c r="N902" s="4" t="n">
        <v>0</v>
      </c>
      <c r="O902" s="4" t="n">
        <v>0</v>
      </c>
      <c r="P902" s="4" t="n">
        <v>0</v>
      </c>
      <c r="Q902" s="4" t="n">
        <v>0</v>
      </c>
      <c r="R902" s="4" t="n">
        <f aca="false">M902+N902+O902+P902+Q902</f>
        <v>1</v>
      </c>
      <c r="S902" s="4" t="n">
        <v>1</v>
      </c>
      <c r="T902" s="4" t="n">
        <f aca="false">R902*K902</f>
        <v>840000</v>
      </c>
      <c r="U902" s="9" t="n">
        <f aca="false">IFERROR(M902/S902,0)</f>
        <v>1</v>
      </c>
      <c r="V902" s="5" t="n">
        <v>1</v>
      </c>
    </row>
    <row r="903" customFormat="false" ht="15" hidden="false" customHeight="false" outlineLevel="0" collapsed="false">
      <c r="A903" s="8" t="s">
        <v>87</v>
      </c>
      <c r="B903" s="8" t="s">
        <v>23</v>
      </c>
      <c r="C903" s="8" t="s">
        <v>1412</v>
      </c>
      <c r="D903" s="8" t="n">
        <v>143059</v>
      </c>
      <c r="E903" s="8" t="s">
        <v>1552</v>
      </c>
      <c r="F903" s="8" t="s">
        <v>829</v>
      </c>
      <c r="G903" s="8" t="s">
        <v>970</v>
      </c>
      <c r="H903" s="8" t="s">
        <v>51</v>
      </c>
      <c r="I903" s="8" t="s">
        <v>88</v>
      </c>
      <c r="J903" s="4" t="n">
        <v>1090000</v>
      </c>
      <c r="K903" s="4" t="n">
        <v>840000</v>
      </c>
      <c r="L903" s="5" t="n">
        <v>0.22936</v>
      </c>
      <c r="M903" s="4" t="n">
        <v>1</v>
      </c>
      <c r="N903" s="4" t="n">
        <v>0</v>
      </c>
      <c r="O903" s="4" t="n">
        <v>0</v>
      </c>
      <c r="P903" s="4" t="n">
        <v>0</v>
      </c>
      <c r="Q903" s="4" t="n">
        <v>0</v>
      </c>
      <c r="R903" s="4" t="n">
        <f aca="false">M903+N903+O903+P903+Q903</f>
        <v>1</v>
      </c>
      <c r="S903" s="4" t="n">
        <v>1</v>
      </c>
      <c r="T903" s="4" t="n">
        <f aca="false">R903*K903</f>
        <v>840000</v>
      </c>
      <c r="U903" s="9" t="n">
        <f aca="false">IFERROR(M903/S903,0)</f>
        <v>1</v>
      </c>
      <c r="V903" s="5" t="n">
        <v>1</v>
      </c>
    </row>
    <row r="904" customFormat="false" ht="15" hidden="false" customHeight="false" outlineLevel="0" collapsed="false">
      <c r="A904" s="8" t="s">
        <v>87</v>
      </c>
      <c r="B904" s="8" t="s">
        <v>23</v>
      </c>
      <c r="C904" s="8" t="s">
        <v>1412</v>
      </c>
      <c r="D904" s="8" t="n">
        <v>143060</v>
      </c>
      <c r="E904" s="8" t="s">
        <v>1553</v>
      </c>
      <c r="F904" s="8" t="s">
        <v>829</v>
      </c>
      <c r="G904" s="8" t="s">
        <v>970</v>
      </c>
      <c r="H904" s="8" t="s">
        <v>51</v>
      </c>
      <c r="I904" s="8" t="s">
        <v>88</v>
      </c>
      <c r="J904" s="4" t="n">
        <v>1090000</v>
      </c>
      <c r="K904" s="4" t="n">
        <v>840000</v>
      </c>
      <c r="L904" s="5" t="n">
        <v>0.22936</v>
      </c>
      <c r="M904" s="4" t="n">
        <v>1</v>
      </c>
      <c r="N904" s="4" t="n">
        <v>0</v>
      </c>
      <c r="O904" s="4" t="n">
        <v>0</v>
      </c>
      <c r="P904" s="4" t="n">
        <v>0</v>
      </c>
      <c r="Q904" s="4" t="n">
        <v>0</v>
      </c>
      <c r="R904" s="4" t="n">
        <f aca="false">M904+N904+O904+P904+Q904</f>
        <v>1</v>
      </c>
      <c r="S904" s="4" t="n">
        <v>1</v>
      </c>
      <c r="T904" s="4" t="n">
        <f aca="false">R904*K904</f>
        <v>840000</v>
      </c>
      <c r="U904" s="9" t="n">
        <f aca="false">IFERROR(M904/S904,0)</f>
        <v>1</v>
      </c>
      <c r="V904" s="5" t="n">
        <v>1</v>
      </c>
    </row>
    <row r="905" customFormat="false" ht="15" hidden="false" customHeight="false" outlineLevel="0" collapsed="false">
      <c r="A905" s="8" t="s">
        <v>87</v>
      </c>
      <c r="B905" s="8" t="s">
        <v>23</v>
      </c>
      <c r="C905" s="8" t="s">
        <v>1412</v>
      </c>
      <c r="D905" s="8" t="n">
        <v>143061</v>
      </c>
      <c r="E905" s="8" t="s">
        <v>1554</v>
      </c>
      <c r="F905" s="8" t="s">
        <v>829</v>
      </c>
      <c r="G905" s="8" t="s">
        <v>970</v>
      </c>
      <c r="H905" s="8" t="s">
        <v>51</v>
      </c>
      <c r="I905" s="8" t="s">
        <v>88</v>
      </c>
      <c r="J905" s="4" t="n">
        <v>1090000</v>
      </c>
      <c r="K905" s="4" t="n">
        <v>840000</v>
      </c>
      <c r="L905" s="5" t="n">
        <v>0.22936</v>
      </c>
      <c r="M905" s="4" t="n">
        <v>1</v>
      </c>
      <c r="N905" s="4" t="n">
        <v>0</v>
      </c>
      <c r="O905" s="4" t="n">
        <v>0</v>
      </c>
      <c r="P905" s="4" t="n">
        <v>0</v>
      </c>
      <c r="Q905" s="4" t="n">
        <v>0</v>
      </c>
      <c r="R905" s="4" t="n">
        <f aca="false">M905+N905+O905+P905+Q905</f>
        <v>1</v>
      </c>
      <c r="S905" s="4" t="n">
        <v>1</v>
      </c>
      <c r="T905" s="4" t="n">
        <f aca="false">R905*K905</f>
        <v>840000</v>
      </c>
      <c r="U905" s="9" t="n">
        <f aca="false">IFERROR(M905/S905,0)</f>
        <v>1</v>
      </c>
      <c r="V905" s="5" t="n">
        <v>1</v>
      </c>
    </row>
    <row r="906" customFormat="false" ht="15" hidden="false" customHeight="false" outlineLevel="0" collapsed="false">
      <c r="A906" s="8" t="s">
        <v>87</v>
      </c>
      <c r="B906" s="8" t="s">
        <v>23</v>
      </c>
      <c r="C906" s="8" t="s">
        <v>1412</v>
      </c>
      <c r="D906" s="8" t="n">
        <v>143063</v>
      </c>
      <c r="E906" s="8" t="s">
        <v>1555</v>
      </c>
      <c r="F906" s="8" t="s">
        <v>829</v>
      </c>
      <c r="G906" s="8" t="s">
        <v>970</v>
      </c>
      <c r="H906" s="8" t="s">
        <v>51</v>
      </c>
      <c r="I906" s="8" t="s">
        <v>88</v>
      </c>
      <c r="J906" s="4" t="n">
        <v>1090000</v>
      </c>
      <c r="K906" s="4" t="n">
        <v>840000</v>
      </c>
      <c r="L906" s="5" t="n">
        <v>0.22936</v>
      </c>
      <c r="M906" s="4" t="n">
        <v>1</v>
      </c>
      <c r="N906" s="4" t="n">
        <v>0</v>
      </c>
      <c r="O906" s="4" t="n">
        <v>0</v>
      </c>
      <c r="P906" s="4" t="n">
        <v>0</v>
      </c>
      <c r="Q906" s="4" t="n">
        <v>0</v>
      </c>
      <c r="R906" s="4" t="n">
        <f aca="false">M906+N906+O906+P906+Q906</f>
        <v>1</v>
      </c>
      <c r="S906" s="4" t="n">
        <v>1</v>
      </c>
      <c r="T906" s="4" t="n">
        <f aca="false">R906*K906</f>
        <v>840000</v>
      </c>
      <c r="U906" s="9" t="n">
        <f aca="false">IFERROR(M906/S906,0)</f>
        <v>1</v>
      </c>
      <c r="V906" s="5" t="n">
        <v>1</v>
      </c>
    </row>
    <row r="907" customFormat="false" ht="15" hidden="false" customHeight="false" outlineLevel="0" collapsed="false">
      <c r="A907" s="8" t="s">
        <v>87</v>
      </c>
      <c r="B907" s="8" t="s">
        <v>23</v>
      </c>
      <c r="C907" s="8" t="s">
        <v>1412</v>
      </c>
      <c r="D907" s="8" t="n">
        <v>143064</v>
      </c>
      <c r="E907" s="8" t="s">
        <v>1556</v>
      </c>
      <c r="F907" s="8" t="s">
        <v>829</v>
      </c>
      <c r="G907" s="8" t="s">
        <v>970</v>
      </c>
      <c r="H907" s="8" t="s">
        <v>51</v>
      </c>
      <c r="I907" s="8" t="s">
        <v>88</v>
      </c>
      <c r="J907" s="4" t="n">
        <v>1090000</v>
      </c>
      <c r="K907" s="4" t="n">
        <v>840000</v>
      </c>
      <c r="L907" s="5" t="n">
        <v>0.22936</v>
      </c>
      <c r="M907" s="4" t="n">
        <v>1</v>
      </c>
      <c r="N907" s="4" t="n">
        <v>0</v>
      </c>
      <c r="O907" s="4" t="n">
        <v>0</v>
      </c>
      <c r="P907" s="4" t="n">
        <v>0</v>
      </c>
      <c r="Q907" s="4" t="n">
        <v>0</v>
      </c>
      <c r="R907" s="4" t="n">
        <f aca="false">M907+N907+O907+P907+Q907</f>
        <v>1</v>
      </c>
      <c r="S907" s="4" t="n">
        <v>1</v>
      </c>
      <c r="T907" s="4" t="n">
        <f aca="false">R907*K907</f>
        <v>840000</v>
      </c>
      <c r="U907" s="9" t="n">
        <f aca="false">IFERROR(M907/S907,0)</f>
        <v>1</v>
      </c>
      <c r="V907" s="5" t="n">
        <v>1</v>
      </c>
    </row>
    <row r="908" customFormat="false" ht="15" hidden="false" customHeight="false" outlineLevel="0" collapsed="false">
      <c r="A908" s="8" t="s">
        <v>87</v>
      </c>
      <c r="B908" s="8" t="s">
        <v>23</v>
      </c>
      <c r="C908" s="8" t="s">
        <v>1412</v>
      </c>
      <c r="D908" s="8" t="n">
        <v>143066</v>
      </c>
      <c r="E908" s="8" t="s">
        <v>1557</v>
      </c>
      <c r="F908" s="8" t="s">
        <v>829</v>
      </c>
      <c r="G908" s="8" t="s">
        <v>970</v>
      </c>
      <c r="H908" s="8" t="s">
        <v>51</v>
      </c>
      <c r="I908" s="8" t="s">
        <v>88</v>
      </c>
      <c r="J908" s="4" t="n">
        <v>1090000</v>
      </c>
      <c r="K908" s="4" t="n">
        <v>840000</v>
      </c>
      <c r="L908" s="5" t="n">
        <v>0.22936</v>
      </c>
      <c r="M908" s="4" t="n">
        <v>1</v>
      </c>
      <c r="N908" s="4" t="n">
        <v>0</v>
      </c>
      <c r="O908" s="4" t="n">
        <v>0</v>
      </c>
      <c r="P908" s="4" t="n">
        <v>0</v>
      </c>
      <c r="Q908" s="4" t="n">
        <v>0</v>
      </c>
      <c r="R908" s="4" t="n">
        <f aca="false">M908+N908+O908+P908+Q908</f>
        <v>1</v>
      </c>
      <c r="S908" s="4" t="n">
        <v>1</v>
      </c>
      <c r="T908" s="4" t="n">
        <f aca="false">R908*K908</f>
        <v>840000</v>
      </c>
      <c r="U908" s="9" t="n">
        <f aca="false">IFERROR(M908/S908,0)</f>
        <v>1</v>
      </c>
      <c r="V908" s="5" t="n">
        <v>1</v>
      </c>
    </row>
    <row r="909" customFormat="false" ht="15" hidden="false" customHeight="false" outlineLevel="0" collapsed="false">
      <c r="A909" s="8" t="s">
        <v>87</v>
      </c>
      <c r="B909" s="8" t="s">
        <v>23</v>
      </c>
      <c r="C909" s="8" t="s">
        <v>1412</v>
      </c>
      <c r="D909" s="8" t="n">
        <v>143072</v>
      </c>
      <c r="E909" s="8" t="s">
        <v>1558</v>
      </c>
      <c r="F909" s="8" t="s">
        <v>829</v>
      </c>
      <c r="G909" s="8" t="s">
        <v>970</v>
      </c>
      <c r="H909" s="8" t="s">
        <v>51</v>
      </c>
      <c r="I909" s="8" t="s">
        <v>88</v>
      </c>
      <c r="J909" s="4" t="n">
        <v>1090000</v>
      </c>
      <c r="K909" s="4" t="n">
        <v>840000</v>
      </c>
      <c r="L909" s="5" t="n">
        <v>0.22936</v>
      </c>
      <c r="M909" s="4" t="n">
        <v>1</v>
      </c>
      <c r="N909" s="4" t="n">
        <v>0</v>
      </c>
      <c r="O909" s="4" t="n">
        <v>0</v>
      </c>
      <c r="P909" s="4" t="n">
        <v>0</v>
      </c>
      <c r="Q909" s="4" t="n">
        <v>0</v>
      </c>
      <c r="R909" s="4" t="n">
        <f aca="false">M909+N909+O909+P909+Q909</f>
        <v>1</v>
      </c>
      <c r="S909" s="4" t="n">
        <v>1</v>
      </c>
      <c r="T909" s="4" t="n">
        <f aca="false">R909*K909</f>
        <v>840000</v>
      </c>
      <c r="U909" s="9" t="n">
        <f aca="false">IFERROR(M909/S909,0)</f>
        <v>1</v>
      </c>
      <c r="V909" s="5" t="n">
        <v>1</v>
      </c>
    </row>
    <row r="910" customFormat="false" ht="15" hidden="false" customHeight="false" outlineLevel="0" collapsed="false">
      <c r="A910" s="8" t="s">
        <v>87</v>
      </c>
      <c r="B910" s="8" t="s">
        <v>23</v>
      </c>
      <c r="C910" s="8" t="s">
        <v>1412</v>
      </c>
      <c r="D910" s="8" t="n">
        <v>143074</v>
      </c>
      <c r="E910" s="8" t="s">
        <v>1559</v>
      </c>
      <c r="F910" s="8" t="s">
        <v>829</v>
      </c>
      <c r="G910" s="8" t="s">
        <v>970</v>
      </c>
      <c r="H910" s="8" t="s">
        <v>51</v>
      </c>
      <c r="I910" s="8" t="s">
        <v>88</v>
      </c>
      <c r="J910" s="4" t="n">
        <v>1090000</v>
      </c>
      <c r="K910" s="4" t="n">
        <v>840000</v>
      </c>
      <c r="L910" s="5" t="n">
        <v>0.22936</v>
      </c>
      <c r="M910" s="4" t="n">
        <v>1</v>
      </c>
      <c r="N910" s="4" t="n">
        <v>0</v>
      </c>
      <c r="O910" s="4" t="n">
        <v>0</v>
      </c>
      <c r="P910" s="4" t="n">
        <v>0</v>
      </c>
      <c r="Q910" s="4" t="n">
        <v>0</v>
      </c>
      <c r="R910" s="4" t="n">
        <f aca="false">M910+N910+O910+P910+Q910</f>
        <v>1</v>
      </c>
      <c r="S910" s="4" t="n">
        <v>1</v>
      </c>
      <c r="T910" s="4" t="n">
        <f aca="false">R910*K910</f>
        <v>840000</v>
      </c>
      <c r="U910" s="9" t="n">
        <f aca="false">IFERROR(M910/S910,0)</f>
        <v>1</v>
      </c>
      <c r="V910" s="5" t="n">
        <v>1</v>
      </c>
    </row>
    <row r="911" customFormat="false" ht="15" hidden="false" customHeight="false" outlineLevel="0" collapsed="false">
      <c r="A911" s="8" t="s">
        <v>87</v>
      </c>
      <c r="B911" s="8" t="s">
        <v>23</v>
      </c>
      <c r="C911" s="8" t="s">
        <v>1412</v>
      </c>
      <c r="D911" s="8" t="n">
        <v>143075</v>
      </c>
      <c r="E911" s="8" t="s">
        <v>1560</v>
      </c>
      <c r="F911" s="8" t="s">
        <v>829</v>
      </c>
      <c r="G911" s="8" t="s">
        <v>970</v>
      </c>
      <c r="H911" s="8" t="s">
        <v>51</v>
      </c>
      <c r="I911" s="8" t="s">
        <v>88</v>
      </c>
      <c r="J911" s="4" t="n">
        <v>1090000</v>
      </c>
      <c r="K911" s="4" t="n">
        <v>840000</v>
      </c>
      <c r="L911" s="5" t="n">
        <v>0.22936</v>
      </c>
      <c r="M911" s="4" t="n">
        <v>1</v>
      </c>
      <c r="N911" s="4" t="n">
        <v>0</v>
      </c>
      <c r="O911" s="4" t="n">
        <v>0</v>
      </c>
      <c r="P911" s="4" t="n">
        <v>0</v>
      </c>
      <c r="Q911" s="4" t="n">
        <v>0</v>
      </c>
      <c r="R911" s="4" t="n">
        <f aca="false">M911+N911+O911+P911+Q911</f>
        <v>1</v>
      </c>
      <c r="S911" s="4" t="n">
        <v>1</v>
      </c>
      <c r="T911" s="4" t="n">
        <f aca="false">R911*K911</f>
        <v>840000</v>
      </c>
      <c r="U911" s="9" t="n">
        <f aca="false">IFERROR(M911/S911,0)</f>
        <v>1</v>
      </c>
      <c r="V911" s="5" t="n">
        <v>1</v>
      </c>
    </row>
    <row r="912" customFormat="false" ht="15" hidden="false" customHeight="false" outlineLevel="0" collapsed="false">
      <c r="A912" s="8" t="s">
        <v>87</v>
      </c>
      <c r="B912" s="8" t="s">
        <v>23</v>
      </c>
      <c r="C912" s="8" t="s">
        <v>1412</v>
      </c>
      <c r="D912" s="8" t="n">
        <v>143077</v>
      </c>
      <c r="E912" s="8" t="s">
        <v>1561</v>
      </c>
      <c r="F912" s="8" t="s">
        <v>829</v>
      </c>
      <c r="G912" s="8" t="s">
        <v>970</v>
      </c>
      <c r="H912" s="8" t="s">
        <v>51</v>
      </c>
      <c r="I912" s="8" t="s">
        <v>88</v>
      </c>
      <c r="J912" s="4" t="n">
        <v>1090000</v>
      </c>
      <c r="K912" s="4" t="n">
        <v>840000</v>
      </c>
      <c r="L912" s="5" t="n">
        <v>0.22936</v>
      </c>
      <c r="M912" s="4" t="n">
        <v>1</v>
      </c>
      <c r="N912" s="4" t="n">
        <v>0</v>
      </c>
      <c r="O912" s="4" t="n">
        <v>0</v>
      </c>
      <c r="P912" s="4" t="n">
        <v>0</v>
      </c>
      <c r="Q912" s="4" t="n">
        <v>0</v>
      </c>
      <c r="R912" s="4" t="n">
        <f aca="false">M912+N912+O912+P912+Q912</f>
        <v>1</v>
      </c>
      <c r="S912" s="4" t="n">
        <v>1</v>
      </c>
      <c r="T912" s="4" t="n">
        <f aca="false">R912*K912</f>
        <v>840000</v>
      </c>
      <c r="U912" s="9" t="n">
        <f aca="false">IFERROR(M912/S912,0)</f>
        <v>1</v>
      </c>
      <c r="V912" s="5" t="n">
        <v>1</v>
      </c>
    </row>
    <row r="913" customFormat="false" ht="15" hidden="false" customHeight="false" outlineLevel="0" collapsed="false">
      <c r="A913" s="8" t="s">
        <v>87</v>
      </c>
      <c r="B913" s="8" t="s">
        <v>23</v>
      </c>
      <c r="C913" s="8" t="s">
        <v>1412</v>
      </c>
      <c r="D913" s="8" t="n">
        <v>143085</v>
      </c>
      <c r="E913" s="8" t="s">
        <v>1562</v>
      </c>
      <c r="F913" s="8" t="s">
        <v>829</v>
      </c>
      <c r="G913" s="8" t="s">
        <v>970</v>
      </c>
      <c r="H913" s="8" t="s">
        <v>51</v>
      </c>
      <c r="I913" s="8" t="s">
        <v>88</v>
      </c>
      <c r="J913" s="4" t="n">
        <v>1790000</v>
      </c>
      <c r="K913" s="4" t="n">
        <v>1541000</v>
      </c>
      <c r="L913" s="5" t="n">
        <v>0.13966</v>
      </c>
      <c r="M913" s="4" t="n">
        <v>1</v>
      </c>
      <c r="N913" s="4" t="n">
        <v>0</v>
      </c>
      <c r="O913" s="4" t="n">
        <v>0</v>
      </c>
      <c r="P913" s="4" t="n">
        <v>0</v>
      </c>
      <c r="Q913" s="4" t="n">
        <v>0</v>
      </c>
      <c r="R913" s="4" t="n">
        <f aca="false">M913+N913+O913+P913+Q913</f>
        <v>1</v>
      </c>
      <c r="S913" s="4" t="n">
        <v>1</v>
      </c>
      <c r="T913" s="4" t="n">
        <f aca="false">R913*K913</f>
        <v>1541000</v>
      </c>
      <c r="U913" s="9" t="n">
        <f aca="false">IFERROR(M913/S913,0)</f>
        <v>1</v>
      </c>
      <c r="V913" s="5" t="n">
        <v>1</v>
      </c>
    </row>
    <row r="914" customFormat="false" ht="15" hidden="false" customHeight="false" outlineLevel="0" collapsed="false">
      <c r="A914" s="8" t="s">
        <v>87</v>
      </c>
      <c r="B914" s="8" t="s">
        <v>23</v>
      </c>
      <c r="C914" s="8" t="s">
        <v>1412</v>
      </c>
      <c r="D914" s="8" t="n">
        <v>143087</v>
      </c>
      <c r="E914" s="8" t="s">
        <v>1563</v>
      </c>
      <c r="F914" s="8" t="s">
        <v>829</v>
      </c>
      <c r="G914" s="8" t="s">
        <v>970</v>
      </c>
      <c r="H914" s="8" t="s">
        <v>51</v>
      </c>
      <c r="I914" s="8" t="s">
        <v>88</v>
      </c>
      <c r="J914" s="4" t="n">
        <v>1790000</v>
      </c>
      <c r="K914" s="4" t="n">
        <v>1541000</v>
      </c>
      <c r="L914" s="5" t="n">
        <v>0.13966</v>
      </c>
      <c r="M914" s="4" t="n">
        <v>1</v>
      </c>
      <c r="N914" s="4" t="n">
        <v>0</v>
      </c>
      <c r="O914" s="4" t="n">
        <v>0</v>
      </c>
      <c r="P914" s="4" t="n">
        <v>0</v>
      </c>
      <c r="Q914" s="4" t="n">
        <v>0</v>
      </c>
      <c r="R914" s="4" t="n">
        <f aca="false">M914+N914+O914+P914+Q914</f>
        <v>1</v>
      </c>
      <c r="S914" s="4" t="n">
        <v>1</v>
      </c>
      <c r="T914" s="4" t="n">
        <f aca="false">R914*K914</f>
        <v>1541000</v>
      </c>
      <c r="U914" s="9" t="n">
        <f aca="false">IFERROR(M914/S914,0)</f>
        <v>1</v>
      </c>
      <c r="V914" s="5" t="n">
        <v>1</v>
      </c>
    </row>
    <row r="915" customFormat="false" ht="15" hidden="false" customHeight="false" outlineLevel="0" collapsed="false">
      <c r="A915" s="8" t="s">
        <v>87</v>
      </c>
      <c r="B915" s="8" t="s">
        <v>23</v>
      </c>
      <c r="C915" s="8" t="s">
        <v>1412</v>
      </c>
      <c r="D915" s="8" t="n">
        <v>143091</v>
      </c>
      <c r="E915" s="8" t="s">
        <v>1564</v>
      </c>
      <c r="F915" s="8" t="s">
        <v>829</v>
      </c>
      <c r="G915" s="8" t="s">
        <v>970</v>
      </c>
      <c r="H915" s="8" t="s">
        <v>51</v>
      </c>
      <c r="I915" s="8" t="s">
        <v>88</v>
      </c>
      <c r="J915" s="4" t="n">
        <v>1790000</v>
      </c>
      <c r="K915" s="4" t="n">
        <v>1541000</v>
      </c>
      <c r="L915" s="5" t="n">
        <v>0.13966</v>
      </c>
      <c r="M915" s="4" t="n">
        <v>1</v>
      </c>
      <c r="N915" s="4" t="n">
        <v>0</v>
      </c>
      <c r="O915" s="4" t="n">
        <v>0</v>
      </c>
      <c r="P915" s="4" t="n">
        <v>0</v>
      </c>
      <c r="Q915" s="4" t="n">
        <v>0</v>
      </c>
      <c r="R915" s="4" t="n">
        <f aca="false">M915+N915+O915+P915+Q915</f>
        <v>1</v>
      </c>
      <c r="S915" s="4" t="n">
        <v>1</v>
      </c>
      <c r="T915" s="4" t="n">
        <f aca="false">R915*K915</f>
        <v>1541000</v>
      </c>
      <c r="U915" s="9" t="n">
        <f aca="false">IFERROR(M915/S915,0)</f>
        <v>1</v>
      </c>
      <c r="V915" s="5" t="n">
        <v>1</v>
      </c>
    </row>
    <row r="916" customFormat="false" ht="15" hidden="false" customHeight="false" outlineLevel="0" collapsed="false">
      <c r="A916" s="8" t="s">
        <v>87</v>
      </c>
      <c r="B916" s="8" t="s">
        <v>23</v>
      </c>
      <c r="C916" s="8" t="s">
        <v>1412</v>
      </c>
      <c r="D916" s="8" t="n">
        <v>143093</v>
      </c>
      <c r="E916" s="8" t="s">
        <v>1565</v>
      </c>
      <c r="F916" s="8" t="s">
        <v>829</v>
      </c>
      <c r="G916" s="8" t="s">
        <v>970</v>
      </c>
      <c r="H916" s="8" t="s">
        <v>51</v>
      </c>
      <c r="I916" s="8" t="s">
        <v>88</v>
      </c>
      <c r="J916" s="4" t="n">
        <v>1790000</v>
      </c>
      <c r="K916" s="4" t="n">
        <v>1541000</v>
      </c>
      <c r="L916" s="5" t="n">
        <v>0.13966</v>
      </c>
      <c r="M916" s="4" t="n">
        <v>1</v>
      </c>
      <c r="N916" s="4" t="n">
        <v>0</v>
      </c>
      <c r="O916" s="4" t="n">
        <v>0</v>
      </c>
      <c r="P916" s="4" t="n">
        <v>0</v>
      </c>
      <c r="Q916" s="4" t="n">
        <v>0</v>
      </c>
      <c r="R916" s="4" t="n">
        <f aca="false">M916+N916+O916+P916+Q916</f>
        <v>1</v>
      </c>
      <c r="S916" s="4" t="n">
        <v>1</v>
      </c>
      <c r="T916" s="4" t="n">
        <f aca="false">R916*K916</f>
        <v>1541000</v>
      </c>
      <c r="U916" s="9" t="n">
        <f aca="false">IFERROR(M916/S916,0)</f>
        <v>1</v>
      </c>
      <c r="V916" s="5" t="n">
        <v>1</v>
      </c>
    </row>
    <row r="917" customFormat="false" ht="15" hidden="false" customHeight="false" outlineLevel="0" collapsed="false">
      <c r="A917" s="8" t="s">
        <v>87</v>
      </c>
      <c r="B917" s="8" t="s">
        <v>23</v>
      </c>
      <c r="C917" s="8" t="s">
        <v>1412</v>
      </c>
      <c r="D917" s="8" t="n">
        <v>143094</v>
      </c>
      <c r="E917" s="8" t="s">
        <v>1566</v>
      </c>
      <c r="F917" s="8" t="s">
        <v>829</v>
      </c>
      <c r="G917" s="8" t="s">
        <v>970</v>
      </c>
      <c r="H917" s="8" t="s">
        <v>51</v>
      </c>
      <c r="I917" s="8" t="s">
        <v>88</v>
      </c>
      <c r="J917" s="4" t="n">
        <v>1790000</v>
      </c>
      <c r="K917" s="4" t="n">
        <v>1541000</v>
      </c>
      <c r="L917" s="5" t="n">
        <v>0.13966</v>
      </c>
      <c r="M917" s="4" t="n">
        <v>1</v>
      </c>
      <c r="N917" s="4" t="n">
        <v>0</v>
      </c>
      <c r="O917" s="4" t="n">
        <v>0</v>
      </c>
      <c r="P917" s="4" t="n">
        <v>0</v>
      </c>
      <c r="Q917" s="4" t="n">
        <v>0</v>
      </c>
      <c r="R917" s="4" t="n">
        <f aca="false">M917+N917+O917+P917+Q917</f>
        <v>1</v>
      </c>
      <c r="S917" s="4" t="n">
        <v>1</v>
      </c>
      <c r="T917" s="4" t="n">
        <f aca="false">R917*K917</f>
        <v>1541000</v>
      </c>
      <c r="U917" s="9" t="n">
        <f aca="false">IFERROR(M917/S917,0)</f>
        <v>1</v>
      </c>
      <c r="V917" s="5" t="n">
        <v>1</v>
      </c>
    </row>
    <row r="918" customFormat="false" ht="15" hidden="false" customHeight="false" outlineLevel="0" collapsed="false">
      <c r="A918" s="8" t="s">
        <v>87</v>
      </c>
      <c r="B918" s="8" t="s">
        <v>23</v>
      </c>
      <c r="C918" s="8" t="s">
        <v>1412</v>
      </c>
      <c r="D918" s="8" t="n">
        <v>143103</v>
      </c>
      <c r="E918" s="8" t="s">
        <v>1567</v>
      </c>
      <c r="F918" s="8" t="s">
        <v>829</v>
      </c>
      <c r="G918" s="8" t="s">
        <v>970</v>
      </c>
      <c r="H918" s="8" t="s">
        <v>51</v>
      </c>
      <c r="I918" s="8" t="s">
        <v>88</v>
      </c>
      <c r="J918" s="4" t="n">
        <v>1790000</v>
      </c>
      <c r="K918" s="4" t="n">
        <v>1541000</v>
      </c>
      <c r="L918" s="5" t="n">
        <v>0.13966</v>
      </c>
      <c r="M918" s="4" t="n">
        <v>1</v>
      </c>
      <c r="N918" s="4" t="n">
        <v>0</v>
      </c>
      <c r="O918" s="4" t="n">
        <v>0</v>
      </c>
      <c r="P918" s="4" t="n">
        <v>0</v>
      </c>
      <c r="Q918" s="4" t="n">
        <v>0</v>
      </c>
      <c r="R918" s="4" t="n">
        <f aca="false">M918+N918+O918+P918+Q918</f>
        <v>1</v>
      </c>
      <c r="S918" s="4" t="n">
        <v>1</v>
      </c>
      <c r="T918" s="4" t="n">
        <f aca="false">R918*K918</f>
        <v>1541000</v>
      </c>
      <c r="U918" s="9" t="n">
        <f aca="false">IFERROR(M918/S918,0)</f>
        <v>1</v>
      </c>
      <c r="V918" s="5" t="n">
        <v>1</v>
      </c>
    </row>
    <row r="919" customFormat="false" ht="15" hidden="false" customHeight="false" outlineLevel="0" collapsed="false">
      <c r="A919" s="8" t="s">
        <v>87</v>
      </c>
      <c r="B919" s="8" t="s">
        <v>23</v>
      </c>
      <c r="C919" s="8" t="s">
        <v>1412</v>
      </c>
      <c r="D919" s="8" t="n">
        <v>143105</v>
      </c>
      <c r="E919" s="8" t="s">
        <v>1568</v>
      </c>
      <c r="F919" s="8" t="s">
        <v>829</v>
      </c>
      <c r="G919" s="8" t="s">
        <v>970</v>
      </c>
      <c r="H919" s="8" t="s">
        <v>51</v>
      </c>
      <c r="I919" s="8" t="s">
        <v>88</v>
      </c>
      <c r="J919" s="4" t="n">
        <v>1790000</v>
      </c>
      <c r="K919" s="4" t="n">
        <v>1541000</v>
      </c>
      <c r="L919" s="5" t="n">
        <v>0.13966</v>
      </c>
      <c r="M919" s="4" t="n">
        <v>1</v>
      </c>
      <c r="N919" s="4" t="n">
        <v>0</v>
      </c>
      <c r="O919" s="4" t="n">
        <v>0</v>
      </c>
      <c r="P919" s="4" t="n">
        <v>0</v>
      </c>
      <c r="Q919" s="4" t="n">
        <v>0</v>
      </c>
      <c r="R919" s="4" t="n">
        <f aca="false">M919+N919+O919+P919+Q919</f>
        <v>1</v>
      </c>
      <c r="S919" s="4" t="n">
        <v>1</v>
      </c>
      <c r="T919" s="4" t="n">
        <f aca="false">R919*K919</f>
        <v>1541000</v>
      </c>
      <c r="U919" s="9" t="n">
        <f aca="false">IFERROR(M919/S919,0)</f>
        <v>1</v>
      </c>
      <c r="V919" s="5" t="n">
        <v>1</v>
      </c>
    </row>
    <row r="920" customFormat="false" ht="15" hidden="false" customHeight="false" outlineLevel="0" collapsed="false">
      <c r="A920" s="8" t="s">
        <v>87</v>
      </c>
      <c r="B920" s="8" t="s">
        <v>23</v>
      </c>
      <c r="C920" s="8" t="s">
        <v>1412</v>
      </c>
      <c r="D920" s="8" t="n">
        <v>143109</v>
      </c>
      <c r="E920" s="8" t="s">
        <v>1569</v>
      </c>
      <c r="F920" s="8" t="s">
        <v>829</v>
      </c>
      <c r="G920" s="8" t="s">
        <v>970</v>
      </c>
      <c r="H920" s="8" t="s">
        <v>51</v>
      </c>
      <c r="I920" s="8" t="s">
        <v>88</v>
      </c>
      <c r="J920" s="4" t="n">
        <v>1790000</v>
      </c>
      <c r="K920" s="4" t="n">
        <v>1541000</v>
      </c>
      <c r="L920" s="5" t="n">
        <v>0.13966</v>
      </c>
      <c r="M920" s="4" t="n">
        <v>1</v>
      </c>
      <c r="N920" s="4" t="n">
        <v>0</v>
      </c>
      <c r="O920" s="4" t="n">
        <v>0</v>
      </c>
      <c r="P920" s="4" t="n">
        <v>0</v>
      </c>
      <c r="Q920" s="4" t="n">
        <v>0</v>
      </c>
      <c r="R920" s="4" t="n">
        <f aca="false">M920+N920+O920+P920+Q920</f>
        <v>1</v>
      </c>
      <c r="S920" s="4" t="n">
        <v>1</v>
      </c>
      <c r="T920" s="4" t="n">
        <f aca="false">R920*K920</f>
        <v>1541000</v>
      </c>
      <c r="U920" s="9" t="n">
        <f aca="false">IFERROR(M920/S920,0)</f>
        <v>1</v>
      </c>
      <c r="V920" s="5" t="n">
        <v>1</v>
      </c>
    </row>
    <row r="921" customFormat="false" ht="15" hidden="false" customHeight="false" outlineLevel="0" collapsed="false">
      <c r="A921" s="8" t="s">
        <v>87</v>
      </c>
      <c r="B921" s="8" t="s">
        <v>23</v>
      </c>
      <c r="C921" s="8" t="s">
        <v>1412</v>
      </c>
      <c r="D921" s="8" t="n">
        <v>143111</v>
      </c>
      <c r="E921" s="8" t="s">
        <v>1570</v>
      </c>
      <c r="F921" s="8" t="s">
        <v>829</v>
      </c>
      <c r="G921" s="8" t="s">
        <v>970</v>
      </c>
      <c r="H921" s="8" t="s">
        <v>51</v>
      </c>
      <c r="I921" s="8" t="s">
        <v>88</v>
      </c>
      <c r="J921" s="4" t="n">
        <v>1790000</v>
      </c>
      <c r="K921" s="4" t="n">
        <v>1541000</v>
      </c>
      <c r="L921" s="5" t="n">
        <v>0.13966</v>
      </c>
      <c r="M921" s="4" t="n">
        <v>1</v>
      </c>
      <c r="N921" s="4" t="n">
        <v>0</v>
      </c>
      <c r="O921" s="4" t="n">
        <v>0</v>
      </c>
      <c r="P921" s="4" t="n">
        <v>0</v>
      </c>
      <c r="Q921" s="4" t="n">
        <v>0</v>
      </c>
      <c r="R921" s="4" t="n">
        <f aca="false">M921+N921+O921+P921+Q921</f>
        <v>1</v>
      </c>
      <c r="S921" s="4" t="n">
        <v>1</v>
      </c>
      <c r="T921" s="4" t="n">
        <f aca="false">R921*K921</f>
        <v>1541000</v>
      </c>
      <c r="U921" s="9" t="n">
        <f aca="false">IFERROR(M921/S921,0)</f>
        <v>1</v>
      </c>
      <c r="V921" s="5" t="n">
        <v>1</v>
      </c>
    </row>
    <row r="922" customFormat="false" ht="15" hidden="false" customHeight="false" outlineLevel="0" collapsed="false">
      <c r="A922" s="8" t="s">
        <v>87</v>
      </c>
      <c r="B922" s="8" t="s">
        <v>23</v>
      </c>
      <c r="C922" s="8" t="s">
        <v>1412</v>
      </c>
      <c r="D922" s="8" t="n">
        <v>143113</v>
      </c>
      <c r="E922" s="8" t="s">
        <v>1571</v>
      </c>
      <c r="F922" s="8" t="s">
        <v>829</v>
      </c>
      <c r="G922" s="8" t="s">
        <v>970</v>
      </c>
      <c r="H922" s="8" t="s">
        <v>51</v>
      </c>
      <c r="I922" s="8" t="s">
        <v>88</v>
      </c>
      <c r="J922" s="4" t="n">
        <v>1295000</v>
      </c>
      <c r="K922" s="4" t="n">
        <v>1046000</v>
      </c>
      <c r="L922" s="5" t="n">
        <v>0.19305</v>
      </c>
      <c r="M922" s="4" t="n">
        <v>1</v>
      </c>
      <c r="N922" s="4" t="n">
        <v>0</v>
      </c>
      <c r="O922" s="4" t="n">
        <v>0</v>
      </c>
      <c r="P922" s="4" t="n">
        <v>0</v>
      </c>
      <c r="Q922" s="4" t="n">
        <v>0</v>
      </c>
      <c r="R922" s="4" t="n">
        <f aca="false">M922+N922+O922+P922+Q922</f>
        <v>1</v>
      </c>
      <c r="S922" s="4" t="n">
        <v>1</v>
      </c>
      <c r="T922" s="4" t="n">
        <f aca="false">R922*K922</f>
        <v>1046000</v>
      </c>
      <c r="U922" s="9" t="n">
        <f aca="false">IFERROR(M922/S922,0)</f>
        <v>1</v>
      </c>
      <c r="V922" s="5" t="n">
        <v>1</v>
      </c>
    </row>
    <row r="923" customFormat="false" ht="15" hidden="false" customHeight="false" outlineLevel="0" collapsed="false">
      <c r="A923" s="8" t="s">
        <v>87</v>
      </c>
      <c r="B923" s="8" t="s">
        <v>23</v>
      </c>
      <c r="C923" s="8" t="s">
        <v>1412</v>
      </c>
      <c r="D923" s="8" t="n">
        <v>143117</v>
      </c>
      <c r="E923" s="8" t="s">
        <v>1572</v>
      </c>
      <c r="F923" s="8" t="s">
        <v>829</v>
      </c>
      <c r="G923" s="8" t="s">
        <v>970</v>
      </c>
      <c r="H923" s="8" t="s">
        <v>51</v>
      </c>
      <c r="I923" s="8" t="s">
        <v>88</v>
      </c>
      <c r="J923" s="4" t="n">
        <v>1295000</v>
      </c>
      <c r="K923" s="4" t="n">
        <v>1046000</v>
      </c>
      <c r="L923" s="5" t="n">
        <v>0.19305</v>
      </c>
      <c r="M923" s="4" t="n">
        <v>1</v>
      </c>
      <c r="N923" s="4" t="n">
        <v>0</v>
      </c>
      <c r="O923" s="4" t="n">
        <v>0</v>
      </c>
      <c r="P923" s="4" t="n">
        <v>0</v>
      </c>
      <c r="Q923" s="4" t="n">
        <v>0</v>
      </c>
      <c r="R923" s="4" t="n">
        <f aca="false">M923+N923+O923+P923+Q923</f>
        <v>1</v>
      </c>
      <c r="S923" s="4" t="n">
        <v>1</v>
      </c>
      <c r="T923" s="4" t="n">
        <f aca="false">R923*K923</f>
        <v>1046000</v>
      </c>
      <c r="U923" s="9" t="n">
        <f aca="false">IFERROR(M923/S923,0)</f>
        <v>1</v>
      </c>
      <c r="V923" s="5" t="n">
        <v>1</v>
      </c>
    </row>
    <row r="924" customFormat="false" ht="15" hidden="false" customHeight="false" outlineLevel="0" collapsed="false">
      <c r="A924" s="8" t="s">
        <v>87</v>
      </c>
      <c r="B924" s="8" t="s">
        <v>23</v>
      </c>
      <c r="C924" s="8" t="s">
        <v>1412</v>
      </c>
      <c r="D924" s="8" t="n">
        <v>143118</v>
      </c>
      <c r="E924" s="8" t="s">
        <v>1573</v>
      </c>
      <c r="F924" s="8" t="s">
        <v>829</v>
      </c>
      <c r="G924" s="8" t="s">
        <v>970</v>
      </c>
      <c r="H924" s="8" t="s">
        <v>51</v>
      </c>
      <c r="I924" s="8" t="s">
        <v>88</v>
      </c>
      <c r="J924" s="4" t="n">
        <v>1295000</v>
      </c>
      <c r="K924" s="4" t="n">
        <v>1046000</v>
      </c>
      <c r="L924" s="5" t="n">
        <v>0.19305</v>
      </c>
      <c r="M924" s="4" t="n">
        <v>1</v>
      </c>
      <c r="N924" s="4" t="n">
        <v>0</v>
      </c>
      <c r="O924" s="4" t="n">
        <v>0</v>
      </c>
      <c r="P924" s="4" t="n">
        <v>0</v>
      </c>
      <c r="Q924" s="4" t="n">
        <v>0</v>
      </c>
      <c r="R924" s="4" t="n">
        <f aca="false">M924+N924+O924+P924+Q924</f>
        <v>1</v>
      </c>
      <c r="S924" s="4" t="n">
        <v>1</v>
      </c>
      <c r="T924" s="4" t="n">
        <f aca="false">R924*K924</f>
        <v>1046000</v>
      </c>
      <c r="U924" s="9" t="n">
        <f aca="false">IFERROR(M924/S924,0)</f>
        <v>1</v>
      </c>
      <c r="V924" s="5" t="n">
        <v>1</v>
      </c>
    </row>
    <row r="925" customFormat="false" ht="15" hidden="false" customHeight="false" outlineLevel="0" collapsed="false">
      <c r="A925" s="8" t="s">
        <v>87</v>
      </c>
      <c r="B925" s="8" t="s">
        <v>23</v>
      </c>
      <c r="C925" s="8" t="s">
        <v>1412</v>
      </c>
      <c r="D925" s="8" t="n">
        <v>143120</v>
      </c>
      <c r="E925" s="8" t="s">
        <v>1574</v>
      </c>
      <c r="F925" s="8" t="s">
        <v>829</v>
      </c>
      <c r="G925" s="8" t="s">
        <v>970</v>
      </c>
      <c r="H925" s="8" t="s">
        <v>51</v>
      </c>
      <c r="I925" s="8" t="s">
        <v>88</v>
      </c>
      <c r="J925" s="4" t="n">
        <v>1295000</v>
      </c>
      <c r="K925" s="4" t="n">
        <v>1046000</v>
      </c>
      <c r="L925" s="5" t="n">
        <v>0.19305</v>
      </c>
      <c r="M925" s="4" t="n">
        <v>1</v>
      </c>
      <c r="N925" s="4" t="n">
        <v>0</v>
      </c>
      <c r="O925" s="4" t="n">
        <v>0</v>
      </c>
      <c r="P925" s="4" t="n">
        <v>0</v>
      </c>
      <c r="Q925" s="4" t="n">
        <v>0</v>
      </c>
      <c r="R925" s="4" t="n">
        <f aca="false">M925+N925+O925+P925+Q925</f>
        <v>1</v>
      </c>
      <c r="S925" s="4" t="n">
        <v>1</v>
      </c>
      <c r="T925" s="4" t="n">
        <f aca="false">R925*K925</f>
        <v>1046000</v>
      </c>
      <c r="U925" s="9" t="n">
        <f aca="false">IFERROR(M925/S925,0)</f>
        <v>1</v>
      </c>
      <c r="V925" s="5" t="n">
        <v>1</v>
      </c>
    </row>
    <row r="926" customFormat="false" ht="15" hidden="false" customHeight="false" outlineLevel="0" collapsed="false">
      <c r="A926" s="8" t="s">
        <v>87</v>
      </c>
      <c r="B926" s="8" t="s">
        <v>23</v>
      </c>
      <c r="C926" s="8" t="s">
        <v>1412</v>
      </c>
      <c r="D926" s="8" t="n">
        <v>143121</v>
      </c>
      <c r="E926" s="8" t="s">
        <v>1575</v>
      </c>
      <c r="F926" s="8" t="s">
        <v>829</v>
      </c>
      <c r="G926" s="8" t="s">
        <v>970</v>
      </c>
      <c r="H926" s="8" t="s">
        <v>51</v>
      </c>
      <c r="I926" s="8" t="s">
        <v>88</v>
      </c>
      <c r="J926" s="4" t="n">
        <v>1295000</v>
      </c>
      <c r="K926" s="4" t="n">
        <v>1046000</v>
      </c>
      <c r="L926" s="5" t="n">
        <v>0.19305</v>
      </c>
      <c r="M926" s="4" t="n">
        <v>1</v>
      </c>
      <c r="N926" s="4" t="n">
        <v>0</v>
      </c>
      <c r="O926" s="4" t="n">
        <v>0</v>
      </c>
      <c r="P926" s="4" t="n">
        <v>0</v>
      </c>
      <c r="Q926" s="4" t="n">
        <v>0</v>
      </c>
      <c r="R926" s="4" t="n">
        <f aca="false">M926+N926+O926+P926+Q926</f>
        <v>1</v>
      </c>
      <c r="S926" s="4" t="n">
        <v>1</v>
      </c>
      <c r="T926" s="4" t="n">
        <f aca="false">R926*K926</f>
        <v>1046000</v>
      </c>
      <c r="U926" s="9" t="n">
        <f aca="false">IFERROR(M926/S926,0)</f>
        <v>1</v>
      </c>
      <c r="V926" s="5" t="n">
        <v>1</v>
      </c>
    </row>
    <row r="927" customFormat="false" ht="15" hidden="false" customHeight="false" outlineLevel="0" collapsed="false">
      <c r="A927" s="8" t="s">
        <v>87</v>
      </c>
      <c r="B927" s="8" t="s">
        <v>23</v>
      </c>
      <c r="C927" s="8" t="s">
        <v>1412</v>
      </c>
      <c r="D927" s="8" t="n">
        <v>143125</v>
      </c>
      <c r="E927" s="8" t="s">
        <v>1576</v>
      </c>
      <c r="F927" s="8" t="s">
        <v>829</v>
      </c>
      <c r="G927" s="8" t="s">
        <v>970</v>
      </c>
      <c r="H927" s="8" t="s">
        <v>51</v>
      </c>
      <c r="I927" s="8" t="s">
        <v>88</v>
      </c>
      <c r="J927" s="4" t="n">
        <v>1295000</v>
      </c>
      <c r="K927" s="4" t="n">
        <v>1046000</v>
      </c>
      <c r="L927" s="5" t="n">
        <v>0.19305</v>
      </c>
      <c r="M927" s="4" t="n">
        <v>1</v>
      </c>
      <c r="N927" s="4" t="n">
        <v>0</v>
      </c>
      <c r="O927" s="4" t="n">
        <v>0</v>
      </c>
      <c r="P927" s="4" t="n">
        <v>0</v>
      </c>
      <c r="Q927" s="4" t="n">
        <v>0</v>
      </c>
      <c r="R927" s="4" t="n">
        <f aca="false">M927+N927+O927+P927+Q927</f>
        <v>1</v>
      </c>
      <c r="S927" s="4" t="n">
        <v>1</v>
      </c>
      <c r="T927" s="4" t="n">
        <f aca="false">R927*K927</f>
        <v>1046000</v>
      </c>
      <c r="U927" s="9" t="n">
        <f aca="false">IFERROR(M927/S927,0)</f>
        <v>1</v>
      </c>
      <c r="V927" s="5" t="n">
        <v>1</v>
      </c>
    </row>
    <row r="928" customFormat="false" ht="15" hidden="false" customHeight="false" outlineLevel="0" collapsed="false">
      <c r="A928" s="8" t="s">
        <v>87</v>
      </c>
      <c r="B928" s="8" t="s">
        <v>23</v>
      </c>
      <c r="C928" s="8" t="s">
        <v>1412</v>
      </c>
      <c r="D928" s="8" t="n">
        <v>143128</v>
      </c>
      <c r="E928" s="8" t="s">
        <v>1577</v>
      </c>
      <c r="F928" s="8" t="s">
        <v>829</v>
      </c>
      <c r="G928" s="8" t="s">
        <v>970</v>
      </c>
      <c r="H928" s="8" t="s">
        <v>51</v>
      </c>
      <c r="I928" s="8" t="s">
        <v>88</v>
      </c>
      <c r="J928" s="4" t="n">
        <v>1295000</v>
      </c>
      <c r="K928" s="4" t="n">
        <v>1046000</v>
      </c>
      <c r="L928" s="5" t="n">
        <v>0.19305</v>
      </c>
      <c r="M928" s="4" t="n">
        <v>1</v>
      </c>
      <c r="N928" s="4" t="n">
        <v>0</v>
      </c>
      <c r="O928" s="4" t="n">
        <v>0</v>
      </c>
      <c r="P928" s="4" t="n">
        <v>0</v>
      </c>
      <c r="Q928" s="4" t="n">
        <v>0</v>
      </c>
      <c r="R928" s="4" t="n">
        <f aca="false">M928+N928+O928+P928+Q928</f>
        <v>1</v>
      </c>
      <c r="S928" s="4" t="n">
        <v>1</v>
      </c>
      <c r="T928" s="4" t="n">
        <f aca="false">R928*K928</f>
        <v>1046000</v>
      </c>
      <c r="U928" s="9" t="n">
        <f aca="false">IFERROR(M928/S928,0)</f>
        <v>1</v>
      </c>
      <c r="V928" s="5" t="n">
        <v>1</v>
      </c>
    </row>
    <row r="929" customFormat="false" ht="15" hidden="false" customHeight="false" outlineLevel="0" collapsed="false">
      <c r="A929" s="8" t="s">
        <v>87</v>
      </c>
      <c r="B929" s="8" t="s">
        <v>23</v>
      </c>
      <c r="C929" s="8" t="s">
        <v>1412</v>
      </c>
      <c r="D929" s="8" t="n">
        <v>143130</v>
      </c>
      <c r="E929" s="8" t="s">
        <v>1578</v>
      </c>
      <c r="F929" s="8" t="s">
        <v>829</v>
      </c>
      <c r="G929" s="8" t="s">
        <v>970</v>
      </c>
      <c r="H929" s="8" t="s">
        <v>51</v>
      </c>
      <c r="I929" s="8" t="s">
        <v>88</v>
      </c>
      <c r="J929" s="4" t="n">
        <v>1295000</v>
      </c>
      <c r="K929" s="4" t="n">
        <v>1046000</v>
      </c>
      <c r="L929" s="5" t="n">
        <v>0.19305</v>
      </c>
      <c r="M929" s="4" t="n">
        <v>1</v>
      </c>
      <c r="N929" s="4" t="n">
        <v>0</v>
      </c>
      <c r="O929" s="4" t="n">
        <v>0</v>
      </c>
      <c r="P929" s="4" t="n">
        <v>0</v>
      </c>
      <c r="Q929" s="4" t="n">
        <v>0</v>
      </c>
      <c r="R929" s="4" t="n">
        <f aca="false">M929+N929+O929+P929+Q929</f>
        <v>1</v>
      </c>
      <c r="S929" s="4" t="n">
        <v>1</v>
      </c>
      <c r="T929" s="4" t="n">
        <f aca="false">R929*K929</f>
        <v>1046000</v>
      </c>
      <c r="U929" s="9" t="n">
        <f aca="false">IFERROR(M929/S929,0)</f>
        <v>1</v>
      </c>
      <c r="V929" s="5" t="n">
        <v>1</v>
      </c>
    </row>
    <row r="930" customFormat="false" ht="15" hidden="false" customHeight="false" outlineLevel="0" collapsed="false">
      <c r="A930" s="8" t="s">
        <v>87</v>
      </c>
      <c r="B930" s="8" t="s">
        <v>23</v>
      </c>
      <c r="C930" s="8" t="s">
        <v>1412</v>
      </c>
      <c r="D930" s="8" t="n">
        <v>143133</v>
      </c>
      <c r="E930" s="8" t="s">
        <v>1579</v>
      </c>
      <c r="F930" s="8" t="s">
        <v>829</v>
      </c>
      <c r="G930" s="8" t="s">
        <v>970</v>
      </c>
      <c r="H930" s="8" t="s">
        <v>51</v>
      </c>
      <c r="I930" s="8" t="s">
        <v>88</v>
      </c>
      <c r="J930" s="4" t="n">
        <v>1295000</v>
      </c>
      <c r="K930" s="4" t="n">
        <v>1046000</v>
      </c>
      <c r="L930" s="5" t="n">
        <v>0.19305</v>
      </c>
      <c r="M930" s="4" t="n">
        <v>1</v>
      </c>
      <c r="N930" s="4" t="n">
        <v>0</v>
      </c>
      <c r="O930" s="4" t="n">
        <v>0</v>
      </c>
      <c r="P930" s="4" t="n">
        <v>0</v>
      </c>
      <c r="Q930" s="4" t="n">
        <v>0</v>
      </c>
      <c r="R930" s="4" t="n">
        <f aca="false">M930+N930+O930+P930+Q930</f>
        <v>1</v>
      </c>
      <c r="S930" s="4" t="n">
        <v>1</v>
      </c>
      <c r="T930" s="4" t="n">
        <f aca="false">R930*K930</f>
        <v>1046000</v>
      </c>
      <c r="U930" s="9" t="n">
        <f aca="false">IFERROR(M930/S930,0)</f>
        <v>1</v>
      </c>
      <c r="V930" s="5" t="n">
        <v>1</v>
      </c>
    </row>
    <row r="931" customFormat="false" ht="15" hidden="false" customHeight="false" outlineLevel="0" collapsed="false">
      <c r="A931" s="8" t="s">
        <v>87</v>
      </c>
      <c r="B931" s="8" t="s">
        <v>23</v>
      </c>
      <c r="C931" s="8" t="s">
        <v>1412</v>
      </c>
      <c r="D931" s="8" t="n">
        <v>143134</v>
      </c>
      <c r="E931" s="8" t="s">
        <v>1580</v>
      </c>
      <c r="F931" s="8" t="s">
        <v>829</v>
      </c>
      <c r="G931" s="8" t="s">
        <v>970</v>
      </c>
      <c r="H931" s="8" t="s">
        <v>51</v>
      </c>
      <c r="I931" s="8" t="s">
        <v>88</v>
      </c>
      <c r="J931" s="4" t="n">
        <v>1295000</v>
      </c>
      <c r="K931" s="4" t="n">
        <v>1046000</v>
      </c>
      <c r="L931" s="5" t="n">
        <v>0.19305</v>
      </c>
      <c r="M931" s="4" t="n">
        <v>1</v>
      </c>
      <c r="N931" s="4" t="n">
        <v>0</v>
      </c>
      <c r="O931" s="4" t="n">
        <v>0</v>
      </c>
      <c r="P931" s="4" t="n">
        <v>0</v>
      </c>
      <c r="Q931" s="4" t="n">
        <v>0</v>
      </c>
      <c r="R931" s="4" t="n">
        <f aca="false">M931+N931+O931+P931+Q931</f>
        <v>1</v>
      </c>
      <c r="S931" s="4" t="n">
        <v>1</v>
      </c>
      <c r="T931" s="4" t="n">
        <f aca="false">R931*K931</f>
        <v>1046000</v>
      </c>
      <c r="U931" s="9" t="n">
        <f aca="false">IFERROR(M931/S931,0)</f>
        <v>1</v>
      </c>
      <c r="V931" s="5" t="n">
        <v>1</v>
      </c>
    </row>
    <row r="932" customFormat="false" ht="15" hidden="false" customHeight="false" outlineLevel="0" collapsed="false">
      <c r="A932" s="8" t="s">
        <v>87</v>
      </c>
      <c r="B932" s="8" t="s">
        <v>23</v>
      </c>
      <c r="C932" s="8" t="s">
        <v>1412</v>
      </c>
      <c r="D932" s="8" t="n">
        <v>143136</v>
      </c>
      <c r="E932" s="8" t="s">
        <v>1581</v>
      </c>
      <c r="F932" s="8" t="s">
        <v>829</v>
      </c>
      <c r="G932" s="8" t="s">
        <v>970</v>
      </c>
      <c r="H932" s="8" t="s">
        <v>51</v>
      </c>
      <c r="I932" s="8" t="s">
        <v>88</v>
      </c>
      <c r="J932" s="4" t="n">
        <v>1295000</v>
      </c>
      <c r="K932" s="4" t="n">
        <v>1046000</v>
      </c>
      <c r="L932" s="5" t="n">
        <v>0.19305</v>
      </c>
      <c r="M932" s="4" t="n">
        <v>1</v>
      </c>
      <c r="N932" s="4" t="n">
        <v>0</v>
      </c>
      <c r="O932" s="4" t="n">
        <v>0</v>
      </c>
      <c r="P932" s="4" t="n">
        <v>0</v>
      </c>
      <c r="Q932" s="4" t="n">
        <v>0</v>
      </c>
      <c r="R932" s="4" t="n">
        <f aca="false">M932+N932+O932+P932+Q932</f>
        <v>1</v>
      </c>
      <c r="S932" s="4" t="n">
        <v>1</v>
      </c>
      <c r="T932" s="4" t="n">
        <f aca="false">R932*K932</f>
        <v>1046000</v>
      </c>
      <c r="U932" s="9" t="n">
        <f aca="false">IFERROR(M932/S932,0)</f>
        <v>1</v>
      </c>
      <c r="V932" s="5" t="n">
        <v>1</v>
      </c>
    </row>
    <row r="933" customFormat="false" ht="15" hidden="false" customHeight="false" outlineLevel="0" collapsed="false">
      <c r="A933" s="8" t="s">
        <v>87</v>
      </c>
      <c r="B933" s="8" t="s">
        <v>23</v>
      </c>
      <c r="C933" s="8" t="s">
        <v>1412</v>
      </c>
      <c r="D933" s="8" t="n">
        <v>143139</v>
      </c>
      <c r="E933" s="8" t="s">
        <v>1582</v>
      </c>
      <c r="F933" s="8" t="s">
        <v>829</v>
      </c>
      <c r="G933" s="8" t="s">
        <v>970</v>
      </c>
      <c r="H933" s="8" t="s">
        <v>51</v>
      </c>
      <c r="I933" s="8" t="s">
        <v>88</v>
      </c>
      <c r="J933" s="4" t="n">
        <v>1295000</v>
      </c>
      <c r="K933" s="4" t="n">
        <v>1046000</v>
      </c>
      <c r="L933" s="5" t="n">
        <v>0.19305</v>
      </c>
      <c r="M933" s="4" t="n">
        <v>1</v>
      </c>
      <c r="N933" s="4" t="n">
        <v>0</v>
      </c>
      <c r="O933" s="4" t="n">
        <v>0</v>
      </c>
      <c r="P933" s="4" t="n">
        <v>0</v>
      </c>
      <c r="Q933" s="4" t="n">
        <v>0</v>
      </c>
      <c r="R933" s="4" t="n">
        <f aca="false">M933+N933+O933+P933+Q933</f>
        <v>1</v>
      </c>
      <c r="S933" s="4" t="n">
        <v>1</v>
      </c>
      <c r="T933" s="4" t="n">
        <f aca="false">R933*K933</f>
        <v>1046000</v>
      </c>
      <c r="U933" s="9" t="n">
        <f aca="false">IFERROR(M933/S933,0)</f>
        <v>1</v>
      </c>
      <c r="V933" s="5" t="n">
        <v>1</v>
      </c>
    </row>
    <row r="934" customFormat="false" ht="15" hidden="false" customHeight="false" outlineLevel="0" collapsed="false">
      <c r="A934" s="8" t="s">
        <v>87</v>
      </c>
      <c r="B934" s="8" t="s">
        <v>23</v>
      </c>
      <c r="C934" s="8" t="s">
        <v>1412</v>
      </c>
      <c r="D934" s="8" t="n">
        <v>143144</v>
      </c>
      <c r="E934" s="8" t="s">
        <v>1583</v>
      </c>
      <c r="F934" s="8" t="s">
        <v>829</v>
      </c>
      <c r="G934" s="8" t="s">
        <v>970</v>
      </c>
      <c r="H934" s="8" t="s">
        <v>51</v>
      </c>
      <c r="I934" s="8" t="s">
        <v>88</v>
      </c>
      <c r="J934" s="4" t="n">
        <v>1295000</v>
      </c>
      <c r="K934" s="4" t="n">
        <v>1046000</v>
      </c>
      <c r="L934" s="5" t="n">
        <v>0.19305</v>
      </c>
      <c r="M934" s="4" t="n">
        <v>1</v>
      </c>
      <c r="N934" s="4" t="n">
        <v>0</v>
      </c>
      <c r="O934" s="4" t="n">
        <v>0</v>
      </c>
      <c r="P934" s="4" t="n">
        <v>0</v>
      </c>
      <c r="Q934" s="4" t="n">
        <v>0</v>
      </c>
      <c r="R934" s="4" t="n">
        <f aca="false">M934+N934+O934+P934+Q934</f>
        <v>1</v>
      </c>
      <c r="S934" s="4" t="n">
        <v>1</v>
      </c>
      <c r="T934" s="4" t="n">
        <f aca="false">R934*K934</f>
        <v>1046000</v>
      </c>
      <c r="U934" s="9" t="n">
        <f aca="false">IFERROR(M934/S934,0)</f>
        <v>1</v>
      </c>
      <c r="V934" s="5" t="n">
        <v>1</v>
      </c>
    </row>
    <row r="935" customFormat="false" ht="15" hidden="false" customHeight="false" outlineLevel="0" collapsed="false">
      <c r="A935" s="8" t="s">
        <v>87</v>
      </c>
      <c r="B935" s="8" t="s">
        <v>23</v>
      </c>
      <c r="C935" s="8" t="s">
        <v>1412</v>
      </c>
      <c r="D935" s="8" t="n">
        <v>143146</v>
      </c>
      <c r="E935" s="8" t="s">
        <v>1584</v>
      </c>
      <c r="F935" s="8" t="s">
        <v>829</v>
      </c>
      <c r="G935" s="8" t="s">
        <v>970</v>
      </c>
      <c r="H935" s="8" t="s">
        <v>51</v>
      </c>
      <c r="I935" s="8" t="s">
        <v>88</v>
      </c>
      <c r="J935" s="4" t="n">
        <v>1295000</v>
      </c>
      <c r="K935" s="4" t="n">
        <v>1046000</v>
      </c>
      <c r="L935" s="5" t="n">
        <v>0.19305</v>
      </c>
      <c r="M935" s="4" t="n">
        <v>1</v>
      </c>
      <c r="N935" s="4" t="n">
        <v>0</v>
      </c>
      <c r="O935" s="4" t="n">
        <v>0</v>
      </c>
      <c r="P935" s="4" t="n">
        <v>0</v>
      </c>
      <c r="Q935" s="4" t="n">
        <v>0</v>
      </c>
      <c r="R935" s="4" t="n">
        <f aca="false">M935+N935+O935+P935+Q935</f>
        <v>1</v>
      </c>
      <c r="S935" s="4" t="n">
        <v>1</v>
      </c>
      <c r="T935" s="4" t="n">
        <f aca="false">R935*K935</f>
        <v>1046000</v>
      </c>
      <c r="U935" s="9" t="n">
        <f aca="false">IFERROR(M935/S935,0)</f>
        <v>1</v>
      </c>
      <c r="V935" s="5" t="n">
        <v>1</v>
      </c>
    </row>
    <row r="936" customFormat="false" ht="15" hidden="false" customHeight="false" outlineLevel="0" collapsed="false">
      <c r="A936" s="8" t="s">
        <v>87</v>
      </c>
      <c r="B936" s="8" t="s">
        <v>23</v>
      </c>
      <c r="C936" s="8" t="s">
        <v>1412</v>
      </c>
      <c r="D936" s="8" t="n">
        <v>143147</v>
      </c>
      <c r="E936" s="8" t="s">
        <v>1585</v>
      </c>
      <c r="F936" s="8" t="s">
        <v>829</v>
      </c>
      <c r="G936" s="8" t="s">
        <v>970</v>
      </c>
      <c r="H936" s="8" t="s">
        <v>51</v>
      </c>
      <c r="I936" s="8" t="s">
        <v>88</v>
      </c>
      <c r="J936" s="4" t="n">
        <v>1295000</v>
      </c>
      <c r="K936" s="4" t="n">
        <v>1046000</v>
      </c>
      <c r="L936" s="5" t="n">
        <v>0.19305</v>
      </c>
      <c r="M936" s="4" t="n">
        <v>1</v>
      </c>
      <c r="N936" s="4" t="n">
        <v>0</v>
      </c>
      <c r="O936" s="4" t="n">
        <v>0</v>
      </c>
      <c r="P936" s="4" t="n">
        <v>0</v>
      </c>
      <c r="Q936" s="4" t="n">
        <v>0</v>
      </c>
      <c r="R936" s="4" t="n">
        <f aca="false">M936+N936+O936+P936+Q936</f>
        <v>1</v>
      </c>
      <c r="S936" s="4" t="n">
        <v>1</v>
      </c>
      <c r="T936" s="4" t="n">
        <f aca="false">R936*K936</f>
        <v>1046000</v>
      </c>
      <c r="U936" s="9" t="n">
        <f aca="false">IFERROR(M936/S936,0)</f>
        <v>1</v>
      </c>
      <c r="V936" s="5" t="n">
        <v>1</v>
      </c>
    </row>
    <row r="937" customFormat="false" ht="15" hidden="false" customHeight="false" outlineLevel="0" collapsed="false">
      <c r="A937" s="8" t="s">
        <v>87</v>
      </c>
      <c r="B937" s="8" t="s">
        <v>23</v>
      </c>
      <c r="C937" s="8" t="s">
        <v>1412</v>
      </c>
      <c r="D937" s="8" t="n">
        <v>143154</v>
      </c>
      <c r="E937" s="8" t="s">
        <v>1586</v>
      </c>
      <c r="F937" s="8" t="s">
        <v>829</v>
      </c>
      <c r="G937" s="8" t="s">
        <v>970</v>
      </c>
      <c r="H937" s="8" t="s">
        <v>51</v>
      </c>
      <c r="I937" s="8" t="s">
        <v>88</v>
      </c>
      <c r="J937" s="4" t="n">
        <v>1295000</v>
      </c>
      <c r="K937" s="4" t="n">
        <v>1046000</v>
      </c>
      <c r="L937" s="5" t="n">
        <v>0.19305</v>
      </c>
      <c r="M937" s="4" t="n">
        <v>1</v>
      </c>
      <c r="N937" s="4" t="n">
        <v>0</v>
      </c>
      <c r="O937" s="4" t="n">
        <v>0</v>
      </c>
      <c r="P937" s="4" t="n">
        <v>0</v>
      </c>
      <c r="Q937" s="4" t="n">
        <v>0</v>
      </c>
      <c r="R937" s="4" t="n">
        <f aca="false">M937+N937+O937+P937+Q937</f>
        <v>1</v>
      </c>
      <c r="S937" s="4" t="n">
        <v>1</v>
      </c>
      <c r="T937" s="4" t="n">
        <f aca="false">R937*K937</f>
        <v>1046000</v>
      </c>
      <c r="U937" s="9" t="n">
        <f aca="false">IFERROR(M937/S937,0)</f>
        <v>1</v>
      </c>
      <c r="V937" s="5" t="n">
        <v>1</v>
      </c>
    </row>
    <row r="938" customFormat="false" ht="15" hidden="false" customHeight="false" outlineLevel="0" collapsed="false">
      <c r="A938" s="8" t="s">
        <v>87</v>
      </c>
      <c r="B938" s="8" t="s">
        <v>23</v>
      </c>
      <c r="C938" s="8" t="s">
        <v>1412</v>
      </c>
      <c r="D938" s="8" t="n">
        <v>143156</v>
      </c>
      <c r="E938" s="8" t="s">
        <v>1587</v>
      </c>
      <c r="F938" s="8" t="s">
        <v>829</v>
      </c>
      <c r="G938" s="8" t="s">
        <v>970</v>
      </c>
      <c r="H938" s="8" t="s">
        <v>51</v>
      </c>
      <c r="I938" s="8" t="s">
        <v>88</v>
      </c>
      <c r="J938" s="4" t="n">
        <v>1295000</v>
      </c>
      <c r="K938" s="4" t="n">
        <v>1046000</v>
      </c>
      <c r="L938" s="5" t="n">
        <v>0.19305</v>
      </c>
      <c r="M938" s="4" t="n">
        <v>1</v>
      </c>
      <c r="N938" s="4" t="n">
        <v>0</v>
      </c>
      <c r="O938" s="4" t="n">
        <v>0</v>
      </c>
      <c r="P938" s="4" t="n">
        <v>0</v>
      </c>
      <c r="Q938" s="4" t="n">
        <v>0</v>
      </c>
      <c r="R938" s="4" t="n">
        <f aca="false">M938+N938+O938+P938+Q938</f>
        <v>1</v>
      </c>
      <c r="S938" s="4" t="n">
        <v>1</v>
      </c>
      <c r="T938" s="4" t="n">
        <f aca="false">R938*K938</f>
        <v>1046000</v>
      </c>
      <c r="U938" s="9" t="n">
        <f aca="false">IFERROR(M938/S938,0)</f>
        <v>1</v>
      </c>
      <c r="V938" s="5" t="n">
        <v>1</v>
      </c>
    </row>
    <row r="939" customFormat="false" ht="15" hidden="false" customHeight="false" outlineLevel="0" collapsed="false">
      <c r="A939" s="8" t="s">
        <v>87</v>
      </c>
      <c r="B939" s="8" t="s">
        <v>23</v>
      </c>
      <c r="C939" s="8" t="s">
        <v>1412</v>
      </c>
      <c r="D939" s="8" t="n">
        <v>143201</v>
      </c>
      <c r="E939" s="8" t="s">
        <v>1588</v>
      </c>
      <c r="F939" s="8" t="s">
        <v>829</v>
      </c>
      <c r="G939" s="8" t="s">
        <v>970</v>
      </c>
      <c r="H939" s="8" t="s">
        <v>51</v>
      </c>
      <c r="I939" s="8" t="s">
        <v>88</v>
      </c>
      <c r="J939" s="4" t="n">
        <v>1090000</v>
      </c>
      <c r="K939" s="4" t="n">
        <v>840000</v>
      </c>
      <c r="L939" s="5" t="n">
        <v>0.22936</v>
      </c>
      <c r="M939" s="4" t="n">
        <v>1</v>
      </c>
      <c r="N939" s="4" t="n">
        <v>0</v>
      </c>
      <c r="O939" s="4" t="n">
        <v>0</v>
      </c>
      <c r="P939" s="4" t="n">
        <v>0</v>
      </c>
      <c r="Q939" s="4" t="n">
        <v>0</v>
      </c>
      <c r="R939" s="4" t="n">
        <f aca="false">M939+N939+O939+P939+Q939</f>
        <v>1</v>
      </c>
      <c r="S939" s="4" t="n">
        <v>1</v>
      </c>
      <c r="T939" s="4" t="n">
        <f aca="false">R939*K939</f>
        <v>840000</v>
      </c>
      <c r="U939" s="9" t="n">
        <f aca="false">IFERROR(M939/S939,0)</f>
        <v>1</v>
      </c>
      <c r="V939" s="5" t="n">
        <v>1</v>
      </c>
    </row>
    <row r="940" customFormat="false" ht="15" hidden="false" customHeight="false" outlineLevel="0" collapsed="false">
      <c r="A940" s="8" t="s">
        <v>87</v>
      </c>
      <c r="B940" s="8" t="s">
        <v>23</v>
      </c>
      <c r="C940" s="8" t="s">
        <v>1412</v>
      </c>
      <c r="D940" s="8" t="n">
        <v>143205</v>
      </c>
      <c r="E940" s="8" t="s">
        <v>1589</v>
      </c>
      <c r="F940" s="8" t="s">
        <v>829</v>
      </c>
      <c r="G940" s="8" t="s">
        <v>970</v>
      </c>
      <c r="H940" s="8" t="s">
        <v>51</v>
      </c>
      <c r="I940" s="8" t="s">
        <v>88</v>
      </c>
      <c r="J940" s="4" t="n">
        <v>1790000</v>
      </c>
      <c r="K940" s="4" t="n">
        <v>1541000</v>
      </c>
      <c r="L940" s="5" t="n">
        <v>0.13966</v>
      </c>
      <c r="M940" s="4" t="n">
        <v>1</v>
      </c>
      <c r="N940" s="4" t="n">
        <v>0</v>
      </c>
      <c r="O940" s="4" t="n">
        <v>0</v>
      </c>
      <c r="P940" s="4" t="n">
        <v>0</v>
      </c>
      <c r="Q940" s="4" t="n">
        <v>0</v>
      </c>
      <c r="R940" s="4" t="n">
        <f aca="false">M940+N940+O940+P940+Q940</f>
        <v>1</v>
      </c>
      <c r="S940" s="4" t="n">
        <v>1</v>
      </c>
      <c r="T940" s="4" t="n">
        <f aca="false">R940*K940</f>
        <v>1541000</v>
      </c>
      <c r="U940" s="9" t="n">
        <f aca="false">IFERROR(M940/S940,0)</f>
        <v>1</v>
      </c>
      <c r="V940" s="5" t="n">
        <v>1</v>
      </c>
    </row>
    <row r="941" customFormat="false" ht="15" hidden="false" customHeight="false" outlineLevel="0" collapsed="false">
      <c r="A941" s="8" t="s">
        <v>87</v>
      </c>
      <c r="B941" s="8" t="s">
        <v>23</v>
      </c>
      <c r="C941" s="8" t="s">
        <v>1412</v>
      </c>
      <c r="D941" s="8" t="n">
        <v>143206</v>
      </c>
      <c r="E941" s="8" t="s">
        <v>1590</v>
      </c>
      <c r="F941" s="8" t="s">
        <v>829</v>
      </c>
      <c r="G941" s="8" t="s">
        <v>970</v>
      </c>
      <c r="H941" s="8" t="s">
        <v>51</v>
      </c>
      <c r="I941" s="8" t="s">
        <v>88</v>
      </c>
      <c r="J941" s="4" t="n">
        <v>1790000</v>
      </c>
      <c r="K941" s="4" t="n">
        <v>1541000</v>
      </c>
      <c r="L941" s="5" t="n">
        <v>0.13966</v>
      </c>
      <c r="M941" s="4" t="n">
        <v>1</v>
      </c>
      <c r="N941" s="4" t="n">
        <v>0</v>
      </c>
      <c r="O941" s="4" t="n">
        <v>0</v>
      </c>
      <c r="P941" s="4" t="n">
        <v>0</v>
      </c>
      <c r="Q941" s="4" t="n">
        <v>0</v>
      </c>
      <c r="R941" s="4" t="n">
        <f aca="false">M941+N941+O941+P941+Q941</f>
        <v>1</v>
      </c>
      <c r="S941" s="4" t="n">
        <v>1</v>
      </c>
      <c r="T941" s="4" t="n">
        <f aca="false">R941*K941</f>
        <v>1541000</v>
      </c>
      <c r="U941" s="9" t="n">
        <f aca="false">IFERROR(M941/S941,0)</f>
        <v>1</v>
      </c>
      <c r="V941" s="5" t="n">
        <v>1</v>
      </c>
    </row>
    <row r="942" customFormat="false" ht="15" hidden="false" customHeight="false" outlineLevel="0" collapsed="false">
      <c r="A942" s="8" t="s">
        <v>87</v>
      </c>
      <c r="B942" s="8" t="s">
        <v>23</v>
      </c>
      <c r="C942" s="8" t="s">
        <v>1412</v>
      </c>
      <c r="D942" s="8" t="n">
        <v>143207</v>
      </c>
      <c r="E942" s="8" t="s">
        <v>1591</v>
      </c>
      <c r="F942" s="8" t="s">
        <v>829</v>
      </c>
      <c r="G942" s="8" t="s">
        <v>970</v>
      </c>
      <c r="H942" s="8" t="s">
        <v>51</v>
      </c>
      <c r="I942" s="8" t="s">
        <v>88</v>
      </c>
      <c r="J942" s="4" t="n">
        <v>1790000</v>
      </c>
      <c r="K942" s="4" t="n">
        <v>1541000</v>
      </c>
      <c r="L942" s="5" t="n">
        <v>0.13966</v>
      </c>
      <c r="M942" s="4" t="n">
        <v>1</v>
      </c>
      <c r="N942" s="4" t="n">
        <v>0</v>
      </c>
      <c r="O942" s="4" t="n">
        <v>0</v>
      </c>
      <c r="P942" s="4" t="n">
        <v>0</v>
      </c>
      <c r="Q942" s="4" t="n">
        <v>0</v>
      </c>
      <c r="R942" s="4" t="n">
        <f aca="false">M942+N942+O942+P942+Q942</f>
        <v>1</v>
      </c>
      <c r="S942" s="4" t="n">
        <v>1</v>
      </c>
      <c r="T942" s="4" t="n">
        <f aca="false">R942*K942</f>
        <v>1541000</v>
      </c>
      <c r="U942" s="9" t="n">
        <f aca="false">IFERROR(M942/S942,0)</f>
        <v>1</v>
      </c>
      <c r="V942" s="5" t="n">
        <v>1</v>
      </c>
    </row>
    <row r="943" customFormat="false" ht="15" hidden="false" customHeight="false" outlineLevel="0" collapsed="false">
      <c r="A943" s="8" t="s">
        <v>87</v>
      </c>
      <c r="B943" s="8" t="s">
        <v>23</v>
      </c>
      <c r="C943" s="8" t="s">
        <v>1412</v>
      </c>
      <c r="D943" s="8" t="n">
        <v>143208</v>
      </c>
      <c r="E943" s="8" t="s">
        <v>1592</v>
      </c>
      <c r="F943" s="8" t="s">
        <v>829</v>
      </c>
      <c r="G943" s="8" t="s">
        <v>970</v>
      </c>
      <c r="H943" s="8" t="s">
        <v>51</v>
      </c>
      <c r="I943" s="8" t="s">
        <v>88</v>
      </c>
      <c r="J943" s="4" t="n">
        <v>1790000</v>
      </c>
      <c r="K943" s="4" t="n">
        <v>1541000</v>
      </c>
      <c r="L943" s="5" t="n">
        <v>0.13966</v>
      </c>
      <c r="M943" s="4" t="n">
        <v>1</v>
      </c>
      <c r="N943" s="4" t="n">
        <v>0</v>
      </c>
      <c r="O943" s="4" t="n">
        <v>0</v>
      </c>
      <c r="P943" s="4" t="n">
        <v>0</v>
      </c>
      <c r="Q943" s="4" t="n">
        <v>0</v>
      </c>
      <c r="R943" s="4" t="n">
        <f aca="false">M943+N943+O943+P943+Q943</f>
        <v>1</v>
      </c>
      <c r="S943" s="4" t="n">
        <v>1</v>
      </c>
      <c r="T943" s="4" t="n">
        <f aca="false">R943*K943</f>
        <v>1541000</v>
      </c>
      <c r="U943" s="9" t="n">
        <f aca="false">IFERROR(M943/S943,0)</f>
        <v>1</v>
      </c>
      <c r="V943" s="5" t="n">
        <v>1</v>
      </c>
    </row>
    <row r="944" customFormat="false" ht="15" hidden="false" customHeight="false" outlineLevel="0" collapsed="false">
      <c r="A944" s="8" t="s">
        <v>87</v>
      </c>
      <c r="B944" s="8" t="s">
        <v>23</v>
      </c>
      <c r="C944" s="8" t="s">
        <v>1412</v>
      </c>
      <c r="D944" s="8" t="n">
        <v>143209</v>
      </c>
      <c r="E944" s="8" t="s">
        <v>1593</v>
      </c>
      <c r="F944" s="8" t="s">
        <v>829</v>
      </c>
      <c r="G944" s="8" t="s">
        <v>970</v>
      </c>
      <c r="H944" s="8" t="s">
        <v>51</v>
      </c>
      <c r="I944" s="8" t="s">
        <v>88</v>
      </c>
      <c r="J944" s="4" t="n">
        <v>1790000</v>
      </c>
      <c r="K944" s="4" t="n">
        <v>1541000</v>
      </c>
      <c r="L944" s="5" t="n">
        <v>0.13966</v>
      </c>
      <c r="M944" s="4" t="n">
        <v>1</v>
      </c>
      <c r="N944" s="4" t="n">
        <v>0</v>
      </c>
      <c r="O944" s="4" t="n">
        <v>0</v>
      </c>
      <c r="P944" s="4" t="n">
        <v>0</v>
      </c>
      <c r="Q944" s="4" t="n">
        <v>0</v>
      </c>
      <c r="R944" s="4" t="n">
        <f aca="false">M944+N944+O944+P944+Q944</f>
        <v>1</v>
      </c>
      <c r="S944" s="4" t="n">
        <v>1</v>
      </c>
      <c r="T944" s="4" t="n">
        <f aca="false">R944*K944</f>
        <v>1541000</v>
      </c>
      <c r="U944" s="9" t="n">
        <f aca="false">IFERROR(M944/S944,0)</f>
        <v>1</v>
      </c>
      <c r="V944" s="5" t="n">
        <v>1</v>
      </c>
    </row>
    <row r="945" customFormat="false" ht="15" hidden="false" customHeight="false" outlineLevel="0" collapsed="false">
      <c r="A945" s="8" t="s">
        <v>87</v>
      </c>
      <c r="B945" s="8" t="s">
        <v>23</v>
      </c>
      <c r="C945" s="8" t="s">
        <v>1412</v>
      </c>
      <c r="D945" s="8" t="n">
        <v>143210</v>
      </c>
      <c r="E945" s="8" t="s">
        <v>1594</v>
      </c>
      <c r="F945" s="8" t="s">
        <v>829</v>
      </c>
      <c r="G945" s="8" t="s">
        <v>970</v>
      </c>
      <c r="H945" s="8" t="s">
        <v>51</v>
      </c>
      <c r="I945" s="8" t="s">
        <v>88</v>
      </c>
      <c r="J945" s="4" t="n">
        <v>1790000</v>
      </c>
      <c r="K945" s="4" t="n">
        <v>1541000</v>
      </c>
      <c r="L945" s="5" t="n">
        <v>0.13966</v>
      </c>
      <c r="M945" s="4" t="n">
        <v>1</v>
      </c>
      <c r="N945" s="4" t="n">
        <v>0</v>
      </c>
      <c r="O945" s="4" t="n">
        <v>0</v>
      </c>
      <c r="P945" s="4" t="n">
        <v>0</v>
      </c>
      <c r="Q945" s="4" t="n">
        <v>0</v>
      </c>
      <c r="R945" s="4" t="n">
        <f aca="false">M945+N945+O945+P945+Q945</f>
        <v>1</v>
      </c>
      <c r="S945" s="4" t="n">
        <v>1</v>
      </c>
      <c r="T945" s="4" t="n">
        <f aca="false">R945*K945</f>
        <v>1541000</v>
      </c>
      <c r="U945" s="9" t="n">
        <f aca="false">IFERROR(M945/S945,0)</f>
        <v>1</v>
      </c>
      <c r="V945" s="5" t="n">
        <v>1</v>
      </c>
    </row>
    <row r="946" customFormat="false" ht="15" hidden="false" customHeight="false" outlineLevel="0" collapsed="false">
      <c r="A946" s="8" t="s">
        <v>87</v>
      </c>
      <c r="B946" s="8" t="s">
        <v>23</v>
      </c>
      <c r="C946" s="8" t="s">
        <v>1412</v>
      </c>
      <c r="D946" s="8" t="n">
        <v>143222</v>
      </c>
      <c r="E946" s="8" t="s">
        <v>1595</v>
      </c>
      <c r="F946" s="8" t="s">
        <v>829</v>
      </c>
      <c r="G946" s="8" t="s">
        <v>970</v>
      </c>
      <c r="H946" s="8" t="s">
        <v>51</v>
      </c>
      <c r="I946" s="8" t="s">
        <v>88</v>
      </c>
      <c r="J946" s="4" t="n">
        <v>1790000</v>
      </c>
      <c r="K946" s="4" t="n">
        <v>1541000</v>
      </c>
      <c r="L946" s="5" t="n">
        <v>0.13966</v>
      </c>
      <c r="M946" s="4" t="n">
        <v>1</v>
      </c>
      <c r="N946" s="4" t="n">
        <v>0</v>
      </c>
      <c r="O946" s="4" t="n">
        <v>0</v>
      </c>
      <c r="P946" s="4" t="n">
        <v>0</v>
      </c>
      <c r="Q946" s="4" t="n">
        <v>0</v>
      </c>
      <c r="R946" s="4" t="n">
        <f aca="false">M946+N946+O946+P946+Q946</f>
        <v>1</v>
      </c>
      <c r="S946" s="4" t="n">
        <v>1</v>
      </c>
      <c r="T946" s="4" t="n">
        <f aca="false">R946*K946</f>
        <v>1541000</v>
      </c>
      <c r="U946" s="9" t="n">
        <f aca="false">IFERROR(M946/S946,0)</f>
        <v>1</v>
      </c>
      <c r="V946" s="5" t="n">
        <v>1</v>
      </c>
    </row>
    <row r="947" customFormat="false" ht="15" hidden="false" customHeight="false" outlineLevel="0" collapsed="false">
      <c r="A947" s="8" t="s">
        <v>87</v>
      </c>
      <c r="B947" s="8" t="s">
        <v>23</v>
      </c>
      <c r="C947" s="8" t="s">
        <v>1412</v>
      </c>
      <c r="D947" s="8" t="n">
        <v>143226</v>
      </c>
      <c r="E947" s="8" t="s">
        <v>1596</v>
      </c>
      <c r="F947" s="8" t="s">
        <v>829</v>
      </c>
      <c r="G947" s="8" t="s">
        <v>970</v>
      </c>
      <c r="H947" s="8" t="s">
        <v>51</v>
      </c>
      <c r="I947" s="8" t="s">
        <v>88</v>
      </c>
      <c r="J947" s="4" t="n">
        <v>1295000</v>
      </c>
      <c r="K947" s="4" t="n">
        <v>1046000</v>
      </c>
      <c r="L947" s="5" t="n">
        <v>0.19305</v>
      </c>
      <c r="M947" s="4" t="n">
        <v>1</v>
      </c>
      <c r="N947" s="4" t="n">
        <v>0</v>
      </c>
      <c r="O947" s="4" t="n">
        <v>0</v>
      </c>
      <c r="P947" s="4" t="n">
        <v>0</v>
      </c>
      <c r="Q947" s="4" t="n">
        <v>0</v>
      </c>
      <c r="R947" s="4" t="n">
        <f aca="false">M947+N947+O947+P947+Q947</f>
        <v>1</v>
      </c>
      <c r="S947" s="4" t="n">
        <v>1</v>
      </c>
      <c r="T947" s="4" t="n">
        <f aca="false">R947*K947</f>
        <v>1046000</v>
      </c>
      <c r="U947" s="9" t="n">
        <f aca="false">IFERROR(M947/S947,0)</f>
        <v>1</v>
      </c>
      <c r="V947" s="5" t="n">
        <v>1</v>
      </c>
    </row>
    <row r="948" customFormat="false" ht="15" hidden="false" customHeight="false" outlineLevel="0" collapsed="false">
      <c r="A948" s="8" t="s">
        <v>87</v>
      </c>
      <c r="B948" s="8" t="s">
        <v>23</v>
      </c>
      <c r="C948" s="8" t="s">
        <v>1412</v>
      </c>
      <c r="D948" s="8" t="n">
        <v>143229</v>
      </c>
      <c r="E948" s="8" t="s">
        <v>1597</v>
      </c>
      <c r="F948" s="8" t="s">
        <v>829</v>
      </c>
      <c r="G948" s="8" t="s">
        <v>970</v>
      </c>
      <c r="H948" s="8" t="s">
        <v>51</v>
      </c>
      <c r="I948" s="8" t="s">
        <v>88</v>
      </c>
      <c r="J948" s="4" t="n">
        <v>1295000</v>
      </c>
      <c r="K948" s="4" t="n">
        <v>1046000</v>
      </c>
      <c r="L948" s="5" t="n">
        <v>0.19305</v>
      </c>
      <c r="M948" s="4" t="n">
        <v>1</v>
      </c>
      <c r="N948" s="4" t="n">
        <v>0</v>
      </c>
      <c r="O948" s="4" t="n">
        <v>0</v>
      </c>
      <c r="P948" s="4" t="n">
        <v>0</v>
      </c>
      <c r="Q948" s="4" t="n">
        <v>0</v>
      </c>
      <c r="R948" s="4" t="n">
        <f aca="false">M948+N948+O948+P948+Q948</f>
        <v>1</v>
      </c>
      <c r="S948" s="4" t="n">
        <v>1</v>
      </c>
      <c r="T948" s="4" t="n">
        <f aca="false">R948*K948</f>
        <v>1046000</v>
      </c>
      <c r="U948" s="9" t="n">
        <f aca="false">IFERROR(M948/S948,0)</f>
        <v>1</v>
      </c>
      <c r="V948" s="5" t="n">
        <v>1</v>
      </c>
    </row>
    <row r="949" customFormat="false" ht="15" hidden="false" customHeight="false" outlineLevel="0" collapsed="false">
      <c r="A949" s="8" t="s">
        <v>87</v>
      </c>
      <c r="B949" s="8" t="s">
        <v>23</v>
      </c>
      <c r="C949" s="8" t="s">
        <v>1412</v>
      </c>
      <c r="D949" s="8" t="n">
        <v>143230</v>
      </c>
      <c r="E949" s="8" t="s">
        <v>1598</v>
      </c>
      <c r="F949" s="8" t="s">
        <v>829</v>
      </c>
      <c r="G949" s="8" t="s">
        <v>970</v>
      </c>
      <c r="H949" s="8" t="s">
        <v>51</v>
      </c>
      <c r="I949" s="8" t="s">
        <v>88</v>
      </c>
      <c r="J949" s="4" t="n">
        <v>1295000</v>
      </c>
      <c r="K949" s="4" t="n">
        <v>1046000</v>
      </c>
      <c r="L949" s="5" t="n">
        <v>0.19305</v>
      </c>
      <c r="M949" s="4" t="n">
        <v>1</v>
      </c>
      <c r="N949" s="4" t="n">
        <v>0</v>
      </c>
      <c r="O949" s="4" t="n">
        <v>0</v>
      </c>
      <c r="P949" s="4" t="n">
        <v>0</v>
      </c>
      <c r="Q949" s="4" t="n">
        <v>0</v>
      </c>
      <c r="R949" s="4" t="n">
        <f aca="false">M949+N949+O949+P949+Q949</f>
        <v>1</v>
      </c>
      <c r="S949" s="4" t="n">
        <v>1</v>
      </c>
      <c r="T949" s="4" t="n">
        <f aca="false">R949*K949</f>
        <v>1046000</v>
      </c>
      <c r="U949" s="9" t="n">
        <f aca="false">IFERROR(M949/S949,0)</f>
        <v>1</v>
      </c>
      <c r="V949" s="5" t="n">
        <v>1</v>
      </c>
    </row>
    <row r="950" customFormat="false" ht="15" hidden="false" customHeight="false" outlineLevel="0" collapsed="false">
      <c r="A950" s="8" t="s">
        <v>87</v>
      </c>
      <c r="B950" s="8" t="s">
        <v>23</v>
      </c>
      <c r="C950" s="8" t="s">
        <v>1412</v>
      </c>
      <c r="D950" s="8" t="n">
        <v>143237</v>
      </c>
      <c r="E950" s="8" t="s">
        <v>1599</v>
      </c>
      <c r="F950" s="8" t="s">
        <v>829</v>
      </c>
      <c r="G950" s="8" t="s">
        <v>970</v>
      </c>
      <c r="H950" s="8" t="s">
        <v>51</v>
      </c>
      <c r="I950" s="8" t="s">
        <v>88</v>
      </c>
      <c r="J950" s="4" t="n">
        <v>1295000</v>
      </c>
      <c r="K950" s="4" t="n">
        <v>1046000</v>
      </c>
      <c r="L950" s="5" t="n">
        <v>0.19305</v>
      </c>
      <c r="M950" s="4" t="n">
        <v>1</v>
      </c>
      <c r="N950" s="4" t="n">
        <v>0</v>
      </c>
      <c r="O950" s="4" t="n">
        <v>0</v>
      </c>
      <c r="P950" s="4" t="n">
        <v>0</v>
      </c>
      <c r="Q950" s="4" t="n">
        <v>0</v>
      </c>
      <c r="R950" s="4" t="n">
        <f aca="false">M950+N950+O950+P950+Q950</f>
        <v>1</v>
      </c>
      <c r="S950" s="4" t="n">
        <v>1</v>
      </c>
      <c r="T950" s="4" t="n">
        <f aca="false">R950*K950</f>
        <v>1046000</v>
      </c>
      <c r="U950" s="9" t="n">
        <f aca="false">IFERROR(M950/S950,0)</f>
        <v>1</v>
      </c>
      <c r="V950" s="5" t="n">
        <v>1</v>
      </c>
    </row>
    <row r="951" customFormat="false" ht="15" hidden="false" customHeight="false" outlineLevel="0" collapsed="false">
      <c r="A951" s="8" t="s">
        <v>87</v>
      </c>
      <c r="B951" s="8" t="s">
        <v>23</v>
      </c>
      <c r="C951" s="8" t="s">
        <v>1412</v>
      </c>
      <c r="D951" s="8" t="n">
        <v>143238</v>
      </c>
      <c r="E951" s="8" t="s">
        <v>1600</v>
      </c>
      <c r="F951" s="8" t="s">
        <v>829</v>
      </c>
      <c r="G951" s="8" t="s">
        <v>970</v>
      </c>
      <c r="H951" s="8" t="s">
        <v>51</v>
      </c>
      <c r="I951" s="8" t="s">
        <v>88</v>
      </c>
      <c r="J951" s="4" t="n">
        <v>1295000</v>
      </c>
      <c r="K951" s="4" t="n">
        <v>1046000</v>
      </c>
      <c r="L951" s="5" t="n">
        <v>0.19305</v>
      </c>
      <c r="M951" s="4" t="n">
        <v>1</v>
      </c>
      <c r="N951" s="4" t="n">
        <v>0</v>
      </c>
      <c r="O951" s="4" t="n">
        <v>0</v>
      </c>
      <c r="P951" s="4" t="n">
        <v>0</v>
      </c>
      <c r="Q951" s="4" t="n">
        <v>0</v>
      </c>
      <c r="R951" s="4" t="n">
        <f aca="false">M951+N951+O951+P951+Q951</f>
        <v>1</v>
      </c>
      <c r="S951" s="4" t="n">
        <v>1</v>
      </c>
      <c r="T951" s="4" t="n">
        <f aca="false">R951*K951</f>
        <v>1046000</v>
      </c>
      <c r="U951" s="9" t="n">
        <f aca="false">IFERROR(M951/S951,0)</f>
        <v>1</v>
      </c>
      <c r="V951" s="5" t="n">
        <v>1</v>
      </c>
    </row>
    <row r="952" customFormat="false" ht="15" hidden="false" customHeight="false" outlineLevel="0" collapsed="false">
      <c r="A952" s="8" t="s">
        <v>87</v>
      </c>
      <c r="B952" s="8" t="s">
        <v>23</v>
      </c>
      <c r="C952" s="8" t="s">
        <v>1412</v>
      </c>
      <c r="D952" s="8" t="n">
        <v>143244</v>
      </c>
      <c r="E952" s="8" t="s">
        <v>1601</v>
      </c>
      <c r="F952" s="8" t="s">
        <v>829</v>
      </c>
      <c r="G952" s="8" t="s">
        <v>970</v>
      </c>
      <c r="H952" s="8" t="s">
        <v>51</v>
      </c>
      <c r="I952" s="8" t="s">
        <v>88</v>
      </c>
      <c r="J952" s="4" t="n">
        <v>1295000</v>
      </c>
      <c r="K952" s="4" t="n">
        <v>1046000</v>
      </c>
      <c r="L952" s="5" t="n">
        <v>0.19305</v>
      </c>
      <c r="M952" s="4" t="n">
        <v>1</v>
      </c>
      <c r="N952" s="4" t="n">
        <v>0</v>
      </c>
      <c r="O952" s="4" t="n">
        <v>0</v>
      </c>
      <c r="P952" s="4" t="n">
        <v>0</v>
      </c>
      <c r="Q952" s="4" t="n">
        <v>0</v>
      </c>
      <c r="R952" s="4" t="n">
        <f aca="false">M952+N952+O952+P952+Q952</f>
        <v>1</v>
      </c>
      <c r="S952" s="4" t="n">
        <v>1</v>
      </c>
      <c r="T952" s="4" t="n">
        <f aca="false">R952*K952</f>
        <v>1046000</v>
      </c>
      <c r="U952" s="9" t="n">
        <f aca="false">IFERROR(M952/S952,0)</f>
        <v>1</v>
      </c>
      <c r="V952" s="5" t="n">
        <v>1</v>
      </c>
    </row>
    <row r="953" customFormat="false" ht="15" hidden="false" customHeight="false" outlineLevel="0" collapsed="false">
      <c r="A953" s="8" t="s">
        <v>87</v>
      </c>
      <c r="B953" s="8" t="s">
        <v>23</v>
      </c>
      <c r="C953" s="8" t="s">
        <v>1412</v>
      </c>
      <c r="D953" s="8" t="n">
        <v>143247</v>
      </c>
      <c r="E953" s="8" t="s">
        <v>1602</v>
      </c>
      <c r="F953" s="8" t="s">
        <v>829</v>
      </c>
      <c r="G953" s="8" t="s">
        <v>970</v>
      </c>
      <c r="H953" s="8" t="s">
        <v>51</v>
      </c>
      <c r="I953" s="8" t="s">
        <v>88</v>
      </c>
      <c r="J953" s="4" t="n">
        <v>1295000</v>
      </c>
      <c r="K953" s="4" t="n">
        <v>1046000</v>
      </c>
      <c r="L953" s="5" t="n">
        <v>0.19305</v>
      </c>
      <c r="M953" s="4" t="n">
        <v>1</v>
      </c>
      <c r="N953" s="4" t="n">
        <v>0</v>
      </c>
      <c r="O953" s="4" t="n">
        <v>0</v>
      </c>
      <c r="P953" s="4" t="n">
        <v>0</v>
      </c>
      <c r="Q953" s="4" t="n">
        <v>0</v>
      </c>
      <c r="R953" s="4" t="n">
        <f aca="false">M953+N953+O953+P953+Q953</f>
        <v>1</v>
      </c>
      <c r="S953" s="4" t="n">
        <v>1</v>
      </c>
      <c r="T953" s="4" t="n">
        <f aca="false">R953*K953</f>
        <v>1046000</v>
      </c>
      <c r="U953" s="9" t="n">
        <f aca="false">IFERROR(M953/S953,0)</f>
        <v>1</v>
      </c>
      <c r="V953" s="5" t="n">
        <v>1</v>
      </c>
    </row>
    <row r="954" customFormat="false" ht="15" hidden="false" customHeight="false" outlineLevel="0" collapsed="false">
      <c r="A954" s="8" t="s">
        <v>87</v>
      </c>
      <c r="B954" s="8" t="s">
        <v>23</v>
      </c>
      <c r="C954" s="8" t="s">
        <v>1412</v>
      </c>
      <c r="D954" s="8" t="n">
        <v>143263</v>
      </c>
      <c r="E954" s="8" t="s">
        <v>1603</v>
      </c>
      <c r="F954" s="8" t="s">
        <v>829</v>
      </c>
      <c r="G954" s="8" t="s">
        <v>970</v>
      </c>
      <c r="H954" s="8" t="s">
        <v>51</v>
      </c>
      <c r="I954" s="8" t="s">
        <v>88</v>
      </c>
      <c r="J954" s="4" t="n">
        <v>1090000</v>
      </c>
      <c r="K954" s="4" t="n">
        <v>840000</v>
      </c>
      <c r="L954" s="5" t="n">
        <v>0.22936</v>
      </c>
      <c r="M954" s="4" t="n">
        <v>1</v>
      </c>
      <c r="N954" s="4" t="n">
        <v>0</v>
      </c>
      <c r="O954" s="4" t="n">
        <v>0</v>
      </c>
      <c r="P954" s="4" t="n">
        <v>0</v>
      </c>
      <c r="Q954" s="4" t="n">
        <v>0</v>
      </c>
      <c r="R954" s="4" t="n">
        <f aca="false">M954+N954+O954+P954+Q954</f>
        <v>1</v>
      </c>
      <c r="S954" s="4" t="n">
        <v>1</v>
      </c>
      <c r="T954" s="4" t="n">
        <f aca="false">R954*K954</f>
        <v>840000</v>
      </c>
      <c r="U954" s="9" t="n">
        <f aca="false">IFERROR(M954/S954,0)</f>
        <v>1</v>
      </c>
      <c r="V954" s="5" t="n">
        <v>1</v>
      </c>
    </row>
    <row r="955" customFormat="false" ht="15" hidden="false" customHeight="false" outlineLevel="0" collapsed="false">
      <c r="A955" s="8" t="s">
        <v>87</v>
      </c>
      <c r="B955" s="8" t="s">
        <v>23</v>
      </c>
      <c r="C955" s="8" t="s">
        <v>1412</v>
      </c>
      <c r="D955" s="8" t="n">
        <v>143264</v>
      </c>
      <c r="E955" s="8" t="s">
        <v>1604</v>
      </c>
      <c r="F955" s="8" t="s">
        <v>829</v>
      </c>
      <c r="G955" s="8" t="s">
        <v>970</v>
      </c>
      <c r="H955" s="8" t="s">
        <v>51</v>
      </c>
      <c r="I955" s="8" t="s">
        <v>88</v>
      </c>
      <c r="J955" s="4" t="n">
        <v>1090000</v>
      </c>
      <c r="K955" s="4" t="n">
        <v>840000</v>
      </c>
      <c r="L955" s="5" t="n">
        <v>0.22936</v>
      </c>
      <c r="M955" s="4" t="n">
        <v>1</v>
      </c>
      <c r="N955" s="4" t="n">
        <v>0</v>
      </c>
      <c r="O955" s="4" t="n">
        <v>0</v>
      </c>
      <c r="P955" s="4" t="n">
        <v>0</v>
      </c>
      <c r="Q955" s="4" t="n">
        <v>0</v>
      </c>
      <c r="R955" s="4" t="n">
        <f aca="false">M955+N955+O955+P955+Q955</f>
        <v>1</v>
      </c>
      <c r="S955" s="4" t="n">
        <v>1</v>
      </c>
      <c r="T955" s="4" t="n">
        <f aca="false">R955*K955</f>
        <v>840000</v>
      </c>
      <c r="U955" s="9" t="n">
        <f aca="false">IFERROR(M955/S955,0)</f>
        <v>1</v>
      </c>
      <c r="V955" s="5" t="n">
        <v>1</v>
      </c>
    </row>
    <row r="956" customFormat="false" ht="15" hidden="false" customHeight="false" outlineLevel="0" collapsed="false">
      <c r="A956" s="8" t="s">
        <v>87</v>
      </c>
      <c r="B956" s="8" t="s">
        <v>23</v>
      </c>
      <c r="C956" s="8" t="s">
        <v>1412</v>
      </c>
      <c r="D956" s="8" t="n">
        <v>143266</v>
      </c>
      <c r="E956" s="8" t="s">
        <v>1605</v>
      </c>
      <c r="F956" s="8" t="s">
        <v>829</v>
      </c>
      <c r="G956" s="8" t="s">
        <v>970</v>
      </c>
      <c r="H956" s="8" t="s">
        <v>51</v>
      </c>
      <c r="I956" s="8" t="s">
        <v>88</v>
      </c>
      <c r="J956" s="4" t="n">
        <v>1090000</v>
      </c>
      <c r="K956" s="4" t="n">
        <v>840000</v>
      </c>
      <c r="L956" s="5" t="n">
        <v>0.22936</v>
      </c>
      <c r="M956" s="4" t="n">
        <v>1</v>
      </c>
      <c r="N956" s="4" t="n">
        <v>0</v>
      </c>
      <c r="O956" s="4" t="n">
        <v>0</v>
      </c>
      <c r="P956" s="4" t="n">
        <v>0</v>
      </c>
      <c r="Q956" s="4" t="n">
        <v>0</v>
      </c>
      <c r="R956" s="4" t="n">
        <f aca="false">M956+N956+O956+P956+Q956</f>
        <v>1</v>
      </c>
      <c r="S956" s="4" t="n">
        <v>1</v>
      </c>
      <c r="T956" s="4" t="n">
        <f aca="false">R956*K956</f>
        <v>840000</v>
      </c>
      <c r="U956" s="9" t="n">
        <f aca="false">IFERROR(M956/S956,0)</f>
        <v>1</v>
      </c>
      <c r="V956" s="5" t="n">
        <v>1</v>
      </c>
    </row>
    <row r="957" customFormat="false" ht="15" hidden="false" customHeight="false" outlineLevel="0" collapsed="false">
      <c r="A957" s="8" t="s">
        <v>87</v>
      </c>
      <c r="B957" s="8" t="s">
        <v>23</v>
      </c>
      <c r="C957" s="8" t="s">
        <v>1412</v>
      </c>
      <c r="D957" s="8" t="n">
        <v>143267</v>
      </c>
      <c r="E957" s="8" t="s">
        <v>1606</v>
      </c>
      <c r="F957" s="8" t="s">
        <v>829</v>
      </c>
      <c r="G957" s="8" t="s">
        <v>970</v>
      </c>
      <c r="H957" s="8" t="s">
        <v>51</v>
      </c>
      <c r="I957" s="8" t="s">
        <v>88</v>
      </c>
      <c r="J957" s="4" t="n">
        <v>1090000</v>
      </c>
      <c r="K957" s="4" t="n">
        <v>840000</v>
      </c>
      <c r="L957" s="5" t="n">
        <v>0.22936</v>
      </c>
      <c r="M957" s="4" t="n">
        <v>1</v>
      </c>
      <c r="N957" s="4" t="n">
        <v>0</v>
      </c>
      <c r="O957" s="4" t="n">
        <v>0</v>
      </c>
      <c r="P957" s="4" t="n">
        <v>0</v>
      </c>
      <c r="Q957" s="4" t="n">
        <v>0</v>
      </c>
      <c r="R957" s="4" t="n">
        <f aca="false">M957+N957+O957+P957+Q957</f>
        <v>1</v>
      </c>
      <c r="S957" s="4" t="n">
        <v>1</v>
      </c>
      <c r="T957" s="4" t="n">
        <f aca="false">R957*K957</f>
        <v>840000</v>
      </c>
      <c r="U957" s="9" t="n">
        <f aca="false">IFERROR(M957/S957,0)</f>
        <v>1</v>
      </c>
      <c r="V957" s="5" t="n">
        <v>1</v>
      </c>
    </row>
    <row r="958" customFormat="false" ht="15" hidden="false" customHeight="false" outlineLevel="0" collapsed="false">
      <c r="A958" s="8" t="s">
        <v>87</v>
      </c>
      <c r="B958" s="8" t="s">
        <v>23</v>
      </c>
      <c r="C958" s="8" t="s">
        <v>1412</v>
      </c>
      <c r="D958" s="8" t="n">
        <v>143268</v>
      </c>
      <c r="E958" s="8" t="s">
        <v>1607</v>
      </c>
      <c r="F958" s="8" t="s">
        <v>829</v>
      </c>
      <c r="G958" s="8" t="s">
        <v>970</v>
      </c>
      <c r="H958" s="8" t="s">
        <v>51</v>
      </c>
      <c r="I958" s="8" t="s">
        <v>88</v>
      </c>
      <c r="J958" s="4" t="n">
        <v>1090000</v>
      </c>
      <c r="K958" s="4" t="n">
        <v>840000</v>
      </c>
      <c r="L958" s="5" t="n">
        <v>0.22936</v>
      </c>
      <c r="M958" s="4" t="n">
        <v>1</v>
      </c>
      <c r="N958" s="4" t="n">
        <v>0</v>
      </c>
      <c r="O958" s="4" t="n">
        <v>0</v>
      </c>
      <c r="P958" s="4" t="n">
        <v>0</v>
      </c>
      <c r="Q958" s="4" t="n">
        <v>0</v>
      </c>
      <c r="R958" s="4" t="n">
        <f aca="false">M958+N958+O958+P958+Q958</f>
        <v>1</v>
      </c>
      <c r="S958" s="4" t="n">
        <v>1</v>
      </c>
      <c r="T958" s="4" t="n">
        <f aca="false">R958*K958</f>
        <v>840000</v>
      </c>
      <c r="U958" s="9" t="n">
        <f aca="false">IFERROR(M958/S958,0)</f>
        <v>1</v>
      </c>
      <c r="V958" s="5" t="n">
        <v>1</v>
      </c>
    </row>
    <row r="959" customFormat="false" ht="15" hidden="false" customHeight="false" outlineLevel="0" collapsed="false">
      <c r="A959" s="8" t="s">
        <v>87</v>
      </c>
      <c r="B959" s="8" t="s">
        <v>23</v>
      </c>
      <c r="C959" s="8" t="s">
        <v>1412</v>
      </c>
      <c r="D959" s="8" t="n">
        <v>143269</v>
      </c>
      <c r="E959" s="8" t="s">
        <v>1608</v>
      </c>
      <c r="F959" s="8" t="s">
        <v>829</v>
      </c>
      <c r="G959" s="8" t="s">
        <v>970</v>
      </c>
      <c r="H959" s="8" t="s">
        <v>51</v>
      </c>
      <c r="I959" s="8" t="s">
        <v>88</v>
      </c>
      <c r="J959" s="4" t="n">
        <v>1090000</v>
      </c>
      <c r="K959" s="4" t="n">
        <v>840000</v>
      </c>
      <c r="L959" s="5" t="n">
        <v>0.22936</v>
      </c>
      <c r="M959" s="4" t="n">
        <v>1</v>
      </c>
      <c r="N959" s="4" t="n">
        <v>0</v>
      </c>
      <c r="O959" s="4" t="n">
        <v>0</v>
      </c>
      <c r="P959" s="4" t="n">
        <v>0</v>
      </c>
      <c r="Q959" s="4" t="n">
        <v>0</v>
      </c>
      <c r="R959" s="4" t="n">
        <f aca="false">M959+N959+O959+P959+Q959</f>
        <v>1</v>
      </c>
      <c r="S959" s="4" t="n">
        <v>1</v>
      </c>
      <c r="T959" s="4" t="n">
        <f aca="false">R959*K959</f>
        <v>840000</v>
      </c>
      <c r="U959" s="9" t="n">
        <f aca="false">IFERROR(M959/S959,0)</f>
        <v>1</v>
      </c>
      <c r="V959" s="5" t="n">
        <v>1</v>
      </c>
    </row>
    <row r="960" customFormat="false" ht="15" hidden="false" customHeight="false" outlineLevel="0" collapsed="false">
      <c r="A960" s="8" t="s">
        <v>87</v>
      </c>
      <c r="B960" s="8" t="s">
        <v>23</v>
      </c>
      <c r="C960" s="8" t="s">
        <v>1412</v>
      </c>
      <c r="D960" s="8" t="n">
        <v>143270</v>
      </c>
      <c r="E960" s="8" t="s">
        <v>1609</v>
      </c>
      <c r="F960" s="8" t="s">
        <v>829</v>
      </c>
      <c r="G960" s="8" t="s">
        <v>970</v>
      </c>
      <c r="H960" s="8" t="s">
        <v>51</v>
      </c>
      <c r="I960" s="8" t="s">
        <v>88</v>
      </c>
      <c r="J960" s="4" t="n">
        <v>1090000</v>
      </c>
      <c r="K960" s="4" t="n">
        <v>840000</v>
      </c>
      <c r="L960" s="5" t="n">
        <v>0.22936</v>
      </c>
      <c r="M960" s="4" t="n">
        <v>1</v>
      </c>
      <c r="N960" s="4" t="n">
        <v>0</v>
      </c>
      <c r="O960" s="4" t="n">
        <v>0</v>
      </c>
      <c r="P960" s="4" t="n">
        <v>0</v>
      </c>
      <c r="Q960" s="4" t="n">
        <v>0</v>
      </c>
      <c r="R960" s="4" t="n">
        <f aca="false">M960+N960+O960+P960+Q960</f>
        <v>1</v>
      </c>
      <c r="S960" s="4" t="n">
        <v>1</v>
      </c>
      <c r="T960" s="4" t="n">
        <f aca="false">R960*K960</f>
        <v>840000</v>
      </c>
      <c r="U960" s="9" t="n">
        <f aca="false">IFERROR(M960/S960,0)</f>
        <v>1</v>
      </c>
      <c r="V960" s="5" t="n">
        <v>1</v>
      </c>
    </row>
    <row r="961" customFormat="false" ht="15" hidden="false" customHeight="false" outlineLevel="0" collapsed="false">
      <c r="A961" s="8" t="s">
        <v>87</v>
      </c>
      <c r="B961" s="8" t="s">
        <v>23</v>
      </c>
      <c r="C961" s="8" t="s">
        <v>1412</v>
      </c>
      <c r="D961" s="8" t="n">
        <v>143272</v>
      </c>
      <c r="E961" s="8" t="s">
        <v>1501</v>
      </c>
      <c r="F961" s="8" t="s">
        <v>829</v>
      </c>
      <c r="G961" s="8" t="s">
        <v>970</v>
      </c>
      <c r="H961" s="8" t="s">
        <v>51</v>
      </c>
      <c r="I961" s="8" t="s">
        <v>88</v>
      </c>
      <c r="J961" s="4" t="n">
        <v>1090000</v>
      </c>
      <c r="K961" s="4" t="n">
        <v>840000</v>
      </c>
      <c r="L961" s="5" t="n">
        <v>0.22936</v>
      </c>
      <c r="M961" s="4" t="n">
        <v>1</v>
      </c>
      <c r="N961" s="4" t="n">
        <v>0</v>
      </c>
      <c r="O961" s="4" t="n">
        <v>0</v>
      </c>
      <c r="P961" s="4" t="n">
        <v>0</v>
      </c>
      <c r="Q961" s="4" t="n">
        <v>0</v>
      </c>
      <c r="R961" s="4" t="n">
        <f aca="false">M961+N961+O961+P961+Q961</f>
        <v>1</v>
      </c>
      <c r="S961" s="4" t="n">
        <v>1</v>
      </c>
      <c r="T961" s="4" t="n">
        <f aca="false">R961*K961</f>
        <v>840000</v>
      </c>
      <c r="U961" s="9" t="n">
        <f aca="false">IFERROR(M961/S961,0)</f>
        <v>1</v>
      </c>
      <c r="V961" s="5" t="n">
        <v>1</v>
      </c>
    </row>
    <row r="962" customFormat="false" ht="15" hidden="false" customHeight="false" outlineLevel="0" collapsed="false">
      <c r="A962" s="8" t="s">
        <v>87</v>
      </c>
      <c r="B962" s="8" t="s">
        <v>23</v>
      </c>
      <c r="C962" s="8" t="s">
        <v>1412</v>
      </c>
      <c r="D962" s="8" t="n">
        <v>143277</v>
      </c>
      <c r="E962" s="8" t="s">
        <v>1610</v>
      </c>
      <c r="F962" s="8" t="s">
        <v>829</v>
      </c>
      <c r="G962" s="8" t="s">
        <v>970</v>
      </c>
      <c r="H962" s="8" t="s">
        <v>51</v>
      </c>
      <c r="I962" s="8" t="s">
        <v>88</v>
      </c>
      <c r="J962" s="4" t="n">
        <v>1090000</v>
      </c>
      <c r="K962" s="4" t="n">
        <v>840000</v>
      </c>
      <c r="L962" s="5" t="n">
        <v>0.22936</v>
      </c>
      <c r="M962" s="4" t="n">
        <v>1</v>
      </c>
      <c r="N962" s="4" t="n">
        <v>0</v>
      </c>
      <c r="O962" s="4" t="n">
        <v>0</v>
      </c>
      <c r="P962" s="4" t="n">
        <v>0</v>
      </c>
      <c r="Q962" s="4" t="n">
        <v>0</v>
      </c>
      <c r="R962" s="4" t="n">
        <f aca="false">M962+N962+O962+P962+Q962</f>
        <v>1</v>
      </c>
      <c r="S962" s="4" t="n">
        <v>1</v>
      </c>
      <c r="T962" s="4" t="n">
        <f aca="false">R962*K962</f>
        <v>840000</v>
      </c>
      <c r="U962" s="9" t="n">
        <f aca="false">IFERROR(M962/S962,0)</f>
        <v>1</v>
      </c>
      <c r="V962" s="5" t="n">
        <v>1</v>
      </c>
    </row>
    <row r="963" customFormat="false" ht="15" hidden="false" customHeight="false" outlineLevel="0" collapsed="false">
      <c r="A963" s="8" t="s">
        <v>87</v>
      </c>
      <c r="B963" s="8" t="s">
        <v>23</v>
      </c>
      <c r="C963" s="8" t="s">
        <v>1412</v>
      </c>
      <c r="D963" s="8" t="n">
        <v>143278</v>
      </c>
      <c r="E963" s="8" t="s">
        <v>1611</v>
      </c>
      <c r="F963" s="8" t="s">
        <v>829</v>
      </c>
      <c r="G963" s="8" t="s">
        <v>970</v>
      </c>
      <c r="H963" s="8" t="s">
        <v>51</v>
      </c>
      <c r="I963" s="8" t="s">
        <v>88</v>
      </c>
      <c r="J963" s="4" t="n">
        <v>1090000</v>
      </c>
      <c r="K963" s="4" t="n">
        <v>840000</v>
      </c>
      <c r="L963" s="5" t="n">
        <v>0.22936</v>
      </c>
      <c r="M963" s="4" t="n">
        <v>1</v>
      </c>
      <c r="N963" s="4" t="n">
        <v>0</v>
      </c>
      <c r="O963" s="4" t="n">
        <v>0</v>
      </c>
      <c r="P963" s="4" t="n">
        <v>0</v>
      </c>
      <c r="Q963" s="4" t="n">
        <v>0</v>
      </c>
      <c r="R963" s="4" t="n">
        <f aca="false">M963+N963+O963+P963+Q963</f>
        <v>1</v>
      </c>
      <c r="S963" s="4" t="n">
        <v>1</v>
      </c>
      <c r="T963" s="4" t="n">
        <f aca="false">R963*K963</f>
        <v>840000</v>
      </c>
      <c r="U963" s="9" t="n">
        <f aca="false">IFERROR(M963/S963,0)</f>
        <v>1</v>
      </c>
      <c r="V963" s="5" t="n">
        <v>1</v>
      </c>
    </row>
    <row r="964" customFormat="false" ht="15" hidden="false" customHeight="false" outlineLevel="0" collapsed="false">
      <c r="A964" s="8" t="s">
        <v>87</v>
      </c>
      <c r="B964" s="8" t="s">
        <v>23</v>
      </c>
      <c r="C964" s="8" t="s">
        <v>1412</v>
      </c>
      <c r="D964" s="8" t="n">
        <v>143279</v>
      </c>
      <c r="E964" s="8" t="s">
        <v>1612</v>
      </c>
      <c r="F964" s="8" t="s">
        <v>829</v>
      </c>
      <c r="G964" s="8" t="s">
        <v>970</v>
      </c>
      <c r="H964" s="8" t="s">
        <v>51</v>
      </c>
      <c r="I964" s="8" t="s">
        <v>88</v>
      </c>
      <c r="J964" s="4" t="n">
        <v>1090000</v>
      </c>
      <c r="K964" s="4" t="n">
        <v>840000</v>
      </c>
      <c r="L964" s="5" t="n">
        <v>0.22936</v>
      </c>
      <c r="M964" s="4" t="n">
        <v>1</v>
      </c>
      <c r="N964" s="4" t="n">
        <v>0</v>
      </c>
      <c r="O964" s="4" t="n">
        <v>0</v>
      </c>
      <c r="P964" s="4" t="n">
        <v>0</v>
      </c>
      <c r="Q964" s="4" t="n">
        <v>0</v>
      </c>
      <c r="R964" s="4" t="n">
        <f aca="false">M964+N964+O964+P964+Q964</f>
        <v>1</v>
      </c>
      <c r="S964" s="4" t="n">
        <v>1</v>
      </c>
      <c r="T964" s="4" t="n">
        <f aca="false">R964*K964</f>
        <v>840000</v>
      </c>
      <c r="U964" s="9" t="n">
        <f aca="false">IFERROR(M964/S964,0)</f>
        <v>1</v>
      </c>
      <c r="V964" s="5" t="n">
        <v>1</v>
      </c>
    </row>
    <row r="965" customFormat="false" ht="15" hidden="false" customHeight="false" outlineLevel="0" collapsed="false">
      <c r="A965" s="8" t="s">
        <v>87</v>
      </c>
      <c r="B965" s="8" t="s">
        <v>23</v>
      </c>
      <c r="C965" s="8" t="s">
        <v>1412</v>
      </c>
      <c r="D965" s="8" t="n">
        <v>143280</v>
      </c>
      <c r="E965" s="8" t="s">
        <v>1613</v>
      </c>
      <c r="F965" s="8" t="s">
        <v>829</v>
      </c>
      <c r="G965" s="8" t="s">
        <v>970</v>
      </c>
      <c r="H965" s="8" t="s">
        <v>51</v>
      </c>
      <c r="I965" s="8" t="s">
        <v>88</v>
      </c>
      <c r="J965" s="4" t="n">
        <v>1090000</v>
      </c>
      <c r="K965" s="4" t="n">
        <v>840000</v>
      </c>
      <c r="L965" s="5" t="n">
        <v>0.22936</v>
      </c>
      <c r="M965" s="4" t="n">
        <v>1</v>
      </c>
      <c r="N965" s="4" t="n">
        <v>0</v>
      </c>
      <c r="O965" s="4" t="n">
        <v>0</v>
      </c>
      <c r="P965" s="4" t="n">
        <v>0</v>
      </c>
      <c r="Q965" s="4" t="n">
        <v>0</v>
      </c>
      <c r="R965" s="4" t="n">
        <f aca="false">M965+N965+O965+P965+Q965</f>
        <v>1</v>
      </c>
      <c r="S965" s="4" t="n">
        <v>1</v>
      </c>
      <c r="T965" s="4" t="n">
        <f aca="false">R965*K965</f>
        <v>840000</v>
      </c>
      <c r="U965" s="9" t="n">
        <f aca="false">IFERROR(M965/S965,0)</f>
        <v>1</v>
      </c>
      <c r="V965" s="5" t="n">
        <v>1</v>
      </c>
    </row>
    <row r="966" customFormat="false" ht="15" hidden="false" customHeight="false" outlineLevel="0" collapsed="false">
      <c r="A966" s="8" t="s">
        <v>87</v>
      </c>
      <c r="B966" s="8" t="s">
        <v>23</v>
      </c>
      <c r="C966" s="8" t="s">
        <v>1412</v>
      </c>
      <c r="D966" s="8" t="n">
        <v>143283</v>
      </c>
      <c r="E966" s="8" t="s">
        <v>1614</v>
      </c>
      <c r="F966" s="8" t="s">
        <v>829</v>
      </c>
      <c r="G966" s="8" t="s">
        <v>970</v>
      </c>
      <c r="H966" s="8" t="s">
        <v>51</v>
      </c>
      <c r="I966" s="8" t="s">
        <v>88</v>
      </c>
      <c r="J966" s="4" t="n">
        <v>1790000</v>
      </c>
      <c r="K966" s="4" t="n">
        <v>1541000</v>
      </c>
      <c r="L966" s="5" t="n">
        <v>0.13966</v>
      </c>
      <c r="M966" s="4" t="n">
        <v>1</v>
      </c>
      <c r="N966" s="4" t="n">
        <v>0</v>
      </c>
      <c r="O966" s="4" t="n">
        <v>0</v>
      </c>
      <c r="P966" s="4" t="n">
        <v>0</v>
      </c>
      <c r="Q966" s="4" t="n">
        <v>0</v>
      </c>
      <c r="R966" s="4" t="n">
        <f aca="false">M966+N966+O966+P966+Q966</f>
        <v>1</v>
      </c>
      <c r="S966" s="4" t="n">
        <v>1</v>
      </c>
      <c r="T966" s="4" t="n">
        <f aca="false">R966*K966</f>
        <v>1541000</v>
      </c>
      <c r="U966" s="9" t="n">
        <f aca="false">IFERROR(M966/S966,0)</f>
        <v>1</v>
      </c>
      <c r="V966" s="5" t="n">
        <v>1</v>
      </c>
    </row>
    <row r="967" customFormat="false" ht="15" hidden="false" customHeight="false" outlineLevel="0" collapsed="false">
      <c r="A967" s="8" t="s">
        <v>87</v>
      </c>
      <c r="B967" s="8" t="s">
        <v>23</v>
      </c>
      <c r="C967" s="8" t="s">
        <v>1412</v>
      </c>
      <c r="D967" s="8" t="n">
        <v>143287</v>
      </c>
      <c r="E967" s="8" t="s">
        <v>1615</v>
      </c>
      <c r="F967" s="8" t="s">
        <v>829</v>
      </c>
      <c r="G967" s="8" t="s">
        <v>970</v>
      </c>
      <c r="H967" s="8" t="s">
        <v>51</v>
      </c>
      <c r="I967" s="8" t="s">
        <v>88</v>
      </c>
      <c r="J967" s="4" t="n">
        <v>1090000</v>
      </c>
      <c r="K967" s="4" t="n">
        <v>840000</v>
      </c>
      <c r="L967" s="5" t="n">
        <v>0.22936</v>
      </c>
      <c r="M967" s="4" t="n">
        <v>1</v>
      </c>
      <c r="N967" s="4" t="n">
        <v>0</v>
      </c>
      <c r="O967" s="4" t="n">
        <v>0</v>
      </c>
      <c r="P967" s="4" t="n">
        <v>0</v>
      </c>
      <c r="Q967" s="4" t="n">
        <v>0</v>
      </c>
      <c r="R967" s="4" t="n">
        <f aca="false">M967+N967+O967+P967+Q967</f>
        <v>1</v>
      </c>
      <c r="S967" s="4" t="n">
        <v>1</v>
      </c>
      <c r="T967" s="4" t="n">
        <f aca="false">R967*K967</f>
        <v>840000</v>
      </c>
      <c r="U967" s="9" t="n">
        <f aca="false">IFERROR(M967/S967,0)</f>
        <v>1</v>
      </c>
      <c r="V967" s="5" t="n">
        <v>1</v>
      </c>
    </row>
    <row r="968" customFormat="false" ht="15" hidden="false" customHeight="false" outlineLevel="0" collapsed="false">
      <c r="A968" s="8" t="s">
        <v>87</v>
      </c>
      <c r="B968" s="8" t="s">
        <v>23</v>
      </c>
      <c r="C968" s="8" t="s">
        <v>1412</v>
      </c>
      <c r="D968" s="8" t="n">
        <v>143290</v>
      </c>
      <c r="E968" s="8" t="s">
        <v>1616</v>
      </c>
      <c r="F968" s="8" t="s">
        <v>829</v>
      </c>
      <c r="G968" s="8" t="s">
        <v>970</v>
      </c>
      <c r="H968" s="8" t="s">
        <v>51</v>
      </c>
      <c r="I968" s="8" t="s">
        <v>88</v>
      </c>
      <c r="J968" s="4" t="n">
        <v>1090000</v>
      </c>
      <c r="K968" s="4" t="n">
        <v>840000</v>
      </c>
      <c r="L968" s="5" t="n">
        <v>0.22936</v>
      </c>
      <c r="M968" s="4" t="n">
        <v>1</v>
      </c>
      <c r="N968" s="4" t="n">
        <v>0</v>
      </c>
      <c r="O968" s="4" t="n">
        <v>0</v>
      </c>
      <c r="P968" s="4" t="n">
        <v>0</v>
      </c>
      <c r="Q968" s="4" t="n">
        <v>0</v>
      </c>
      <c r="R968" s="4" t="n">
        <f aca="false">M968+N968+O968+P968+Q968</f>
        <v>1</v>
      </c>
      <c r="S968" s="4" t="n">
        <v>1</v>
      </c>
      <c r="T968" s="4" t="n">
        <f aca="false">R968*K968</f>
        <v>840000</v>
      </c>
      <c r="U968" s="9" t="n">
        <f aca="false">IFERROR(M968/S968,0)</f>
        <v>1</v>
      </c>
      <c r="V968" s="5" t="n">
        <v>1</v>
      </c>
    </row>
    <row r="969" customFormat="false" ht="15" hidden="false" customHeight="false" outlineLevel="0" collapsed="false">
      <c r="A969" s="8" t="s">
        <v>87</v>
      </c>
      <c r="B969" s="8" t="s">
        <v>23</v>
      </c>
      <c r="C969" s="8" t="s">
        <v>1412</v>
      </c>
      <c r="D969" s="8" t="n">
        <v>143291</v>
      </c>
      <c r="E969" s="8" t="s">
        <v>1617</v>
      </c>
      <c r="F969" s="8" t="s">
        <v>829</v>
      </c>
      <c r="G969" s="8" t="s">
        <v>970</v>
      </c>
      <c r="H969" s="8" t="s">
        <v>51</v>
      </c>
      <c r="I969" s="8" t="s">
        <v>88</v>
      </c>
      <c r="J969" s="4" t="n">
        <v>1295000</v>
      </c>
      <c r="K969" s="4" t="n">
        <v>1046000</v>
      </c>
      <c r="L969" s="5" t="n">
        <v>0.19305</v>
      </c>
      <c r="M969" s="4" t="n">
        <v>1</v>
      </c>
      <c r="N969" s="4" t="n">
        <v>0</v>
      </c>
      <c r="O969" s="4" t="n">
        <v>0</v>
      </c>
      <c r="P969" s="4" t="n">
        <v>0</v>
      </c>
      <c r="Q969" s="4" t="n">
        <v>0</v>
      </c>
      <c r="R969" s="4" t="n">
        <f aca="false">M969+N969+O969+P969+Q969</f>
        <v>1</v>
      </c>
      <c r="S969" s="4" t="n">
        <v>1</v>
      </c>
      <c r="T969" s="4" t="n">
        <f aca="false">R969*K969</f>
        <v>1046000</v>
      </c>
      <c r="U969" s="9" t="n">
        <f aca="false">IFERROR(M969/S969,0)</f>
        <v>1</v>
      </c>
      <c r="V969" s="5" t="n">
        <v>1</v>
      </c>
    </row>
    <row r="970" customFormat="false" ht="15" hidden="false" customHeight="false" outlineLevel="0" collapsed="false">
      <c r="A970" s="8" t="s">
        <v>87</v>
      </c>
      <c r="B970" s="8" t="s">
        <v>23</v>
      </c>
      <c r="C970" s="8" t="s">
        <v>1412</v>
      </c>
      <c r="D970" s="8" t="n">
        <v>143292</v>
      </c>
      <c r="E970" s="8" t="s">
        <v>1618</v>
      </c>
      <c r="F970" s="8" t="s">
        <v>829</v>
      </c>
      <c r="G970" s="8" t="s">
        <v>970</v>
      </c>
      <c r="H970" s="8" t="s">
        <v>51</v>
      </c>
      <c r="I970" s="8" t="s">
        <v>88</v>
      </c>
      <c r="J970" s="4" t="n">
        <v>1295000</v>
      </c>
      <c r="K970" s="4" t="n">
        <v>1046000</v>
      </c>
      <c r="L970" s="5" t="n">
        <v>0.19305</v>
      </c>
      <c r="M970" s="4" t="n">
        <v>1</v>
      </c>
      <c r="N970" s="4" t="n">
        <v>0</v>
      </c>
      <c r="O970" s="4" t="n">
        <v>0</v>
      </c>
      <c r="P970" s="4" t="n">
        <v>0</v>
      </c>
      <c r="Q970" s="4" t="n">
        <v>0</v>
      </c>
      <c r="R970" s="4" t="n">
        <f aca="false">M970+N970+O970+P970+Q970</f>
        <v>1</v>
      </c>
      <c r="S970" s="4" t="n">
        <v>1</v>
      </c>
      <c r="T970" s="4" t="n">
        <f aca="false">R970*K970</f>
        <v>1046000</v>
      </c>
      <c r="U970" s="9" t="n">
        <f aca="false">IFERROR(M970/S970,0)</f>
        <v>1</v>
      </c>
      <c r="V970" s="5" t="n">
        <v>1</v>
      </c>
    </row>
    <row r="971" customFormat="false" ht="15" hidden="false" customHeight="false" outlineLevel="0" collapsed="false">
      <c r="A971" s="8" t="s">
        <v>87</v>
      </c>
      <c r="B971" s="8" t="s">
        <v>23</v>
      </c>
      <c r="C971" s="8" t="s">
        <v>1412</v>
      </c>
      <c r="D971" s="8" t="n">
        <v>143294</v>
      </c>
      <c r="E971" s="8" t="s">
        <v>1619</v>
      </c>
      <c r="F971" s="8" t="s">
        <v>829</v>
      </c>
      <c r="G971" s="8" t="s">
        <v>970</v>
      </c>
      <c r="H971" s="8" t="s">
        <v>51</v>
      </c>
      <c r="I971" s="8" t="s">
        <v>88</v>
      </c>
      <c r="J971" s="4" t="n">
        <v>1295000</v>
      </c>
      <c r="K971" s="4" t="n">
        <v>1046000</v>
      </c>
      <c r="L971" s="5" t="n">
        <v>0.19305</v>
      </c>
      <c r="M971" s="4" t="n">
        <v>1</v>
      </c>
      <c r="N971" s="4" t="n">
        <v>0</v>
      </c>
      <c r="O971" s="4" t="n">
        <v>0</v>
      </c>
      <c r="P971" s="4" t="n">
        <v>0</v>
      </c>
      <c r="Q971" s="4" t="n">
        <v>0</v>
      </c>
      <c r="R971" s="4" t="n">
        <f aca="false">M971+N971+O971+P971+Q971</f>
        <v>1</v>
      </c>
      <c r="S971" s="4" t="n">
        <v>1</v>
      </c>
      <c r="T971" s="4" t="n">
        <f aca="false">R971*K971</f>
        <v>1046000</v>
      </c>
      <c r="U971" s="9" t="n">
        <f aca="false">IFERROR(M971/S971,0)</f>
        <v>1</v>
      </c>
      <c r="V971" s="5" t="n">
        <v>1</v>
      </c>
    </row>
    <row r="972" customFormat="false" ht="15" hidden="false" customHeight="false" outlineLevel="0" collapsed="false">
      <c r="A972" s="8" t="s">
        <v>87</v>
      </c>
      <c r="B972" s="8" t="s">
        <v>23</v>
      </c>
      <c r="C972" s="8" t="s">
        <v>1412</v>
      </c>
      <c r="D972" s="8" t="n">
        <v>143295</v>
      </c>
      <c r="E972" s="8" t="s">
        <v>1620</v>
      </c>
      <c r="F972" s="8" t="s">
        <v>829</v>
      </c>
      <c r="G972" s="8" t="s">
        <v>970</v>
      </c>
      <c r="H972" s="8" t="s">
        <v>51</v>
      </c>
      <c r="I972" s="8" t="s">
        <v>88</v>
      </c>
      <c r="J972" s="4" t="n">
        <v>1295000</v>
      </c>
      <c r="K972" s="4" t="n">
        <v>1046000</v>
      </c>
      <c r="L972" s="5" t="n">
        <v>0.19305</v>
      </c>
      <c r="M972" s="4" t="n">
        <v>1</v>
      </c>
      <c r="N972" s="4" t="n">
        <v>0</v>
      </c>
      <c r="O972" s="4" t="n">
        <v>0</v>
      </c>
      <c r="P972" s="4" t="n">
        <v>0</v>
      </c>
      <c r="Q972" s="4" t="n">
        <v>0</v>
      </c>
      <c r="R972" s="4" t="n">
        <f aca="false">M972+N972+O972+P972+Q972</f>
        <v>1</v>
      </c>
      <c r="S972" s="4" t="n">
        <v>1</v>
      </c>
      <c r="T972" s="4" t="n">
        <f aca="false">R972*K972</f>
        <v>1046000</v>
      </c>
      <c r="U972" s="9" t="n">
        <f aca="false">IFERROR(M972/S972,0)</f>
        <v>1</v>
      </c>
      <c r="V972" s="5" t="n">
        <v>1</v>
      </c>
    </row>
    <row r="973" customFormat="false" ht="15" hidden="false" customHeight="false" outlineLevel="0" collapsed="false">
      <c r="A973" s="8" t="s">
        <v>87</v>
      </c>
      <c r="B973" s="8" t="s">
        <v>23</v>
      </c>
      <c r="C973" s="8" t="s">
        <v>1412</v>
      </c>
      <c r="D973" s="8" t="n">
        <v>143298</v>
      </c>
      <c r="E973" s="8" t="s">
        <v>1621</v>
      </c>
      <c r="F973" s="8" t="s">
        <v>829</v>
      </c>
      <c r="G973" s="8" t="s">
        <v>970</v>
      </c>
      <c r="H973" s="8" t="s">
        <v>51</v>
      </c>
      <c r="I973" s="8" t="s">
        <v>88</v>
      </c>
      <c r="J973" s="4" t="n">
        <v>1295000</v>
      </c>
      <c r="K973" s="4" t="n">
        <v>1046000</v>
      </c>
      <c r="L973" s="5" t="n">
        <v>0.19305</v>
      </c>
      <c r="M973" s="4" t="n">
        <v>1</v>
      </c>
      <c r="N973" s="4" t="n">
        <v>0</v>
      </c>
      <c r="O973" s="4" t="n">
        <v>0</v>
      </c>
      <c r="P973" s="4" t="n">
        <v>0</v>
      </c>
      <c r="Q973" s="4" t="n">
        <v>0</v>
      </c>
      <c r="R973" s="4" t="n">
        <f aca="false">M973+N973+O973+P973+Q973</f>
        <v>1</v>
      </c>
      <c r="S973" s="4" t="n">
        <v>1</v>
      </c>
      <c r="T973" s="4" t="n">
        <f aca="false">R973*K973</f>
        <v>1046000</v>
      </c>
      <c r="U973" s="9" t="n">
        <f aca="false">IFERROR(M973/S973,0)</f>
        <v>1</v>
      </c>
      <c r="V973" s="5" t="n">
        <v>1</v>
      </c>
    </row>
    <row r="974" customFormat="false" ht="15" hidden="false" customHeight="false" outlineLevel="0" collapsed="false">
      <c r="A974" s="8" t="s">
        <v>87</v>
      </c>
      <c r="B974" s="8" t="s">
        <v>23</v>
      </c>
      <c r="C974" s="8" t="s">
        <v>1412</v>
      </c>
      <c r="D974" s="8" t="n">
        <v>143299</v>
      </c>
      <c r="E974" s="8" t="s">
        <v>1622</v>
      </c>
      <c r="F974" s="8" t="s">
        <v>829</v>
      </c>
      <c r="G974" s="8" t="s">
        <v>970</v>
      </c>
      <c r="H974" s="8" t="s">
        <v>51</v>
      </c>
      <c r="I974" s="8" t="s">
        <v>88</v>
      </c>
      <c r="J974" s="4" t="n">
        <v>1295000</v>
      </c>
      <c r="K974" s="4" t="n">
        <v>1046000</v>
      </c>
      <c r="L974" s="5" t="n">
        <v>0.19305</v>
      </c>
      <c r="M974" s="4" t="n">
        <v>1</v>
      </c>
      <c r="N974" s="4" t="n">
        <v>0</v>
      </c>
      <c r="O974" s="4" t="n">
        <v>0</v>
      </c>
      <c r="P974" s="4" t="n">
        <v>0</v>
      </c>
      <c r="Q974" s="4" t="n">
        <v>0</v>
      </c>
      <c r="R974" s="4" t="n">
        <f aca="false">M974+N974+O974+P974+Q974</f>
        <v>1</v>
      </c>
      <c r="S974" s="4" t="n">
        <v>1</v>
      </c>
      <c r="T974" s="4" t="n">
        <f aca="false">R974*K974</f>
        <v>1046000</v>
      </c>
      <c r="U974" s="9" t="n">
        <f aca="false">IFERROR(M974/S974,0)</f>
        <v>1</v>
      </c>
      <c r="V974" s="5" t="n">
        <v>1</v>
      </c>
    </row>
    <row r="975" customFormat="false" ht="15" hidden="false" customHeight="false" outlineLevel="0" collapsed="false">
      <c r="A975" s="8" t="s">
        <v>87</v>
      </c>
      <c r="B975" s="8" t="s">
        <v>23</v>
      </c>
      <c r="C975" s="8" t="s">
        <v>1412</v>
      </c>
      <c r="D975" s="8" t="n">
        <v>143301</v>
      </c>
      <c r="E975" s="8" t="s">
        <v>1623</v>
      </c>
      <c r="F975" s="8" t="s">
        <v>829</v>
      </c>
      <c r="G975" s="8" t="s">
        <v>970</v>
      </c>
      <c r="H975" s="8" t="s">
        <v>51</v>
      </c>
      <c r="I975" s="8" t="s">
        <v>88</v>
      </c>
      <c r="J975" s="4" t="n">
        <v>1295000</v>
      </c>
      <c r="K975" s="4" t="n">
        <v>1046000</v>
      </c>
      <c r="L975" s="5" t="n">
        <v>0.19305</v>
      </c>
      <c r="M975" s="4" t="n">
        <v>1</v>
      </c>
      <c r="N975" s="4" t="n">
        <v>0</v>
      </c>
      <c r="O975" s="4" t="n">
        <v>0</v>
      </c>
      <c r="P975" s="4" t="n">
        <v>0</v>
      </c>
      <c r="Q975" s="4" t="n">
        <v>0</v>
      </c>
      <c r="R975" s="4" t="n">
        <f aca="false">M975+N975+O975+P975+Q975</f>
        <v>1</v>
      </c>
      <c r="S975" s="4" t="n">
        <v>1</v>
      </c>
      <c r="T975" s="4" t="n">
        <f aca="false">R975*K975</f>
        <v>1046000</v>
      </c>
      <c r="U975" s="9" t="n">
        <f aca="false">IFERROR(M975/S975,0)</f>
        <v>1</v>
      </c>
      <c r="V975" s="5" t="n">
        <v>1</v>
      </c>
    </row>
    <row r="976" customFormat="false" ht="15" hidden="false" customHeight="false" outlineLevel="0" collapsed="false">
      <c r="A976" s="8" t="s">
        <v>87</v>
      </c>
      <c r="B976" s="8" t="s">
        <v>23</v>
      </c>
      <c r="C976" s="8" t="s">
        <v>1412</v>
      </c>
      <c r="D976" s="8" t="n">
        <v>143302</v>
      </c>
      <c r="E976" s="8" t="s">
        <v>1624</v>
      </c>
      <c r="F976" s="8" t="s">
        <v>829</v>
      </c>
      <c r="G976" s="8" t="s">
        <v>970</v>
      </c>
      <c r="H976" s="8" t="s">
        <v>51</v>
      </c>
      <c r="I976" s="8" t="s">
        <v>88</v>
      </c>
      <c r="J976" s="4" t="n">
        <v>1295000</v>
      </c>
      <c r="K976" s="4" t="n">
        <v>1046000</v>
      </c>
      <c r="L976" s="5" t="n">
        <v>0.19305</v>
      </c>
      <c r="M976" s="4" t="n">
        <v>1</v>
      </c>
      <c r="N976" s="4" t="n">
        <v>0</v>
      </c>
      <c r="O976" s="4" t="n">
        <v>0</v>
      </c>
      <c r="P976" s="4" t="n">
        <v>0</v>
      </c>
      <c r="Q976" s="4" t="n">
        <v>0</v>
      </c>
      <c r="R976" s="4" t="n">
        <f aca="false">M976+N976+O976+P976+Q976</f>
        <v>1</v>
      </c>
      <c r="S976" s="4" t="n">
        <v>1</v>
      </c>
      <c r="T976" s="4" t="n">
        <f aca="false">R976*K976</f>
        <v>1046000</v>
      </c>
      <c r="U976" s="9" t="n">
        <f aca="false">IFERROR(M976/S976,0)</f>
        <v>1</v>
      </c>
      <c r="V976" s="5" t="n">
        <v>1</v>
      </c>
    </row>
    <row r="977" customFormat="false" ht="15" hidden="false" customHeight="false" outlineLevel="0" collapsed="false">
      <c r="A977" s="8" t="s">
        <v>87</v>
      </c>
      <c r="B977" s="8" t="s">
        <v>23</v>
      </c>
      <c r="C977" s="8" t="s">
        <v>1412</v>
      </c>
      <c r="D977" s="8" t="n">
        <v>143304</v>
      </c>
      <c r="E977" s="8" t="s">
        <v>1625</v>
      </c>
      <c r="F977" s="8" t="s">
        <v>829</v>
      </c>
      <c r="G977" s="8" t="s">
        <v>970</v>
      </c>
      <c r="H977" s="8" t="s">
        <v>51</v>
      </c>
      <c r="I977" s="8" t="s">
        <v>88</v>
      </c>
      <c r="J977" s="4" t="n">
        <v>1295000</v>
      </c>
      <c r="K977" s="4" t="n">
        <v>1046000</v>
      </c>
      <c r="L977" s="5" t="n">
        <v>0.19305</v>
      </c>
      <c r="M977" s="4" t="n">
        <v>1</v>
      </c>
      <c r="N977" s="4" t="n">
        <v>0</v>
      </c>
      <c r="O977" s="4" t="n">
        <v>0</v>
      </c>
      <c r="P977" s="4" t="n">
        <v>0</v>
      </c>
      <c r="Q977" s="4" t="n">
        <v>0</v>
      </c>
      <c r="R977" s="4" t="n">
        <f aca="false">M977+N977+O977+P977+Q977</f>
        <v>1</v>
      </c>
      <c r="S977" s="4" t="n">
        <v>1</v>
      </c>
      <c r="T977" s="4" t="n">
        <f aca="false">R977*K977</f>
        <v>1046000</v>
      </c>
      <c r="U977" s="9" t="n">
        <f aca="false">IFERROR(M977/S977,0)</f>
        <v>1</v>
      </c>
      <c r="V977" s="5" t="n">
        <v>1</v>
      </c>
    </row>
    <row r="978" customFormat="false" ht="15" hidden="false" customHeight="false" outlineLevel="0" collapsed="false">
      <c r="A978" s="8" t="s">
        <v>87</v>
      </c>
      <c r="B978" s="8" t="s">
        <v>23</v>
      </c>
      <c r="C978" s="8" t="s">
        <v>1412</v>
      </c>
      <c r="D978" s="8" t="n">
        <v>143305</v>
      </c>
      <c r="E978" s="8" t="s">
        <v>1626</v>
      </c>
      <c r="F978" s="8" t="s">
        <v>829</v>
      </c>
      <c r="G978" s="8" t="s">
        <v>970</v>
      </c>
      <c r="H978" s="8" t="s">
        <v>51</v>
      </c>
      <c r="I978" s="8" t="s">
        <v>88</v>
      </c>
      <c r="J978" s="4" t="n">
        <v>1295000</v>
      </c>
      <c r="K978" s="4" t="n">
        <v>1046000</v>
      </c>
      <c r="L978" s="5" t="n">
        <v>0.19305</v>
      </c>
      <c r="M978" s="4" t="n">
        <v>1</v>
      </c>
      <c r="N978" s="4" t="n">
        <v>0</v>
      </c>
      <c r="O978" s="4" t="n">
        <v>0</v>
      </c>
      <c r="P978" s="4" t="n">
        <v>0</v>
      </c>
      <c r="Q978" s="4" t="n">
        <v>0</v>
      </c>
      <c r="R978" s="4" t="n">
        <f aca="false">M978+N978+O978+P978+Q978</f>
        <v>1</v>
      </c>
      <c r="S978" s="4" t="n">
        <v>1</v>
      </c>
      <c r="T978" s="4" t="n">
        <f aca="false">R978*K978</f>
        <v>1046000</v>
      </c>
      <c r="U978" s="9" t="n">
        <f aca="false">IFERROR(M978/S978,0)</f>
        <v>1</v>
      </c>
      <c r="V978" s="5" t="n">
        <v>1</v>
      </c>
    </row>
    <row r="979" customFormat="false" ht="15" hidden="false" customHeight="false" outlineLevel="0" collapsed="false">
      <c r="A979" s="8" t="s">
        <v>87</v>
      </c>
      <c r="B979" s="8" t="s">
        <v>23</v>
      </c>
      <c r="C979" s="8" t="s">
        <v>1412</v>
      </c>
      <c r="D979" s="8" t="n">
        <v>143307</v>
      </c>
      <c r="E979" s="8" t="s">
        <v>1627</v>
      </c>
      <c r="F979" s="8" t="s">
        <v>829</v>
      </c>
      <c r="G979" s="8" t="s">
        <v>970</v>
      </c>
      <c r="H979" s="8" t="s">
        <v>51</v>
      </c>
      <c r="I979" s="8" t="s">
        <v>88</v>
      </c>
      <c r="J979" s="4" t="n">
        <v>1295000</v>
      </c>
      <c r="K979" s="4" t="n">
        <v>1046000</v>
      </c>
      <c r="L979" s="5" t="n">
        <v>0.19305</v>
      </c>
      <c r="M979" s="4" t="n">
        <v>1</v>
      </c>
      <c r="N979" s="4" t="n">
        <v>0</v>
      </c>
      <c r="O979" s="4" t="n">
        <v>0</v>
      </c>
      <c r="P979" s="4" t="n">
        <v>0</v>
      </c>
      <c r="Q979" s="4" t="n">
        <v>0</v>
      </c>
      <c r="R979" s="4" t="n">
        <f aca="false">M979+N979+O979+P979+Q979</f>
        <v>1</v>
      </c>
      <c r="S979" s="4" t="n">
        <v>1</v>
      </c>
      <c r="T979" s="4" t="n">
        <f aca="false">R979*K979</f>
        <v>1046000</v>
      </c>
      <c r="U979" s="9" t="n">
        <f aca="false">IFERROR(M979/S979,0)</f>
        <v>1</v>
      </c>
      <c r="V979" s="5" t="n">
        <v>1</v>
      </c>
    </row>
    <row r="980" customFormat="false" ht="15" hidden="false" customHeight="false" outlineLevel="0" collapsed="false">
      <c r="A980" s="8" t="s">
        <v>87</v>
      </c>
      <c r="B980" s="8" t="s">
        <v>23</v>
      </c>
      <c r="C980" s="8" t="s">
        <v>1412</v>
      </c>
      <c r="D980" s="8" t="n">
        <v>143308</v>
      </c>
      <c r="E980" s="8" t="s">
        <v>1628</v>
      </c>
      <c r="F980" s="8" t="s">
        <v>829</v>
      </c>
      <c r="G980" s="8" t="s">
        <v>970</v>
      </c>
      <c r="H980" s="8" t="s">
        <v>51</v>
      </c>
      <c r="I980" s="8" t="s">
        <v>88</v>
      </c>
      <c r="J980" s="4" t="n">
        <v>1295000</v>
      </c>
      <c r="K980" s="4" t="n">
        <v>1046000</v>
      </c>
      <c r="L980" s="5" t="n">
        <v>0.19305</v>
      </c>
      <c r="M980" s="4" t="n">
        <v>1</v>
      </c>
      <c r="N980" s="4" t="n">
        <v>0</v>
      </c>
      <c r="O980" s="4" t="n">
        <v>0</v>
      </c>
      <c r="P980" s="4" t="n">
        <v>0</v>
      </c>
      <c r="Q980" s="4" t="n">
        <v>0</v>
      </c>
      <c r="R980" s="4" t="n">
        <f aca="false">M980+N980+O980+P980+Q980</f>
        <v>1</v>
      </c>
      <c r="S980" s="4" t="n">
        <v>1</v>
      </c>
      <c r="T980" s="4" t="n">
        <f aca="false">R980*K980</f>
        <v>1046000</v>
      </c>
      <c r="U980" s="9" t="n">
        <f aca="false">IFERROR(M980/S980,0)</f>
        <v>1</v>
      </c>
      <c r="V980" s="5" t="n">
        <v>1</v>
      </c>
    </row>
    <row r="981" customFormat="false" ht="15" hidden="false" customHeight="false" outlineLevel="0" collapsed="false">
      <c r="A981" s="8" t="s">
        <v>87</v>
      </c>
      <c r="B981" s="8" t="s">
        <v>23</v>
      </c>
      <c r="C981" s="8" t="s">
        <v>1412</v>
      </c>
      <c r="D981" s="8" t="n">
        <v>143309</v>
      </c>
      <c r="E981" s="8" t="s">
        <v>1629</v>
      </c>
      <c r="F981" s="8" t="s">
        <v>829</v>
      </c>
      <c r="G981" s="8" t="s">
        <v>970</v>
      </c>
      <c r="H981" s="8" t="s">
        <v>51</v>
      </c>
      <c r="I981" s="8" t="s">
        <v>88</v>
      </c>
      <c r="J981" s="4" t="n">
        <v>1295000</v>
      </c>
      <c r="K981" s="4" t="n">
        <v>1046000</v>
      </c>
      <c r="L981" s="5" t="n">
        <v>0.19305</v>
      </c>
      <c r="M981" s="4" t="n">
        <v>1</v>
      </c>
      <c r="N981" s="4" t="n">
        <v>0</v>
      </c>
      <c r="O981" s="4" t="n">
        <v>0</v>
      </c>
      <c r="P981" s="4" t="n">
        <v>0</v>
      </c>
      <c r="Q981" s="4" t="n">
        <v>0</v>
      </c>
      <c r="R981" s="4" t="n">
        <f aca="false">M981+N981+O981+P981+Q981</f>
        <v>1</v>
      </c>
      <c r="S981" s="4" t="n">
        <v>1</v>
      </c>
      <c r="T981" s="4" t="n">
        <f aca="false">R981*K981</f>
        <v>1046000</v>
      </c>
      <c r="U981" s="9" t="n">
        <f aca="false">IFERROR(M981/S981,0)</f>
        <v>1</v>
      </c>
      <c r="V981" s="5" t="n">
        <v>1</v>
      </c>
    </row>
    <row r="982" customFormat="false" ht="15" hidden="false" customHeight="false" outlineLevel="0" collapsed="false">
      <c r="A982" s="8" t="s">
        <v>87</v>
      </c>
      <c r="B982" s="8" t="s">
        <v>23</v>
      </c>
      <c r="C982" s="8" t="s">
        <v>1412</v>
      </c>
      <c r="D982" s="8" t="n">
        <v>143311</v>
      </c>
      <c r="E982" s="8" t="s">
        <v>1630</v>
      </c>
      <c r="F982" s="8" t="s">
        <v>829</v>
      </c>
      <c r="G982" s="8" t="s">
        <v>970</v>
      </c>
      <c r="H982" s="8" t="s">
        <v>51</v>
      </c>
      <c r="I982" s="8" t="s">
        <v>88</v>
      </c>
      <c r="J982" s="4" t="n">
        <v>1295000</v>
      </c>
      <c r="K982" s="4" t="n">
        <v>1046000</v>
      </c>
      <c r="L982" s="5" t="n">
        <v>0.19305</v>
      </c>
      <c r="M982" s="4" t="n">
        <v>1</v>
      </c>
      <c r="N982" s="4" t="n">
        <v>0</v>
      </c>
      <c r="O982" s="4" t="n">
        <v>0</v>
      </c>
      <c r="P982" s="4" t="n">
        <v>0</v>
      </c>
      <c r="Q982" s="4" t="n">
        <v>0</v>
      </c>
      <c r="R982" s="4" t="n">
        <f aca="false">M982+N982+O982+P982+Q982</f>
        <v>1</v>
      </c>
      <c r="S982" s="4" t="n">
        <v>1</v>
      </c>
      <c r="T982" s="4" t="n">
        <f aca="false">R982*K982</f>
        <v>1046000</v>
      </c>
      <c r="U982" s="9" t="n">
        <f aca="false">IFERROR(M982/S982,0)</f>
        <v>1</v>
      </c>
      <c r="V982" s="5" t="n">
        <v>1</v>
      </c>
    </row>
    <row r="983" customFormat="false" ht="15" hidden="false" customHeight="false" outlineLevel="0" collapsed="false">
      <c r="A983" s="8" t="s">
        <v>87</v>
      </c>
      <c r="B983" s="8" t="s">
        <v>23</v>
      </c>
      <c r="C983" s="8" t="s">
        <v>1412</v>
      </c>
      <c r="D983" s="8" t="n">
        <v>143312</v>
      </c>
      <c r="E983" s="8" t="s">
        <v>1631</v>
      </c>
      <c r="F983" s="8" t="s">
        <v>829</v>
      </c>
      <c r="G983" s="8" t="s">
        <v>970</v>
      </c>
      <c r="H983" s="8" t="s">
        <v>51</v>
      </c>
      <c r="I983" s="8" t="s">
        <v>88</v>
      </c>
      <c r="J983" s="4" t="n">
        <v>1295000</v>
      </c>
      <c r="K983" s="4" t="n">
        <v>1046000</v>
      </c>
      <c r="L983" s="5" t="n">
        <v>0.19305</v>
      </c>
      <c r="M983" s="4" t="n">
        <v>1</v>
      </c>
      <c r="N983" s="4" t="n">
        <v>0</v>
      </c>
      <c r="O983" s="4" t="n">
        <v>0</v>
      </c>
      <c r="P983" s="4" t="n">
        <v>0</v>
      </c>
      <c r="Q983" s="4" t="n">
        <v>0</v>
      </c>
      <c r="R983" s="4" t="n">
        <f aca="false">M983+N983+O983+P983+Q983</f>
        <v>1</v>
      </c>
      <c r="S983" s="4" t="n">
        <v>1</v>
      </c>
      <c r="T983" s="4" t="n">
        <f aca="false">R983*K983</f>
        <v>1046000</v>
      </c>
      <c r="U983" s="9" t="n">
        <f aca="false">IFERROR(M983/S983,0)</f>
        <v>1</v>
      </c>
      <c r="V983" s="5" t="n">
        <v>1</v>
      </c>
    </row>
    <row r="984" customFormat="false" ht="15" hidden="false" customHeight="false" outlineLevel="0" collapsed="false">
      <c r="A984" s="8" t="s">
        <v>87</v>
      </c>
      <c r="B984" s="8" t="s">
        <v>23</v>
      </c>
      <c r="C984" s="8" t="s">
        <v>1412</v>
      </c>
      <c r="D984" s="8" t="n">
        <v>143313</v>
      </c>
      <c r="E984" s="8" t="s">
        <v>1632</v>
      </c>
      <c r="F984" s="8" t="s">
        <v>829</v>
      </c>
      <c r="G984" s="8" t="s">
        <v>970</v>
      </c>
      <c r="H984" s="8" t="s">
        <v>51</v>
      </c>
      <c r="I984" s="8" t="s">
        <v>88</v>
      </c>
      <c r="J984" s="4" t="n">
        <v>1790000</v>
      </c>
      <c r="K984" s="4" t="n">
        <v>1541000</v>
      </c>
      <c r="L984" s="5" t="n">
        <v>0.13966</v>
      </c>
      <c r="M984" s="4" t="n">
        <v>1</v>
      </c>
      <c r="N984" s="4" t="n">
        <v>0</v>
      </c>
      <c r="O984" s="4" t="n">
        <v>0</v>
      </c>
      <c r="P984" s="4" t="n">
        <v>0</v>
      </c>
      <c r="Q984" s="4" t="n">
        <v>0</v>
      </c>
      <c r="R984" s="4" t="n">
        <f aca="false">M984+N984+O984+P984+Q984</f>
        <v>1</v>
      </c>
      <c r="S984" s="4" t="n">
        <v>1</v>
      </c>
      <c r="T984" s="4" t="n">
        <f aca="false">R984*K984</f>
        <v>1541000</v>
      </c>
      <c r="U984" s="9" t="n">
        <f aca="false">IFERROR(M984/S984,0)</f>
        <v>1</v>
      </c>
      <c r="V984" s="5" t="n">
        <v>1</v>
      </c>
    </row>
    <row r="985" customFormat="false" ht="15" hidden="false" customHeight="false" outlineLevel="0" collapsed="false">
      <c r="A985" s="8" t="s">
        <v>87</v>
      </c>
      <c r="B985" s="8" t="s">
        <v>23</v>
      </c>
      <c r="C985" s="8" t="s">
        <v>1412</v>
      </c>
      <c r="D985" s="8" t="n">
        <v>143314</v>
      </c>
      <c r="E985" s="8" t="s">
        <v>1633</v>
      </c>
      <c r="F985" s="8" t="s">
        <v>829</v>
      </c>
      <c r="G985" s="8" t="s">
        <v>970</v>
      </c>
      <c r="H985" s="8" t="s">
        <v>51</v>
      </c>
      <c r="I985" s="8" t="s">
        <v>88</v>
      </c>
      <c r="J985" s="4" t="n">
        <v>1790000</v>
      </c>
      <c r="K985" s="4" t="n">
        <v>1541000</v>
      </c>
      <c r="L985" s="5" t="n">
        <v>0.13966</v>
      </c>
      <c r="M985" s="4" t="n">
        <v>1</v>
      </c>
      <c r="N985" s="4" t="n">
        <v>0</v>
      </c>
      <c r="O985" s="4" t="n">
        <v>0</v>
      </c>
      <c r="P985" s="4" t="n">
        <v>0</v>
      </c>
      <c r="Q985" s="4" t="n">
        <v>0</v>
      </c>
      <c r="R985" s="4" t="n">
        <f aca="false">M985+N985+O985+P985+Q985</f>
        <v>1</v>
      </c>
      <c r="S985" s="4" t="n">
        <v>1</v>
      </c>
      <c r="T985" s="4" t="n">
        <f aca="false">R985*K985</f>
        <v>1541000</v>
      </c>
      <c r="U985" s="9" t="n">
        <f aca="false">IFERROR(M985/S985,0)</f>
        <v>1</v>
      </c>
      <c r="V985" s="5" t="n">
        <v>1</v>
      </c>
    </row>
    <row r="986" customFormat="false" ht="15" hidden="false" customHeight="false" outlineLevel="0" collapsed="false">
      <c r="A986" s="8" t="s">
        <v>87</v>
      </c>
      <c r="B986" s="8" t="s">
        <v>23</v>
      </c>
      <c r="C986" s="8" t="s">
        <v>1412</v>
      </c>
      <c r="D986" s="8" t="n">
        <v>143316</v>
      </c>
      <c r="E986" s="8" t="s">
        <v>1634</v>
      </c>
      <c r="F986" s="8" t="s">
        <v>829</v>
      </c>
      <c r="G986" s="8" t="s">
        <v>970</v>
      </c>
      <c r="H986" s="8" t="s">
        <v>51</v>
      </c>
      <c r="I986" s="8" t="s">
        <v>88</v>
      </c>
      <c r="J986" s="4" t="n">
        <v>1790000</v>
      </c>
      <c r="K986" s="4" t="n">
        <v>1541000</v>
      </c>
      <c r="L986" s="5" t="n">
        <v>0.13966</v>
      </c>
      <c r="M986" s="4" t="n">
        <v>1</v>
      </c>
      <c r="N986" s="4" t="n">
        <v>0</v>
      </c>
      <c r="O986" s="4" t="n">
        <v>0</v>
      </c>
      <c r="P986" s="4" t="n">
        <v>0</v>
      </c>
      <c r="Q986" s="4" t="n">
        <v>0</v>
      </c>
      <c r="R986" s="4" t="n">
        <f aca="false">M986+N986+O986+P986+Q986</f>
        <v>1</v>
      </c>
      <c r="S986" s="4" t="n">
        <v>1</v>
      </c>
      <c r="T986" s="4" t="n">
        <f aca="false">R986*K986</f>
        <v>1541000</v>
      </c>
      <c r="U986" s="9" t="n">
        <f aca="false">IFERROR(M986/S986,0)</f>
        <v>1</v>
      </c>
      <c r="V986" s="5" t="n">
        <v>1</v>
      </c>
    </row>
    <row r="987" customFormat="false" ht="15" hidden="false" customHeight="false" outlineLevel="0" collapsed="false">
      <c r="A987" s="8" t="s">
        <v>87</v>
      </c>
      <c r="B987" s="8" t="s">
        <v>23</v>
      </c>
      <c r="C987" s="8" t="s">
        <v>1412</v>
      </c>
      <c r="D987" s="8" t="n">
        <v>143319</v>
      </c>
      <c r="E987" s="8" t="s">
        <v>1635</v>
      </c>
      <c r="F987" s="8" t="s">
        <v>829</v>
      </c>
      <c r="G987" s="8" t="s">
        <v>970</v>
      </c>
      <c r="H987" s="8" t="s">
        <v>51</v>
      </c>
      <c r="I987" s="8" t="s">
        <v>88</v>
      </c>
      <c r="J987" s="4" t="n">
        <v>1790000</v>
      </c>
      <c r="K987" s="4" t="n">
        <v>1541000</v>
      </c>
      <c r="L987" s="5" t="n">
        <v>0.13966</v>
      </c>
      <c r="M987" s="4" t="n">
        <v>1</v>
      </c>
      <c r="N987" s="4" t="n">
        <v>0</v>
      </c>
      <c r="O987" s="4" t="n">
        <v>0</v>
      </c>
      <c r="P987" s="4" t="n">
        <v>0</v>
      </c>
      <c r="Q987" s="4" t="n">
        <v>0</v>
      </c>
      <c r="R987" s="4" t="n">
        <f aca="false">M987+N987+O987+P987+Q987</f>
        <v>1</v>
      </c>
      <c r="S987" s="4" t="n">
        <v>1</v>
      </c>
      <c r="T987" s="4" t="n">
        <f aca="false">R987*K987</f>
        <v>1541000</v>
      </c>
      <c r="U987" s="9" t="n">
        <f aca="false">IFERROR(M987/S987,0)</f>
        <v>1</v>
      </c>
      <c r="V987" s="5" t="n">
        <v>1</v>
      </c>
    </row>
    <row r="988" customFormat="false" ht="15" hidden="false" customHeight="false" outlineLevel="0" collapsed="false">
      <c r="A988" s="8" t="s">
        <v>87</v>
      </c>
      <c r="B988" s="8" t="s">
        <v>23</v>
      </c>
      <c r="C988" s="8" t="s">
        <v>1412</v>
      </c>
      <c r="D988" s="8" t="n">
        <v>143028</v>
      </c>
      <c r="E988" s="8" t="s">
        <v>828</v>
      </c>
      <c r="F988" s="8" t="s">
        <v>829</v>
      </c>
      <c r="G988" s="8" t="s">
        <v>970</v>
      </c>
      <c r="H988" s="8" t="s">
        <v>51</v>
      </c>
      <c r="I988" s="8" t="s">
        <v>88</v>
      </c>
      <c r="J988" s="4" t="n">
        <v>1090000</v>
      </c>
      <c r="K988" s="4" t="n">
        <v>840000</v>
      </c>
      <c r="L988" s="5" t="n">
        <v>0.22936</v>
      </c>
      <c r="M988" s="4" t="n">
        <v>0</v>
      </c>
      <c r="N988" s="4" t="n">
        <v>0</v>
      </c>
      <c r="O988" s="4" t="n">
        <v>0</v>
      </c>
      <c r="P988" s="4" t="n">
        <v>0</v>
      </c>
      <c r="Q988" s="4" t="n">
        <v>0</v>
      </c>
      <c r="R988" s="4" t="n">
        <f aca="false">M988+N988+O988+P988+Q988</f>
        <v>0</v>
      </c>
      <c r="S988" s="4" t="n">
        <v>0</v>
      </c>
      <c r="T988" s="4" t="n">
        <f aca="false">R988*K988</f>
        <v>0</v>
      </c>
      <c r="U988" s="9" t="n">
        <f aca="false">IFERROR(M988/S988,0)</f>
        <v>0</v>
      </c>
      <c r="V988" s="5" t="n">
        <v>1</v>
      </c>
    </row>
    <row r="989" customFormat="false" ht="15" hidden="false" customHeight="false" outlineLevel="0" collapsed="false">
      <c r="A989" s="8" t="s">
        <v>87</v>
      </c>
      <c r="B989" s="8" t="s">
        <v>23</v>
      </c>
      <c r="C989" s="8" t="s">
        <v>1412</v>
      </c>
      <c r="D989" s="8" t="n">
        <v>143034</v>
      </c>
      <c r="E989" s="8" t="s">
        <v>830</v>
      </c>
      <c r="F989" s="8" t="s">
        <v>829</v>
      </c>
      <c r="G989" s="8" t="s">
        <v>970</v>
      </c>
      <c r="H989" s="8" t="s">
        <v>51</v>
      </c>
      <c r="I989" s="8" t="s">
        <v>88</v>
      </c>
      <c r="J989" s="4" t="n">
        <v>1090000</v>
      </c>
      <c r="K989" s="4" t="n">
        <v>840000</v>
      </c>
      <c r="L989" s="5" t="n">
        <v>0.22936</v>
      </c>
      <c r="M989" s="4" t="n">
        <v>0</v>
      </c>
      <c r="N989" s="4" t="n">
        <v>0</v>
      </c>
      <c r="O989" s="4" t="n">
        <v>0</v>
      </c>
      <c r="P989" s="4" t="n">
        <v>0</v>
      </c>
      <c r="Q989" s="4" t="n">
        <v>0</v>
      </c>
      <c r="R989" s="4" t="n">
        <f aca="false">M989+N989+O989+P989+Q989</f>
        <v>0</v>
      </c>
      <c r="S989" s="4" t="n">
        <v>0</v>
      </c>
      <c r="T989" s="4" t="n">
        <f aca="false">R989*K989</f>
        <v>0</v>
      </c>
      <c r="U989" s="9" t="n">
        <f aca="false">IFERROR(M989/S989,0)</f>
        <v>0</v>
      </c>
      <c r="V989" s="5" t="n">
        <v>1</v>
      </c>
    </row>
    <row r="990" customFormat="false" ht="15" hidden="false" customHeight="false" outlineLevel="0" collapsed="false">
      <c r="A990" s="8" t="s">
        <v>87</v>
      </c>
      <c r="B990" s="8" t="s">
        <v>23</v>
      </c>
      <c r="C990" s="8" t="s">
        <v>1412</v>
      </c>
      <c r="D990" s="8" t="n">
        <v>143108</v>
      </c>
      <c r="E990" s="8" t="s">
        <v>831</v>
      </c>
      <c r="F990" s="8" t="s">
        <v>829</v>
      </c>
      <c r="G990" s="8" t="s">
        <v>970</v>
      </c>
      <c r="H990" s="8" t="s">
        <v>51</v>
      </c>
      <c r="I990" s="8" t="s">
        <v>88</v>
      </c>
      <c r="J990" s="4" t="n">
        <v>1790000</v>
      </c>
      <c r="K990" s="4" t="n">
        <v>1541000</v>
      </c>
      <c r="L990" s="5" t="n">
        <v>0.13966</v>
      </c>
      <c r="M990" s="4" t="n">
        <v>0</v>
      </c>
      <c r="N990" s="4" t="n">
        <v>0</v>
      </c>
      <c r="O990" s="4" t="n">
        <v>0</v>
      </c>
      <c r="P990" s="4" t="n">
        <v>0</v>
      </c>
      <c r="Q990" s="4" t="n">
        <v>0</v>
      </c>
      <c r="R990" s="4" t="n">
        <f aca="false">M990+N990+O990+P990+Q990</f>
        <v>0</v>
      </c>
      <c r="S990" s="4" t="n">
        <v>0</v>
      </c>
      <c r="T990" s="4" t="n">
        <f aca="false">R990*K990</f>
        <v>0</v>
      </c>
      <c r="U990" s="9" t="n">
        <f aca="false">IFERROR(M990/S990,0)</f>
        <v>0</v>
      </c>
      <c r="V990" s="5" t="n">
        <v>1</v>
      </c>
    </row>
    <row r="991" customFormat="false" ht="15" hidden="false" customHeight="false" outlineLevel="0" collapsed="false">
      <c r="A991" s="8" t="s">
        <v>87</v>
      </c>
      <c r="B991" s="8" t="s">
        <v>23</v>
      </c>
      <c r="C991" s="8" t="s">
        <v>1412</v>
      </c>
      <c r="D991" s="8" t="n">
        <v>143271</v>
      </c>
      <c r="E991" s="8" t="s">
        <v>832</v>
      </c>
      <c r="F991" s="8" t="s">
        <v>829</v>
      </c>
      <c r="G991" s="8" t="s">
        <v>970</v>
      </c>
      <c r="H991" s="8" t="s">
        <v>51</v>
      </c>
      <c r="I991" s="8" t="s">
        <v>88</v>
      </c>
      <c r="J991" s="4" t="n">
        <v>1090000</v>
      </c>
      <c r="K991" s="4" t="n">
        <v>840000</v>
      </c>
      <c r="L991" s="5" t="n">
        <v>0.22936</v>
      </c>
      <c r="M991" s="4" t="n">
        <v>0</v>
      </c>
      <c r="N991" s="4" t="n">
        <v>0</v>
      </c>
      <c r="O991" s="4" t="n">
        <v>0</v>
      </c>
      <c r="P991" s="4" t="n">
        <v>0</v>
      </c>
      <c r="Q991" s="4" t="n">
        <v>0</v>
      </c>
      <c r="R991" s="4" t="n">
        <f aca="false">M991+N991+O991+P991+Q991</f>
        <v>0</v>
      </c>
      <c r="S991" s="4" t="n">
        <v>0</v>
      </c>
      <c r="T991" s="4" t="n">
        <f aca="false">R991*K991</f>
        <v>0</v>
      </c>
      <c r="U991" s="9" t="n">
        <f aca="false">IFERROR(M991/S991,0)</f>
        <v>0</v>
      </c>
      <c r="V991" s="5" t="n">
        <v>1</v>
      </c>
    </row>
    <row r="992" customFormat="false" ht="15" hidden="false" customHeight="false" outlineLevel="0" collapsed="false">
      <c r="A992" s="8" t="s">
        <v>87</v>
      </c>
      <c r="B992" s="8" t="s">
        <v>23</v>
      </c>
      <c r="C992" s="8" t="s">
        <v>1412</v>
      </c>
      <c r="D992" s="8" t="n">
        <v>142571</v>
      </c>
      <c r="E992" s="8" t="s">
        <v>833</v>
      </c>
      <c r="F992" s="8" t="s">
        <v>794</v>
      </c>
      <c r="G992" s="8" t="s">
        <v>961</v>
      </c>
      <c r="H992" s="8" t="s">
        <v>51</v>
      </c>
      <c r="I992" s="8" t="s">
        <v>88</v>
      </c>
      <c r="J992" s="4" t="n">
        <v>1190000</v>
      </c>
      <c r="K992" s="4" t="n">
        <v>941000</v>
      </c>
      <c r="L992" s="5" t="n">
        <v>0.21008</v>
      </c>
      <c r="M992" s="4" t="n">
        <v>0</v>
      </c>
      <c r="N992" s="4" t="n">
        <v>0</v>
      </c>
      <c r="O992" s="4" t="n">
        <v>0</v>
      </c>
      <c r="P992" s="4" t="n">
        <v>0</v>
      </c>
      <c r="Q992" s="4" t="n">
        <v>0</v>
      </c>
      <c r="R992" s="4" t="n">
        <f aca="false">M992+N992+O992+P992+Q992</f>
        <v>0</v>
      </c>
      <c r="S992" s="4" t="n">
        <v>0</v>
      </c>
      <c r="T992" s="4" t="n">
        <f aca="false">R992*K992</f>
        <v>0</v>
      </c>
      <c r="U992" s="9" t="n">
        <f aca="false">IFERROR(M992/S992,0)</f>
        <v>0</v>
      </c>
      <c r="V992" s="5" t="n">
        <v>0.1339</v>
      </c>
    </row>
    <row r="993" customFormat="false" ht="15" hidden="false" customHeight="false" outlineLevel="0" collapsed="false">
      <c r="A993" s="8" t="s">
        <v>87</v>
      </c>
      <c r="B993" s="8" t="s">
        <v>23</v>
      </c>
      <c r="C993" s="8" t="s">
        <v>1412</v>
      </c>
      <c r="D993" s="8" t="n">
        <v>142572</v>
      </c>
      <c r="E993" s="8" t="s">
        <v>834</v>
      </c>
      <c r="F993" s="8" t="s">
        <v>794</v>
      </c>
      <c r="G993" s="8" t="s">
        <v>961</v>
      </c>
      <c r="H993" s="8" t="s">
        <v>51</v>
      </c>
      <c r="I993" s="8" t="s">
        <v>88</v>
      </c>
      <c r="J993" s="4" t="n">
        <v>1190000</v>
      </c>
      <c r="K993" s="4" t="n">
        <v>941000</v>
      </c>
      <c r="L993" s="5" t="n">
        <v>0.21008</v>
      </c>
      <c r="M993" s="4" t="n">
        <v>0</v>
      </c>
      <c r="N993" s="4" t="n">
        <v>0</v>
      </c>
      <c r="O993" s="4" t="n">
        <v>0</v>
      </c>
      <c r="P993" s="4" t="n">
        <v>0</v>
      </c>
      <c r="Q993" s="4" t="n">
        <v>0</v>
      </c>
      <c r="R993" s="4" t="n">
        <f aca="false">M993+N993+O993+P993+Q993</f>
        <v>0</v>
      </c>
      <c r="S993" s="4" t="n">
        <v>0</v>
      </c>
      <c r="T993" s="4" t="n">
        <f aca="false">R993*K993</f>
        <v>0</v>
      </c>
      <c r="U993" s="9" t="n">
        <f aca="false">IFERROR(M993/S993,0)</f>
        <v>0</v>
      </c>
      <c r="V993" s="5" t="n">
        <v>0.1339</v>
      </c>
    </row>
    <row r="994" customFormat="false" ht="15" hidden="false" customHeight="false" outlineLevel="0" collapsed="false">
      <c r="A994" s="8" t="s">
        <v>87</v>
      </c>
      <c r="B994" s="8" t="s">
        <v>23</v>
      </c>
      <c r="C994" s="8" t="s">
        <v>1412</v>
      </c>
      <c r="D994" s="8" t="n">
        <v>142573</v>
      </c>
      <c r="E994" s="8" t="s">
        <v>835</v>
      </c>
      <c r="F994" s="8" t="s">
        <v>794</v>
      </c>
      <c r="G994" s="8" t="s">
        <v>961</v>
      </c>
      <c r="H994" s="8" t="s">
        <v>51</v>
      </c>
      <c r="I994" s="8" t="s">
        <v>88</v>
      </c>
      <c r="J994" s="4" t="n">
        <v>1190000</v>
      </c>
      <c r="K994" s="4" t="n">
        <v>941000</v>
      </c>
      <c r="L994" s="5" t="n">
        <v>0.21008</v>
      </c>
      <c r="M994" s="4" t="n">
        <v>0</v>
      </c>
      <c r="N994" s="4" t="n">
        <v>0</v>
      </c>
      <c r="O994" s="4" t="n">
        <v>0</v>
      </c>
      <c r="P994" s="4" t="n">
        <v>0</v>
      </c>
      <c r="Q994" s="4" t="n">
        <v>0</v>
      </c>
      <c r="R994" s="4" t="n">
        <f aca="false">M994+N994+O994+P994+Q994</f>
        <v>0</v>
      </c>
      <c r="S994" s="4" t="n">
        <v>0</v>
      </c>
      <c r="T994" s="4" t="n">
        <f aca="false">R994*K994</f>
        <v>0</v>
      </c>
      <c r="U994" s="9" t="n">
        <f aca="false">IFERROR(M994/S994,0)</f>
        <v>0</v>
      </c>
      <c r="V994" s="5" t="n">
        <v>0.1339</v>
      </c>
    </row>
    <row r="995" customFormat="false" ht="15" hidden="false" customHeight="false" outlineLevel="0" collapsed="false">
      <c r="A995" s="8" t="s">
        <v>87</v>
      </c>
      <c r="B995" s="8" t="s">
        <v>23</v>
      </c>
      <c r="C995" s="8" t="s">
        <v>1412</v>
      </c>
      <c r="D995" s="8" t="n">
        <v>142574</v>
      </c>
      <c r="E995" s="8" t="s">
        <v>836</v>
      </c>
      <c r="F995" s="8" t="s">
        <v>767</v>
      </c>
      <c r="G995" s="8" t="s">
        <v>961</v>
      </c>
      <c r="H995" s="8" t="s">
        <v>51</v>
      </c>
      <c r="I995" s="8" t="s">
        <v>88</v>
      </c>
      <c r="J995" s="4" t="n">
        <v>1190000</v>
      </c>
      <c r="K995" s="4" t="n">
        <v>941000</v>
      </c>
      <c r="L995" s="5" t="n">
        <v>0.21008</v>
      </c>
      <c r="M995" s="4" t="n">
        <v>0</v>
      </c>
      <c r="N995" s="4" t="n">
        <v>0</v>
      </c>
      <c r="O995" s="4" t="n">
        <v>0</v>
      </c>
      <c r="P995" s="4" t="n">
        <v>0</v>
      </c>
      <c r="Q995" s="4" t="n">
        <v>0</v>
      </c>
      <c r="R995" s="4" t="n">
        <f aca="false">M995+N995+O995+P995+Q995</f>
        <v>0</v>
      </c>
      <c r="S995" s="4" t="n">
        <v>0</v>
      </c>
      <c r="T995" s="4" t="n">
        <f aca="false">R995*K995</f>
        <v>0</v>
      </c>
      <c r="U995" s="9" t="n">
        <f aca="false">IFERROR(M995/S995,0)</f>
        <v>0</v>
      </c>
      <c r="V995" s="5" t="n">
        <v>0.1339</v>
      </c>
    </row>
    <row r="996" customFormat="false" ht="15" hidden="false" customHeight="false" outlineLevel="0" collapsed="false">
      <c r="A996" s="8" t="s">
        <v>87</v>
      </c>
      <c r="B996" s="8" t="s">
        <v>23</v>
      </c>
      <c r="C996" s="8" t="s">
        <v>1412</v>
      </c>
      <c r="D996" s="8" t="n">
        <v>142575</v>
      </c>
      <c r="E996" s="8" t="s">
        <v>837</v>
      </c>
      <c r="F996" s="8" t="s">
        <v>794</v>
      </c>
      <c r="G996" s="8" t="s">
        <v>961</v>
      </c>
      <c r="H996" s="8" t="s">
        <v>51</v>
      </c>
      <c r="I996" s="8" t="s">
        <v>88</v>
      </c>
      <c r="J996" s="4" t="n">
        <v>1190000</v>
      </c>
      <c r="K996" s="4" t="n">
        <v>941000</v>
      </c>
      <c r="L996" s="5" t="n">
        <v>0.21008</v>
      </c>
      <c r="M996" s="4" t="n">
        <v>0</v>
      </c>
      <c r="N996" s="4" t="n">
        <v>0</v>
      </c>
      <c r="O996" s="4" t="n">
        <v>0</v>
      </c>
      <c r="P996" s="4" t="n">
        <v>0</v>
      </c>
      <c r="Q996" s="4" t="n">
        <v>0</v>
      </c>
      <c r="R996" s="4" t="n">
        <f aca="false">M996+N996+O996+P996+Q996</f>
        <v>0</v>
      </c>
      <c r="S996" s="4" t="n">
        <v>0</v>
      </c>
      <c r="T996" s="4" t="n">
        <f aca="false">R996*K996</f>
        <v>0</v>
      </c>
      <c r="U996" s="9" t="n">
        <f aca="false">IFERROR(M996/S996,0)</f>
        <v>0</v>
      </c>
      <c r="V996" s="5" t="n">
        <v>0.1339</v>
      </c>
    </row>
    <row r="997" customFormat="false" ht="15" hidden="false" customHeight="false" outlineLevel="0" collapsed="false">
      <c r="A997" s="8" t="s">
        <v>87</v>
      </c>
      <c r="B997" s="8" t="s">
        <v>23</v>
      </c>
      <c r="C997" s="8" t="s">
        <v>1412</v>
      </c>
      <c r="D997" s="8" t="n">
        <v>142576</v>
      </c>
      <c r="E997" s="8" t="s">
        <v>838</v>
      </c>
      <c r="F997" s="8" t="s">
        <v>794</v>
      </c>
      <c r="G997" s="8" t="s">
        <v>961</v>
      </c>
      <c r="H997" s="8" t="s">
        <v>51</v>
      </c>
      <c r="I997" s="8" t="s">
        <v>88</v>
      </c>
      <c r="J997" s="4" t="n">
        <v>1190000</v>
      </c>
      <c r="K997" s="4" t="n">
        <v>941000</v>
      </c>
      <c r="L997" s="5" t="n">
        <v>0.21008</v>
      </c>
      <c r="M997" s="4" t="n">
        <v>0</v>
      </c>
      <c r="N997" s="4" t="n">
        <v>0</v>
      </c>
      <c r="O997" s="4" t="n">
        <v>0</v>
      </c>
      <c r="P997" s="4" t="n">
        <v>0</v>
      </c>
      <c r="Q997" s="4" t="n">
        <v>0</v>
      </c>
      <c r="R997" s="4" t="n">
        <f aca="false">M997+N997+O997+P997+Q997</f>
        <v>0</v>
      </c>
      <c r="S997" s="4" t="n">
        <v>0</v>
      </c>
      <c r="T997" s="4" t="n">
        <f aca="false">R997*K997</f>
        <v>0</v>
      </c>
      <c r="U997" s="9" t="n">
        <f aca="false">IFERROR(M997/S997,0)</f>
        <v>0</v>
      </c>
      <c r="V997" s="5" t="n">
        <v>0.1339</v>
      </c>
    </row>
    <row r="998" customFormat="false" ht="15" hidden="false" customHeight="false" outlineLevel="0" collapsed="false">
      <c r="A998" s="8" t="s">
        <v>87</v>
      </c>
      <c r="B998" s="8" t="s">
        <v>23</v>
      </c>
      <c r="C998" s="8" t="s">
        <v>1412</v>
      </c>
      <c r="D998" s="8" t="n">
        <v>142577</v>
      </c>
      <c r="E998" s="8" t="s">
        <v>839</v>
      </c>
      <c r="F998" s="8" t="s">
        <v>794</v>
      </c>
      <c r="G998" s="8" t="s">
        <v>961</v>
      </c>
      <c r="H998" s="8" t="s">
        <v>51</v>
      </c>
      <c r="I998" s="8" t="s">
        <v>88</v>
      </c>
      <c r="J998" s="4" t="n">
        <v>1190000</v>
      </c>
      <c r="K998" s="4" t="n">
        <v>941000</v>
      </c>
      <c r="L998" s="5" t="n">
        <v>0.21008</v>
      </c>
      <c r="M998" s="4" t="n">
        <v>0</v>
      </c>
      <c r="N998" s="4" t="n">
        <v>0</v>
      </c>
      <c r="O998" s="4" t="n">
        <v>0</v>
      </c>
      <c r="P998" s="4" t="n">
        <v>0</v>
      </c>
      <c r="Q998" s="4" t="n">
        <v>0</v>
      </c>
      <c r="R998" s="4" t="n">
        <f aca="false">M998+N998+O998+P998+Q998</f>
        <v>0</v>
      </c>
      <c r="S998" s="4" t="n">
        <v>0</v>
      </c>
      <c r="T998" s="4" t="n">
        <f aca="false">R998*K998</f>
        <v>0</v>
      </c>
      <c r="U998" s="9" t="n">
        <f aca="false">IFERROR(M998/S998,0)</f>
        <v>0</v>
      </c>
      <c r="V998" s="5" t="n">
        <v>0.1339</v>
      </c>
    </row>
    <row r="999" customFormat="false" ht="15" hidden="false" customHeight="false" outlineLevel="0" collapsed="false">
      <c r="A999" s="8" t="s">
        <v>87</v>
      </c>
      <c r="B999" s="8" t="s">
        <v>23</v>
      </c>
      <c r="C999" s="8" t="s">
        <v>1412</v>
      </c>
      <c r="D999" s="8" t="n">
        <v>142578</v>
      </c>
      <c r="E999" s="8" t="s">
        <v>840</v>
      </c>
      <c r="F999" s="8" t="s">
        <v>794</v>
      </c>
      <c r="G999" s="8" t="s">
        <v>961</v>
      </c>
      <c r="H999" s="8" t="s">
        <v>51</v>
      </c>
      <c r="I999" s="8" t="s">
        <v>88</v>
      </c>
      <c r="J999" s="4" t="n">
        <v>1190000</v>
      </c>
      <c r="K999" s="4" t="n">
        <v>941000</v>
      </c>
      <c r="L999" s="5" t="n">
        <v>0.21008</v>
      </c>
      <c r="M999" s="4" t="n">
        <v>0</v>
      </c>
      <c r="N999" s="4" t="n">
        <v>0</v>
      </c>
      <c r="O999" s="4" t="n">
        <v>0</v>
      </c>
      <c r="P999" s="4" t="n">
        <v>0</v>
      </c>
      <c r="Q999" s="4" t="n">
        <v>0</v>
      </c>
      <c r="R999" s="4" t="n">
        <f aca="false">M999+N999+O999+P999+Q999</f>
        <v>0</v>
      </c>
      <c r="S999" s="4" t="n">
        <v>0</v>
      </c>
      <c r="T999" s="4" t="n">
        <f aca="false">R999*K999</f>
        <v>0</v>
      </c>
      <c r="U999" s="9" t="n">
        <f aca="false">IFERROR(M999/S999,0)</f>
        <v>0</v>
      </c>
      <c r="V999" s="5" t="n">
        <v>0.1339</v>
      </c>
    </row>
    <row r="1000" customFormat="false" ht="15" hidden="false" customHeight="false" outlineLevel="0" collapsed="false">
      <c r="A1000" s="8" t="s">
        <v>87</v>
      </c>
      <c r="B1000" s="8" t="s">
        <v>23</v>
      </c>
      <c r="C1000" s="8" t="s">
        <v>1412</v>
      </c>
      <c r="D1000" s="8" t="n">
        <v>142579</v>
      </c>
      <c r="E1000" s="8" t="s">
        <v>841</v>
      </c>
      <c r="F1000" s="8" t="s">
        <v>794</v>
      </c>
      <c r="G1000" s="8" t="s">
        <v>961</v>
      </c>
      <c r="H1000" s="8" t="s">
        <v>51</v>
      </c>
      <c r="I1000" s="8" t="s">
        <v>88</v>
      </c>
      <c r="J1000" s="4" t="n">
        <v>1190000</v>
      </c>
      <c r="K1000" s="4" t="n">
        <v>941000</v>
      </c>
      <c r="L1000" s="5" t="n">
        <v>0.21008</v>
      </c>
      <c r="M1000" s="4" t="n">
        <v>0</v>
      </c>
      <c r="N1000" s="4" t="n">
        <v>0</v>
      </c>
      <c r="O1000" s="4" t="n">
        <v>0</v>
      </c>
      <c r="P1000" s="4" t="n">
        <v>0</v>
      </c>
      <c r="Q1000" s="4" t="n">
        <v>0</v>
      </c>
      <c r="R1000" s="4" t="n">
        <f aca="false">M1000+N1000+O1000+P1000+Q1000</f>
        <v>0</v>
      </c>
      <c r="S1000" s="4" t="n">
        <v>0</v>
      </c>
      <c r="T1000" s="4" t="n">
        <f aca="false">R1000*K1000</f>
        <v>0</v>
      </c>
      <c r="U1000" s="9" t="n">
        <f aca="false">IFERROR(M1000/S1000,0)</f>
        <v>0</v>
      </c>
      <c r="V1000" s="5" t="n">
        <v>0.1339</v>
      </c>
    </row>
    <row r="1001" customFormat="false" ht="15" hidden="false" customHeight="false" outlineLevel="0" collapsed="false">
      <c r="A1001" s="8" t="s">
        <v>87</v>
      </c>
      <c r="B1001" s="8" t="s">
        <v>23</v>
      </c>
      <c r="C1001" s="8" t="s">
        <v>1412</v>
      </c>
      <c r="D1001" s="8" t="n">
        <v>142580</v>
      </c>
      <c r="E1001" s="8" t="s">
        <v>842</v>
      </c>
      <c r="F1001" s="8" t="s">
        <v>794</v>
      </c>
      <c r="G1001" s="8" t="s">
        <v>961</v>
      </c>
      <c r="H1001" s="8" t="s">
        <v>51</v>
      </c>
      <c r="I1001" s="8" t="s">
        <v>88</v>
      </c>
      <c r="J1001" s="4" t="n">
        <v>1190000</v>
      </c>
      <c r="K1001" s="4" t="n">
        <v>941000</v>
      </c>
      <c r="L1001" s="5" t="n">
        <v>0.21008</v>
      </c>
      <c r="M1001" s="4" t="n">
        <v>0</v>
      </c>
      <c r="N1001" s="4" t="n">
        <v>0</v>
      </c>
      <c r="O1001" s="4" t="n">
        <v>0</v>
      </c>
      <c r="P1001" s="4" t="n">
        <v>0</v>
      </c>
      <c r="Q1001" s="4" t="n">
        <v>0</v>
      </c>
      <c r="R1001" s="4" t="n">
        <f aca="false">M1001+N1001+O1001+P1001+Q1001</f>
        <v>0</v>
      </c>
      <c r="S1001" s="4" t="n">
        <v>0</v>
      </c>
      <c r="T1001" s="4" t="n">
        <f aca="false">R1001*K1001</f>
        <v>0</v>
      </c>
      <c r="U1001" s="9" t="n">
        <f aca="false">IFERROR(M1001/S1001,0)</f>
        <v>0</v>
      </c>
      <c r="V1001" s="5" t="n">
        <v>0.1339</v>
      </c>
    </row>
    <row r="1002" customFormat="false" ht="15" hidden="false" customHeight="false" outlineLevel="0" collapsed="false">
      <c r="A1002" s="8" t="s">
        <v>87</v>
      </c>
      <c r="B1002" s="8" t="s">
        <v>23</v>
      </c>
      <c r="C1002" s="8" t="s">
        <v>1412</v>
      </c>
      <c r="D1002" s="8" t="n">
        <v>142581</v>
      </c>
      <c r="E1002" s="8" t="s">
        <v>843</v>
      </c>
      <c r="F1002" s="8" t="s">
        <v>767</v>
      </c>
      <c r="G1002" s="8" t="s">
        <v>961</v>
      </c>
      <c r="H1002" s="8" t="s">
        <v>51</v>
      </c>
      <c r="I1002" s="8" t="s">
        <v>88</v>
      </c>
      <c r="J1002" s="4" t="n">
        <v>1190000</v>
      </c>
      <c r="K1002" s="4" t="n">
        <v>941000</v>
      </c>
      <c r="L1002" s="5" t="n">
        <v>0.21008</v>
      </c>
      <c r="M1002" s="4" t="n">
        <v>0</v>
      </c>
      <c r="N1002" s="4" t="n">
        <v>0</v>
      </c>
      <c r="O1002" s="4" t="n">
        <v>0</v>
      </c>
      <c r="P1002" s="4" t="n">
        <v>0</v>
      </c>
      <c r="Q1002" s="4" t="n">
        <v>0</v>
      </c>
      <c r="R1002" s="4" t="n">
        <f aca="false">M1002+N1002+O1002+P1002+Q1002</f>
        <v>0</v>
      </c>
      <c r="S1002" s="4" t="n">
        <v>0</v>
      </c>
      <c r="T1002" s="4" t="n">
        <f aca="false">R1002*K1002</f>
        <v>0</v>
      </c>
      <c r="U1002" s="9" t="n">
        <f aca="false">IFERROR(M1002/S1002,0)</f>
        <v>0</v>
      </c>
      <c r="V1002" s="5" t="n">
        <v>0.1339</v>
      </c>
    </row>
    <row r="1003" customFormat="false" ht="15" hidden="false" customHeight="false" outlineLevel="0" collapsed="false">
      <c r="A1003" s="8" t="s">
        <v>87</v>
      </c>
      <c r="B1003" s="8" t="s">
        <v>23</v>
      </c>
      <c r="C1003" s="8" t="s">
        <v>1412</v>
      </c>
      <c r="D1003" s="8" t="n">
        <v>142582</v>
      </c>
      <c r="E1003" s="8" t="s">
        <v>844</v>
      </c>
      <c r="F1003" s="8" t="s">
        <v>794</v>
      </c>
      <c r="G1003" s="8" t="s">
        <v>961</v>
      </c>
      <c r="H1003" s="8" t="s">
        <v>51</v>
      </c>
      <c r="I1003" s="8" t="s">
        <v>88</v>
      </c>
      <c r="J1003" s="4" t="n">
        <v>1390000</v>
      </c>
      <c r="K1003" s="4" t="n">
        <v>1140000</v>
      </c>
      <c r="L1003" s="5" t="n">
        <v>0.17986</v>
      </c>
      <c r="M1003" s="4" t="n">
        <v>0</v>
      </c>
      <c r="N1003" s="4" t="n">
        <v>0</v>
      </c>
      <c r="O1003" s="4" t="n">
        <v>0</v>
      </c>
      <c r="P1003" s="4" t="n">
        <v>0</v>
      </c>
      <c r="Q1003" s="4" t="n">
        <v>0</v>
      </c>
      <c r="R1003" s="4" t="n">
        <f aca="false">M1003+N1003+O1003+P1003+Q1003</f>
        <v>0</v>
      </c>
      <c r="S1003" s="4" t="n">
        <v>0</v>
      </c>
      <c r="T1003" s="4" t="n">
        <f aca="false">R1003*K1003</f>
        <v>0</v>
      </c>
      <c r="U1003" s="9" t="n">
        <f aca="false">IFERROR(M1003/S1003,0)</f>
        <v>0</v>
      </c>
      <c r="V1003" s="5" t="n">
        <v>0.0789</v>
      </c>
    </row>
    <row r="1004" customFormat="false" ht="15" hidden="false" customHeight="false" outlineLevel="0" collapsed="false">
      <c r="A1004" s="8" t="s">
        <v>87</v>
      </c>
      <c r="B1004" s="8" t="s">
        <v>23</v>
      </c>
      <c r="C1004" s="8" t="s">
        <v>1412</v>
      </c>
      <c r="D1004" s="8" t="n">
        <v>142583</v>
      </c>
      <c r="E1004" s="8" t="s">
        <v>845</v>
      </c>
      <c r="F1004" s="8" t="s">
        <v>794</v>
      </c>
      <c r="G1004" s="8" t="s">
        <v>961</v>
      </c>
      <c r="H1004" s="8" t="s">
        <v>51</v>
      </c>
      <c r="I1004" s="8" t="s">
        <v>88</v>
      </c>
      <c r="J1004" s="4" t="n">
        <v>1390000</v>
      </c>
      <c r="K1004" s="4" t="n">
        <v>1140000</v>
      </c>
      <c r="L1004" s="5" t="n">
        <v>0.17986</v>
      </c>
      <c r="M1004" s="4" t="n">
        <v>0</v>
      </c>
      <c r="N1004" s="4" t="n">
        <v>0</v>
      </c>
      <c r="O1004" s="4" t="n">
        <v>0</v>
      </c>
      <c r="P1004" s="4" t="n">
        <v>0</v>
      </c>
      <c r="Q1004" s="4" t="n">
        <v>0</v>
      </c>
      <c r="R1004" s="4" t="n">
        <f aca="false">M1004+N1004+O1004+P1004+Q1004</f>
        <v>0</v>
      </c>
      <c r="S1004" s="4" t="n">
        <v>0</v>
      </c>
      <c r="T1004" s="4" t="n">
        <f aca="false">R1004*K1004</f>
        <v>0</v>
      </c>
      <c r="U1004" s="9" t="n">
        <f aca="false">IFERROR(M1004/S1004,0)</f>
        <v>0</v>
      </c>
      <c r="V1004" s="5" t="n">
        <v>0.0789</v>
      </c>
    </row>
    <row r="1005" customFormat="false" ht="15" hidden="false" customHeight="false" outlineLevel="0" collapsed="false">
      <c r="A1005" s="8" t="s">
        <v>87</v>
      </c>
      <c r="B1005" s="8" t="s">
        <v>23</v>
      </c>
      <c r="C1005" s="8" t="s">
        <v>1412</v>
      </c>
      <c r="D1005" s="8" t="n">
        <v>142584</v>
      </c>
      <c r="E1005" s="8" t="s">
        <v>846</v>
      </c>
      <c r="F1005" s="8" t="s">
        <v>794</v>
      </c>
      <c r="G1005" s="8" t="s">
        <v>961</v>
      </c>
      <c r="H1005" s="8" t="s">
        <v>51</v>
      </c>
      <c r="I1005" s="8" t="s">
        <v>88</v>
      </c>
      <c r="J1005" s="4" t="n">
        <v>1390000</v>
      </c>
      <c r="K1005" s="4" t="n">
        <v>1140000</v>
      </c>
      <c r="L1005" s="5" t="n">
        <v>0.17986</v>
      </c>
      <c r="M1005" s="4" t="n">
        <v>0</v>
      </c>
      <c r="N1005" s="4" t="n">
        <v>0</v>
      </c>
      <c r="O1005" s="4" t="n">
        <v>0</v>
      </c>
      <c r="P1005" s="4" t="n">
        <v>0</v>
      </c>
      <c r="Q1005" s="4" t="n">
        <v>0</v>
      </c>
      <c r="R1005" s="4" t="n">
        <f aca="false">M1005+N1005+O1005+P1005+Q1005</f>
        <v>0</v>
      </c>
      <c r="S1005" s="4" t="n">
        <v>0</v>
      </c>
      <c r="T1005" s="4" t="n">
        <f aca="false">R1005*K1005</f>
        <v>0</v>
      </c>
      <c r="U1005" s="9" t="n">
        <f aca="false">IFERROR(M1005/S1005,0)</f>
        <v>0</v>
      </c>
      <c r="V1005" s="5" t="n">
        <v>0.0789</v>
      </c>
    </row>
    <row r="1006" customFormat="false" ht="15" hidden="false" customHeight="false" outlineLevel="0" collapsed="false">
      <c r="A1006" s="8" t="s">
        <v>87</v>
      </c>
      <c r="B1006" s="8" t="s">
        <v>23</v>
      </c>
      <c r="C1006" s="8" t="s">
        <v>1412</v>
      </c>
      <c r="D1006" s="8" t="n">
        <v>142585</v>
      </c>
      <c r="E1006" s="8" t="s">
        <v>847</v>
      </c>
      <c r="F1006" s="8" t="s">
        <v>767</v>
      </c>
      <c r="G1006" s="8" t="s">
        <v>961</v>
      </c>
      <c r="H1006" s="8" t="s">
        <v>51</v>
      </c>
      <c r="I1006" s="8" t="s">
        <v>88</v>
      </c>
      <c r="J1006" s="4" t="n">
        <v>1390000</v>
      </c>
      <c r="K1006" s="4" t="n">
        <v>1140000</v>
      </c>
      <c r="L1006" s="5" t="n">
        <v>0.17986</v>
      </c>
      <c r="M1006" s="4" t="n">
        <v>0</v>
      </c>
      <c r="N1006" s="4" t="n">
        <v>0</v>
      </c>
      <c r="O1006" s="4" t="n">
        <v>0</v>
      </c>
      <c r="P1006" s="4" t="n">
        <v>0</v>
      </c>
      <c r="Q1006" s="4" t="n">
        <v>0</v>
      </c>
      <c r="R1006" s="4" t="n">
        <f aca="false">M1006+N1006+O1006+P1006+Q1006</f>
        <v>0</v>
      </c>
      <c r="S1006" s="4" t="n">
        <v>0</v>
      </c>
      <c r="T1006" s="4" t="n">
        <f aca="false">R1006*K1006</f>
        <v>0</v>
      </c>
      <c r="U1006" s="9" t="n">
        <f aca="false">IFERROR(M1006/S1006,0)</f>
        <v>0</v>
      </c>
      <c r="V1006" s="5" t="n">
        <v>0.0789</v>
      </c>
    </row>
    <row r="1007" customFormat="false" ht="15" hidden="false" customHeight="false" outlineLevel="0" collapsed="false">
      <c r="A1007" s="8" t="s">
        <v>87</v>
      </c>
      <c r="B1007" s="8" t="s">
        <v>23</v>
      </c>
      <c r="C1007" s="8" t="s">
        <v>1412</v>
      </c>
      <c r="D1007" s="8" t="n">
        <v>142586</v>
      </c>
      <c r="E1007" s="8" t="s">
        <v>848</v>
      </c>
      <c r="F1007" s="8" t="s">
        <v>794</v>
      </c>
      <c r="G1007" s="8" t="s">
        <v>961</v>
      </c>
      <c r="H1007" s="8" t="s">
        <v>51</v>
      </c>
      <c r="I1007" s="8" t="s">
        <v>88</v>
      </c>
      <c r="J1007" s="4" t="n">
        <v>1390000</v>
      </c>
      <c r="K1007" s="4" t="n">
        <v>1140000</v>
      </c>
      <c r="L1007" s="5" t="n">
        <v>0.17986</v>
      </c>
      <c r="M1007" s="4" t="n">
        <v>0</v>
      </c>
      <c r="N1007" s="4" t="n">
        <v>0</v>
      </c>
      <c r="O1007" s="4" t="n">
        <v>0</v>
      </c>
      <c r="P1007" s="4" t="n">
        <v>0</v>
      </c>
      <c r="Q1007" s="4" t="n">
        <v>0</v>
      </c>
      <c r="R1007" s="4" t="n">
        <f aca="false">M1007+N1007+O1007+P1007+Q1007</f>
        <v>0</v>
      </c>
      <c r="S1007" s="4" t="n">
        <v>0</v>
      </c>
      <c r="T1007" s="4" t="n">
        <f aca="false">R1007*K1007</f>
        <v>0</v>
      </c>
      <c r="U1007" s="9" t="n">
        <f aca="false">IFERROR(M1007/S1007,0)</f>
        <v>0</v>
      </c>
      <c r="V1007" s="5" t="n">
        <v>0.0789</v>
      </c>
    </row>
    <row r="1008" customFormat="false" ht="15" hidden="false" customHeight="false" outlineLevel="0" collapsed="false">
      <c r="A1008" s="8" t="s">
        <v>87</v>
      </c>
      <c r="B1008" s="8" t="s">
        <v>23</v>
      </c>
      <c r="C1008" s="8" t="s">
        <v>1412</v>
      </c>
      <c r="D1008" s="8" t="n">
        <v>142587</v>
      </c>
      <c r="E1008" s="8" t="s">
        <v>849</v>
      </c>
      <c r="F1008" s="8" t="s">
        <v>794</v>
      </c>
      <c r="G1008" s="8" t="s">
        <v>961</v>
      </c>
      <c r="H1008" s="8" t="s">
        <v>51</v>
      </c>
      <c r="I1008" s="8" t="s">
        <v>88</v>
      </c>
      <c r="J1008" s="4" t="n">
        <v>1390000</v>
      </c>
      <c r="K1008" s="4" t="n">
        <v>1140000</v>
      </c>
      <c r="L1008" s="5" t="n">
        <v>0.17986</v>
      </c>
      <c r="M1008" s="4" t="n">
        <v>0</v>
      </c>
      <c r="N1008" s="4" t="n">
        <v>0</v>
      </c>
      <c r="O1008" s="4" t="n">
        <v>0</v>
      </c>
      <c r="P1008" s="4" t="n">
        <v>0</v>
      </c>
      <c r="Q1008" s="4" t="n">
        <v>0</v>
      </c>
      <c r="R1008" s="4" t="n">
        <f aca="false">M1008+N1008+O1008+P1008+Q1008</f>
        <v>0</v>
      </c>
      <c r="S1008" s="4" t="n">
        <v>0</v>
      </c>
      <c r="T1008" s="4" t="n">
        <f aca="false">R1008*K1008</f>
        <v>0</v>
      </c>
      <c r="U1008" s="9" t="n">
        <f aca="false">IFERROR(M1008/S1008,0)</f>
        <v>0</v>
      </c>
      <c r="V1008" s="5" t="n">
        <v>0.0789</v>
      </c>
    </row>
    <row r="1009" customFormat="false" ht="15" hidden="false" customHeight="false" outlineLevel="0" collapsed="false">
      <c r="A1009" s="8" t="s">
        <v>87</v>
      </c>
      <c r="B1009" s="8" t="s">
        <v>23</v>
      </c>
      <c r="C1009" s="8" t="s">
        <v>1412</v>
      </c>
      <c r="D1009" s="8" t="n">
        <v>142588</v>
      </c>
      <c r="E1009" s="8" t="s">
        <v>850</v>
      </c>
      <c r="F1009" s="8" t="s">
        <v>794</v>
      </c>
      <c r="G1009" s="8" t="s">
        <v>961</v>
      </c>
      <c r="H1009" s="8" t="s">
        <v>51</v>
      </c>
      <c r="I1009" s="8" t="s">
        <v>88</v>
      </c>
      <c r="J1009" s="4" t="n">
        <v>1390000</v>
      </c>
      <c r="K1009" s="4" t="n">
        <v>1140000</v>
      </c>
      <c r="L1009" s="5" t="n">
        <v>0.17986</v>
      </c>
      <c r="M1009" s="4" t="n">
        <v>0</v>
      </c>
      <c r="N1009" s="4" t="n">
        <v>0</v>
      </c>
      <c r="O1009" s="4" t="n">
        <v>0</v>
      </c>
      <c r="P1009" s="4" t="n">
        <v>0</v>
      </c>
      <c r="Q1009" s="4" t="n">
        <v>0</v>
      </c>
      <c r="R1009" s="4" t="n">
        <f aca="false">M1009+N1009+O1009+P1009+Q1009</f>
        <v>0</v>
      </c>
      <c r="S1009" s="4" t="n">
        <v>0</v>
      </c>
      <c r="T1009" s="4" t="n">
        <f aca="false">R1009*K1009</f>
        <v>0</v>
      </c>
      <c r="U1009" s="9" t="n">
        <f aca="false">IFERROR(M1009/S1009,0)</f>
        <v>0</v>
      </c>
      <c r="V1009" s="5" t="n">
        <v>0.0789</v>
      </c>
    </row>
    <row r="1010" customFormat="false" ht="15" hidden="false" customHeight="false" outlineLevel="0" collapsed="false">
      <c r="A1010" s="8" t="s">
        <v>87</v>
      </c>
      <c r="B1010" s="8" t="s">
        <v>23</v>
      </c>
      <c r="C1010" s="8" t="s">
        <v>1412</v>
      </c>
      <c r="D1010" s="8" t="n">
        <v>142590</v>
      </c>
      <c r="E1010" s="8" t="s">
        <v>851</v>
      </c>
      <c r="F1010" s="8" t="s">
        <v>767</v>
      </c>
      <c r="G1010" s="8" t="s">
        <v>961</v>
      </c>
      <c r="H1010" s="8" t="s">
        <v>51</v>
      </c>
      <c r="I1010" s="8" t="s">
        <v>88</v>
      </c>
      <c r="J1010" s="4" t="n">
        <v>1390000</v>
      </c>
      <c r="K1010" s="4" t="n">
        <v>1140000</v>
      </c>
      <c r="L1010" s="5" t="n">
        <v>0.17986</v>
      </c>
      <c r="M1010" s="4" t="n">
        <v>0</v>
      </c>
      <c r="N1010" s="4" t="n">
        <v>0</v>
      </c>
      <c r="O1010" s="4" t="n">
        <v>0</v>
      </c>
      <c r="P1010" s="4" t="n">
        <v>0</v>
      </c>
      <c r="Q1010" s="4" t="n">
        <v>0</v>
      </c>
      <c r="R1010" s="4" t="n">
        <f aca="false">M1010+N1010+O1010+P1010+Q1010</f>
        <v>0</v>
      </c>
      <c r="S1010" s="4" t="n">
        <v>0</v>
      </c>
      <c r="T1010" s="4" t="n">
        <f aca="false">R1010*K1010</f>
        <v>0</v>
      </c>
      <c r="U1010" s="9" t="n">
        <f aca="false">IFERROR(M1010/S1010,0)</f>
        <v>0</v>
      </c>
      <c r="V1010" s="5" t="n">
        <v>0.0789</v>
      </c>
    </row>
    <row r="1011" customFormat="false" ht="15" hidden="false" customHeight="false" outlineLevel="0" collapsed="false">
      <c r="A1011" s="8" t="s">
        <v>87</v>
      </c>
      <c r="B1011" s="8" t="s">
        <v>23</v>
      </c>
      <c r="C1011" s="8" t="s">
        <v>1412</v>
      </c>
      <c r="D1011" s="8" t="n">
        <v>142591</v>
      </c>
      <c r="E1011" s="8" t="s">
        <v>852</v>
      </c>
      <c r="F1011" s="8" t="s">
        <v>767</v>
      </c>
      <c r="G1011" s="8" t="s">
        <v>961</v>
      </c>
      <c r="H1011" s="8" t="s">
        <v>51</v>
      </c>
      <c r="I1011" s="8" t="s">
        <v>88</v>
      </c>
      <c r="J1011" s="4" t="n">
        <v>1390000</v>
      </c>
      <c r="K1011" s="4" t="n">
        <v>1140000</v>
      </c>
      <c r="L1011" s="5" t="n">
        <v>0.17986</v>
      </c>
      <c r="M1011" s="4" t="n">
        <v>0</v>
      </c>
      <c r="N1011" s="4" t="n">
        <v>0</v>
      </c>
      <c r="O1011" s="4" t="n">
        <v>0</v>
      </c>
      <c r="P1011" s="4" t="n">
        <v>0</v>
      </c>
      <c r="Q1011" s="4" t="n">
        <v>0</v>
      </c>
      <c r="R1011" s="4" t="n">
        <f aca="false">M1011+N1011+O1011+P1011+Q1011</f>
        <v>0</v>
      </c>
      <c r="S1011" s="4" t="n">
        <v>0</v>
      </c>
      <c r="T1011" s="4" t="n">
        <f aca="false">R1011*K1011</f>
        <v>0</v>
      </c>
      <c r="U1011" s="9" t="n">
        <f aca="false">IFERROR(M1011/S1011,0)</f>
        <v>0</v>
      </c>
      <c r="V1011" s="5" t="n">
        <v>0.0789</v>
      </c>
    </row>
    <row r="1012" customFormat="false" ht="15" hidden="false" customHeight="false" outlineLevel="0" collapsed="false">
      <c r="A1012" s="8" t="s">
        <v>87</v>
      </c>
      <c r="B1012" s="8" t="s">
        <v>23</v>
      </c>
      <c r="C1012" s="8" t="s">
        <v>1412</v>
      </c>
      <c r="D1012" s="8" t="n">
        <v>142592</v>
      </c>
      <c r="E1012" s="8" t="s">
        <v>853</v>
      </c>
      <c r="F1012" s="8" t="s">
        <v>794</v>
      </c>
      <c r="G1012" s="8" t="s">
        <v>961</v>
      </c>
      <c r="H1012" s="8" t="s">
        <v>51</v>
      </c>
      <c r="I1012" s="8" t="s">
        <v>88</v>
      </c>
      <c r="J1012" s="4" t="n">
        <v>1390000</v>
      </c>
      <c r="K1012" s="4" t="n">
        <v>1140000</v>
      </c>
      <c r="L1012" s="5" t="n">
        <v>0.17986</v>
      </c>
      <c r="M1012" s="4" t="n">
        <v>0</v>
      </c>
      <c r="N1012" s="4" t="n">
        <v>0</v>
      </c>
      <c r="O1012" s="4" t="n">
        <v>0</v>
      </c>
      <c r="P1012" s="4" t="n">
        <v>0</v>
      </c>
      <c r="Q1012" s="4" t="n">
        <v>0</v>
      </c>
      <c r="R1012" s="4" t="n">
        <f aca="false">M1012+N1012+O1012+P1012+Q1012</f>
        <v>0</v>
      </c>
      <c r="S1012" s="4" t="n">
        <v>0</v>
      </c>
      <c r="T1012" s="4" t="n">
        <f aca="false">R1012*K1012</f>
        <v>0</v>
      </c>
      <c r="U1012" s="9" t="n">
        <f aca="false">IFERROR(M1012/S1012,0)</f>
        <v>0</v>
      </c>
      <c r="V1012" s="5" t="n">
        <v>0.0789</v>
      </c>
    </row>
    <row r="1013" customFormat="false" ht="15" hidden="false" customHeight="false" outlineLevel="0" collapsed="false">
      <c r="A1013" s="8" t="s">
        <v>87</v>
      </c>
      <c r="B1013" s="8" t="s">
        <v>23</v>
      </c>
      <c r="C1013" s="8" t="s">
        <v>1412</v>
      </c>
      <c r="D1013" s="8" t="n">
        <v>142593</v>
      </c>
      <c r="E1013" s="8" t="s">
        <v>854</v>
      </c>
      <c r="F1013" s="8" t="s">
        <v>794</v>
      </c>
      <c r="G1013" s="8" t="s">
        <v>961</v>
      </c>
      <c r="H1013" s="8" t="s">
        <v>51</v>
      </c>
      <c r="I1013" s="8" t="s">
        <v>88</v>
      </c>
      <c r="J1013" s="4" t="n">
        <v>1390000</v>
      </c>
      <c r="K1013" s="4" t="n">
        <v>1140000</v>
      </c>
      <c r="L1013" s="5" t="n">
        <v>0.17986</v>
      </c>
      <c r="M1013" s="4" t="n">
        <v>0</v>
      </c>
      <c r="N1013" s="4" t="n">
        <v>0</v>
      </c>
      <c r="O1013" s="4" t="n">
        <v>0</v>
      </c>
      <c r="P1013" s="4" t="n">
        <v>0</v>
      </c>
      <c r="Q1013" s="4" t="n">
        <v>0</v>
      </c>
      <c r="R1013" s="4" t="n">
        <f aca="false">M1013+N1013+O1013+P1013+Q1013</f>
        <v>0</v>
      </c>
      <c r="S1013" s="4" t="n">
        <v>0</v>
      </c>
      <c r="T1013" s="4" t="n">
        <f aca="false">R1013*K1013</f>
        <v>0</v>
      </c>
      <c r="U1013" s="9" t="n">
        <f aca="false">IFERROR(M1013/S1013,0)</f>
        <v>0</v>
      </c>
      <c r="V1013" s="5" t="n">
        <v>0.0789</v>
      </c>
    </row>
    <row r="1014" customFormat="false" ht="15" hidden="false" customHeight="false" outlineLevel="0" collapsed="false">
      <c r="A1014" s="8" t="s">
        <v>87</v>
      </c>
      <c r="B1014" s="8" t="s">
        <v>23</v>
      </c>
      <c r="C1014" s="8" t="s">
        <v>1412</v>
      </c>
      <c r="D1014" s="8" t="n">
        <v>142594</v>
      </c>
      <c r="E1014" s="8" t="s">
        <v>855</v>
      </c>
      <c r="F1014" s="8" t="s">
        <v>767</v>
      </c>
      <c r="G1014" s="8" t="s">
        <v>961</v>
      </c>
      <c r="H1014" s="8" t="s">
        <v>51</v>
      </c>
      <c r="I1014" s="8" t="s">
        <v>88</v>
      </c>
      <c r="J1014" s="4" t="n">
        <v>1390000</v>
      </c>
      <c r="K1014" s="4" t="n">
        <v>1140000</v>
      </c>
      <c r="L1014" s="5" t="n">
        <v>0.17986</v>
      </c>
      <c r="M1014" s="4" t="n">
        <v>0</v>
      </c>
      <c r="N1014" s="4" t="n">
        <v>0</v>
      </c>
      <c r="O1014" s="4" t="n">
        <v>0</v>
      </c>
      <c r="P1014" s="4" t="n">
        <v>0</v>
      </c>
      <c r="Q1014" s="4" t="n">
        <v>0</v>
      </c>
      <c r="R1014" s="4" t="n">
        <f aca="false">M1014+N1014+O1014+P1014+Q1014</f>
        <v>0</v>
      </c>
      <c r="S1014" s="4" t="n">
        <v>0</v>
      </c>
      <c r="T1014" s="4" t="n">
        <f aca="false">R1014*K1014</f>
        <v>0</v>
      </c>
      <c r="U1014" s="9" t="n">
        <f aca="false">IFERROR(M1014/S1014,0)</f>
        <v>0</v>
      </c>
      <c r="V1014" s="5" t="n">
        <v>0.0789</v>
      </c>
    </row>
    <row r="1015" customFormat="false" ht="15" hidden="false" customHeight="false" outlineLevel="0" collapsed="false">
      <c r="A1015" s="8" t="s">
        <v>87</v>
      </c>
      <c r="B1015" s="8" t="s">
        <v>23</v>
      </c>
      <c r="C1015" s="8" t="s">
        <v>1412</v>
      </c>
      <c r="D1015" s="8" t="n">
        <v>142596</v>
      </c>
      <c r="E1015" s="8" t="s">
        <v>856</v>
      </c>
      <c r="F1015" s="8" t="s">
        <v>794</v>
      </c>
      <c r="G1015" s="8" t="s">
        <v>961</v>
      </c>
      <c r="H1015" s="8" t="s">
        <v>51</v>
      </c>
      <c r="I1015" s="8" t="s">
        <v>88</v>
      </c>
      <c r="J1015" s="4" t="n">
        <v>1390000</v>
      </c>
      <c r="K1015" s="4" t="n">
        <v>1140000</v>
      </c>
      <c r="L1015" s="5" t="n">
        <v>0.17986</v>
      </c>
      <c r="M1015" s="4" t="n">
        <v>0</v>
      </c>
      <c r="N1015" s="4" t="n">
        <v>0</v>
      </c>
      <c r="O1015" s="4" t="n">
        <v>0</v>
      </c>
      <c r="P1015" s="4" t="n">
        <v>0</v>
      </c>
      <c r="Q1015" s="4" t="n">
        <v>0</v>
      </c>
      <c r="R1015" s="4" t="n">
        <f aca="false">M1015+N1015+O1015+P1015+Q1015</f>
        <v>0</v>
      </c>
      <c r="S1015" s="4" t="n">
        <v>0</v>
      </c>
      <c r="T1015" s="4" t="n">
        <f aca="false">R1015*K1015</f>
        <v>0</v>
      </c>
      <c r="U1015" s="9" t="n">
        <f aca="false">IFERROR(M1015/S1015,0)</f>
        <v>0</v>
      </c>
      <c r="V1015" s="5" t="n">
        <v>0.0789</v>
      </c>
    </row>
    <row r="1016" customFormat="false" ht="15" hidden="false" customHeight="false" outlineLevel="0" collapsed="false">
      <c r="A1016" s="8" t="s">
        <v>87</v>
      </c>
      <c r="B1016" s="8" t="s">
        <v>23</v>
      </c>
      <c r="C1016" s="8" t="s">
        <v>1412</v>
      </c>
      <c r="D1016" s="8" t="n">
        <v>142597</v>
      </c>
      <c r="E1016" s="8" t="s">
        <v>857</v>
      </c>
      <c r="F1016" s="8" t="s">
        <v>767</v>
      </c>
      <c r="G1016" s="8" t="s">
        <v>961</v>
      </c>
      <c r="H1016" s="8" t="s">
        <v>51</v>
      </c>
      <c r="I1016" s="8" t="s">
        <v>88</v>
      </c>
      <c r="J1016" s="4" t="n">
        <v>1390000</v>
      </c>
      <c r="K1016" s="4" t="n">
        <v>1140000</v>
      </c>
      <c r="L1016" s="5" t="n">
        <v>0.17986</v>
      </c>
      <c r="M1016" s="4" t="n">
        <v>0</v>
      </c>
      <c r="N1016" s="4" t="n">
        <v>0</v>
      </c>
      <c r="O1016" s="4" t="n">
        <v>0</v>
      </c>
      <c r="P1016" s="4" t="n">
        <v>0</v>
      </c>
      <c r="Q1016" s="4" t="n">
        <v>0</v>
      </c>
      <c r="R1016" s="4" t="n">
        <f aca="false">M1016+N1016+O1016+P1016+Q1016</f>
        <v>0</v>
      </c>
      <c r="S1016" s="4" t="n">
        <v>0</v>
      </c>
      <c r="T1016" s="4" t="n">
        <f aca="false">R1016*K1016</f>
        <v>0</v>
      </c>
      <c r="U1016" s="9" t="n">
        <f aca="false">IFERROR(M1016/S1016,0)</f>
        <v>0</v>
      </c>
      <c r="V1016" s="5" t="n">
        <v>0.0789</v>
      </c>
    </row>
    <row r="1017" customFormat="false" ht="15" hidden="false" customHeight="false" outlineLevel="0" collapsed="false">
      <c r="A1017" s="8" t="s">
        <v>87</v>
      </c>
      <c r="B1017" s="8" t="s">
        <v>23</v>
      </c>
      <c r="C1017" s="8" t="s">
        <v>1412</v>
      </c>
      <c r="D1017" s="8" t="n">
        <v>142598</v>
      </c>
      <c r="E1017" s="8" t="s">
        <v>858</v>
      </c>
      <c r="F1017" s="8" t="s">
        <v>767</v>
      </c>
      <c r="G1017" s="8" t="s">
        <v>961</v>
      </c>
      <c r="H1017" s="8" t="s">
        <v>51</v>
      </c>
      <c r="I1017" s="8" t="s">
        <v>88</v>
      </c>
      <c r="J1017" s="4" t="n">
        <v>1390000</v>
      </c>
      <c r="K1017" s="4" t="n">
        <v>1140000</v>
      </c>
      <c r="L1017" s="5" t="n">
        <v>0.17986</v>
      </c>
      <c r="M1017" s="4" t="n">
        <v>0</v>
      </c>
      <c r="N1017" s="4" t="n">
        <v>0</v>
      </c>
      <c r="O1017" s="4" t="n">
        <v>0</v>
      </c>
      <c r="P1017" s="4" t="n">
        <v>0</v>
      </c>
      <c r="Q1017" s="4" t="n">
        <v>0</v>
      </c>
      <c r="R1017" s="4" t="n">
        <f aca="false">M1017+N1017+O1017+P1017+Q1017</f>
        <v>0</v>
      </c>
      <c r="S1017" s="4" t="n">
        <v>0</v>
      </c>
      <c r="T1017" s="4" t="n">
        <f aca="false">R1017*K1017</f>
        <v>0</v>
      </c>
      <c r="U1017" s="9" t="n">
        <f aca="false">IFERROR(M1017/S1017,0)</f>
        <v>0</v>
      </c>
      <c r="V1017" s="5" t="n">
        <v>0.0789</v>
      </c>
    </row>
    <row r="1018" customFormat="false" ht="15" hidden="false" customHeight="false" outlineLevel="0" collapsed="false">
      <c r="A1018" s="8" t="s">
        <v>87</v>
      </c>
      <c r="B1018" s="8" t="s">
        <v>23</v>
      </c>
      <c r="C1018" s="8" t="s">
        <v>1412</v>
      </c>
      <c r="D1018" s="8" t="n">
        <v>142599</v>
      </c>
      <c r="E1018" s="8" t="s">
        <v>859</v>
      </c>
      <c r="F1018" s="8" t="s">
        <v>767</v>
      </c>
      <c r="G1018" s="8" t="s">
        <v>961</v>
      </c>
      <c r="H1018" s="8" t="s">
        <v>51</v>
      </c>
      <c r="I1018" s="8" t="s">
        <v>88</v>
      </c>
      <c r="J1018" s="4" t="n">
        <v>1390000</v>
      </c>
      <c r="K1018" s="4" t="n">
        <v>1140000</v>
      </c>
      <c r="L1018" s="5" t="n">
        <v>0.17986</v>
      </c>
      <c r="M1018" s="4" t="n">
        <v>0</v>
      </c>
      <c r="N1018" s="4" t="n">
        <v>0</v>
      </c>
      <c r="O1018" s="4" t="n">
        <v>0</v>
      </c>
      <c r="P1018" s="4" t="n">
        <v>0</v>
      </c>
      <c r="Q1018" s="4" t="n">
        <v>0</v>
      </c>
      <c r="R1018" s="4" t="n">
        <f aca="false">M1018+N1018+O1018+P1018+Q1018</f>
        <v>0</v>
      </c>
      <c r="S1018" s="4" t="n">
        <v>0</v>
      </c>
      <c r="T1018" s="4" t="n">
        <f aca="false">R1018*K1018</f>
        <v>0</v>
      </c>
      <c r="U1018" s="9" t="n">
        <f aca="false">IFERROR(M1018/S1018,0)</f>
        <v>0</v>
      </c>
      <c r="V1018" s="5" t="n">
        <v>0.0789</v>
      </c>
    </row>
    <row r="1019" customFormat="false" ht="15" hidden="false" customHeight="false" outlineLevel="0" collapsed="false">
      <c r="A1019" s="8" t="s">
        <v>87</v>
      </c>
      <c r="B1019" s="8" t="s">
        <v>23</v>
      </c>
      <c r="C1019" s="8" t="s">
        <v>1412</v>
      </c>
      <c r="D1019" s="8" t="n">
        <v>142600</v>
      </c>
      <c r="E1019" s="8" t="s">
        <v>860</v>
      </c>
      <c r="F1019" s="8" t="s">
        <v>767</v>
      </c>
      <c r="G1019" s="8" t="s">
        <v>961</v>
      </c>
      <c r="H1019" s="8" t="s">
        <v>51</v>
      </c>
      <c r="I1019" s="8" t="s">
        <v>88</v>
      </c>
      <c r="J1019" s="4" t="n">
        <v>1390000</v>
      </c>
      <c r="K1019" s="4" t="n">
        <v>1140000</v>
      </c>
      <c r="L1019" s="5" t="n">
        <v>0.17986</v>
      </c>
      <c r="M1019" s="4" t="n">
        <v>0</v>
      </c>
      <c r="N1019" s="4" t="n">
        <v>0</v>
      </c>
      <c r="O1019" s="4" t="n">
        <v>0</v>
      </c>
      <c r="P1019" s="4" t="n">
        <v>0</v>
      </c>
      <c r="Q1019" s="4" t="n">
        <v>0</v>
      </c>
      <c r="R1019" s="4" t="n">
        <f aca="false">M1019+N1019+O1019+P1019+Q1019</f>
        <v>0</v>
      </c>
      <c r="S1019" s="4" t="n">
        <v>0</v>
      </c>
      <c r="T1019" s="4" t="n">
        <f aca="false">R1019*K1019</f>
        <v>0</v>
      </c>
      <c r="U1019" s="9" t="n">
        <f aca="false">IFERROR(M1019/S1019,0)</f>
        <v>0</v>
      </c>
      <c r="V1019" s="5" t="n">
        <v>0.0789</v>
      </c>
    </row>
    <row r="1020" customFormat="false" ht="15" hidden="false" customHeight="false" outlineLevel="0" collapsed="false">
      <c r="A1020" s="8" t="s">
        <v>87</v>
      </c>
      <c r="B1020" s="8" t="s">
        <v>23</v>
      </c>
      <c r="C1020" s="8" t="s">
        <v>1412</v>
      </c>
      <c r="D1020" s="8" t="n">
        <v>142601</v>
      </c>
      <c r="E1020" s="8" t="s">
        <v>861</v>
      </c>
      <c r="F1020" s="8" t="s">
        <v>767</v>
      </c>
      <c r="G1020" s="8" t="s">
        <v>961</v>
      </c>
      <c r="H1020" s="8" t="s">
        <v>51</v>
      </c>
      <c r="I1020" s="8" t="s">
        <v>88</v>
      </c>
      <c r="J1020" s="4" t="n">
        <v>1390000</v>
      </c>
      <c r="K1020" s="4" t="n">
        <v>1140000</v>
      </c>
      <c r="L1020" s="5" t="n">
        <v>0.17986</v>
      </c>
      <c r="M1020" s="4" t="n">
        <v>0</v>
      </c>
      <c r="N1020" s="4" t="n">
        <v>0</v>
      </c>
      <c r="O1020" s="4" t="n">
        <v>0</v>
      </c>
      <c r="P1020" s="4" t="n">
        <v>0</v>
      </c>
      <c r="Q1020" s="4" t="n">
        <v>0</v>
      </c>
      <c r="R1020" s="4" t="n">
        <f aca="false">M1020+N1020+O1020+P1020+Q1020</f>
        <v>0</v>
      </c>
      <c r="S1020" s="4" t="n">
        <v>0</v>
      </c>
      <c r="T1020" s="4" t="n">
        <f aca="false">R1020*K1020</f>
        <v>0</v>
      </c>
      <c r="U1020" s="9" t="n">
        <f aca="false">IFERROR(M1020/S1020,0)</f>
        <v>0</v>
      </c>
      <c r="V1020" s="5" t="n">
        <v>0.0789</v>
      </c>
    </row>
    <row r="1021" customFormat="false" ht="15" hidden="false" customHeight="false" outlineLevel="0" collapsed="false">
      <c r="A1021" s="8" t="s">
        <v>87</v>
      </c>
      <c r="B1021" s="8" t="s">
        <v>23</v>
      </c>
      <c r="C1021" s="8" t="s">
        <v>1412</v>
      </c>
      <c r="D1021" s="8" t="n">
        <v>142602</v>
      </c>
      <c r="E1021" s="8" t="s">
        <v>862</v>
      </c>
      <c r="F1021" s="8" t="s">
        <v>767</v>
      </c>
      <c r="G1021" s="8" t="s">
        <v>961</v>
      </c>
      <c r="H1021" s="8" t="s">
        <v>51</v>
      </c>
      <c r="I1021" s="8" t="s">
        <v>88</v>
      </c>
      <c r="J1021" s="4" t="n">
        <v>1390000</v>
      </c>
      <c r="K1021" s="4" t="n">
        <v>1140000</v>
      </c>
      <c r="L1021" s="5" t="n">
        <v>0.17986</v>
      </c>
      <c r="M1021" s="4" t="n">
        <v>0</v>
      </c>
      <c r="N1021" s="4" t="n">
        <v>0</v>
      </c>
      <c r="O1021" s="4" t="n">
        <v>0</v>
      </c>
      <c r="P1021" s="4" t="n">
        <v>0</v>
      </c>
      <c r="Q1021" s="4" t="n">
        <v>0</v>
      </c>
      <c r="R1021" s="4" t="n">
        <f aca="false">M1021+N1021+O1021+P1021+Q1021</f>
        <v>0</v>
      </c>
      <c r="S1021" s="4" t="n">
        <v>0</v>
      </c>
      <c r="T1021" s="4" t="n">
        <f aca="false">R1021*K1021</f>
        <v>0</v>
      </c>
      <c r="U1021" s="9" t="n">
        <f aca="false">IFERROR(M1021/S1021,0)</f>
        <v>0</v>
      </c>
      <c r="V1021" s="5" t="n">
        <v>0.0789</v>
      </c>
    </row>
    <row r="1022" customFormat="false" ht="15" hidden="false" customHeight="false" outlineLevel="0" collapsed="false">
      <c r="A1022" s="8" t="s">
        <v>87</v>
      </c>
      <c r="B1022" s="8" t="s">
        <v>23</v>
      </c>
      <c r="C1022" s="8" t="s">
        <v>1412</v>
      </c>
      <c r="D1022" s="8" t="n">
        <v>142603</v>
      </c>
      <c r="E1022" s="8" t="s">
        <v>863</v>
      </c>
      <c r="F1022" s="8" t="s">
        <v>767</v>
      </c>
      <c r="G1022" s="8" t="s">
        <v>961</v>
      </c>
      <c r="H1022" s="8" t="s">
        <v>51</v>
      </c>
      <c r="I1022" s="8" t="s">
        <v>88</v>
      </c>
      <c r="J1022" s="4" t="n">
        <v>1390000</v>
      </c>
      <c r="K1022" s="4" t="n">
        <v>1140000</v>
      </c>
      <c r="L1022" s="5" t="n">
        <v>0.17986</v>
      </c>
      <c r="M1022" s="4" t="n">
        <v>0</v>
      </c>
      <c r="N1022" s="4" t="n">
        <v>0</v>
      </c>
      <c r="O1022" s="4" t="n">
        <v>0</v>
      </c>
      <c r="P1022" s="4" t="n">
        <v>0</v>
      </c>
      <c r="Q1022" s="4" t="n">
        <v>0</v>
      </c>
      <c r="R1022" s="4" t="n">
        <f aca="false">M1022+N1022+O1022+P1022+Q1022</f>
        <v>0</v>
      </c>
      <c r="S1022" s="4" t="n">
        <v>0</v>
      </c>
      <c r="T1022" s="4" t="n">
        <f aca="false">R1022*K1022</f>
        <v>0</v>
      </c>
      <c r="U1022" s="9" t="n">
        <f aca="false">IFERROR(M1022/S1022,0)</f>
        <v>0</v>
      </c>
      <c r="V1022" s="5" t="n">
        <v>0.0789</v>
      </c>
    </row>
    <row r="1023" customFormat="false" ht="15" hidden="false" customHeight="false" outlineLevel="0" collapsed="false">
      <c r="A1023" s="8" t="s">
        <v>87</v>
      </c>
      <c r="B1023" s="8" t="s">
        <v>23</v>
      </c>
      <c r="C1023" s="8" t="s">
        <v>1412</v>
      </c>
      <c r="D1023" s="8" t="n">
        <v>142604</v>
      </c>
      <c r="E1023" s="8" t="s">
        <v>864</v>
      </c>
      <c r="F1023" s="8" t="s">
        <v>794</v>
      </c>
      <c r="G1023" s="8" t="s">
        <v>961</v>
      </c>
      <c r="H1023" s="8" t="s">
        <v>51</v>
      </c>
      <c r="I1023" s="8" t="s">
        <v>88</v>
      </c>
      <c r="J1023" s="4" t="n">
        <v>1390000</v>
      </c>
      <c r="K1023" s="4" t="n">
        <v>1140000</v>
      </c>
      <c r="L1023" s="5" t="n">
        <v>0.17986</v>
      </c>
      <c r="M1023" s="4" t="n">
        <v>0</v>
      </c>
      <c r="N1023" s="4" t="n">
        <v>0</v>
      </c>
      <c r="O1023" s="4" t="n">
        <v>0</v>
      </c>
      <c r="P1023" s="4" t="n">
        <v>0</v>
      </c>
      <c r="Q1023" s="4" t="n">
        <v>0</v>
      </c>
      <c r="R1023" s="4" t="n">
        <f aca="false">M1023+N1023+O1023+P1023+Q1023</f>
        <v>0</v>
      </c>
      <c r="S1023" s="4" t="n">
        <v>0</v>
      </c>
      <c r="T1023" s="4" t="n">
        <f aca="false">R1023*K1023</f>
        <v>0</v>
      </c>
      <c r="U1023" s="9" t="n">
        <f aca="false">IFERROR(M1023/S1023,0)</f>
        <v>0</v>
      </c>
      <c r="V1023" s="5" t="n">
        <v>0.0789</v>
      </c>
    </row>
    <row r="1024" customFormat="false" ht="15" hidden="false" customHeight="false" outlineLevel="0" collapsed="false">
      <c r="A1024" s="8" t="s">
        <v>87</v>
      </c>
      <c r="B1024" s="8" t="s">
        <v>23</v>
      </c>
      <c r="C1024" s="8" t="s">
        <v>1412</v>
      </c>
      <c r="D1024" s="8" t="n">
        <v>142605</v>
      </c>
      <c r="E1024" s="8" t="s">
        <v>865</v>
      </c>
      <c r="F1024" s="8" t="s">
        <v>794</v>
      </c>
      <c r="G1024" s="8" t="s">
        <v>961</v>
      </c>
      <c r="H1024" s="8" t="s">
        <v>51</v>
      </c>
      <c r="I1024" s="8" t="s">
        <v>88</v>
      </c>
      <c r="J1024" s="4" t="n">
        <v>1390000</v>
      </c>
      <c r="K1024" s="4" t="n">
        <v>1140000</v>
      </c>
      <c r="L1024" s="5" t="n">
        <v>0.17986</v>
      </c>
      <c r="M1024" s="4" t="n">
        <v>0</v>
      </c>
      <c r="N1024" s="4" t="n">
        <v>0</v>
      </c>
      <c r="O1024" s="4" t="n">
        <v>0</v>
      </c>
      <c r="P1024" s="4" t="n">
        <v>0</v>
      </c>
      <c r="Q1024" s="4" t="n">
        <v>0</v>
      </c>
      <c r="R1024" s="4" t="n">
        <f aca="false">M1024+N1024+O1024+P1024+Q1024</f>
        <v>0</v>
      </c>
      <c r="S1024" s="4" t="n">
        <v>0</v>
      </c>
      <c r="T1024" s="4" t="n">
        <f aca="false">R1024*K1024</f>
        <v>0</v>
      </c>
      <c r="U1024" s="9" t="n">
        <f aca="false">IFERROR(M1024/S1024,0)</f>
        <v>0</v>
      </c>
      <c r="V1024" s="5" t="n">
        <v>0.0789</v>
      </c>
    </row>
    <row r="1025" customFormat="false" ht="15" hidden="false" customHeight="false" outlineLevel="0" collapsed="false">
      <c r="A1025" s="8" t="s">
        <v>87</v>
      </c>
      <c r="B1025" s="8" t="s">
        <v>23</v>
      </c>
      <c r="C1025" s="8" t="s">
        <v>1412</v>
      </c>
      <c r="D1025" s="8" t="n">
        <v>142607</v>
      </c>
      <c r="E1025" s="8" t="s">
        <v>866</v>
      </c>
      <c r="F1025" s="8" t="s">
        <v>794</v>
      </c>
      <c r="G1025" s="8" t="s">
        <v>961</v>
      </c>
      <c r="H1025" s="8" t="s">
        <v>51</v>
      </c>
      <c r="I1025" s="8" t="s">
        <v>88</v>
      </c>
      <c r="J1025" s="4" t="n">
        <v>1490000</v>
      </c>
      <c r="K1025" s="4" t="n">
        <v>1240000</v>
      </c>
      <c r="L1025" s="5" t="n">
        <v>0.16779</v>
      </c>
      <c r="M1025" s="4" t="n">
        <v>0</v>
      </c>
      <c r="N1025" s="4" t="n">
        <v>0</v>
      </c>
      <c r="O1025" s="4" t="n">
        <v>0</v>
      </c>
      <c r="P1025" s="4" t="n">
        <v>0</v>
      </c>
      <c r="Q1025" s="4" t="n">
        <v>0</v>
      </c>
      <c r="R1025" s="4" t="n">
        <f aca="false">M1025+N1025+O1025+P1025+Q1025</f>
        <v>0</v>
      </c>
      <c r="S1025" s="4" t="n">
        <v>0</v>
      </c>
      <c r="T1025" s="4" t="n">
        <f aca="false">R1025*K1025</f>
        <v>0</v>
      </c>
      <c r="U1025" s="9" t="n">
        <f aca="false">IFERROR(M1025/S1025,0)</f>
        <v>0</v>
      </c>
      <c r="V1025" s="5" t="n">
        <v>0.0605</v>
      </c>
    </row>
    <row r="1026" customFormat="false" ht="15" hidden="false" customHeight="false" outlineLevel="0" collapsed="false">
      <c r="A1026" s="8" t="s">
        <v>87</v>
      </c>
      <c r="B1026" s="8" t="s">
        <v>23</v>
      </c>
      <c r="C1026" s="8" t="s">
        <v>1412</v>
      </c>
      <c r="D1026" s="8" t="n">
        <v>142608</v>
      </c>
      <c r="E1026" s="8" t="s">
        <v>867</v>
      </c>
      <c r="F1026" s="8" t="s">
        <v>794</v>
      </c>
      <c r="G1026" s="8" t="s">
        <v>961</v>
      </c>
      <c r="H1026" s="8" t="s">
        <v>51</v>
      </c>
      <c r="I1026" s="8" t="s">
        <v>88</v>
      </c>
      <c r="J1026" s="4" t="n">
        <v>1490000</v>
      </c>
      <c r="K1026" s="4" t="n">
        <v>1240000</v>
      </c>
      <c r="L1026" s="5" t="n">
        <v>0.16779</v>
      </c>
      <c r="M1026" s="4" t="n">
        <v>0</v>
      </c>
      <c r="N1026" s="4" t="n">
        <v>0</v>
      </c>
      <c r="O1026" s="4" t="n">
        <v>0</v>
      </c>
      <c r="P1026" s="4" t="n">
        <v>0</v>
      </c>
      <c r="Q1026" s="4" t="n">
        <v>0</v>
      </c>
      <c r="R1026" s="4" t="n">
        <f aca="false">M1026+N1026+O1026+P1026+Q1026</f>
        <v>0</v>
      </c>
      <c r="S1026" s="4" t="n">
        <v>0</v>
      </c>
      <c r="T1026" s="4" t="n">
        <f aca="false">R1026*K1026</f>
        <v>0</v>
      </c>
      <c r="U1026" s="9" t="n">
        <f aca="false">IFERROR(M1026/S1026,0)</f>
        <v>0</v>
      </c>
      <c r="V1026" s="5" t="n">
        <v>0.0605</v>
      </c>
    </row>
    <row r="1027" customFormat="false" ht="15" hidden="false" customHeight="false" outlineLevel="0" collapsed="false">
      <c r="A1027" s="8" t="s">
        <v>87</v>
      </c>
      <c r="B1027" s="8" t="s">
        <v>23</v>
      </c>
      <c r="C1027" s="8" t="s">
        <v>1412</v>
      </c>
      <c r="D1027" s="8" t="n">
        <v>142609</v>
      </c>
      <c r="E1027" s="8" t="s">
        <v>868</v>
      </c>
      <c r="F1027" s="8" t="s">
        <v>794</v>
      </c>
      <c r="G1027" s="8" t="s">
        <v>961</v>
      </c>
      <c r="H1027" s="8" t="s">
        <v>51</v>
      </c>
      <c r="I1027" s="8" t="s">
        <v>88</v>
      </c>
      <c r="J1027" s="4" t="n">
        <v>1490000</v>
      </c>
      <c r="K1027" s="4" t="n">
        <v>1240000</v>
      </c>
      <c r="L1027" s="5" t="n">
        <v>0.16779</v>
      </c>
      <c r="M1027" s="4" t="n">
        <v>0</v>
      </c>
      <c r="N1027" s="4" t="n">
        <v>0</v>
      </c>
      <c r="O1027" s="4" t="n">
        <v>0</v>
      </c>
      <c r="P1027" s="4" t="n">
        <v>0</v>
      </c>
      <c r="Q1027" s="4" t="n">
        <v>0</v>
      </c>
      <c r="R1027" s="4" t="n">
        <f aca="false">M1027+N1027+O1027+P1027+Q1027</f>
        <v>0</v>
      </c>
      <c r="S1027" s="4" t="n">
        <v>0</v>
      </c>
      <c r="T1027" s="4" t="n">
        <f aca="false">R1027*K1027</f>
        <v>0</v>
      </c>
      <c r="U1027" s="9" t="n">
        <f aca="false">IFERROR(M1027/S1027,0)</f>
        <v>0</v>
      </c>
      <c r="V1027" s="5" t="n">
        <v>0.0605</v>
      </c>
    </row>
    <row r="1028" customFormat="false" ht="15" hidden="false" customHeight="false" outlineLevel="0" collapsed="false">
      <c r="A1028" s="8" t="s">
        <v>87</v>
      </c>
      <c r="B1028" s="8" t="s">
        <v>23</v>
      </c>
      <c r="C1028" s="8" t="s">
        <v>1412</v>
      </c>
      <c r="D1028" s="8" t="n">
        <v>142610</v>
      </c>
      <c r="E1028" s="8" t="s">
        <v>869</v>
      </c>
      <c r="F1028" s="8" t="s">
        <v>794</v>
      </c>
      <c r="G1028" s="8" t="s">
        <v>961</v>
      </c>
      <c r="H1028" s="8" t="s">
        <v>51</v>
      </c>
      <c r="I1028" s="8" t="s">
        <v>88</v>
      </c>
      <c r="J1028" s="4" t="n">
        <v>1490000</v>
      </c>
      <c r="K1028" s="4" t="n">
        <v>1240000</v>
      </c>
      <c r="L1028" s="5" t="n">
        <v>0.16779</v>
      </c>
      <c r="M1028" s="4" t="n">
        <v>0</v>
      </c>
      <c r="N1028" s="4" t="n">
        <v>0</v>
      </c>
      <c r="O1028" s="4" t="n">
        <v>0</v>
      </c>
      <c r="P1028" s="4" t="n">
        <v>0</v>
      </c>
      <c r="Q1028" s="4" t="n">
        <v>0</v>
      </c>
      <c r="R1028" s="4" t="n">
        <f aca="false">M1028+N1028+O1028+P1028+Q1028</f>
        <v>0</v>
      </c>
      <c r="S1028" s="4" t="n">
        <v>0</v>
      </c>
      <c r="T1028" s="4" t="n">
        <f aca="false">R1028*K1028</f>
        <v>0</v>
      </c>
      <c r="U1028" s="9" t="n">
        <f aca="false">IFERROR(M1028/S1028,0)</f>
        <v>0</v>
      </c>
      <c r="V1028" s="5" t="n">
        <v>0.0605</v>
      </c>
    </row>
    <row r="1029" customFormat="false" ht="15" hidden="false" customHeight="false" outlineLevel="0" collapsed="false">
      <c r="A1029" s="8" t="s">
        <v>87</v>
      </c>
      <c r="B1029" s="8" t="s">
        <v>23</v>
      </c>
      <c r="C1029" s="8" t="s">
        <v>1412</v>
      </c>
      <c r="D1029" s="8" t="n">
        <v>142611</v>
      </c>
      <c r="E1029" s="8" t="s">
        <v>870</v>
      </c>
      <c r="F1029" s="8" t="s">
        <v>794</v>
      </c>
      <c r="G1029" s="8" t="s">
        <v>961</v>
      </c>
      <c r="H1029" s="8" t="s">
        <v>51</v>
      </c>
      <c r="I1029" s="8" t="s">
        <v>88</v>
      </c>
      <c r="J1029" s="4" t="n">
        <v>1490000</v>
      </c>
      <c r="K1029" s="4" t="n">
        <v>1240000</v>
      </c>
      <c r="L1029" s="5" t="n">
        <v>0.16779</v>
      </c>
      <c r="M1029" s="4" t="n">
        <v>0</v>
      </c>
      <c r="N1029" s="4" t="n">
        <v>0</v>
      </c>
      <c r="O1029" s="4" t="n">
        <v>0</v>
      </c>
      <c r="P1029" s="4" t="n">
        <v>0</v>
      </c>
      <c r="Q1029" s="4" t="n">
        <v>0</v>
      </c>
      <c r="R1029" s="4" t="n">
        <f aca="false">M1029+N1029+O1029+P1029+Q1029</f>
        <v>0</v>
      </c>
      <c r="S1029" s="4" t="n">
        <v>0</v>
      </c>
      <c r="T1029" s="4" t="n">
        <f aca="false">R1029*K1029</f>
        <v>0</v>
      </c>
      <c r="U1029" s="9" t="n">
        <f aca="false">IFERROR(M1029/S1029,0)</f>
        <v>0</v>
      </c>
      <c r="V1029" s="5" t="n">
        <v>0.0605</v>
      </c>
    </row>
    <row r="1030" customFormat="false" ht="15" hidden="false" customHeight="false" outlineLevel="0" collapsed="false">
      <c r="A1030" s="8" t="s">
        <v>87</v>
      </c>
      <c r="B1030" s="8" t="s">
        <v>23</v>
      </c>
      <c r="C1030" s="8" t="s">
        <v>1412</v>
      </c>
      <c r="D1030" s="8" t="n">
        <v>142612</v>
      </c>
      <c r="E1030" s="8" t="s">
        <v>871</v>
      </c>
      <c r="F1030" s="8" t="s">
        <v>794</v>
      </c>
      <c r="G1030" s="8" t="s">
        <v>961</v>
      </c>
      <c r="H1030" s="8" t="s">
        <v>51</v>
      </c>
      <c r="I1030" s="8" t="s">
        <v>88</v>
      </c>
      <c r="J1030" s="4" t="n">
        <v>1490000</v>
      </c>
      <c r="K1030" s="4" t="n">
        <v>1240000</v>
      </c>
      <c r="L1030" s="5" t="n">
        <v>0.16779</v>
      </c>
      <c r="M1030" s="4" t="n">
        <v>0</v>
      </c>
      <c r="N1030" s="4" t="n">
        <v>0</v>
      </c>
      <c r="O1030" s="4" t="n">
        <v>0</v>
      </c>
      <c r="P1030" s="4" t="n">
        <v>0</v>
      </c>
      <c r="Q1030" s="4" t="n">
        <v>0</v>
      </c>
      <c r="R1030" s="4" t="n">
        <f aca="false">M1030+N1030+O1030+P1030+Q1030</f>
        <v>0</v>
      </c>
      <c r="S1030" s="4" t="n">
        <v>0</v>
      </c>
      <c r="T1030" s="4" t="n">
        <f aca="false">R1030*K1030</f>
        <v>0</v>
      </c>
      <c r="U1030" s="9" t="n">
        <f aca="false">IFERROR(M1030/S1030,0)</f>
        <v>0</v>
      </c>
      <c r="V1030" s="5" t="n">
        <v>0.0605</v>
      </c>
    </row>
    <row r="1031" customFormat="false" ht="15" hidden="false" customHeight="false" outlineLevel="0" collapsed="false">
      <c r="A1031" s="8" t="s">
        <v>87</v>
      </c>
      <c r="B1031" s="8" t="s">
        <v>23</v>
      </c>
      <c r="C1031" s="8" t="s">
        <v>1412</v>
      </c>
      <c r="D1031" s="8" t="n">
        <v>142613</v>
      </c>
      <c r="E1031" s="8" t="s">
        <v>872</v>
      </c>
      <c r="F1031" s="8" t="s">
        <v>794</v>
      </c>
      <c r="G1031" s="8" t="s">
        <v>961</v>
      </c>
      <c r="H1031" s="8" t="s">
        <v>51</v>
      </c>
      <c r="I1031" s="8" t="s">
        <v>88</v>
      </c>
      <c r="J1031" s="4" t="n">
        <v>1490000</v>
      </c>
      <c r="K1031" s="4" t="n">
        <v>1240000</v>
      </c>
      <c r="L1031" s="5" t="n">
        <v>0.16779</v>
      </c>
      <c r="M1031" s="4" t="n">
        <v>0</v>
      </c>
      <c r="N1031" s="4" t="n">
        <v>0</v>
      </c>
      <c r="O1031" s="4" t="n">
        <v>0</v>
      </c>
      <c r="P1031" s="4" t="n">
        <v>0</v>
      </c>
      <c r="Q1031" s="4" t="n">
        <v>0</v>
      </c>
      <c r="R1031" s="4" t="n">
        <f aca="false">M1031+N1031+O1031+P1031+Q1031</f>
        <v>0</v>
      </c>
      <c r="S1031" s="4" t="n">
        <v>0</v>
      </c>
      <c r="T1031" s="4" t="n">
        <f aca="false">R1031*K1031</f>
        <v>0</v>
      </c>
      <c r="U1031" s="9" t="n">
        <f aca="false">IFERROR(M1031/S1031,0)</f>
        <v>0</v>
      </c>
      <c r="V1031" s="5" t="n">
        <v>0.0605</v>
      </c>
    </row>
    <row r="1032" customFormat="false" ht="15" hidden="false" customHeight="false" outlineLevel="0" collapsed="false">
      <c r="A1032" s="8" t="s">
        <v>87</v>
      </c>
      <c r="B1032" s="8" t="s">
        <v>23</v>
      </c>
      <c r="C1032" s="8" t="s">
        <v>1412</v>
      </c>
      <c r="D1032" s="8" t="n">
        <v>142614</v>
      </c>
      <c r="E1032" s="8" t="s">
        <v>873</v>
      </c>
      <c r="F1032" s="8" t="s">
        <v>794</v>
      </c>
      <c r="G1032" s="8" t="s">
        <v>961</v>
      </c>
      <c r="H1032" s="8" t="s">
        <v>51</v>
      </c>
      <c r="I1032" s="8" t="s">
        <v>88</v>
      </c>
      <c r="J1032" s="4" t="n">
        <v>1490000</v>
      </c>
      <c r="K1032" s="4" t="n">
        <v>1240000</v>
      </c>
      <c r="L1032" s="5" t="n">
        <v>0.16779</v>
      </c>
      <c r="M1032" s="4" t="n">
        <v>0</v>
      </c>
      <c r="N1032" s="4" t="n">
        <v>0</v>
      </c>
      <c r="O1032" s="4" t="n">
        <v>0</v>
      </c>
      <c r="P1032" s="4" t="n">
        <v>0</v>
      </c>
      <c r="Q1032" s="4" t="n">
        <v>0</v>
      </c>
      <c r="R1032" s="4" t="n">
        <f aca="false">M1032+N1032+O1032+P1032+Q1032</f>
        <v>0</v>
      </c>
      <c r="S1032" s="4" t="n">
        <v>0</v>
      </c>
      <c r="T1032" s="4" t="n">
        <f aca="false">R1032*K1032</f>
        <v>0</v>
      </c>
      <c r="U1032" s="9" t="n">
        <f aca="false">IFERROR(M1032/S1032,0)</f>
        <v>0</v>
      </c>
      <c r="V1032" s="5" t="n">
        <v>0.0605</v>
      </c>
    </row>
    <row r="1033" customFormat="false" ht="15" hidden="false" customHeight="false" outlineLevel="0" collapsed="false">
      <c r="A1033" s="8" t="s">
        <v>87</v>
      </c>
      <c r="B1033" s="8" t="s">
        <v>23</v>
      </c>
      <c r="C1033" s="8" t="s">
        <v>1412</v>
      </c>
      <c r="D1033" s="8" t="n">
        <v>142615</v>
      </c>
      <c r="E1033" s="8" t="s">
        <v>874</v>
      </c>
      <c r="F1033" s="8" t="s">
        <v>794</v>
      </c>
      <c r="G1033" s="8" t="s">
        <v>961</v>
      </c>
      <c r="H1033" s="8" t="s">
        <v>51</v>
      </c>
      <c r="I1033" s="8" t="s">
        <v>88</v>
      </c>
      <c r="J1033" s="4" t="n">
        <v>1490000</v>
      </c>
      <c r="K1033" s="4" t="n">
        <v>1240000</v>
      </c>
      <c r="L1033" s="5" t="n">
        <v>0.16779</v>
      </c>
      <c r="M1033" s="4" t="n">
        <v>0</v>
      </c>
      <c r="N1033" s="4" t="n">
        <v>0</v>
      </c>
      <c r="O1033" s="4" t="n">
        <v>0</v>
      </c>
      <c r="P1033" s="4" t="n">
        <v>0</v>
      </c>
      <c r="Q1033" s="4" t="n">
        <v>0</v>
      </c>
      <c r="R1033" s="4" t="n">
        <f aca="false">M1033+N1033+O1033+P1033+Q1033</f>
        <v>0</v>
      </c>
      <c r="S1033" s="4" t="n">
        <v>0</v>
      </c>
      <c r="T1033" s="4" t="n">
        <f aca="false">R1033*K1033</f>
        <v>0</v>
      </c>
      <c r="U1033" s="9" t="n">
        <f aca="false">IFERROR(M1033/S1033,0)</f>
        <v>0</v>
      </c>
      <c r="V1033" s="5" t="n">
        <v>0.0605</v>
      </c>
    </row>
    <row r="1034" customFormat="false" ht="15" hidden="false" customHeight="false" outlineLevel="0" collapsed="false">
      <c r="A1034" s="8" t="s">
        <v>87</v>
      </c>
      <c r="B1034" s="8" t="s">
        <v>23</v>
      </c>
      <c r="C1034" s="8" t="s">
        <v>1412</v>
      </c>
      <c r="D1034" s="8" t="n">
        <v>142616</v>
      </c>
      <c r="E1034" s="8" t="s">
        <v>875</v>
      </c>
      <c r="F1034" s="8" t="s">
        <v>767</v>
      </c>
      <c r="G1034" s="8" t="s">
        <v>961</v>
      </c>
      <c r="H1034" s="8" t="s">
        <v>51</v>
      </c>
      <c r="I1034" s="8" t="s">
        <v>88</v>
      </c>
      <c r="J1034" s="4" t="n">
        <v>1490000</v>
      </c>
      <c r="K1034" s="4" t="n">
        <v>1240000</v>
      </c>
      <c r="L1034" s="5" t="n">
        <v>0.16779</v>
      </c>
      <c r="M1034" s="4" t="n">
        <v>0</v>
      </c>
      <c r="N1034" s="4" t="n">
        <v>0</v>
      </c>
      <c r="O1034" s="4" t="n">
        <v>0</v>
      </c>
      <c r="P1034" s="4" t="n">
        <v>0</v>
      </c>
      <c r="Q1034" s="4" t="n">
        <v>0</v>
      </c>
      <c r="R1034" s="4" t="n">
        <f aca="false">M1034+N1034+O1034+P1034+Q1034</f>
        <v>0</v>
      </c>
      <c r="S1034" s="4" t="n">
        <v>0</v>
      </c>
      <c r="T1034" s="4" t="n">
        <f aca="false">R1034*K1034</f>
        <v>0</v>
      </c>
      <c r="U1034" s="9" t="n">
        <f aca="false">IFERROR(M1034/S1034,0)</f>
        <v>0</v>
      </c>
      <c r="V1034" s="5" t="n">
        <v>0.0605</v>
      </c>
    </row>
    <row r="1035" customFormat="false" ht="15" hidden="false" customHeight="false" outlineLevel="0" collapsed="false">
      <c r="A1035" s="8" t="s">
        <v>87</v>
      </c>
      <c r="B1035" s="8" t="s">
        <v>23</v>
      </c>
      <c r="C1035" s="8" t="s">
        <v>1412</v>
      </c>
      <c r="D1035" s="8" t="n">
        <v>142617</v>
      </c>
      <c r="E1035" s="8" t="s">
        <v>876</v>
      </c>
      <c r="F1035" s="8" t="s">
        <v>767</v>
      </c>
      <c r="G1035" s="8" t="s">
        <v>961</v>
      </c>
      <c r="H1035" s="8" t="s">
        <v>51</v>
      </c>
      <c r="I1035" s="8" t="s">
        <v>88</v>
      </c>
      <c r="J1035" s="4" t="n">
        <v>1490000</v>
      </c>
      <c r="K1035" s="4" t="n">
        <v>1240000</v>
      </c>
      <c r="L1035" s="5" t="n">
        <v>0.16779</v>
      </c>
      <c r="M1035" s="4" t="n">
        <v>0</v>
      </c>
      <c r="N1035" s="4" t="n">
        <v>0</v>
      </c>
      <c r="O1035" s="4" t="n">
        <v>0</v>
      </c>
      <c r="P1035" s="4" t="n">
        <v>0</v>
      </c>
      <c r="Q1035" s="4" t="n">
        <v>0</v>
      </c>
      <c r="R1035" s="4" t="n">
        <f aca="false">M1035+N1035+O1035+P1035+Q1035</f>
        <v>0</v>
      </c>
      <c r="S1035" s="4" t="n">
        <v>0</v>
      </c>
      <c r="T1035" s="4" t="n">
        <f aca="false">R1035*K1035</f>
        <v>0</v>
      </c>
      <c r="U1035" s="9" t="n">
        <f aca="false">IFERROR(M1035/S1035,0)</f>
        <v>0</v>
      </c>
      <c r="V1035" s="5" t="n">
        <v>0.0605</v>
      </c>
    </row>
    <row r="1036" customFormat="false" ht="15" hidden="false" customHeight="false" outlineLevel="0" collapsed="false">
      <c r="A1036" s="8" t="s">
        <v>87</v>
      </c>
      <c r="B1036" s="8" t="s">
        <v>23</v>
      </c>
      <c r="C1036" s="8" t="s">
        <v>1412</v>
      </c>
      <c r="D1036" s="8" t="n">
        <v>142618</v>
      </c>
      <c r="E1036" s="8" t="s">
        <v>877</v>
      </c>
      <c r="F1036" s="8" t="s">
        <v>767</v>
      </c>
      <c r="G1036" s="8" t="s">
        <v>961</v>
      </c>
      <c r="H1036" s="8" t="s">
        <v>51</v>
      </c>
      <c r="I1036" s="8" t="s">
        <v>88</v>
      </c>
      <c r="J1036" s="4" t="n">
        <v>1490000</v>
      </c>
      <c r="K1036" s="4" t="n">
        <v>1240000</v>
      </c>
      <c r="L1036" s="5" t="n">
        <v>0.16779</v>
      </c>
      <c r="M1036" s="4" t="n">
        <v>0</v>
      </c>
      <c r="N1036" s="4" t="n">
        <v>0</v>
      </c>
      <c r="O1036" s="4" t="n">
        <v>0</v>
      </c>
      <c r="P1036" s="4" t="n">
        <v>0</v>
      </c>
      <c r="Q1036" s="4" t="n">
        <v>0</v>
      </c>
      <c r="R1036" s="4" t="n">
        <f aca="false">M1036+N1036+O1036+P1036+Q1036</f>
        <v>0</v>
      </c>
      <c r="S1036" s="4" t="n">
        <v>0</v>
      </c>
      <c r="T1036" s="4" t="n">
        <f aca="false">R1036*K1036</f>
        <v>0</v>
      </c>
      <c r="U1036" s="9" t="n">
        <f aca="false">IFERROR(M1036/S1036,0)</f>
        <v>0</v>
      </c>
      <c r="V1036" s="5" t="n">
        <v>0.0605</v>
      </c>
    </row>
    <row r="1037" customFormat="false" ht="15" hidden="false" customHeight="false" outlineLevel="0" collapsed="false">
      <c r="A1037" s="8" t="s">
        <v>87</v>
      </c>
      <c r="B1037" s="8" t="s">
        <v>23</v>
      </c>
      <c r="C1037" s="8" t="s">
        <v>1412</v>
      </c>
      <c r="D1037" s="8" t="n">
        <v>142619</v>
      </c>
      <c r="E1037" s="8" t="s">
        <v>878</v>
      </c>
      <c r="F1037" s="8" t="s">
        <v>767</v>
      </c>
      <c r="G1037" s="8" t="s">
        <v>961</v>
      </c>
      <c r="H1037" s="8" t="s">
        <v>51</v>
      </c>
      <c r="I1037" s="8" t="s">
        <v>88</v>
      </c>
      <c r="J1037" s="4" t="n">
        <v>1490000</v>
      </c>
      <c r="K1037" s="4" t="n">
        <v>1240000</v>
      </c>
      <c r="L1037" s="5" t="n">
        <v>0.16779</v>
      </c>
      <c r="M1037" s="4" t="n">
        <v>0</v>
      </c>
      <c r="N1037" s="4" t="n">
        <v>0</v>
      </c>
      <c r="O1037" s="4" t="n">
        <v>0</v>
      </c>
      <c r="P1037" s="4" t="n">
        <v>0</v>
      </c>
      <c r="Q1037" s="4" t="n">
        <v>0</v>
      </c>
      <c r="R1037" s="4" t="n">
        <f aca="false">M1037+N1037+O1037+P1037+Q1037</f>
        <v>0</v>
      </c>
      <c r="S1037" s="4" t="n">
        <v>0</v>
      </c>
      <c r="T1037" s="4" t="n">
        <f aca="false">R1037*K1037</f>
        <v>0</v>
      </c>
      <c r="U1037" s="9" t="n">
        <f aca="false">IFERROR(M1037/S1037,0)</f>
        <v>0</v>
      </c>
      <c r="V1037" s="5" t="n">
        <v>0.0605</v>
      </c>
    </row>
    <row r="1038" customFormat="false" ht="15" hidden="false" customHeight="false" outlineLevel="0" collapsed="false">
      <c r="A1038" s="8" t="s">
        <v>87</v>
      </c>
      <c r="B1038" s="8" t="s">
        <v>23</v>
      </c>
      <c r="C1038" s="8" t="s">
        <v>1412</v>
      </c>
      <c r="D1038" s="8" t="n">
        <v>142620</v>
      </c>
      <c r="E1038" s="8" t="s">
        <v>879</v>
      </c>
      <c r="F1038" s="8" t="s">
        <v>767</v>
      </c>
      <c r="G1038" s="8" t="s">
        <v>961</v>
      </c>
      <c r="H1038" s="8" t="s">
        <v>51</v>
      </c>
      <c r="I1038" s="8" t="s">
        <v>88</v>
      </c>
      <c r="J1038" s="4" t="n">
        <v>1490000</v>
      </c>
      <c r="K1038" s="4" t="n">
        <v>1240000</v>
      </c>
      <c r="L1038" s="5" t="n">
        <v>0.16779</v>
      </c>
      <c r="M1038" s="4" t="n">
        <v>0</v>
      </c>
      <c r="N1038" s="4" t="n">
        <v>0</v>
      </c>
      <c r="O1038" s="4" t="n">
        <v>0</v>
      </c>
      <c r="P1038" s="4" t="n">
        <v>0</v>
      </c>
      <c r="Q1038" s="4" t="n">
        <v>0</v>
      </c>
      <c r="R1038" s="4" t="n">
        <f aca="false">M1038+N1038+O1038+P1038+Q1038</f>
        <v>0</v>
      </c>
      <c r="S1038" s="4" t="n">
        <v>0</v>
      </c>
      <c r="T1038" s="4" t="n">
        <f aca="false">R1038*K1038</f>
        <v>0</v>
      </c>
      <c r="U1038" s="9" t="n">
        <f aca="false">IFERROR(M1038/S1038,0)</f>
        <v>0</v>
      </c>
      <c r="V1038" s="5" t="n">
        <v>0.0605</v>
      </c>
    </row>
    <row r="1039" customFormat="false" ht="15" hidden="false" customHeight="false" outlineLevel="0" collapsed="false">
      <c r="A1039" s="8" t="s">
        <v>87</v>
      </c>
      <c r="B1039" s="8" t="s">
        <v>23</v>
      </c>
      <c r="C1039" s="8" t="s">
        <v>1412</v>
      </c>
      <c r="D1039" s="8" t="n">
        <v>142621</v>
      </c>
      <c r="E1039" s="8" t="s">
        <v>880</v>
      </c>
      <c r="F1039" s="8" t="s">
        <v>767</v>
      </c>
      <c r="G1039" s="8" t="s">
        <v>961</v>
      </c>
      <c r="H1039" s="8" t="s">
        <v>51</v>
      </c>
      <c r="I1039" s="8" t="s">
        <v>88</v>
      </c>
      <c r="J1039" s="4" t="n">
        <v>1490000</v>
      </c>
      <c r="K1039" s="4" t="n">
        <v>1240000</v>
      </c>
      <c r="L1039" s="5" t="n">
        <v>0.16779</v>
      </c>
      <c r="M1039" s="4" t="n">
        <v>0</v>
      </c>
      <c r="N1039" s="4" t="n">
        <v>0</v>
      </c>
      <c r="O1039" s="4" t="n">
        <v>0</v>
      </c>
      <c r="P1039" s="4" t="n">
        <v>0</v>
      </c>
      <c r="Q1039" s="4" t="n">
        <v>0</v>
      </c>
      <c r="R1039" s="4" t="n">
        <f aca="false">M1039+N1039+O1039+P1039+Q1039</f>
        <v>0</v>
      </c>
      <c r="S1039" s="4" t="n">
        <v>0</v>
      </c>
      <c r="T1039" s="4" t="n">
        <f aca="false">R1039*K1039</f>
        <v>0</v>
      </c>
      <c r="U1039" s="9" t="n">
        <f aca="false">IFERROR(M1039/S1039,0)</f>
        <v>0</v>
      </c>
      <c r="V1039" s="5" t="n">
        <v>0.0605</v>
      </c>
    </row>
    <row r="1040" customFormat="false" ht="15" hidden="false" customHeight="false" outlineLevel="0" collapsed="false">
      <c r="A1040" s="8" t="s">
        <v>87</v>
      </c>
      <c r="B1040" s="8" t="s">
        <v>23</v>
      </c>
      <c r="C1040" s="8" t="s">
        <v>1412</v>
      </c>
      <c r="D1040" s="8" t="n">
        <v>142622</v>
      </c>
      <c r="E1040" s="8" t="s">
        <v>881</v>
      </c>
      <c r="F1040" s="8" t="s">
        <v>767</v>
      </c>
      <c r="G1040" s="8" t="s">
        <v>961</v>
      </c>
      <c r="H1040" s="8" t="s">
        <v>51</v>
      </c>
      <c r="I1040" s="8" t="s">
        <v>88</v>
      </c>
      <c r="J1040" s="4" t="n">
        <v>1490000</v>
      </c>
      <c r="K1040" s="4" t="n">
        <v>1240000</v>
      </c>
      <c r="L1040" s="5" t="n">
        <v>0.16779</v>
      </c>
      <c r="M1040" s="4" t="n">
        <v>0</v>
      </c>
      <c r="N1040" s="4" t="n">
        <v>0</v>
      </c>
      <c r="O1040" s="4" t="n">
        <v>0</v>
      </c>
      <c r="P1040" s="4" t="n">
        <v>0</v>
      </c>
      <c r="Q1040" s="4" t="n">
        <v>0</v>
      </c>
      <c r="R1040" s="4" t="n">
        <f aca="false">M1040+N1040+O1040+P1040+Q1040</f>
        <v>0</v>
      </c>
      <c r="S1040" s="4" t="n">
        <v>0</v>
      </c>
      <c r="T1040" s="4" t="n">
        <f aca="false">R1040*K1040</f>
        <v>0</v>
      </c>
      <c r="U1040" s="9" t="n">
        <f aca="false">IFERROR(M1040/S1040,0)</f>
        <v>0</v>
      </c>
      <c r="V1040" s="5" t="n">
        <v>0.0605</v>
      </c>
    </row>
    <row r="1041" customFormat="false" ht="15" hidden="false" customHeight="false" outlineLevel="0" collapsed="false">
      <c r="A1041" s="8" t="s">
        <v>87</v>
      </c>
      <c r="B1041" s="8" t="s">
        <v>23</v>
      </c>
      <c r="C1041" s="8" t="s">
        <v>1412</v>
      </c>
      <c r="D1041" s="8" t="n">
        <v>142623</v>
      </c>
      <c r="E1041" s="8" t="s">
        <v>882</v>
      </c>
      <c r="F1041" s="8" t="s">
        <v>767</v>
      </c>
      <c r="G1041" s="8" t="s">
        <v>961</v>
      </c>
      <c r="H1041" s="8" t="s">
        <v>51</v>
      </c>
      <c r="I1041" s="8" t="s">
        <v>88</v>
      </c>
      <c r="J1041" s="4" t="n">
        <v>1490000</v>
      </c>
      <c r="K1041" s="4" t="n">
        <v>1240000</v>
      </c>
      <c r="L1041" s="5" t="n">
        <v>0.16779</v>
      </c>
      <c r="M1041" s="4" t="n">
        <v>0</v>
      </c>
      <c r="N1041" s="4" t="n">
        <v>0</v>
      </c>
      <c r="O1041" s="4" t="n">
        <v>0</v>
      </c>
      <c r="P1041" s="4" t="n">
        <v>0</v>
      </c>
      <c r="Q1041" s="4" t="n">
        <v>0</v>
      </c>
      <c r="R1041" s="4" t="n">
        <f aca="false">M1041+N1041+O1041+P1041+Q1041</f>
        <v>0</v>
      </c>
      <c r="S1041" s="4" t="n">
        <v>0</v>
      </c>
      <c r="T1041" s="4" t="n">
        <f aca="false">R1041*K1041</f>
        <v>0</v>
      </c>
      <c r="U1041" s="9" t="n">
        <f aca="false">IFERROR(M1041/S1041,0)</f>
        <v>0</v>
      </c>
      <c r="V1041" s="5" t="n">
        <v>0.0605</v>
      </c>
    </row>
    <row r="1042" customFormat="false" ht="15" hidden="false" customHeight="false" outlineLevel="0" collapsed="false">
      <c r="A1042" s="8" t="s">
        <v>87</v>
      </c>
      <c r="B1042" s="8" t="s">
        <v>23</v>
      </c>
      <c r="C1042" s="8" t="s">
        <v>1412</v>
      </c>
      <c r="D1042" s="8" t="n">
        <v>142624</v>
      </c>
      <c r="E1042" s="8" t="s">
        <v>883</v>
      </c>
      <c r="F1042" s="8" t="s">
        <v>794</v>
      </c>
      <c r="G1042" s="8" t="s">
        <v>961</v>
      </c>
      <c r="H1042" s="8" t="s">
        <v>51</v>
      </c>
      <c r="I1042" s="8" t="s">
        <v>88</v>
      </c>
      <c r="J1042" s="4" t="n">
        <v>1490000</v>
      </c>
      <c r="K1042" s="4" t="n">
        <v>1240000</v>
      </c>
      <c r="L1042" s="5" t="n">
        <v>0.16779</v>
      </c>
      <c r="M1042" s="4" t="n">
        <v>0</v>
      </c>
      <c r="N1042" s="4" t="n">
        <v>0</v>
      </c>
      <c r="O1042" s="4" t="n">
        <v>0</v>
      </c>
      <c r="P1042" s="4" t="n">
        <v>0</v>
      </c>
      <c r="Q1042" s="4" t="n">
        <v>0</v>
      </c>
      <c r="R1042" s="4" t="n">
        <f aca="false">M1042+N1042+O1042+P1042+Q1042</f>
        <v>0</v>
      </c>
      <c r="S1042" s="4" t="n">
        <v>0</v>
      </c>
      <c r="T1042" s="4" t="n">
        <f aca="false">R1042*K1042</f>
        <v>0</v>
      </c>
      <c r="U1042" s="9" t="n">
        <f aca="false">IFERROR(M1042/S1042,0)</f>
        <v>0</v>
      </c>
      <c r="V1042" s="5" t="n">
        <v>0.0605</v>
      </c>
    </row>
    <row r="1043" customFormat="false" ht="15" hidden="false" customHeight="false" outlineLevel="0" collapsed="false">
      <c r="A1043" s="8" t="s">
        <v>87</v>
      </c>
      <c r="B1043" s="8" t="s">
        <v>23</v>
      </c>
      <c r="C1043" s="8" t="s">
        <v>1412</v>
      </c>
      <c r="D1043" s="8" t="n">
        <v>142625</v>
      </c>
      <c r="E1043" s="8" t="s">
        <v>884</v>
      </c>
      <c r="F1043" s="8" t="s">
        <v>767</v>
      </c>
      <c r="G1043" s="8" t="s">
        <v>961</v>
      </c>
      <c r="H1043" s="8" t="s">
        <v>51</v>
      </c>
      <c r="I1043" s="8" t="s">
        <v>88</v>
      </c>
      <c r="J1043" s="4" t="n">
        <v>1490000</v>
      </c>
      <c r="K1043" s="4" t="n">
        <v>1240000</v>
      </c>
      <c r="L1043" s="5" t="n">
        <v>0.16779</v>
      </c>
      <c r="M1043" s="4" t="n">
        <v>0</v>
      </c>
      <c r="N1043" s="4" t="n">
        <v>0</v>
      </c>
      <c r="O1043" s="4" t="n">
        <v>0</v>
      </c>
      <c r="P1043" s="4" t="n">
        <v>0</v>
      </c>
      <c r="Q1043" s="4" t="n">
        <v>0</v>
      </c>
      <c r="R1043" s="4" t="n">
        <f aca="false">M1043+N1043+O1043+P1043+Q1043</f>
        <v>0</v>
      </c>
      <c r="S1043" s="4" t="n">
        <v>0</v>
      </c>
      <c r="T1043" s="4" t="n">
        <f aca="false">R1043*K1043</f>
        <v>0</v>
      </c>
      <c r="U1043" s="9" t="n">
        <f aca="false">IFERROR(M1043/S1043,0)</f>
        <v>0</v>
      </c>
      <c r="V1043" s="5" t="n">
        <v>0.0605</v>
      </c>
    </row>
    <row r="1044" customFormat="false" ht="15" hidden="false" customHeight="false" outlineLevel="0" collapsed="false">
      <c r="A1044" s="8" t="s">
        <v>87</v>
      </c>
      <c r="B1044" s="8" t="s">
        <v>23</v>
      </c>
      <c r="C1044" s="8" t="s">
        <v>1412</v>
      </c>
      <c r="D1044" s="8" t="n">
        <v>142626</v>
      </c>
      <c r="E1044" s="8" t="s">
        <v>885</v>
      </c>
      <c r="F1044" s="8" t="s">
        <v>767</v>
      </c>
      <c r="G1044" s="8" t="s">
        <v>961</v>
      </c>
      <c r="H1044" s="8" t="s">
        <v>51</v>
      </c>
      <c r="I1044" s="8" t="s">
        <v>88</v>
      </c>
      <c r="J1044" s="4" t="n">
        <v>1990000</v>
      </c>
      <c r="K1044" s="4" t="n">
        <v>1740000</v>
      </c>
      <c r="L1044" s="5" t="n">
        <v>0.12563</v>
      </c>
      <c r="M1044" s="4" t="n">
        <v>0</v>
      </c>
      <c r="N1044" s="4" t="n">
        <v>0</v>
      </c>
      <c r="O1044" s="4" t="n">
        <v>0</v>
      </c>
      <c r="P1044" s="4" t="n">
        <v>0</v>
      </c>
      <c r="Q1044" s="4" t="n">
        <v>0</v>
      </c>
      <c r="R1044" s="4" t="n">
        <f aca="false">M1044+N1044+O1044+P1044+Q1044</f>
        <v>0</v>
      </c>
      <c r="S1044" s="4" t="n">
        <v>0</v>
      </c>
      <c r="T1044" s="4" t="n">
        <f aca="false">R1044*K1044</f>
        <v>0</v>
      </c>
      <c r="U1044" s="9" t="n">
        <f aca="false">IFERROR(M1044/S1044,0)</f>
        <v>0</v>
      </c>
      <c r="V1044" s="5" t="n">
        <v>0.1868</v>
      </c>
    </row>
    <row r="1045" customFormat="false" ht="15" hidden="false" customHeight="false" outlineLevel="0" collapsed="false">
      <c r="A1045" s="8" t="s">
        <v>87</v>
      </c>
      <c r="B1045" s="8" t="s">
        <v>23</v>
      </c>
      <c r="C1045" s="8" t="s">
        <v>1412</v>
      </c>
      <c r="D1045" s="8" t="n">
        <v>142627</v>
      </c>
      <c r="E1045" s="8" t="s">
        <v>886</v>
      </c>
      <c r="F1045" s="8" t="s">
        <v>767</v>
      </c>
      <c r="G1045" s="8" t="s">
        <v>961</v>
      </c>
      <c r="H1045" s="8" t="s">
        <v>51</v>
      </c>
      <c r="I1045" s="8" t="s">
        <v>88</v>
      </c>
      <c r="J1045" s="4" t="n">
        <v>1990000</v>
      </c>
      <c r="K1045" s="4" t="n">
        <v>1740000</v>
      </c>
      <c r="L1045" s="5" t="n">
        <v>0.12563</v>
      </c>
      <c r="M1045" s="4" t="n">
        <v>0</v>
      </c>
      <c r="N1045" s="4" t="n">
        <v>0</v>
      </c>
      <c r="O1045" s="4" t="n">
        <v>0</v>
      </c>
      <c r="P1045" s="4" t="n">
        <v>0</v>
      </c>
      <c r="Q1045" s="4" t="n">
        <v>0</v>
      </c>
      <c r="R1045" s="4" t="n">
        <f aca="false">M1045+N1045+O1045+P1045+Q1045</f>
        <v>0</v>
      </c>
      <c r="S1045" s="4" t="n">
        <v>0</v>
      </c>
      <c r="T1045" s="4" t="n">
        <f aca="false">R1045*K1045</f>
        <v>0</v>
      </c>
      <c r="U1045" s="9" t="n">
        <f aca="false">IFERROR(M1045/S1045,0)</f>
        <v>0</v>
      </c>
      <c r="V1045" s="5" t="n">
        <v>0.1868</v>
      </c>
    </row>
    <row r="1046" customFormat="false" ht="15" hidden="false" customHeight="false" outlineLevel="0" collapsed="false">
      <c r="A1046" s="8" t="s">
        <v>87</v>
      </c>
      <c r="B1046" s="8" t="s">
        <v>23</v>
      </c>
      <c r="C1046" s="8" t="s">
        <v>1412</v>
      </c>
      <c r="D1046" s="8" t="n">
        <v>142628</v>
      </c>
      <c r="E1046" s="8" t="s">
        <v>887</v>
      </c>
      <c r="F1046" s="8" t="s">
        <v>794</v>
      </c>
      <c r="G1046" s="8" t="s">
        <v>961</v>
      </c>
      <c r="H1046" s="8" t="s">
        <v>51</v>
      </c>
      <c r="I1046" s="8" t="s">
        <v>88</v>
      </c>
      <c r="J1046" s="4" t="n">
        <v>1990000</v>
      </c>
      <c r="K1046" s="4" t="n">
        <v>1740000</v>
      </c>
      <c r="L1046" s="5" t="n">
        <v>0.12563</v>
      </c>
      <c r="M1046" s="4" t="n">
        <v>0</v>
      </c>
      <c r="N1046" s="4" t="n">
        <v>0</v>
      </c>
      <c r="O1046" s="4" t="n">
        <v>0</v>
      </c>
      <c r="P1046" s="4" t="n">
        <v>0</v>
      </c>
      <c r="Q1046" s="4" t="n">
        <v>0</v>
      </c>
      <c r="R1046" s="4" t="n">
        <f aca="false">M1046+N1046+O1046+P1046+Q1046</f>
        <v>0</v>
      </c>
      <c r="S1046" s="4" t="n">
        <v>0</v>
      </c>
      <c r="T1046" s="4" t="n">
        <f aca="false">R1046*K1046</f>
        <v>0</v>
      </c>
      <c r="U1046" s="9" t="n">
        <f aca="false">IFERROR(M1046/S1046,0)</f>
        <v>0</v>
      </c>
      <c r="V1046" s="5" t="n">
        <v>0.1868</v>
      </c>
    </row>
    <row r="1047" customFormat="false" ht="15" hidden="false" customHeight="false" outlineLevel="0" collapsed="false">
      <c r="A1047" s="8" t="s">
        <v>87</v>
      </c>
      <c r="B1047" s="8" t="s">
        <v>23</v>
      </c>
      <c r="C1047" s="8" t="s">
        <v>1412</v>
      </c>
      <c r="D1047" s="8" t="n">
        <v>142629</v>
      </c>
      <c r="E1047" s="8" t="s">
        <v>888</v>
      </c>
      <c r="F1047" s="8" t="s">
        <v>794</v>
      </c>
      <c r="G1047" s="8" t="s">
        <v>961</v>
      </c>
      <c r="H1047" s="8" t="s">
        <v>51</v>
      </c>
      <c r="I1047" s="8" t="s">
        <v>88</v>
      </c>
      <c r="J1047" s="4" t="n">
        <v>1990000</v>
      </c>
      <c r="K1047" s="4" t="n">
        <v>1740000</v>
      </c>
      <c r="L1047" s="5" t="n">
        <v>0.12563</v>
      </c>
      <c r="M1047" s="4" t="n">
        <v>0</v>
      </c>
      <c r="N1047" s="4" t="n">
        <v>0</v>
      </c>
      <c r="O1047" s="4" t="n">
        <v>0</v>
      </c>
      <c r="P1047" s="4" t="n">
        <v>0</v>
      </c>
      <c r="Q1047" s="4" t="n">
        <v>0</v>
      </c>
      <c r="R1047" s="4" t="n">
        <f aca="false">M1047+N1047+O1047+P1047+Q1047</f>
        <v>0</v>
      </c>
      <c r="S1047" s="4" t="n">
        <v>0</v>
      </c>
      <c r="T1047" s="4" t="n">
        <f aca="false">R1047*K1047</f>
        <v>0</v>
      </c>
      <c r="U1047" s="9" t="n">
        <f aca="false">IFERROR(M1047/S1047,0)</f>
        <v>0</v>
      </c>
      <c r="V1047" s="5" t="n">
        <v>0.1868</v>
      </c>
    </row>
    <row r="1048" customFormat="false" ht="15" hidden="false" customHeight="false" outlineLevel="0" collapsed="false">
      <c r="A1048" s="8" t="s">
        <v>87</v>
      </c>
      <c r="B1048" s="8" t="s">
        <v>23</v>
      </c>
      <c r="C1048" s="8" t="s">
        <v>1412</v>
      </c>
      <c r="D1048" s="8" t="n">
        <v>142630</v>
      </c>
      <c r="E1048" s="8" t="s">
        <v>889</v>
      </c>
      <c r="F1048" s="8" t="s">
        <v>767</v>
      </c>
      <c r="G1048" s="8" t="s">
        <v>961</v>
      </c>
      <c r="H1048" s="8" t="s">
        <v>51</v>
      </c>
      <c r="I1048" s="8" t="s">
        <v>88</v>
      </c>
      <c r="J1048" s="4" t="n">
        <v>1990000</v>
      </c>
      <c r="K1048" s="4" t="n">
        <v>1740000</v>
      </c>
      <c r="L1048" s="5" t="n">
        <v>0.12563</v>
      </c>
      <c r="M1048" s="4" t="n">
        <v>0</v>
      </c>
      <c r="N1048" s="4" t="n">
        <v>0</v>
      </c>
      <c r="O1048" s="4" t="n">
        <v>0</v>
      </c>
      <c r="P1048" s="4" t="n">
        <v>0</v>
      </c>
      <c r="Q1048" s="4" t="n">
        <v>0</v>
      </c>
      <c r="R1048" s="4" t="n">
        <f aca="false">M1048+N1048+O1048+P1048+Q1048</f>
        <v>0</v>
      </c>
      <c r="S1048" s="4" t="n">
        <v>0</v>
      </c>
      <c r="T1048" s="4" t="n">
        <f aca="false">R1048*K1048</f>
        <v>0</v>
      </c>
      <c r="U1048" s="9" t="n">
        <f aca="false">IFERROR(M1048/S1048,0)</f>
        <v>0</v>
      </c>
      <c r="V1048" s="5" t="n">
        <v>0.1868</v>
      </c>
    </row>
    <row r="1049" customFormat="false" ht="15" hidden="false" customHeight="false" outlineLevel="0" collapsed="false">
      <c r="A1049" s="8" t="s">
        <v>87</v>
      </c>
      <c r="B1049" s="8" t="s">
        <v>23</v>
      </c>
      <c r="C1049" s="8" t="s">
        <v>1412</v>
      </c>
      <c r="D1049" s="8" t="n">
        <v>142631</v>
      </c>
      <c r="E1049" s="8" t="s">
        <v>890</v>
      </c>
      <c r="F1049" s="8" t="s">
        <v>767</v>
      </c>
      <c r="G1049" s="8" t="s">
        <v>961</v>
      </c>
      <c r="H1049" s="8" t="s">
        <v>51</v>
      </c>
      <c r="I1049" s="8" t="s">
        <v>88</v>
      </c>
      <c r="J1049" s="4" t="n">
        <v>1990000</v>
      </c>
      <c r="K1049" s="4" t="n">
        <v>1740000</v>
      </c>
      <c r="L1049" s="5" t="n">
        <v>0.12563</v>
      </c>
      <c r="M1049" s="4" t="n">
        <v>0</v>
      </c>
      <c r="N1049" s="4" t="n">
        <v>0</v>
      </c>
      <c r="O1049" s="4" t="n">
        <v>0</v>
      </c>
      <c r="P1049" s="4" t="n">
        <v>0</v>
      </c>
      <c r="Q1049" s="4" t="n">
        <v>0</v>
      </c>
      <c r="R1049" s="4" t="n">
        <f aca="false">M1049+N1049+O1049+P1049+Q1049</f>
        <v>0</v>
      </c>
      <c r="S1049" s="4" t="n">
        <v>0</v>
      </c>
      <c r="T1049" s="4" t="n">
        <f aca="false">R1049*K1049</f>
        <v>0</v>
      </c>
      <c r="U1049" s="9" t="n">
        <f aca="false">IFERROR(M1049/S1049,0)</f>
        <v>0</v>
      </c>
      <c r="V1049" s="5" t="n">
        <v>0.1868</v>
      </c>
    </row>
    <row r="1050" customFormat="false" ht="15" hidden="false" customHeight="false" outlineLevel="0" collapsed="false">
      <c r="A1050" s="8" t="s">
        <v>87</v>
      </c>
      <c r="B1050" s="8" t="s">
        <v>23</v>
      </c>
      <c r="C1050" s="8" t="s">
        <v>1412</v>
      </c>
      <c r="D1050" s="8" t="n">
        <v>142632</v>
      </c>
      <c r="E1050" s="8" t="s">
        <v>891</v>
      </c>
      <c r="F1050" s="8" t="s">
        <v>767</v>
      </c>
      <c r="G1050" s="8" t="s">
        <v>961</v>
      </c>
      <c r="H1050" s="8" t="s">
        <v>51</v>
      </c>
      <c r="I1050" s="8" t="s">
        <v>88</v>
      </c>
      <c r="J1050" s="4" t="n">
        <v>1990000</v>
      </c>
      <c r="K1050" s="4" t="n">
        <v>1740000</v>
      </c>
      <c r="L1050" s="5" t="n">
        <v>0.12563</v>
      </c>
      <c r="M1050" s="4" t="n">
        <v>0</v>
      </c>
      <c r="N1050" s="4" t="n">
        <v>0</v>
      </c>
      <c r="O1050" s="4" t="n">
        <v>0</v>
      </c>
      <c r="P1050" s="4" t="n">
        <v>0</v>
      </c>
      <c r="Q1050" s="4" t="n">
        <v>0</v>
      </c>
      <c r="R1050" s="4" t="n">
        <f aca="false">M1050+N1050+O1050+P1050+Q1050</f>
        <v>0</v>
      </c>
      <c r="S1050" s="4" t="n">
        <v>0</v>
      </c>
      <c r="T1050" s="4" t="n">
        <f aca="false">R1050*K1050</f>
        <v>0</v>
      </c>
      <c r="U1050" s="9" t="n">
        <f aca="false">IFERROR(M1050/S1050,0)</f>
        <v>0</v>
      </c>
      <c r="V1050" s="5" t="n">
        <v>0.1868</v>
      </c>
    </row>
    <row r="1051" customFormat="false" ht="15" hidden="false" customHeight="false" outlineLevel="0" collapsed="false">
      <c r="A1051" s="8" t="s">
        <v>87</v>
      </c>
      <c r="B1051" s="8" t="s">
        <v>23</v>
      </c>
      <c r="C1051" s="8" t="s">
        <v>1412</v>
      </c>
      <c r="D1051" s="8" t="n">
        <v>142633</v>
      </c>
      <c r="E1051" s="8" t="s">
        <v>892</v>
      </c>
      <c r="F1051" s="8" t="s">
        <v>767</v>
      </c>
      <c r="G1051" s="8" t="s">
        <v>961</v>
      </c>
      <c r="H1051" s="8" t="s">
        <v>51</v>
      </c>
      <c r="I1051" s="8" t="s">
        <v>88</v>
      </c>
      <c r="J1051" s="4" t="n">
        <v>1990000</v>
      </c>
      <c r="K1051" s="4" t="n">
        <v>1740000</v>
      </c>
      <c r="L1051" s="5" t="n">
        <v>0.12563</v>
      </c>
      <c r="M1051" s="4" t="n">
        <v>0</v>
      </c>
      <c r="N1051" s="4" t="n">
        <v>0</v>
      </c>
      <c r="O1051" s="4" t="n">
        <v>0</v>
      </c>
      <c r="P1051" s="4" t="n">
        <v>0</v>
      </c>
      <c r="Q1051" s="4" t="n">
        <v>0</v>
      </c>
      <c r="R1051" s="4" t="n">
        <f aca="false">M1051+N1051+O1051+P1051+Q1051</f>
        <v>0</v>
      </c>
      <c r="S1051" s="4" t="n">
        <v>0</v>
      </c>
      <c r="T1051" s="4" t="n">
        <f aca="false">R1051*K1051</f>
        <v>0</v>
      </c>
      <c r="U1051" s="9" t="n">
        <f aca="false">IFERROR(M1051/S1051,0)</f>
        <v>0</v>
      </c>
      <c r="V1051" s="5" t="n">
        <v>0.1868</v>
      </c>
    </row>
    <row r="1052" customFormat="false" ht="15" hidden="false" customHeight="false" outlineLevel="0" collapsed="false">
      <c r="A1052" s="8" t="s">
        <v>87</v>
      </c>
      <c r="B1052" s="8" t="s">
        <v>23</v>
      </c>
      <c r="C1052" s="8" t="s">
        <v>1412</v>
      </c>
      <c r="D1052" s="8" t="n">
        <v>142634</v>
      </c>
      <c r="E1052" s="8" t="s">
        <v>893</v>
      </c>
      <c r="F1052" s="8" t="s">
        <v>767</v>
      </c>
      <c r="G1052" s="8" t="s">
        <v>961</v>
      </c>
      <c r="H1052" s="8" t="s">
        <v>51</v>
      </c>
      <c r="I1052" s="8" t="s">
        <v>88</v>
      </c>
      <c r="J1052" s="4" t="n">
        <v>1990000</v>
      </c>
      <c r="K1052" s="4" t="n">
        <v>1740000</v>
      </c>
      <c r="L1052" s="5" t="n">
        <v>0.12563</v>
      </c>
      <c r="M1052" s="4" t="n">
        <v>0</v>
      </c>
      <c r="N1052" s="4" t="n">
        <v>0</v>
      </c>
      <c r="O1052" s="4" t="n">
        <v>0</v>
      </c>
      <c r="P1052" s="4" t="n">
        <v>0</v>
      </c>
      <c r="Q1052" s="4" t="n">
        <v>0</v>
      </c>
      <c r="R1052" s="4" t="n">
        <f aca="false">M1052+N1052+O1052+P1052+Q1052</f>
        <v>0</v>
      </c>
      <c r="S1052" s="4" t="n">
        <v>0</v>
      </c>
      <c r="T1052" s="4" t="n">
        <f aca="false">R1052*K1052</f>
        <v>0</v>
      </c>
      <c r="U1052" s="9" t="n">
        <f aca="false">IFERROR(M1052/S1052,0)</f>
        <v>0</v>
      </c>
      <c r="V1052" s="5" t="n">
        <v>0.1868</v>
      </c>
    </row>
    <row r="1053" customFormat="false" ht="15" hidden="false" customHeight="false" outlineLevel="0" collapsed="false">
      <c r="A1053" s="8" t="s">
        <v>87</v>
      </c>
      <c r="B1053" s="8" t="s">
        <v>23</v>
      </c>
      <c r="C1053" s="8" t="s">
        <v>1412</v>
      </c>
      <c r="D1053" s="8" t="n">
        <v>142635</v>
      </c>
      <c r="E1053" s="8" t="s">
        <v>894</v>
      </c>
      <c r="F1053" s="8" t="s">
        <v>767</v>
      </c>
      <c r="G1053" s="8" t="s">
        <v>961</v>
      </c>
      <c r="H1053" s="8" t="s">
        <v>51</v>
      </c>
      <c r="I1053" s="8" t="s">
        <v>88</v>
      </c>
      <c r="J1053" s="4" t="n">
        <v>1990000</v>
      </c>
      <c r="K1053" s="4" t="n">
        <v>1740000</v>
      </c>
      <c r="L1053" s="5" t="n">
        <v>0.12563</v>
      </c>
      <c r="M1053" s="4" t="n">
        <v>0</v>
      </c>
      <c r="N1053" s="4" t="n">
        <v>0</v>
      </c>
      <c r="O1053" s="4" t="n">
        <v>0</v>
      </c>
      <c r="P1053" s="4" t="n">
        <v>0</v>
      </c>
      <c r="Q1053" s="4" t="n">
        <v>0</v>
      </c>
      <c r="R1053" s="4" t="n">
        <f aca="false">M1053+N1053+O1053+P1053+Q1053</f>
        <v>0</v>
      </c>
      <c r="S1053" s="4" t="n">
        <v>0</v>
      </c>
      <c r="T1053" s="4" t="n">
        <f aca="false">R1053*K1053</f>
        <v>0</v>
      </c>
      <c r="U1053" s="9" t="n">
        <f aca="false">IFERROR(M1053/S1053,0)</f>
        <v>0</v>
      </c>
      <c r="V1053" s="5" t="n">
        <v>0.1868</v>
      </c>
    </row>
    <row r="1054" customFormat="false" ht="15" hidden="false" customHeight="false" outlineLevel="0" collapsed="false">
      <c r="A1054" s="8" t="s">
        <v>87</v>
      </c>
      <c r="B1054" s="8" t="s">
        <v>23</v>
      </c>
      <c r="C1054" s="8" t="s">
        <v>1412</v>
      </c>
      <c r="D1054" s="8" t="n">
        <v>142636</v>
      </c>
      <c r="E1054" s="8" t="s">
        <v>895</v>
      </c>
      <c r="F1054" s="8" t="s">
        <v>767</v>
      </c>
      <c r="G1054" s="8" t="s">
        <v>961</v>
      </c>
      <c r="H1054" s="8" t="s">
        <v>51</v>
      </c>
      <c r="I1054" s="8" t="s">
        <v>88</v>
      </c>
      <c r="J1054" s="4" t="n">
        <v>1990000</v>
      </c>
      <c r="K1054" s="4" t="n">
        <v>1740000</v>
      </c>
      <c r="L1054" s="5" t="n">
        <v>0.12563</v>
      </c>
      <c r="M1054" s="4" t="n">
        <v>0</v>
      </c>
      <c r="N1054" s="4" t="n">
        <v>0</v>
      </c>
      <c r="O1054" s="4" t="n">
        <v>0</v>
      </c>
      <c r="P1054" s="4" t="n">
        <v>0</v>
      </c>
      <c r="Q1054" s="4" t="n">
        <v>0</v>
      </c>
      <c r="R1054" s="4" t="n">
        <f aca="false">M1054+N1054+O1054+P1054+Q1054</f>
        <v>0</v>
      </c>
      <c r="S1054" s="4" t="n">
        <v>0</v>
      </c>
      <c r="T1054" s="4" t="n">
        <f aca="false">R1054*K1054</f>
        <v>0</v>
      </c>
      <c r="U1054" s="9" t="n">
        <f aca="false">IFERROR(M1054/S1054,0)</f>
        <v>0</v>
      </c>
      <c r="V1054" s="5" t="n">
        <v>0.1868</v>
      </c>
    </row>
    <row r="1055" customFormat="false" ht="15" hidden="false" customHeight="false" outlineLevel="0" collapsed="false">
      <c r="A1055" s="8" t="s">
        <v>87</v>
      </c>
      <c r="B1055" s="8" t="s">
        <v>23</v>
      </c>
      <c r="C1055" s="8" t="s">
        <v>1412</v>
      </c>
      <c r="D1055" s="8" t="n">
        <v>142637</v>
      </c>
      <c r="E1055" s="8" t="s">
        <v>896</v>
      </c>
      <c r="F1055" s="8" t="s">
        <v>767</v>
      </c>
      <c r="G1055" s="8" t="s">
        <v>961</v>
      </c>
      <c r="H1055" s="8" t="s">
        <v>51</v>
      </c>
      <c r="I1055" s="8" t="s">
        <v>88</v>
      </c>
      <c r="J1055" s="4" t="n">
        <v>1990000</v>
      </c>
      <c r="K1055" s="4" t="n">
        <v>1740000</v>
      </c>
      <c r="L1055" s="5" t="n">
        <v>0.12563</v>
      </c>
      <c r="M1055" s="4" t="n">
        <v>0</v>
      </c>
      <c r="N1055" s="4" t="n">
        <v>0</v>
      </c>
      <c r="O1055" s="4" t="n">
        <v>0</v>
      </c>
      <c r="P1055" s="4" t="n">
        <v>0</v>
      </c>
      <c r="Q1055" s="4" t="n">
        <v>0</v>
      </c>
      <c r="R1055" s="4" t="n">
        <f aca="false">M1055+N1055+O1055+P1055+Q1055</f>
        <v>0</v>
      </c>
      <c r="S1055" s="4" t="n">
        <v>0</v>
      </c>
      <c r="T1055" s="4" t="n">
        <f aca="false">R1055*K1055</f>
        <v>0</v>
      </c>
      <c r="U1055" s="9" t="n">
        <f aca="false">IFERROR(M1055/S1055,0)</f>
        <v>0</v>
      </c>
      <c r="V1055" s="5" t="n">
        <v>0.1868</v>
      </c>
    </row>
    <row r="1056" customFormat="false" ht="15" hidden="false" customHeight="false" outlineLevel="0" collapsed="false">
      <c r="A1056" s="8" t="s">
        <v>87</v>
      </c>
      <c r="B1056" s="8" t="s">
        <v>23</v>
      </c>
      <c r="C1056" s="8" t="s">
        <v>1412</v>
      </c>
      <c r="D1056" s="8" t="n">
        <v>142638</v>
      </c>
      <c r="E1056" s="8" t="s">
        <v>897</v>
      </c>
      <c r="F1056" s="8" t="s">
        <v>767</v>
      </c>
      <c r="G1056" s="8" t="s">
        <v>961</v>
      </c>
      <c r="H1056" s="8" t="s">
        <v>51</v>
      </c>
      <c r="I1056" s="8" t="s">
        <v>88</v>
      </c>
      <c r="J1056" s="4" t="n">
        <v>1990000</v>
      </c>
      <c r="K1056" s="4" t="n">
        <v>1740000</v>
      </c>
      <c r="L1056" s="5" t="n">
        <v>0.12563</v>
      </c>
      <c r="M1056" s="4" t="n">
        <v>0</v>
      </c>
      <c r="N1056" s="4" t="n">
        <v>0</v>
      </c>
      <c r="O1056" s="4" t="n">
        <v>0</v>
      </c>
      <c r="P1056" s="4" t="n">
        <v>0</v>
      </c>
      <c r="Q1056" s="4" t="n">
        <v>0</v>
      </c>
      <c r="R1056" s="4" t="n">
        <f aca="false">M1056+N1056+O1056+P1056+Q1056</f>
        <v>0</v>
      </c>
      <c r="S1056" s="4" t="n">
        <v>0</v>
      </c>
      <c r="T1056" s="4" t="n">
        <f aca="false">R1056*K1056</f>
        <v>0</v>
      </c>
      <c r="U1056" s="9" t="n">
        <f aca="false">IFERROR(M1056/S1056,0)</f>
        <v>0</v>
      </c>
      <c r="V1056" s="5" t="n">
        <v>0.1868</v>
      </c>
    </row>
    <row r="1057" customFormat="false" ht="15" hidden="false" customHeight="false" outlineLevel="0" collapsed="false">
      <c r="A1057" s="8" t="s">
        <v>87</v>
      </c>
      <c r="B1057" s="8" t="s">
        <v>23</v>
      </c>
      <c r="C1057" s="8" t="s">
        <v>1412</v>
      </c>
      <c r="D1057" s="8" t="n">
        <v>142639</v>
      </c>
      <c r="E1057" s="8" t="s">
        <v>898</v>
      </c>
      <c r="F1057" s="8" t="s">
        <v>767</v>
      </c>
      <c r="G1057" s="8" t="s">
        <v>961</v>
      </c>
      <c r="H1057" s="8" t="s">
        <v>51</v>
      </c>
      <c r="I1057" s="8" t="s">
        <v>88</v>
      </c>
      <c r="J1057" s="4" t="n">
        <v>1990000</v>
      </c>
      <c r="K1057" s="4" t="n">
        <v>1740000</v>
      </c>
      <c r="L1057" s="5" t="n">
        <v>0.12563</v>
      </c>
      <c r="M1057" s="4" t="n">
        <v>0</v>
      </c>
      <c r="N1057" s="4" t="n">
        <v>0</v>
      </c>
      <c r="O1057" s="4" t="n">
        <v>0</v>
      </c>
      <c r="P1057" s="4" t="n">
        <v>0</v>
      </c>
      <c r="Q1057" s="4" t="n">
        <v>0</v>
      </c>
      <c r="R1057" s="4" t="n">
        <f aca="false">M1057+N1057+O1057+P1057+Q1057</f>
        <v>0</v>
      </c>
      <c r="S1057" s="4" t="n">
        <v>0</v>
      </c>
      <c r="T1057" s="4" t="n">
        <f aca="false">R1057*K1057</f>
        <v>0</v>
      </c>
      <c r="U1057" s="9" t="n">
        <f aca="false">IFERROR(M1057/S1057,0)</f>
        <v>0</v>
      </c>
      <c r="V1057" s="5" t="n">
        <v>0.1868</v>
      </c>
    </row>
    <row r="1058" customFormat="false" ht="15" hidden="false" customHeight="false" outlineLevel="0" collapsed="false">
      <c r="A1058" s="8" t="s">
        <v>87</v>
      </c>
      <c r="B1058" s="8" t="s">
        <v>23</v>
      </c>
      <c r="C1058" s="8" t="s">
        <v>1412</v>
      </c>
      <c r="D1058" s="8" t="n">
        <v>142640</v>
      </c>
      <c r="E1058" s="8" t="s">
        <v>899</v>
      </c>
      <c r="F1058" s="8" t="s">
        <v>794</v>
      </c>
      <c r="G1058" s="8" t="s">
        <v>961</v>
      </c>
      <c r="H1058" s="8" t="s">
        <v>51</v>
      </c>
      <c r="I1058" s="8" t="s">
        <v>88</v>
      </c>
      <c r="J1058" s="4" t="n">
        <v>1990000</v>
      </c>
      <c r="K1058" s="4" t="n">
        <v>1740000</v>
      </c>
      <c r="L1058" s="5" t="n">
        <v>0.12563</v>
      </c>
      <c r="M1058" s="4" t="n">
        <v>0</v>
      </c>
      <c r="N1058" s="4" t="n">
        <v>0</v>
      </c>
      <c r="O1058" s="4" t="n">
        <v>0</v>
      </c>
      <c r="P1058" s="4" t="n">
        <v>0</v>
      </c>
      <c r="Q1058" s="4" t="n">
        <v>0</v>
      </c>
      <c r="R1058" s="4" t="n">
        <f aca="false">M1058+N1058+O1058+P1058+Q1058</f>
        <v>0</v>
      </c>
      <c r="S1058" s="4" t="n">
        <v>0</v>
      </c>
      <c r="T1058" s="4" t="n">
        <f aca="false">R1058*K1058</f>
        <v>0</v>
      </c>
      <c r="U1058" s="9" t="n">
        <f aca="false">IFERROR(M1058/S1058,0)</f>
        <v>0</v>
      </c>
      <c r="V1058" s="5" t="n">
        <v>0.1868</v>
      </c>
    </row>
    <row r="1059" customFormat="false" ht="15" hidden="false" customHeight="false" outlineLevel="0" collapsed="false">
      <c r="A1059" s="8" t="s">
        <v>87</v>
      </c>
      <c r="B1059" s="8" t="s">
        <v>23</v>
      </c>
      <c r="C1059" s="8" t="s">
        <v>1412</v>
      </c>
      <c r="D1059" s="8" t="n">
        <v>142641</v>
      </c>
      <c r="E1059" s="8" t="s">
        <v>900</v>
      </c>
      <c r="F1059" s="8" t="s">
        <v>767</v>
      </c>
      <c r="G1059" s="8" t="s">
        <v>961</v>
      </c>
      <c r="H1059" s="8" t="s">
        <v>51</v>
      </c>
      <c r="I1059" s="8" t="s">
        <v>88</v>
      </c>
      <c r="J1059" s="4" t="n">
        <v>1990000</v>
      </c>
      <c r="K1059" s="4" t="n">
        <v>1740000</v>
      </c>
      <c r="L1059" s="5" t="n">
        <v>0.12563</v>
      </c>
      <c r="M1059" s="4" t="n">
        <v>0</v>
      </c>
      <c r="N1059" s="4" t="n">
        <v>0</v>
      </c>
      <c r="O1059" s="4" t="n">
        <v>0</v>
      </c>
      <c r="P1059" s="4" t="n">
        <v>0</v>
      </c>
      <c r="Q1059" s="4" t="n">
        <v>0</v>
      </c>
      <c r="R1059" s="4" t="n">
        <f aca="false">M1059+N1059+O1059+P1059+Q1059</f>
        <v>0</v>
      </c>
      <c r="S1059" s="4" t="n">
        <v>0</v>
      </c>
      <c r="T1059" s="4" t="n">
        <f aca="false">R1059*K1059</f>
        <v>0</v>
      </c>
      <c r="U1059" s="9" t="n">
        <f aca="false">IFERROR(M1059/S1059,0)</f>
        <v>0</v>
      </c>
      <c r="V1059" s="5" t="n">
        <v>0.1868</v>
      </c>
    </row>
    <row r="1060" customFormat="false" ht="15" hidden="false" customHeight="false" outlineLevel="0" collapsed="false">
      <c r="A1060" s="8" t="s">
        <v>87</v>
      </c>
      <c r="B1060" s="8" t="s">
        <v>23</v>
      </c>
      <c r="C1060" s="8" t="s">
        <v>1412</v>
      </c>
      <c r="D1060" s="8" t="n">
        <v>142642</v>
      </c>
      <c r="E1060" s="8" t="s">
        <v>901</v>
      </c>
      <c r="F1060" s="8" t="s">
        <v>767</v>
      </c>
      <c r="G1060" s="8" t="s">
        <v>961</v>
      </c>
      <c r="H1060" s="8" t="s">
        <v>51</v>
      </c>
      <c r="I1060" s="8" t="s">
        <v>88</v>
      </c>
      <c r="J1060" s="4" t="n">
        <v>1990000</v>
      </c>
      <c r="K1060" s="4" t="n">
        <v>1740000</v>
      </c>
      <c r="L1060" s="5" t="n">
        <v>0.12563</v>
      </c>
      <c r="M1060" s="4" t="n">
        <v>0</v>
      </c>
      <c r="N1060" s="4" t="n">
        <v>0</v>
      </c>
      <c r="O1060" s="4" t="n">
        <v>0</v>
      </c>
      <c r="P1060" s="4" t="n">
        <v>0</v>
      </c>
      <c r="Q1060" s="4" t="n">
        <v>0</v>
      </c>
      <c r="R1060" s="4" t="n">
        <f aca="false">M1060+N1060+O1060+P1060+Q1060</f>
        <v>0</v>
      </c>
      <c r="S1060" s="4" t="n">
        <v>0</v>
      </c>
      <c r="T1060" s="4" t="n">
        <f aca="false">R1060*K1060</f>
        <v>0</v>
      </c>
      <c r="U1060" s="9" t="n">
        <f aca="false">IFERROR(M1060/S1060,0)</f>
        <v>0</v>
      </c>
      <c r="V1060" s="5" t="n">
        <v>0.1868</v>
      </c>
    </row>
    <row r="1061" customFormat="false" ht="15" hidden="false" customHeight="false" outlineLevel="0" collapsed="false">
      <c r="A1061" s="8" t="s">
        <v>87</v>
      </c>
      <c r="B1061" s="8" t="s">
        <v>23</v>
      </c>
      <c r="C1061" s="8" t="s">
        <v>1412</v>
      </c>
      <c r="D1061" s="8" t="n">
        <v>142643</v>
      </c>
      <c r="E1061" s="8" t="s">
        <v>902</v>
      </c>
      <c r="F1061" s="8" t="s">
        <v>767</v>
      </c>
      <c r="G1061" s="8" t="s">
        <v>961</v>
      </c>
      <c r="H1061" s="8" t="s">
        <v>51</v>
      </c>
      <c r="I1061" s="8" t="s">
        <v>88</v>
      </c>
      <c r="J1061" s="4" t="n">
        <v>1990000</v>
      </c>
      <c r="K1061" s="4" t="n">
        <v>1740000</v>
      </c>
      <c r="L1061" s="5" t="n">
        <v>0.12563</v>
      </c>
      <c r="M1061" s="4" t="n">
        <v>0</v>
      </c>
      <c r="N1061" s="4" t="n">
        <v>0</v>
      </c>
      <c r="O1061" s="4" t="n">
        <v>0</v>
      </c>
      <c r="P1061" s="4" t="n">
        <v>0</v>
      </c>
      <c r="Q1061" s="4" t="n">
        <v>0</v>
      </c>
      <c r="R1061" s="4" t="n">
        <f aca="false">M1061+N1061+O1061+P1061+Q1061</f>
        <v>0</v>
      </c>
      <c r="S1061" s="4" t="n">
        <v>0</v>
      </c>
      <c r="T1061" s="4" t="n">
        <f aca="false">R1061*K1061</f>
        <v>0</v>
      </c>
      <c r="U1061" s="9" t="n">
        <f aca="false">IFERROR(M1061/S1061,0)</f>
        <v>0</v>
      </c>
      <c r="V1061" s="5" t="n">
        <v>0.1868</v>
      </c>
    </row>
    <row r="1062" customFormat="false" ht="15" hidden="false" customHeight="false" outlineLevel="0" collapsed="false">
      <c r="A1062" s="8" t="s">
        <v>87</v>
      </c>
      <c r="B1062" s="8" t="s">
        <v>23</v>
      </c>
      <c r="C1062" s="8" t="s">
        <v>1412</v>
      </c>
      <c r="D1062" s="8" t="n">
        <v>142644</v>
      </c>
      <c r="E1062" s="8" t="s">
        <v>903</v>
      </c>
      <c r="F1062" s="8" t="s">
        <v>794</v>
      </c>
      <c r="G1062" s="8" t="s">
        <v>961</v>
      </c>
      <c r="H1062" s="8" t="s">
        <v>51</v>
      </c>
      <c r="I1062" s="8" t="s">
        <v>88</v>
      </c>
      <c r="J1062" s="4" t="n">
        <v>1990000</v>
      </c>
      <c r="K1062" s="4" t="n">
        <v>1740000</v>
      </c>
      <c r="L1062" s="5" t="n">
        <v>0.12563</v>
      </c>
      <c r="M1062" s="4" t="n">
        <v>0</v>
      </c>
      <c r="N1062" s="4" t="n">
        <v>0</v>
      </c>
      <c r="O1062" s="4" t="n">
        <v>0</v>
      </c>
      <c r="P1062" s="4" t="n">
        <v>0</v>
      </c>
      <c r="Q1062" s="4" t="n">
        <v>0</v>
      </c>
      <c r="R1062" s="4" t="n">
        <f aca="false">M1062+N1062+O1062+P1062+Q1062</f>
        <v>0</v>
      </c>
      <c r="S1062" s="4" t="n">
        <v>0</v>
      </c>
      <c r="T1062" s="4" t="n">
        <f aca="false">R1062*K1062</f>
        <v>0</v>
      </c>
      <c r="U1062" s="9" t="n">
        <f aca="false">IFERROR(M1062/S1062,0)</f>
        <v>0</v>
      </c>
      <c r="V1062" s="5" t="n">
        <v>0.1868</v>
      </c>
    </row>
    <row r="1063" customFormat="false" ht="15" hidden="false" customHeight="false" outlineLevel="0" collapsed="false">
      <c r="A1063" s="8" t="s">
        <v>87</v>
      </c>
      <c r="B1063" s="8" t="s">
        <v>23</v>
      </c>
      <c r="C1063" s="8" t="s">
        <v>1412</v>
      </c>
      <c r="D1063" s="8" t="n">
        <v>142645</v>
      </c>
      <c r="E1063" s="8" t="s">
        <v>904</v>
      </c>
      <c r="F1063" s="8" t="s">
        <v>794</v>
      </c>
      <c r="G1063" s="8" t="s">
        <v>961</v>
      </c>
      <c r="H1063" s="8" t="s">
        <v>51</v>
      </c>
      <c r="I1063" s="8" t="s">
        <v>88</v>
      </c>
      <c r="J1063" s="4" t="n">
        <v>2190000</v>
      </c>
      <c r="K1063" s="4" t="n">
        <v>1940000</v>
      </c>
      <c r="L1063" s="5" t="n">
        <v>0.11416</v>
      </c>
      <c r="M1063" s="4" t="n">
        <v>0</v>
      </c>
      <c r="N1063" s="4" t="n">
        <v>0</v>
      </c>
      <c r="O1063" s="4" t="n">
        <v>0</v>
      </c>
      <c r="P1063" s="4" t="n">
        <v>0</v>
      </c>
      <c r="Q1063" s="4" t="n">
        <v>0</v>
      </c>
      <c r="R1063" s="4" t="n">
        <f aca="false">M1063+N1063+O1063+P1063+Q1063</f>
        <v>0</v>
      </c>
      <c r="S1063" s="4" t="n">
        <v>0</v>
      </c>
      <c r="T1063" s="4" t="n">
        <f aca="false">R1063*K1063</f>
        <v>0</v>
      </c>
      <c r="U1063" s="9" t="n">
        <f aca="false">IFERROR(M1063/S1063,0)</f>
        <v>0</v>
      </c>
      <c r="V1063" s="5" t="n">
        <v>0.1392</v>
      </c>
    </row>
    <row r="1064" customFormat="false" ht="15" hidden="false" customHeight="false" outlineLevel="0" collapsed="false">
      <c r="A1064" s="8" t="s">
        <v>87</v>
      </c>
      <c r="B1064" s="8" t="s">
        <v>23</v>
      </c>
      <c r="C1064" s="8" t="s">
        <v>1412</v>
      </c>
      <c r="D1064" s="8" t="n">
        <v>142646</v>
      </c>
      <c r="E1064" s="8" t="s">
        <v>905</v>
      </c>
      <c r="F1064" s="8" t="s">
        <v>794</v>
      </c>
      <c r="G1064" s="8" t="s">
        <v>961</v>
      </c>
      <c r="H1064" s="8" t="s">
        <v>51</v>
      </c>
      <c r="I1064" s="8" t="s">
        <v>88</v>
      </c>
      <c r="J1064" s="4" t="n">
        <v>2190000</v>
      </c>
      <c r="K1064" s="4" t="n">
        <v>1940000</v>
      </c>
      <c r="L1064" s="5" t="n">
        <v>0.11416</v>
      </c>
      <c r="M1064" s="4" t="n">
        <v>0</v>
      </c>
      <c r="N1064" s="4" t="n">
        <v>0</v>
      </c>
      <c r="O1064" s="4" t="n">
        <v>0</v>
      </c>
      <c r="P1064" s="4" t="n">
        <v>0</v>
      </c>
      <c r="Q1064" s="4" t="n">
        <v>0</v>
      </c>
      <c r="R1064" s="4" t="n">
        <f aca="false">M1064+N1064+O1064+P1064+Q1064</f>
        <v>0</v>
      </c>
      <c r="S1064" s="4" t="n">
        <v>0</v>
      </c>
      <c r="T1064" s="4" t="n">
        <f aca="false">R1064*K1064</f>
        <v>0</v>
      </c>
      <c r="U1064" s="9" t="n">
        <f aca="false">IFERROR(M1064/S1064,0)</f>
        <v>0</v>
      </c>
      <c r="V1064" s="5" t="n">
        <v>0.1392</v>
      </c>
    </row>
    <row r="1065" customFormat="false" ht="15" hidden="false" customHeight="false" outlineLevel="0" collapsed="false">
      <c r="A1065" s="8" t="s">
        <v>87</v>
      </c>
      <c r="B1065" s="8" t="s">
        <v>23</v>
      </c>
      <c r="C1065" s="8" t="s">
        <v>1412</v>
      </c>
      <c r="D1065" s="8" t="n">
        <v>142647</v>
      </c>
      <c r="E1065" s="8" t="s">
        <v>906</v>
      </c>
      <c r="F1065" s="8" t="s">
        <v>794</v>
      </c>
      <c r="G1065" s="8" t="s">
        <v>961</v>
      </c>
      <c r="H1065" s="8" t="s">
        <v>51</v>
      </c>
      <c r="I1065" s="8" t="s">
        <v>88</v>
      </c>
      <c r="J1065" s="4" t="n">
        <v>2190000</v>
      </c>
      <c r="K1065" s="4" t="n">
        <v>1940000</v>
      </c>
      <c r="L1065" s="5" t="n">
        <v>0.11416</v>
      </c>
      <c r="M1065" s="4" t="n">
        <v>0</v>
      </c>
      <c r="N1065" s="4" t="n">
        <v>0</v>
      </c>
      <c r="O1065" s="4" t="n">
        <v>0</v>
      </c>
      <c r="P1065" s="4" t="n">
        <v>0</v>
      </c>
      <c r="Q1065" s="4" t="n">
        <v>0</v>
      </c>
      <c r="R1065" s="4" t="n">
        <f aca="false">M1065+N1065+O1065+P1065+Q1065</f>
        <v>0</v>
      </c>
      <c r="S1065" s="4" t="n">
        <v>0</v>
      </c>
      <c r="T1065" s="4" t="n">
        <f aca="false">R1065*K1065</f>
        <v>0</v>
      </c>
      <c r="U1065" s="9" t="n">
        <f aca="false">IFERROR(M1065/S1065,0)</f>
        <v>0</v>
      </c>
      <c r="V1065" s="5" t="n">
        <v>0.1392</v>
      </c>
    </row>
    <row r="1066" customFormat="false" ht="15" hidden="false" customHeight="false" outlineLevel="0" collapsed="false">
      <c r="A1066" s="8" t="s">
        <v>87</v>
      </c>
      <c r="B1066" s="8" t="s">
        <v>23</v>
      </c>
      <c r="C1066" s="8" t="s">
        <v>1412</v>
      </c>
      <c r="D1066" s="8" t="n">
        <v>142648</v>
      </c>
      <c r="E1066" s="8" t="s">
        <v>907</v>
      </c>
      <c r="F1066" s="8" t="s">
        <v>794</v>
      </c>
      <c r="G1066" s="8" t="s">
        <v>961</v>
      </c>
      <c r="H1066" s="8" t="s">
        <v>51</v>
      </c>
      <c r="I1066" s="8" t="s">
        <v>88</v>
      </c>
      <c r="J1066" s="4" t="n">
        <v>2190000</v>
      </c>
      <c r="K1066" s="4" t="n">
        <v>1940000</v>
      </c>
      <c r="L1066" s="5" t="n">
        <v>0.11416</v>
      </c>
      <c r="M1066" s="4" t="n">
        <v>0</v>
      </c>
      <c r="N1066" s="4" t="n">
        <v>0</v>
      </c>
      <c r="O1066" s="4" t="n">
        <v>0</v>
      </c>
      <c r="P1066" s="4" t="n">
        <v>0</v>
      </c>
      <c r="Q1066" s="4" t="n">
        <v>0</v>
      </c>
      <c r="R1066" s="4" t="n">
        <f aca="false">M1066+N1066+O1066+P1066+Q1066</f>
        <v>0</v>
      </c>
      <c r="S1066" s="4" t="n">
        <v>0</v>
      </c>
      <c r="T1066" s="4" t="n">
        <f aca="false">R1066*K1066</f>
        <v>0</v>
      </c>
      <c r="U1066" s="9" t="n">
        <f aca="false">IFERROR(M1066/S1066,0)</f>
        <v>0</v>
      </c>
      <c r="V1066" s="5" t="n">
        <v>0.1392</v>
      </c>
    </row>
    <row r="1067" customFormat="false" ht="15" hidden="false" customHeight="false" outlineLevel="0" collapsed="false">
      <c r="A1067" s="8" t="s">
        <v>87</v>
      </c>
      <c r="B1067" s="8" t="s">
        <v>23</v>
      </c>
      <c r="C1067" s="8" t="s">
        <v>1412</v>
      </c>
      <c r="D1067" s="8" t="n">
        <v>142649</v>
      </c>
      <c r="E1067" s="8" t="s">
        <v>908</v>
      </c>
      <c r="F1067" s="8" t="s">
        <v>794</v>
      </c>
      <c r="G1067" s="8" t="s">
        <v>961</v>
      </c>
      <c r="H1067" s="8" t="s">
        <v>51</v>
      </c>
      <c r="I1067" s="8" t="s">
        <v>88</v>
      </c>
      <c r="J1067" s="4" t="n">
        <v>2190000</v>
      </c>
      <c r="K1067" s="4" t="n">
        <v>1940000</v>
      </c>
      <c r="L1067" s="5" t="n">
        <v>0.11416</v>
      </c>
      <c r="M1067" s="4" t="n">
        <v>0</v>
      </c>
      <c r="N1067" s="4" t="n">
        <v>0</v>
      </c>
      <c r="O1067" s="4" t="n">
        <v>0</v>
      </c>
      <c r="P1067" s="4" t="n">
        <v>0</v>
      </c>
      <c r="Q1067" s="4" t="n">
        <v>0</v>
      </c>
      <c r="R1067" s="4" t="n">
        <f aca="false">M1067+N1067+O1067+P1067+Q1067</f>
        <v>0</v>
      </c>
      <c r="S1067" s="4" t="n">
        <v>0</v>
      </c>
      <c r="T1067" s="4" t="n">
        <f aca="false">R1067*K1067</f>
        <v>0</v>
      </c>
      <c r="U1067" s="9" t="n">
        <f aca="false">IFERROR(M1067/S1067,0)</f>
        <v>0</v>
      </c>
      <c r="V1067" s="5" t="n">
        <v>0.1392</v>
      </c>
    </row>
    <row r="1068" customFormat="false" ht="15" hidden="false" customHeight="false" outlineLevel="0" collapsed="false">
      <c r="A1068" s="8" t="s">
        <v>87</v>
      </c>
      <c r="B1068" s="8" t="s">
        <v>23</v>
      </c>
      <c r="C1068" s="8" t="s">
        <v>1412</v>
      </c>
      <c r="D1068" s="8" t="n">
        <v>142650</v>
      </c>
      <c r="E1068" s="8" t="s">
        <v>909</v>
      </c>
      <c r="F1068" s="8" t="s">
        <v>794</v>
      </c>
      <c r="G1068" s="8" t="s">
        <v>961</v>
      </c>
      <c r="H1068" s="8" t="s">
        <v>51</v>
      </c>
      <c r="I1068" s="8" t="s">
        <v>88</v>
      </c>
      <c r="J1068" s="4" t="n">
        <v>2190000</v>
      </c>
      <c r="K1068" s="4" t="n">
        <v>1940000</v>
      </c>
      <c r="L1068" s="5" t="n">
        <v>0.11416</v>
      </c>
      <c r="M1068" s="4" t="n">
        <v>0</v>
      </c>
      <c r="N1068" s="4" t="n">
        <v>0</v>
      </c>
      <c r="O1068" s="4" t="n">
        <v>0</v>
      </c>
      <c r="P1068" s="4" t="n">
        <v>0</v>
      </c>
      <c r="Q1068" s="4" t="n">
        <v>0</v>
      </c>
      <c r="R1068" s="4" t="n">
        <f aca="false">M1068+N1068+O1068+P1068+Q1068</f>
        <v>0</v>
      </c>
      <c r="S1068" s="4" t="n">
        <v>0</v>
      </c>
      <c r="T1068" s="4" t="n">
        <f aca="false">R1068*K1068</f>
        <v>0</v>
      </c>
      <c r="U1068" s="9" t="n">
        <f aca="false">IFERROR(M1068/S1068,0)</f>
        <v>0</v>
      </c>
      <c r="V1068" s="5" t="n">
        <v>0.1392</v>
      </c>
    </row>
    <row r="1069" customFormat="false" ht="15" hidden="false" customHeight="false" outlineLevel="0" collapsed="false">
      <c r="A1069" s="8" t="s">
        <v>87</v>
      </c>
      <c r="B1069" s="8" t="s">
        <v>23</v>
      </c>
      <c r="C1069" s="8" t="s">
        <v>1412</v>
      </c>
      <c r="D1069" s="8" t="n">
        <v>142651</v>
      </c>
      <c r="E1069" s="8" t="s">
        <v>910</v>
      </c>
      <c r="F1069" s="8" t="s">
        <v>794</v>
      </c>
      <c r="G1069" s="8" t="s">
        <v>961</v>
      </c>
      <c r="H1069" s="8" t="s">
        <v>51</v>
      </c>
      <c r="I1069" s="8" t="s">
        <v>88</v>
      </c>
      <c r="J1069" s="4" t="n">
        <v>2190000</v>
      </c>
      <c r="K1069" s="4" t="n">
        <v>1940000</v>
      </c>
      <c r="L1069" s="5" t="n">
        <v>0.11416</v>
      </c>
      <c r="M1069" s="4" t="n">
        <v>0</v>
      </c>
      <c r="N1069" s="4" t="n">
        <v>0</v>
      </c>
      <c r="O1069" s="4" t="n">
        <v>0</v>
      </c>
      <c r="P1069" s="4" t="n">
        <v>0</v>
      </c>
      <c r="Q1069" s="4" t="n">
        <v>0</v>
      </c>
      <c r="R1069" s="4" t="n">
        <f aca="false">M1069+N1069+O1069+P1069+Q1069</f>
        <v>0</v>
      </c>
      <c r="S1069" s="4" t="n">
        <v>0</v>
      </c>
      <c r="T1069" s="4" t="n">
        <f aca="false">R1069*K1069</f>
        <v>0</v>
      </c>
      <c r="U1069" s="9" t="n">
        <f aca="false">IFERROR(M1069/S1069,0)</f>
        <v>0</v>
      </c>
      <c r="V1069" s="5" t="n">
        <v>0.1387</v>
      </c>
    </row>
    <row r="1070" customFormat="false" ht="15" hidden="false" customHeight="false" outlineLevel="0" collapsed="false">
      <c r="A1070" s="8" t="s">
        <v>87</v>
      </c>
      <c r="B1070" s="8" t="s">
        <v>23</v>
      </c>
      <c r="C1070" s="8" t="s">
        <v>1412</v>
      </c>
      <c r="D1070" s="8" t="n">
        <v>142652</v>
      </c>
      <c r="E1070" s="8" t="s">
        <v>911</v>
      </c>
      <c r="F1070" s="8" t="s">
        <v>794</v>
      </c>
      <c r="G1070" s="8" t="s">
        <v>961</v>
      </c>
      <c r="H1070" s="8" t="s">
        <v>51</v>
      </c>
      <c r="I1070" s="8" t="s">
        <v>88</v>
      </c>
      <c r="J1070" s="4" t="n">
        <v>2190000</v>
      </c>
      <c r="K1070" s="4" t="n">
        <v>1940000</v>
      </c>
      <c r="L1070" s="5" t="n">
        <v>0.11416</v>
      </c>
      <c r="M1070" s="4" t="n">
        <v>0</v>
      </c>
      <c r="N1070" s="4" t="n">
        <v>0</v>
      </c>
      <c r="O1070" s="4" t="n">
        <v>0</v>
      </c>
      <c r="P1070" s="4" t="n">
        <v>0</v>
      </c>
      <c r="Q1070" s="4" t="n">
        <v>0</v>
      </c>
      <c r="R1070" s="4" t="n">
        <f aca="false">M1070+N1070+O1070+P1070+Q1070</f>
        <v>0</v>
      </c>
      <c r="S1070" s="4" t="n">
        <v>0</v>
      </c>
      <c r="T1070" s="4" t="n">
        <f aca="false">R1070*K1070</f>
        <v>0</v>
      </c>
      <c r="U1070" s="9" t="n">
        <f aca="false">IFERROR(M1070/S1070,0)</f>
        <v>0</v>
      </c>
      <c r="V1070" s="5" t="n">
        <v>0.1387</v>
      </c>
    </row>
    <row r="1071" customFormat="false" ht="15" hidden="false" customHeight="false" outlineLevel="0" collapsed="false">
      <c r="A1071" s="8" t="s">
        <v>87</v>
      </c>
      <c r="B1071" s="8" t="s">
        <v>23</v>
      </c>
      <c r="C1071" s="8" t="s">
        <v>1412</v>
      </c>
      <c r="D1071" s="8" t="n">
        <v>142653</v>
      </c>
      <c r="E1071" s="8" t="s">
        <v>912</v>
      </c>
      <c r="F1071" s="8" t="s">
        <v>794</v>
      </c>
      <c r="G1071" s="8" t="s">
        <v>961</v>
      </c>
      <c r="H1071" s="8" t="s">
        <v>51</v>
      </c>
      <c r="I1071" s="8" t="s">
        <v>88</v>
      </c>
      <c r="J1071" s="4" t="n">
        <v>2190000</v>
      </c>
      <c r="K1071" s="4" t="n">
        <v>1940000</v>
      </c>
      <c r="L1071" s="5" t="n">
        <v>0.11416</v>
      </c>
      <c r="M1071" s="4" t="n">
        <v>0</v>
      </c>
      <c r="N1071" s="4" t="n">
        <v>0</v>
      </c>
      <c r="O1071" s="4" t="n">
        <v>0</v>
      </c>
      <c r="P1071" s="4" t="n">
        <v>0</v>
      </c>
      <c r="Q1071" s="4" t="n">
        <v>0</v>
      </c>
      <c r="R1071" s="4" t="n">
        <f aca="false">M1071+N1071+O1071+P1071+Q1071</f>
        <v>0</v>
      </c>
      <c r="S1071" s="4" t="n">
        <v>0</v>
      </c>
      <c r="T1071" s="4" t="n">
        <f aca="false">R1071*K1071</f>
        <v>0</v>
      </c>
      <c r="U1071" s="9" t="n">
        <f aca="false">IFERROR(M1071/S1071,0)</f>
        <v>0</v>
      </c>
      <c r="V1071" s="5" t="n">
        <v>0.1387</v>
      </c>
    </row>
    <row r="1072" customFormat="false" ht="15" hidden="false" customHeight="false" outlineLevel="0" collapsed="false">
      <c r="A1072" s="8" t="s">
        <v>87</v>
      </c>
      <c r="B1072" s="8" t="s">
        <v>23</v>
      </c>
      <c r="C1072" s="8" t="s">
        <v>1412</v>
      </c>
      <c r="D1072" s="8" t="n">
        <v>142654</v>
      </c>
      <c r="E1072" s="8" t="s">
        <v>913</v>
      </c>
      <c r="F1072" s="8" t="s">
        <v>794</v>
      </c>
      <c r="G1072" s="8" t="s">
        <v>961</v>
      </c>
      <c r="H1072" s="8" t="s">
        <v>51</v>
      </c>
      <c r="I1072" s="8" t="s">
        <v>88</v>
      </c>
      <c r="J1072" s="4" t="n">
        <v>2190000</v>
      </c>
      <c r="K1072" s="4" t="n">
        <v>1940000</v>
      </c>
      <c r="L1072" s="5" t="n">
        <v>0.11416</v>
      </c>
      <c r="M1072" s="4" t="n">
        <v>0</v>
      </c>
      <c r="N1072" s="4" t="n">
        <v>0</v>
      </c>
      <c r="O1072" s="4" t="n">
        <v>0</v>
      </c>
      <c r="P1072" s="4" t="n">
        <v>0</v>
      </c>
      <c r="Q1072" s="4" t="n">
        <v>0</v>
      </c>
      <c r="R1072" s="4" t="n">
        <f aca="false">M1072+N1072+O1072+P1072+Q1072</f>
        <v>0</v>
      </c>
      <c r="S1072" s="4" t="n">
        <v>0</v>
      </c>
      <c r="T1072" s="4" t="n">
        <f aca="false">R1072*K1072</f>
        <v>0</v>
      </c>
      <c r="U1072" s="9" t="n">
        <f aca="false">IFERROR(M1072/S1072,0)</f>
        <v>0</v>
      </c>
      <c r="V1072" s="5" t="n">
        <v>0.1387</v>
      </c>
    </row>
    <row r="1073" customFormat="false" ht="15" hidden="false" customHeight="false" outlineLevel="0" collapsed="false">
      <c r="A1073" s="8" t="s">
        <v>87</v>
      </c>
      <c r="B1073" s="8" t="s">
        <v>23</v>
      </c>
      <c r="C1073" s="8" t="s">
        <v>1412</v>
      </c>
      <c r="D1073" s="8" t="n">
        <v>142655</v>
      </c>
      <c r="E1073" s="8" t="s">
        <v>914</v>
      </c>
      <c r="F1073" s="8" t="s">
        <v>794</v>
      </c>
      <c r="G1073" s="8" t="s">
        <v>961</v>
      </c>
      <c r="H1073" s="8" t="s">
        <v>51</v>
      </c>
      <c r="I1073" s="8" t="s">
        <v>88</v>
      </c>
      <c r="J1073" s="4" t="n">
        <v>2190000</v>
      </c>
      <c r="K1073" s="4" t="n">
        <v>1940000</v>
      </c>
      <c r="L1073" s="5" t="n">
        <v>0.11416</v>
      </c>
      <c r="M1073" s="4" t="n">
        <v>0</v>
      </c>
      <c r="N1073" s="4" t="n">
        <v>0</v>
      </c>
      <c r="O1073" s="4" t="n">
        <v>0</v>
      </c>
      <c r="P1073" s="4" t="n">
        <v>0</v>
      </c>
      <c r="Q1073" s="4" t="n">
        <v>0</v>
      </c>
      <c r="R1073" s="4" t="n">
        <f aca="false">M1073+N1073+O1073+P1073+Q1073</f>
        <v>0</v>
      </c>
      <c r="S1073" s="4" t="n">
        <v>0</v>
      </c>
      <c r="T1073" s="4" t="n">
        <f aca="false">R1073*K1073</f>
        <v>0</v>
      </c>
      <c r="U1073" s="9" t="n">
        <f aca="false">IFERROR(M1073/S1073,0)</f>
        <v>0</v>
      </c>
      <c r="V1073" s="5" t="n">
        <v>0.1387</v>
      </c>
    </row>
    <row r="1074" customFormat="false" ht="15" hidden="false" customHeight="false" outlineLevel="0" collapsed="false">
      <c r="A1074" s="8" t="s">
        <v>87</v>
      </c>
      <c r="B1074" s="8" t="s">
        <v>23</v>
      </c>
      <c r="C1074" s="8" t="s">
        <v>1412</v>
      </c>
      <c r="D1074" s="8" t="n">
        <v>142656</v>
      </c>
      <c r="E1074" s="8" t="s">
        <v>915</v>
      </c>
      <c r="F1074" s="8" t="s">
        <v>794</v>
      </c>
      <c r="G1074" s="8" t="s">
        <v>961</v>
      </c>
      <c r="H1074" s="8" t="s">
        <v>51</v>
      </c>
      <c r="I1074" s="8" t="s">
        <v>88</v>
      </c>
      <c r="J1074" s="4" t="n">
        <v>2190000</v>
      </c>
      <c r="K1074" s="4" t="n">
        <v>1940000</v>
      </c>
      <c r="L1074" s="5" t="n">
        <v>0.11416</v>
      </c>
      <c r="M1074" s="4" t="n">
        <v>0</v>
      </c>
      <c r="N1074" s="4" t="n">
        <v>0</v>
      </c>
      <c r="O1074" s="4" t="n">
        <v>0</v>
      </c>
      <c r="P1074" s="4" t="n">
        <v>0</v>
      </c>
      <c r="Q1074" s="4" t="n">
        <v>0</v>
      </c>
      <c r="R1074" s="4" t="n">
        <f aca="false">M1074+N1074+O1074+P1074+Q1074</f>
        <v>0</v>
      </c>
      <c r="S1074" s="4" t="n">
        <v>0</v>
      </c>
      <c r="T1074" s="4" t="n">
        <f aca="false">R1074*K1074</f>
        <v>0</v>
      </c>
      <c r="U1074" s="9" t="n">
        <f aca="false">IFERROR(M1074/S1074,0)</f>
        <v>0</v>
      </c>
      <c r="V1074" s="5" t="n">
        <v>0.1387</v>
      </c>
    </row>
    <row r="1075" customFormat="false" ht="15" hidden="false" customHeight="false" outlineLevel="0" collapsed="false">
      <c r="A1075" s="8" t="s">
        <v>87</v>
      </c>
      <c r="B1075" s="8" t="s">
        <v>23</v>
      </c>
      <c r="C1075" s="8" t="s">
        <v>1412</v>
      </c>
      <c r="D1075" s="8" t="n">
        <v>142657</v>
      </c>
      <c r="E1075" s="8" t="s">
        <v>916</v>
      </c>
      <c r="F1075" s="8" t="s">
        <v>794</v>
      </c>
      <c r="G1075" s="8" t="s">
        <v>961</v>
      </c>
      <c r="H1075" s="8" t="s">
        <v>51</v>
      </c>
      <c r="I1075" s="8" t="s">
        <v>88</v>
      </c>
      <c r="J1075" s="4" t="n">
        <v>2190000</v>
      </c>
      <c r="K1075" s="4" t="n">
        <v>1940000</v>
      </c>
      <c r="L1075" s="5" t="n">
        <v>0.11416</v>
      </c>
      <c r="M1075" s="4" t="n">
        <v>0</v>
      </c>
      <c r="N1075" s="4" t="n">
        <v>0</v>
      </c>
      <c r="O1075" s="4" t="n">
        <v>0</v>
      </c>
      <c r="P1075" s="4" t="n">
        <v>0</v>
      </c>
      <c r="Q1075" s="4" t="n">
        <v>0</v>
      </c>
      <c r="R1075" s="4" t="n">
        <f aca="false">M1075+N1075+O1075+P1075+Q1075</f>
        <v>0</v>
      </c>
      <c r="S1075" s="4" t="n">
        <v>0</v>
      </c>
      <c r="T1075" s="4" t="n">
        <f aca="false">R1075*K1075</f>
        <v>0</v>
      </c>
      <c r="U1075" s="9" t="n">
        <f aca="false">IFERROR(M1075/S1075,0)</f>
        <v>0</v>
      </c>
      <c r="V1075" s="5" t="n">
        <v>0.1387</v>
      </c>
    </row>
    <row r="1076" customFormat="false" ht="15" hidden="false" customHeight="false" outlineLevel="0" collapsed="false">
      <c r="A1076" s="8" t="s">
        <v>87</v>
      </c>
      <c r="B1076" s="8" t="s">
        <v>23</v>
      </c>
      <c r="C1076" s="8" t="s">
        <v>1412</v>
      </c>
      <c r="D1076" s="8" t="n">
        <v>142658</v>
      </c>
      <c r="E1076" s="8" t="s">
        <v>917</v>
      </c>
      <c r="F1076" s="8" t="s">
        <v>794</v>
      </c>
      <c r="G1076" s="8" t="s">
        <v>961</v>
      </c>
      <c r="H1076" s="8" t="s">
        <v>51</v>
      </c>
      <c r="I1076" s="8" t="s">
        <v>88</v>
      </c>
      <c r="J1076" s="4" t="n">
        <v>2190000</v>
      </c>
      <c r="K1076" s="4" t="n">
        <v>1940000</v>
      </c>
      <c r="L1076" s="5" t="n">
        <v>0.11416</v>
      </c>
      <c r="M1076" s="4" t="n">
        <v>0</v>
      </c>
      <c r="N1076" s="4" t="n">
        <v>0</v>
      </c>
      <c r="O1076" s="4" t="n">
        <v>0</v>
      </c>
      <c r="P1076" s="4" t="n">
        <v>0</v>
      </c>
      <c r="Q1076" s="4" t="n">
        <v>0</v>
      </c>
      <c r="R1076" s="4" t="n">
        <f aca="false">M1076+N1076+O1076+P1076+Q1076</f>
        <v>0</v>
      </c>
      <c r="S1076" s="4" t="n">
        <v>0</v>
      </c>
      <c r="T1076" s="4" t="n">
        <f aca="false">R1076*K1076</f>
        <v>0</v>
      </c>
      <c r="U1076" s="9" t="n">
        <f aca="false">IFERROR(M1076/S1076,0)</f>
        <v>0</v>
      </c>
      <c r="V1076" s="5" t="n">
        <v>0.1392</v>
      </c>
    </row>
    <row r="1077" customFormat="false" ht="15" hidden="false" customHeight="false" outlineLevel="0" collapsed="false">
      <c r="A1077" s="8" t="s">
        <v>87</v>
      </c>
      <c r="B1077" s="8" t="s">
        <v>23</v>
      </c>
      <c r="C1077" s="8" t="s">
        <v>1412</v>
      </c>
      <c r="D1077" s="8" t="n">
        <v>142659</v>
      </c>
      <c r="E1077" s="8" t="s">
        <v>918</v>
      </c>
      <c r="F1077" s="8" t="s">
        <v>794</v>
      </c>
      <c r="G1077" s="8" t="s">
        <v>961</v>
      </c>
      <c r="H1077" s="8" t="s">
        <v>51</v>
      </c>
      <c r="I1077" s="8" t="s">
        <v>88</v>
      </c>
      <c r="J1077" s="4" t="n">
        <v>2190000</v>
      </c>
      <c r="K1077" s="4" t="n">
        <v>1940000</v>
      </c>
      <c r="L1077" s="5" t="n">
        <v>0.11416</v>
      </c>
      <c r="M1077" s="4" t="n">
        <v>0</v>
      </c>
      <c r="N1077" s="4" t="n">
        <v>0</v>
      </c>
      <c r="O1077" s="4" t="n">
        <v>0</v>
      </c>
      <c r="P1077" s="4" t="n">
        <v>0</v>
      </c>
      <c r="Q1077" s="4" t="n">
        <v>0</v>
      </c>
      <c r="R1077" s="4" t="n">
        <f aca="false">M1077+N1077+O1077+P1077+Q1077</f>
        <v>0</v>
      </c>
      <c r="S1077" s="4" t="n">
        <v>0</v>
      </c>
      <c r="T1077" s="4" t="n">
        <f aca="false">R1077*K1077</f>
        <v>0</v>
      </c>
      <c r="U1077" s="9" t="n">
        <f aca="false">IFERROR(M1077/S1077,0)</f>
        <v>0</v>
      </c>
      <c r="V1077" s="5" t="n">
        <v>0.1392</v>
      </c>
    </row>
    <row r="1078" customFormat="false" ht="15" hidden="false" customHeight="false" outlineLevel="0" collapsed="false">
      <c r="A1078" s="8" t="s">
        <v>87</v>
      </c>
      <c r="B1078" s="8" t="s">
        <v>23</v>
      </c>
      <c r="C1078" s="8" t="s">
        <v>1412</v>
      </c>
      <c r="D1078" s="8" t="n">
        <v>142660</v>
      </c>
      <c r="E1078" s="8" t="s">
        <v>919</v>
      </c>
      <c r="F1078" s="8" t="s">
        <v>767</v>
      </c>
      <c r="G1078" s="8" t="s">
        <v>961</v>
      </c>
      <c r="H1078" s="8" t="s">
        <v>51</v>
      </c>
      <c r="I1078" s="8" t="s">
        <v>88</v>
      </c>
      <c r="J1078" s="4" t="n">
        <v>1990000</v>
      </c>
      <c r="K1078" s="4" t="n">
        <v>1740000</v>
      </c>
      <c r="L1078" s="5" t="n">
        <v>0.12563</v>
      </c>
      <c r="M1078" s="4" t="n">
        <v>0</v>
      </c>
      <c r="N1078" s="4" t="n">
        <v>0</v>
      </c>
      <c r="O1078" s="4" t="n">
        <v>0</v>
      </c>
      <c r="P1078" s="4" t="n">
        <v>0</v>
      </c>
      <c r="Q1078" s="4" t="n">
        <v>0</v>
      </c>
      <c r="R1078" s="4" t="n">
        <f aca="false">M1078+N1078+O1078+P1078+Q1078</f>
        <v>0</v>
      </c>
      <c r="S1078" s="4" t="n">
        <v>0</v>
      </c>
      <c r="T1078" s="4" t="n">
        <f aca="false">R1078*K1078</f>
        <v>0</v>
      </c>
      <c r="U1078" s="9" t="n">
        <f aca="false">IFERROR(M1078/S1078,0)</f>
        <v>0</v>
      </c>
      <c r="V1078" s="5" t="n">
        <v>0.1868</v>
      </c>
    </row>
    <row r="1079" customFormat="false" ht="15" hidden="false" customHeight="false" outlineLevel="0" collapsed="false">
      <c r="A1079" s="8" t="s">
        <v>87</v>
      </c>
      <c r="B1079" s="8" t="s">
        <v>23</v>
      </c>
      <c r="C1079" s="8" t="s">
        <v>1412</v>
      </c>
      <c r="D1079" s="8" t="n">
        <v>142661</v>
      </c>
      <c r="E1079" s="8" t="s">
        <v>920</v>
      </c>
      <c r="F1079" s="8" t="s">
        <v>794</v>
      </c>
      <c r="G1079" s="8" t="s">
        <v>961</v>
      </c>
      <c r="H1079" s="8" t="s">
        <v>51</v>
      </c>
      <c r="I1079" s="8" t="s">
        <v>88</v>
      </c>
      <c r="J1079" s="4" t="n">
        <v>2190000</v>
      </c>
      <c r="K1079" s="4" t="n">
        <v>1940000</v>
      </c>
      <c r="L1079" s="5" t="n">
        <v>0.11416</v>
      </c>
      <c r="M1079" s="4" t="n">
        <v>0</v>
      </c>
      <c r="N1079" s="4" t="n">
        <v>0</v>
      </c>
      <c r="O1079" s="4" t="n">
        <v>0</v>
      </c>
      <c r="P1079" s="4" t="n">
        <v>0</v>
      </c>
      <c r="Q1079" s="4" t="n">
        <v>0</v>
      </c>
      <c r="R1079" s="4" t="n">
        <f aca="false">M1079+N1079+O1079+P1079+Q1079</f>
        <v>0</v>
      </c>
      <c r="S1079" s="4" t="n">
        <v>0</v>
      </c>
      <c r="T1079" s="4" t="n">
        <f aca="false">R1079*K1079</f>
        <v>0</v>
      </c>
      <c r="U1079" s="9" t="n">
        <f aca="false">IFERROR(M1079/S1079,0)</f>
        <v>0</v>
      </c>
      <c r="V1079" s="5" t="n">
        <v>0.1392</v>
      </c>
    </row>
    <row r="1080" customFormat="false" ht="15" hidden="false" customHeight="false" outlineLevel="0" collapsed="false">
      <c r="A1080" s="8" t="s">
        <v>87</v>
      </c>
      <c r="B1080" s="8" t="s">
        <v>23</v>
      </c>
      <c r="C1080" s="8" t="s">
        <v>1412</v>
      </c>
      <c r="D1080" s="8" t="n">
        <v>142662</v>
      </c>
      <c r="E1080" s="8" t="s">
        <v>921</v>
      </c>
      <c r="F1080" s="8" t="s">
        <v>794</v>
      </c>
      <c r="G1080" s="8" t="s">
        <v>961</v>
      </c>
      <c r="H1080" s="8" t="s">
        <v>51</v>
      </c>
      <c r="I1080" s="8" t="s">
        <v>88</v>
      </c>
      <c r="J1080" s="4" t="n">
        <v>2190000</v>
      </c>
      <c r="K1080" s="4" t="n">
        <v>1940000</v>
      </c>
      <c r="L1080" s="5" t="n">
        <v>0.11416</v>
      </c>
      <c r="M1080" s="4" t="n">
        <v>0</v>
      </c>
      <c r="N1080" s="4" t="n">
        <v>0</v>
      </c>
      <c r="O1080" s="4" t="n">
        <v>0</v>
      </c>
      <c r="P1080" s="4" t="n">
        <v>0</v>
      </c>
      <c r="Q1080" s="4" t="n">
        <v>0</v>
      </c>
      <c r="R1080" s="4" t="n">
        <f aca="false">M1080+N1080+O1080+P1080+Q1080</f>
        <v>0</v>
      </c>
      <c r="S1080" s="4" t="n">
        <v>0</v>
      </c>
      <c r="T1080" s="4" t="n">
        <f aca="false">R1080*K1080</f>
        <v>0</v>
      </c>
      <c r="U1080" s="9" t="n">
        <f aca="false">IFERROR(M1080/S1080,0)</f>
        <v>0</v>
      </c>
      <c r="V1080" s="5" t="n">
        <v>0.1392</v>
      </c>
    </row>
    <row r="1081" customFormat="false" ht="15" hidden="false" customHeight="false" outlineLevel="0" collapsed="false">
      <c r="A1081" s="8" t="s">
        <v>87</v>
      </c>
      <c r="B1081" s="8" t="s">
        <v>23</v>
      </c>
      <c r="C1081" s="8" t="s">
        <v>1412</v>
      </c>
      <c r="D1081" s="8" t="n">
        <v>142663</v>
      </c>
      <c r="E1081" s="8" t="s">
        <v>917</v>
      </c>
      <c r="F1081" s="8" t="s">
        <v>794</v>
      </c>
      <c r="G1081" s="8" t="s">
        <v>961</v>
      </c>
      <c r="H1081" s="8" t="s">
        <v>51</v>
      </c>
      <c r="I1081" s="8" t="s">
        <v>88</v>
      </c>
      <c r="J1081" s="4" t="n">
        <v>2190000</v>
      </c>
      <c r="K1081" s="4" t="n">
        <v>1940000</v>
      </c>
      <c r="L1081" s="5" t="n">
        <v>0.11416</v>
      </c>
      <c r="M1081" s="4" t="n">
        <v>0</v>
      </c>
      <c r="N1081" s="4" t="n">
        <v>0</v>
      </c>
      <c r="O1081" s="4" t="n">
        <v>0</v>
      </c>
      <c r="P1081" s="4" t="n">
        <v>0</v>
      </c>
      <c r="Q1081" s="4" t="n">
        <v>0</v>
      </c>
      <c r="R1081" s="4" t="n">
        <f aca="false">M1081+N1081+O1081+P1081+Q1081</f>
        <v>0</v>
      </c>
      <c r="S1081" s="4" t="n">
        <v>0</v>
      </c>
      <c r="T1081" s="4" t="n">
        <f aca="false">R1081*K1081</f>
        <v>0</v>
      </c>
      <c r="U1081" s="9" t="n">
        <f aca="false">IFERROR(M1081/S1081,0)</f>
        <v>0</v>
      </c>
      <c r="V1081" s="5" t="n">
        <v>0.1392</v>
      </c>
    </row>
    <row r="1082" customFormat="false" ht="15" hidden="false" customHeight="false" outlineLevel="0" collapsed="false">
      <c r="A1082" s="8" t="s">
        <v>87</v>
      </c>
      <c r="B1082" s="8" t="s">
        <v>23</v>
      </c>
      <c r="C1082" s="8" t="s">
        <v>1412</v>
      </c>
      <c r="D1082" s="8" t="n">
        <v>142664</v>
      </c>
      <c r="E1082" s="8" t="s">
        <v>922</v>
      </c>
      <c r="F1082" s="8" t="s">
        <v>794</v>
      </c>
      <c r="G1082" s="8" t="s">
        <v>961</v>
      </c>
      <c r="H1082" s="8" t="s">
        <v>51</v>
      </c>
      <c r="I1082" s="8" t="s">
        <v>88</v>
      </c>
      <c r="J1082" s="4" t="n">
        <v>2190000</v>
      </c>
      <c r="K1082" s="4" t="n">
        <v>1940000</v>
      </c>
      <c r="L1082" s="5" t="n">
        <v>0.11416</v>
      </c>
      <c r="M1082" s="4" t="n">
        <v>0</v>
      </c>
      <c r="N1082" s="4" t="n">
        <v>0</v>
      </c>
      <c r="O1082" s="4" t="n">
        <v>0</v>
      </c>
      <c r="P1082" s="4" t="n">
        <v>0</v>
      </c>
      <c r="Q1082" s="4" t="n">
        <v>0</v>
      </c>
      <c r="R1082" s="4" t="n">
        <f aca="false">M1082+N1082+O1082+P1082+Q1082</f>
        <v>0</v>
      </c>
      <c r="S1082" s="4" t="n">
        <v>0</v>
      </c>
      <c r="T1082" s="4" t="n">
        <f aca="false">R1082*K1082</f>
        <v>0</v>
      </c>
      <c r="U1082" s="9" t="n">
        <f aca="false">IFERROR(M1082/S1082,0)</f>
        <v>0</v>
      </c>
      <c r="V1082" s="5" t="n">
        <v>0.1392</v>
      </c>
    </row>
    <row r="1083" customFormat="false" ht="15" hidden="false" customHeight="false" outlineLevel="0" collapsed="false">
      <c r="A1083" s="8" t="s">
        <v>87</v>
      </c>
      <c r="B1083" s="8" t="s">
        <v>23</v>
      </c>
      <c r="C1083" s="8" t="s">
        <v>1412</v>
      </c>
      <c r="D1083" s="8" t="n">
        <v>142666</v>
      </c>
      <c r="E1083" s="8" t="s">
        <v>923</v>
      </c>
      <c r="F1083" s="8" t="s">
        <v>767</v>
      </c>
      <c r="G1083" s="8" t="s">
        <v>961</v>
      </c>
      <c r="H1083" s="8" t="s">
        <v>51</v>
      </c>
      <c r="I1083" s="8" t="s">
        <v>88</v>
      </c>
      <c r="J1083" s="4" t="n">
        <v>1390000</v>
      </c>
      <c r="K1083" s="4" t="n">
        <v>1140000</v>
      </c>
      <c r="L1083" s="5" t="n">
        <v>0.17986</v>
      </c>
      <c r="M1083" s="4" t="n">
        <v>0</v>
      </c>
      <c r="N1083" s="4" t="n">
        <v>0</v>
      </c>
      <c r="O1083" s="4" t="n">
        <v>0</v>
      </c>
      <c r="P1083" s="4" t="n">
        <v>0</v>
      </c>
      <c r="Q1083" s="4" t="n">
        <v>0</v>
      </c>
      <c r="R1083" s="4" t="n">
        <f aca="false">M1083+N1083+O1083+P1083+Q1083</f>
        <v>0</v>
      </c>
      <c r="S1083" s="4" t="n">
        <v>0</v>
      </c>
      <c r="T1083" s="4" t="n">
        <f aca="false">R1083*K1083</f>
        <v>0</v>
      </c>
      <c r="U1083" s="9" t="n">
        <f aca="false">IFERROR(M1083/S1083,0)</f>
        <v>0</v>
      </c>
      <c r="V1083" s="5" t="n">
        <v>0.0789</v>
      </c>
    </row>
    <row r="1084" customFormat="false" ht="15" hidden="false" customHeight="false" outlineLevel="0" collapsed="false">
      <c r="A1084" s="8" t="s">
        <v>87</v>
      </c>
      <c r="B1084" s="8" t="s">
        <v>23</v>
      </c>
      <c r="C1084" s="8" t="s">
        <v>1412</v>
      </c>
      <c r="D1084" s="8" t="n">
        <v>142667</v>
      </c>
      <c r="E1084" s="8" t="s">
        <v>924</v>
      </c>
      <c r="F1084" s="8" t="s">
        <v>767</v>
      </c>
      <c r="G1084" s="8" t="s">
        <v>961</v>
      </c>
      <c r="H1084" s="8" t="s">
        <v>51</v>
      </c>
      <c r="I1084" s="8" t="s">
        <v>88</v>
      </c>
      <c r="J1084" s="4" t="n">
        <v>1990000</v>
      </c>
      <c r="K1084" s="4" t="n">
        <v>1740000</v>
      </c>
      <c r="L1084" s="5" t="n">
        <v>0.12563</v>
      </c>
      <c r="M1084" s="4" t="n">
        <v>0</v>
      </c>
      <c r="N1084" s="4" t="n">
        <v>0</v>
      </c>
      <c r="O1084" s="4" t="n">
        <v>0</v>
      </c>
      <c r="P1084" s="4" t="n">
        <v>0</v>
      </c>
      <c r="Q1084" s="4" t="n">
        <v>0</v>
      </c>
      <c r="R1084" s="4" t="n">
        <f aca="false">M1084+N1084+O1084+P1084+Q1084</f>
        <v>0</v>
      </c>
      <c r="S1084" s="4" t="n">
        <v>0</v>
      </c>
      <c r="T1084" s="4" t="n">
        <f aca="false">R1084*K1084</f>
        <v>0</v>
      </c>
      <c r="U1084" s="9" t="n">
        <f aca="false">IFERROR(M1084/S1084,0)</f>
        <v>0</v>
      </c>
      <c r="V1084" s="5" t="n">
        <v>0.1868</v>
      </c>
    </row>
    <row r="1085" customFormat="false" ht="15" hidden="false" customHeight="false" outlineLevel="0" collapsed="false">
      <c r="A1085" s="8" t="s">
        <v>87</v>
      </c>
      <c r="B1085" s="8" t="s">
        <v>23</v>
      </c>
      <c r="C1085" s="8" t="s">
        <v>1412</v>
      </c>
      <c r="D1085" s="8" t="n">
        <v>142668</v>
      </c>
      <c r="E1085" s="8" t="s">
        <v>925</v>
      </c>
      <c r="F1085" s="8" t="s">
        <v>794</v>
      </c>
      <c r="G1085" s="8" t="s">
        <v>961</v>
      </c>
      <c r="H1085" s="8" t="s">
        <v>51</v>
      </c>
      <c r="I1085" s="8" t="s">
        <v>88</v>
      </c>
      <c r="J1085" s="4" t="n">
        <v>1990000</v>
      </c>
      <c r="K1085" s="4" t="n">
        <v>1740000</v>
      </c>
      <c r="L1085" s="5" t="n">
        <v>0.12563</v>
      </c>
      <c r="M1085" s="4" t="n">
        <v>0</v>
      </c>
      <c r="N1085" s="4" t="n">
        <v>0</v>
      </c>
      <c r="O1085" s="4" t="n">
        <v>0</v>
      </c>
      <c r="P1085" s="4" t="n">
        <v>0</v>
      </c>
      <c r="Q1085" s="4" t="n">
        <v>0</v>
      </c>
      <c r="R1085" s="4" t="n">
        <f aca="false">M1085+N1085+O1085+P1085+Q1085</f>
        <v>0</v>
      </c>
      <c r="S1085" s="4" t="n">
        <v>0</v>
      </c>
      <c r="T1085" s="4" t="n">
        <f aca="false">R1085*K1085</f>
        <v>0</v>
      </c>
      <c r="U1085" s="9" t="n">
        <f aca="false">IFERROR(M1085/S1085,0)</f>
        <v>0</v>
      </c>
      <c r="V1085" s="5" t="n">
        <v>0.1868</v>
      </c>
    </row>
    <row r="1086" customFormat="false" ht="15" hidden="false" customHeight="false" outlineLevel="0" collapsed="false">
      <c r="A1086" s="8" t="s">
        <v>87</v>
      </c>
      <c r="B1086" s="8" t="s">
        <v>23</v>
      </c>
      <c r="C1086" s="8" t="s">
        <v>1412</v>
      </c>
      <c r="D1086" s="8" t="n">
        <v>142669</v>
      </c>
      <c r="E1086" s="8" t="s">
        <v>926</v>
      </c>
      <c r="F1086" s="8" t="s">
        <v>767</v>
      </c>
      <c r="G1086" s="8" t="s">
        <v>961</v>
      </c>
      <c r="H1086" s="8" t="s">
        <v>51</v>
      </c>
      <c r="I1086" s="8" t="s">
        <v>88</v>
      </c>
      <c r="J1086" s="4" t="n">
        <v>1990000</v>
      </c>
      <c r="K1086" s="4" t="n">
        <v>1740000</v>
      </c>
      <c r="L1086" s="5" t="n">
        <v>0.12563</v>
      </c>
      <c r="M1086" s="4" t="n">
        <v>0</v>
      </c>
      <c r="N1086" s="4" t="n">
        <v>0</v>
      </c>
      <c r="O1086" s="4" t="n">
        <v>0</v>
      </c>
      <c r="P1086" s="4" t="n">
        <v>0</v>
      </c>
      <c r="Q1086" s="4" t="n">
        <v>0</v>
      </c>
      <c r="R1086" s="4" t="n">
        <f aca="false">M1086+N1086+O1086+P1086+Q1086</f>
        <v>0</v>
      </c>
      <c r="S1086" s="4" t="n">
        <v>0</v>
      </c>
      <c r="T1086" s="4" t="n">
        <f aca="false">R1086*K1086</f>
        <v>0</v>
      </c>
      <c r="U1086" s="9" t="n">
        <f aca="false">IFERROR(M1086/S1086,0)</f>
        <v>0</v>
      </c>
      <c r="V1086" s="5" t="n">
        <v>0.1868</v>
      </c>
    </row>
    <row r="1087" customFormat="false" ht="15" hidden="false" customHeight="false" outlineLevel="0" collapsed="false">
      <c r="A1087" s="8" t="s">
        <v>87</v>
      </c>
      <c r="B1087" s="8" t="s">
        <v>23</v>
      </c>
      <c r="C1087" s="8" t="s">
        <v>1412</v>
      </c>
      <c r="D1087" s="8" t="n">
        <v>142670</v>
      </c>
      <c r="E1087" s="8" t="s">
        <v>927</v>
      </c>
      <c r="F1087" s="8" t="s">
        <v>767</v>
      </c>
      <c r="G1087" s="8" t="s">
        <v>961</v>
      </c>
      <c r="H1087" s="8" t="s">
        <v>51</v>
      </c>
      <c r="I1087" s="8" t="s">
        <v>88</v>
      </c>
      <c r="J1087" s="4" t="n">
        <v>1990000</v>
      </c>
      <c r="K1087" s="4" t="n">
        <v>1740000</v>
      </c>
      <c r="L1087" s="5" t="n">
        <v>0.12563</v>
      </c>
      <c r="M1087" s="4" t="n">
        <v>0</v>
      </c>
      <c r="N1087" s="4" t="n">
        <v>0</v>
      </c>
      <c r="O1087" s="4" t="n">
        <v>0</v>
      </c>
      <c r="P1087" s="4" t="n">
        <v>0</v>
      </c>
      <c r="Q1087" s="4" t="n">
        <v>0</v>
      </c>
      <c r="R1087" s="4" t="n">
        <f aca="false">M1087+N1087+O1087+P1087+Q1087</f>
        <v>0</v>
      </c>
      <c r="S1087" s="4" t="n">
        <v>0</v>
      </c>
      <c r="T1087" s="4" t="n">
        <f aca="false">R1087*K1087</f>
        <v>0</v>
      </c>
      <c r="U1087" s="9" t="n">
        <f aca="false">IFERROR(M1087/S1087,0)</f>
        <v>0</v>
      </c>
      <c r="V1087" s="5" t="n">
        <v>0.1868</v>
      </c>
    </row>
    <row r="1088" customFormat="false" ht="15" hidden="false" customHeight="false" outlineLevel="0" collapsed="false">
      <c r="A1088" s="8" t="s">
        <v>87</v>
      </c>
      <c r="B1088" s="8" t="s">
        <v>23</v>
      </c>
      <c r="C1088" s="8" t="s">
        <v>1412</v>
      </c>
      <c r="D1088" s="8" t="n">
        <v>142671</v>
      </c>
      <c r="E1088" s="8" t="s">
        <v>928</v>
      </c>
      <c r="F1088" s="8" t="s">
        <v>767</v>
      </c>
      <c r="G1088" s="8" t="s">
        <v>961</v>
      </c>
      <c r="H1088" s="8" t="s">
        <v>51</v>
      </c>
      <c r="I1088" s="8" t="s">
        <v>88</v>
      </c>
      <c r="J1088" s="4" t="n">
        <v>1990000</v>
      </c>
      <c r="K1088" s="4" t="n">
        <v>1740000</v>
      </c>
      <c r="L1088" s="5" t="n">
        <v>0.12563</v>
      </c>
      <c r="M1088" s="4" t="n">
        <v>0</v>
      </c>
      <c r="N1088" s="4" t="n">
        <v>0</v>
      </c>
      <c r="O1088" s="4" t="n">
        <v>0</v>
      </c>
      <c r="P1088" s="4" t="n">
        <v>0</v>
      </c>
      <c r="Q1088" s="4" t="n">
        <v>0</v>
      </c>
      <c r="R1088" s="4" t="n">
        <f aca="false">M1088+N1088+O1088+P1088+Q1088</f>
        <v>0</v>
      </c>
      <c r="S1088" s="4" t="n">
        <v>0</v>
      </c>
      <c r="T1088" s="4" t="n">
        <f aca="false">R1088*K1088</f>
        <v>0</v>
      </c>
      <c r="U1088" s="9" t="n">
        <f aca="false">IFERROR(M1088/S1088,0)</f>
        <v>0</v>
      </c>
      <c r="V1088" s="5" t="n">
        <v>0.1868</v>
      </c>
    </row>
    <row r="1089" customFormat="false" ht="15" hidden="false" customHeight="false" outlineLevel="0" collapsed="false">
      <c r="A1089" s="8" t="s">
        <v>87</v>
      </c>
      <c r="B1089" s="8" t="s">
        <v>23</v>
      </c>
      <c r="C1089" s="8" t="s">
        <v>1412</v>
      </c>
      <c r="D1089" s="8" t="n">
        <v>143029</v>
      </c>
      <c r="E1089" s="8" t="s">
        <v>929</v>
      </c>
      <c r="F1089" s="8" t="s">
        <v>829</v>
      </c>
      <c r="G1089" s="8" t="s">
        <v>970</v>
      </c>
      <c r="H1089" s="8" t="s">
        <v>51</v>
      </c>
      <c r="I1089" s="8" t="s">
        <v>88</v>
      </c>
      <c r="J1089" s="4" t="n">
        <v>1090000</v>
      </c>
      <c r="K1089" s="4" t="n">
        <v>840000</v>
      </c>
      <c r="L1089" s="5" t="n">
        <v>0.22936</v>
      </c>
      <c r="M1089" s="4" t="n">
        <v>0</v>
      </c>
      <c r="N1089" s="4" t="n">
        <v>0</v>
      </c>
      <c r="O1089" s="4" t="n">
        <v>0</v>
      </c>
      <c r="P1089" s="4" t="n">
        <v>0</v>
      </c>
      <c r="Q1089" s="4" t="n">
        <v>0</v>
      </c>
      <c r="R1089" s="4" t="n">
        <f aca="false">M1089+N1089+O1089+P1089+Q1089</f>
        <v>0</v>
      </c>
      <c r="S1089" s="4" t="n">
        <v>0</v>
      </c>
      <c r="T1089" s="4" t="n">
        <f aca="false">R1089*K1089</f>
        <v>0</v>
      </c>
      <c r="U1089" s="9" t="n">
        <f aca="false">IFERROR(M1089/S1089,0)</f>
        <v>0</v>
      </c>
      <c r="V1089" s="5" t="n">
        <v>1</v>
      </c>
    </row>
    <row r="1090" customFormat="false" ht="15" hidden="false" customHeight="false" outlineLevel="0" collapsed="false">
      <c r="A1090" s="8" t="s">
        <v>87</v>
      </c>
      <c r="B1090" s="8" t="s">
        <v>23</v>
      </c>
      <c r="C1090" s="8" t="s">
        <v>1412</v>
      </c>
      <c r="D1090" s="8" t="n">
        <v>143032</v>
      </c>
      <c r="E1090" s="8" t="s">
        <v>930</v>
      </c>
      <c r="F1090" s="8" t="s">
        <v>829</v>
      </c>
      <c r="G1090" s="8" t="s">
        <v>970</v>
      </c>
      <c r="H1090" s="8" t="s">
        <v>51</v>
      </c>
      <c r="I1090" s="8" t="s">
        <v>88</v>
      </c>
      <c r="J1090" s="4" t="n">
        <v>1090000</v>
      </c>
      <c r="K1090" s="4" t="n">
        <v>840000</v>
      </c>
      <c r="L1090" s="5" t="n">
        <v>0.22936</v>
      </c>
      <c r="M1090" s="4" t="n">
        <v>0</v>
      </c>
      <c r="N1090" s="4" t="n">
        <v>0</v>
      </c>
      <c r="O1090" s="4" t="n">
        <v>0</v>
      </c>
      <c r="P1090" s="4" t="n">
        <v>0</v>
      </c>
      <c r="Q1090" s="4" t="n">
        <v>0</v>
      </c>
      <c r="R1090" s="4" t="n">
        <f aca="false">M1090+N1090+O1090+P1090+Q1090</f>
        <v>0</v>
      </c>
      <c r="S1090" s="4" t="n">
        <v>0</v>
      </c>
      <c r="T1090" s="4" t="n">
        <f aca="false">R1090*K1090</f>
        <v>0</v>
      </c>
      <c r="U1090" s="9" t="n">
        <f aca="false">IFERROR(M1090/S1090,0)</f>
        <v>0</v>
      </c>
      <c r="V1090" s="5" t="n">
        <v>1</v>
      </c>
    </row>
    <row r="1091" customFormat="false" ht="15" hidden="false" customHeight="false" outlineLevel="0" collapsed="false">
      <c r="A1091" s="8" t="s">
        <v>87</v>
      </c>
      <c r="B1091" s="8" t="s">
        <v>23</v>
      </c>
      <c r="C1091" s="8" t="s">
        <v>1412</v>
      </c>
      <c r="D1091" s="8" t="n">
        <v>143037</v>
      </c>
      <c r="E1091" s="8" t="s">
        <v>931</v>
      </c>
      <c r="F1091" s="8" t="s">
        <v>829</v>
      </c>
      <c r="G1091" s="8" t="s">
        <v>970</v>
      </c>
      <c r="H1091" s="8" t="s">
        <v>51</v>
      </c>
      <c r="I1091" s="8" t="s">
        <v>88</v>
      </c>
      <c r="J1091" s="4" t="n">
        <v>1090000</v>
      </c>
      <c r="K1091" s="4" t="n">
        <v>840000</v>
      </c>
      <c r="L1091" s="5" t="n">
        <v>0.22936</v>
      </c>
      <c r="M1091" s="4" t="n">
        <v>0</v>
      </c>
      <c r="N1091" s="4" t="n">
        <v>0</v>
      </c>
      <c r="O1091" s="4" t="n">
        <v>0</v>
      </c>
      <c r="P1091" s="4" t="n">
        <v>0</v>
      </c>
      <c r="Q1091" s="4" t="n">
        <v>0</v>
      </c>
      <c r="R1091" s="4" t="n">
        <f aca="false">M1091+N1091+O1091+P1091+Q1091</f>
        <v>0</v>
      </c>
      <c r="S1091" s="4" t="n">
        <v>0</v>
      </c>
      <c r="T1091" s="4" t="n">
        <f aca="false">R1091*K1091</f>
        <v>0</v>
      </c>
      <c r="U1091" s="9" t="n">
        <f aca="false">IFERROR(M1091/S1091,0)</f>
        <v>0</v>
      </c>
      <c r="V1091" s="5" t="n">
        <v>1</v>
      </c>
    </row>
    <row r="1092" customFormat="false" ht="15" hidden="false" customHeight="false" outlineLevel="0" collapsed="false">
      <c r="A1092" s="8" t="s">
        <v>87</v>
      </c>
      <c r="B1092" s="8" t="s">
        <v>23</v>
      </c>
      <c r="C1092" s="8" t="s">
        <v>1412</v>
      </c>
      <c r="D1092" s="8" t="n">
        <v>143038</v>
      </c>
      <c r="E1092" s="8" t="s">
        <v>932</v>
      </c>
      <c r="F1092" s="8" t="s">
        <v>829</v>
      </c>
      <c r="G1092" s="8" t="s">
        <v>970</v>
      </c>
      <c r="H1092" s="8" t="s">
        <v>51</v>
      </c>
      <c r="I1092" s="8" t="s">
        <v>88</v>
      </c>
      <c r="J1092" s="4" t="n">
        <v>1090000</v>
      </c>
      <c r="K1092" s="4" t="n">
        <v>840000</v>
      </c>
      <c r="L1092" s="5" t="n">
        <v>0.22936</v>
      </c>
      <c r="M1092" s="4" t="n">
        <v>0</v>
      </c>
      <c r="N1092" s="4" t="n">
        <v>0</v>
      </c>
      <c r="O1092" s="4" t="n">
        <v>0</v>
      </c>
      <c r="P1092" s="4" t="n">
        <v>0</v>
      </c>
      <c r="Q1092" s="4" t="n">
        <v>0</v>
      </c>
      <c r="R1092" s="4" t="n">
        <f aca="false">M1092+N1092+O1092+P1092+Q1092</f>
        <v>0</v>
      </c>
      <c r="S1092" s="4" t="n">
        <v>0</v>
      </c>
      <c r="T1092" s="4" t="n">
        <f aca="false">R1092*K1092</f>
        <v>0</v>
      </c>
      <c r="U1092" s="9" t="n">
        <f aca="false">IFERROR(M1092/S1092,0)</f>
        <v>0</v>
      </c>
      <c r="V1092" s="5" t="n">
        <v>1</v>
      </c>
    </row>
    <row r="1093" customFormat="false" ht="15" hidden="false" customHeight="false" outlineLevel="0" collapsed="false">
      <c r="A1093" s="8" t="s">
        <v>87</v>
      </c>
      <c r="B1093" s="8" t="s">
        <v>23</v>
      </c>
      <c r="C1093" s="8" t="s">
        <v>1412</v>
      </c>
      <c r="D1093" s="8" t="n">
        <v>143058</v>
      </c>
      <c r="E1093" s="8" t="s">
        <v>933</v>
      </c>
      <c r="F1093" s="8" t="s">
        <v>829</v>
      </c>
      <c r="G1093" s="8" t="s">
        <v>970</v>
      </c>
      <c r="H1093" s="8" t="s">
        <v>51</v>
      </c>
      <c r="I1093" s="8" t="s">
        <v>88</v>
      </c>
      <c r="J1093" s="4" t="n">
        <v>1090000</v>
      </c>
      <c r="K1093" s="4" t="n">
        <v>840000</v>
      </c>
      <c r="L1093" s="5" t="n">
        <v>0.22936</v>
      </c>
      <c r="M1093" s="4" t="n">
        <v>0</v>
      </c>
      <c r="N1093" s="4" t="n">
        <v>0</v>
      </c>
      <c r="O1093" s="4" t="n">
        <v>0</v>
      </c>
      <c r="P1093" s="4" t="n">
        <v>0</v>
      </c>
      <c r="Q1093" s="4" t="n">
        <v>0</v>
      </c>
      <c r="R1093" s="4" t="n">
        <f aca="false">M1093+N1093+O1093+P1093+Q1093</f>
        <v>0</v>
      </c>
      <c r="S1093" s="4" t="n">
        <v>0</v>
      </c>
      <c r="T1093" s="4" t="n">
        <f aca="false">R1093*K1093</f>
        <v>0</v>
      </c>
      <c r="U1093" s="9" t="n">
        <f aca="false">IFERROR(M1093/S1093,0)</f>
        <v>0</v>
      </c>
      <c r="V1093" s="5" t="n">
        <v>1</v>
      </c>
    </row>
    <row r="1094" customFormat="false" ht="15" hidden="false" customHeight="false" outlineLevel="0" collapsed="false">
      <c r="A1094" s="8" t="s">
        <v>87</v>
      </c>
      <c r="B1094" s="8" t="s">
        <v>23</v>
      </c>
      <c r="C1094" s="8" t="s">
        <v>1412</v>
      </c>
      <c r="D1094" s="8" t="n">
        <v>143062</v>
      </c>
      <c r="E1094" s="8" t="s">
        <v>934</v>
      </c>
      <c r="F1094" s="8" t="s">
        <v>829</v>
      </c>
      <c r="G1094" s="8" t="s">
        <v>970</v>
      </c>
      <c r="H1094" s="8" t="s">
        <v>51</v>
      </c>
      <c r="I1094" s="8" t="s">
        <v>88</v>
      </c>
      <c r="J1094" s="4" t="n">
        <v>1090000</v>
      </c>
      <c r="K1094" s="4" t="n">
        <v>840000</v>
      </c>
      <c r="L1094" s="5" t="n">
        <v>0.22936</v>
      </c>
      <c r="M1094" s="4" t="n">
        <v>0</v>
      </c>
      <c r="N1094" s="4" t="n">
        <v>0</v>
      </c>
      <c r="O1094" s="4" t="n">
        <v>0</v>
      </c>
      <c r="P1094" s="4" t="n">
        <v>0</v>
      </c>
      <c r="Q1094" s="4" t="n">
        <v>0</v>
      </c>
      <c r="R1094" s="4" t="n">
        <f aca="false">M1094+N1094+O1094+P1094+Q1094</f>
        <v>0</v>
      </c>
      <c r="S1094" s="4" t="n">
        <v>0</v>
      </c>
      <c r="T1094" s="4" t="n">
        <f aca="false">R1094*K1094</f>
        <v>0</v>
      </c>
      <c r="U1094" s="9" t="n">
        <f aca="false">IFERROR(M1094/S1094,0)</f>
        <v>0</v>
      </c>
      <c r="V1094" s="5" t="n">
        <v>1</v>
      </c>
    </row>
    <row r="1095" customFormat="false" ht="15" hidden="false" customHeight="false" outlineLevel="0" collapsed="false">
      <c r="A1095" s="8" t="s">
        <v>87</v>
      </c>
      <c r="B1095" s="8" t="s">
        <v>23</v>
      </c>
      <c r="C1095" s="8" t="s">
        <v>1412</v>
      </c>
      <c r="D1095" s="8" t="n">
        <v>143078</v>
      </c>
      <c r="E1095" s="8" t="s">
        <v>935</v>
      </c>
      <c r="F1095" s="8" t="s">
        <v>829</v>
      </c>
      <c r="G1095" s="8" t="s">
        <v>970</v>
      </c>
      <c r="H1095" s="8" t="s">
        <v>51</v>
      </c>
      <c r="I1095" s="8" t="s">
        <v>88</v>
      </c>
      <c r="J1095" s="4" t="n">
        <v>1090000</v>
      </c>
      <c r="K1095" s="4" t="n">
        <v>840000</v>
      </c>
      <c r="L1095" s="5" t="n">
        <v>0.22936</v>
      </c>
      <c r="M1095" s="4" t="n">
        <v>0</v>
      </c>
      <c r="N1095" s="4" t="n">
        <v>0</v>
      </c>
      <c r="O1095" s="4" t="n">
        <v>0</v>
      </c>
      <c r="P1095" s="4" t="n">
        <v>0</v>
      </c>
      <c r="Q1095" s="4" t="n">
        <v>0</v>
      </c>
      <c r="R1095" s="4" t="n">
        <f aca="false">M1095+N1095+O1095+P1095+Q1095</f>
        <v>0</v>
      </c>
      <c r="S1095" s="4" t="n">
        <v>0</v>
      </c>
      <c r="T1095" s="4" t="n">
        <f aca="false">R1095*K1095</f>
        <v>0</v>
      </c>
      <c r="U1095" s="9" t="n">
        <f aca="false">IFERROR(M1095/S1095,0)</f>
        <v>0</v>
      </c>
      <c r="V1095" s="5" t="n">
        <v>1</v>
      </c>
    </row>
    <row r="1096" customFormat="false" ht="15" hidden="false" customHeight="false" outlineLevel="0" collapsed="false">
      <c r="A1096" s="8" t="s">
        <v>87</v>
      </c>
      <c r="B1096" s="8" t="s">
        <v>23</v>
      </c>
      <c r="C1096" s="8" t="s">
        <v>1412</v>
      </c>
      <c r="D1096" s="8" t="n">
        <v>143089</v>
      </c>
      <c r="E1096" s="8" t="s">
        <v>936</v>
      </c>
      <c r="F1096" s="8" t="s">
        <v>829</v>
      </c>
      <c r="G1096" s="8" t="s">
        <v>970</v>
      </c>
      <c r="H1096" s="8" t="s">
        <v>51</v>
      </c>
      <c r="I1096" s="8" t="s">
        <v>88</v>
      </c>
      <c r="J1096" s="4" t="n">
        <v>1790000</v>
      </c>
      <c r="K1096" s="4" t="n">
        <v>1541000</v>
      </c>
      <c r="L1096" s="5" t="n">
        <v>0.13966</v>
      </c>
      <c r="M1096" s="4" t="n">
        <v>0</v>
      </c>
      <c r="N1096" s="4" t="n">
        <v>0</v>
      </c>
      <c r="O1096" s="4" t="n">
        <v>0</v>
      </c>
      <c r="P1096" s="4" t="n">
        <v>0</v>
      </c>
      <c r="Q1096" s="4" t="n">
        <v>0</v>
      </c>
      <c r="R1096" s="4" t="n">
        <f aca="false">M1096+N1096+O1096+P1096+Q1096</f>
        <v>0</v>
      </c>
      <c r="S1096" s="4" t="n">
        <v>0</v>
      </c>
      <c r="T1096" s="4" t="n">
        <f aca="false">R1096*K1096</f>
        <v>0</v>
      </c>
      <c r="U1096" s="9" t="n">
        <f aca="false">IFERROR(M1096/S1096,0)</f>
        <v>0</v>
      </c>
      <c r="V1096" s="5" t="n">
        <v>1</v>
      </c>
    </row>
    <row r="1097" customFormat="false" ht="15" hidden="false" customHeight="false" outlineLevel="0" collapsed="false">
      <c r="A1097" s="8" t="s">
        <v>87</v>
      </c>
      <c r="B1097" s="8" t="s">
        <v>23</v>
      </c>
      <c r="C1097" s="8" t="s">
        <v>1412</v>
      </c>
      <c r="D1097" s="8" t="n">
        <v>143096</v>
      </c>
      <c r="E1097" s="8" t="s">
        <v>937</v>
      </c>
      <c r="F1097" s="8" t="s">
        <v>829</v>
      </c>
      <c r="G1097" s="8" t="s">
        <v>970</v>
      </c>
      <c r="H1097" s="8" t="s">
        <v>51</v>
      </c>
      <c r="I1097" s="8" t="s">
        <v>88</v>
      </c>
      <c r="J1097" s="4" t="n">
        <v>1790000</v>
      </c>
      <c r="K1097" s="4" t="n">
        <v>1541000</v>
      </c>
      <c r="L1097" s="5" t="n">
        <v>0.13966</v>
      </c>
      <c r="M1097" s="4" t="n">
        <v>0</v>
      </c>
      <c r="N1097" s="4" t="n">
        <v>0</v>
      </c>
      <c r="O1097" s="4" t="n">
        <v>0</v>
      </c>
      <c r="P1097" s="4" t="n">
        <v>0</v>
      </c>
      <c r="Q1097" s="4" t="n">
        <v>0</v>
      </c>
      <c r="R1097" s="4" t="n">
        <f aca="false">M1097+N1097+O1097+P1097+Q1097</f>
        <v>0</v>
      </c>
      <c r="S1097" s="4" t="n">
        <v>0</v>
      </c>
      <c r="T1097" s="4" t="n">
        <f aca="false">R1097*K1097</f>
        <v>0</v>
      </c>
      <c r="U1097" s="9" t="n">
        <f aca="false">IFERROR(M1097/S1097,0)</f>
        <v>0</v>
      </c>
      <c r="V1097" s="5" t="n">
        <v>1</v>
      </c>
    </row>
    <row r="1098" customFormat="false" ht="15" hidden="false" customHeight="false" outlineLevel="0" collapsed="false">
      <c r="A1098" s="8" t="s">
        <v>87</v>
      </c>
      <c r="B1098" s="8" t="s">
        <v>23</v>
      </c>
      <c r="C1098" s="8" t="s">
        <v>1412</v>
      </c>
      <c r="D1098" s="8" t="n">
        <v>143097</v>
      </c>
      <c r="E1098" s="8" t="s">
        <v>938</v>
      </c>
      <c r="F1098" s="8" t="s">
        <v>829</v>
      </c>
      <c r="G1098" s="8" t="s">
        <v>970</v>
      </c>
      <c r="H1098" s="8" t="s">
        <v>51</v>
      </c>
      <c r="I1098" s="8" t="s">
        <v>88</v>
      </c>
      <c r="J1098" s="4" t="n">
        <v>1790000</v>
      </c>
      <c r="K1098" s="4" t="n">
        <v>1541000</v>
      </c>
      <c r="L1098" s="5" t="n">
        <v>0.13966</v>
      </c>
      <c r="M1098" s="4" t="n">
        <v>0</v>
      </c>
      <c r="N1098" s="4" t="n">
        <v>0</v>
      </c>
      <c r="O1098" s="4" t="n">
        <v>0</v>
      </c>
      <c r="P1098" s="4" t="n">
        <v>0</v>
      </c>
      <c r="Q1098" s="4" t="n">
        <v>0</v>
      </c>
      <c r="R1098" s="4" t="n">
        <f aca="false">M1098+N1098+O1098+P1098+Q1098</f>
        <v>0</v>
      </c>
      <c r="S1098" s="4" t="n">
        <v>0</v>
      </c>
      <c r="T1098" s="4" t="n">
        <f aca="false">R1098*K1098</f>
        <v>0</v>
      </c>
      <c r="U1098" s="9" t="n">
        <f aca="false">IFERROR(M1098/S1098,0)</f>
        <v>0</v>
      </c>
      <c r="V1098" s="5" t="n">
        <v>1</v>
      </c>
    </row>
    <row r="1099" customFormat="false" ht="15" hidden="false" customHeight="false" outlineLevel="0" collapsed="false">
      <c r="A1099" s="8" t="s">
        <v>87</v>
      </c>
      <c r="B1099" s="8" t="s">
        <v>23</v>
      </c>
      <c r="C1099" s="8" t="s">
        <v>1412</v>
      </c>
      <c r="D1099" s="8" t="n">
        <v>143099</v>
      </c>
      <c r="E1099" s="8" t="s">
        <v>939</v>
      </c>
      <c r="F1099" s="8" t="s">
        <v>829</v>
      </c>
      <c r="G1099" s="8" t="s">
        <v>970</v>
      </c>
      <c r="H1099" s="8" t="s">
        <v>51</v>
      </c>
      <c r="I1099" s="8" t="s">
        <v>88</v>
      </c>
      <c r="J1099" s="4" t="n">
        <v>1790000</v>
      </c>
      <c r="K1099" s="4" t="n">
        <v>1541000</v>
      </c>
      <c r="L1099" s="5" t="n">
        <v>0.13966</v>
      </c>
      <c r="M1099" s="4" t="n">
        <v>0</v>
      </c>
      <c r="N1099" s="4" t="n">
        <v>0</v>
      </c>
      <c r="O1099" s="4" t="n">
        <v>0</v>
      </c>
      <c r="P1099" s="4" t="n">
        <v>0</v>
      </c>
      <c r="Q1099" s="4" t="n">
        <v>0</v>
      </c>
      <c r="R1099" s="4" t="n">
        <f aca="false">M1099+N1099+O1099+P1099+Q1099</f>
        <v>0</v>
      </c>
      <c r="S1099" s="4" t="n">
        <v>0</v>
      </c>
      <c r="T1099" s="4" t="n">
        <f aca="false">R1099*K1099</f>
        <v>0</v>
      </c>
      <c r="U1099" s="9" t="n">
        <f aca="false">IFERROR(M1099/S1099,0)</f>
        <v>0</v>
      </c>
      <c r="V1099" s="5" t="n">
        <v>1</v>
      </c>
    </row>
    <row r="1100" customFormat="false" ht="15" hidden="false" customHeight="false" outlineLevel="0" collapsed="false">
      <c r="A1100" s="8" t="s">
        <v>87</v>
      </c>
      <c r="B1100" s="8" t="s">
        <v>23</v>
      </c>
      <c r="C1100" s="8" t="s">
        <v>1412</v>
      </c>
      <c r="D1100" s="8" t="n">
        <v>143100</v>
      </c>
      <c r="E1100" s="8" t="s">
        <v>940</v>
      </c>
      <c r="F1100" s="8" t="s">
        <v>829</v>
      </c>
      <c r="G1100" s="8" t="s">
        <v>970</v>
      </c>
      <c r="H1100" s="8" t="s">
        <v>51</v>
      </c>
      <c r="I1100" s="8" t="s">
        <v>88</v>
      </c>
      <c r="J1100" s="4" t="n">
        <v>1790000</v>
      </c>
      <c r="K1100" s="4" t="n">
        <v>1541000</v>
      </c>
      <c r="L1100" s="5" t="n">
        <v>0.13966</v>
      </c>
      <c r="M1100" s="4" t="n">
        <v>0</v>
      </c>
      <c r="N1100" s="4" t="n">
        <v>0</v>
      </c>
      <c r="O1100" s="4" t="n">
        <v>0</v>
      </c>
      <c r="P1100" s="4" t="n">
        <v>0</v>
      </c>
      <c r="Q1100" s="4" t="n">
        <v>0</v>
      </c>
      <c r="R1100" s="4" t="n">
        <f aca="false">M1100+N1100+O1100+P1100+Q1100</f>
        <v>0</v>
      </c>
      <c r="S1100" s="4" t="n">
        <v>0</v>
      </c>
      <c r="T1100" s="4" t="n">
        <f aca="false">R1100*K1100</f>
        <v>0</v>
      </c>
      <c r="U1100" s="9" t="n">
        <f aca="false">IFERROR(M1100/S1100,0)</f>
        <v>0</v>
      </c>
      <c r="V1100" s="5" t="n">
        <v>1</v>
      </c>
    </row>
    <row r="1101" customFormat="false" ht="15" hidden="false" customHeight="false" outlineLevel="0" collapsed="false">
      <c r="A1101" s="8" t="s">
        <v>87</v>
      </c>
      <c r="B1101" s="8" t="s">
        <v>23</v>
      </c>
      <c r="C1101" s="8" t="s">
        <v>1412</v>
      </c>
      <c r="D1101" s="8" t="n">
        <v>143102</v>
      </c>
      <c r="E1101" s="8" t="s">
        <v>941</v>
      </c>
      <c r="F1101" s="8" t="s">
        <v>829</v>
      </c>
      <c r="G1101" s="8" t="s">
        <v>970</v>
      </c>
      <c r="H1101" s="8" t="s">
        <v>51</v>
      </c>
      <c r="I1101" s="8" t="s">
        <v>88</v>
      </c>
      <c r="J1101" s="4" t="n">
        <v>1790000</v>
      </c>
      <c r="K1101" s="4" t="n">
        <v>1541000</v>
      </c>
      <c r="L1101" s="5" t="n">
        <v>0.13966</v>
      </c>
      <c r="M1101" s="4" t="n">
        <v>0</v>
      </c>
      <c r="N1101" s="4" t="n">
        <v>0</v>
      </c>
      <c r="O1101" s="4" t="n">
        <v>0</v>
      </c>
      <c r="P1101" s="4" t="n">
        <v>0</v>
      </c>
      <c r="Q1101" s="4" t="n">
        <v>0</v>
      </c>
      <c r="R1101" s="4" t="n">
        <f aca="false">M1101+N1101+O1101+P1101+Q1101</f>
        <v>0</v>
      </c>
      <c r="S1101" s="4" t="n">
        <v>0</v>
      </c>
      <c r="T1101" s="4" t="n">
        <f aca="false">R1101*K1101</f>
        <v>0</v>
      </c>
      <c r="U1101" s="9" t="n">
        <f aca="false">IFERROR(M1101/S1101,0)</f>
        <v>0</v>
      </c>
      <c r="V1101" s="5" t="n">
        <v>1</v>
      </c>
    </row>
    <row r="1102" customFormat="false" ht="15" hidden="false" customHeight="false" outlineLevel="0" collapsed="false">
      <c r="A1102" s="8" t="s">
        <v>87</v>
      </c>
      <c r="B1102" s="8" t="s">
        <v>23</v>
      </c>
      <c r="C1102" s="8" t="s">
        <v>1412</v>
      </c>
      <c r="D1102" s="8" t="n">
        <v>143104</v>
      </c>
      <c r="E1102" s="8" t="s">
        <v>942</v>
      </c>
      <c r="F1102" s="8" t="s">
        <v>829</v>
      </c>
      <c r="G1102" s="8" t="s">
        <v>970</v>
      </c>
      <c r="H1102" s="8" t="s">
        <v>51</v>
      </c>
      <c r="I1102" s="8" t="s">
        <v>88</v>
      </c>
      <c r="J1102" s="4" t="n">
        <v>1790000</v>
      </c>
      <c r="K1102" s="4" t="n">
        <v>1541000</v>
      </c>
      <c r="L1102" s="5" t="n">
        <v>0.13966</v>
      </c>
      <c r="M1102" s="4" t="n">
        <v>0</v>
      </c>
      <c r="N1102" s="4" t="n">
        <v>0</v>
      </c>
      <c r="O1102" s="4" t="n">
        <v>0</v>
      </c>
      <c r="P1102" s="4" t="n">
        <v>0</v>
      </c>
      <c r="Q1102" s="4" t="n">
        <v>0</v>
      </c>
      <c r="R1102" s="4" t="n">
        <f aca="false">M1102+N1102+O1102+P1102+Q1102</f>
        <v>0</v>
      </c>
      <c r="S1102" s="4" t="n">
        <v>0</v>
      </c>
      <c r="T1102" s="4" t="n">
        <f aca="false">R1102*K1102</f>
        <v>0</v>
      </c>
      <c r="U1102" s="9" t="n">
        <f aca="false">IFERROR(M1102/S1102,0)</f>
        <v>0</v>
      </c>
      <c r="V1102" s="5" t="n">
        <v>1</v>
      </c>
    </row>
    <row r="1103" customFormat="false" ht="15" hidden="false" customHeight="false" outlineLevel="0" collapsed="false">
      <c r="A1103" s="8" t="s">
        <v>87</v>
      </c>
      <c r="B1103" s="8" t="s">
        <v>23</v>
      </c>
      <c r="C1103" s="8" t="s">
        <v>1412</v>
      </c>
      <c r="D1103" s="8" t="n">
        <v>143106</v>
      </c>
      <c r="E1103" s="8" t="s">
        <v>943</v>
      </c>
      <c r="F1103" s="8" t="s">
        <v>829</v>
      </c>
      <c r="G1103" s="8" t="s">
        <v>970</v>
      </c>
      <c r="H1103" s="8" t="s">
        <v>51</v>
      </c>
      <c r="I1103" s="8" t="s">
        <v>88</v>
      </c>
      <c r="J1103" s="4" t="n">
        <v>1790000</v>
      </c>
      <c r="K1103" s="4" t="n">
        <v>1541000</v>
      </c>
      <c r="L1103" s="5" t="n">
        <v>0.13966</v>
      </c>
      <c r="M1103" s="4" t="n">
        <v>0</v>
      </c>
      <c r="N1103" s="4" t="n">
        <v>0</v>
      </c>
      <c r="O1103" s="4" t="n">
        <v>0</v>
      </c>
      <c r="P1103" s="4" t="n">
        <v>0</v>
      </c>
      <c r="Q1103" s="4" t="n">
        <v>0</v>
      </c>
      <c r="R1103" s="4" t="n">
        <f aca="false">M1103+N1103+O1103+P1103+Q1103</f>
        <v>0</v>
      </c>
      <c r="S1103" s="4" t="n">
        <v>0</v>
      </c>
      <c r="T1103" s="4" t="n">
        <f aca="false">R1103*K1103</f>
        <v>0</v>
      </c>
      <c r="U1103" s="9" t="n">
        <f aca="false">IFERROR(M1103/S1103,0)</f>
        <v>0</v>
      </c>
      <c r="V1103" s="5" t="n">
        <v>1</v>
      </c>
    </row>
    <row r="1104" customFormat="false" ht="15" hidden="false" customHeight="false" outlineLevel="0" collapsed="false">
      <c r="A1104" s="8" t="s">
        <v>87</v>
      </c>
      <c r="B1104" s="8" t="s">
        <v>23</v>
      </c>
      <c r="C1104" s="8" t="s">
        <v>1412</v>
      </c>
      <c r="D1104" s="8" t="n">
        <v>143107</v>
      </c>
      <c r="E1104" s="8" t="s">
        <v>944</v>
      </c>
      <c r="F1104" s="8" t="s">
        <v>829</v>
      </c>
      <c r="G1104" s="8" t="s">
        <v>970</v>
      </c>
      <c r="H1104" s="8" t="s">
        <v>51</v>
      </c>
      <c r="I1104" s="8" t="s">
        <v>88</v>
      </c>
      <c r="J1104" s="4" t="n">
        <v>1790000</v>
      </c>
      <c r="K1104" s="4" t="n">
        <v>1541000</v>
      </c>
      <c r="L1104" s="5" t="n">
        <v>0.13966</v>
      </c>
      <c r="M1104" s="4" t="n">
        <v>0</v>
      </c>
      <c r="N1104" s="4" t="n">
        <v>0</v>
      </c>
      <c r="O1104" s="4" t="n">
        <v>0</v>
      </c>
      <c r="P1104" s="4" t="n">
        <v>0</v>
      </c>
      <c r="Q1104" s="4" t="n">
        <v>0</v>
      </c>
      <c r="R1104" s="4" t="n">
        <f aca="false">M1104+N1104+O1104+P1104+Q1104</f>
        <v>0</v>
      </c>
      <c r="S1104" s="4" t="n">
        <v>0</v>
      </c>
      <c r="T1104" s="4" t="n">
        <f aca="false">R1104*K1104</f>
        <v>0</v>
      </c>
      <c r="U1104" s="9" t="n">
        <f aca="false">IFERROR(M1104/S1104,0)</f>
        <v>0</v>
      </c>
      <c r="V1104" s="5" t="n">
        <v>1</v>
      </c>
    </row>
    <row r="1105" customFormat="false" ht="15" hidden="false" customHeight="false" outlineLevel="0" collapsed="false">
      <c r="A1105" s="8" t="s">
        <v>87</v>
      </c>
      <c r="B1105" s="8" t="s">
        <v>23</v>
      </c>
      <c r="C1105" s="8" t="s">
        <v>1412</v>
      </c>
      <c r="D1105" s="8" t="n">
        <v>143110</v>
      </c>
      <c r="E1105" s="8" t="s">
        <v>945</v>
      </c>
      <c r="F1105" s="8" t="s">
        <v>829</v>
      </c>
      <c r="G1105" s="8" t="s">
        <v>970</v>
      </c>
      <c r="H1105" s="8" t="s">
        <v>51</v>
      </c>
      <c r="I1105" s="8" t="s">
        <v>88</v>
      </c>
      <c r="J1105" s="4" t="n">
        <v>1790000</v>
      </c>
      <c r="K1105" s="4" t="n">
        <v>1541000</v>
      </c>
      <c r="L1105" s="5" t="n">
        <v>0.13966</v>
      </c>
      <c r="M1105" s="4" t="n">
        <v>0</v>
      </c>
      <c r="N1105" s="4" t="n">
        <v>0</v>
      </c>
      <c r="O1105" s="4" t="n">
        <v>0</v>
      </c>
      <c r="P1105" s="4" t="n">
        <v>0</v>
      </c>
      <c r="Q1105" s="4" t="n">
        <v>0</v>
      </c>
      <c r="R1105" s="4" t="n">
        <f aca="false">M1105+N1105+O1105+P1105+Q1105</f>
        <v>0</v>
      </c>
      <c r="S1105" s="4" t="n">
        <v>0</v>
      </c>
      <c r="T1105" s="4" t="n">
        <f aca="false">R1105*K1105</f>
        <v>0</v>
      </c>
      <c r="U1105" s="9" t="n">
        <f aca="false">IFERROR(M1105/S1105,0)</f>
        <v>0</v>
      </c>
      <c r="V1105" s="5" t="n">
        <v>1</v>
      </c>
    </row>
    <row r="1106" customFormat="false" ht="15" hidden="false" customHeight="false" outlineLevel="0" collapsed="false">
      <c r="A1106" s="8" t="s">
        <v>87</v>
      </c>
      <c r="B1106" s="8" t="s">
        <v>23</v>
      </c>
      <c r="C1106" s="8" t="s">
        <v>1412</v>
      </c>
      <c r="D1106" s="8" t="n">
        <v>143126</v>
      </c>
      <c r="E1106" s="8" t="s">
        <v>946</v>
      </c>
      <c r="F1106" s="8" t="s">
        <v>829</v>
      </c>
      <c r="G1106" s="8" t="s">
        <v>970</v>
      </c>
      <c r="H1106" s="8" t="s">
        <v>51</v>
      </c>
      <c r="I1106" s="8" t="s">
        <v>88</v>
      </c>
      <c r="J1106" s="4" t="n">
        <v>1295000</v>
      </c>
      <c r="K1106" s="4" t="n">
        <v>1046000</v>
      </c>
      <c r="L1106" s="5" t="n">
        <v>0.19305</v>
      </c>
      <c r="M1106" s="4" t="n">
        <v>0</v>
      </c>
      <c r="N1106" s="4" t="n">
        <v>0</v>
      </c>
      <c r="O1106" s="4" t="n">
        <v>0</v>
      </c>
      <c r="P1106" s="4" t="n">
        <v>0</v>
      </c>
      <c r="Q1106" s="4" t="n">
        <v>0</v>
      </c>
      <c r="R1106" s="4" t="n">
        <f aca="false">M1106+N1106+O1106+P1106+Q1106</f>
        <v>0</v>
      </c>
      <c r="S1106" s="4" t="n">
        <v>0</v>
      </c>
      <c r="T1106" s="4" t="n">
        <f aca="false">R1106*K1106</f>
        <v>0</v>
      </c>
      <c r="U1106" s="9" t="n">
        <f aca="false">IFERROR(M1106/S1106,0)</f>
        <v>0</v>
      </c>
      <c r="V1106" s="5" t="n">
        <v>1</v>
      </c>
    </row>
    <row r="1107" customFormat="false" ht="15" hidden="false" customHeight="false" outlineLevel="0" collapsed="false">
      <c r="A1107" s="8" t="s">
        <v>87</v>
      </c>
      <c r="B1107" s="8" t="s">
        <v>23</v>
      </c>
      <c r="C1107" s="8" t="s">
        <v>1412</v>
      </c>
      <c r="D1107" s="8" t="n">
        <v>143142</v>
      </c>
      <c r="E1107" s="8" t="s">
        <v>947</v>
      </c>
      <c r="F1107" s="8" t="s">
        <v>829</v>
      </c>
      <c r="G1107" s="8" t="s">
        <v>970</v>
      </c>
      <c r="H1107" s="8" t="s">
        <v>51</v>
      </c>
      <c r="I1107" s="8" t="s">
        <v>88</v>
      </c>
      <c r="J1107" s="4" t="n">
        <v>1295000</v>
      </c>
      <c r="K1107" s="4" t="n">
        <v>1046000</v>
      </c>
      <c r="L1107" s="5" t="n">
        <v>0.19305</v>
      </c>
      <c r="M1107" s="4" t="n">
        <v>0</v>
      </c>
      <c r="N1107" s="4" t="n">
        <v>0</v>
      </c>
      <c r="O1107" s="4" t="n">
        <v>0</v>
      </c>
      <c r="P1107" s="4" t="n">
        <v>0</v>
      </c>
      <c r="Q1107" s="4" t="n">
        <v>0</v>
      </c>
      <c r="R1107" s="4" t="n">
        <f aca="false">M1107+N1107+O1107+P1107+Q1107</f>
        <v>0</v>
      </c>
      <c r="S1107" s="4" t="n">
        <v>0</v>
      </c>
      <c r="T1107" s="4" t="n">
        <f aca="false">R1107*K1107</f>
        <v>0</v>
      </c>
      <c r="U1107" s="9" t="n">
        <f aca="false">IFERROR(M1107/S1107,0)</f>
        <v>0</v>
      </c>
      <c r="V1107" s="5" t="n">
        <v>1</v>
      </c>
    </row>
    <row r="1108" customFormat="false" ht="15" hidden="false" customHeight="false" outlineLevel="0" collapsed="false">
      <c r="A1108" s="8" t="s">
        <v>87</v>
      </c>
      <c r="B1108" s="8" t="s">
        <v>23</v>
      </c>
      <c r="C1108" s="8" t="s">
        <v>1412</v>
      </c>
      <c r="D1108" s="8" t="n">
        <v>143148</v>
      </c>
      <c r="E1108" s="8" t="s">
        <v>948</v>
      </c>
      <c r="F1108" s="8" t="s">
        <v>829</v>
      </c>
      <c r="G1108" s="8" t="s">
        <v>970</v>
      </c>
      <c r="H1108" s="8" t="s">
        <v>51</v>
      </c>
      <c r="I1108" s="8" t="s">
        <v>88</v>
      </c>
      <c r="J1108" s="4" t="n">
        <v>1295000</v>
      </c>
      <c r="K1108" s="4" t="n">
        <v>1046000</v>
      </c>
      <c r="L1108" s="5" t="n">
        <v>0.19305</v>
      </c>
      <c r="M1108" s="4" t="n">
        <v>0</v>
      </c>
      <c r="N1108" s="4" t="n">
        <v>0</v>
      </c>
      <c r="O1108" s="4" t="n">
        <v>0</v>
      </c>
      <c r="P1108" s="4" t="n">
        <v>0</v>
      </c>
      <c r="Q1108" s="4" t="n">
        <v>0</v>
      </c>
      <c r="R1108" s="4" t="n">
        <f aca="false">M1108+N1108+O1108+P1108+Q1108</f>
        <v>0</v>
      </c>
      <c r="S1108" s="4" t="n">
        <v>0</v>
      </c>
      <c r="T1108" s="4" t="n">
        <f aca="false">R1108*K1108</f>
        <v>0</v>
      </c>
      <c r="U1108" s="9" t="n">
        <f aca="false">IFERROR(M1108/S1108,0)</f>
        <v>0</v>
      </c>
      <c r="V1108" s="5" t="n">
        <v>1</v>
      </c>
    </row>
    <row r="1109" customFormat="false" ht="15" hidden="false" customHeight="false" outlineLevel="0" collapsed="false">
      <c r="A1109" s="8" t="s">
        <v>87</v>
      </c>
      <c r="B1109" s="8" t="s">
        <v>23</v>
      </c>
      <c r="C1109" s="8" t="s">
        <v>1412</v>
      </c>
      <c r="D1109" s="8" t="n">
        <v>143235</v>
      </c>
      <c r="E1109" s="8" t="s">
        <v>949</v>
      </c>
      <c r="F1109" s="8" t="s">
        <v>829</v>
      </c>
      <c r="G1109" s="8" t="s">
        <v>970</v>
      </c>
      <c r="H1109" s="8" t="s">
        <v>51</v>
      </c>
      <c r="I1109" s="8" t="s">
        <v>88</v>
      </c>
      <c r="J1109" s="4" t="n">
        <v>1295000</v>
      </c>
      <c r="K1109" s="4" t="n">
        <v>1046000</v>
      </c>
      <c r="L1109" s="5" t="n">
        <v>0.19305</v>
      </c>
      <c r="M1109" s="4" t="n">
        <v>0</v>
      </c>
      <c r="N1109" s="4" t="n">
        <v>0</v>
      </c>
      <c r="O1109" s="4" t="n">
        <v>0</v>
      </c>
      <c r="P1109" s="4" t="n">
        <v>0</v>
      </c>
      <c r="Q1109" s="4" t="n">
        <v>0</v>
      </c>
      <c r="R1109" s="4" t="n">
        <f aca="false">M1109+N1109+O1109+P1109+Q1109</f>
        <v>0</v>
      </c>
      <c r="S1109" s="4" t="n">
        <v>0</v>
      </c>
      <c r="T1109" s="4" t="n">
        <f aca="false">R1109*K1109</f>
        <v>0</v>
      </c>
      <c r="U1109" s="9" t="n">
        <f aca="false">IFERROR(M1109/S1109,0)</f>
        <v>0</v>
      </c>
      <c r="V1109" s="5" t="n">
        <v>1</v>
      </c>
    </row>
    <row r="1110" customFormat="false" ht="15" hidden="false" customHeight="false" outlineLevel="0" collapsed="false">
      <c r="A1110" s="8" t="s">
        <v>87</v>
      </c>
      <c r="B1110" s="8" t="s">
        <v>23</v>
      </c>
      <c r="C1110" s="8" t="s">
        <v>1412</v>
      </c>
      <c r="D1110" s="8" t="n">
        <v>143243</v>
      </c>
      <c r="E1110" s="8" t="s">
        <v>950</v>
      </c>
      <c r="F1110" s="8" t="s">
        <v>829</v>
      </c>
      <c r="G1110" s="8" t="s">
        <v>970</v>
      </c>
      <c r="H1110" s="8" t="s">
        <v>51</v>
      </c>
      <c r="I1110" s="8" t="s">
        <v>88</v>
      </c>
      <c r="J1110" s="4" t="n">
        <v>1295000</v>
      </c>
      <c r="K1110" s="4" t="n">
        <v>1046000</v>
      </c>
      <c r="L1110" s="5" t="n">
        <v>0.19305</v>
      </c>
      <c r="M1110" s="4" t="n">
        <v>0</v>
      </c>
      <c r="N1110" s="4" t="n">
        <v>0</v>
      </c>
      <c r="O1110" s="4" t="n">
        <v>0</v>
      </c>
      <c r="P1110" s="4" t="n">
        <v>0</v>
      </c>
      <c r="Q1110" s="4" t="n">
        <v>0</v>
      </c>
      <c r="R1110" s="4" t="n">
        <f aca="false">M1110+N1110+O1110+P1110+Q1110</f>
        <v>0</v>
      </c>
      <c r="S1110" s="4" t="n">
        <v>0</v>
      </c>
      <c r="T1110" s="4" t="n">
        <f aca="false">R1110*K1110</f>
        <v>0</v>
      </c>
      <c r="U1110" s="9" t="n">
        <f aca="false">IFERROR(M1110/S1110,0)</f>
        <v>0</v>
      </c>
      <c r="V1110" s="5" t="n">
        <v>1</v>
      </c>
    </row>
    <row r="1111" customFormat="false" ht="15" hidden="false" customHeight="false" outlineLevel="0" collapsed="false">
      <c r="A1111" s="8" t="s">
        <v>87</v>
      </c>
      <c r="B1111" s="8" t="s">
        <v>23</v>
      </c>
      <c r="C1111" s="8" t="s">
        <v>1412</v>
      </c>
      <c r="D1111" s="8" t="n">
        <v>143273</v>
      </c>
      <c r="E1111" s="8" t="s">
        <v>951</v>
      </c>
      <c r="F1111" s="8" t="s">
        <v>829</v>
      </c>
      <c r="G1111" s="8" t="s">
        <v>970</v>
      </c>
      <c r="H1111" s="8" t="s">
        <v>51</v>
      </c>
      <c r="I1111" s="8" t="s">
        <v>88</v>
      </c>
      <c r="J1111" s="4" t="n">
        <v>1090000</v>
      </c>
      <c r="K1111" s="4" t="n">
        <v>840000</v>
      </c>
      <c r="L1111" s="5" t="n">
        <v>0.22936</v>
      </c>
      <c r="M1111" s="4" t="n">
        <v>0</v>
      </c>
      <c r="N1111" s="4" t="n">
        <v>0</v>
      </c>
      <c r="O1111" s="4" t="n">
        <v>0</v>
      </c>
      <c r="P1111" s="4" t="n">
        <v>0</v>
      </c>
      <c r="Q1111" s="4" t="n">
        <v>0</v>
      </c>
      <c r="R1111" s="4" t="n">
        <f aca="false">M1111+N1111+O1111+P1111+Q1111</f>
        <v>0</v>
      </c>
      <c r="S1111" s="4" t="n">
        <v>0</v>
      </c>
      <c r="T1111" s="4" t="n">
        <f aca="false">R1111*K1111</f>
        <v>0</v>
      </c>
      <c r="U1111" s="9" t="n">
        <f aca="false">IFERROR(M1111/S1111,0)</f>
        <v>0</v>
      </c>
      <c r="V1111" s="5" t="n">
        <v>1</v>
      </c>
    </row>
    <row r="1112" customFormat="false" ht="15" hidden="false" customHeight="false" outlineLevel="0" collapsed="false">
      <c r="A1112" s="8" t="s">
        <v>87</v>
      </c>
      <c r="B1112" s="8" t="s">
        <v>23</v>
      </c>
      <c r="C1112" s="8" t="s">
        <v>1412</v>
      </c>
      <c r="D1112" s="8" t="n">
        <v>143288</v>
      </c>
      <c r="E1112" s="8" t="s">
        <v>952</v>
      </c>
      <c r="F1112" s="8" t="s">
        <v>829</v>
      </c>
      <c r="G1112" s="8" t="s">
        <v>970</v>
      </c>
      <c r="H1112" s="8" t="s">
        <v>51</v>
      </c>
      <c r="I1112" s="8" t="s">
        <v>88</v>
      </c>
      <c r="J1112" s="4" t="n">
        <v>1090000</v>
      </c>
      <c r="K1112" s="4" t="n">
        <v>840000</v>
      </c>
      <c r="L1112" s="5" t="n">
        <v>0.22936</v>
      </c>
      <c r="M1112" s="4" t="n">
        <v>0</v>
      </c>
      <c r="N1112" s="4" t="n">
        <v>0</v>
      </c>
      <c r="O1112" s="4" t="n">
        <v>0</v>
      </c>
      <c r="P1112" s="4" t="n">
        <v>0</v>
      </c>
      <c r="Q1112" s="4" t="n">
        <v>0</v>
      </c>
      <c r="R1112" s="4" t="n">
        <f aca="false">M1112+N1112+O1112+P1112+Q1112</f>
        <v>0</v>
      </c>
      <c r="S1112" s="4" t="n">
        <v>0</v>
      </c>
      <c r="T1112" s="4" t="n">
        <f aca="false">R1112*K1112</f>
        <v>0</v>
      </c>
      <c r="U1112" s="9" t="n">
        <f aca="false">IFERROR(M1112/S1112,0)</f>
        <v>0</v>
      </c>
      <c r="V1112" s="5" t="n">
        <v>1</v>
      </c>
    </row>
    <row r="1113" customFormat="false" ht="15" hidden="false" customHeight="false" outlineLevel="0" collapsed="false">
      <c r="A1113" s="8" t="s">
        <v>87</v>
      </c>
      <c r="B1113" s="8" t="s">
        <v>23</v>
      </c>
      <c r="C1113" s="8" t="s">
        <v>1412</v>
      </c>
      <c r="D1113" s="8" t="n">
        <v>143296</v>
      </c>
      <c r="E1113" s="8" t="s">
        <v>953</v>
      </c>
      <c r="F1113" s="8" t="s">
        <v>829</v>
      </c>
      <c r="G1113" s="8" t="s">
        <v>970</v>
      </c>
      <c r="H1113" s="8" t="s">
        <v>51</v>
      </c>
      <c r="I1113" s="8" t="s">
        <v>88</v>
      </c>
      <c r="J1113" s="4" t="n">
        <v>1295000</v>
      </c>
      <c r="K1113" s="4" t="n">
        <v>1046000</v>
      </c>
      <c r="L1113" s="5" t="n">
        <v>0.19305</v>
      </c>
      <c r="M1113" s="4" t="n">
        <v>0</v>
      </c>
      <c r="N1113" s="4" t="n">
        <v>0</v>
      </c>
      <c r="O1113" s="4" t="n">
        <v>0</v>
      </c>
      <c r="P1113" s="4" t="n">
        <v>0</v>
      </c>
      <c r="Q1113" s="4" t="n">
        <v>0</v>
      </c>
      <c r="R1113" s="4" t="n">
        <f aca="false">M1113+N1113+O1113+P1113+Q1113</f>
        <v>0</v>
      </c>
      <c r="S1113" s="4" t="n">
        <v>0</v>
      </c>
      <c r="T1113" s="4" t="n">
        <f aca="false">R1113*K1113</f>
        <v>0</v>
      </c>
      <c r="U1113" s="9" t="n">
        <f aca="false">IFERROR(M1113/S1113,0)</f>
        <v>0</v>
      </c>
      <c r="V1113" s="5" t="n">
        <v>1</v>
      </c>
    </row>
    <row r="1114" customFormat="false" ht="15" hidden="false" customHeight="false" outlineLevel="0" collapsed="false">
      <c r="A1114" s="8" t="s">
        <v>150</v>
      </c>
      <c r="B1114" s="8" t="s">
        <v>20</v>
      </c>
      <c r="C1114" s="8" t="s">
        <v>1048</v>
      </c>
      <c r="D1114" s="8" t="n">
        <v>102381</v>
      </c>
      <c r="E1114" s="8" t="s">
        <v>449</v>
      </c>
      <c r="F1114" s="8" t="s">
        <v>809</v>
      </c>
      <c r="G1114" s="8" t="s">
        <v>961</v>
      </c>
      <c r="H1114" s="8" t="s">
        <v>62</v>
      </c>
      <c r="I1114" s="18" t="s">
        <v>151</v>
      </c>
      <c r="J1114" s="4" t="n">
        <v>380000</v>
      </c>
      <c r="K1114" s="4" t="n">
        <v>300000</v>
      </c>
      <c r="L1114" s="5" t="n">
        <v>0.2094</v>
      </c>
      <c r="M1114" s="4" t="n">
        <v>117</v>
      </c>
      <c r="N1114" s="4" t="n">
        <v>19</v>
      </c>
      <c r="O1114" s="4" t="n">
        <v>10</v>
      </c>
      <c r="P1114" s="4" t="n">
        <v>0</v>
      </c>
      <c r="Q1114" s="4" t="n">
        <v>8</v>
      </c>
      <c r="R1114" s="4" t="n">
        <f aca="false">M1114+N1114+O1114+P1114+Q1114</f>
        <v>154</v>
      </c>
      <c r="S1114" s="4" t="n">
        <v>23</v>
      </c>
      <c r="T1114" s="4" t="n">
        <f aca="false">R1114*K1114</f>
        <v>46200000</v>
      </c>
      <c r="U1114" s="9" t="n">
        <f aca="false">IFERROR(M1114/S1114,0)</f>
        <v>5.08695652173913</v>
      </c>
      <c r="V1114" s="5"/>
    </row>
    <row r="1115" customFormat="false" ht="15" hidden="false" customHeight="false" outlineLevel="0" collapsed="false">
      <c r="A1115" s="8" t="s">
        <v>150</v>
      </c>
      <c r="B1115" s="8" t="s">
        <v>20</v>
      </c>
      <c r="C1115" s="8" t="s">
        <v>1048</v>
      </c>
      <c r="D1115" s="8" t="n">
        <v>101639</v>
      </c>
      <c r="E1115" s="8" t="s">
        <v>444</v>
      </c>
      <c r="F1115" s="8" t="s">
        <v>809</v>
      </c>
      <c r="G1115" s="8" t="s">
        <v>961</v>
      </c>
      <c r="H1115" s="8" t="s">
        <v>62</v>
      </c>
      <c r="I1115" s="18" t="s">
        <v>151</v>
      </c>
      <c r="J1115" s="4" t="n">
        <v>381000</v>
      </c>
      <c r="K1115" s="4" t="n">
        <v>301000</v>
      </c>
      <c r="L1115" s="5" t="n">
        <v>0.2094</v>
      </c>
      <c r="M1115" s="4" t="n">
        <v>98</v>
      </c>
      <c r="N1115" s="4" t="n">
        <v>24</v>
      </c>
      <c r="O1115" s="4" t="n">
        <v>14</v>
      </c>
      <c r="P1115" s="4" t="n">
        <v>0</v>
      </c>
      <c r="Q1115" s="4" t="n">
        <v>3</v>
      </c>
      <c r="R1115" s="4" t="n">
        <f aca="false">M1115+N1115+O1115+P1115+Q1115</f>
        <v>139</v>
      </c>
      <c r="S1115" s="4" t="n">
        <v>23</v>
      </c>
      <c r="T1115" s="4" t="n">
        <f aca="false">R1115*K1115</f>
        <v>41839000</v>
      </c>
      <c r="U1115" s="9" t="n">
        <f aca="false">IFERROR(M1115/S1115,0)</f>
        <v>4.26086956521739</v>
      </c>
      <c r="V1115" s="5"/>
    </row>
    <row r="1116" customFormat="false" ht="15" hidden="false" customHeight="false" outlineLevel="0" collapsed="false">
      <c r="A1116" s="8" t="s">
        <v>150</v>
      </c>
      <c r="B1116" s="8" t="s">
        <v>20</v>
      </c>
      <c r="C1116" s="8" t="s">
        <v>1048</v>
      </c>
      <c r="D1116" s="8" t="n">
        <v>102301</v>
      </c>
      <c r="E1116" s="8" t="s">
        <v>422</v>
      </c>
      <c r="F1116" s="8" t="s">
        <v>809</v>
      </c>
      <c r="G1116" s="8" t="s">
        <v>961</v>
      </c>
      <c r="H1116" s="8" t="s">
        <v>62</v>
      </c>
      <c r="I1116" s="18" t="s">
        <v>151</v>
      </c>
      <c r="J1116" s="4" t="n">
        <v>349000</v>
      </c>
      <c r="K1116" s="4" t="n">
        <v>276000</v>
      </c>
      <c r="L1116" s="5" t="n">
        <v>0.2094</v>
      </c>
      <c r="M1116" s="4" t="n">
        <v>117</v>
      </c>
      <c r="N1116" s="4" t="n">
        <v>4</v>
      </c>
      <c r="O1116" s="4" t="n">
        <v>0</v>
      </c>
      <c r="P1116" s="4" t="n">
        <v>0</v>
      </c>
      <c r="Q1116" s="4" t="n">
        <v>0</v>
      </c>
      <c r="R1116" s="4" t="n">
        <f aca="false">M1116+N1116+O1116+P1116+Q1116</f>
        <v>121</v>
      </c>
      <c r="S1116" s="4" t="n">
        <v>22</v>
      </c>
      <c r="T1116" s="4" t="n">
        <f aca="false">R1116*K1116</f>
        <v>33396000</v>
      </c>
      <c r="U1116" s="9" t="n">
        <f aca="false">IFERROR(M1116/S1116,0)</f>
        <v>5.31818181818182</v>
      </c>
      <c r="V1116" s="5"/>
    </row>
    <row r="1117" customFormat="false" ht="15" hidden="false" customHeight="false" outlineLevel="0" collapsed="false">
      <c r="A1117" s="8" t="s">
        <v>239</v>
      </c>
      <c r="B1117" s="8" t="s">
        <v>26</v>
      </c>
      <c r="C1117" s="8" t="s">
        <v>1394</v>
      </c>
      <c r="D1117" s="8" t="n">
        <v>152234</v>
      </c>
      <c r="E1117" s="8" t="s">
        <v>724</v>
      </c>
      <c r="F1117" s="8" t="s">
        <v>809</v>
      </c>
      <c r="G1117" s="8" t="s">
        <v>961</v>
      </c>
      <c r="H1117" s="8" t="s">
        <v>51</v>
      </c>
      <c r="I1117" s="8" t="s">
        <v>240</v>
      </c>
      <c r="J1117" s="4" t="n">
        <v>45000</v>
      </c>
      <c r="K1117" s="4" t="n">
        <v>26000</v>
      </c>
      <c r="L1117" s="5" t="n">
        <v>0.44444</v>
      </c>
      <c r="M1117" s="4" t="n">
        <v>412</v>
      </c>
      <c r="N1117" s="4" t="n">
        <v>0</v>
      </c>
      <c r="O1117" s="4" t="n">
        <v>0</v>
      </c>
      <c r="P1117" s="4" t="n">
        <v>0</v>
      </c>
      <c r="Q1117" s="4" t="n">
        <v>0</v>
      </c>
      <c r="R1117" s="4" t="n">
        <f aca="false">M1117+N1117+O1117+P1117+Q1117</f>
        <v>412</v>
      </c>
      <c r="S1117" s="4" t="n">
        <v>23</v>
      </c>
      <c r="T1117" s="4" t="n">
        <f aca="false">R1117*K1117</f>
        <v>10712000</v>
      </c>
      <c r="U1117" s="9" t="n">
        <f aca="false">IFERROR(M1117/S1117,0)</f>
        <v>17.9130434782609</v>
      </c>
      <c r="V1117" s="5" t="n">
        <v>0.1</v>
      </c>
    </row>
    <row r="1118" customFormat="false" ht="15" hidden="false" customHeight="false" outlineLevel="0" collapsed="false">
      <c r="A1118" s="8" t="s">
        <v>141</v>
      </c>
      <c r="B1118" s="8" t="s">
        <v>20</v>
      </c>
      <c r="C1118" s="8" t="s">
        <v>1048</v>
      </c>
      <c r="D1118" s="8" t="n">
        <v>102386</v>
      </c>
      <c r="E1118" s="8" t="s">
        <v>463</v>
      </c>
      <c r="F1118" s="8" t="s">
        <v>829</v>
      </c>
      <c r="G1118" s="8" t="s">
        <v>961</v>
      </c>
      <c r="H1118" s="8" t="s">
        <v>62</v>
      </c>
      <c r="I1118" s="18" t="s">
        <v>142</v>
      </c>
      <c r="J1118" s="4" t="n">
        <v>290000</v>
      </c>
      <c r="K1118" s="4" t="n">
        <v>244000</v>
      </c>
      <c r="L1118" s="5" t="n">
        <v>0.15978</v>
      </c>
      <c r="M1118" s="4" t="n">
        <v>137</v>
      </c>
      <c r="N1118" s="4" t="n">
        <v>3</v>
      </c>
      <c r="O1118" s="4" t="n">
        <v>13</v>
      </c>
      <c r="P1118" s="4" t="n">
        <v>0</v>
      </c>
      <c r="Q1118" s="4" t="n">
        <v>0</v>
      </c>
      <c r="R1118" s="4" t="n">
        <f aca="false">M1118+N1118+O1118+P1118+Q1118</f>
        <v>153</v>
      </c>
      <c r="S1118" s="4" t="n">
        <v>23</v>
      </c>
      <c r="T1118" s="4" t="n">
        <f aca="false">R1118*K1118</f>
        <v>37332000</v>
      </c>
      <c r="U1118" s="9" t="n">
        <f aca="false">IFERROR(M1118/S1118,0)</f>
        <v>5.95652173913044</v>
      </c>
      <c r="V1118" s="5"/>
    </row>
    <row r="1119" customFormat="false" ht="15" hidden="false" customHeight="false" outlineLevel="0" collapsed="false">
      <c r="A1119" s="8" t="s">
        <v>141</v>
      </c>
      <c r="B1119" s="8" t="s">
        <v>20</v>
      </c>
      <c r="C1119" s="8" t="s">
        <v>1048</v>
      </c>
      <c r="D1119" s="8" t="n">
        <v>102415</v>
      </c>
      <c r="E1119" s="8" t="s">
        <v>627</v>
      </c>
      <c r="F1119" s="8" t="s">
        <v>829</v>
      </c>
      <c r="G1119" s="8" t="s">
        <v>961</v>
      </c>
      <c r="H1119" s="8" t="s">
        <v>62</v>
      </c>
      <c r="I1119" s="18" t="s">
        <v>142</v>
      </c>
      <c r="J1119" s="4" t="n">
        <v>535000</v>
      </c>
      <c r="K1119" s="4" t="n">
        <v>450000</v>
      </c>
      <c r="L1119" s="5" t="n">
        <v>0.15978</v>
      </c>
      <c r="M1119" s="4" t="n">
        <v>79</v>
      </c>
      <c r="N1119" s="4" t="n">
        <v>0</v>
      </c>
      <c r="O1119" s="4" t="n">
        <v>6</v>
      </c>
      <c r="P1119" s="4" t="n">
        <v>0</v>
      </c>
      <c r="Q1119" s="4" t="n">
        <v>0</v>
      </c>
      <c r="R1119" s="4" t="n">
        <f aca="false">M1119+N1119+O1119+P1119+Q1119</f>
        <v>85</v>
      </c>
      <c r="S1119" s="4" t="n">
        <v>20</v>
      </c>
      <c r="T1119" s="4" t="n">
        <f aca="false">R1119*K1119</f>
        <v>38250000</v>
      </c>
      <c r="U1119" s="9" t="n">
        <f aca="false">IFERROR(M1119/S1119,0)</f>
        <v>3.95</v>
      </c>
      <c r="V1119" s="5"/>
    </row>
    <row r="1120" customFormat="false" ht="15" hidden="false" customHeight="false" outlineLevel="0" collapsed="false">
      <c r="A1120" s="8" t="s">
        <v>141</v>
      </c>
      <c r="B1120" s="8" t="s">
        <v>20</v>
      </c>
      <c r="C1120" s="8" t="s">
        <v>1045</v>
      </c>
      <c r="D1120" s="8" t="n">
        <v>102417</v>
      </c>
      <c r="E1120" s="8" t="s">
        <v>360</v>
      </c>
      <c r="F1120" s="8" t="s">
        <v>829</v>
      </c>
      <c r="G1120" s="8" t="s">
        <v>961</v>
      </c>
      <c r="H1120" s="8" t="s">
        <v>62</v>
      </c>
      <c r="I1120" s="18" t="s">
        <v>142</v>
      </c>
      <c r="J1120" s="4" t="n">
        <v>535000</v>
      </c>
      <c r="K1120" s="4" t="n">
        <v>450000</v>
      </c>
      <c r="L1120" s="5" t="n">
        <v>0.15978</v>
      </c>
      <c r="M1120" s="4" t="n">
        <v>75</v>
      </c>
      <c r="N1120" s="4" t="n">
        <v>3</v>
      </c>
      <c r="O1120" s="4" t="n">
        <v>4</v>
      </c>
      <c r="P1120" s="4" t="n">
        <v>0</v>
      </c>
      <c r="Q1120" s="4" t="n">
        <v>0</v>
      </c>
      <c r="R1120" s="4" t="n">
        <f aca="false">M1120+N1120+O1120+P1120+Q1120</f>
        <v>82</v>
      </c>
      <c r="S1120" s="4" t="n">
        <v>21</v>
      </c>
      <c r="T1120" s="4" t="n">
        <f aca="false">R1120*K1120</f>
        <v>36900000</v>
      </c>
      <c r="U1120" s="9" t="n">
        <f aca="false">IFERROR(M1120/S1120,0)</f>
        <v>3.57142857142857</v>
      </c>
      <c r="V1120" s="5"/>
    </row>
    <row r="1121" customFormat="false" ht="15" hidden="false" customHeight="false" outlineLevel="0" collapsed="false">
      <c r="A1121" s="8" t="s">
        <v>141</v>
      </c>
      <c r="B1121" s="8" t="s">
        <v>20</v>
      </c>
      <c r="C1121" s="8" t="s">
        <v>1048</v>
      </c>
      <c r="D1121" s="8" t="n">
        <v>102416</v>
      </c>
      <c r="E1121" s="8" t="s">
        <v>626</v>
      </c>
      <c r="F1121" s="8" t="s">
        <v>829</v>
      </c>
      <c r="G1121" s="8" t="s">
        <v>961</v>
      </c>
      <c r="H1121" s="8" t="s">
        <v>62</v>
      </c>
      <c r="I1121" s="18" t="s">
        <v>142</v>
      </c>
      <c r="J1121" s="4" t="n">
        <v>455000</v>
      </c>
      <c r="K1121" s="4" t="n">
        <v>382000</v>
      </c>
      <c r="L1121" s="5" t="n">
        <v>0.15978</v>
      </c>
      <c r="M1121" s="4" t="n">
        <v>74</v>
      </c>
      <c r="N1121" s="4" t="n">
        <v>0</v>
      </c>
      <c r="O1121" s="4" t="n">
        <v>4</v>
      </c>
      <c r="P1121" s="4" t="n">
        <v>0</v>
      </c>
      <c r="Q1121" s="4" t="n">
        <v>0</v>
      </c>
      <c r="R1121" s="4" t="n">
        <f aca="false">M1121+N1121+O1121+P1121+Q1121</f>
        <v>78</v>
      </c>
      <c r="S1121" s="4" t="n">
        <v>22</v>
      </c>
      <c r="T1121" s="4" t="n">
        <f aca="false">R1121*K1121</f>
        <v>29796000</v>
      </c>
      <c r="U1121" s="9" t="n">
        <f aca="false">IFERROR(M1121/S1121,0)</f>
        <v>3.36363636363636</v>
      </c>
      <c r="V1121" s="5"/>
    </row>
    <row r="1122" customFormat="false" ht="15" hidden="false" customHeight="false" outlineLevel="0" collapsed="false">
      <c r="A1122" s="8" t="s">
        <v>222</v>
      </c>
      <c r="B1122" s="8" t="s">
        <v>26</v>
      </c>
      <c r="C1122" s="8" t="s">
        <v>1394</v>
      </c>
      <c r="D1122" s="8" t="n">
        <v>153057</v>
      </c>
      <c r="E1122" s="8" t="s">
        <v>725</v>
      </c>
      <c r="F1122" s="8" t="s">
        <v>1044</v>
      </c>
      <c r="G1122" s="8" t="s">
        <v>961</v>
      </c>
      <c r="H1122" s="8" t="s">
        <v>51</v>
      </c>
      <c r="I1122" s="8" t="s">
        <v>223</v>
      </c>
      <c r="J1122" s="4" t="n">
        <v>85000</v>
      </c>
      <c r="K1122" s="4" t="n">
        <v>69000</v>
      </c>
      <c r="L1122" s="5" t="n">
        <v>0.18824</v>
      </c>
      <c r="M1122" s="4" t="n">
        <v>279</v>
      </c>
      <c r="N1122" s="4" t="n">
        <v>0</v>
      </c>
      <c r="O1122" s="4" t="n">
        <v>116</v>
      </c>
      <c r="P1122" s="4" t="n">
        <v>0</v>
      </c>
      <c r="Q1122" s="4" t="n">
        <v>2</v>
      </c>
      <c r="R1122" s="4" t="n">
        <f aca="false">M1122+N1122+O1122+P1122+Q1122</f>
        <v>397</v>
      </c>
      <c r="S1122" s="4" t="n">
        <v>22</v>
      </c>
      <c r="T1122" s="4" t="n">
        <f aca="false">R1122*K1122</f>
        <v>27393000</v>
      </c>
      <c r="U1122" s="9" t="n">
        <f aca="false">IFERROR(M1122/S1122,0)</f>
        <v>12.6818181818182</v>
      </c>
      <c r="V1122" s="5" t="n">
        <v>0.1304</v>
      </c>
    </row>
    <row r="1123" customFormat="false" ht="15" hidden="false" customHeight="false" outlineLevel="0" collapsed="false">
      <c r="A1123" s="8" t="s">
        <v>154</v>
      </c>
      <c r="B1123" s="8" t="s">
        <v>20</v>
      </c>
      <c r="C1123" s="8" t="s">
        <v>1048</v>
      </c>
      <c r="D1123" s="8" t="n">
        <v>101436</v>
      </c>
      <c r="E1123" s="8" t="s">
        <v>415</v>
      </c>
      <c r="F1123" s="8" t="s">
        <v>809</v>
      </c>
      <c r="G1123" s="8" t="s">
        <v>961</v>
      </c>
      <c r="H1123" s="8" t="s">
        <v>62</v>
      </c>
      <c r="I1123" s="18" t="s">
        <v>155</v>
      </c>
      <c r="J1123" s="4" t="n">
        <v>295000</v>
      </c>
      <c r="K1123" s="4" t="n">
        <v>243000</v>
      </c>
      <c r="L1123" s="5" t="n">
        <v>0.17708</v>
      </c>
      <c r="M1123" s="4" t="n">
        <v>83</v>
      </c>
      <c r="N1123" s="4" t="n">
        <v>11</v>
      </c>
      <c r="O1123" s="4" t="n">
        <v>7</v>
      </c>
      <c r="P1123" s="4" t="n">
        <v>0</v>
      </c>
      <c r="Q1123" s="4" t="n">
        <v>10</v>
      </c>
      <c r="R1123" s="4" t="n">
        <f aca="false">M1123+N1123+O1123+P1123+Q1123</f>
        <v>111</v>
      </c>
      <c r="S1123" s="4" t="n">
        <v>22</v>
      </c>
      <c r="T1123" s="4" t="n">
        <f aca="false">R1123*K1123</f>
        <v>26973000</v>
      </c>
      <c r="U1123" s="9" t="n">
        <f aca="false">IFERROR(M1123/S1123,0)</f>
        <v>3.77272727272727</v>
      </c>
      <c r="V1123" s="5"/>
    </row>
    <row r="1124" customFormat="false" ht="15" hidden="false" customHeight="false" outlineLevel="0" collapsed="false">
      <c r="A1124" s="8" t="s">
        <v>154</v>
      </c>
      <c r="B1124" s="8" t="s">
        <v>20</v>
      </c>
      <c r="C1124" s="8" t="s">
        <v>1048</v>
      </c>
      <c r="D1124" s="8" t="n">
        <v>102412</v>
      </c>
      <c r="E1124" s="8" t="s">
        <v>630</v>
      </c>
      <c r="F1124" s="8" t="s">
        <v>829</v>
      </c>
      <c r="G1124" s="8" t="s">
        <v>961</v>
      </c>
      <c r="H1124" s="8" t="s">
        <v>62</v>
      </c>
      <c r="I1124" s="18" t="s">
        <v>155</v>
      </c>
      <c r="J1124" s="4" t="n">
        <v>255000</v>
      </c>
      <c r="K1124" s="4" t="n">
        <v>210000</v>
      </c>
      <c r="L1124" s="5" t="n">
        <v>0.17708</v>
      </c>
      <c r="M1124" s="4" t="n">
        <v>89</v>
      </c>
      <c r="N1124" s="4" t="n">
        <v>0</v>
      </c>
      <c r="O1124" s="4" t="n">
        <v>0</v>
      </c>
      <c r="P1124" s="4" t="n">
        <v>0</v>
      </c>
      <c r="Q1124" s="4" t="n">
        <v>0</v>
      </c>
      <c r="R1124" s="4" t="n">
        <f aca="false">M1124+N1124+O1124+P1124+Q1124</f>
        <v>89</v>
      </c>
      <c r="S1124" s="4" t="n">
        <v>23</v>
      </c>
      <c r="T1124" s="4" t="n">
        <f aca="false">R1124*K1124</f>
        <v>18690000</v>
      </c>
      <c r="U1124" s="9" t="n">
        <f aca="false">IFERROR(M1124/S1124,0)</f>
        <v>3.8695652173913</v>
      </c>
      <c r="V1124" s="5"/>
    </row>
    <row r="1125" customFormat="false" ht="15" hidden="false" customHeight="false" outlineLevel="0" collapsed="false">
      <c r="A1125" s="8" t="s">
        <v>154</v>
      </c>
      <c r="B1125" s="8" t="s">
        <v>20</v>
      </c>
      <c r="C1125" s="8" t="s">
        <v>1048</v>
      </c>
      <c r="D1125" s="8" t="n">
        <v>102414</v>
      </c>
      <c r="E1125" s="8" t="s">
        <v>629</v>
      </c>
      <c r="F1125" s="8" t="s">
        <v>829</v>
      </c>
      <c r="G1125" s="8" t="s">
        <v>961</v>
      </c>
      <c r="H1125" s="8" t="s">
        <v>62</v>
      </c>
      <c r="I1125" s="18" t="s">
        <v>155</v>
      </c>
      <c r="J1125" s="4" t="n">
        <v>455000</v>
      </c>
      <c r="K1125" s="4" t="n">
        <v>374000</v>
      </c>
      <c r="L1125" s="5" t="n">
        <v>0.17708</v>
      </c>
      <c r="M1125" s="4" t="n">
        <v>82</v>
      </c>
      <c r="N1125" s="4" t="n">
        <v>0</v>
      </c>
      <c r="O1125" s="4" t="n">
        <v>6</v>
      </c>
      <c r="P1125" s="4" t="n">
        <v>0</v>
      </c>
      <c r="Q1125" s="4" t="n">
        <v>0</v>
      </c>
      <c r="R1125" s="4" t="n">
        <f aca="false">M1125+N1125+O1125+P1125+Q1125</f>
        <v>88</v>
      </c>
      <c r="S1125" s="4" t="n">
        <v>22</v>
      </c>
      <c r="T1125" s="4" t="n">
        <f aca="false">R1125*K1125</f>
        <v>32912000</v>
      </c>
      <c r="U1125" s="9" t="n">
        <f aca="false">IFERROR(M1125/S1125,0)</f>
        <v>3.72727272727273</v>
      </c>
      <c r="V1125" s="5"/>
    </row>
    <row r="1126" customFormat="false" ht="15" hidden="false" customHeight="false" outlineLevel="0" collapsed="false">
      <c r="A1126" s="8" t="s">
        <v>154</v>
      </c>
      <c r="B1126" s="8" t="s">
        <v>20</v>
      </c>
      <c r="C1126" s="8" t="s">
        <v>1045</v>
      </c>
      <c r="D1126" s="8" t="n">
        <v>102419</v>
      </c>
      <c r="E1126" s="8" t="s">
        <v>628</v>
      </c>
      <c r="F1126" s="8" t="s">
        <v>829</v>
      </c>
      <c r="G1126" s="8" t="s">
        <v>961</v>
      </c>
      <c r="H1126" s="8" t="s">
        <v>62</v>
      </c>
      <c r="I1126" s="18" t="s">
        <v>155</v>
      </c>
      <c r="J1126" s="4" t="n">
        <v>435000</v>
      </c>
      <c r="K1126" s="4" t="n">
        <v>358000</v>
      </c>
      <c r="L1126" s="5" t="n">
        <v>0.17708</v>
      </c>
      <c r="M1126" s="4" t="n">
        <v>80</v>
      </c>
      <c r="N1126" s="4" t="n">
        <v>0</v>
      </c>
      <c r="O1126" s="4" t="n">
        <v>3</v>
      </c>
      <c r="P1126" s="4" t="n">
        <v>0</v>
      </c>
      <c r="Q1126" s="4" t="n">
        <v>0</v>
      </c>
      <c r="R1126" s="4" t="n">
        <f aca="false">M1126+N1126+O1126+P1126+Q1126</f>
        <v>83</v>
      </c>
      <c r="S1126" s="4" t="n">
        <v>18</v>
      </c>
      <c r="T1126" s="4" t="n">
        <f aca="false">R1126*K1126</f>
        <v>29714000</v>
      </c>
      <c r="U1126" s="9" t="n">
        <f aca="false">IFERROR(M1126/S1126,0)</f>
        <v>4.44444444444445</v>
      </c>
      <c r="V1126" s="5"/>
    </row>
    <row r="1127" customFormat="false" ht="15" hidden="false" customHeight="false" outlineLevel="0" collapsed="false">
      <c r="A1127" s="8" t="s">
        <v>143</v>
      </c>
      <c r="B1127" s="8" t="s">
        <v>20</v>
      </c>
      <c r="C1127" s="8" t="s">
        <v>1048</v>
      </c>
      <c r="D1127" s="8" t="n">
        <v>102384</v>
      </c>
      <c r="E1127" s="8" t="s">
        <v>631</v>
      </c>
      <c r="F1127" s="8" t="s">
        <v>829</v>
      </c>
      <c r="G1127" s="8" t="s">
        <v>961</v>
      </c>
      <c r="H1127" s="8" t="s">
        <v>62</v>
      </c>
      <c r="I1127" s="18" t="s">
        <v>144</v>
      </c>
      <c r="J1127" s="4" t="n">
        <v>575000</v>
      </c>
      <c r="K1127" s="4" t="n">
        <v>456000</v>
      </c>
      <c r="L1127" s="5" t="n">
        <v>0.20702</v>
      </c>
      <c r="M1127" s="4" t="n">
        <v>143</v>
      </c>
      <c r="N1127" s="4" t="n">
        <v>0</v>
      </c>
      <c r="O1127" s="4" t="n">
        <v>15</v>
      </c>
      <c r="P1127" s="4" t="n">
        <v>0</v>
      </c>
      <c r="Q1127" s="4" t="n">
        <v>0</v>
      </c>
      <c r="R1127" s="4" t="n">
        <f aca="false">M1127+N1127+O1127+P1127+Q1127</f>
        <v>158</v>
      </c>
      <c r="S1127" s="4" t="n">
        <v>23</v>
      </c>
      <c r="T1127" s="4" t="n">
        <f aca="false">R1127*K1127</f>
        <v>72048000</v>
      </c>
      <c r="U1127" s="9" t="n">
        <f aca="false">IFERROR(M1127/S1127,0)</f>
        <v>6.21739130434783</v>
      </c>
      <c r="V1127" s="5"/>
    </row>
    <row r="1128" customFormat="false" ht="15" hidden="false" customHeight="false" outlineLevel="0" collapsed="false">
      <c r="A1128" s="8" t="s">
        <v>143</v>
      </c>
      <c r="B1128" s="8" t="s">
        <v>20</v>
      </c>
      <c r="C1128" s="8" t="s">
        <v>1048</v>
      </c>
      <c r="D1128" s="8" t="n">
        <v>102420</v>
      </c>
      <c r="E1128" s="8" t="s">
        <v>632</v>
      </c>
      <c r="F1128" s="8" t="s">
        <v>829</v>
      </c>
      <c r="G1128" s="8" t="s">
        <v>961</v>
      </c>
      <c r="H1128" s="8" t="s">
        <v>62</v>
      </c>
      <c r="I1128" s="18" t="s">
        <v>144</v>
      </c>
      <c r="J1128" s="4" t="n">
        <v>555000</v>
      </c>
      <c r="K1128" s="4" t="n">
        <v>440000</v>
      </c>
      <c r="L1128" s="5" t="n">
        <v>0.20702</v>
      </c>
      <c r="M1128" s="4" t="n">
        <v>95</v>
      </c>
      <c r="N1128" s="4" t="n">
        <v>0</v>
      </c>
      <c r="O1128" s="4" t="n">
        <v>4</v>
      </c>
      <c r="P1128" s="4" t="n">
        <v>0</v>
      </c>
      <c r="Q1128" s="4" t="n">
        <v>0</v>
      </c>
      <c r="R1128" s="4" t="n">
        <f aca="false">M1128+N1128+O1128+P1128+Q1128</f>
        <v>99</v>
      </c>
      <c r="S1128" s="4" t="n">
        <v>23</v>
      </c>
      <c r="T1128" s="4" t="n">
        <f aca="false">R1128*K1128</f>
        <v>43560000</v>
      </c>
      <c r="U1128" s="9" t="n">
        <f aca="false">IFERROR(M1128/S1128,0)</f>
        <v>4.1304347826087</v>
      </c>
      <c r="V1128" s="5"/>
    </row>
    <row r="1129" customFormat="false" ht="15" hidden="false" customHeight="false" outlineLevel="0" collapsed="false">
      <c r="A1129" s="8" t="s">
        <v>143</v>
      </c>
      <c r="B1129" s="8" t="s">
        <v>20</v>
      </c>
      <c r="C1129" s="8" t="s">
        <v>1048</v>
      </c>
      <c r="D1129" s="8" t="n">
        <v>102421</v>
      </c>
      <c r="E1129" s="8" t="s">
        <v>307</v>
      </c>
      <c r="F1129" s="8" t="s">
        <v>829</v>
      </c>
      <c r="G1129" s="8" t="s">
        <v>961</v>
      </c>
      <c r="H1129" s="8" t="s">
        <v>62</v>
      </c>
      <c r="I1129" s="18" t="s">
        <v>144</v>
      </c>
      <c r="J1129" s="4" t="n">
        <v>295000</v>
      </c>
      <c r="K1129" s="4" t="n">
        <v>234000</v>
      </c>
      <c r="L1129" s="5" t="n">
        <v>0.20702</v>
      </c>
      <c r="M1129" s="4" t="n">
        <v>58</v>
      </c>
      <c r="N1129" s="4" t="n">
        <v>23</v>
      </c>
      <c r="O1129" s="4" t="n">
        <v>9</v>
      </c>
      <c r="P1129" s="4" t="n">
        <v>0</v>
      </c>
      <c r="Q1129" s="4" t="n">
        <v>0</v>
      </c>
      <c r="R1129" s="4" t="n">
        <f aca="false">M1129+N1129+O1129+P1129+Q1129</f>
        <v>90</v>
      </c>
      <c r="S1129" s="4" t="n">
        <v>18</v>
      </c>
      <c r="T1129" s="4" t="n">
        <f aca="false">R1129*K1129</f>
        <v>21060000</v>
      </c>
      <c r="U1129" s="9" t="n">
        <f aca="false">IFERROR(M1129/S1129,0)</f>
        <v>3.22222222222222</v>
      </c>
      <c r="V1129" s="5"/>
    </row>
    <row r="1130" customFormat="false" ht="15" hidden="false" customHeight="false" outlineLevel="0" collapsed="false">
      <c r="A1130" s="8" t="s">
        <v>120</v>
      </c>
      <c r="B1130" s="8" t="s">
        <v>21</v>
      </c>
      <c r="C1130" s="8" t="s">
        <v>1404</v>
      </c>
      <c r="D1130" s="8" t="n">
        <v>110501</v>
      </c>
      <c r="E1130" s="8" t="s">
        <v>407</v>
      </c>
      <c r="F1130" s="8" t="s">
        <v>1044</v>
      </c>
      <c r="G1130" s="8" t="s">
        <v>961</v>
      </c>
      <c r="H1130" s="8" t="s">
        <v>51</v>
      </c>
      <c r="I1130" s="8" t="s">
        <v>121</v>
      </c>
      <c r="J1130" s="4" t="n">
        <v>386000</v>
      </c>
      <c r="K1130" s="4" t="n">
        <v>347000</v>
      </c>
      <c r="L1130" s="5" t="n">
        <v>0.1</v>
      </c>
      <c r="M1130" s="4" t="n">
        <v>110</v>
      </c>
      <c r="N1130" s="4" t="n">
        <v>20</v>
      </c>
      <c r="O1130" s="4" t="n">
        <v>20</v>
      </c>
      <c r="P1130" s="4" t="n">
        <v>0</v>
      </c>
      <c r="Q1130" s="4" t="n">
        <v>16</v>
      </c>
      <c r="R1130" s="4" t="n">
        <f aca="false">M1130+N1130+O1130+P1130+Q1130</f>
        <v>166</v>
      </c>
      <c r="S1130" s="4" t="n">
        <v>22</v>
      </c>
      <c r="T1130" s="4" t="n">
        <f aca="false">R1130*K1130</f>
        <v>57602000</v>
      </c>
      <c r="U1130" s="9" t="n">
        <f aca="false">IFERROR(M1130/S1130,0)</f>
        <v>5</v>
      </c>
      <c r="V1130" s="5"/>
    </row>
    <row r="1131" customFormat="false" ht="15" hidden="false" customHeight="false" outlineLevel="0" collapsed="false">
      <c r="A1131" s="8" t="s">
        <v>120</v>
      </c>
      <c r="B1131" s="8" t="s">
        <v>21</v>
      </c>
      <c r="C1131" s="8" t="s">
        <v>1404</v>
      </c>
      <c r="D1131" s="8" t="n">
        <v>230205</v>
      </c>
      <c r="E1131" s="8" t="s">
        <v>450</v>
      </c>
      <c r="F1131" s="8" t="s">
        <v>1044</v>
      </c>
      <c r="G1131" s="8" t="s">
        <v>961</v>
      </c>
      <c r="H1131" s="8" t="s">
        <v>51</v>
      </c>
      <c r="I1131" s="8" t="s">
        <v>121</v>
      </c>
      <c r="J1131" s="4" t="n">
        <v>1349000</v>
      </c>
      <c r="K1131" s="4" t="n">
        <v>1214000</v>
      </c>
      <c r="L1131" s="5" t="n">
        <v>0.1</v>
      </c>
      <c r="M1131" s="4" t="n">
        <v>110</v>
      </c>
      <c r="N1131" s="4" t="n">
        <v>16</v>
      </c>
      <c r="O1131" s="4" t="n">
        <v>12</v>
      </c>
      <c r="P1131" s="4" t="n">
        <v>0</v>
      </c>
      <c r="Q1131" s="4" t="n">
        <v>0</v>
      </c>
      <c r="R1131" s="4" t="n">
        <f aca="false">M1131+N1131+O1131+P1131+Q1131</f>
        <v>138</v>
      </c>
      <c r="S1131" s="4" t="n">
        <v>23</v>
      </c>
      <c r="T1131" s="4" t="n">
        <f aca="false">R1131*K1131</f>
        <v>167532000</v>
      </c>
      <c r="U1131" s="9" t="n">
        <f aca="false">IFERROR(M1131/S1131,0)</f>
        <v>4.78260869565217</v>
      </c>
      <c r="V1131" s="5"/>
    </row>
    <row r="1132" customFormat="false" ht="15" hidden="false" customHeight="false" outlineLevel="0" collapsed="false">
      <c r="A1132" s="8" t="s">
        <v>120</v>
      </c>
      <c r="B1132" s="8" t="s">
        <v>21</v>
      </c>
      <c r="C1132" s="8" t="s">
        <v>1405</v>
      </c>
      <c r="D1132" s="8" t="n">
        <v>230206</v>
      </c>
      <c r="E1132" s="8" t="s">
        <v>1636</v>
      </c>
      <c r="F1132" s="8" t="s">
        <v>809</v>
      </c>
      <c r="G1132" s="8" t="s">
        <v>961</v>
      </c>
      <c r="H1132" s="8" t="s">
        <v>51</v>
      </c>
      <c r="I1132" s="8" t="s">
        <v>121</v>
      </c>
      <c r="J1132" s="4" t="n">
        <v>486000</v>
      </c>
      <c r="K1132" s="4" t="n">
        <v>437000</v>
      </c>
      <c r="L1132" s="5" t="n">
        <v>0.1</v>
      </c>
      <c r="M1132" s="4" t="n">
        <v>34</v>
      </c>
      <c r="N1132" s="4" t="n">
        <v>0</v>
      </c>
      <c r="O1132" s="4" t="n">
        <v>0</v>
      </c>
      <c r="P1132" s="4" t="n">
        <v>0</v>
      </c>
      <c r="Q1132" s="4" t="n">
        <v>0</v>
      </c>
      <c r="R1132" s="4" t="n">
        <f aca="false">M1132+N1132+O1132+P1132+Q1132</f>
        <v>34</v>
      </c>
      <c r="S1132" s="4" t="n">
        <v>13</v>
      </c>
      <c r="T1132" s="4" t="n">
        <f aca="false">R1132*K1132</f>
        <v>14858000</v>
      </c>
      <c r="U1132" s="9" t="n">
        <f aca="false">IFERROR(M1132/S1132,0)</f>
        <v>2.61538461538462</v>
      </c>
      <c r="V1132" s="5"/>
    </row>
    <row r="1133" customFormat="false" ht="15" hidden="false" customHeight="false" outlineLevel="0" collapsed="false">
      <c r="A1133" s="8" t="s">
        <v>114</v>
      </c>
      <c r="B1133" s="8" t="s">
        <v>20</v>
      </c>
      <c r="C1133" s="8" t="s">
        <v>1048</v>
      </c>
      <c r="D1133" s="8" t="n">
        <v>102250</v>
      </c>
      <c r="E1133" s="8" t="s">
        <v>1637</v>
      </c>
      <c r="F1133" s="8" t="s">
        <v>829</v>
      </c>
      <c r="G1133" s="8" t="s">
        <v>961</v>
      </c>
      <c r="H1133" s="8" t="s">
        <v>51</v>
      </c>
      <c r="I1133" s="8" t="s">
        <v>115</v>
      </c>
      <c r="J1133" s="4" t="n">
        <v>1090000</v>
      </c>
      <c r="K1133" s="4" t="n">
        <v>991000</v>
      </c>
      <c r="L1133" s="5" t="n">
        <v>0.09174</v>
      </c>
      <c r="M1133" s="4" t="n">
        <v>43</v>
      </c>
      <c r="N1133" s="4" t="n">
        <v>0</v>
      </c>
      <c r="O1133" s="4" t="n">
        <v>0</v>
      </c>
      <c r="P1133" s="4" t="n">
        <v>0</v>
      </c>
      <c r="Q1133" s="4" t="n">
        <v>0</v>
      </c>
      <c r="R1133" s="4" t="n">
        <f aca="false">M1133+N1133+O1133+P1133+Q1133</f>
        <v>43</v>
      </c>
      <c r="S1133" s="4" t="n">
        <v>10</v>
      </c>
      <c r="T1133" s="4" t="n">
        <f aca="false">R1133*K1133</f>
        <v>42613000</v>
      </c>
      <c r="U1133" s="9" t="n">
        <f aca="false">IFERROR(M1133/S1133,0)</f>
        <v>4.3</v>
      </c>
      <c r="V1133" s="5" t="n">
        <v>0.1927</v>
      </c>
    </row>
    <row r="1134" customFormat="false" ht="15" hidden="false" customHeight="false" outlineLevel="0" collapsed="false">
      <c r="A1134" s="8" t="s">
        <v>114</v>
      </c>
      <c r="B1134" s="8" t="s">
        <v>20</v>
      </c>
      <c r="C1134" s="8" t="s">
        <v>1048</v>
      </c>
      <c r="D1134" s="8" t="n">
        <v>102244</v>
      </c>
      <c r="E1134" s="8" t="s">
        <v>1638</v>
      </c>
      <c r="F1134" s="8" t="s">
        <v>809</v>
      </c>
      <c r="G1134" s="8" t="s">
        <v>961</v>
      </c>
      <c r="H1134" s="8" t="s">
        <v>51</v>
      </c>
      <c r="I1134" s="8" t="s">
        <v>115</v>
      </c>
      <c r="J1134" s="4" t="n">
        <v>598000</v>
      </c>
      <c r="K1134" s="4" t="n">
        <v>499000</v>
      </c>
      <c r="L1134" s="5" t="n">
        <v>0.16722</v>
      </c>
      <c r="M1134" s="4" t="n">
        <v>41</v>
      </c>
      <c r="N1134" s="4" t="n">
        <v>0</v>
      </c>
      <c r="O1134" s="4" t="n">
        <v>0</v>
      </c>
      <c r="P1134" s="4" t="n">
        <v>0</v>
      </c>
      <c r="Q1134" s="4" t="n">
        <v>0</v>
      </c>
      <c r="R1134" s="4" t="n">
        <f aca="false">M1134+N1134+O1134+P1134+Q1134</f>
        <v>41</v>
      </c>
      <c r="S1134" s="4" t="n">
        <v>6</v>
      </c>
      <c r="T1134" s="4" t="n">
        <f aca="false">R1134*K1134</f>
        <v>20459000</v>
      </c>
      <c r="U1134" s="9" t="n">
        <f aca="false">IFERROR(M1134/S1134,0)</f>
        <v>6.83333333333333</v>
      </c>
      <c r="V1134" s="5" t="n">
        <v>0.0982</v>
      </c>
    </row>
    <row r="1135" customFormat="false" ht="15" hidden="false" customHeight="false" outlineLevel="0" collapsed="false">
      <c r="A1135" s="8" t="s">
        <v>114</v>
      </c>
      <c r="B1135" s="8" t="s">
        <v>20</v>
      </c>
      <c r="C1135" s="8" t="s">
        <v>1048</v>
      </c>
      <c r="D1135" s="8" t="n">
        <v>102246</v>
      </c>
      <c r="E1135" s="8" t="s">
        <v>1639</v>
      </c>
      <c r="F1135" s="8" t="s">
        <v>829</v>
      </c>
      <c r="G1135" s="8" t="s">
        <v>961</v>
      </c>
      <c r="H1135" s="8" t="s">
        <v>51</v>
      </c>
      <c r="I1135" s="8" t="s">
        <v>115</v>
      </c>
      <c r="J1135" s="4" t="n">
        <v>1198000</v>
      </c>
      <c r="K1135" s="4" t="n">
        <v>1099000</v>
      </c>
      <c r="L1135" s="5" t="n">
        <v>0.08347</v>
      </c>
      <c r="M1135" s="4" t="n">
        <v>41</v>
      </c>
      <c r="N1135" s="4" t="n">
        <v>0</v>
      </c>
      <c r="O1135" s="4" t="n">
        <v>0</v>
      </c>
      <c r="P1135" s="4" t="n">
        <v>0</v>
      </c>
      <c r="Q1135" s="4" t="n">
        <v>0</v>
      </c>
      <c r="R1135" s="4" t="n">
        <f aca="false">M1135+N1135+O1135+P1135+Q1135</f>
        <v>41</v>
      </c>
      <c r="S1135" s="4" t="n">
        <v>10</v>
      </c>
      <c r="T1135" s="4" t="n">
        <f aca="false">R1135*K1135</f>
        <v>45059000</v>
      </c>
      <c r="U1135" s="9" t="n">
        <f aca="false">IFERROR(M1135/S1135,0)</f>
        <v>4.1</v>
      </c>
      <c r="V1135" s="5" t="n">
        <v>0.2175</v>
      </c>
    </row>
    <row r="1136" customFormat="false" ht="15" hidden="false" customHeight="false" outlineLevel="0" collapsed="false">
      <c r="A1136" s="8" t="s">
        <v>114</v>
      </c>
      <c r="B1136" s="8" t="s">
        <v>20</v>
      </c>
      <c r="C1136" s="8" t="s">
        <v>1048</v>
      </c>
      <c r="D1136" s="8" t="n">
        <v>102247</v>
      </c>
      <c r="E1136" s="8" t="s">
        <v>1640</v>
      </c>
      <c r="F1136" s="8" t="s">
        <v>829</v>
      </c>
      <c r="G1136" s="8" t="s">
        <v>961</v>
      </c>
      <c r="H1136" s="8" t="s">
        <v>51</v>
      </c>
      <c r="I1136" s="8" t="s">
        <v>115</v>
      </c>
      <c r="J1136" s="4" t="n">
        <v>1038000</v>
      </c>
      <c r="K1136" s="4" t="n">
        <v>938000</v>
      </c>
      <c r="L1136" s="5" t="n">
        <v>0.09634</v>
      </c>
      <c r="M1136" s="4" t="n">
        <v>39</v>
      </c>
      <c r="N1136" s="4" t="n">
        <v>0</v>
      </c>
      <c r="O1136" s="4" t="n">
        <v>0</v>
      </c>
      <c r="P1136" s="4" t="n">
        <v>0</v>
      </c>
      <c r="Q1136" s="4" t="n">
        <v>0</v>
      </c>
      <c r="R1136" s="4" t="n">
        <f aca="false">M1136+N1136+O1136+P1136+Q1136</f>
        <v>39</v>
      </c>
      <c r="S1136" s="4" t="n">
        <v>10</v>
      </c>
      <c r="T1136" s="4" t="n">
        <f aca="false">R1136*K1136</f>
        <v>36582000</v>
      </c>
      <c r="U1136" s="9" t="n">
        <f aca="false">IFERROR(M1136/S1136,0)</f>
        <v>3.9</v>
      </c>
      <c r="V1136" s="5" t="n">
        <v>0.1898</v>
      </c>
    </row>
    <row r="1137" customFormat="false" ht="15" hidden="false" customHeight="false" outlineLevel="0" collapsed="false">
      <c r="A1137" s="8" t="s">
        <v>114</v>
      </c>
      <c r="B1137" s="8" t="s">
        <v>20</v>
      </c>
      <c r="C1137" s="8" t="s">
        <v>1048</v>
      </c>
      <c r="D1137" s="8" t="n">
        <v>102242</v>
      </c>
      <c r="E1137" s="8" t="s">
        <v>1641</v>
      </c>
      <c r="F1137" s="8" t="s">
        <v>809</v>
      </c>
      <c r="G1137" s="8" t="s">
        <v>961</v>
      </c>
      <c r="H1137" s="8" t="s">
        <v>51</v>
      </c>
      <c r="I1137" s="8" t="s">
        <v>115</v>
      </c>
      <c r="J1137" s="4" t="n">
        <v>598000</v>
      </c>
      <c r="K1137" s="4" t="n">
        <v>499000</v>
      </c>
      <c r="L1137" s="5" t="n">
        <v>0.16722</v>
      </c>
      <c r="M1137" s="4" t="n">
        <v>35</v>
      </c>
      <c r="N1137" s="4" t="n">
        <v>0</v>
      </c>
      <c r="O1137" s="4" t="n">
        <v>0</v>
      </c>
      <c r="P1137" s="4" t="n">
        <v>0</v>
      </c>
      <c r="Q1137" s="4" t="n">
        <v>3</v>
      </c>
      <c r="R1137" s="4" t="n">
        <f aca="false">M1137+N1137+O1137+P1137+Q1137</f>
        <v>38</v>
      </c>
      <c r="S1137" s="4" t="n">
        <v>12</v>
      </c>
      <c r="T1137" s="4" t="n">
        <f aca="false">R1137*K1137</f>
        <v>18962000</v>
      </c>
      <c r="U1137" s="9" t="n">
        <f aca="false">IFERROR(M1137/S1137,0)</f>
        <v>2.91666666666667</v>
      </c>
      <c r="V1137" s="5" t="n">
        <v>0.0982</v>
      </c>
    </row>
    <row r="1138" customFormat="false" ht="15" hidden="false" customHeight="false" outlineLevel="0" collapsed="false">
      <c r="A1138" s="8" t="s">
        <v>114</v>
      </c>
      <c r="B1138" s="8" t="s">
        <v>20</v>
      </c>
      <c r="C1138" s="8" t="s">
        <v>1048</v>
      </c>
      <c r="D1138" s="8" t="n">
        <v>102248</v>
      </c>
      <c r="E1138" s="8" t="s">
        <v>1642</v>
      </c>
      <c r="F1138" s="8" t="s">
        <v>829</v>
      </c>
      <c r="G1138" s="8" t="s">
        <v>961</v>
      </c>
      <c r="H1138" s="8" t="s">
        <v>51</v>
      </c>
      <c r="I1138" s="8" t="s">
        <v>115</v>
      </c>
      <c r="J1138" s="4" t="n">
        <v>1478000</v>
      </c>
      <c r="K1138" s="4" t="n">
        <v>1378000</v>
      </c>
      <c r="L1138" s="5" t="n">
        <v>0.06766</v>
      </c>
      <c r="M1138" s="4" t="n">
        <v>36</v>
      </c>
      <c r="N1138" s="4" t="n">
        <v>0</v>
      </c>
      <c r="O1138" s="4" t="n">
        <v>0</v>
      </c>
      <c r="P1138" s="4" t="n">
        <v>0</v>
      </c>
      <c r="Q1138" s="4" t="n">
        <v>0</v>
      </c>
      <c r="R1138" s="4" t="n">
        <f aca="false">M1138+N1138+O1138+P1138+Q1138</f>
        <v>36</v>
      </c>
      <c r="S1138" s="4" t="n">
        <v>11</v>
      </c>
      <c r="T1138" s="4" t="n">
        <f aca="false">R1138*K1138</f>
        <v>49608000</v>
      </c>
      <c r="U1138" s="9" t="n">
        <f aca="false">IFERROR(M1138/S1138,0)</f>
        <v>3.27272727272727</v>
      </c>
      <c r="V1138" s="5" t="n">
        <v>0.2199</v>
      </c>
    </row>
    <row r="1139" customFormat="false" ht="15" hidden="false" customHeight="false" outlineLevel="0" collapsed="false">
      <c r="A1139" s="8" t="s">
        <v>114</v>
      </c>
      <c r="B1139" s="8" t="s">
        <v>20</v>
      </c>
      <c r="C1139" s="8" t="s">
        <v>1048</v>
      </c>
      <c r="D1139" s="8" t="n">
        <v>102243</v>
      </c>
      <c r="E1139" s="8" t="s">
        <v>1643</v>
      </c>
      <c r="F1139" s="8" t="s">
        <v>809</v>
      </c>
      <c r="G1139" s="8" t="s">
        <v>961</v>
      </c>
      <c r="H1139" s="8" t="s">
        <v>51</v>
      </c>
      <c r="I1139" s="8" t="s">
        <v>115</v>
      </c>
      <c r="J1139" s="4" t="n">
        <v>598000</v>
      </c>
      <c r="K1139" s="4" t="n">
        <v>499000</v>
      </c>
      <c r="L1139" s="5" t="n">
        <v>0.16722</v>
      </c>
      <c r="M1139" s="4" t="n">
        <v>34</v>
      </c>
      <c r="N1139" s="4" t="n">
        <v>0</v>
      </c>
      <c r="O1139" s="4" t="n">
        <v>0</v>
      </c>
      <c r="P1139" s="4" t="n">
        <v>0</v>
      </c>
      <c r="Q1139" s="4" t="n">
        <v>0</v>
      </c>
      <c r="R1139" s="4" t="n">
        <f aca="false">M1139+N1139+O1139+P1139+Q1139</f>
        <v>34</v>
      </c>
      <c r="S1139" s="4" t="n">
        <v>11</v>
      </c>
      <c r="T1139" s="4" t="n">
        <f aca="false">R1139*K1139</f>
        <v>16966000</v>
      </c>
      <c r="U1139" s="9" t="n">
        <f aca="false">IFERROR(M1139/S1139,0)</f>
        <v>3.09090909090909</v>
      </c>
      <c r="V1139" s="5" t="n">
        <v>0.0982</v>
      </c>
    </row>
    <row r="1140" customFormat="false" ht="15" hidden="false" customHeight="false" outlineLevel="0" collapsed="false">
      <c r="A1140" s="8" t="s">
        <v>114</v>
      </c>
      <c r="B1140" s="8" t="s">
        <v>20</v>
      </c>
      <c r="C1140" s="8" t="s">
        <v>1045</v>
      </c>
      <c r="D1140" s="8" t="n">
        <v>102249</v>
      </c>
      <c r="E1140" s="8" t="s">
        <v>1644</v>
      </c>
      <c r="F1140" s="8" t="s">
        <v>809</v>
      </c>
      <c r="G1140" s="8" t="s">
        <v>961</v>
      </c>
      <c r="H1140" s="8" t="s">
        <v>51</v>
      </c>
      <c r="I1140" s="8" t="s">
        <v>115</v>
      </c>
      <c r="J1140" s="4" t="n">
        <v>588000</v>
      </c>
      <c r="K1140" s="4" t="n">
        <v>488000</v>
      </c>
      <c r="L1140" s="5" t="n">
        <v>0.17007</v>
      </c>
      <c r="M1140" s="4" t="n">
        <v>28</v>
      </c>
      <c r="N1140" s="4" t="n">
        <v>0</v>
      </c>
      <c r="O1140" s="4" t="n">
        <v>0</v>
      </c>
      <c r="P1140" s="4" t="n">
        <v>0</v>
      </c>
      <c r="Q1140" s="4" t="n">
        <v>0</v>
      </c>
      <c r="R1140" s="4" t="n">
        <f aca="false">M1140+N1140+O1140+P1140+Q1140</f>
        <v>28</v>
      </c>
      <c r="S1140" s="4" t="n">
        <v>9</v>
      </c>
      <c r="T1140" s="4" t="n">
        <f aca="false">R1140*K1140</f>
        <v>13664000</v>
      </c>
      <c r="U1140" s="9" t="n">
        <f aca="false">IFERROR(M1140/S1140,0)</f>
        <v>3.11111111111111</v>
      </c>
      <c r="V1140" s="5" t="n">
        <v>0.0779</v>
      </c>
    </row>
    <row r="1141" customFormat="false" ht="15" hidden="false" customHeight="false" outlineLevel="0" collapsed="false">
      <c r="A1141" s="8" t="s">
        <v>114</v>
      </c>
      <c r="B1141" s="8" t="s">
        <v>20</v>
      </c>
      <c r="C1141" s="8" t="s">
        <v>1048</v>
      </c>
      <c r="D1141" s="8" t="n">
        <v>102245</v>
      </c>
      <c r="E1141" s="8" t="s">
        <v>1645</v>
      </c>
      <c r="F1141" s="8" t="s">
        <v>809</v>
      </c>
      <c r="G1141" s="8" t="s">
        <v>961</v>
      </c>
      <c r="H1141" s="8" t="s">
        <v>51</v>
      </c>
      <c r="I1141" s="8" t="s">
        <v>115</v>
      </c>
      <c r="J1141" s="4" t="n">
        <v>668000</v>
      </c>
      <c r="K1141" s="4" t="n">
        <v>569000</v>
      </c>
      <c r="L1141" s="5" t="n">
        <v>0.1497</v>
      </c>
      <c r="M1141" s="4" t="n">
        <v>27</v>
      </c>
      <c r="N1141" s="4" t="n">
        <v>0</v>
      </c>
      <c r="O1141" s="4" t="n">
        <v>0</v>
      </c>
      <c r="P1141" s="4" t="n">
        <v>0</v>
      </c>
      <c r="Q1141" s="4" t="n">
        <v>0</v>
      </c>
      <c r="R1141" s="4" t="n">
        <f aca="false">M1141+N1141+O1141+P1141+Q1141</f>
        <v>27</v>
      </c>
      <c r="S1141" s="4" t="n">
        <v>9</v>
      </c>
      <c r="T1141" s="4" t="n">
        <f aca="false">R1141*K1141</f>
        <v>15363000</v>
      </c>
      <c r="U1141" s="9" t="n">
        <f aca="false">IFERROR(M1141/S1141,0)</f>
        <v>3</v>
      </c>
      <c r="V1141" s="5" t="n">
        <v>0.1213</v>
      </c>
    </row>
    <row r="1142" customFormat="false" ht="15" hidden="false" customHeight="false" outlineLevel="0" collapsed="false">
      <c r="A1142" s="8" t="s">
        <v>169</v>
      </c>
      <c r="B1142" s="8" t="s">
        <v>20</v>
      </c>
      <c r="C1142" s="8" t="s">
        <v>1045</v>
      </c>
      <c r="D1142" s="8" t="n">
        <v>101451</v>
      </c>
      <c r="E1142" s="8" t="s">
        <v>633</v>
      </c>
      <c r="F1142" s="8" t="s">
        <v>809</v>
      </c>
      <c r="G1142" s="8" t="s">
        <v>961</v>
      </c>
      <c r="H1142" s="8" t="s">
        <v>62</v>
      </c>
      <c r="I1142" s="8" t="s">
        <v>170</v>
      </c>
      <c r="J1142" s="4" t="n">
        <v>350000</v>
      </c>
      <c r="K1142" s="4" t="n">
        <v>275000</v>
      </c>
      <c r="L1142" s="5" t="n">
        <v>0.21429</v>
      </c>
      <c r="M1142" s="4" t="n">
        <v>139</v>
      </c>
      <c r="N1142" s="4" t="n">
        <v>0</v>
      </c>
      <c r="O1142" s="4" t="n">
        <v>39</v>
      </c>
      <c r="P1142" s="4" t="n">
        <v>0</v>
      </c>
      <c r="Q1142" s="4" t="n">
        <v>3</v>
      </c>
      <c r="R1142" s="4" t="n">
        <f aca="false">M1142+N1142+O1142+P1142+Q1142</f>
        <v>181</v>
      </c>
      <c r="S1142" s="4" t="n">
        <v>23</v>
      </c>
      <c r="T1142" s="4" t="n">
        <f aca="false">R1142*K1142</f>
        <v>49775000</v>
      </c>
      <c r="U1142" s="9" t="n">
        <f aca="false">IFERROR(M1142/S1142,0)</f>
        <v>6.04347826086957</v>
      </c>
      <c r="V1142" s="5"/>
    </row>
    <row r="1143" customFormat="false" ht="15" hidden="false" customHeight="false" outlineLevel="0" collapsed="false">
      <c r="A1143" s="8" t="s">
        <v>169</v>
      </c>
      <c r="B1143" s="8" t="s">
        <v>20</v>
      </c>
      <c r="C1143" s="8" t="s">
        <v>1045</v>
      </c>
      <c r="D1143" s="8" t="n">
        <v>100415</v>
      </c>
      <c r="E1143" s="8" t="s">
        <v>634</v>
      </c>
      <c r="F1143" s="8" t="s">
        <v>809</v>
      </c>
      <c r="G1143" s="8" t="s">
        <v>961</v>
      </c>
      <c r="H1143" s="8" t="s">
        <v>62</v>
      </c>
      <c r="I1143" s="8" t="s">
        <v>170</v>
      </c>
      <c r="J1143" s="4" t="n">
        <v>350000</v>
      </c>
      <c r="K1143" s="4" t="n">
        <v>275000</v>
      </c>
      <c r="L1143" s="5" t="n">
        <v>0.21429</v>
      </c>
      <c r="M1143" s="4" t="n">
        <v>131</v>
      </c>
      <c r="N1143" s="4" t="n">
        <v>0</v>
      </c>
      <c r="O1143" s="4" t="n">
        <v>0</v>
      </c>
      <c r="P1143" s="4" t="n">
        <v>0</v>
      </c>
      <c r="Q1143" s="4" t="n">
        <v>1</v>
      </c>
      <c r="R1143" s="4" t="n">
        <f aca="false">M1143+N1143+O1143+P1143+Q1143</f>
        <v>132</v>
      </c>
      <c r="S1143" s="4" t="n">
        <v>24</v>
      </c>
      <c r="T1143" s="4" t="n">
        <f aca="false">R1143*K1143</f>
        <v>36300000</v>
      </c>
      <c r="U1143" s="9" t="n">
        <f aca="false">IFERROR(M1143/S1143,0)</f>
        <v>5.45833333333333</v>
      </c>
      <c r="V1143" s="5"/>
    </row>
    <row r="1144" customFormat="false" ht="15" hidden="false" customHeight="false" outlineLevel="0" collapsed="false">
      <c r="A1144" s="8" t="s">
        <v>199</v>
      </c>
      <c r="B1144" s="8" t="s">
        <v>22</v>
      </c>
      <c r="C1144" s="8" t="s">
        <v>1646</v>
      </c>
      <c r="D1144" s="8" t="n">
        <v>134268</v>
      </c>
      <c r="E1144" s="8" t="s">
        <v>679</v>
      </c>
      <c r="F1144" s="8" t="s">
        <v>767</v>
      </c>
      <c r="G1144" s="8" t="s">
        <v>970</v>
      </c>
      <c r="H1144" s="8" t="s">
        <v>51</v>
      </c>
      <c r="I1144" s="8" t="s">
        <v>200</v>
      </c>
      <c r="J1144" s="4" t="n">
        <v>550000</v>
      </c>
      <c r="K1144" s="4" t="n">
        <v>151000</v>
      </c>
      <c r="L1144" s="5" t="n">
        <v>0.72727</v>
      </c>
      <c r="M1144" s="4" t="n">
        <v>173</v>
      </c>
      <c r="N1144" s="4" t="n">
        <v>0</v>
      </c>
      <c r="O1144" s="4" t="n">
        <v>0</v>
      </c>
      <c r="P1144" s="4" t="n">
        <v>0</v>
      </c>
      <c r="Q1144" s="4" t="n">
        <v>0</v>
      </c>
      <c r="R1144" s="4" t="n">
        <f aca="false">M1144+N1144+O1144+P1144+Q1144</f>
        <v>173</v>
      </c>
      <c r="S1144" s="4" t="n">
        <v>19</v>
      </c>
      <c r="T1144" s="4" t="n">
        <f aca="false">R1144*K1144</f>
        <v>26123000</v>
      </c>
      <c r="U1144" s="9" t="n">
        <f aca="false">IFERROR(M1144/S1144,0)</f>
        <v>9.10526315789474</v>
      </c>
      <c r="V1144" s="5" t="n">
        <v>1</v>
      </c>
    </row>
    <row r="1145" customFormat="false" ht="15" hidden="false" customHeight="false" outlineLevel="0" collapsed="false">
      <c r="A1145" s="8" t="s">
        <v>199</v>
      </c>
      <c r="B1145" s="8" t="s">
        <v>22</v>
      </c>
      <c r="C1145" s="8" t="s">
        <v>1646</v>
      </c>
      <c r="D1145" s="8" t="n">
        <v>134269</v>
      </c>
      <c r="E1145" s="8" t="s">
        <v>1647</v>
      </c>
      <c r="F1145" s="8" t="s">
        <v>767</v>
      </c>
      <c r="G1145" s="8" t="s">
        <v>970</v>
      </c>
      <c r="H1145" s="8" t="s">
        <v>51</v>
      </c>
      <c r="I1145" s="8" t="s">
        <v>200</v>
      </c>
      <c r="J1145" s="4" t="n">
        <v>650000</v>
      </c>
      <c r="K1145" s="4" t="n">
        <v>151000</v>
      </c>
      <c r="L1145" s="5" t="n">
        <v>0.76923</v>
      </c>
      <c r="M1145" s="4" t="n">
        <v>38</v>
      </c>
      <c r="N1145" s="4" t="n">
        <v>0</v>
      </c>
      <c r="O1145" s="4" t="n">
        <v>0</v>
      </c>
      <c r="P1145" s="4" t="n">
        <v>0</v>
      </c>
      <c r="Q1145" s="4" t="n">
        <v>0</v>
      </c>
      <c r="R1145" s="4" t="n">
        <f aca="false">M1145+N1145+O1145+P1145+Q1145</f>
        <v>38</v>
      </c>
      <c r="S1145" s="4" t="n">
        <v>12</v>
      </c>
      <c r="T1145" s="4" t="n">
        <f aca="false">R1145*K1145</f>
        <v>5738000</v>
      </c>
      <c r="U1145" s="9" t="n">
        <f aca="false">IFERROR(M1145/S1145,0)</f>
        <v>3.16666666666667</v>
      </c>
      <c r="V1145" s="5" t="n">
        <v>1</v>
      </c>
    </row>
    <row r="1146" customFormat="false" ht="15" hidden="false" customHeight="false" outlineLevel="0" collapsed="false">
      <c r="A1146" s="8" t="s">
        <v>199</v>
      </c>
      <c r="B1146" s="8" t="s">
        <v>22</v>
      </c>
      <c r="C1146" s="8" t="s">
        <v>1646</v>
      </c>
      <c r="D1146" s="8" t="n">
        <v>134266</v>
      </c>
      <c r="E1146" s="8" t="s">
        <v>1648</v>
      </c>
      <c r="F1146" s="8" t="s">
        <v>767</v>
      </c>
      <c r="G1146" s="8" t="s">
        <v>970</v>
      </c>
      <c r="H1146" s="8" t="s">
        <v>51</v>
      </c>
      <c r="I1146" s="8" t="s">
        <v>200</v>
      </c>
      <c r="J1146" s="4" t="n">
        <v>550000</v>
      </c>
      <c r="K1146" s="4" t="n">
        <v>151000</v>
      </c>
      <c r="L1146" s="5" t="n">
        <v>0.72727</v>
      </c>
      <c r="M1146" s="4" t="n">
        <v>30</v>
      </c>
      <c r="N1146" s="4" t="n">
        <v>0</v>
      </c>
      <c r="O1146" s="4" t="n">
        <v>0</v>
      </c>
      <c r="P1146" s="4" t="n">
        <v>0</v>
      </c>
      <c r="Q1146" s="4" t="n">
        <v>0</v>
      </c>
      <c r="R1146" s="4" t="n">
        <f aca="false">M1146+N1146+O1146+P1146+Q1146</f>
        <v>30</v>
      </c>
      <c r="S1146" s="4" t="n">
        <v>12</v>
      </c>
      <c r="T1146" s="4" t="n">
        <f aca="false">R1146*K1146</f>
        <v>4530000</v>
      </c>
      <c r="U1146" s="9" t="n">
        <f aca="false">IFERROR(M1146/S1146,0)</f>
        <v>2.5</v>
      </c>
      <c r="V1146" s="5" t="n">
        <v>1</v>
      </c>
    </row>
    <row r="1147" customFormat="false" ht="15" hidden="false" customHeight="false" outlineLevel="0" collapsed="false">
      <c r="A1147" s="8" t="s">
        <v>199</v>
      </c>
      <c r="B1147" s="8" t="s">
        <v>22</v>
      </c>
      <c r="C1147" s="8" t="s">
        <v>1646</v>
      </c>
      <c r="D1147" s="8" t="n">
        <v>134271</v>
      </c>
      <c r="E1147" s="8" t="s">
        <v>1017</v>
      </c>
      <c r="F1147" s="8" t="s">
        <v>767</v>
      </c>
      <c r="G1147" s="8" t="s">
        <v>970</v>
      </c>
      <c r="H1147" s="8" t="s">
        <v>51</v>
      </c>
      <c r="I1147" s="8" t="s">
        <v>200</v>
      </c>
      <c r="J1147" s="4" t="n">
        <v>850000</v>
      </c>
      <c r="K1147" s="4" t="n">
        <v>150000</v>
      </c>
      <c r="L1147" s="5" t="n">
        <v>0.82353</v>
      </c>
      <c r="M1147" s="4" t="n">
        <v>22</v>
      </c>
      <c r="N1147" s="4" t="n">
        <v>0</v>
      </c>
      <c r="O1147" s="4" t="n">
        <v>0</v>
      </c>
      <c r="P1147" s="4" t="n">
        <v>0</v>
      </c>
      <c r="Q1147" s="4" t="n">
        <v>0</v>
      </c>
      <c r="R1147" s="4" t="n">
        <f aca="false">M1147+N1147+O1147+P1147+Q1147</f>
        <v>22</v>
      </c>
      <c r="S1147" s="4" t="n">
        <v>6</v>
      </c>
      <c r="T1147" s="4" t="n">
        <f aca="false">R1147*K1147</f>
        <v>3300000</v>
      </c>
      <c r="U1147" s="9" t="n">
        <f aca="false">IFERROR(M1147/S1147,0)</f>
        <v>3.66666666666667</v>
      </c>
      <c r="V1147" s="5" t="n">
        <v>1</v>
      </c>
    </row>
    <row r="1148" customFormat="false" ht="15" hidden="false" customHeight="false" outlineLevel="0" collapsed="false">
      <c r="A1148" s="8" t="s">
        <v>199</v>
      </c>
      <c r="B1148" s="8" t="s">
        <v>22</v>
      </c>
      <c r="C1148" s="8" t="s">
        <v>1646</v>
      </c>
      <c r="D1148" s="8" t="n">
        <v>134265</v>
      </c>
      <c r="E1148" s="8" t="s">
        <v>1649</v>
      </c>
      <c r="F1148" s="8" t="s">
        <v>767</v>
      </c>
      <c r="G1148" s="8" t="s">
        <v>970</v>
      </c>
      <c r="H1148" s="8" t="s">
        <v>51</v>
      </c>
      <c r="I1148" s="8" t="s">
        <v>200</v>
      </c>
      <c r="J1148" s="4" t="n">
        <v>850000</v>
      </c>
      <c r="K1148" s="4" t="n">
        <v>150000</v>
      </c>
      <c r="L1148" s="5" t="n">
        <v>0.82353</v>
      </c>
      <c r="M1148" s="4" t="n">
        <v>13</v>
      </c>
      <c r="N1148" s="4" t="n">
        <v>0</v>
      </c>
      <c r="O1148" s="4" t="n">
        <v>0</v>
      </c>
      <c r="P1148" s="4" t="n">
        <v>0</v>
      </c>
      <c r="Q1148" s="4" t="n">
        <v>0</v>
      </c>
      <c r="R1148" s="4" t="n">
        <f aca="false">M1148+N1148+O1148+P1148+Q1148</f>
        <v>13</v>
      </c>
      <c r="S1148" s="4" t="n">
        <v>6</v>
      </c>
      <c r="T1148" s="4" t="n">
        <f aca="false">R1148*K1148</f>
        <v>1950000</v>
      </c>
      <c r="U1148" s="9" t="n">
        <f aca="false">IFERROR(M1148/S1148,0)</f>
        <v>2.16666666666667</v>
      </c>
      <c r="V1148" s="5" t="n">
        <v>1</v>
      </c>
    </row>
    <row r="1149" customFormat="false" ht="15" hidden="false" customHeight="false" outlineLevel="0" collapsed="false">
      <c r="A1149" s="8" t="s">
        <v>199</v>
      </c>
      <c r="B1149" s="8" t="s">
        <v>22</v>
      </c>
      <c r="C1149" s="8" t="s">
        <v>1646</v>
      </c>
      <c r="D1149" s="8" t="n">
        <v>134270</v>
      </c>
      <c r="E1149" s="8" t="s">
        <v>1650</v>
      </c>
      <c r="F1149" s="8" t="s">
        <v>767</v>
      </c>
      <c r="G1149" s="8" t="s">
        <v>970</v>
      </c>
      <c r="H1149" s="8" t="s">
        <v>51</v>
      </c>
      <c r="I1149" s="8" t="s">
        <v>200</v>
      </c>
      <c r="J1149" s="4" t="n">
        <v>650000</v>
      </c>
      <c r="K1149" s="4" t="n">
        <v>151000</v>
      </c>
      <c r="L1149" s="5" t="n">
        <v>0.76923</v>
      </c>
      <c r="M1149" s="4" t="n">
        <v>8</v>
      </c>
      <c r="N1149" s="4" t="n">
        <v>0</v>
      </c>
      <c r="O1149" s="4" t="n">
        <v>0</v>
      </c>
      <c r="P1149" s="4" t="n">
        <v>0</v>
      </c>
      <c r="Q1149" s="4" t="n">
        <v>0</v>
      </c>
      <c r="R1149" s="4" t="n">
        <f aca="false">M1149+N1149+O1149+P1149+Q1149</f>
        <v>8</v>
      </c>
      <c r="S1149" s="4" t="n">
        <v>3</v>
      </c>
      <c r="T1149" s="4" t="n">
        <f aca="false">R1149*K1149</f>
        <v>1208000</v>
      </c>
      <c r="U1149" s="9" t="n">
        <f aca="false">IFERROR(M1149/S1149,0)</f>
        <v>2.66666666666667</v>
      </c>
      <c r="V1149" s="5" t="n">
        <v>1</v>
      </c>
    </row>
    <row r="1150" customFormat="false" ht="15" hidden="false" customHeight="false" outlineLevel="0" collapsed="false">
      <c r="A1150" s="8" t="s">
        <v>199</v>
      </c>
      <c r="B1150" s="8" t="s">
        <v>22</v>
      </c>
      <c r="C1150" s="8" t="s">
        <v>1646</v>
      </c>
      <c r="D1150" s="8" t="n">
        <v>134272</v>
      </c>
      <c r="E1150" s="8" t="s">
        <v>1014</v>
      </c>
      <c r="F1150" s="8" t="s">
        <v>767</v>
      </c>
      <c r="G1150" s="8" t="s">
        <v>970</v>
      </c>
      <c r="H1150" s="8" t="s">
        <v>51</v>
      </c>
      <c r="I1150" s="8" t="s">
        <v>200</v>
      </c>
      <c r="J1150" s="4" t="n">
        <v>1200000</v>
      </c>
      <c r="K1150" s="4" t="n">
        <v>150000</v>
      </c>
      <c r="L1150" s="5" t="n">
        <v>0.875</v>
      </c>
      <c r="M1150" s="4" t="n">
        <v>7</v>
      </c>
      <c r="N1150" s="4" t="n">
        <v>0</v>
      </c>
      <c r="O1150" s="4" t="n">
        <v>0</v>
      </c>
      <c r="P1150" s="4" t="n">
        <v>0</v>
      </c>
      <c r="Q1150" s="4" t="n">
        <v>0</v>
      </c>
      <c r="R1150" s="4" t="n">
        <f aca="false">M1150+N1150+O1150+P1150+Q1150</f>
        <v>7</v>
      </c>
      <c r="S1150" s="4" t="n">
        <v>6</v>
      </c>
      <c r="T1150" s="4" t="n">
        <f aca="false">R1150*K1150</f>
        <v>1050000</v>
      </c>
      <c r="U1150" s="9" t="n">
        <f aca="false">IFERROR(M1150/S1150,0)</f>
        <v>1.16666666666667</v>
      </c>
      <c r="V1150" s="5" t="n">
        <v>1</v>
      </c>
    </row>
    <row r="1151" customFormat="false" ht="15" hidden="false" customHeight="false" outlineLevel="0" collapsed="false">
      <c r="A1151" s="8" t="s">
        <v>199</v>
      </c>
      <c r="B1151" s="8" t="s">
        <v>22</v>
      </c>
      <c r="C1151" s="8" t="s">
        <v>1646</v>
      </c>
      <c r="D1151" s="8" t="n">
        <v>134267</v>
      </c>
      <c r="E1151" s="8" t="s">
        <v>1651</v>
      </c>
      <c r="F1151" s="8" t="s">
        <v>767</v>
      </c>
      <c r="G1151" s="8" t="s">
        <v>970</v>
      </c>
      <c r="H1151" s="8" t="s">
        <v>51</v>
      </c>
      <c r="I1151" s="8" t="s">
        <v>200</v>
      </c>
      <c r="J1151" s="4" t="n">
        <v>500000</v>
      </c>
      <c r="K1151" s="4" t="n">
        <v>150000</v>
      </c>
      <c r="L1151" s="5" t="n">
        <v>0.7</v>
      </c>
      <c r="M1151" s="4" t="n">
        <v>6</v>
      </c>
      <c r="N1151" s="4" t="n">
        <v>0</v>
      </c>
      <c r="O1151" s="4" t="n">
        <v>0</v>
      </c>
      <c r="P1151" s="4" t="n">
        <v>0</v>
      </c>
      <c r="Q1151" s="4" t="n">
        <v>0</v>
      </c>
      <c r="R1151" s="4" t="n">
        <f aca="false">M1151+N1151+O1151+P1151+Q1151</f>
        <v>6</v>
      </c>
      <c r="S1151" s="4" t="n">
        <v>1</v>
      </c>
      <c r="T1151" s="4" t="n">
        <f aca="false">R1151*K1151</f>
        <v>900000</v>
      </c>
      <c r="U1151" s="9" t="n">
        <f aca="false">IFERROR(M1151/S1151,0)</f>
        <v>6</v>
      </c>
      <c r="V1151" s="5" t="n">
        <v>1</v>
      </c>
    </row>
    <row r="1152" customFormat="false" ht="15" hidden="false" customHeight="false" outlineLevel="0" collapsed="false">
      <c r="A1152" s="8" t="s">
        <v>199</v>
      </c>
      <c r="B1152" s="8" t="s">
        <v>22</v>
      </c>
      <c r="C1152" s="8" t="s">
        <v>1646</v>
      </c>
      <c r="D1152" s="8" t="n">
        <v>134273</v>
      </c>
      <c r="E1152" s="8" t="s">
        <v>1013</v>
      </c>
      <c r="F1152" s="8" t="s">
        <v>767</v>
      </c>
      <c r="G1152" s="8" t="s">
        <v>970</v>
      </c>
      <c r="H1152" s="8" t="s">
        <v>51</v>
      </c>
      <c r="I1152" s="8" t="s">
        <v>200</v>
      </c>
      <c r="J1152" s="4" t="n">
        <v>1500000</v>
      </c>
      <c r="K1152" s="4" t="n">
        <v>150000</v>
      </c>
      <c r="L1152" s="5" t="n">
        <v>0.9</v>
      </c>
      <c r="M1152" s="4" t="n">
        <v>3</v>
      </c>
      <c r="N1152" s="4" t="n">
        <v>0</v>
      </c>
      <c r="O1152" s="4" t="n">
        <v>0</v>
      </c>
      <c r="P1152" s="4" t="n">
        <v>0</v>
      </c>
      <c r="Q1152" s="4" t="n">
        <v>0</v>
      </c>
      <c r="R1152" s="4" t="n">
        <f aca="false">M1152+N1152+O1152+P1152+Q1152</f>
        <v>3</v>
      </c>
      <c r="S1152" s="4" t="n">
        <v>1</v>
      </c>
      <c r="T1152" s="4" t="n">
        <f aca="false">R1152*K1152</f>
        <v>450000</v>
      </c>
      <c r="U1152" s="9" t="n">
        <f aca="false">IFERROR(M1152/S1152,0)</f>
        <v>3</v>
      </c>
      <c r="V1152" s="5" t="n">
        <v>1</v>
      </c>
    </row>
    <row r="1153" customFormat="false" ht="15" hidden="false" customHeight="false" outlineLevel="0" collapsed="false">
      <c r="A1153" s="8" t="s">
        <v>199</v>
      </c>
      <c r="B1153" s="8" t="s">
        <v>22</v>
      </c>
      <c r="C1153" s="8" t="s">
        <v>1646</v>
      </c>
      <c r="D1153" s="8" t="n">
        <v>134319</v>
      </c>
      <c r="E1153" s="8" t="s">
        <v>1652</v>
      </c>
      <c r="F1153" s="8" t="s">
        <v>767</v>
      </c>
      <c r="G1153" s="8" t="s">
        <v>970</v>
      </c>
      <c r="H1153" s="8" t="s">
        <v>51</v>
      </c>
      <c r="I1153" s="8" t="s">
        <v>200</v>
      </c>
      <c r="J1153" s="4" t="n">
        <v>850000</v>
      </c>
      <c r="K1153" s="4" t="n">
        <v>150000</v>
      </c>
      <c r="L1153" s="5" t="n">
        <v>0.82353</v>
      </c>
      <c r="M1153" s="4" t="n">
        <v>1</v>
      </c>
      <c r="N1153" s="4" t="n">
        <v>0</v>
      </c>
      <c r="O1153" s="4" t="n">
        <v>0</v>
      </c>
      <c r="P1153" s="4" t="n">
        <v>0</v>
      </c>
      <c r="Q1153" s="4" t="n">
        <v>0</v>
      </c>
      <c r="R1153" s="4" t="n">
        <f aca="false">M1153+N1153+O1153+P1153+Q1153</f>
        <v>1</v>
      </c>
      <c r="S1153" s="4" t="n">
        <v>1</v>
      </c>
      <c r="T1153" s="4" t="n">
        <f aca="false">R1153*K1153</f>
        <v>150000</v>
      </c>
      <c r="U1153" s="9" t="n">
        <f aca="false">IFERROR(M1153/S1153,0)</f>
        <v>1</v>
      </c>
      <c r="V1153" s="5" t="n">
        <v>1</v>
      </c>
    </row>
    <row r="1154" customFormat="false" ht="15" hidden="false" customHeight="false" outlineLevel="0" collapsed="false">
      <c r="A1154" s="8" t="s">
        <v>171</v>
      </c>
      <c r="B1154" s="8" t="s">
        <v>20</v>
      </c>
      <c r="C1154" s="8" t="s">
        <v>1045</v>
      </c>
      <c r="D1154" s="8" t="n">
        <v>100205</v>
      </c>
      <c r="E1154" s="8" t="s">
        <v>635</v>
      </c>
      <c r="F1154" s="8" t="s">
        <v>1044</v>
      </c>
      <c r="G1154" s="8" t="s">
        <v>961</v>
      </c>
      <c r="H1154" s="8" t="s">
        <v>51</v>
      </c>
      <c r="I1154" s="8" t="s">
        <v>172</v>
      </c>
      <c r="J1154" s="4" t="n">
        <v>350000</v>
      </c>
      <c r="K1154" s="4" t="n">
        <v>300000</v>
      </c>
      <c r="L1154" s="5" t="n">
        <v>0.14571</v>
      </c>
      <c r="M1154" s="4" t="n">
        <v>200</v>
      </c>
      <c r="N1154" s="4" t="n">
        <v>36</v>
      </c>
      <c r="O1154" s="4" t="n">
        <v>30</v>
      </c>
      <c r="P1154" s="4" t="n">
        <v>0</v>
      </c>
      <c r="Q1154" s="4" t="n">
        <v>10</v>
      </c>
      <c r="R1154" s="4" t="n">
        <f aca="false">M1154+N1154+O1154+P1154+Q1154</f>
        <v>276</v>
      </c>
      <c r="S1154" s="4" t="n">
        <v>24</v>
      </c>
      <c r="T1154" s="4" t="n">
        <f aca="false">R1154*K1154</f>
        <v>82800000</v>
      </c>
      <c r="U1154" s="9" t="n">
        <f aca="false">IFERROR(M1154/S1154,0)</f>
        <v>8.33333333333333</v>
      </c>
      <c r="V1154" s="5" t="n">
        <v>0.1667</v>
      </c>
    </row>
    <row r="1155" customFormat="false" ht="15" hidden="false" customHeight="false" outlineLevel="0" collapsed="false">
      <c r="A1155" s="8" t="s">
        <v>193</v>
      </c>
      <c r="B1155" s="8" t="s">
        <v>31</v>
      </c>
      <c r="C1155" s="8" t="s">
        <v>1402</v>
      </c>
      <c r="D1155" s="8" t="n">
        <v>173708</v>
      </c>
      <c r="E1155" s="8" t="s">
        <v>759</v>
      </c>
      <c r="F1155" s="8" t="s">
        <v>809</v>
      </c>
      <c r="G1155" s="8" t="s">
        <v>961</v>
      </c>
      <c r="H1155" s="8" t="s">
        <v>51</v>
      </c>
      <c r="I1155" s="8" t="s">
        <v>194</v>
      </c>
      <c r="J1155" s="4" t="n">
        <v>200000</v>
      </c>
      <c r="K1155" s="4" t="n">
        <v>200000</v>
      </c>
      <c r="L1155" s="5"/>
      <c r="M1155" s="4" t="n">
        <v>234</v>
      </c>
      <c r="N1155" s="4" t="n">
        <v>0</v>
      </c>
      <c r="O1155" s="4" t="n">
        <v>24</v>
      </c>
      <c r="P1155" s="4" t="n">
        <v>0</v>
      </c>
      <c r="Q1155" s="4" t="n">
        <v>3</v>
      </c>
      <c r="R1155" s="4" t="n">
        <f aca="false">M1155+N1155+O1155+P1155+Q1155</f>
        <v>261</v>
      </c>
      <c r="S1155" s="4" t="n">
        <v>23</v>
      </c>
      <c r="T1155" s="4" t="n">
        <f aca="false">R1155*K1155</f>
        <v>52200000</v>
      </c>
      <c r="U1155" s="9" t="n">
        <f aca="false">IFERROR(M1155/S1155,0)</f>
        <v>10.1739130434783</v>
      </c>
      <c r="V1155" s="5" t="n">
        <v>0.216</v>
      </c>
    </row>
    <row r="1156" customFormat="false" ht="15" hidden="false" customHeight="false" outlineLevel="0" collapsed="false">
      <c r="A1156" s="8" t="s">
        <v>179</v>
      </c>
      <c r="B1156" s="8" t="s">
        <v>20</v>
      </c>
      <c r="C1156" s="8" t="s">
        <v>1045</v>
      </c>
      <c r="D1156" s="8" t="n">
        <v>101452</v>
      </c>
      <c r="E1156" s="8" t="s">
        <v>636</v>
      </c>
      <c r="F1156" s="8" t="s">
        <v>809</v>
      </c>
      <c r="G1156" s="8" t="s">
        <v>961</v>
      </c>
      <c r="H1156" s="8" t="s">
        <v>62</v>
      </c>
      <c r="I1156" s="8" t="s">
        <v>180</v>
      </c>
      <c r="J1156" s="4" t="n">
        <v>350000</v>
      </c>
      <c r="K1156" s="4" t="n">
        <v>275000</v>
      </c>
      <c r="L1156" s="5" t="n">
        <v>0.21429</v>
      </c>
      <c r="M1156" s="4" t="n">
        <v>128</v>
      </c>
      <c r="N1156" s="4" t="n">
        <v>0</v>
      </c>
      <c r="O1156" s="4" t="n">
        <v>16</v>
      </c>
      <c r="P1156" s="4" t="n">
        <v>0</v>
      </c>
      <c r="Q1156" s="4" t="n">
        <v>3</v>
      </c>
      <c r="R1156" s="4" t="n">
        <f aca="false">M1156+N1156+O1156+P1156+Q1156</f>
        <v>147</v>
      </c>
      <c r="S1156" s="4" t="n">
        <v>24</v>
      </c>
      <c r="T1156" s="4" t="n">
        <f aca="false">R1156*K1156</f>
        <v>40425000</v>
      </c>
      <c r="U1156" s="9" t="n">
        <f aca="false">IFERROR(M1156/S1156,0)</f>
        <v>5.33333333333333</v>
      </c>
      <c r="V1156" s="5"/>
    </row>
    <row r="1157" customFormat="false" ht="15" hidden="false" customHeight="false" outlineLevel="0" collapsed="false">
      <c r="A1157" s="8" t="s">
        <v>179</v>
      </c>
      <c r="B1157" s="8" t="s">
        <v>20</v>
      </c>
      <c r="C1157" s="8" t="s">
        <v>1045</v>
      </c>
      <c r="D1157" s="8" t="n">
        <v>101528</v>
      </c>
      <c r="E1157" s="8" t="s">
        <v>637</v>
      </c>
      <c r="F1157" s="8" t="s">
        <v>809</v>
      </c>
      <c r="G1157" s="8" t="s">
        <v>961</v>
      </c>
      <c r="H1157" s="8" t="s">
        <v>62</v>
      </c>
      <c r="I1157" s="8" t="s">
        <v>180</v>
      </c>
      <c r="J1157" s="4" t="n">
        <v>385000</v>
      </c>
      <c r="K1157" s="4" t="n">
        <v>302000</v>
      </c>
      <c r="L1157" s="5" t="n">
        <v>0.21429</v>
      </c>
      <c r="M1157" s="4" t="n">
        <v>103</v>
      </c>
      <c r="N1157" s="4" t="n">
        <v>0</v>
      </c>
      <c r="O1157" s="4" t="n">
        <v>0</v>
      </c>
      <c r="P1157" s="4" t="n">
        <v>0</v>
      </c>
      <c r="Q1157" s="4" t="n">
        <v>0</v>
      </c>
      <c r="R1157" s="4" t="n">
        <f aca="false">M1157+N1157+O1157+P1157+Q1157</f>
        <v>103</v>
      </c>
      <c r="S1157" s="4" t="n">
        <v>23</v>
      </c>
      <c r="T1157" s="4" t="n">
        <f aca="false">R1157*K1157</f>
        <v>31106000</v>
      </c>
      <c r="U1157" s="9" t="n">
        <f aca="false">IFERROR(M1157/S1157,0)</f>
        <v>4.47826086956522</v>
      </c>
      <c r="V1157" s="5"/>
    </row>
    <row r="1158" customFormat="false" ht="15" hidden="false" customHeight="false" outlineLevel="0" collapsed="false">
      <c r="A1158" s="8" t="s">
        <v>197</v>
      </c>
      <c r="B1158" s="8" t="s">
        <v>31</v>
      </c>
      <c r="C1158" s="8" t="s">
        <v>1402</v>
      </c>
      <c r="D1158" s="8" t="n">
        <v>151957</v>
      </c>
      <c r="E1158" s="8" t="s">
        <v>760</v>
      </c>
      <c r="F1158" s="8" t="s">
        <v>809</v>
      </c>
      <c r="G1158" s="8" t="s">
        <v>961</v>
      </c>
      <c r="H1158" s="8" t="s">
        <v>51</v>
      </c>
      <c r="I1158" s="8" t="s">
        <v>198</v>
      </c>
      <c r="J1158" s="4" t="n">
        <v>200000</v>
      </c>
      <c r="K1158" s="4" t="n">
        <v>200000</v>
      </c>
      <c r="L1158" s="5"/>
      <c r="M1158" s="4" t="n">
        <v>222</v>
      </c>
      <c r="N1158" s="4" t="n">
        <v>0</v>
      </c>
      <c r="O1158" s="4" t="n">
        <v>24</v>
      </c>
      <c r="P1158" s="4" t="n">
        <v>0</v>
      </c>
      <c r="Q1158" s="4" t="n">
        <v>3</v>
      </c>
      <c r="R1158" s="4" t="n">
        <f aca="false">M1158+N1158+O1158+P1158+Q1158</f>
        <v>249</v>
      </c>
      <c r="S1158" s="4" t="n">
        <v>22</v>
      </c>
      <c r="T1158" s="4" t="n">
        <f aca="false">R1158*K1158</f>
        <v>49800000</v>
      </c>
      <c r="U1158" s="9" t="n">
        <f aca="false">IFERROR(M1158/S1158,0)</f>
        <v>10.0909090909091</v>
      </c>
      <c r="V1158" s="5" t="n">
        <v>0.216</v>
      </c>
    </row>
    <row r="1159" customFormat="false" ht="15" hidden="false" customHeight="false" outlineLevel="0" collapsed="false">
      <c r="A1159" s="8" t="s">
        <v>220</v>
      </c>
      <c r="B1159" s="8" t="s">
        <v>28</v>
      </c>
      <c r="C1159" s="8" t="s">
        <v>1395</v>
      </c>
      <c r="D1159" s="8" t="n">
        <v>231042</v>
      </c>
      <c r="E1159" s="8" t="s">
        <v>754</v>
      </c>
      <c r="F1159" s="8" t="s">
        <v>809</v>
      </c>
      <c r="G1159" s="8" t="s">
        <v>961</v>
      </c>
      <c r="H1159" s="8" t="s">
        <v>55</v>
      </c>
      <c r="I1159" s="8" t="s">
        <v>221</v>
      </c>
      <c r="J1159" s="4" t="n">
        <v>269000</v>
      </c>
      <c r="K1159" s="4" t="n">
        <v>134000</v>
      </c>
      <c r="L1159" s="5" t="n">
        <v>0.5</v>
      </c>
      <c r="M1159" s="4" t="n">
        <v>236</v>
      </c>
      <c r="N1159" s="4" t="n">
        <v>0</v>
      </c>
      <c r="O1159" s="4" t="n">
        <v>0</v>
      </c>
      <c r="P1159" s="4" t="n">
        <v>0</v>
      </c>
      <c r="Q1159" s="4" t="n">
        <v>0</v>
      </c>
      <c r="R1159" s="4" t="n">
        <f aca="false">M1159+N1159+O1159+P1159+Q1159</f>
        <v>236</v>
      </c>
      <c r="S1159" s="4" t="n">
        <v>16</v>
      </c>
      <c r="T1159" s="4" t="n">
        <f aca="false">R1159*K1159</f>
        <v>31624000</v>
      </c>
      <c r="U1159" s="9" t="n">
        <f aca="false">IFERROR(M1159/S1159,0)</f>
        <v>14.75</v>
      </c>
      <c r="V1159" s="5"/>
    </row>
    <row r="1160" customFormat="false" ht="15" hidden="false" customHeight="false" outlineLevel="0" collapsed="false">
      <c r="A1160" s="8" t="s">
        <v>216</v>
      </c>
      <c r="B1160" s="8" t="s">
        <v>20</v>
      </c>
      <c r="C1160" s="8" t="s">
        <v>1048</v>
      </c>
      <c r="D1160" s="8" t="n">
        <v>230689</v>
      </c>
      <c r="E1160" s="8" t="s">
        <v>638</v>
      </c>
      <c r="F1160" s="8" t="s">
        <v>1044</v>
      </c>
      <c r="G1160" s="8" t="s">
        <v>961</v>
      </c>
      <c r="H1160" s="8" t="s">
        <v>51</v>
      </c>
      <c r="I1160" s="8" t="s">
        <v>217</v>
      </c>
      <c r="J1160" s="4" t="n">
        <v>350000</v>
      </c>
      <c r="K1160" s="4" t="n">
        <v>189000</v>
      </c>
      <c r="L1160" s="5" t="n">
        <v>0.46</v>
      </c>
      <c r="M1160" s="4" t="n">
        <v>149</v>
      </c>
      <c r="N1160" s="4" t="n">
        <v>0</v>
      </c>
      <c r="O1160" s="4" t="n">
        <v>36</v>
      </c>
      <c r="P1160" s="4" t="n">
        <v>0</v>
      </c>
      <c r="Q1160" s="4" t="n">
        <v>1</v>
      </c>
      <c r="R1160" s="4" t="n">
        <f aca="false">M1160+N1160+O1160+P1160+Q1160</f>
        <v>186</v>
      </c>
      <c r="S1160" s="4" t="n">
        <v>23</v>
      </c>
      <c r="T1160" s="4" t="n">
        <f aca="false">R1160*K1160</f>
        <v>35154000</v>
      </c>
      <c r="U1160" s="9" t="n">
        <f aca="false">IFERROR(M1160/S1160,0)</f>
        <v>6.47826086956522</v>
      </c>
      <c r="V1160" s="5" t="n">
        <v>0.2063</v>
      </c>
    </row>
    <row r="1161" customFormat="false" ht="15" hidden="false" customHeight="false" outlineLevel="0" collapsed="false">
      <c r="A1161" s="8" t="s">
        <v>207</v>
      </c>
      <c r="B1161" s="8" t="s">
        <v>21</v>
      </c>
      <c r="C1161" s="8" t="s">
        <v>1401</v>
      </c>
      <c r="D1161" s="8" t="n">
        <v>110447</v>
      </c>
      <c r="E1161" s="8" t="s">
        <v>663</v>
      </c>
      <c r="F1161" s="8" t="s">
        <v>1044</v>
      </c>
      <c r="G1161" s="8" t="s">
        <v>961</v>
      </c>
      <c r="H1161" s="8" t="s">
        <v>51</v>
      </c>
      <c r="I1161" s="8" t="s">
        <v>208</v>
      </c>
      <c r="J1161" s="4" t="n">
        <v>220000</v>
      </c>
      <c r="K1161" s="4" t="n">
        <v>220000</v>
      </c>
      <c r="L1161" s="5"/>
      <c r="M1161" s="4" t="n">
        <v>131</v>
      </c>
      <c r="N1161" s="4" t="n">
        <v>0</v>
      </c>
      <c r="O1161" s="4" t="n">
        <v>38</v>
      </c>
      <c r="P1161" s="4" t="n">
        <v>0</v>
      </c>
      <c r="Q1161" s="4" t="n">
        <v>17</v>
      </c>
      <c r="R1161" s="4" t="n">
        <f aca="false">M1161+N1161+O1161+P1161+Q1161</f>
        <v>186</v>
      </c>
      <c r="S1161" s="4" t="n">
        <v>23</v>
      </c>
      <c r="T1161" s="4" t="n">
        <f aca="false">R1161*K1161</f>
        <v>40920000</v>
      </c>
      <c r="U1161" s="9" t="n">
        <f aca="false">IFERROR(M1161/S1161,0)</f>
        <v>5.69565217391304</v>
      </c>
      <c r="V1161" s="5" t="n">
        <v>0.2427</v>
      </c>
    </row>
    <row r="1162" customFormat="false" ht="15" hidden="false" customHeight="false" outlineLevel="0" collapsed="false">
      <c r="A1162" s="8" t="s">
        <v>247</v>
      </c>
      <c r="B1162" s="8" t="s">
        <v>20</v>
      </c>
      <c r="C1162" s="8" t="s">
        <v>1052</v>
      </c>
      <c r="D1162" s="8" t="n">
        <v>101728</v>
      </c>
      <c r="E1162" s="8" t="s">
        <v>639</v>
      </c>
      <c r="F1162" s="8" t="s">
        <v>767</v>
      </c>
      <c r="G1162" s="8" t="s">
        <v>961</v>
      </c>
      <c r="H1162" s="8" t="s">
        <v>55</v>
      </c>
      <c r="I1162" s="8" t="s">
        <v>248</v>
      </c>
      <c r="J1162" s="4" t="n">
        <v>90000</v>
      </c>
      <c r="K1162" s="4" t="n">
        <v>45000</v>
      </c>
      <c r="L1162" s="5" t="n">
        <v>0.5</v>
      </c>
      <c r="M1162" s="4" t="n">
        <v>178</v>
      </c>
      <c r="N1162" s="4" t="n">
        <v>0</v>
      </c>
      <c r="O1162" s="4" t="n">
        <v>0</v>
      </c>
      <c r="P1162" s="4" t="n">
        <v>0</v>
      </c>
      <c r="Q1162" s="4" t="n">
        <v>0</v>
      </c>
      <c r="R1162" s="4" t="n">
        <f aca="false">M1162+N1162+O1162+P1162+Q1162</f>
        <v>178</v>
      </c>
      <c r="S1162" s="4" t="n">
        <v>17</v>
      </c>
      <c r="T1162" s="4" t="n">
        <f aca="false">R1162*K1162</f>
        <v>8010000</v>
      </c>
      <c r="U1162" s="9" t="n">
        <f aca="false">IFERROR(M1162/S1162,0)</f>
        <v>10.4705882352941</v>
      </c>
      <c r="V1162" s="5"/>
    </row>
    <row r="1163" customFormat="false" ht="15" hidden="false" customHeight="false" outlineLevel="0" collapsed="false">
      <c r="A1163" s="8" t="s">
        <v>249</v>
      </c>
      <c r="B1163" s="8" t="s">
        <v>31</v>
      </c>
      <c r="C1163" s="8" t="s">
        <v>1402</v>
      </c>
      <c r="D1163" s="8" t="n">
        <v>152336</v>
      </c>
      <c r="E1163" s="8" t="s">
        <v>761</v>
      </c>
      <c r="F1163" s="8" t="s">
        <v>809</v>
      </c>
      <c r="G1163" s="8" t="s">
        <v>970</v>
      </c>
      <c r="H1163" s="8" t="s">
        <v>51</v>
      </c>
      <c r="I1163" s="8" t="s">
        <v>250</v>
      </c>
      <c r="J1163" s="4" t="n">
        <v>115000</v>
      </c>
      <c r="K1163" s="4" t="n">
        <v>39000</v>
      </c>
      <c r="L1163" s="5" t="n">
        <v>0.66087</v>
      </c>
      <c r="M1163" s="4" t="n">
        <v>55</v>
      </c>
      <c r="N1163" s="4" t="n">
        <v>0</v>
      </c>
      <c r="O1163" s="4" t="n">
        <v>0</v>
      </c>
      <c r="P1163" s="4" t="n">
        <v>1</v>
      </c>
      <c r="Q1163" s="4" t="n">
        <v>0</v>
      </c>
      <c r="R1163" s="4" t="n">
        <f aca="false">M1163+N1163+O1163+P1163+Q1163</f>
        <v>56</v>
      </c>
      <c r="S1163" s="4" t="n">
        <v>6</v>
      </c>
      <c r="T1163" s="4" t="n">
        <f aca="false">R1163*K1163</f>
        <v>2184000</v>
      </c>
      <c r="U1163" s="9" t="n">
        <f aca="false">IFERROR(M1163/S1163,0)</f>
        <v>9.16666666666667</v>
      </c>
      <c r="V1163" s="5" t="n">
        <v>-0.6667</v>
      </c>
    </row>
    <row r="1164" customFormat="false" ht="15" hidden="false" customHeight="false" outlineLevel="0" collapsed="false">
      <c r="A1164" s="8" t="s">
        <v>249</v>
      </c>
      <c r="B1164" s="8" t="s">
        <v>31</v>
      </c>
      <c r="C1164" s="8" t="s">
        <v>1402</v>
      </c>
      <c r="D1164" s="8" t="n">
        <v>154463</v>
      </c>
      <c r="E1164" s="8" t="s">
        <v>964</v>
      </c>
      <c r="F1164" s="8" t="s">
        <v>1653</v>
      </c>
      <c r="G1164" s="8" t="s">
        <v>961</v>
      </c>
      <c r="H1164" s="8" t="s">
        <v>51</v>
      </c>
      <c r="I1164" s="8" t="s">
        <v>250</v>
      </c>
      <c r="J1164" s="4" t="n">
        <v>115000</v>
      </c>
      <c r="K1164" s="4" t="n">
        <v>39000</v>
      </c>
      <c r="L1164" s="5" t="n">
        <v>0.66087</v>
      </c>
      <c r="M1164" s="4" t="n">
        <v>45</v>
      </c>
      <c r="N1164" s="4" t="n">
        <v>0</v>
      </c>
      <c r="O1164" s="4" t="n">
        <v>0</v>
      </c>
      <c r="P1164" s="4" t="n">
        <v>0</v>
      </c>
      <c r="Q1164" s="4" t="n">
        <v>0</v>
      </c>
      <c r="R1164" s="4" t="n">
        <f aca="false">M1164+N1164+O1164+P1164+Q1164</f>
        <v>45</v>
      </c>
      <c r="S1164" s="4" t="n">
        <v>4</v>
      </c>
      <c r="T1164" s="4" t="n">
        <f aca="false">R1164*K1164</f>
        <v>1755000</v>
      </c>
      <c r="U1164" s="9" t="n">
        <f aca="false">IFERROR(M1164/S1164,0)</f>
        <v>11.25</v>
      </c>
      <c r="V1164" s="5" t="n">
        <v>-0.7949</v>
      </c>
    </row>
    <row r="1165" customFormat="false" ht="15" hidden="false" customHeight="false" outlineLevel="0" collapsed="false">
      <c r="A1165" s="8" t="s">
        <v>249</v>
      </c>
      <c r="B1165" s="8" t="s">
        <v>31</v>
      </c>
      <c r="C1165" s="8" t="s">
        <v>1402</v>
      </c>
      <c r="D1165" s="8" t="n">
        <v>154466</v>
      </c>
      <c r="E1165" s="8" t="s">
        <v>963</v>
      </c>
      <c r="F1165" s="8" t="s">
        <v>1653</v>
      </c>
      <c r="G1165" s="8" t="s">
        <v>961</v>
      </c>
      <c r="H1165" s="8" t="s">
        <v>51</v>
      </c>
      <c r="I1165" s="8" t="s">
        <v>250</v>
      </c>
      <c r="J1165" s="4" t="n">
        <v>115000</v>
      </c>
      <c r="K1165" s="4" t="n">
        <v>39000</v>
      </c>
      <c r="L1165" s="5" t="n">
        <v>0.66087</v>
      </c>
      <c r="M1165" s="4" t="n">
        <v>41</v>
      </c>
      <c r="N1165" s="4" t="n">
        <v>0</v>
      </c>
      <c r="O1165" s="4" t="n">
        <v>0</v>
      </c>
      <c r="P1165" s="4" t="n">
        <v>3</v>
      </c>
      <c r="Q1165" s="4" t="n">
        <v>0</v>
      </c>
      <c r="R1165" s="4" t="n">
        <f aca="false">M1165+N1165+O1165+P1165+Q1165</f>
        <v>44</v>
      </c>
      <c r="S1165" s="4" t="n">
        <v>6</v>
      </c>
      <c r="T1165" s="4" t="n">
        <f aca="false">R1165*K1165</f>
        <v>1716000</v>
      </c>
      <c r="U1165" s="9" t="n">
        <f aca="false">IFERROR(M1165/S1165,0)</f>
        <v>6.83333333333333</v>
      </c>
      <c r="V1165" s="5" t="n">
        <v>-0.8974</v>
      </c>
    </row>
    <row r="1166" customFormat="false" ht="15" hidden="false" customHeight="false" outlineLevel="0" collapsed="false">
      <c r="A1166" s="8" t="s">
        <v>249</v>
      </c>
      <c r="B1166" s="8" t="s">
        <v>31</v>
      </c>
      <c r="C1166" s="8" t="s">
        <v>1402</v>
      </c>
      <c r="D1166" s="8" t="n">
        <v>154470</v>
      </c>
      <c r="E1166" s="8" t="s">
        <v>962</v>
      </c>
      <c r="F1166" s="8" t="s">
        <v>1653</v>
      </c>
      <c r="G1166" s="8" t="s">
        <v>961</v>
      </c>
      <c r="H1166" s="8" t="s">
        <v>51</v>
      </c>
      <c r="I1166" s="8" t="s">
        <v>250</v>
      </c>
      <c r="J1166" s="4" t="n">
        <v>155000</v>
      </c>
      <c r="K1166" s="4" t="n">
        <v>39000</v>
      </c>
      <c r="L1166" s="5" t="n">
        <v>0.74839</v>
      </c>
      <c r="M1166" s="4" t="n">
        <v>17</v>
      </c>
      <c r="N1166" s="4" t="n">
        <v>0</v>
      </c>
      <c r="O1166" s="4" t="n">
        <v>0</v>
      </c>
      <c r="P1166" s="4" t="n">
        <v>1</v>
      </c>
      <c r="Q1166" s="4" t="n">
        <v>0</v>
      </c>
      <c r="R1166" s="4" t="n">
        <f aca="false">M1166+N1166+O1166+P1166+Q1166</f>
        <v>18</v>
      </c>
      <c r="S1166" s="4" t="n">
        <v>3</v>
      </c>
      <c r="T1166" s="4" t="n">
        <f aca="false">R1166*K1166</f>
        <v>702000</v>
      </c>
      <c r="U1166" s="9" t="n">
        <f aca="false">IFERROR(M1166/S1166,0)</f>
        <v>5.66666666666667</v>
      </c>
      <c r="V1166" s="5" t="n">
        <v>-1.4359</v>
      </c>
    </row>
    <row r="1167" customFormat="false" ht="15" hidden="false" customHeight="false" outlineLevel="0" collapsed="false">
      <c r="A1167" s="8" t="s">
        <v>249</v>
      </c>
      <c r="B1167" s="8" t="s">
        <v>31</v>
      </c>
      <c r="C1167" s="8" t="s">
        <v>1402</v>
      </c>
      <c r="D1167" s="8" t="n">
        <v>152337</v>
      </c>
      <c r="E1167" s="8" t="s">
        <v>1002</v>
      </c>
      <c r="F1167" s="8" t="s">
        <v>809</v>
      </c>
      <c r="G1167" s="8" t="s">
        <v>970</v>
      </c>
      <c r="H1167" s="8" t="s">
        <v>51</v>
      </c>
      <c r="I1167" s="8" t="s">
        <v>250</v>
      </c>
      <c r="J1167" s="4" t="n">
        <v>115000</v>
      </c>
      <c r="K1167" s="4" t="n">
        <v>39000</v>
      </c>
      <c r="L1167" s="5" t="n">
        <v>0.66087</v>
      </c>
      <c r="M1167" s="4" t="n">
        <v>5</v>
      </c>
      <c r="N1167" s="4" t="n">
        <v>0</v>
      </c>
      <c r="O1167" s="4" t="n">
        <v>0</v>
      </c>
      <c r="P1167" s="4" t="n">
        <v>0</v>
      </c>
      <c r="Q1167" s="4" t="n">
        <v>0</v>
      </c>
      <c r="R1167" s="4" t="n">
        <f aca="false">M1167+N1167+O1167+P1167+Q1167</f>
        <v>5</v>
      </c>
      <c r="S1167" s="4" t="n">
        <v>4</v>
      </c>
      <c r="T1167" s="4" t="n">
        <f aca="false">R1167*K1167</f>
        <v>195000</v>
      </c>
      <c r="U1167" s="9" t="n">
        <f aca="false">IFERROR(M1167/S1167,0)</f>
        <v>1.25</v>
      </c>
      <c r="V1167" s="5" t="n">
        <v>-0.7436</v>
      </c>
    </row>
    <row r="1168" customFormat="false" ht="15" hidden="false" customHeight="false" outlineLevel="0" collapsed="false">
      <c r="A1168" s="8" t="s">
        <v>249</v>
      </c>
      <c r="B1168" s="8" t="s">
        <v>31</v>
      </c>
      <c r="C1168" s="8" t="s">
        <v>1402</v>
      </c>
      <c r="D1168" s="8" t="n">
        <v>153714</v>
      </c>
      <c r="E1168" s="8" t="s">
        <v>1000</v>
      </c>
      <c r="F1168" s="8" t="s">
        <v>767</v>
      </c>
      <c r="G1168" s="8" t="s">
        <v>970</v>
      </c>
      <c r="H1168" s="8" t="s">
        <v>51</v>
      </c>
      <c r="I1168" s="8" t="s">
        <v>250</v>
      </c>
      <c r="J1168" s="4" t="n">
        <v>115000</v>
      </c>
      <c r="K1168" s="4" t="n">
        <v>39000</v>
      </c>
      <c r="L1168" s="5" t="n">
        <v>0.66087</v>
      </c>
      <c r="M1168" s="4" t="n">
        <v>1</v>
      </c>
      <c r="N1168" s="4" t="n">
        <v>0</v>
      </c>
      <c r="O1168" s="4" t="n">
        <v>0</v>
      </c>
      <c r="P1168" s="4" t="n">
        <v>0</v>
      </c>
      <c r="Q1168" s="4" t="n">
        <v>0</v>
      </c>
      <c r="R1168" s="4" t="n">
        <f aca="false">M1168+N1168+O1168+P1168+Q1168</f>
        <v>1</v>
      </c>
      <c r="S1168" s="4" t="n">
        <v>1</v>
      </c>
      <c r="T1168" s="4" t="n">
        <f aca="false">R1168*K1168</f>
        <v>39000</v>
      </c>
      <c r="U1168" s="9" t="n">
        <f aca="false">IFERROR(M1168/S1168,0)</f>
        <v>1</v>
      </c>
      <c r="V1168" s="5" t="n">
        <v>-1.2051</v>
      </c>
    </row>
    <row r="1169" customFormat="false" ht="15" hidden="false" customHeight="false" outlineLevel="0" collapsed="false">
      <c r="A1169" s="8" t="s">
        <v>249</v>
      </c>
      <c r="B1169" s="8" t="s">
        <v>31</v>
      </c>
      <c r="C1169" s="8" t="s">
        <v>1402</v>
      </c>
      <c r="D1169" s="8" t="n">
        <v>153713</v>
      </c>
      <c r="E1169" s="8" t="s">
        <v>966</v>
      </c>
      <c r="F1169" s="8" t="s">
        <v>809</v>
      </c>
      <c r="G1169" s="8" t="s">
        <v>961</v>
      </c>
      <c r="H1169" s="8" t="s">
        <v>51</v>
      </c>
      <c r="I1169" s="8" t="s">
        <v>250</v>
      </c>
      <c r="J1169" s="4" t="n">
        <v>115000</v>
      </c>
      <c r="K1169" s="4" t="n">
        <v>39000</v>
      </c>
      <c r="L1169" s="5" t="n">
        <v>0.66087</v>
      </c>
      <c r="M1169" s="4" t="n">
        <v>0</v>
      </c>
      <c r="N1169" s="4" t="n">
        <v>0</v>
      </c>
      <c r="O1169" s="4" t="n">
        <v>0</v>
      </c>
      <c r="P1169" s="4" t="n">
        <v>1</v>
      </c>
      <c r="Q1169" s="4" t="n">
        <v>0</v>
      </c>
      <c r="R1169" s="4" t="n">
        <f aca="false">M1169+N1169+O1169+P1169+Q1169</f>
        <v>1</v>
      </c>
      <c r="S1169" s="4" t="n">
        <v>0</v>
      </c>
      <c r="T1169" s="4" t="n">
        <f aca="false">R1169*K1169</f>
        <v>39000</v>
      </c>
      <c r="U1169" s="9" t="n">
        <f aca="false">IFERROR(M1169/S1169,0)</f>
        <v>0</v>
      </c>
      <c r="V1169" s="5" t="n">
        <v>-0.7436</v>
      </c>
    </row>
    <row r="1170" customFormat="false" ht="15" hidden="false" customHeight="false" outlineLevel="0" collapsed="false">
      <c r="A1170" s="8" t="s">
        <v>257</v>
      </c>
      <c r="B1170" s="8" t="s">
        <v>22</v>
      </c>
      <c r="C1170" s="8" t="s">
        <v>1646</v>
      </c>
      <c r="D1170" s="8" t="n">
        <v>134331</v>
      </c>
      <c r="E1170" s="8" t="s">
        <v>680</v>
      </c>
      <c r="F1170" s="8" t="s">
        <v>767</v>
      </c>
      <c r="G1170" s="8" t="s">
        <v>970</v>
      </c>
      <c r="H1170" s="8" t="s">
        <v>51</v>
      </c>
      <c r="I1170" s="8" t="s">
        <v>258</v>
      </c>
      <c r="J1170" s="4" t="n">
        <v>69000</v>
      </c>
      <c r="K1170" s="4" t="n">
        <v>19000</v>
      </c>
      <c r="L1170" s="5" t="n">
        <v>0.72464</v>
      </c>
      <c r="M1170" s="4" t="n">
        <v>89</v>
      </c>
      <c r="N1170" s="4" t="n">
        <v>0</v>
      </c>
      <c r="O1170" s="4" t="n">
        <v>0</v>
      </c>
      <c r="P1170" s="4" t="n">
        <v>0</v>
      </c>
      <c r="Q1170" s="4" t="n">
        <v>0</v>
      </c>
      <c r="R1170" s="4" t="n">
        <f aca="false">M1170+N1170+O1170+P1170+Q1170</f>
        <v>89</v>
      </c>
      <c r="S1170" s="4" t="n">
        <v>17</v>
      </c>
      <c r="T1170" s="4" t="n">
        <f aca="false">R1170*K1170</f>
        <v>1691000</v>
      </c>
      <c r="U1170" s="9" t="n">
        <f aca="false">IFERROR(M1170/S1170,0)</f>
        <v>5.23529411764706</v>
      </c>
      <c r="V1170" s="5" t="n">
        <v>1</v>
      </c>
    </row>
    <row r="1171" customFormat="false" ht="15" hidden="false" customHeight="false" outlineLevel="0" collapsed="false">
      <c r="A1171" s="8" t="s">
        <v>257</v>
      </c>
      <c r="B1171" s="8" t="s">
        <v>22</v>
      </c>
      <c r="C1171" s="8" t="s">
        <v>1646</v>
      </c>
      <c r="D1171" s="8" t="n">
        <v>134312</v>
      </c>
      <c r="E1171" s="8" t="s">
        <v>1654</v>
      </c>
      <c r="F1171" s="8" t="s">
        <v>767</v>
      </c>
      <c r="G1171" s="8" t="s">
        <v>970</v>
      </c>
      <c r="H1171" s="8" t="s">
        <v>51</v>
      </c>
      <c r="I1171" s="8" t="s">
        <v>258</v>
      </c>
      <c r="J1171" s="4" t="n">
        <v>79000</v>
      </c>
      <c r="K1171" s="4" t="n">
        <v>20000</v>
      </c>
      <c r="L1171" s="5" t="n">
        <v>0.75949</v>
      </c>
      <c r="M1171" s="4" t="n">
        <v>22</v>
      </c>
      <c r="N1171" s="4" t="n">
        <v>0</v>
      </c>
      <c r="O1171" s="4" t="n">
        <v>0</v>
      </c>
      <c r="P1171" s="4" t="n">
        <v>0</v>
      </c>
      <c r="Q1171" s="4" t="n">
        <v>0</v>
      </c>
      <c r="R1171" s="4" t="n">
        <f aca="false">M1171+N1171+O1171+P1171+Q1171</f>
        <v>22</v>
      </c>
      <c r="S1171" s="4" t="n">
        <v>3</v>
      </c>
      <c r="T1171" s="4" t="n">
        <f aca="false">R1171*K1171</f>
        <v>440000</v>
      </c>
      <c r="U1171" s="9" t="n">
        <f aca="false">IFERROR(M1171/S1171,0)</f>
        <v>7.33333333333333</v>
      </c>
      <c r="V1171" s="5" t="n">
        <v>1</v>
      </c>
    </row>
    <row r="1172" customFormat="false" ht="15" hidden="false" customHeight="false" outlineLevel="0" collapsed="false">
      <c r="A1172" s="8" t="s">
        <v>257</v>
      </c>
      <c r="B1172" s="8" t="s">
        <v>22</v>
      </c>
      <c r="C1172" s="8" t="s">
        <v>1646</v>
      </c>
      <c r="D1172" s="8" t="n">
        <v>134306</v>
      </c>
      <c r="E1172" s="8" t="s">
        <v>1655</v>
      </c>
      <c r="F1172" s="8" t="s">
        <v>767</v>
      </c>
      <c r="G1172" s="8" t="s">
        <v>970</v>
      </c>
      <c r="H1172" s="8" t="s">
        <v>51</v>
      </c>
      <c r="I1172" s="8" t="s">
        <v>258</v>
      </c>
      <c r="J1172" s="4" t="n">
        <v>95000</v>
      </c>
      <c r="K1172" s="4" t="n">
        <v>19000</v>
      </c>
      <c r="L1172" s="5" t="n">
        <v>0.8</v>
      </c>
      <c r="M1172" s="4" t="n">
        <v>15</v>
      </c>
      <c r="N1172" s="4" t="n">
        <v>0</v>
      </c>
      <c r="O1172" s="4" t="n">
        <v>0</v>
      </c>
      <c r="P1172" s="4" t="n">
        <v>0</v>
      </c>
      <c r="Q1172" s="4" t="n">
        <v>0</v>
      </c>
      <c r="R1172" s="4" t="n">
        <f aca="false">M1172+N1172+O1172+P1172+Q1172</f>
        <v>15</v>
      </c>
      <c r="S1172" s="4" t="n">
        <v>3</v>
      </c>
      <c r="T1172" s="4" t="n">
        <f aca="false">R1172*K1172</f>
        <v>285000</v>
      </c>
      <c r="U1172" s="9" t="n">
        <f aca="false">IFERROR(M1172/S1172,0)</f>
        <v>5</v>
      </c>
      <c r="V1172" s="5" t="n">
        <v>1</v>
      </c>
    </row>
    <row r="1173" customFormat="false" ht="15" hidden="false" customHeight="false" outlineLevel="0" collapsed="false">
      <c r="A1173" s="8" t="s">
        <v>257</v>
      </c>
      <c r="B1173" s="8" t="s">
        <v>22</v>
      </c>
      <c r="C1173" s="8" t="s">
        <v>1646</v>
      </c>
      <c r="D1173" s="8" t="n">
        <v>134308</v>
      </c>
      <c r="E1173" s="8" t="s">
        <v>1656</v>
      </c>
      <c r="F1173" s="8" t="s">
        <v>767</v>
      </c>
      <c r="G1173" s="8" t="s">
        <v>970</v>
      </c>
      <c r="H1173" s="8" t="s">
        <v>51</v>
      </c>
      <c r="I1173" s="8" t="s">
        <v>258</v>
      </c>
      <c r="J1173" s="4" t="n">
        <v>95000</v>
      </c>
      <c r="K1173" s="4" t="n">
        <v>19000</v>
      </c>
      <c r="L1173" s="5" t="n">
        <v>0.8</v>
      </c>
      <c r="M1173" s="4" t="n">
        <v>1</v>
      </c>
      <c r="N1173" s="4" t="n">
        <v>0</v>
      </c>
      <c r="O1173" s="4" t="n">
        <v>0</v>
      </c>
      <c r="P1173" s="4" t="n">
        <v>0</v>
      </c>
      <c r="Q1173" s="4" t="n">
        <v>0</v>
      </c>
      <c r="R1173" s="4" t="n">
        <f aca="false">M1173+N1173+O1173+P1173+Q1173</f>
        <v>1</v>
      </c>
      <c r="S1173" s="4" t="n">
        <v>1</v>
      </c>
      <c r="T1173" s="4" t="n">
        <f aca="false">R1173*K1173</f>
        <v>19000</v>
      </c>
      <c r="U1173" s="9" t="n">
        <f aca="false">IFERROR(M1173/S1173,0)</f>
        <v>1</v>
      </c>
      <c r="V1173" s="5" t="n">
        <v>1</v>
      </c>
    </row>
    <row r="1174" customFormat="false" ht="15" hidden="false" customHeight="false" outlineLevel="0" collapsed="false">
      <c r="A1174" s="8" t="s">
        <v>257</v>
      </c>
      <c r="B1174" s="8" t="s">
        <v>22</v>
      </c>
      <c r="C1174" s="8" t="s">
        <v>1646</v>
      </c>
      <c r="D1174" s="8" t="n">
        <v>134309</v>
      </c>
      <c r="E1174" s="8" t="s">
        <v>1657</v>
      </c>
      <c r="F1174" s="8" t="s">
        <v>767</v>
      </c>
      <c r="G1174" s="8" t="s">
        <v>970</v>
      </c>
      <c r="H1174" s="8" t="s">
        <v>51</v>
      </c>
      <c r="I1174" s="8" t="s">
        <v>258</v>
      </c>
      <c r="J1174" s="4" t="n">
        <v>95000</v>
      </c>
      <c r="K1174" s="4" t="n">
        <v>19000</v>
      </c>
      <c r="L1174" s="5" t="n">
        <v>0.8</v>
      </c>
      <c r="M1174" s="4" t="n">
        <v>1</v>
      </c>
      <c r="N1174" s="4" t="n">
        <v>0</v>
      </c>
      <c r="O1174" s="4" t="n">
        <v>0</v>
      </c>
      <c r="P1174" s="4" t="n">
        <v>0</v>
      </c>
      <c r="Q1174" s="4" t="n">
        <v>0</v>
      </c>
      <c r="R1174" s="4" t="n">
        <f aca="false">M1174+N1174+O1174+P1174+Q1174</f>
        <v>1</v>
      </c>
      <c r="S1174" s="4" t="n">
        <v>1</v>
      </c>
      <c r="T1174" s="4" t="n">
        <f aca="false">R1174*K1174</f>
        <v>19000</v>
      </c>
      <c r="U1174" s="9" t="n">
        <f aca="false">IFERROR(M1174/S1174,0)</f>
        <v>1</v>
      </c>
      <c r="V1174" s="5" t="n">
        <v>1</v>
      </c>
    </row>
    <row r="1175" customFormat="false" ht="15" hidden="false" customHeight="false" outlineLevel="0" collapsed="false">
      <c r="A1175" s="8" t="s">
        <v>257</v>
      </c>
      <c r="B1175" s="8" t="s">
        <v>22</v>
      </c>
      <c r="C1175" s="8" t="s">
        <v>1646</v>
      </c>
      <c r="D1175" s="8" t="n">
        <v>134311</v>
      </c>
      <c r="E1175" s="8" t="s">
        <v>810</v>
      </c>
      <c r="F1175" s="8" t="s">
        <v>767</v>
      </c>
      <c r="G1175" s="8" t="s">
        <v>970</v>
      </c>
      <c r="H1175" s="8" t="s">
        <v>51</v>
      </c>
      <c r="I1175" s="8" t="s">
        <v>258</v>
      </c>
      <c r="J1175" s="4" t="n">
        <v>79000</v>
      </c>
      <c r="K1175" s="4" t="n">
        <v>20000</v>
      </c>
      <c r="L1175" s="5" t="n">
        <v>0.75949</v>
      </c>
      <c r="M1175" s="4" t="n">
        <v>0</v>
      </c>
      <c r="N1175" s="4" t="n">
        <v>0</v>
      </c>
      <c r="O1175" s="4" t="n">
        <v>0</v>
      </c>
      <c r="P1175" s="4" t="n">
        <v>0</v>
      </c>
      <c r="Q1175" s="4" t="n">
        <v>0</v>
      </c>
      <c r="R1175" s="4" t="n">
        <f aca="false">M1175+N1175+O1175+P1175+Q1175</f>
        <v>0</v>
      </c>
      <c r="S1175" s="4" t="n">
        <v>0</v>
      </c>
      <c r="T1175" s="4" t="n">
        <f aca="false">R1175*K1175</f>
        <v>0</v>
      </c>
      <c r="U1175" s="9" t="n">
        <f aca="false">IFERROR(M1175/S1175,0)</f>
        <v>0</v>
      </c>
      <c r="V1175" s="5" t="n">
        <v>1</v>
      </c>
    </row>
    <row r="1176" customFormat="false" ht="15" hidden="false" customHeight="false" outlineLevel="0" collapsed="false">
      <c r="A1176" s="8" t="s">
        <v>241</v>
      </c>
      <c r="B1176" s="8" t="s">
        <v>22</v>
      </c>
      <c r="C1176" s="8" t="s">
        <v>1646</v>
      </c>
      <c r="D1176" s="8" t="n">
        <v>134328</v>
      </c>
      <c r="E1176" s="8" t="s">
        <v>1658</v>
      </c>
      <c r="F1176" s="8" t="s">
        <v>767</v>
      </c>
      <c r="G1176" s="8" t="s">
        <v>970</v>
      </c>
      <c r="H1176" s="8" t="s">
        <v>51</v>
      </c>
      <c r="I1176" s="8" t="s">
        <v>242</v>
      </c>
      <c r="J1176" s="4" t="n">
        <v>250000</v>
      </c>
      <c r="K1176" s="4" t="n">
        <v>99000</v>
      </c>
      <c r="L1176" s="5" t="n">
        <v>0.604</v>
      </c>
      <c r="M1176" s="4" t="n">
        <v>27</v>
      </c>
      <c r="N1176" s="4" t="n">
        <v>0</v>
      </c>
      <c r="O1176" s="4" t="n">
        <v>0</v>
      </c>
      <c r="P1176" s="4" t="n">
        <v>0</v>
      </c>
      <c r="Q1176" s="4" t="n">
        <v>0</v>
      </c>
      <c r="R1176" s="4" t="n">
        <f aca="false">M1176+N1176+O1176+P1176+Q1176</f>
        <v>27</v>
      </c>
      <c r="S1176" s="4" t="n">
        <v>8</v>
      </c>
      <c r="T1176" s="4" t="n">
        <f aca="false">R1176*K1176</f>
        <v>2673000</v>
      </c>
      <c r="U1176" s="9" t="n">
        <f aca="false">IFERROR(M1176/S1176,0)</f>
        <v>3.375</v>
      </c>
      <c r="V1176" s="5" t="n">
        <v>1</v>
      </c>
    </row>
    <row r="1177" customFormat="false" ht="15" hidden="false" customHeight="false" outlineLevel="0" collapsed="false">
      <c r="A1177" s="8" t="s">
        <v>241</v>
      </c>
      <c r="B1177" s="8" t="s">
        <v>22</v>
      </c>
      <c r="C1177" s="8" t="s">
        <v>1646</v>
      </c>
      <c r="D1177" s="8" t="n">
        <v>134329</v>
      </c>
      <c r="E1177" s="8" t="s">
        <v>1020</v>
      </c>
      <c r="F1177" s="8" t="s">
        <v>767</v>
      </c>
      <c r="G1177" s="8" t="s">
        <v>970</v>
      </c>
      <c r="H1177" s="8" t="s">
        <v>51</v>
      </c>
      <c r="I1177" s="8" t="s">
        <v>242</v>
      </c>
      <c r="J1177" s="4" t="n">
        <v>550000</v>
      </c>
      <c r="K1177" s="4" t="n">
        <v>99000</v>
      </c>
      <c r="L1177" s="5" t="n">
        <v>0.82</v>
      </c>
      <c r="M1177" s="4" t="n">
        <v>23</v>
      </c>
      <c r="N1177" s="4" t="n">
        <v>0</v>
      </c>
      <c r="O1177" s="4" t="n">
        <v>0</v>
      </c>
      <c r="P1177" s="4" t="n">
        <v>0</v>
      </c>
      <c r="Q1177" s="4" t="n">
        <v>0</v>
      </c>
      <c r="R1177" s="4" t="n">
        <f aca="false">M1177+N1177+O1177+P1177+Q1177</f>
        <v>23</v>
      </c>
      <c r="S1177" s="4" t="n">
        <v>6</v>
      </c>
      <c r="T1177" s="4" t="n">
        <f aca="false">R1177*K1177</f>
        <v>2277000</v>
      </c>
      <c r="U1177" s="9" t="n">
        <f aca="false">IFERROR(M1177/S1177,0)</f>
        <v>3.83333333333333</v>
      </c>
      <c r="V1177" s="5" t="n">
        <v>1</v>
      </c>
    </row>
    <row r="1178" customFormat="false" ht="15" hidden="false" customHeight="false" outlineLevel="0" collapsed="false">
      <c r="A1178" s="8" t="s">
        <v>241</v>
      </c>
      <c r="B1178" s="8" t="s">
        <v>22</v>
      </c>
      <c r="C1178" s="8" t="s">
        <v>1646</v>
      </c>
      <c r="D1178" s="8" t="n">
        <v>134261</v>
      </c>
      <c r="E1178" s="8" t="s">
        <v>1659</v>
      </c>
      <c r="F1178" s="8" t="s">
        <v>767</v>
      </c>
      <c r="G1178" s="8" t="s">
        <v>970</v>
      </c>
      <c r="H1178" s="8" t="s">
        <v>51</v>
      </c>
      <c r="I1178" s="8" t="s">
        <v>242</v>
      </c>
      <c r="J1178" s="4" t="n">
        <v>450000</v>
      </c>
      <c r="K1178" s="4" t="n">
        <v>99000</v>
      </c>
      <c r="L1178" s="5" t="n">
        <v>0.78</v>
      </c>
      <c r="M1178" s="4" t="n">
        <v>12</v>
      </c>
      <c r="N1178" s="4" t="n">
        <v>0</v>
      </c>
      <c r="O1178" s="4" t="n">
        <v>0</v>
      </c>
      <c r="P1178" s="4" t="n">
        <v>0</v>
      </c>
      <c r="Q1178" s="4" t="n">
        <v>0</v>
      </c>
      <c r="R1178" s="4" t="n">
        <f aca="false">M1178+N1178+O1178+P1178+Q1178</f>
        <v>12</v>
      </c>
      <c r="S1178" s="4" t="n">
        <v>6</v>
      </c>
      <c r="T1178" s="4" t="n">
        <f aca="false">R1178*K1178</f>
        <v>1188000</v>
      </c>
      <c r="U1178" s="9" t="n">
        <f aca="false">IFERROR(M1178/S1178,0)</f>
        <v>2</v>
      </c>
      <c r="V1178" s="5" t="n">
        <v>1</v>
      </c>
    </row>
    <row r="1179" customFormat="false" ht="15" hidden="false" customHeight="false" outlineLevel="0" collapsed="false">
      <c r="A1179" s="8" t="s">
        <v>241</v>
      </c>
      <c r="B1179" s="8" t="s">
        <v>22</v>
      </c>
      <c r="C1179" s="8" t="s">
        <v>1646</v>
      </c>
      <c r="D1179" s="8" t="n">
        <v>134317</v>
      </c>
      <c r="E1179" s="8" t="s">
        <v>1660</v>
      </c>
      <c r="F1179" s="8" t="s">
        <v>767</v>
      </c>
      <c r="G1179" s="8" t="s">
        <v>970</v>
      </c>
      <c r="H1179" s="8" t="s">
        <v>51</v>
      </c>
      <c r="I1179" s="8" t="s">
        <v>242</v>
      </c>
      <c r="J1179" s="4" t="n">
        <v>850000</v>
      </c>
      <c r="K1179" s="4" t="n">
        <v>99000</v>
      </c>
      <c r="L1179" s="5" t="n">
        <v>0.88353</v>
      </c>
      <c r="M1179" s="4" t="n">
        <v>9</v>
      </c>
      <c r="N1179" s="4" t="n">
        <v>0</v>
      </c>
      <c r="O1179" s="4" t="n">
        <v>0</v>
      </c>
      <c r="P1179" s="4" t="n">
        <v>0</v>
      </c>
      <c r="Q1179" s="4" t="n">
        <v>0</v>
      </c>
      <c r="R1179" s="4" t="n">
        <f aca="false">M1179+N1179+O1179+P1179+Q1179</f>
        <v>9</v>
      </c>
      <c r="S1179" s="4" t="n">
        <v>1</v>
      </c>
      <c r="T1179" s="4" t="n">
        <f aca="false">R1179*K1179</f>
        <v>891000</v>
      </c>
      <c r="U1179" s="9" t="n">
        <f aca="false">IFERROR(M1179/S1179,0)</f>
        <v>9</v>
      </c>
      <c r="V1179" s="5" t="n">
        <v>1</v>
      </c>
    </row>
    <row r="1180" customFormat="false" ht="15" hidden="false" customHeight="false" outlineLevel="0" collapsed="false">
      <c r="A1180" s="8" t="s">
        <v>241</v>
      </c>
      <c r="B1180" s="8" t="s">
        <v>22</v>
      </c>
      <c r="C1180" s="8" t="s">
        <v>1646</v>
      </c>
      <c r="D1180" s="8" t="n">
        <v>134315</v>
      </c>
      <c r="E1180" s="8" t="s">
        <v>1661</v>
      </c>
      <c r="F1180" s="8" t="s">
        <v>767</v>
      </c>
      <c r="G1180" s="8" t="s">
        <v>970</v>
      </c>
      <c r="H1180" s="8" t="s">
        <v>51</v>
      </c>
      <c r="I1180" s="8" t="s">
        <v>242</v>
      </c>
      <c r="J1180" s="4" t="n">
        <v>350000</v>
      </c>
      <c r="K1180" s="4" t="n">
        <v>100000</v>
      </c>
      <c r="L1180" s="5" t="n">
        <v>0.71714</v>
      </c>
      <c r="M1180" s="4" t="n">
        <v>8</v>
      </c>
      <c r="N1180" s="4" t="n">
        <v>0</v>
      </c>
      <c r="O1180" s="4" t="n">
        <v>0</v>
      </c>
      <c r="P1180" s="4" t="n">
        <v>0</v>
      </c>
      <c r="Q1180" s="4" t="n">
        <v>0</v>
      </c>
      <c r="R1180" s="4" t="n">
        <f aca="false">M1180+N1180+O1180+P1180+Q1180</f>
        <v>8</v>
      </c>
      <c r="S1180" s="4" t="n">
        <v>2</v>
      </c>
      <c r="T1180" s="4" t="n">
        <f aca="false">R1180*K1180</f>
        <v>800000</v>
      </c>
      <c r="U1180" s="9" t="n">
        <f aca="false">IFERROR(M1180/S1180,0)</f>
        <v>4</v>
      </c>
      <c r="V1180" s="5" t="n">
        <v>1</v>
      </c>
    </row>
    <row r="1181" customFormat="false" ht="15" hidden="false" customHeight="false" outlineLevel="0" collapsed="false">
      <c r="A1181" s="8" t="s">
        <v>241</v>
      </c>
      <c r="B1181" s="8" t="s">
        <v>22</v>
      </c>
      <c r="C1181" s="8" t="s">
        <v>1646</v>
      </c>
      <c r="D1181" s="8" t="n">
        <v>134260</v>
      </c>
      <c r="E1181" s="8" t="s">
        <v>812</v>
      </c>
      <c r="F1181" s="8" t="s">
        <v>767</v>
      </c>
      <c r="G1181" s="8" t="s">
        <v>970</v>
      </c>
      <c r="H1181" s="8" t="s">
        <v>51</v>
      </c>
      <c r="I1181" s="8" t="s">
        <v>242</v>
      </c>
      <c r="J1181" s="4" t="n">
        <v>350000</v>
      </c>
      <c r="K1181" s="4" t="n">
        <v>100000</v>
      </c>
      <c r="L1181" s="5" t="n">
        <v>0.71714</v>
      </c>
      <c r="M1181" s="4" t="n">
        <v>7</v>
      </c>
      <c r="N1181" s="4" t="n">
        <v>0</v>
      </c>
      <c r="O1181" s="4" t="n">
        <v>0</v>
      </c>
      <c r="P1181" s="4" t="n">
        <v>0</v>
      </c>
      <c r="Q1181" s="4" t="n">
        <v>0</v>
      </c>
      <c r="R1181" s="4" t="n">
        <f aca="false">M1181+N1181+O1181+P1181+Q1181</f>
        <v>7</v>
      </c>
      <c r="S1181" s="4" t="n">
        <v>3</v>
      </c>
      <c r="T1181" s="4" t="n">
        <f aca="false">R1181*K1181</f>
        <v>700000</v>
      </c>
      <c r="U1181" s="9" t="n">
        <f aca="false">IFERROR(M1181/S1181,0)</f>
        <v>2.33333333333333</v>
      </c>
      <c r="V1181" s="5" t="n">
        <v>1</v>
      </c>
    </row>
    <row r="1182" customFormat="false" ht="15" hidden="false" customHeight="false" outlineLevel="0" collapsed="false">
      <c r="A1182" s="8" t="s">
        <v>241</v>
      </c>
      <c r="B1182" s="8" t="s">
        <v>22</v>
      </c>
      <c r="C1182" s="8" t="s">
        <v>1646</v>
      </c>
      <c r="D1182" s="8" t="n">
        <v>134323</v>
      </c>
      <c r="E1182" s="8" t="s">
        <v>1662</v>
      </c>
      <c r="F1182" s="8" t="s">
        <v>767</v>
      </c>
      <c r="G1182" s="8" t="s">
        <v>970</v>
      </c>
      <c r="H1182" s="8" t="s">
        <v>51</v>
      </c>
      <c r="I1182" s="8" t="s">
        <v>242</v>
      </c>
      <c r="J1182" s="4" t="n">
        <v>450000</v>
      </c>
      <c r="K1182" s="4" t="n">
        <v>99000</v>
      </c>
      <c r="L1182" s="5" t="n">
        <v>0.78</v>
      </c>
      <c r="M1182" s="4" t="n">
        <v>6</v>
      </c>
      <c r="N1182" s="4" t="n">
        <v>0</v>
      </c>
      <c r="O1182" s="4" t="n">
        <v>0</v>
      </c>
      <c r="P1182" s="4" t="n">
        <v>0</v>
      </c>
      <c r="Q1182" s="4" t="n">
        <v>0</v>
      </c>
      <c r="R1182" s="4" t="n">
        <f aca="false">M1182+N1182+O1182+P1182+Q1182</f>
        <v>6</v>
      </c>
      <c r="S1182" s="4" t="n">
        <v>4</v>
      </c>
      <c r="T1182" s="4" t="n">
        <f aca="false">R1182*K1182</f>
        <v>594000</v>
      </c>
      <c r="U1182" s="9" t="n">
        <f aca="false">IFERROR(M1182/S1182,0)</f>
        <v>1.5</v>
      </c>
      <c r="V1182" s="5" t="n">
        <v>1</v>
      </c>
    </row>
    <row r="1183" customFormat="false" ht="15" hidden="false" customHeight="false" outlineLevel="0" collapsed="false">
      <c r="A1183" s="8" t="s">
        <v>241</v>
      </c>
      <c r="B1183" s="8" t="s">
        <v>22</v>
      </c>
      <c r="C1183" s="8" t="s">
        <v>1646</v>
      </c>
      <c r="D1183" s="8" t="n">
        <v>134299</v>
      </c>
      <c r="E1183" s="8" t="s">
        <v>1663</v>
      </c>
      <c r="F1183" s="8" t="s">
        <v>767</v>
      </c>
      <c r="G1183" s="8" t="s">
        <v>970</v>
      </c>
      <c r="H1183" s="8" t="s">
        <v>51</v>
      </c>
      <c r="I1183" s="8" t="s">
        <v>242</v>
      </c>
      <c r="J1183" s="4" t="n">
        <v>195000</v>
      </c>
      <c r="K1183" s="4" t="n">
        <v>99000</v>
      </c>
      <c r="L1183" s="5" t="n">
        <v>0.49231</v>
      </c>
      <c r="M1183" s="4" t="n">
        <v>6</v>
      </c>
      <c r="N1183" s="4" t="n">
        <v>0</v>
      </c>
      <c r="O1183" s="4" t="n">
        <v>0</v>
      </c>
      <c r="P1183" s="4" t="n">
        <v>0</v>
      </c>
      <c r="Q1183" s="4" t="n">
        <v>0</v>
      </c>
      <c r="R1183" s="4" t="n">
        <f aca="false">M1183+N1183+O1183+P1183+Q1183</f>
        <v>6</v>
      </c>
      <c r="S1183" s="4" t="n">
        <v>4</v>
      </c>
      <c r="T1183" s="4" t="n">
        <f aca="false">R1183*K1183</f>
        <v>594000</v>
      </c>
      <c r="U1183" s="9" t="n">
        <f aca="false">IFERROR(M1183/S1183,0)</f>
        <v>1.5</v>
      </c>
      <c r="V1183" s="5" t="n">
        <v>1</v>
      </c>
    </row>
    <row r="1184" customFormat="false" ht="15" hidden="false" customHeight="false" outlineLevel="0" collapsed="false">
      <c r="A1184" s="8" t="s">
        <v>241</v>
      </c>
      <c r="B1184" s="8" t="s">
        <v>22</v>
      </c>
      <c r="C1184" s="8" t="s">
        <v>1646</v>
      </c>
      <c r="D1184" s="8" t="n">
        <v>134316</v>
      </c>
      <c r="E1184" s="8" t="s">
        <v>1664</v>
      </c>
      <c r="F1184" s="8" t="s">
        <v>767</v>
      </c>
      <c r="G1184" s="8" t="s">
        <v>970</v>
      </c>
      <c r="H1184" s="8" t="s">
        <v>51</v>
      </c>
      <c r="I1184" s="8" t="s">
        <v>242</v>
      </c>
      <c r="J1184" s="4" t="n">
        <v>450000</v>
      </c>
      <c r="K1184" s="4" t="n">
        <v>99000</v>
      </c>
      <c r="L1184" s="5" t="n">
        <v>0.78</v>
      </c>
      <c r="M1184" s="4" t="n">
        <v>6</v>
      </c>
      <c r="N1184" s="4" t="n">
        <v>0</v>
      </c>
      <c r="O1184" s="4" t="n">
        <v>0</v>
      </c>
      <c r="P1184" s="4" t="n">
        <v>0</v>
      </c>
      <c r="Q1184" s="4" t="n">
        <v>0</v>
      </c>
      <c r="R1184" s="4" t="n">
        <f aca="false">M1184+N1184+O1184+P1184+Q1184</f>
        <v>6</v>
      </c>
      <c r="S1184" s="4" t="n">
        <v>2</v>
      </c>
      <c r="T1184" s="4" t="n">
        <f aca="false">R1184*K1184</f>
        <v>594000</v>
      </c>
      <c r="U1184" s="9" t="n">
        <f aca="false">IFERROR(M1184/S1184,0)</f>
        <v>3</v>
      </c>
      <c r="V1184" s="5" t="n">
        <v>1</v>
      </c>
    </row>
    <row r="1185" customFormat="false" ht="15" hidden="false" customHeight="false" outlineLevel="0" collapsed="false">
      <c r="A1185" s="8" t="s">
        <v>241</v>
      </c>
      <c r="B1185" s="8" t="s">
        <v>22</v>
      </c>
      <c r="C1185" s="8" t="s">
        <v>1646</v>
      </c>
      <c r="D1185" s="8" t="n">
        <v>134300</v>
      </c>
      <c r="E1185" s="8" t="s">
        <v>1665</v>
      </c>
      <c r="F1185" s="8" t="s">
        <v>767</v>
      </c>
      <c r="G1185" s="8" t="s">
        <v>970</v>
      </c>
      <c r="H1185" s="8" t="s">
        <v>51</v>
      </c>
      <c r="I1185" s="8" t="s">
        <v>242</v>
      </c>
      <c r="J1185" s="4" t="n">
        <v>150000</v>
      </c>
      <c r="K1185" s="4" t="n">
        <v>99000</v>
      </c>
      <c r="L1185" s="5" t="n">
        <v>0.34</v>
      </c>
      <c r="M1185" s="4" t="n">
        <v>1</v>
      </c>
      <c r="N1185" s="4" t="n">
        <v>0</v>
      </c>
      <c r="O1185" s="4" t="n">
        <v>0</v>
      </c>
      <c r="P1185" s="4" t="n">
        <v>0</v>
      </c>
      <c r="Q1185" s="4" t="n">
        <v>0</v>
      </c>
      <c r="R1185" s="4" t="n">
        <f aca="false">M1185+N1185+O1185+P1185+Q1185</f>
        <v>1</v>
      </c>
      <c r="S1185" s="4" t="n">
        <v>1</v>
      </c>
      <c r="T1185" s="4" t="n">
        <f aca="false">R1185*K1185</f>
        <v>99000</v>
      </c>
      <c r="U1185" s="9" t="n">
        <f aca="false">IFERROR(M1185/S1185,0)</f>
        <v>1</v>
      </c>
      <c r="V1185" s="5" t="n">
        <v>1</v>
      </c>
    </row>
    <row r="1186" customFormat="false" ht="15" hidden="false" customHeight="false" outlineLevel="0" collapsed="false">
      <c r="A1186" s="8" t="s">
        <v>241</v>
      </c>
      <c r="B1186" s="8" t="s">
        <v>22</v>
      </c>
      <c r="C1186" s="8" t="s">
        <v>1646</v>
      </c>
      <c r="D1186" s="8" t="n">
        <v>134263</v>
      </c>
      <c r="E1186" s="8" t="s">
        <v>1666</v>
      </c>
      <c r="F1186" s="8" t="s">
        <v>767</v>
      </c>
      <c r="G1186" s="8" t="s">
        <v>970</v>
      </c>
      <c r="H1186" s="8" t="s">
        <v>51</v>
      </c>
      <c r="I1186" s="8" t="s">
        <v>242</v>
      </c>
      <c r="J1186" s="4" t="n">
        <v>750000</v>
      </c>
      <c r="K1186" s="4" t="n">
        <v>99000</v>
      </c>
      <c r="L1186" s="5" t="n">
        <v>0.868</v>
      </c>
      <c r="M1186" s="4" t="n">
        <v>1</v>
      </c>
      <c r="N1186" s="4" t="n">
        <v>0</v>
      </c>
      <c r="O1186" s="4" t="n">
        <v>0</v>
      </c>
      <c r="P1186" s="4" t="n">
        <v>0</v>
      </c>
      <c r="Q1186" s="4" t="n">
        <v>0</v>
      </c>
      <c r="R1186" s="4" t="n">
        <f aca="false">M1186+N1186+O1186+P1186+Q1186</f>
        <v>1</v>
      </c>
      <c r="S1186" s="4" t="n">
        <v>1</v>
      </c>
      <c r="T1186" s="4" t="n">
        <f aca="false">R1186*K1186</f>
        <v>99000</v>
      </c>
      <c r="U1186" s="9" t="n">
        <f aca="false">IFERROR(M1186/S1186,0)</f>
        <v>1</v>
      </c>
      <c r="V1186" s="5" t="n">
        <v>1</v>
      </c>
    </row>
    <row r="1187" customFormat="false" ht="15" hidden="false" customHeight="false" outlineLevel="0" collapsed="false">
      <c r="A1187" s="8" t="s">
        <v>241</v>
      </c>
      <c r="B1187" s="8" t="s">
        <v>22</v>
      </c>
      <c r="C1187" s="8" t="s">
        <v>1646</v>
      </c>
      <c r="D1187" s="8" t="n">
        <v>134276</v>
      </c>
      <c r="E1187" s="8" t="s">
        <v>811</v>
      </c>
      <c r="F1187" s="8" t="s">
        <v>767</v>
      </c>
      <c r="G1187" s="8" t="s">
        <v>970</v>
      </c>
      <c r="H1187" s="8" t="s">
        <v>51</v>
      </c>
      <c r="I1187" s="8" t="s">
        <v>242</v>
      </c>
      <c r="J1187" s="4" t="n">
        <v>350000</v>
      </c>
      <c r="K1187" s="4" t="n">
        <v>100000</v>
      </c>
      <c r="L1187" s="5" t="n">
        <v>0.71714</v>
      </c>
      <c r="M1187" s="4" t="n">
        <v>1</v>
      </c>
      <c r="N1187" s="4" t="n">
        <v>0</v>
      </c>
      <c r="O1187" s="4" t="n">
        <v>0</v>
      </c>
      <c r="P1187" s="4" t="n">
        <v>0</v>
      </c>
      <c r="Q1187" s="4" t="n">
        <v>0</v>
      </c>
      <c r="R1187" s="4" t="n">
        <f aca="false">M1187+N1187+O1187+P1187+Q1187</f>
        <v>1</v>
      </c>
      <c r="S1187" s="4" t="n">
        <v>1</v>
      </c>
      <c r="T1187" s="4" t="n">
        <f aca="false">R1187*K1187</f>
        <v>100000</v>
      </c>
      <c r="U1187" s="9" t="n">
        <f aca="false">IFERROR(M1187/S1187,0)</f>
        <v>1</v>
      </c>
      <c r="V1187" s="5" t="n">
        <v>1</v>
      </c>
    </row>
    <row r="1188" customFormat="false" ht="15" hidden="false" customHeight="false" outlineLevel="0" collapsed="false">
      <c r="A1188" s="8" t="s">
        <v>241</v>
      </c>
      <c r="B1188" s="8" t="s">
        <v>22</v>
      </c>
      <c r="C1188" s="8" t="s">
        <v>1646</v>
      </c>
      <c r="D1188" s="8" t="n">
        <v>134330</v>
      </c>
      <c r="E1188" s="8" t="s">
        <v>1667</v>
      </c>
      <c r="F1188" s="8" t="s">
        <v>767</v>
      </c>
      <c r="G1188" s="8" t="s">
        <v>970</v>
      </c>
      <c r="H1188" s="8" t="s">
        <v>51</v>
      </c>
      <c r="I1188" s="8" t="s">
        <v>242</v>
      </c>
      <c r="J1188" s="4" t="n">
        <v>350000</v>
      </c>
      <c r="K1188" s="4" t="n">
        <v>100000</v>
      </c>
      <c r="L1188" s="5" t="n">
        <v>0.71714</v>
      </c>
      <c r="M1188" s="4" t="n">
        <v>1</v>
      </c>
      <c r="N1188" s="4" t="n">
        <v>0</v>
      </c>
      <c r="O1188" s="4" t="n">
        <v>0</v>
      </c>
      <c r="P1188" s="4" t="n">
        <v>0</v>
      </c>
      <c r="Q1188" s="4" t="n">
        <v>0</v>
      </c>
      <c r="R1188" s="4" t="n">
        <f aca="false">M1188+N1188+O1188+P1188+Q1188</f>
        <v>1</v>
      </c>
      <c r="S1188" s="4" t="n">
        <v>1</v>
      </c>
      <c r="T1188" s="4" t="n">
        <f aca="false">R1188*K1188</f>
        <v>100000</v>
      </c>
      <c r="U1188" s="9" t="n">
        <f aca="false">IFERROR(M1188/S1188,0)</f>
        <v>1</v>
      </c>
      <c r="V1188" s="5" t="n">
        <v>1</v>
      </c>
    </row>
    <row r="1189" customFormat="false" ht="15" hidden="false" customHeight="false" outlineLevel="0" collapsed="false">
      <c r="A1189" s="8" t="s">
        <v>241</v>
      </c>
      <c r="B1189" s="8" t="s">
        <v>22</v>
      </c>
      <c r="C1189" s="8" t="s">
        <v>1646</v>
      </c>
      <c r="D1189" s="8" t="n">
        <v>134275</v>
      </c>
      <c r="E1189" s="8" t="s">
        <v>811</v>
      </c>
      <c r="F1189" s="8" t="s">
        <v>767</v>
      </c>
      <c r="G1189" s="8" t="s">
        <v>970</v>
      </c>
      <c r="H1189" s="8" t="s">
        <v>51</v>
      </c>
      <c r="I1189" s="8" t="s">
        <v>242</v>
      </c>
      <c r="J1189" s="4" t="n">
        <v>350000</v>
      </c>
      <c r="K1189" s="4" t="n">
        <v>100000</v>
      </c>
      <c r="L1189" s="5" t="n">
        <v>0.71714</v>
      </c>
      <c r="M1189" s="4" t="n">
        <v>0</v>
      </c>
      <c r="N1189" s="4" t="n">
        <v>0</v>
      </c>
      <c r="O1189" s="4" t="n">
        <v>0</v>
      </c>
      <c r="P1189" s="4" t="n">
        <v>0</v>
      </c>
      <c r="Q1189" s="4" t="n">
        <v>0</v>
      </c>
      <c r="R1189" s="4" t="n">
        <f aca="false">M1189+N1189+O1189+P1189+Q1189</f>
        <v>0</v>
      </c>
      <c r="S1189" s="4" t="n">
        <v>0</v>
      </c>
      <c r="T1189" s="4" t="n">
        <f aca="false">R1189*K1189</f>
        <v>0</v>
      </c>
      <c r="U1189" s="9" t="n">
        <f aca="false">IFERROR(M1189/S1189,0)</f>
        <v>0</v>
      </c>
      <c r="V1189" s="5" t="n">
        <v>1</v>
      </c>
    </row>
    <row r="1190" customFormat="false" ht="15" hidden="false" customHeight="false" outlineLevel="0" collapsed="false">
      <c r="A1190" s="8" t="s">
        <v>241</v>
      </c>
      <c r="B1190" s="8" t="s">
        <v>22</v>
      </c>
      <c r="C1190" s="8" t="s">
        <v>1646</v>
      </c>
      <c r="D1190" s="8" t="n">
        <v>134277</v>
      </c>
      <c r="E1190" s="8" t="s">
        <v>812</v>
      </c>
      <c r="F1190" s="8" t="s">
        <v>767</v>
      </c>
      <c r="G1190" s="8" t="s">
        <v>970</v>
      </c>
      <c r="H1190" s="8" t="s">
        <v>51</v>
      </c>
      <c r="I1190" s="8" t="s">
        <v>242</v>
      </c>
      <c r="J1190" s="4" t="n">
        <v>350000</v>
      </c>
      <c r="K1190" s="4" t="n">
        <v>100000</v>
      </c>
      <c r="L1190" s="5" t="n">
        <v>0.71714</v>
      </c>
      <c r="M1190" s="4" t="n">
        <v>0</v>
      </c>
      <c r="N1190" s="4" t="n">
        <v>0</v>
      </c>
      <c r="O1190" s="4" t="n">
        <v>0</v>
      </c>
      <c r="P1190" s="4" t="n">
        <v>0</v>
      </c>
      <c r="Q1190" s="4" t="n">
        <v>0</v>
      </c>
      <c r="R1190" s="4" t="n">
        <f aca="false">M1190+N1190+O1190+P1190+Q1190</f>
        <v>0</v>
      </c>
      <c r="S1190" s="4" t="n">
        <v>0</v>
      </c>
      <c r="T1190" s="4" t="n">
        <f aca="false">R1190*K1190</f>
        <v>0</v>
      </c>
      <c r="U1190" s="9" t="n">
        <f aca="false">IFERROR(M1190/S1190,0)</f>
        <v>0</v>
      </c>
      <c r="V1190" s="5" t="n">
        <v>1</v>
      </c>
    </row>
    <row r="1191" customFormat="false" ht="15" hidden="false" customHeight="false" outlineLevel="0" collapsed="false">
      <c r="A1191" s="8" t="s">
        <v>241</v>
      </c>
      <c r="B1191" s="8" t="s">
        <v>22</v>
      </c>
      <c r="C1191" s="8" t="s">
        <v>1646</v>
      </c>
      <c r="D1191" s="8" t="n">
        <v>134278</v>
      </c>
      <c r="E1191" s="8" t="s">
        <v>813</v>
      </c>
      <c r="F1191" s="8" t="s">
        <v>767</v>
      </c>
      <c r="G1191" s="8" t="s">
        <v>970</v>
      </c>
      <c r="H1191" s="8" t="s">
        <v>51</v>
      </c>
      <c r="I1191" s="8" t="s">
        <v>242</v>
      </c>
      <c r="J1191" s="4" t="n">
        <v>550000</v>
      </c>
      <c r="K1191" s="4" t="n">
        <v>99000</v>
      </c>
      <c r="L1191" s="5" t="n">
        <v>0.82</v>
      </c>
      <c r="M1191" s="4" t="n">
        <v>0</v>
      </c>
      <c r="N1191" s="4" t="n">
        <v>0</v>
      </c>
      <c r="O1191" s="4" t="n">
        <v>0</v>
      </c>
      <c r="P1191" s="4" t="n">
        <v>0</v>
      </c>
      <c r="Q1191" s="4" t="n">
        <v>0</v>
      </c>
      <c r="R1191" s="4" t="n">
        <f aca="false">M1191+N1191+O1191+P1191+Q1191</f>
        <v>0</v>
      </c>
      <c r="S1191" s="4" t="n">
        <v>0</v>
      </c>
      <c r="T1191" s="4" t="n">
        <f aca="false">R1191*K1191</f>
        <v>0</v>
      </c>
      <c r="U1191" s="9" t="n">
        <f aca="false">IFERROR(M1191/S1191,0)</f>
        <v>0</v>
      </c>
      <c r="V1191" s="5" t="n">
        <v>1</v>
      </c>
    </row>
    <row r="1192" customFormat="false" ht="15" hidden="false" customHeight="false" outlineLevel="0" collapsed="false">
      <c r="A1192" s="8" t="s">
        <v>241</v>
      </c>
      <c r="B1192" s="8" t="s">
        <v>22</v>
      </c>
      <c r="C1192" s="8" t="s">
        <v>1646</v>
      </c>
      <c r="D1192" s="8" t="n">
        <v>134314</v>
      </c>
      <c r="E1192" s="8" t="s">
        <v>814</v>
      </c>
      <c r="F1192" s="8" t="s">
        <v>767</v>
      </c>
      <c r="G1192" s="8" t="s">
        <v>970</v>
      </c>
      <c r="H1192" s="8" t="s">
        <v>51</v>
      </c>
      <c r="I1192" s="8" t="s">
        <v>242</v>
      </c>
      <c r="J1192" s="4" t="n">
        <v>700000</v>
      </c>
      <c r="K1192" s="4" t="n">
        <v>100000</v>
      </c>
      <c r="L1192" s="5" t="n">
        <v>0.85857</v>
      </c>
      <c r="M1192" s="4" t="n">
        <v>0</v>
      </c>
      <c r="N1192" s="4" t="n">
        <v>0</v>
      </c>
      <c r="O1192" s="4" t="n">
        <v>0</v>
      </c>
      <c r="P1192" s="4" t="n">
        <v>0</v>
      </c>
      <c r="Q1192" s="4" t="n">
        <v>0</v>
      </c>
      <c r="R1192" s="4" t="n">
        <f aca="false">M1192+N1192+O1192+P1192+Q1192</f>
        <v>0</v>
      </c>
      <c r="S1192" s="4" t="n">
        <v>0</v>
      </c>
      <c r="T1192" s="4" t="n">
        <f aca="false">R1192*K1192</f>
        <v>0</v>
      </c>
      <c r="U1192" s="9" t="n">
        <f aca="false">IFERROR(M1192/S1192,0)</f>
        <v>0</v>
      </c>
      <c r="V1192" s="5" t="n">
        <v>1</v>
      </c>
    </row>
    <row r="1193" customFormat="false" ht="15" hidden="false" customHeight="false" outlineLevel="0" collapsed="false">
      <c r="A1193" s="8" t="s">
        <v>83</v>
      </c>
      <c r="B1193" s="8" t="s">
        <v>21</v>
      </c>
      <c r="C1193" s="8" t="s">
        <v>1401</v>
      </c>
      <c r="D1193" s="8" t="n">
        <v>110995</v>
      </c>
      <c r="E1193" s="8" t="s">
        <v>664</v>
      </c>
      <c r="F1193" s="8" t="s">
        <v>1044</v>
      </c>
      <c r="G1193" s="8" t="s">
        <v>961</v>
      </c>
      <c r="H1193" s="8" t="s">
        <v>51</v>
      </c>
      <c r="I1193" s="8" t="s">
        <v>84</v>
      </c>
      <c r="J1193" s="4" t="n">
        <v>6880000</v>
      </c>
      <c r="K1193" s="4" t="n">
        <v>6192000</v>
      </c>
      <c r="L1193" s="5" t="n">
        <v>0.1</v>
      </c>
      <c r="M1193" s="4" t="n">
        <v>103</v>
      </c>
      <c r="N1193" s="4" t="n">
        <v>0</v>
      </c>
      <c r="O1193" s="4" t="n">
        <v>2</v>
      </c>
      <c r="P1193" s="4" t="n">
        <v>0</v>
      </c>
      <c r="Q1193" s="4" t="n">
        <v>0</v>
      </c>
      <c r="R1193" s="4" t="n">
        <f aca="false">M1193+N1193+O1193+P1193+Q1193</f>
        <v>105</v>
      </c>
      <c r="S1193" s="4" t="n">
        <v>22</v>
      </c>
      <c r="T1193" s="4" t="n">
        <f aca="false">R1193*K1193</f>
        <v>650160000</v>
      </c>
      <c r="U1193" s="9" t="n">
        <f aca="false">IFERROR(M1193/S1193,0)</f>
        <v>4.68181818181818</v>
      </c>
      <c r="V1193" s="5" t="n">
        <v>0.2281</v>
      </c>
    </row>
    <row r="1194" customFormat="false" ht="15" hidden="false" customHeight="false" outlineLevel="0" collapsed="false">
      <c r="A1194" s="8" t="s">
        <v>173</v>
      </c>
      <c r="B1194" s="8" t="s">
        <v>20</v>
      </c>
      <c r="C1194" s="8" t="s">
        <v>1048</v>
      </c>
      <c r="D1194" s="8" t="n">
        <v>102327</v>
      </c>
      <c r="E1194" s="8" t="s">
        <v>640</v>
      </c>
      <c r="F1194" s="8" t="s">
        <v>809</v>
      </c>
      <c r="G1194" s="8" t="s">
        <v>961</v>
      </c>
      <c r="H1194" s="8" t="s">
        <v>51</v>
      </c>
      <c r="I1194" s="8" t="s">
        <v>174</v>
      </c>
      <c r="J1194" s="4" t="n">
        <v>880000</v>
      </c>
      <c r="K1194" s="4" t="n">
        <v>792000</v>
      </c>
      <c r="L1194" s="5" t="n">
        <v>0.1</v>
      </c>
      <c r="M1194" s="4" t="n">
        <v>104</v>
      </c>
      <c r="N1194" s="4" t="n">
        <v>0</v>
      </c>
      <c r="O1194" s="4" t="n">
        <v>0</v>
      </c>
      <c r="P1194" s="4" t="n">
        <v>0</v>
      </c>
      <c r="Q1194" s="4" t="n">
        <v>0</v>
      </c>
      <c r="R1194" s="4" t="n">
        <f aca="false">M1194+N1194+O1194+P1194+Q1194</f>
        <v>104</v>
      </c>
      <c r="S1194" s="4" t="n">
        <v>22</v>
      </c>
      <c r="T1194" s="4" t="n">
        <f aca="false">R1194*K1194</f>
        <v>82368000</v>
      </c>
      <c r="U1194" s="9" t="n">
        <f aca="false">IFERROR(M1194/S1194,0)</f>
        <v>4.72727272727273</v>
      </c>
      <c r="V1194" s="5" t="n">
        <v>0.1515</v>
      </c>
    </row>
    <row r="1195" customFormat="false" ht="15" hidden="false" customHeight="false" outlineLevel="0" collapsed="false">
      <c r="A1195" s="8" t="s">
        <v>183</v>
      </c>
      <c r="B1195" s="8" t="s">
        <v>20</v>
      </c>
      <c r="C1195" s="8" t="s">
        <v>1045</v>
      </c>
      <c r="D1195" s="8" t="n">
        <v>102328</v>
      </c>
      <c r="E1195" s="8" t="s">
        <v>641</v>
      </c>
      <c r="F1195" s="8" t="s">
        <v>809</v>
      </c>
      <c r="G1195" s="8" t="s">
        <v>961</v>
      </c>
      <c r="H1195" s="8" t="s">
        <v>51</v>
      </c>
      <c r="I1195" s="8" t="s">
        <v>184</v>
      </c>
      <c r="J1195" s="4" t="n">
        <v>780000</v>
      </c>
      <c r="K1195" s="4" t="n">
        <v>702000</v>
      </c>
      <c r="L1195" s="5" t="n">
        <v>0.1</v>
      </c>
      <c r="M1195" s="4" t="n">
        <v>85</v>
      </c>
      <c r="N1195" s="4" t="n">
        <v>0</v>
      </c>
      <c r="O1195" s="4" t="n">
        <v>3</v>
      </c>
      <c r="P1195" s="4" t="n">
        <v>0</v>
      </c>
      <c r="Q1195" s="4" t="n">
        <v>0</v>
      </c>
      <c r="R1195" s="4" t="n">
        <f aca="false">M1195+N1195+O1195+P1195+Q1195</f>
        <v>88</v>
      </c>
      <c r="S1195" s="4" t="n">
        <v>22</v>
      </c>
      <c r="T1195" s="4" t="n">
        <f aca="false">R1195*K1195</f>
        <v>61776000</v>
      </c>
      <c r="U1195" s="9" t="n">
        <f aca="false">IFERROR(M1195/S1195,0)</f>
        <v>3.86363636363636</v>
      </c>
      <c r="V1195" s="5" t="n">
        <v>0.4466</v>
      </c>
    </row>
    <row r="1196" customFormat="false" ht="15" hidden="false" customHeight="false" outlineLevel="0" collapsed="false">
      <c r="A1196" s="8" t="s">
        <v>167</v>
      </c>
      <c r="B1196" s="8" t="s">
        <v>21</v>
      </c>
      <c r="C1196" s="8" t="s">
        <v>1404</v>
      </c>
      <c r="D1196" s="8" t="n">
        <v>110994</v>
      </c>
      <c r="E1196" s="8" t="s">
        <v>665</v>
      </c>
      <c r="F1196" s="8" t="s">
        <v>809</v>
      </c>
      <c r="G1196" s="8" t="s">
        <v>961</v>
      </c>
      <c r="H1196" s="8" t="s">
        <v>51</v>
      </c>
      <c r="I1196" s="8" t="s">
        <v>168</v>
      </c>
      <c r="J1196" s="4" t="n">
        <v>1290000</v>
      </c>
      <c r="K1196" s="4" t="n">
        <v>1032000</v>
      </c>
      <c r="L1196" s="5" t="n">
        <v>0.2</v>
      </c>
      <c r="M1196" s="4" t="n">
        <v>85</v>
      </c>
      <c r="N1196" s="4" t="n">
        <v>0</v>
      </c>
      <c r="O1196" s="4" t="n">
        <v>0</v>
      </c>
      <c r="P1196" s="4" t="n">
        <v>0</v>
      </c>
      <c r="Q1196" s="4" t="n">
        <v>0</v>
      </c>
      <c r="R1196" s="4" t="n">
        <f aca="false">M1196+N1196+O1196+P1196+Q1196</f>
        <v>85</v>
      </c>
      <c r="S1196" s="4" t="n">
        <v>22</v>
      </c>
      <c r="T1196" s="4" t="n">
        <f aca="false">R1196*K1196</f>
        <v>87720000</v>
      </c>
      <c r="U1196" s="9" t="n">
        <f aca="false">IFERROR(M1196/S1196,0)</f>
        <v>3.86363636363636</v>
      </c>
      <c r="V1196" s="5" t="n">
        <v>0.0552</v>
      </c>
    </row>
    <row r="1197" customFormat="false" ht="15" hidden="false" customHeight="false" outlineLevel="0" collapsed="false">
      <c r="A1197" s="8" t="s">
        <v>233</v>
      </c>
      <c r="B1197" s="8" t="s">
        <v>21</v>
      </c>
      <c r="C1197" s="8" t="s">
        <v>1403</v>
      </c>
      <c r="D1197" s="8" t="n">
        <v>110793</v>
      </c>
      <c r="E1197" s="8" t="s">
        <v>666</v>
      </c>
      <c r="F1197" s="8" t="s">
        <v>767</v>
      </c>
      <c r="G1197" s="8" t="s">
        <v>970</v>
      </c>
      <c r="H1197" s="8" t="s">
        <v>51</v>
      </c>
      <c r="I1197" s="8" t="s">
        <v>234</v>
      </c>
      <c r="J1197" s="4" t="n">
        <v>890000</v>
      </c>
      <c r="K1197" s="4" t="n">
        <v>200000</v>
      </c>
      <c r="L1197" s="5" t="n">
        <v>0.7764</v>
      </c>
      <c r="M1197" s="4" t="n">
        <v>77</v>
      </c>
      <c r="N1197" s="4" t="n">
        <v>0</v>
      </c>
      <c r="O1197" s="4" t="n">
        <v>0</v>
      </c>
      <c r="P1197" s="4" t="n">
        <v>0</v>
      </c>
      <c r="Q1197" s="4" t="n">
        <v>0</v>
      </c>
      <c r="R1197" s="4" t="n">
        <f aca="false">M1197+N1197+O1197+P1197+Q1197</f>
        <v>77</v>
      </c>
      <c r="S1197" s="4" t="n">
        <v>7</v>
      </c>
      <c r="T1197" s="4" t="n">
        <f aca="false">R1197*K1197</f>
        <v>15400000</v>
      </c>
      <c r="U1197" s="9" t="n">
        <f aca="false">IFERROR(M1197/S1197,0)</f>
        <v>11</v>
      </c>
      <c r="V1197" s="5" t="n">
        <v>-1.25</v>
      </c>
    </row>
    <row r="1198" customFormat="false" ht="15" hidden="false" customHeight="false" outlineLevel="0" collapsed="false">
      <c r="A1198" s="8" t="s">
        <v>235</v>
      </c>
      <c r="B1198" s="8" t="s">
        <v>24</v>
      </c>
      <c r="C1198" s="8" t="s">
        <v>1381</v>
      </c>
      <c r="D1198" s="8" t="n">
        <v>220044</v>
      </c>
      <c r="E1198" s="8" t="s">
        <v>515</v>
      </c>
      <c r="F1198" s="8" t="s">
        <v>770</v>
      </c>
      <c r="G1198" s="8" t="s">
        <v>970</v>
      </c>
      <c r="H1198" s="8" t="s">
        <v>51</v>
      </c>
      <c r="I1198" s="8" t="s">
        <v>236</v>
      </c>
      <c r="J1198" s="4" t="n">
        <v>350000</v>
      </c>
      <c r="K1198" s="4" t="n">
        <v>199000</v>
      </c>
      <c r="L1198" s="5" t="n">
        <v>0.43143</v>
      </c>
      <c r="M1198" s="4" t="n">
        <v>50</v>
      </c>
      <c r="N1198" s="4" t="n">
        <v>0</v>
      </c>
      <c r="O1198" s="4" t="n">
        <v>0</v>
      </c>
      <c r="P1198" s="4" t="n">
        <v>0</v>
      </c>
      <c r="Q1198" s="4" t="n">
        <v>1</v>
      </c>
      <c r="R1198" s="4" t="n">
        <f aca="false">M1198+N1198+O1198+P1198+Q1198</f>
        <v>51</v>
      </c>
      <c r="S1198" s="4" t="n">
        <v>10</v>
      </c>
      <c r="T1198" s="4" t="n">
        <f aca="false">R1198*K1198</f>
        <v>10149000</v>
      </c>
      <c r="U1198" s="9" t="n">
        <f aca="false">IFERROR(M1198/S1198,0)</f>
        <v>5</v>
      </c>
      <c r="V1198" s="5" t="n">
        <v>-0.3317</v>
      </c>
    </row>
    <row r="1199" customFormat="false" ht="15" hidden="false" customHeight="false" outlineLevel="0" collapsed="false">
      <c r="A1199" s="8" t="s">
        <v>235</v>
      </c>
      <c r="B1199" s="8" t="s">
        <v>24</v>
      </c>
      <c r="C1199" s="8" t="s">
        <v>1381</v>
      </c>
      <c r="D1199" s="8" t="n">
        <v>220049</v>
      </c>
      <c r="E1199" s="8" t="s">
        <v>1005</v>
      </c>
      <c r="F1199" s="8" t="s">
        <v>770</v>
      </c>
      <c r="G1199" s="8" t="s">
        <v>970</v>
      </c>
      <c r="H1199" s="8" t="s">
        <v>51</v>
      </c>
      <c r="I1199" s="8" t="s">
        <v>236</v>
      </c>
      <c r="J1199" s="4" t="n">
        <v>350000</v>
      </c>
      <c r="K1199" s="4" t="n">
        <v>199000</v>
      </c>
      <c r="L1199" s="5" t="n">
        <v>0.43143</v>
      </c>
      <c r="M1199" s="4" t="n">
        <v>7</v>
      </c>
      <c r="N1199" s="4" t="n">
        <v>0</v>
      </c>
      <c r="O1199" s="4" t="n">
        <v>0</v>
      </c>
      <c r="P1199" s="4" t="n">
        <v>0</v>
      </c>
      <c r="Q1199" s="4" t="n">
        <v>1</v>
      </c>
      <c r="R1199" s="4" t="n">
        <f aca="false">M1199+N1199+O1199+P1199+Q1199</f>
        <v>8</v>
      </c>
      <c r="S1199" s="4" t="n">
        <v>6</v>
      </c>
      <c r="T1199" s="4" t="n">
        <f aca="false">R1199*K1199</f>
        <v>1592000</v>
      </c>
      <c r="U1199" s="9" t="n">
        <f aca="false">IFERROR(M1199/S1199,0)</f>
        <v>1.16666666666667</v>
      </c>
      <c r="V1199" s="5" t="n">
        <v>-0.3317</v>
      </c>
    </row>
    <row r="1200" customFormat="false" ht="15" hidden="false" customHeight="false" outlineLevel="0" collapsed="false">
      <c r="A1200" s="8" t="s">
        <v>235</v>
      </c>
      <c r="B1200" s="8" t="s">
        <v>24</v>
      </c>
      <c r="C1200" s="8" t="s">
        <v>1381</v>
      </c>
      <c r="D1200" s="8" t="n">
        <v>220021</v>
      </c>
      <c r="E1200" s="8" t="s">
        <v>779</v>
      </c>
      <c r="F1200" s="8" t="s">
        <v>770</v>
      </c>
      <c r="G1200" s="8" t="s">
        <v>970</v>
      </c>
      <c r="H1200" s="8" t="s">
        <v>51</v>
      </c>
      <c r="I1200" s="8" t="s">
        <v>236</v>
      </c>
      <c r="J1200" s="4" t="n">
        <v>350000</v>
      </c>
      <c r="K1200" s="4" t="n">
        <v>199000</v>
      </c>
      <c r="L1200" s="5" t="n">
        <v>0.43143</v>
      </c>
      <c r="M1200" s="4" t="n">
        <v>7</v>
      </c>
      <c r="N1200" s="4" t="n">
        <v>0</v>
      </c>
      <c r="O1200" s="4" t="n">
        <v>0</v>
      </c>
      <c r="P1200" s="4" t="n">
        <v>0</v>
      </c>
      <c r="Q1200" s="4" t="n">
        <v>0</v>
      </c>
      <c r="R1200" s="4" t="n">
        <f aca="false">M1200+N1200+O1200+P1200+Q1200</f>
        <v>7</v>
      </c>
      <c r="S1200" s="4" t="n">
        <v>1</v>
      </c>
      <c r="T1200" s="4" t="n">
        <f aca="false">R1200*K1200</f>
        <v>1393000</v>
      </c>
      <c r="U1200" s="9" t="n">
        <f aca="false">IFERROR(M1200/S1200,0)</f>
        <v>7</v>
      </c>
      <c r="V1200" s="5" t="n">
        <v>-0.407</v>
      </c>
    </row>
    <row r="1201" customFormat="false" ht="15" hidden="false" customHeight="false" outlineLevel="0" collapsed="false">
      <c r="A1201" s="8" t="s">
        <v>235</v>
      </c>
      <c r="B1201" s="8" t="s">
        <v>24</v>
      </c>
      <c r="C1201" s="8" t="s">
        <v>1381</v>
      </c>
      <c r="D1201" s="8" t="n">
        <v>220043</v>
      </c>
      <c r="E1201" s="8" t="s">
        <v>1004</v>
      </c>
      <c r="F1201" s="8" t="s">
        <v>770</v>
      </c>
      <c r="G1201" s="8" t="s">
        <v>970</v>
      </c>
      <c r="H1201" s="8" t="s">
        <v>51</v>
      </c>
      <c r="I1201" s="8" t="s">
        <v>236</v>
      </c>
      <c r="J1201" s="4" t="n">
        <v>350000</v>
      </c>
      <c r="K1201" s="4" t="n">
        <v>199000</v>
      </c>
      <c r="L1201" s="5" t="n">
        <v>0.43143</v>
      </c>
      <c r="M1201" s="4" t="n">
        <v>7</v>
      </c>
      <c r="N1201" s="4" t="n">
        <v>0</v>
      </c>
      <c r="O1201" s="4" t="n">
        <v>0</v>
      </c>
      <c r="P1201" s="4" t="n">
        <v>0</v>
      </c>
      <c r="Q1201" s="4" t="n">
        <v>0</v>
      </c>
      <c r="R1201" s="4" t="n">
        <f aca="false">M1201+N1201+O1201+P1201+Q1201</f>
        <v>7</v>
      </c>
      <c r="S1201" s="4" t="n">
        <v>2</v>
      </c>
      <c r="T1201" s="4" t="n">
        <f aca="false">R1201*K1201</f>
        <v>1393000</v>
      </c>
      <c r="U1201" s="9" t="n">
        <f aca="false">IFERROR(M1201/S1201,0)</f>
        <v>3.5</v>
      </c>
      <c r="V1201" s="5" t="n">
        <v>-0.3317</v>
      </c>
    </row>
    <row r="1202" customFormat="false" ht="15" hidden="false" customHeight="false" outlineLevel="0" collapsed="false">
      <c r="A1202" s="8" t="s">
        <v>235</v>
      </c>
      <c r="B1202" s="8" t="s">
        <v>24</v>
      </c>
      <c r="C1202" s="8" t="s">
        <v>1381</v>
      </c>
      <c r="D1202" s="8" t="n">
        <v>220045</v>
      </c>
      <c r="E1202" s="8" t="s">
        <v>1006</v>
      </c>
      <c r="F1202" s="8" t="s">
        <v>770</v>
      </c>
      <c r="G1202" s="8" t="s">
        <v>970</v>
      </c>
      <c r="H1202" s="8" t="s">
        <v>51</v>
      </c>
      <c r="I1202" s="8" t="s">
        <v>236</v>
      </c>
      <c r="J1202" s="4" t="n">
        <v>350000</v>
      </c>
      <c r="K1202" s="4" t="n">
        <v>199000</v>
      </c>
      <c r="L1202" s="5" t="n">
        <v>0.43143</v>
      </c>
      <c r="M1202" s="4" t="n">
        <v>3</v>
      </c>
      <c r="N1202" s="4" t="n">
        <v>0</v>
      </c>
      <c r="O1202" s="4" t="n">
        <v>0</v>
      </c>
      <c r="P1202" s="4" t="n">
        <v>0</v>
      </c>
      <c r="Q1202" s="4" t="n">
        <v>0</v>
      </c>
      <c r="R1202" s="4" t="n">
        <f aca="false">M1202+N1202+O1202+P1202+Q1202</f>
        <v>3</v>
      </c>
      <c r="S1202" s="4" t="n">
        <v>3</v>
      </c>
      <c r="T1202" s="4" t="n">
        <f aca="false">R1202*K1202</f>
        <v>597000</v>
      </c>
      <c r="U1202" s="9" t="n">
        <f aca="false">IFERROR(M1202/S1202,0)</f>
        <v>1</v>
      </c>
      <c r="V1202" s="5" t="n">
        <v>-0.3317</v>
      </c>
    </row>
    <row r="1203" customFormat="false" ht="15" hidden="false" customHeight="false" outlineLevel="0" collapsed="false">
      <c r="A1203" s="8" t="s">
        <v>235</v>
      </c>
      <c r="B1203" s="8" t="s">
        <v>24</v>
      </c>
      <c r="C1203" s="8" t="s">
        <v>1381</v>
      </c>
      <c r="D1203" s="8" t="n">
        <v>220046</v>
      </c>
      <c r="E1203" s="8" t="s">
        <v>1007</v>
      </c>
      <c r="F1203" s="8" t="s">
        <v>770</v>
      </c>
      <c r="G1203" s="8" t="s">
        <v>970</v>
      </c>
      <c r="H1203" s="8" t="s">
        <v>51</v>
      </c>
      <c r="I1203" s="8" t="s">
        <v>236</v>
      </c>
      <c r="J1203" s="4" t="n">
        <v>350000</v>
      </c>
      <c r="K1203" s="4" t="n">
        <v>199000</v>
      </c>
      <c r="L1203" s="5" t="n">
        <v>0.43143</v>
      </c>
      <c r="M1203" s="4" t="n">
        <v>1</v>
      </c>
      <c r="N1203" s="4" t="n">
        <v>0</v>
      </c>
      <c r="O1203" s="4" t="n">
        <v>0</v>
      </c>
      <c r="P1203" s="4" t="n">
        <v>0</v>
      </c>
      <c r="Q1203" s="4" t="n">
        <v>0</v>
      </c>
      <c r="R1203" s="4" t="n">
        <f aca="false">M1203+N1203+O1203+P1203+Q1203</f>
        <v>1</v>
      </c>
      <c r="S1203" s="4" t="n">
        <v>1</v>
      </c>
      <c r="T1203" s="4" t="n">
        <f aca="false">R1203*K1203</f>
        <v>199000</v>
      </c>
      <c r="U1203" s="9" t="n">
        <f aca="false">IFERROR(M1203/S1203,0)</f>
        <v>1</v>
      </c>
      <c r="V1203" s="5" t="n">
        <v>-0.3317</v>
      </c>
    </row>
    <row r="1204" customFormat="false" ht="15" hidden="false" customHeight="false" outlineLevel="0" collapsed="false">
      <c r="A1204" s="8" t="s">
        <v>235</v>
      </c>
      <c r="B1204" s="8" t="s">
        <v>24</v>
      </c>
      <c r="C1204" s="8" t="s">
        <v>1381</v>
      </c>
      <c r="D1204" s="8" t="n">
        <v>173649</v>
      </c>
      <c r="E1204" s="8" t="s">
        <v>769</v>
      </c>
      <c r="F1204" s="8" t="s">
        <v>770</v>
      </c>
      <c r="G1204" s="8" t="s">
        <v>970</v>
      </c>
      <c r="H1204" s="8" t="s">
        <v>51</v>
      </c>
      <c r="I1204" s="8" t="s">
        <v>236</v>
      </c>
      <c r="J1204" s="4" t="n">
        <v>350000</v>
      </c>
      <c r="K1204" s="4" t="n">
        <v>199000</v>
      </c>
      <c r="L1204" s="5" t="n">
        <v>0.43143</v>
      </c>
      <c r="M1204" s="4" t="n">
        <v>0</v>
      </c>
      <c r="N1204" s="4" t="n">
        <v>0</v>
      </c>
      <c r="O1204" s="4" t="n">
        <v>0</v>
      </c>
      <c r="P1204" s="4" t="n">
        <v>0</v>
      </c>
      <c r="Q1204" s="4" t="n">
        <v>0</v>
      </c>
      <c r="R1204" s="4" t="n">
        <f aca="false">M1204+N1204+O1204+P1204+Q1204</f>
        <v>0</v>
      </c>
      <c r="S1204" s="4" t="n">
        <v>0</v>
      </c>
      <c r="T1204" s="4" t="n">
        <f aca="false">R1204*K1204</f>
        <v>0</v>
      </c>
      <c r="U1204" s="9" t="n">
        <f aca="false">IFERROR(M1204/S1204,0)</f>
        <v>0</v>
      </c>
      <c r="V1204" s="5" t="n">
        <v>-0.3317</v>
      </c>
    </row>
    <row r="1205" customFormat="false" ht="15" hidden="false" customHeight="false" outlineLevel="0" collapsed="false">
      <c r="A1205" s="8" t="s">
        <v>235</v>
      </c>
      <c r="B1205" s="8" t="s">
        <v>24</v>
      </c>
      <c r="C1205" s="8" t="s">
        <v>1381</v>
      </c>
      <c r="D1205" s="8" t="n">
        <v>173650</v>
      </c>
      <c r="E1205" s="8" t="s">
        <v>771</v>
      </c>
      <c r="F1205" s="8" t="s">
        <v>770</v>
      </c>
      <c r="G1205" s="8" t="s">
        <v>970</v>
      </c>
      <c r="H1205" s="8" t="s">
        <v>51</v>
      </c>
      <c r="I1205" s="8" t="s">
        <v>236</v>
      </c>
      <c r="J1205" s="4" t="n">
        <v>360000</v>
      </c>
      <c r="K1205" s="4" t="n">
        <v>200000</v>
      </c>
      <c r="L1205" s="5" t="n">
        <v>0.44722</v>
      </c>
      <c r="M1205" s="4" t="n">
        <v>0</v>
      </c>
      <c r="N1205" s="4" t="n">
        <v>0</v>
      </c>
      <c r="O1205" s="4" t="n">
        <v>0</v>
      </c>
      <c r="P1205" s="4" t="n">
        <v>0</v>
      </c>
      <c r="Q1205" s="4" t="n">
        <v>0</v>
      </c>
      <c r="R1205" s="4" t="n">
        <f aca="false">M1205+N1205+O1205+P1205+Q1205</f>
        <v>0</v>
      </c>
      <c r="S1205" s="4" t="n">
        <v>0</v>
      </c>
      <c r="T1205" s="4" t="n">
        <f aca="false">R1205*K1205</f>
        <v>0</v>
      </c>
      <c r="U1205" s="9" t="n">
        <f aca="false">IFERROR(M1205/S1205,0)</f>
        <v>0</v>
      </c>
      <c r="V1205" s="5" t="n">
        <v>-0.7</v>
      </c>
    </row>
    <row r="1206" customFormat="false" ht="15" hidden="false" customHeight="false" outlineLevel="0" collapsed="false">
      <c r="A1206" s="8" t="s">
        <v>235</v>
      </c>
      <c r="B1206" s="8" t="s">
        <v>24</v>
      </c>
      <c r="C1206" s="8" t="s">
        <v>1381</v>
      </c>
      <c r="D1206" s="8" t="n">
        <v>173651</v>
      </c>
      <c r="E1206" s="8" t="s">
        <v>772</v>
      </c>
      <c r="F1206" s="8" t="s">
        <v>770</v>
      </c>
      <c r="G1206" s="8" t="s">
        <v>970</v>
      </c>
      <c r="H1206" s="8" t="s">
        <v>51</v>
      </c>
      <c r="I1206" s="8" t="s">
        <v>236</v>
      </c>
      <c r="J1206" s="4" t="n">
        <v>350000</v>
      </c>
      <c r="K1206" s="4" t="n">
        <v>199000</v>
      </c>
      <c r="L1206" s="5" t="n">
        <v>0.43143</v>
      </c>
      <c r="M1206" s="4" t="n">
        <v>0</v>
      </c>
      <c r="N1206" s="4" t="n">
        <v>0</v>
      </c>
      <c r="O1206" s="4" t="n">
        <v>0</v>
      </c>
      <c r="P1206" s="4" t="n">
        <v>0</v>
      </c>
      <c r="Q1206" s="4" t="n">
        <v>0</v>
      </c>
      <c r="R1206" s="4" t="n">
        <f aca="false">M1206+N1206+O1206+P1206+Q1206</f>
        <v>0</v>
      </c>
      <c r="S1206" s="4" t="n">
        <v>0</v>
      </c>
      <c r="T1206" s="4" t="n">
        <f aca="false">R1206*K1206</f>
        <v>0</v>
      </c>
      <c r="U1206" s="9" t="n">
        <f aca="false">IFERROR(M1206/S1206,0)</f>
        <v>0</v>
      </c>
      <c r="V1206" s="5" t="n">
        <v>-0.3317</v>
      </c>
    </row>
    <row r="1207" customFormat="false" ht="15" hidden="false" customHeight="false" outlineLevel="0" collapsed="false">
      <c r="A1207" s="8" t="s">
        <v>235</v>
      </c>
      <c r="B1207" s="8" t="s">
        <v>24</v>
      </c>
      <c r="C1207" s="8" t="s">
        <v>1381</v>
      </c>
      <c r="D1207" s="8" t="n">
        <v>173688</v>
      </c>
      <c r="E1207" s="8" t="s">
        <v>773</v>
      </c>
      <c r="F1207" s="8" t="s">
        <v>770</v>
      </c>
      <c r="G1207" s="8" t="s">
        <v>970</v>
      </c>
      <c r="H1207" s="8" t="s">
        <v>51</v>
      </c>
      <c r="I1207" s="8" t="s">
        <v>236</v>
      </c>
      <c r="J1207" s="4" t="n">
        <v>360000</v>
      </c>
      <c r="K1207" s="4" t="n">
        <v>200000</v>
      </c>
      <c r="L1207" s="5" t="n">
        <v>0.44722</v>
      </c>
      <c r="M1207" s="4" t="n">
        <v>0</v>
      </c>
      <c r="N1207" s="4" t="n">
        <v>0</v>
      </c>
      <c r="O1207" s="4" t="n">
        <v>0</v>
      </c>
      <c r="P1207" s="4" t="n">
        <v>0</v>
      </c>
      <c r="Q1207" s="4" t="n">
        <v>0</v>
      </c>
      <c r="R1207" s="4" t="n">
        <f aca="false">M1207+N1207+O1207+P1207+Q1207</f>
        <v>0</v>
      </c>
      <c r="S1207" s="4" t="n">
        <v>0</v>
      </c>
      <c r="T1207" s="4" t="n">
        <f aca="false">R1207*K1207</f>
        <v>0</v>
      </c>
      <c r="U1207" s="9" t="n">
        <f aca="false">IFERROR(M1207/S1207,0)</f>
        <v>0</v>
      </c>
      <c r="V1207" s="5" t="n">
        <v>-0.7</v>
      </c>
    </row>
    <row r="1208" customFormat="false" ht="15" hidden="false" customHeight="false" outlineLevel="0" collapsed="false">
      <c r="A1208" s="8" t="s">
        <v>235</v>
      </c>
      <c r="B1208" s="8" t="s">
        <v>24</v>
      </c>
      <c r="C1208" s="8" t="s">
        <v>1381</v>
      </c>
      <c r="D1208" s="8" t="n">
        <v>173689</v>
      </c>
      <c r="E1208" s="8" t="s">
        <v>774</v>
      </c>
      <c r="F1208" s="8" t="s">
        <v>770</v>
      </c>
      <c r="G1208" s="8" t="s">
        <v>970</v>
      </c>
      <c r="H1208" s="8" t="s">
        <v>51</v>
      </c>
      <c r="I1208" s="8" t="s">
        <v>236</v>
      </c>
      <c r="J1208" s="4" t="n">
        <v>360000</v>
      </c>
      <c r="K1208" s="4" t="n">
        <v>200000</v>
      </c>
      <c r="L1208" s="5" t="n">
        <v>0.44722</v>
      </c>
      <c r="M1208" s="4" t="n">
        <v>0</v>
      </c>
      <c r="N1208" s="4" t="n">
        <v>0</v>
      </c>
      <c r="O1208" s="4" t="n">
        <v>0</v>
      </c>
      <c r="P1208" s="4" t="n">
        <v>0</v>
      </c>
      <c r="Q1208" s="4" t="n">
        <v>0</v>
      </c>
      <c r="R1208" s="4" t="n">
        <f aca="false">M1208+N1208+O1208+P1208+Q1208</f>
        <v>0</v>
      </c>
      <c r="S1208" s="4" t="n">
        <v>0</v>
      </c>
      <c r="T1208" s="4" t="n">
        <f aca="false">R1208*K1208</f>
        <v>0</v>
      </c>
      <c r="U1208" s="9" t="n">
        <f aca="false">IFERROR(M1208/S1208,0)</f>
        <v>0</v>
      </c>
      <c r="V1208" s="5" t="n">
        <v>-0.7</v>
      </c>
    </row>
    <row r="1209" customFormat="false" ht="15" hidden="false" customHeight="false" outlineLevel="0" collapsed="false">
      <c r="A1209" s="8" t="s">
        <v>235</v>
      </c>
      <c r="B1209" s="8" t="s">
        <v>24</v>
      </c>
      <c r="C1209" s="8" t="s">
        <v>1381</v>
      </c>
      <c r="D1209" s="8" t="n">
        <v>220024</v>
      </c>
      <c r="E1209" s="8" t="s">
        <v>775</v>
      </c>
      <c r="F1209" s="8" t="s">
        <v>770</v>
      </c>
      <c r="G1209" s="8" t="s">
        <v>970</v>
      </c>
      <c r="H1209" s="8" t="s">
        <v>51</v>
      </c>
      <c r="I1209" s="8" t="s">
        <v>236</v>
      </c>
      <c r="J1209" s="4" t="n">
        <v>350000</v>
      </c>
      <c r="K1209" s="4" t="n">
        <v>199000</v>
      </c>
      <c r="L1209" s="5" t="n">
        <v>0.43143</v>
      </c>
      <c r="M1209" s="4" t="n">
        <v>0</v>
      </c>
      <c r="N1209" s="4" t="n">
        <v>0</v>
      </c>
      <c r="O1209" s="4" t="n">
        <v>0</v>
      </c>
      <c r="P1209" s="4" t="n">
        <v>0</v>
      </c>
      <c r="Q1209" s="4" t="n">
        <v>0</v>
      </c>
      <c r="R1209" s="4" t="n">
        <f aca="false">M1209+N1209+O1209+P1209+Q1209</f>
        <v>0</v>
      </c>
      <c r="S1209" s="4" t="n">
        <v>0</v>
      </c>
      <c r="T1209" s="4" t="n">
        <f aca="false">R1209*K1209</f>
        <v>0</v>
      </c>
      <c r="U1209" s="9" t="n">
        <f aca="false">IFERROR(M1209/S1209,0)</f>
        <v>0</v>
      </c>
      <c r="V1209" s="5" t="n">
        <v>-0.3317</v>
      </c>
    </row>
    <row r="1210" customFormat="false" ht="15" hidden="false" customHeight="false" outlineLevel="0" collapsed="false">
      <c r="A1210" s="8" t="s">
        <v>235</v>
      </c>
      <c r="B1210" s="8" t="s">
        <v>24</v>
      </c>
      <c r="C1210" s="8" t="s">
        <v>1381</v>
      </c>
      <c r="D1210" s="8" t="n">
        <v>220047</v>
      </c>
      <c r="E1210" s="8" t="s">
        <v>776</v>
      </c>
      <c r="F1210" s="8" t="s">
        <v>770</v>
      </c>
      <c r="G1210" s="8" t="s">
        <v>970</v>
      </c>
      <c r="H1210" s="8" t="s">
        <v>51</v>
      </c>
      <c r="I1210" s="8" t="s">
        <v>236</v>
      </c>
      <c r="J1210" s="4" t="n">
        <v>350000</v>
      </c>
      <c r="K1210" s="4" t="n">
        <v>199000</v>
      </c>
      <c r="L1210" s="5" t="n">
        <v>0.43143</v>
      </c>
      <c r="M1210" s="4" t="n">
        <v>0</v>
      </c>
      <c r="N1210" s="4" t="n">
        <v>0</v>
      </c>
      <c r="O1210" s="4" t="n">
        <v>0</v>
      </c>
      <c r="P1210" s="4" t="n">
        <v>0</v>
      </c>
      <c r="Q1210" s="4" t="n">
        <v>0</v>
      </c>
      <c r="R1210" s="4" t="n">
        <f aca="false">M1210+N1210+O1210+P1210+Q1210</f>
        <v>0</v>
      </c>
      <c r="S1210" s="4" t="n">
        <v>0</v>
      </c>
      <c r="T1210" s="4" t="n">
        <f aca="false">R1210*K1210</f>
        <v>0</v>
      </c>
      <c r="U1210" s="9" t="n">
        <f aca="false">IFERROR(M1210/S1210,0)</f>
        <v>0</v>
      </c>
      <c r="V1210" s="5" t="n">
        <v>-0.3317</v>
      </c>
    </row>
    <row r="1211" customFormat="false" ht="15" hidden="false" customHeight="false" outlineLevel="0" collapsed="false">
      <c r="A1211" s="8" t="s">
        <v>235</v>
      </c>
      <c r="B1211" s="8" t="s">
        <v>24</v>
      </c>
      <c r="C1211" s="8" t="s">
        <v>1381</v>
      </c>
      <c r="D1211" s="8" t="n">
        <v>220006</v>
      </c>
      <c r="E1211" s="8" t="s">
        <v>775</v>
      </c>
      <c r="F1211" s="8" t="s">
        <v>770</v>
      </c>
      <c r="G1211" s="8" t="s">
        <v>970</v>
      </c>
      <c r="H1211" s="8" t="s">
        <v>51</v>
      </c>
      <c r="I1211" s="8" t="s">
        <v>236</v>
      </c>
      <c r="J1211" s="4" t="n">
        <v>350000</v>
      </c>
      <c r="K1211" s="4" t="n">
        <v>199000</v>
      </c>
      <c r="L1211" s="5" t="n">
        <v>0.43143</v>
      </c>
      <c r="M1211" s="4" t="n">
        <v>0</v>
      </c>
      <c r="N1211" s="4" t="n">
        <v>0</v>
      </c>
      <c r="O1211" s="4" t="n">
        <v>0</v>
      </c>
      <c r="P1211" s="4" t="n">
        <v>0</v>
      </c>
      <c r="Q1211" s="4" t="n">
        <v>0</v>
      </c>
      <c r="R1211" s="4" t="n">
        <f aca="false">M1211+N1211+O1211+P1211+Q1211</f>
        <v>0</v>
      </c>
      <c r="S1211" s="4" t="n">
        <v>0</v>
      </c>
      <c r="T1211" s="4" t="n">
        <f aca="false">R1211*K1211</f>
        <v>0</v>
      </c>
      <c r="U1211" s="9" t="n">
        <f aca="false">IFERROR(M1211/S1211,0)</f>
        <v>0</v>
      </c>
      <c r="V1211" s="5" t="n">
        <v>-0.3317</v>
      </c>
    </row>
    <row r="1212" customFormat="false" ht="15" hidden="false" customHeight="false" outlineLevel="0" collapsed="false">
      <c r="A1212" s="8" t="s">
        <v>235</v>
      </c>
      <c r="B1212" s="8" t="s">
        <v>24</v>
      </c>
      <c r="C1212" s="8" t="s">
        <v>1381</v>
      </c>
      <c r="D1212" s="8" t="n">
        <v>220007</v>
      </c>
      <c r="E1212" s="8" t="s">
        <v>777</v>
      </c>
      <c r="F1212" s="8" t="s">
        <v>770</v>
      </c>
      <c r="G1212" s="8" t="s">
        <v>970</v>
      </c>
      <c r="H1212" s="8" t="s">
        <v>51</v>
      </c>
      <c r="I1212" s="8" t="s">
        <v>236</v>
      </c>
      <c r="J1212" s="4" t="n">
        <v>350000</v>
      </c>
      <c r="K1212" s="4" t="n">
        <v>199000</v>
      </c>
      <c r="L1212" s="5" t="n">
        <v>0.43143</v>
      </c>
      <c r="M1212" s="4" t="n">
        <v>0</v>
      </c>
      <c r="N1212" s="4" t="n">
        <v>0</v>
      </c>
      <c r="O1212" s="4" t="n">
        <v>0</v>
      </c>
      <c r="P1212" s="4" t="n">
        <v>0</v>
      </c>
      <c r="Q1212" s="4" t="n">
        <v>0</v>
      </c>
      <c r="R1212" s="4" t="n">
        <f aca="false">M1212+N1212+O1212+P1212+Q1212</f>
        <v>0</v>
      </c>
      <c r="S1212" s="4" t="n">
        <v>0</v>
      </c>
      <c r="T1212" s="4" t="n">
        <f aca="false">R1212*K1212</f>
        <v>0</v>
      </c>
      <c r="U1212" s="9" t="n">
        <f aca="false">IFERROR(M1212/S1212,0)</f>
        <v>0</v>
      </c>
      <c r="V1212" s="5" t="n">
        <v>-0.3317</v>
      </c>
    </row>
    <row r="1213" customFormat="false" ht="15" hidden="false" customHeight="false" outlineLevel="0" collapsed="false">
      <c r="A1213" s="8" t="s">
        <v>235</v>
      </c>
      <c r="B1213" s="8" t="s">
        <v>24</v>
      </c>
      <c r="C1213" s="8" t="s">
        <v>1381</v>
      </c>
      <c r="D1213" s="8" t="n">
        <v>220008</v>
      </c>
      <c r="E1213" s="8" t="s">
        <v>778</v>
      </c>
      <c r="F1213" s="8" t="s">
        <v>770</v>
      </c>
      <c r="G1213" s="8" t="s">
        <v>970</v>
      </c>
      <c r="H1213" s="8" t="s">
        <v>51</v>
      </c>
      <c r="I1213" s="8" t="s">
        <v>236</v>
      </c>
      <c r="J1213" s="4" t="n">
        <v>350000</v>
      </c>
      <c r="K1213" s="4" t="n">
        <v>199000</v>
      </c>
      <c r="L1213" s="5" t="n">
        <v>0.43143</v>
      </c>
      <c r="M1213" s="4" t="n">
        <v>0</v>
      </c>
      <c r="N1213" s="4" t="n">
        <v>0</v>
      </c>
      <c r="O1213" s="4" t="n">
        <v>0</v>
      </c>
      <c r="P1213" s="4" t="n">
        <v>0</v>
      </c>
      <c r="Q1213" s="4" t="n">
        <v>0</v>
      </c>
      <c r="R1213" s="4" t="n">
        <f aca="false">M1213+N1213+O1213+P1213+Q1213</f>
        <v>0</v>
      </c>
      <c r="S1213" s="4" t="n">
        <v>0</v>
      </c>
      <c r="T1213" s="4" t="n">
        <f aca="false">R1213*K1213</f>
        <v>0</v>
      </c>
      <c r="U1213" s="9" t="n">
        <f aca="false">IFERROR(M1213/S1213,0)</f>
        <v>0</v>
      </c>
      <c r="V1213" s="5" t="n">
        <v>-0.3317</v>
      </c>
    </row>
    <row r="1214" customFormat="false" ht="15" hidden="false" customHeight="false" outlineLevel="0" collapsed="false">
      <c r="A1214" s="8" t="s">
        <v>235</v>
      </c>
      <c r="B1214" s="8" t="s">
        <v>24</v>
      </c>
      <c r="C1214" s="8" t="s">
        <v>1381</v>
      </c>
      <c r="D1214" s="8" t="n">
        <v>220015</v>
      </c>
      <c r="E1214" s="8" t="s">
        <v>779</v>
      </c>
      <c r="F1214" s="8" t="s">
        <v>770</v>
      </c>
      <c r="G1214" s="8" t="s">
        <v>970</v>
      </c>
      <c r="H1214" s="8" t="s">
        <v>51</v>
      </c>
      <c r="I1214" s="8" t="s">
        <v>236</v>
      </c>
      <c r="J1214" s="4" t="n">
        <v>350000</v>
      </c>
      <c r="K1214" s="4" t="n">
        <v>199000</v>
      </c>
      <c r="L1214" s="5" t="n">
        <v>0.43143</v>
      </c>
      <c r="M1214" s="4" t="n">
        <v>0</v>
      </c>
      <c r="N1214" s="4" t="n">
        <v>0</v>
      </c>
      <c r="O1214" s="4" t="n">
        <v>0</v>
      </c>
      <c r="P1214" s="4" t="n">
        <v>0</v>
      </c>
      <c r="Q1214" s="4" t="n">
        <v>0</v>
      </c>
      <c r="R1214" s="4" t="n">
        <f aca="false">M1214+N1214+O1214+P1214+Q1214</f>
        <v>0</v>
      </c>
      <c r="S1214" s="4" t="n">
        <v>0</v>
      </c>
      <c r="T1214" s="4" t="n">
        <f aca="false">R1214*K1214</f>
        <v>0</v>
      </c>
      <c r="U1214" s="9" t="n">
        <f aca="false">IFERROR(M1214/S1214,0)</f>
        <v>0</v>
      </c>
      <c r="V1214" s="5" t="n">
        <v>-0.3317</v>
      </c>
    </row>
    <row r="1215" customFormat="false" ht="15" hidden="false" customHeight="false" outlineLevel="0" collapsed="false">
      <c r="A1215" s="8" t="s">
        <v>235</v>
      </c>
      <c r="B1215" s="8" t="s">
        <v>24</v>
      </c>
      <c r="C1215" s="8" t="s">
        <v>1381</v>
      </c>
      <c r="D1215" s="8" t="n">
        <v>220019</v>
      </c>
      <c r="E1215" s="8" t="s">
        <v>780</v>
      </c>
      <c r="F1215" s="8" t="s">
        <v>770</v>
      </c>
      <c r="G1215" s="8" t="s">
        <v>970</v>
      </c>
      <c r="H1215" s="8" t="s">
        <v>51</v>
      </c>
      <c r="I1215" s="8" t="s">
        <v>236</v>
      </c>
      <c r="J1215" s="4" t="n">
        <v>350000</v>
      </c>
      <c r="K1215" s="4" t="n">
        <v>199000</v>
      </c>
      <c r="L1215" s="5" t="n">
        <v>0.43143</v>
      </c>
      <c r="M1215" s="4" t="n">
        <v>0</v>
      </c>
      <c r="N1215" s="4" t="n">
        <v>0</v>
      </c>
      <c r="O1215" s="4" t="n">
        <v>0</v>
      </c>
      <c r="P1215" s="4" t="n">
        <v>0</v>
      </c>
      <c r="Q1215" s="4" t="n">
        <v>0</v>
      </c>
      <c r="R1215" s="4" t="n">
        <f aca="false">M1215+N1215+O1215+P1215+Q1215</f>
        <v>0</v>
      </c>
      <c r="S1215" s="4" t="n">
        <v>0</v>
      </c>
      <c r="T1215" s="4" t="n">
        <f aca="false">R1215*K1215</f>
        <v>0</v>
      </c>
      <c r="U1215" s="9" t="n">
        <f aca="false">IFERROR(M1215/S1215,0)</f>
        <v>0</v>
      </c>
      <c r="V1215" s="5" t="n">
        <v>-0.3317</v>
      </c>
    </row>
    <row r="1216" customFormat="false" ht="15" hidden="false" customHeight="false" outlineLevel="0" collapsed="false">
      <c r="A1216" s="8" t="s">
        <v>235</v>
      </c>
      <c r="B1216" s="8" t="s">
        <v>24</v>
      </c>
      <c r="C1216" s="8" t="s">
        <v>1381</v>
      </c>
      <c r="D1216" s="8" t="n">
        <v>220020</v>
      </c>
      <c r="E1216" s="8" t="s">
        <v>781</v>
      </c>
      <c r="F1216" s="8" t="s">
        <v>770</v>
      </c>
      <c r="G1216" s="8" t="s">
        <v>970</v>
      </c>
      <c r="H1216" s="8" t="s">
        <v>51</v>
      </c>
      <c r="I1216" s="8" t="s">
        <v>236</v>
      </c>
      <c r="J1216" s="4" t="n">
        <v>350000</v>
      </c>
      <c r="K1216" s="4" t="n">
        <v>199000</v>
      </c>
      <c r="L1216" s="5" t="n">
        <v>0.43143</v>
      </c>
      <c r="M1216" s="4" t="n">
        <v>0</v>
      </c>
      <c r="N1216" s="4" t="n">
        <v>0</v>
      </c>
      <c r="O1216" s="4" t="n">
        <v>0</v>
      </c>
      <c r="P1216" s="4" t="n">
        <v>0</v>
      </c>
      <c r="Q1216" s="4" t="n">
        <v>0</v>
      </c>
      <c r="R1216" s="4" t="n">
        <f aca="false">M1216+N1216+O1216+P1216+Q1216</f>
        <v>0</v>
      </c>
      <c r="S1216" s="4" t="n">
        <v>0</v>
      </c>
      <c r="T1216" s="4" t="n">
        <f aca="false">R1216*K1216</f>
        <v>0</v>
      </c>
      <c r="U1216" s="9" t="n">
        <f aca="false">IFERROR(M1216/S1216,0)</f>
        <v>0</v>
      </c>
      <c r="V1216" s="5" t="n">
        <v>-0.3317</v>
      </c>
    </row>
    <row r="1217" customFormat="false" ht="15" hidden="false" customHeight="false" outlineLevel="0" collapsed="false">
      <c r="A1217" s="8" t="s">
        <v>235</v>
      </c>
      <c r="B1217" s="8" t="s">
        <v>24</v>
      </c>
      <c r="C1217" s="8" t="s">
        <v>1381</v>
      </c>
      <c r="D1217" s="8" t="n">
        <v>220022</v>
      </c>
      <c r="E1217" s="8" t="s">
        <v>780</v>
      </c>
      <c r="F1217" s="8" t="s">
        <v>770</v>
      </c>
      <c r="G1217" s="8" t="s">
        <v>970</v>
      </c>
      <c r="H1217" s="8" t="s">
        <v>51</v>
      </c>
      <c r="I1217" s="8" t="s">
        <v>236</v>
      </c>
      <c r="J1217" s="4" t="n">
        <v>350000</v>
      </c>
      <c r="K1217" s="4" t="n">
        <v>199000</v>
      </c>
      <c r="L1217" s="5" t="n">
        <v>0.43143</v>
      </c>
      <c r="M1217" s="4" t="n">
        <v>0</v>
      </c>
      <c r="N1217" s="4" t="n">
        <v>0</v>
      </c>
      <c r="O1217" s="4" t="n">
        <v>0</v>
      </c>
      <c r="P1217" s="4" t="n">
        <v>0</v>
      </c>
      <c r="Q1217" s="4" t="n">
        <v>0</v>
      </c>
      <c r="R1217" s="4" t="n">
        <f aca="false">M1217+N1217+O1217+P1217+Q1217</f>
        <v>0</v>
      </c>
      <c r="S1217" s="4" t="n">
        <v>0</v>
      </c>
      <c r="T1217" s="4" t="n">
        <f aca="false">R1217*K1217</f>
        <v>0</v>
      </c>
      <c r="U1217" s="9" t="n">
        <f aca="false">IFERROR(M1217/S1217,0)</f>
        <v>0</v>
      </c>
      <c r="V1217" s="5" t="n">
        <v>-0.3317</v>
      </c>
    </row>
    <row r="1218" customFormat="false" ht="15" hidden="false" customHeight="false" outlineLevel="0" collapsed="false">
      <c r="A1218" s="8" t="s">
        <v>235</v>
      </c>
      <c r="B1218" s="8" t="s">
        <v>24</v>
      </c>
      <c r="C1218" s="8" t="s">
        <v>1381</v>
      </c>
      <c r="D1218" s="8" t="n">
        <v>220023</v>
      </c>
      <c r="E1218" s="8" t="s">
        <v>782</v>
      </c>
      <c r="F1218" s="8" t="s">
        <v>770</v>
      </c>
      <c r="G1218" s="8" t="s">
        <v>970</v>
      </c>
      <c r="H1218" s="8" t="s">
        <v>51</v>
      </c>
      <c r="I1218" s="8" t="s">
        <v>236</v>
      </c>
      <c r="J1218" s="4" t="n">
        <v>350000</v>
      </c>
      <c r="K1218" s="4" t="n">
        <v>199000</v>
      </c>
      <c r="L1218" s="5" t="n">
        <v>0.43143</v>
      </c>
      <c r="M1218" s="4" t="n">
        <v>0</v>
      </c>
      <c r="N1218" s="4" t="n">
        <v>0</v>
      </c>
      <c r="O1218" s="4" t="n">
        <v>0</v>
      </c>
      <c r="P1218" s="4" t="n">
        <v>0</v>
      </c>
      <c r="Q1218" s="4" t="n">
        <v>0</v>
      </c>
      <c r="R1218" s="4" t="n">
        <f aca="false">M1218+N1218+O1218+P1218+Q1218</f>
        <v>0</v>
      </c>
      <c r="S1218" s="4" t="n">
        <v>0</v>
      </c>
      <c r="T1218" s="4" t="n">
        <f aca="false">R1218*K1218</f>
        <v>0</v>
      </c>
      <c r="U1218" s="9" t="n">
        <f aca="false">IFERROR(M1218/S1218,0)</f>
        <v>0</v>
      </c>
      <c r="V1218" s="5" t="n">
        <v>-0.3317</v>
      </c>
    </row>
    <row r="1219" customFormat="false" ht="15" hidden="false" customHeight="false" outlineLevel="0" collapsed="false">
      <c r="A1219" s="8" t="s">
        <v>235</v>
      </c>
      <c r="B1219" s="8" t="s">
        <v>24</v>
      </c>
      <c r="C1219" s="8" t="s">
        <v>1381</v>
      </c>
      <c r="D1219" s="8" t="n">
        <v>220025</v>
      </c>
      <c r="E1219" s="8" t="s">
        <v>778</v>
      </c>
      <c r="F1219" s="8" t="s">
        <v>770</v>
      </c>
      <c r="G1219" s="8" t="s">
        <v>970</v>
      </c>
      <c r="H1219" s="8" t="s">
        <v>51</v>
      </c>
      <c r="I1219" s="8" t="s">
        <v>236</v>
      </c>
      <c r="J1219" s="4" t="n">
        <v>350000</v>
      </c>
      <c r="K1219" s="4" t="n">
        <v>199000</v>
      </c>
      <c r="L1219" s="5" t="n">
        <v>0.43143</v>
      </c>
      <c r="M1219" s="4" t="n">
        <v>0</v>
      </c>
      <c r="N1219" s="4" t="n">
        <v>0</v>
      </c>
      <c r="O1219" s="4" t="n">
        <v>0</v>
      </c>
      <c r="P1219" s="4" t="n">
        <v>0</v>
      </c>
      <c r="Q1219" s="4" t="n">
        <v>0</v>
      </c>
      <c r="R1219" s="4" t="n">
        <f aca="false">M1219+N1219+O1219+P1219+Q1219</f>
        <v>0</v>
      </c>
      <c r="S1219" s="4" t="n">
        <v>0</v>
      </c>
      <c r="T1219" s="4" t="n">
        <f aca="false">R1219*K1219</f>
        <v>0</v>
      </c>
      <c r="U1219" s="9" t="n">
        <f aca="false">IFERROR(M1219/S1219,0)</f>
        <v>0</v>
      </c>
      <c r="V1219" s="5" t="n">
        <v>-0.3317</v>
      </c>
    </row>
    <row r="1220" customFormat="false" ht="15" hidden="false" customHeight="false" outlineLevel="0" collapsed="false">
      <c r="A1220" s="8" t="s">
        <v>235</v>
      </c>
      <c r="B1220" s="8" t="s">
        <v>24</v>
      </c>
      <c r="C1220" s="8" t="s">
        <v>1381</v>
      </c>
      <c r="D1220" s="8" t="n">
        <v>220026</v>
      </c>
      <c r="E1220" s="8" t="s">
        <v>777</v>
      </c>
      <c r="F1220" s="8" t="s">
        <v>770</v>
      </c>
      <c r="G1220" s="8" t="s">
        <v>970</v>
      </c>
      <c r="H1220" s="8" t="s">
        <v>51</v>
      </c>
      <c r="I1220" s="8" t="s">
        <v>236</v>
      </c>
      <c r="J1220" s="4" t="n">
        <v>350000</v>
      </c>
      <c r="K1220" s="4" t="n">
        <v>199000</v>
      </c>
      <c r="L1220" s="5" t="n">
        <v>0.43143</v>
      </c>
      <c r="M1220" s="4" t="n">
        <v>0</v>
      </c>
      <c r="N1220" s="4" t="n">
        <v>0</v>
      </c>
      <c r="O1220" s="4" t="n">
        <v>0</v>
      </c>
      <c r="P1220" s="4" t="n">
        <v>0</v>
      </c>
      <c r="Q1220" s="4" t="n">
        <v>0</v>
      </c>
      <c r="R1220" s="4" t="n">
        <f aca="false">M1220+N1220+O1220+P1220+Q1220</f>
        <v>0</v>
      </c>
      <c r="S1220" s="4" t="n">
        <v>0</v>
      </c>
      <c r="T1220" s="4" t="n">
        <f aca="false">R1220*K1220</f>
        <v>0</v>
      </c>
      <c r="U1220" s="9" t="n">
        <f aca="false">IFERROR(M1220/S1220,0)</f>
        <v>0</v>
      </c>
      <c r="V1220" s="5" t="n">
        <v>-0.3317</v>
      </c>
    </row>
    <row r="1221" customFormat="false" ht="15" hidden="false" customHeight="false" outlineLevel="0" collapsed="false">
      <c r="A1221" s="8" t="s">
        <v>235</v>
      </c>
      <c r="B1221" s="8" t="s">
        <v>24</v>
      </c>
      <c r="C1221" s="8" t="s">
        <v>1381</v>
      </c>
      <c r="D1221" s="8" t="n">
        <v>220027</v>
      </c>
      <c r="E1221" s="8" t="s">
        <v>783</v>
      </c>
      <c r="F1221" s="8" t="s">
        <v>770</v>
      </c>
      <c r="G1221" s="8" t="s">
        <v>970</v>
      </c>
      <c r="H1221" s="8" t="s">
        <v>51</v>
      </c>
      <c r="I1221" s="8" t="s">
        <v>236</v>
      </c>
      <c r="J1221" s="4" t="n">
        <v>350000</v>
      </c>
      <c r="K1221" s="4" t="n">
        <v>199000</v>
      </c>
      <c r="L1221" s="5" t="n">
        <v>0.43143</v>
      </c>
      <c r="M1221" s="4" t="n">
        <v>0</v>
      </c>
      <c r="N1221" s="4" t="n">
        <v>0</v>
      </c>
      <c r="O1221" s="4" t="n">
        <v>0</v>
      </c>
      <c r="P1221" s="4" t="n">
        <v>0</v>
      </c>
      <c r="Q1221" s="4" t="n">
        <v>0</v>
      </c>
      <c r="R1221" s="4" t="n">
        <f aca="false">M1221+N1221+O1221+P1221+Q1221</f>
        <v>0</v>
      </c>
      <c r="S1221" s="4" t="n">
        <v>0</v>
      </c>
      <c r="T1221" s="4" t="n">
        <f aca="false">R1221*K1221</f>
        <v>0</v>
      </c>
      <c r="U1221" s="9" t="n">
        <f aca="false">IFERROR(M1221/S1221,0)</f>
        <v>0</v>
      </c>
      <c r="V1221" s="5" t="n">
        <v>-0.3317</v>
      </c>
    </row>
    <row r="1222" customFormat="false" ht="15" hidden="false" customHeight="false" outlineLevel="0" collapsed="false">
      <c r="A1222" s="8" t="s">
        <v>235</v>
      </c>
      <c r="B1222" s="8" t="s">
        <v>24</v>
      </c>
      <c r="C1222" s="8" t="s">
        <v>1381</v>
      </c>
      <c r="D1222" s="8" t="n">
        <v>220028</v>
      </c>
      <c r="E1222" s="8" t="s">
        <v>781</v>
      </c>
      <c r="F1222" s="8" t="s">
        <v>770</v>
      </c>
      <c r="G1222" s="8" t="s">
        <v>970</v>
      </c>
      <c r="H1222" s="8" t="s">
        <v>51</v>
      </c>
      <c r="I1222" s="8" t="s">
        <v>236</v>
      </c>
      <c r="J1222" s="4" t="n">
        <v>350000</v>
      </c>
      <c r="K1222" s="4" t="n">
        <v>199000</v>
      </c>
      <c r="L1222" s="5" t="n">
        <v>0.43143</v>
      </c>
      <c r="M1222" s="4" t="n">
        <v>0</v>
      </c>
      <c r="N1222" s="4" t="n">
        <v>0</v>
      </c>
      <c r="O1222" s="4" t="n">
        <v>0</v>
      </c>
      <c r="P1222" s="4" t="n">
        <v>0</v>
      </c>
      <c r="Q1222" s="4" t="n">
        <v>0</v>
      </c>
      <c r="R1222" s="4" t="n">
        <f aca="false">M1222+N1222+O1222+P1222+Q1222</f>
        <v>0</v>
      </c>
      <c r="S1222" s="4" t="n">
        <v>0</v>
      </c>
      <c r="T1222" s="4" t="n">
        <f aca="false">R1222*K1222</f>
        <v>0</v>
      </c>
      <c r="U1222" s="9" t="n">
        <f aca="false">IFERROR(M1222/S1222,0)</f>
        <v>0</v>
      </c>
      <c r="V1222" s="5" t="n">
        <v>-0.3317</v>
      </c>
    </row>
    <row r="1223" customFormat="false" ht="15" hidden="false" customHeight="false" outlineLevel="0" collapsed="false">
      <c r="A1223" s="8" t="s">
        <v>235</v>
      </c>
      <c r="B1223" s="8" t="s">
        <v>24</v>
      </c>
      <c r="C1223" s="8" t="s">
        <v>1381</v>
      </c>
      <c r="D1223" s="8" t="n">
        <v>220048</v>
      </c>
      <c r="E1223" s="8" t="s">
        <v>784</v>
      </c>
      <c r="F1223" s="8" t="s">
        <v>770</v>
      </c>
      <c r="G1223" s="8" t="s">
        <v>970</v>
      </c>
      <c r="H1223" s="8" t="s">
        <v>51</v>
      </c>
      <c r="I1223" s="8" t="s">
        <v>236</v>
      </c>
      <c r="J1223" s="4" t="n">
        <v>350000</v>
      </c>
      <c r="K1223" s="4" t="n">
        <v>199000</v>
      </c>
      <c r="L1223" s="5" t="n">
        <v>0.43143</v>
      </c>
      <c r="M1223" s="4" t="n">
        <v>0</v>
      </c>
      <c r="N1223" s="4" t="n">
        <v>0</v>
      </c>
      <c r="O1223" s="4" t="n">
        <v>0</v>
      </c>
      <c r="P1223" s="4" t="n">
        <v>0</v>
      </c>
      <c r="Q1223" s="4" t="n">
        <v>0</v>
      </c>
      <c r="R1223" s="4" t="n">
        <f aca="false">M1223+N1223+O1223+P1223+Q1223</f>
        <v>0</v>
      </c>
      <c r="S1223" s="4" t="n">
        <v>0</v>
      </c>
      <c r="T1223" s="4" t="n">
        <f aca="false">R1223*K1223</f>
        <v>0</v>
      </c>
      <c r="U1223" s="9" t="n">
        <f aca="false">IFERROR(M1223/S1223,0)</f>
        <v>0</v>
      </c>
      <c r="V1223" s="5" t="n">
        <v>-0.3317</v>
      </c>
    </row>
    <row r="1224" customFormat="false" ht="15" hidden="false" customHeight="false" outlineLevel="0" collapsed="false">
      <c r="A1224" s="8" t="s">
        <v>251</v>
      </c>
      <c r="B1224" s="8" t="s">
        <v>20</v>
      </c>
      <c r="C1224" s="8" t="s">
        <v>1048</v>
      </c>
      <c r="D1224" s="8" t="n">
        <v>101962</v>
      </c>
      <c r="E1224" s="8" t="s">
        <v>642</v>
      </c>
      <c r="F1224" s="8" t="s">
        <v>767</v>
      </c>
      <c r="G1224" s="8" t="s">
        <v>961</v>
      </c>
      <c r="H1224" s="8" t="s">
        <v>51</v>
      </c>
      <c r="I1224" s="8" t="s">
        <v>252</v>
      </c>
      <c r="J1224" s="4" t="n">
        <v>285000</v>
      </c>
      <c r="K1224" s="4" t="n">
        <v>100000</v>
      </c>
      <c r="L1224" s="5" t="n">
        <v>0.65263</v>
      </c>
      <c r="M1224" s="4" t="n">
        <v>61</v>
      </c>
      <c r="N1224" s="4" t="n">
        <v>0</v>
      </c>
      <c r="O1224" s="4" t="n">
        <v>0</v>
      </c>
      <c r="P1224" s="4" t="n">
        <v>0</v>
      </c>
      <c r="Q1224" s="4" t="n">
        <v>0</v>
      </c>
      <c r="R1224" s="4" t="n">
        <f aca="false">M1224+N1224+O1224+P1224+Q1224</f>
        <v>61</v>
      </c>
      <c r="S1224" s="4" t="n">
        <v>4</v>
      </c>
      <c r="T1224" s="4" t="n">
        <f aca="false">R1224*K1224</f>
        <v>6100000</v>
      </c>
      <c r="U1224" s="9" t="n">
        <f aca="false">IFERROR(M1224/S1224,0)</f>
        <v>15.25</v>
      </c>
      <c r="V1224" s="5" t="n">
        <v>-0.85</v>
      </c>
    </row>
    <row r="1225" customFormat="false" ht="15" hidden="false" customHeight="false" outlineLevel="0" collapsed="false">
      <c r="A1225" s="8" t="s">
        <v>251</v>
      </c>
      <c r="B1225" s="8" t="s">
        <v>20</v>
      </c>
      <c r="C1225" s="8" t="s">
        <v>1048</v>
      </c>
      <c r="D1225" s="8" t="n">
        <v>101963</v>
      </c>
      <c r="E1225" s="8" t="s">
        <v>965</v>
      </c>
      <c r="F1225" s="8" t="s">
        <v>767</v>
      </c>
      <c r="G1225" s="8" t="s">
        <v>961</v>
      </c>
      <c r="H1225" s="8" t="s">
        <v>51</v>
      </c>
      <c r="I1225" s="8" t="s">
        <v>252</v>
      </c>
      <c r="J1225" s="4" t="n">
        <v>325000</v>
      </c>
      <c r="K1225" s="4" t="n">
        <v>100000</v>
      </c>
      <c r="L1225" s="5" t="n">
        <v>0.69538</v>
      </c>
      <c r="M1225" s="4" t="n">
        <v>1</v>
      </c>
      <c r="N1225" s="4" t="n">
        <v>0</v>
      </c>
      <c r="O1225" s="4" t="n">
        <v>0</v>
      </c>
      <c r="P1225" s="4" t="n">
        <v>0</v>
      </c>
      <c r="Q1225" s="4" t="n">
        <v>0</v>
      </c>
      <c r="R1225" s="4" t="n">
        <f aca="false">M1225+N1225+O1225+P1225+Q1225</f>
        <v>1</v>
      </c>
      <c r="S1225" s="4" t="n">
        <v>1</v>
      </c>
      <c r="T1225" s="4" t="n">
        <f aca="false">R1225*K1225</f>
        <v>100000</v>
      </c>
      <c r="U1225" s="9" t="n">
        <f aca="false">IFERROR(M1225/S1225,0)</f>
        <v>1</v>
      </c>
      <c r="V1225" s="5" t="n">
        <v>-0.763</v>
      </c>
    </row>
    <row r="1226" customFormat="false" ht="15" hidden="false" customHeight="false" outlineLevel="0" collapsed="false">
      <c r="A1226" s="8" t="s">
        <v>255</v>
      </c>
      <c r="B1226" s="8" t="s">
        <v>24</v>
      </c>
      <c r="C1226" s="8" t="s">
        <v>1097</v>
      </c>
      <c r="D1226" s="8" t="n">
        <v>220040</v>
      </c>
      <c r="E1226" s="8" t="s">
        <v>993</v>
      </c>
      <c r="F1226" s="8" t="s">
        <v>770</v>
      </c>
      <c r="G1226" s="8" t="s">
        <v>970</v>
      </c>
      <c r="H1226" s="8" t="s">
        <v>51</v>
      </c>
      <c r="I1226" s="8" t="s">
        <v>256</v>
      </c>
      <c r="J1226" s="4" t="n">
        <v>269000</v>
      </c>
      <c r="K1226" s="4" t="n">
        <v>100000</v>
      </c>
      <c r="L1226" s="5" t="n">
        <v>0.63197</v>
      </c>
      <c r="M1226" s="4" t="n">
        <v>13</v>
      </c>
      <c r="N1226" s="4" t="n">
        <v>0</v>
      </c>
      <c r="O1226" s="4" t="n">
        <v>0</v>
      </c>
      <c r="P1226" s="4" t="n">
        <v>0</v>
      </c>
      <c r="Q1226" s="4" t="n">
        <v>0</v>
      </c>
      <c r="R1226" s="4" t="n">
        <f aca="false">M1226+N1226+O1226+P1226+Q1226</f>
        <v>13</v>
      </c>
      <c r="S1226" s="4" t="n">
        <v>1</v>
      </c>
      <c r="T1226" s="4" t="n">
        <f aca="false">R1226*K1226</f>
        <v>1300000</v>
      </c>
      <c r="U1226" s="9" t="n">
        <f aca="false">IFERROR(M1226/S1226,0)</f>
        <v>13</v>
      </c>
      <c r="V1226" s="5" t="n">
        <v>-1.3</v>
      </c>
    </row>
    <row r="1227" customFormat="false" ht="15" hidden="false" customHeight="false" outlineLevel="0" collapsed="false">
      <c r="A1227" s="8" t="s">
        <v>255</v>
      </c>
      <c r="B1227" s="8" t="s">
        <v>24</v>
      </c>
      <c r="C1227" s="8" t="s">
        <v>1097</v>
      </c>
      <c r="D1227" s="8" t="n">
        <v>220042</v>
      </c>
      <c r="E1227" s="8" t="s">
        <v>994</v>
      </c>
      <c r="F1227" s="8" t="s">
        <v>770</v>
      </c>
      <c r="G1227" s="8" t="s">
        <v>970</v>
      </c>
      <c r="H1227" s="8" t="s">
        <v>51</v>
      </c>
      <c r="I1227" s="8" t="s">
        <v>256</v>
      </c>
      <c r="J1227" s="4" t="n">
        <v>269000</v>
      </c>
      <c r="K1227" s="4" t="n">
        <v>100000</v>
      </c>
      <c r="L1227" s="5" t="n">
        <v>0.63197</v>
      </c>
      <c r="M1227" s="4" t="n">
        <v>11</v>
      </c>
      <c r="N1227" s="4" t="n">
        <v>0</v>
      </c>
      <c r="O1227" s="4" t="n">
        <v>0</v>
      </c>
      <c r="P1227" s="4" t="n">
        <v>0</v>
      </c>
      <c r="Q1227" s="4" t="n">
        <v>0</v>
      </c>
      <c r="R1227" s="4" t="n">
        <f aca="false">M1227+N1227+O1227+P1227+Q1227</f>
        <v>11</v>
      </c>
      <c r="S1227" s="4" t="n">
        <v>1</v>
      </c>
      <c r="T1227" s="4" t="n">
        <f aca="false">R1227*K1227</f>
        <v>1100000</v>
      </c>
      <c r="U1227" s="9" t="n">
        <f aca="false">IFERROR(M1227/S1227,0)</f>
        <v>11</v>
      </c>
      <c r="V1227" s="5" t="n">
        <v>-1.3</v>
      </c>
    </row>
    <row r="1228" customFormat="false" ht="15" hidden="false" customHeight="false" outlineLevel="0" collapsed="false">
      <c r="A1228" s="8" t="s">
        <v>255</v>
      </c>
      <c r="B1228" s="8" t="s">
        <v>24</v>
      </c>
      <c r="C1228" s="8" t="s">
        <v>1097</v>
      </c>
      <c r="D1228" s="8" t="n">
        <v>220036</v>
      </c>
      <c r="E1228" s="8" t="s">
        <v>992</v>
      </c>
      <c r="F1228" s="8" t="s">
        <v>770</v>
      </c>
      <c r="G1228" s="8" t="s">
        <v>970</v>
      </c>
      <c r="H1228" s="8" t="s">
        <v>51</v>
      </c>
      <c r="I1228" s="8" t="s">
        <v>256</v>
      </c>
      <c r="J1228" s="4" t="n">
        <v>269000</v>
      </c>
      <c r="K1228" s="4" t="n">
        <v>100000</v>
      </c>
      <c r="L1228" s="5" t="n">
        <v>0.63197</v>
      </c>
      <c r="M1228" s="4" t="n">
        <v>7</v>
      </c>
      <c r="N1228" s="4" t="n">
        <v>0</v>
      </c>
      <c r="O1228" s="4" t="n">
        <v>0</v>
      </c>
      <c r="P1228" s="4" t="n">
        <v>0</v>
      </c>
      <c r="Q1228" s="4" t="n">
        <v>0</v>
      </c>
      <c r="R1228" s="4" t="n">
        <f aca="false">M1228+N1228+O1228+P1228+Q1228</f>
        <v>7</v>
      </c>
      <c r="S1228" s="4" t="n">
        <v>2</v>
      </c>
      <c r="T1228" s="4" t="n">
        <f aca="false">R1228*K1228</f>
        <v>700000</v>
      </c>
      <c r="U1228" s="9" t="n">
        <f aca="false">IFERROR(M1228/S1228,0)</f>
        <v>3.5</v>
      </c>
      <c r="V1228" s="5" t="n">
        <v>-1.3</v>
      </c>
    </row>
    <row r="1229" customFormat="false" ht="15" hidden="false" customHeight="false" outlineLevel="0" collapsed="false">
      <c r="A1229" s="8" t="s">
        <v>255</v>
      </c>
      <c r="B1229" s="8" t="s">
        <v>24</v>
      </c>
      <c r="C1229" s="8" t="s">
        <v>1097</v>
      </c>
      <c r="D1229" s="8" t="n">
        <v>220037</v>
      </c>
      <c r="E1229" s="8" t="s">
        <v>785</v>
      </c>
      <c r="F1229" s="8" t="s">
        <v>770</v>
      </c>
      <c r="G1229" s="8" t="s">
        <v>970</v>
      </c>
      <c r="H1229" s="8" t="s">
        <v>51</v>
      </c>
      <c r="I1229" s="8" t="s">
        <v>256</v>
      </c>
      <c r="J1229" s="4" t="n">
        <v>269000</v>
      </c>
      <c r="K1229" s="4" t="n">
        <v>100000</v>
      </c>
      <c r="L1229" s="5" t="n">
        <v>0.63197</v>
      </c>
      <c r="M1229" s="4" t="n">
        <v>0</v>
      </c>
      <c r="N1229" s="4" t="n">
        <v>0</v>
      </c>
      <c r="O1229" s="4" t="n">
        <v>0</v>
      </c>
      <c r="P1229" s="4" t="n">
        <v>0</v>
      </c>
      <c r="Q1229" s="4" t="n">
        <v>0</v>
      </c>
      <c r="R1229" s="4" t="n">
        <f aca="false">M1229+N1229+O1229+P1229+Q1229</f>
        <v>0</v>
      </c>
      <c r="S1229" s="4" t="n">
        <v>0</v>
      </c>
      <c r="T1229" s="4" t="n">
        <f aca="false">R1229*K1229</f>
        <v>0</v>
      </c>
      <c r="U1229" s="9" t="n">
        <f aca="false">IFERROR(M1229/S1229,0)</f>
        <v>0</v>
      </c>
      <c r="V1229" s="5" t="n">
        <v>-1.3</v>
      </c>
    </row>
    <row r="1230" customFormat="false" ht="15" hidden="false" customHeight="false" outlineLevel="0" collapsed="false">
      <c r="A1230" s="8" t="s">
        <v>255</v>
      </c>
      <c r="B1230" s="8" t="s">
        <v>24</v>
      </c>
      <c r="C1230" s="8" t="s">
        <v>1097</v>
      </c>
      <c r="D1230" s="8" t="n">
        <v>220038</v>
      </c>
      <c r="E1230" s="8" t="s">
        <v>786</v>
      </c>
      <c r="F1230" s="8" t="s">
        <v>770</v>
      </c>
      <c r="G1230" s="8" t="s">
        <v>970</v>
      </c>
      <c r="H1230" s="8" t="s">
        <v>51</v>
      </c>
      <c r="I1230" s="8" t="s">
        <v>256</v>
      </c>
      <c r="J1230" s="4" t="n">
        <v>269000</v>
      </c>
      <c r="K1230" s="4" t="n">
        <v>100000</v>
      </c>
      <c r="L1230" s="5" t="n">
        <v>0.63197</v>
      </c>
      <c r="M1230" s="4" t="n">
        <v>0</v>
      </c>
      <c r="N1230" s="4" t="n">
        <v>0</v>
      </c>
      <c r="O1230" s="4" t="n">
        <v>0</v>
      </c>
      <c r="P1230" s="4" t="n">
        <v>0</v>
      </c>
      <c r="Q1230" s="4" t="n">
        <v>0</v>
      </c>
      <c r="R1230" s="4" t="n">
        <f aca="false">M1230+N1230+O1230+P1230+Q1230</f>
        <v>0</v>
      </c>
      <c r="S1230" s="4" t="n">
        <v>0</v>
      </c>
      <c r="T1230" s="4" t="n">
        <f aca="false">R1230*K1230</f>
        <v>0</v>
      </c>
      <c r="U1230" s="9" t="n">
        <f aca="false">IFERROR(M1230/S1230,0)</f>
        <v>0</v>
      </c>
      <c r="V1230" s="5" t="n">
        <v>-1.3</v>
      </c>
    </row>
    <row r="1231" customFormat="false" ht="15" hidden="false" customHeight="false" outlineLevel="0" collapsed="false">
      <c r="A1231" s="8" t="s">
        <v>255</v>
      </c>
      <c r="B1231" s="8" t="s">
        <v>24</v>
      </c>
      <c r="C1231" s="8" t="s">
        <v>1097</v>
      </c>
      <c r="D1231" s="8" t="n">
        <v>220039</v>
      </c>
      <c r="E1231" s="8" t="s">
        <v>787</v>
      </c>
      <c r="F1231" s="8" t="s">
        <v>770</v>
      </c>
      <c r="G1231" s="8" t="s">
        <v>970</v>
      </c>
      <c r="H1231" s="8" t="s">
        <v>51</v>
      </c>
      <c r="I1231" s="8" t="s">
        <v>256</v>
      </c>
      <c r="J1231" s="4" t="n">
        <v>269000</v>
      </c>
      <c r="K1231" s="4" t="n">
        <v>100000</v>
      </c>
      <c r="L1231" s="5" t="n">
        <v>0.63197</v>
      </c>
      <c r="M1231" s="4" t="n">
        <v>0</v>
      </c>
      <c r="N1231" s="4" t="n">
        <v>0</v>
      </c>
      <c r="O1231" s="4" t="n">
        <v>0</v>
      </c>
      <c r="P1231" s="4" t="n">
        <v>0</v>
      </c>
      <c r="Q1231" s="4" t="n">
        <v>0</v>
      </c>
      <c r="R1231" s="4" t="n">
        <f aca="false">M1231+N1231+O1231+P1231+Q1231</f>
        <v>0</v>
      </c>
      <c r="S1231" s="4" t="n">
        <v>0</v>
      </c>
      <c r="T1231" s="4" t="n">
        <f aca="false">R1231*K1231</f>
        <v>0</v>
      </c>
      <c r="U1231" s="9" t="n">
        <f aca="false">IFERROR(M1231/S1231,0)</f>
        <v>0</v>
      </c>
      <c r="V1231" s="5" t="n">
        <v>-1.3</v>
      </c>
    </row>
    <row r="1232" customFormat="false" ht="15" hidden="false" customHeight="false" outlineLevel="0" collapsed="false">
      <c r="A1232" s="8" t="s">
        <v>255</v>
      </c>
      <c r="B1232" s="8" t="s">
        <v>24</v>
      </c>
      <c r="C1232" s="8" t="s">
        <v>1097</v>
      </c>
      <c r="D1232" s="8" t="n">
        <v>220041</v>
      </c>
      <c r="E1232" s="8" t="s">
        <v>788</v>
      </c>
      <c r="F1232" s="8" t="s">
        <v>770</v>
      </c>
      <c r="G1232" s="8" t="s">
        <v>970</v>
      </c>
      <c r="H1232" s="8" t="s">
        <v>51</v>
      </c>
      <c r="I1232" s="8" t="s">
        <v>256</v>
      </c>
      <c r="J1232" s="4" t="n">
        <v>269000</v>
      </c>
      <c r="K1232" s="4" t="n">
        <v>100000</v>
      </c>
      <c r="L1232" s="5" t="n">
        <v>0.63197</v>
      </c>
      <c r="M1232" s="4" t="n">
        <v>0</v>
      </c>
      <c r="N1232" s="4" t="n">
        <v>0</v>
      </c>
      <c r="O1232" s="4" t="n">
        <v>0</v>
      </c>
      <c r="P1232" s="4" t="n">
        <v>0</v>
      </c>
      <c r="Q1232" s="4" t="n">
        <v>0</v>
      </c>
      <c r="R1232" s="4" t="n">
        <f aca="false">M1232+N1232+O1232+P1232+Q1232</f>
        <v>0</v>
      </c>
      <c r="S1232" s="4" t="n">
        <v>0</v>
      </c>
      <c r="T1232" s="4" t="n">
        <f aca="false">R1232*K1232</f>
        <v>0</v>
      </c>
      <c r="U1232" s="9" t="n">
        <f aca="false">IFERROR(M1232/S1232,0)</f>
        <v>0</v>
      </c>
      <c r="V1232" s="5" t="n">
        <v>-1.3</v>
      </c>
    </row>
    <row r="1233" customFormat="false" ht="15" hidden="false" customHeight="false" outlineLevel="0" collapsed="false">
      <c r="A1233" s="8" t="s">
        <v>245</v>
      </c>
      <c r="B1233" s="8" t="s">
        <v>22</v>
      </c>
      <c r="C1233" s="8" t="s">
        <v>1646</v>
      </c>
      <c r="D1233" s="8" t="n">
        <v>134951</v>
      </c>
      <c r="E1233" s="8" t="s">
        <v>1003</v>
      </c>
      <c r="F1233" s="8" t="s">
        <v>767</v>
      </c>
      <c r="G1233" s="8" t="s">
        <v>970</v>
      </c>
      <c r="H1233" s="8" t="s">
        <v>51</v>
      </c>
      <c r="I1233" s="8" t="s">
        <v>246</v>
      </c>
      <c r="J1233" s="4" t="n">
        <v>753000</v>
      </c>
      <c r="K1233" s="4" t="n">
        <v>300000</v>
      </c>
      <c r="L1233" s="5" t="n">
        <v>0.60292</v>
      </c>
      <c r="M1233" s="4" t="n">
        <v>22</v>
      </c>
      <c r="N1233" s="4" t="n">
        <v>0</v>
      </c>
      <c r="O1233" s="4" t="n">
        <v>0</v>
      </c>
      <c r="P1233" s="4" t="n">
        <v>0</v>
      </c>
      <c r="Q1233" s="4" t="n">
        <v>0</v>
      </c>
      <c r="R1233" s="4" t="n">
        <f aca="false">M1233+N1233+O1233+P1233+Q1233</f>
        <v>22</v>
      </c>
      <c r="S1233" s="4" t="n">
        <v>11</v>
      </c>
      <c r="T1233" s="4" t="n">
        <f aca="false">R1233*K1233</f>
        <v>6600000</v>
      </c>
      <c r="U1233" s="9" t="n">
        <f aca="false">IFERROR(M1233/S1233,0)</f>
        <v>2</v>
      </c>
      <c r="V1233" s="5" t="n">
        <v>-0.5433</v>
      </c>
    </row>
    <row r="1234" customFormat="false" ht="15" hidden="false" customHeight="false" outlineLevel="0" collapsed="false">
      <c r="A1234" s="8" t="s">
        <v>245</v>
      </c>
      <c r="B1234" s="8" t="s">
        <v>22</v>
      </c>
      <c r="C1234" s="8" t="s">
        <v>1646</v>
      </c>
      <c r="D1234" s="8" t="n">
        <v>134950</v>
      </c>
      <c r="E1234" s="8" t="s">
        <v>1001</v>
      </c>
      <c r="F1234" s="8" t="s">
        <v>767</v>
      </c>
      <c r="G1234" s="8" t="s">
        <v>970</v>
      </c>
      <c r="H1234" s="8" t="s">
        <v>51</v>
      </c>
      <c r="I1234" s="8" t="s">
        <v>246</v>
      </c>
      <c r="J1234" s="4" t="n">
        <v>665000</v>
      </c>
      <c r="K1234" s="4" t="n">
        <v>299000</v>
      </c>
      <c r="L1234" s="5" t="n">
        <v>0.55038</v>
      </c>
      <c r="M1234" s="4" t="n">
        <v>8</v>
      </c>
      <c r="N1234" s="4" t="n">
        <v>0</v>
      </c>
      <c r="O1234" s="4" t="n">
        <v>0</v>
      </c>
      <c r="P1234" s="4" t="n">
        <v>0</v>
      </c>
      <c r="Q1234" s="4" t="n">
        <v>0</v>
      </c>
      <c r="R1234" s="4" t="n">
        <f aca="false">M1234+N1234+O1234+P1234+Q1234</f>
        <v>8</v>
      </c>
      <c r="S1234" s="4" t="n">
        <v>4</v>
      </c>
      <c r="T1234" s="4" t="n">
        <f aca="false">R1234*K1234</f>
        <v>2392000</v>
      </c>
      <c r="U1234" s="9" t="n">
        <f aca="false">IFERROR(M1234/S1234,0)</f>
        <v>2</v>
      </c>
      <c r="V1234" s="5" t="n">
        <v>-0.7793</v>
      </c>
    </row>
    <row r="1235" customFormat="false" ht="15" hidden="false" customHeight="false" outlineLevel="0" collapsed="false">
      <c r="A1235" s="8" t="s">
        <v>259</v>
      </c>
      <c r="B1235" s="8" t="s">
        <v>29</v>
      </c>
      <c r="C1235" s="8" t="s">
        <v>1382</v>
      </c>
      <c r="D1235" s="8" t="n">
        <v>154456</v>
      </c>
      <c r="E1235" s="8" t="s">
        <v>1668</v>
      </c>
      <c r="F1235" s="8" t="s">
        <v>770</v>
      </c>
      <c r="G1235" s="8" t="s">
        <v>961</v>
      </c>
      <c r="H1235" s="8" t="s">
        <v>62</v>
      </c>
      <c r="I1235" s="8" t="s">
        <v>260</v>
      </c>
      <c r="J1235" s="4" t="n">
        <v>135000</v>
      </c>
      <c r="K1235" s="4" t="n">
        <v>68000</v>
      </c>
      <c r="L1235" s="5" t="n">
        <v>0.5</v>
      </c>
      <c r="M1235" s="4" t="n">
        <v>29</v>
      </c>
      <c r="N1235" s="4" t="n">
        <v>0</v>
      </c>
      <c r="O1235" s="4" t="n">
        <v>0</v>
      </c>
      <c r="P1235" s="4" t="n">
        <v>0</v>
      </c>
      <c r="Q1235" s="4" t="n">
        <v>0</v>
      </c>
      <c r="R1235" s="4" t="n">
        <f aca="false">M1235+N1235+O1235+P1235+Q1235</f>
        <v>29</v>
      </c>
      <c r="S1235" s="4" t="n">
        <v>10</v>
      </c>
      <c r="T1235" s="4" t="n">
        <f aca="false">R1235*K1235</f>
        <v>1972000</v>
      </c>
      <c r="U1235" s="9" t="n">
        <f aca="false">IFERROR(M1235/S1235,0)</f>
        <v>2.9</v>
      </c>
      <c r="V1235" s="5"/>
    </row>
    <row r="1236" customFormat="false" ht="15" hidden="false" customHeight="false" outlineLevel="0" collapsed="false">
      <c r="A1236" s="8" t="s">
        <v>253</v>
      </c>
      <c r="B1236" s="8" t="s">
        <v>25</v>
      </c>
      <c r="C1236" s="8" t="s">
        <v>1043</v>
      </c>
      <c r="D1236" s="8" t="n">
        <v>30015</v>
      </c>
      <c r="E1236" s="8" t="s">
        <v>1669</v>
      </c>
      <c r="F1236" s="8" t="s">
        <v>770</v>
      </c>
      <c r="G1236" s="8" t="s">
        <v>961</v>
      </c>
      <c r="H1236" s="8" t="s">
        <v>51</v>
      </c>
      <c r="I1236" s="8" t="s">
        <v>254</v>
      </c>
      <c r="J1236" s="4" t="n">
        <v>220000</v>
      </c>
      <c r="K1236" s="4" t="n">
        <v>200000</v>
      </c>
      <c r="L1236" s="5" t="n">
        <v>0.09545</v>
      </c>
      <c r="M1236" s="4" t="n">
        <v>26</v>
      </c>
      <c r="N1236" s="4" t="n">
        <v>0</v>
      </c>
      <c r="O1236" s="4" t="n">
        <v>0</v>
      </c>
      <c r="P1236" s="4" t="n">
        <v>0</v>
      </c>
      <c r="Q1236" s="4" t="n">
        <v>0</v>
      </c>
      <c r="R1236" s="4" t="n">
        <f aca="false">M1236+N1236+O1236+P1236+Q1236</f>
        <v>26</v>
      </c>
      <c r="S1236" s="4" t="n">
        <v>14</v>
      </c>
      <c r="T1236" s="4" t="n">
        <f aca="false">R1236*K1236</f>
        <v>5200000</v>
      </c>
      <c r="U1236" s="9" t="n">
        <f aca="false">IFERROR(M1236/S1236,0)</f>
        <v>1.85714285714286</v>
      </c>
      <c r="V1236" s="5" t="n">
        <v>0.205</v>
      </c>
    </row>
    <row r="1237" customFormat="false" ht="15" hidden="false" customHeight="false" outlineLevel="0" collapsed="false">
      <c r="A1237" s="8" t="s">
        <v>243</v>
      </c>
      <c r="B1237" s="8" t="s">
        <v>20</v>
      </c>
      <c r="C1237" s="8" t="s">
        <v>1045</v>
      </c>
      <c r="D1237" s="8" t="n">
        <v>101868</v>
      </c>
      <c r="E1237" s="8" t="s">
        <v>968</v>
      </c>
      <c r="F1237" s="8" t="s">
        <v>767</v>
      </c>
      <c r="G1237" s="8" t="s">
        <v>961</v>
      </c>
      <c r="H1237" s="8" t="s">
        <v>51</v>
      </c>
      <c r="I1237" s="8" t="s">
        <v>244</v>
      </c>
      <c r="J1237" s="4" t="n">
        <v>695000</v>
      </c>
      <c r="K1237" s="4" t="n">
        <v>452000</v>
      </c>
      <c r="L1237" s="5" t="n">
        <v>0.35</v>
      </c>
      <c r="M1237" s="4" t="n">
        <v>22</v>
      </c>
      <c r="N1237" s="4" t="n">
        <v>0</v>
      </c>
      <c r="O1237" s="4" t="n">
        <v>0</v>
      </c>
      <c r="P1237" s="4" t="n">
        <v>0</v>
      </c>
      <c r="Q1237" s="4" t="n">
        <v>0</v>
      </c>
      <c r="R1237" s="4" t="n">
        <f aca="false">M1237+N1237+O1237+P1237+Q1237</f>
        <v>22</v>
      </c>
      <c r="S1237" s="4" t="n">
        <v>6</v>
      </c>
      <c r="T1237" s="4" t="n">
        <f aca="false">R1237*K1237</f>
        <v>9944000</v>
      </c>
      <c r="U1237" s="9" t="n">
        <f aca="false">IFERROR(M1237/S1237,0)</f>
        <v>3.66666666666667</v>
      </c>
      <c r="V1237" s="5" t="n">
        <v>-0.1726</v>
      </c>
    </row>
    <row r="1238" customFormat="false" ht="15" hidden="false" customHeight="false" outlineLevel="0" collapsed="false">
      <c r="A1238" s="8" t="s">
        <v>237</v>
      </c>
      <c r="B1238" s="8" t="s">
        <v>21</v>
      </c>
      <c r="C1238" s="8" t="s">
        <v>1401</v>
      </c>
      <c r="D1238" s="8" t="n">
        <v>110762</v>
      </c>
      <c r="E1238" s="8" t="s">
        <v>969</v>
      </c>
      <c r="F1238" s="8" t="s">
        <v>767</v>
      </c>
      <c r="G1238" s="8" t="s">
        <v>961</v>
      </c>
      <c r="H1238" s="8" t="s">
        <v>51</v>
      </c>
      <c r="I1238" s="8" t="s">
        <v>238</v>
      </c>
      <c r="J1238" s="4" t="n">
        <v>1390000</v>
      </c>
      <c r="K1238" s="4" t="n">
        <v>904000</v>
      </c>
      <c r="L1238" s="5" t="n">
        <v>0.35</v>
      </c>
      <c r="M1238" s="4" t="n">
        <v>12</v>
      </c>
      <c r="N1238" s="4" t="n">
        <v>0</v>
      </c>
      <c r="O1238" s="4" t="n">
        <v>0</v>
      </c>
      <c r="P1238" s="4" t="n">
        <v>0</v>
      </c>
      <c r="Q1238" s="4" t="n">
        <v>2</v>
      </c>
      <c r="R1238" s="4" t="n">
        <f aca="false">M1238+N1238+O1238+P1238+Q1238</f>
        <v>14</v>
      </c>
      <c r="S1238" s="4" t="n">
        <v>9</v>
      </c>
      <c r="T1238" s="4" t="n">
        <f aca="false">R1238*K1238</f>
        <v>12656000</v>
      </c>
      <c r="U1238" s="9" t="n">
        <f aca="false">IFERROR(M1238/S1238,0)</f>
        <v>1.33333333333333</v>
      </c>
      <c r="V1238" s="5" t="n">
        <v>-0.1051</v>
      </c>
    </row>
    <row r="1239" customFormat="false" ht="15" hidden="false" customHeight="false" outlineLevel="0" collapsed="false">
      <c r="A1239" s="8" t="s">
        <v>261</v>
      </c>
      <c r="B1239" s="8" t="s">
        <v>20</v>
      </c>
      <c r="C1239" s="8" t="s">
        <v>1048</v>
      </c>
      <c r="D1239" s="8" t="n">
        <v>101926</v>
      </c>
      <c r="E1239" s="8" t="s">
        <v>990</v>
      </c>
      <c r="F1239" s="8" t="s">
        <v>767</v>
      </c>
      <c r="G1239" s="8" t="s">
        <v>970</v>
      </c>
      <c r="H1239" s="8" t="s">
        <v>51</v>
      </c>
      <c r="I1239" s="8" t="s">
        <v>262</v>
      </c>
      <c r="J1239" s="4" t="n">
        <v>210000</v>
      </c>
      <c r="K1239" s="4" t="n">
        <v>59000</v>
      </c>
      <c r="L1239" s="5" t="n">
        <v>0.71905</v>
      </c>
      <c r="M1239" s="4" t="n">
        <v>9</v>
      </c>
      <c r="N1239" s="4" t="n">
        <v>0</v>
      </c>
      <c r="O1239" s="4" t="n">
        <v>0</v>
      </c>
      <c r="P1239" s="4" t="n">
        <v>0</v>
      </c>
      <c r="Q1239" s="4" t="n">
        <v>0</v>
      </c>
      <c r="R1239" s="4" t="n">
        <f aca="false">M1239+N1239+O1239+P1239+Q1239</f>
        <v>9</v>
      </c>
      <c r="S1239" s="4" t="n">
        <v>2</v>
      </c>
      <c r="T1239" s="4" t="n">
        <f aca="false">R1239*K1239</f>
        <v>531000</v>
      </c>
      <c r="U1239" s="9" t="n">
        <f aca="false">IFERROR(M1239/S1239,0)</f>
        <v>4.5</v>
      </c>
      <c r="V1239" s="5" t="n">
        <v>-1.7119</v>
      </c>
    </row>
    <row r="1240" customFormat="false" ht="15" hidden="false" customHeight="false" outlineLevel="0" collapsed="false">
      <c r="A1240" s="8" t="s">
        <v>261</v>
      </c>
      <c r="B1240" s="8" t="s">
        <v>20</v>
      </c>
      <c r="C1240" s="8" t="s">
        <v>1048</v>
      </c>
      <c r="D1240" s="8" t="n">
        <v>101925</v>
      </c>
      <c r="E1240" s="8" t="s">
        <v>991</v>
      </c>
      <c r="F1240" s="8" t="s">
        <v>767</v>
      </c>
      <c r="G1240" s="8" t="s">
        <v>970</v>
      </c>
      <c r="H1240" s="8" t="s">
        <v>51</v>
      </c>
      <c r="I1240" s="8" t="s">
        <v>262</v>
      </c>
      <c r="J1240" s="4" t="n">
        <v>210000</v>
      </c>
      <c r="K1240" s="4" t="n">
        <v>59000</v>
      </c>
      <c r="L1240" s="5" t="n">
        <v>0.71905</v>
      </c>
      <c r="M1240" s="4" t="n">
        <v>5</v>
      </c>
      <c r="N1240" s="4" t="n">
        <v>0</v>
      </c>
      <c r="O1240" s="4" t="n">
        <v>0</v>
      </c>
      <c r="P1240" s="4" t="n">
        <v>0</v>
      </c>
      <c r="Q1240" s="4" t="n">
        <v>0</v>
      </c>
      <c r="R1240" s="4" t="n">
        <f aca="false">M1240+N1240+O1240+P1240+Q1240</f>
        <v>5</v>
      </c>
      <c r="S1240" s="4" t="n">
        <v>3</v>
      </c>
      <c r="T1240" s="4" t="n">
        <f aca="false">R1240*K1240</f>
        <v>295000</v>
      </c>
      <c r="U1240" s="9" t="n">
        <f aca="false">IFERROR(M1240/S1240,0)</f>
        <v>1.66666666666667</v>
      </c>
      <c r="V1240" s="5" t="n">
        <v>-1.7119</v>
      </c>
    </row>
    <row r="1241" customFormat="false" ht="15" hidden="false" customHeight="false" outlineLevel="0" collapsed="false">
      <c r="A1241" s="8" t="s">
        <v>261</v>
      </c>
      <c r="B1241" s="8" t="s">
        <v>20</v>
      </c>
      <c r="C1241" s="8" t="s">
        <v>1048</v>
      </c>
      <c r="D1241" s="8" t="n">
        <v>101949</v>
      </c>
      <c r="E1241" s="8" t="s">
        <v>803</v>
      </c>
      <c r="F1241" s="8" t="s">
        <v>767</v>
      </c>
      <c r="G1241" s="8" t="s">
        <v>970</v>
      </c>
      <c r="H1241" s="8" t="s">
        <v>51</v>
      </c>
      <c r="I1241" s="8" t="s">
        <v>262</v>
      </c>
      <c r="J1241" s="4" t="n">
        <v>210000</v>
      </c>
      <c r="K1241" s="4" t="n">
        <v>59000</v>
      </c>
      <c r="L1241" s="5" t="n">
        <v>0.71905</v>
      </c>
      <c r="M1241" s="4" t="n">
        <v>0</v>
      </c>
      <c r="N1241" s="4" t="n">
        <v>0</v>
      </c>
      <c r="O1241" s="4" t="n">
        <v>0</v>
      </c>
      <c r="P1241" s="4" t="n">
        <v>0</v>
      </c>
      <c r="Q1241" s="4" t="n">
        <v>0</v>
      </c>
      <c r="R1241" s="4" t="n">
        <f aca="false">M1241+N1241+O1241+P1241+Q1241</f>
        <v>0</v>
      </c>
      <c r="S1241" s="4" t="n">
        <v>0</v>
      </c>
      <c r="T1241" s="4" t="n">
        <f aca="false">R1241*K1241</f>
        <v>0</v>
      </c>
      <c r="U1241" s="9" t="n">
        <f aca="false">IFERROR(M1241/S1241,0)</f>
        <v>0</v>
      </c>
      <c r="V1241" s="5" t="n">
        <v>-1.7119</v>
      </c>
    </row>
    <row r="1242" customFormat="false" ht="15" hidden="false" customHeight="false" outlineLevel="0" collapsed="false">
      <c r="A1242" s="8" t="s">
        <v>263</v>
      </c>
      <c r="B1242" s="8" t="s">
        <v>24</v>
      </c>
      <c r="C1242" s="8" t="s">
        <v>1670</v>
      </c>
      <c r="D1242" s="8" t="n">
        <v>220067</v>
      </c>
      <c r="E1242" s="8" t="s">
        <v>971</v>
      </c>
      <c r="F1242" s="8" t="s">
        <v>767</v>
      </c>
      <c r="G1242" s="8" t="s">
        <v>970</v>
      </c>
      <c r="H1242" s="8" t="s">
        <v>51</v>
      </c>
      <c r="I1242" s="8" t="s">
        <v>264</v>
      </c>
      <c r="J1242" s="4" t="n">
        <v>260000</v>
      </c>
      <c r="K1242" s="4" t="n">
        <v>100000</v>
      </c>
      <c r="L1242" s="5" t="n">
        <v>0.61923</v>
      </c>
      <c r="M1242" s="4" t="n">
        <v>8</v>
      </c>
      <c r="N1242" s="4" t="n">
        <v>0</v>
      </c>
      <c r="O1242" s="4" t="n">
        <v>0</v>
      </c>
      <c r="P1242" s="4" t="n">
        <v>0</v>
      </c>
      <c r="Q1242" s="4" t="n">
        <v>0</v>
      </c>
      <c r="R1242" s="4" t="n">
        <f aca="false">M1242+N1242+O1242+P1242+Q1242</f>
        <v>8</v>
      </c>
      <c r="S1242" s="4" t="n">
        <v>1</v>
      </c>
      <c r="T1242" s="4" t="n">
        <f aca="false">R1242*K1242</f>
        <v>800000</v>
      </c>
      <c r="U1242" s="9" t="n">
        <f aca="false">IFERROR(M1242/S1242,0)</f>
        <v>8</v>
      </c>
      <c r="V1242" s="5" t="n">
        <v>-9999</v>
      </c>
    </row>
    <row r="1243" customFormat="false" ht="15" hidden="false" customHeight="false" outlineLevel="0" collapsed="false">
      <c r="A1243" s="8" t="s">
        <v>263</v>
      </c>
      <c r="B1243" s="8" t="s">
        <v>24</v>
      </c>
      <c r="C1243" s="8" t="s">
        <v>1670</v>
      </c>
      <c r="D1243" s="8" t="n">
        <v>220068</v>
      </c>
      <c r="E1243" s="8" t="s">
        <v>789</v>
      </c>
      <c r="F1243" s="8" t="s">
        <v>767</v>
      </c>
      <c r="G1243" s="8" t="s">
        <v>970</v>
      </c>
      <c r="H1243" s="8" t="s">
        <v>51</v>
      </c>
      <c r="I1243" s="8" t="s">
        <v>264</v>
      </c>
      <c r="J1243" s="4" t="n">
        <v>260000</v>
      </c>
      <c r="K1243" s="4" t="n">
        <v>100000</v>
      </c>
      <c r="L1243" s="5" t="n">
        <v>0.61923</v>
      </c>
      <c r="M1243" s="4" t="n">
        <v>0</v>
      </c>
      <c r="N1243" s="4" t="n">
        <v>0</v>
      </c>
      <c r="O1243" s="4" t="n">
        <v>0</v>
      </c>
      <c r="P1243" s="4" t="n">
        <v>0</v>
      </c>
      <c r="Q1243" s="4" t="n">
        <v>0</v>
      </c>
      <c r="R1243" s="4" t="n">
        <f aca="false">M1243+N1243+O1243+P1243+Q1243</f>
        <v>0</v>
      </c>
      <c r="S1243" s="4" t="n">
        <v>0</v>
      </c>
      <c r="T1243" s="4" t="n">
        <f aca="false">R1243*K1243</f>
        <v>0</v>
      </c>
      <c r="U1243" s="9" t="n">
        <f aca="false">IFERROR(M1243/S1243,0)</f>
        <v>0</v>
      </c>
      <c r="V1243" s="5" t="n">
        <v>-9999</v>
      </c>
    </row>
    <row r="1244" customFormat="false" ht="15" hidden="false" customHeight="false" outlineLevel="0" collapsed="false">
      <c r="A1244" s="8" t="s">
        <v>263</v>
      </c>
      <c r="B1244" s="8" t="s">
        <v>24</v>
      </c>
      <c r="C1244" s="8" t="s">
        <v>1670</v>
      </c>
      <c r="D1244" s="8" t="n">
        <v>220069</v>
      </c>
      <c r="E1244" s="8" t="s">
        <v>790</v>
      </c>
      <c r="F1244" s="8" t="s">
        <v>767</v>
      </c>
      <c r="G1244" s="8" t="s">
        <v>970</v>
      </c>
      <c r="H1244" s="8" t="s">
        <v>51</v>
      </c>
      <c r="I1244" s="8" t="s">
        <v>264</v>
      </c>
      <c r="J1244" s="4" t="n">
        <v>260000</v>
      </c>
      <c r="K1244" s="4" t="n">
        <v>100000</v>
      </c>
      <c r="L1244" s="5" t="n">
        <v>0.61923</v>
      </c>
      <c r="M1244" s="4" t="n">
        <v>0</v>
      </c>
      <c r="N1244" s="4" t="n">
        <v>0</v>
      </c>
      <c r="O1244" s="4" t="n">
        <v>0</v>
      </c>
      <c r="P1244" s="4" t="n">
        <v>0</v>
      </c>
      <c r="Q1244" s="4" t="n">
        <v>0</v>
      </c>
      <c r="R1244" s="4" t="n">
        <f aca="false">M1244+N1244+O1244+P1244+Q1244</f>
        <v>0</v>
      </c>
      <c r="S1244" s="4" t="n">
        <v>0</v>
      </c>
      <c r="T1244" s="4" t="n">
        <f aca="false">R1244*K1244</f>
        <v>0</v>
      </c>
      <c r="U1244" s="9" t="n">
        <f aca="false">IFERROR(M1244/S1244,0)</f>
        <v>0</v>
      </c>
      <c r="V1244" s="5" t="n">
        <v>-9999</v>
      </c>
    </row>
    <row r="1245" customFormat="false" ht="15" hidden="false" customHeight="false" outlineLevel="0" collapsed="false">
      <c r="A1245" s="8" t="s">
        <v>263</v>
      </c>
      <c r="B1245" s="8" t="s">
        <v>24</v>
      </c>
      <c r="C1245" s="8" t="s">
        <v>1670</v>
      </c>
      <c r="D1245" s="8" t="n">
        <v>220061</v>
      </c>
      <c r="E1245" s="8" t="s">
        <v>791</v>
      </c>
      <c r="F1245" s="8" t="s">
        <v>767</v>
      </c>
      <c r="G1245" s="8" t="s">
        <v>970</v>
      </c>
      <c r="H1245" s="8" t="s">
        <v>51</v>
      </c>
      <c r="I1245" s="8" t="s">
        <v>264</v>
      </c>
      <c r="J1245" s="4" t="n">
        <v>260000</v>
      </c>
      <c r="K1245" s="4" t="n">
        <v>100000</v>
      </c>
      <c r="L1245" s="5" t="n">
        <v>0.61923</v>
      </c>
      <c r="M1245" s="4" t="n">
        <v>0</v>
      </c>
      <c r="N1245" s="4" t="n">
        <v>0</v>
      </c>
      <c r="O1245" s="4" t="n">
        <v>0</v>
      </c>
      <c r="P1245" s="4" t="n">
        <v>0</v>
      </c>
      <c r="Q1245" s="4" t="n">
        <v>0</v>
      </c>
      <c r="R1245" s="4" t="n">
        <f aca="false">M1245+N1245+O1245+P1245+Q1245</f>
        <v>0</v>
      </c>
      <c r="S1245" s="4" t="n">
        <v>0</v>
      </c>
      <c r="T1245" s="4" t="n">
        <f aca="false">R1245*K1245</f>
        <v>0</v>
      </c>
      <c r="U1245" s="9" t="n">
        <f aca="false">IFERROR(M1245/S1245,0)</f>
        <v>0</v>
      </c>
      <c r="V1245" s="5" t="n">
        <v>-9999</v>
      </c>
    </row>
    <row r="1246" customFormat="false" ht="15" hidden="false" customHeight="false" outlineLevel="0" collapsed="false">
      <c r="A1246" s="8" t="s">
        <v>263</v>
      </c>
      <c r="B1246" s="8" t="s">
        <v>24</v>
      </c>
      <c r="C1246" s="8" t="s">
        <v>1670</v>
      </c>
      <c r="D1246" s="8" t="n">
        <v>220062</v>
      </c>
      <c r="E1246" s="8" t="s">
        <v>792</v>
      </c>
      <c r="F1246" s="8" t="s">
        <v>767</v>
      </c>
      <c r="G1246" s="8" t="s">
        <v>970</v>
      </c>
      <c r="H1246" s="8" t="s">
        <v>51</v>
      </c>
      <c r="I1246" s="8" t="s">
        <v>264</v>
      </c>
      <c r="J1246" s="4" t="n">
        <v>260000</v>
      </c>
      <c r="K1246" s="4" t="n">
        <v>100000</v>
      </c>
      <c r="L1246" s="5" t="n">
        <v>0.61923</v>
      </c>
      <c r="M1246" s="4" t="n">
        <v>0</v>
      </c>
      <c r="N1246" s="4" t="n">
        <v>0</v>
      </c>
      <c r="O1246" s="4" t="n">
        <v>0</v>
      </c>
      <c r="P1246" s="4" t="n">
        <v>0</v>
      </c>
      <c r="Q1246" s="4" t="n">
        <v>0</v>
      </c>
      <c r="R1246" s="4" t="n">
        <f aca="false">M1246+N1246+O1246+P1246+Q1246</f>
        <v>0</v>
      </c>
      <c r="S1246" s="4" t="n">
        <v>0</v>
      </c>
      <c r="T1246" s="4" t="n">
        <f aca="false">R1246*K1246</f>
        <v>0</v>
      </c>
      <c r="U1246" s="9" t="n">
        <f aca="false">IFERROR(M1246/S1246,0)</f>
        <v>0</v>
      </c>
      <c r="V1246" s="5" t="n">
        <v>-9999</v>
      </c>
    </row>
    <row r="1247" customFormat="false" ht="15" hidden="false" customHeight="false" outlineLevel="0" collapsed="false">
      <c r="A1247" s="8" t="s">
        <v>263</v>
      </c>
      <c r="B1247" s="8" t="s">
        <v>24</v>
      </c>
      <c r="C1247" s="8" t="s">
        <v>1670</v>
      </c>
      <c r="D1247" s="8" t="n">
        <v>220063</v>
      </c>
      <c r="E1247" s="8" t="s">
        <v>793</v>
      </c>
      <c r="F1247" s="8" t="s">
        <v>794</v>
      </c>
      <c r="G1247" s="8" t="s">
        <v>970</v>
      </c>
      <c r="H1247" s="8" t="s">
        <v>51</v>
      </c>
      <c r="I1247" s="8" t="s">
        <v>264</v>
      </c>
      <c r="J1247" s="4" t="n">
        <v>260000</v>
      </c>
      <c r="K1247" s="4" t="n">
        <v>100000</v>
      </c>
      <c r="L1247" s="5" t="n">
        <v>0.61923</v>
      </c>
      <c r="M1247" s="4" t="n">
        <v>0</v>
      </c>
      <c r="N1247" s="4" t="n">
        <v>0</v>
      </c>
      <c r="O1247" s="4" t="n">
        <v>0</v>
      </c>
      <c r="P1247" s="4" t="n">
        <v>0</v>
      </c>
      <c r="Q1247" s="4" t="n">
        <v>0</v>
      </c>
      <c r="R1247" s="4" t="n">
        <f aca="false">M1247+N1247+O1247+P1247+Q1247</f>
        <v>0</v>
      </c>
      <c r="S1247" s="4" t="n">
        <v>0</v>
      </c>
      <c r="T1247" s="4" t="n">
        <f aca="false">R1247*K1247</f>
        <v>0</v>
      </c>
      <c r="U1247" s="9" t="n">
        <f aca="false">IFERROR(M1247/S1247,0)</f>
        <v>0</v>
      </c>
      <c r="V1247" s="5" t="n">
        <v>-9999</v>
      </c>
    </row>
    <row r="1248" customFormat="false" ht="15" hidden="false" customHeight="false" outlineLevel="0" collapsed="false">
      <c r="A1248" s="8" t="s">
        <v>263</v>
      </c>
      <c r="B1248" s="8" t="s">
        <v>24</v>
      </c>
      <c r="C1248" s="8" t="s">
        <v>1670</v>
      </c>
      <c r="D1248" s="8" t="n">
        <v>220064</v>
      </c>
      <c r="E1248" s="8" t="s">
        <v>795</v>
      </c>
      <c r="F1248" s="8" t="s">
        <v>794</v>
      </c>
      <c r="G1248" s="8" t="s">
        <v>970</v>
      </c>
      <c r="H1248" s="8" t="s">
        <v>51</v>
      </c>
      <c r="I1248" s="8" t="s">
        <v>264</v>
      </c>
      <c r="J1248" s="4" t="n">
        <v>260000</v>
      </c>
      <c r="K1248" s="4" t="n">
        <v>100000</v>
      </c>
      <c r="L1248" s="5" t="n">
        <v>0.61923</v>
      </c>
      <c r="M1248" s="4" t="n">
        <v>0</v>
      </c>
      <c r="N1248" s="4" t="n">
        <v>0</v>
      </c>
      <c r="O1248" s="4" t="n">
        <v>0</v>
      </c>
      <c r="P1248" s="4" t="n">
        <v>0</v>
      </c>
      <c r="Q1248" s="4" t="n">
        <v>0</v>
      </c>
      <c r="R1248" s="4" t="n">
        <f aca="false">M1248+N1248+O1248+P1248+Q1248</f>
        <v>0</v>
      </c>
      <c r="S1248" s="4" t="n">
        <v>0</v>
      </c>
      <c r="T1248" s="4" t="n">
        <f aca="false">R1248*K1248</f>
        <v>0</v>
      </c>
      <c r="U1248" s="9" t="n">
        <f aca="false">IFERROR(M1248/S1248,0)</f>
        <v>0</v>
      </c>
      <c r="V1248" s="5" t="n">
        <v>-9999</v>
      </c>
    </row>
    <row r="1249" customFormat="false" ht="15" hidden="false" customHeight="false" outlineLevel="0" collapsed="false">
      <c r="A1249" s="8" t="s">
        <v>263</v>
      </c>
      <c r="B1249" s="8" t="s">
        <v>24</v>
      </c>
      <c r="C1249" s="8" t="s">
        <v>1670</v>
      </c>
      <c r="D1249" s="8" t="n">
        <v>220065</v>
      </c>
      <c r="E1249" s="8" t="s">
        <v>796</v>
      </c>
      <c r="F1249" s="8" t="s">
        <v>794</v>
      </c>
      <c r="G1249" s="8" t="s">
        <v>970</v>
      </c>
      <c r="H1249" s="8" t="s">
        <v>51</v>
      </c>
      <c r="I1249" s="8" t="s">
        <v>264</v>
      </c>
      <c r="J1249" s="4" t="n">
        <v>260000</v>
      </c>
      <c r="K1249" s="4" t="n">
        <v>100000</v>
      </c>
      <c r="L1249" s="5" t="n">
        <v>0.61923</v>
      </c>
      <c r="M1249" s="4" t="n">
        <v>0</v>
      </c>
      <c r="N1249" s="4" t="n">
        <v>0</v>
      </c>
      <c r="O1249" s="4" t="n">
        <v>0</v>
      </c>
      <c r="P1249" s="4" t="n">
        <v>0</v>
      </c>
      <c r="Q1249" s="4" t="n">
        <v>0</v>
      </c>
      <c r="R1249" s="4" t="n">
        <f aca="false">M1249+N1249+O1249+P1249+Q1249</f>
        <v>0</v>
      </c>
      <c r="S1249" s="4" t="n">
        <v>0</v>
      </c>
      <c r="T1249" s="4" t="n">
        <f aca="false">R1249*K1249</f>
        <v>0</v>
      </c>
      <c r="U1249" s="9" t="n">
        <f aca="false">IFERROR(M1249/S1249,0)</f>
        <v>0</v>
      </c>
      <c r="V1249" s="5" t="n">
        <v>-9999</v>
      </c>
    </row>
    <row r="1250" customFormat="false" ht="15" hidden="false" customHeight="false" outlineLevel="0" collapsed="false">
      <c r="A1250" s="8" t="s">
        <v>263</v>
      </c>
      <c r="B1250" s="8" t="s">
        <v>24</v>
      </c>
      <c r="C1250" s="8" t="s">
        <v>1670</v>
      </c>
      <c r="D1250" s="8" t="n">
        <v>220066</v>
      </c>
      <c r="E1250" s="8" t="s">
        <v>797</v>
      </c>
      <c r="F1250" s="8" t="s">
        <v>794</v>
      </c>
      <c r="G1250" s="8" t="s">
        <v>970</v>
      </c>
      <c r="H1250" s="8" t="s">
        <v>51</v>
      </c>
      <c r="I1250" s="8" t="s">
        <v>264</v>
      </c>
      <c r="J1250" s="4" t="n">
        <v>260000</v>
      </c>
      <c r="K1250" s="4" t="n">
        <v>100000</v>
      </c>
      <c r="L1250" s="5" t="n">
        <v>0.61923</v>
      </c>
      <c r="M1250" s="4" t="n">
        <v>0</v>
      </c>
      <c r="N1250" s="4" t="n">
        <v>0</v>
      </c>
      <c r="O1250" s="4" t="n">
        <v>0</v>
      </c>
      <c r="P1250" s="4" t="n">
        <v>0</v>
      </c>
      <c r="Q1250" s="4" t="n">
        <v>0</v>
      </c>
      <c r="R1250" s="4" t="n">
        <f aca="false">M1250+N1250+O1250+P1250+Q1250</f>
        <v>0</v>
      </c>
      <c r="S1250" s="4" t="n">
        <v>0</v>
      </c>
      <c r="T1250" s="4" t="n">
        <f aca="false">R1250*K1250</f>
        <v>0</v>
      </c>
      <c r="U1250" s="9" t="n">
        <f aca="false">IFERROR(M1250/S1250,0)</f>
        <v>0</v>
      </c>
      <c r="V1250" s="5" t="n">
        <v>-9999</v>
      </c>
    </row>
    <row r="1251" customFormat="false" ht="15" hidden="false" customHeight="false" outlineLevel="0" collapsed="false">
      <c r="A1251" s="8" t="s">
        <v>263</v>
      </c>
      <c r="B1251" s="8" t="s">
        <v>24</v>
      </c>
      <c r="C1251" s="8" t="s">
        <v>1670</v>
      </c>
      <c r="D1251" s="8" t="n">
        <v>220070</v>
      </c>
      <c r="E1251" s="8" t="s">
        <v>797</v>
      </c>
      <c r="F1251" s="8" t="s">
        <v>794</v>
      </c>
      <c r="G1251" s="8" t="s">
        <v>970</v>
      </c>
      <c r="H1251" s="8" t="s">
        <v>51</v>
      </c>
      <c r="I1251" s="8" t="s">
        <v>264</v>
      </c>
      <c r="J1251" s="4" t="n">
        <v>260000</v>
      </c>
      <c r="K1251" s="4" t="n">
        <v>100000</v>
      </c>
      <c r="L1251" s="5" t="n">
        <v>0.61923</v>
      </c>
      <c r="M1251" s="4" t="n">
        <v>0</v>
      </c>
      <c r="N1251" s="4" t="n">
        <v>0</v>
      </c>
      <c r="O1251" s="4" t="n">
        <v>0</v>
      </c>
      <c r="P1251" s="4" t="n">
        <v>0</v>
      </c>
      <c r="Q1251" s="4" t="n">
        <v>0</v>
      </c>
      <c r="R1251" s="4" t="n">
        <f aca="false">M1251+N1251+O1251+P1251+Q1251</f>
        <v>0</v>
      </c>
      <c r="S1251" s="4" t="n">
        <v>0</v>
      </c>
      <c r="T1251" s="4" t="n">
        <f aca="false">R1251*K1251</f>
        <v>0</v>
      </c>
      <c r="U1251" s="9" t="n">
        <f aca="false">IFERROR(M1251/S1251,0)</f>
        <v>0</v>
      </c>
      <c r="V1251" s="5" t="n">
        <v>-9999</v>
      </c>
    </row>
    <row r="1252" customFormat="false" ht="15" hidden="false" customHeight="false" outlineLevel="0" collapsed="false">
      <c r="A1252" s="8" t="s">
        <v>266</v>
      </c>
      <c r="B1252" s="8" t="s">
        <v>22</v>
      </c>
      <c r="C1252" s="8" t="s">
        <v>1646</v>
      </c>
      <c r="D1252" s="8" t="n">
        <v>134280</v>
      </c>
      <c r="E1252" s="8" t="s">
        <v>815</v>
      </c>
      <c r="F1252" s="8" t="s">
        <v>767</v>
      </c>
      <c r="G1252" s="8" t="s">
        <v>970</v>
      </c>
      <c r="H1252" s="8" t="s">
        <v>51</v>
      </c>
      <c r="I1252" s="8" t="s">
        <v>267</v>
      </c>
      <c r="J1252" s="4" t="n">
        <v>1550000</v>
      </c>
      <c r="K1252" s="4" t="n">
        <v>299000</v>
      </c>
      <c r="L1252" s="5" t="n">
        <v>0.8071</v>
      </c>
      <c r="M1252" s="4" t="n">
        <v>0</v>
      </c>
      <c r="N1252" s="4" t="n">
        <v>0</v>
      </c>
      <c r="O1252" s="4" t="n">
        <v>0</v>
      </c>
      <c r="P1252" s="4" t="n">
        <v>0</v>
      </c>
      <c r="Q1252" s="4" t="n">
        <v>0</v>
      </c>
      <c r="R1252" s="4" t="n">
        <f aca="false">M1252+N1252+O1252+P1252+Q1252</f>
        <v>0</v>
      </c>
      <c r="S1252" s="4" t="n">
        <v>0</v>
      </c>
      <c r="T1252" s="4" t="n">
        <f aca="false">R1252*K1252</f>
        <v>0</v>
      </c>
      <c r="U1252" s="9" t="n">
        <f aca="false">IFERROR(M1252/S1252,0)</f>
        <v>0</v>
      </c>
      <c r="V1252" s="5" t="n">
        <v>1</v>
      </c>
    </row>
    <row r="1253" customFormat="false" ht="15" hidden="false" customHeight="false" outlineLevel="0" collapsed="false">
      <c r="A1253" s="8" t="s">
        <v>266</v>
      </c>
      <c r="B1253" s="8" t="s">
        <v>22</v>
      </c>
      <c r="C1253" s="8" t="s">
        <v>1646</v>
      </c>
      <c r="D1253" s="8" t="n">
        <v>134287</v>
      </c>
      <c r="E1253" s="8" t="s">
        <v>816</v>
      </c>
      <c r="F1253" s="8" t="s">
        <v>767</v>
      </c>
      <c r="G1253" s="8" t="s">
        <v>970</v>
      </c>
      <c r="H1253" s="8" t="s">
        <v>51</v>
      </c>
      <c r="I1253" s="8" t="s">
        <v>267</v>
      </c>
      <c r="J1253" s="4" t="n">
        <v>2500000</v>
      </c>
      <c r="K1253" s="4" t="n">
        <v>299000</v>
      </c>
      <c r="L1253" s="5" t="n">
        <v>0.8804</v>
      </c>
      <c r="M1253" s="4" t="n">
        <v>0</v>
      </c>
      <c r="N1253" s="4" t="n">
        <v>0</v>
      </c>
      <c r="O1253" s="4" t="n">
        <v>0</v>
      </c>
      <c r="P1253" s="4" t="n">
        <v>0</v>
      </c>
      <c r="Q1253" s="4" t="n">
        <v>0</v>
      </c>
      <c r="R1253" s="4" t="n">
        <f aca="false">M1253+N1253+O1253+P1253+Q1253</f>
        <v>0</v>
      </c>
      <c r="S1253" s="4" t="n">
        <v>0</v>
      </c>
      <c r="T1253" s="4" t="n">
        <f aca="false">R1253*K1253</f>
        <v>0</v>
      </c>
      <c r="U1253" s="9" t="n">
        <f aca="false">IFERROR(M1253/S1253,0)</f>
        <v>0</v>
      </c>
      <c r="V1253" s="5" t="n">
        <v>1</v>
      </c>
    </row>
  </sheetData>
  <autoFilter ref="A1:V1253"/>
  <conditionalFormatting sqref="R2:R1253">
    <cfRule type="cellIs" priority="2" operator="lessThanOrEqual" aboveAverage="0" equalAverage="0" bottom="0" percent="0" rank="0" text="" dxfId="0">
      <formula>0</formula>
    </cfRule>
  </conditionalFormatting>
  <conditionalFormatting sqref="V2:V1253">
    <cfRule type="cellIs" priority="3"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2026-10-06T04:24:58Z</dcterms:created>
  <dc:creator>openpyxl</dc:creator>
  <dc:description/>
  <dc:language>en-US</dc:language>
  <cp:lastModifiedBy/>
  <dcterms:modified xsi:type="dcterms:W3CDTF">2026-10-06T04:25:00Z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